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7B1AC316-C03D-4FAB-B11C-60A20D6F326B}" xr6:coauthVersionLast="47" xr6:coauthVersionMax="47" xr10:uidLastSave="{00000000-0000-0000-0000-000000000000}"/>
  <bookViews>
    <workbookView xWindow="6285" yWindow="225" windowWidth="46140" windowHeight="10380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52" i="14" l="1"/>
  <c r="AU52" i="14"/>
  <c r="AT52" i="14"/>
  <c r="AQ52" i="14"/>
  <c r="AP52" i="14"/>
  <c r="AO52" i="14"/>
  <c r="AN52" i="14"/>
  <c r="AM52" i="14"/>
  <c r="AK52" i="14"/>
  <c r="AJ52" i="14"/>
  <c r="AI52" i="14"/>
  <c r="AH52" i="14"/>
  <c r="AG52" i="14"/>
  <c r="AI51" i="14"/>
  <c r="AG51" i="14"/>
  <c r="AD52" i="14"/>
  <c r="AE52" i="14" s="1"/>
  <c r="AC52" i="14"/>
  <c r="AB52" i="14"/>
  <c r="AA52" i="14"/>
  <c r="U52" i="14"/>
  <c r="AO51" i="14"/>
  <c r="AN51" i="14"/>
  <c r="AM51" i="14"/>
  <c r="AP51" i="14" s="1"/>
  <c r="AQ51" i="14" s="1"/>
  <c r="AH51" i="14"/>
  <c r="AJ51" i="14"/>
  <c r="AK51" i="14" s="1"/>
  <c r="AC51" i="14"/>
  <c r="AB51" i="14"/>
  <c r="AA51" i="14"/>
  <c r="AD51" i="14" s="1"/>
  <c r="AE51" i="14" s="1"/>
  <c r="T52" i="14"/>
  <c r="AV51" i="14"/>
  <c r="AU51" i="14"/>
  <c r="AT51" i="14"/>
  <c r="V51" i="14"/>
  <c r="U51" i="14" s="1"/>
  <c r="T51" i="14"/>
  <c r="W51" i="14" s="1"/>
  <c r="K52" i="14"/>
  <c r="AW51" i="14"/>
  <c r="R45" i="14"/>
  <c r="R44" i="14"/>
  <c r="R43" i="14"/>
  <c r="AO41" i="14"/>
  <c r="AO42" i="14" s="1"/>
  <c r="AO43" i="14" s="1"/>
  <c r="AO44" i="14" s="1"/>
  <c r="AO45" i="14" s="1"/>
  <c r="AN41" i="14"/>
  <c r="AV41" i="14" s="1"/>
  <c r="AM41" i="14"/>
  <c r="AM42" i="14" s="1"/>
  <c r="AI41" i="14"/>
  <c r="AI42" i="14" s="1"/>
  <c r="AI43" i="14" s="1"/>
  <c r="AI44" i="14" s="1"/>
  <c r="AI45" i="14" s="1"/>
  <c r="AH41" i="14"/>
  <c r="AU41" i="14" s="1"/>
  <c r="AC41" i="14"/>
  <c r="AC42" i="14" s="1"/>
  <c r="AC43" i="14" s="1"/>
  <c r="AC44" i="14" s="1"/>
  <c r="AC45" i="14" s="1"/>
  <c r="AB41" i="14"/>
  <c r="AB42" i="14" s="1"/>
  <c r="AA41" i="14"/>
  <c r="AA42" i="14" s="1"/>
  <c r="R42" i="14"/>
  <c r="AD41" i="14"/>
  <c r="AE41" i="14" s="1"/>
  <c r="V41" i="14" s="1"/>
  <c r="AP41" i="14"/>
  <c r="AQ41" i="14" s="1"/>
  <c r="AS41" i="14"/>
  <c r="AT41" i="14"/>
  <c r="R41" i="14"/>
  <c r="AG41" i="14" s="1"/>
  <c r="R32" i="14"/>
  <c r="Q32" i="14"/>
  <c r="R33" i="14"/>
  <c r="Q33" i="14"/>
  <c r="R34" i="14"/>
  <c r="Q34" i="14"/>
  <c r="G32" i="14"/>
  <c r="F32" i="14"/>
  <c r="E32" i="14"/>
  <c r="D32" i="14"/>
  <c r="C32" i="14"/>
  <c r="B32" i="14"/>
  <c r="R25" i="14"/>
  <c r="Q25" i="14"/>
  <c r="T25" i="14"/>
  <c r="T29" i="14" s="1"/>
  <c r="T33" i="14" s="1"/>
  <c r="Y31" i="14"/>
  <c r="X31" i="14"/>
  <c r="S31" i="14"/>
  <c r="W30" i="14"/>
  <c r="S30" i="14"/>
  <c r="W29" i="14"/>
  <c r="V28" i="14"/>
  <c r="V32" i="14" s="1"/>
  <c r="T28" i="14"/>
  <c r="R24" i="14"/>
  <c r="Q24" i="14"/>
  <c r="R23" i="14"/>
  <c r="Q23" i="14"/>
  <c r="T22" i="14"/>
  <c r="T20" i="14"/>
  <c r="T23" i="14" s="1"/>
  <c r="T30" i="14" s="1"/>
  <c r="V19" i="14"/>
  <c r="T19" i="14"/>
  <c r="AQ14" i="14"/>
  <c r="S14" i="14"/>
  <c r="R14" i="14"/>
  <c r="S13" i="14"/>
  <c r="V12" i="14"/>
  <c r="AC10" i="14" s="1"/>
  <c r="T12" i="14"/>
  <c r="AA10" i="14" s="1"/>
  <c r="V7" i="14"/>
  <c r="V10" i="14" s="1"/>
  <c r="V13" i="14" s="1"/>
  <c r="AI13" i="14" s="1"/>
  <c r="T7" i="14"/>
  <c r="AD7" i="14" s="1"/>
  <c r="AE7" i="14" s="1"/>
  <c r="AE11" i="14" s="1"/>
  <c r="V5" i="14"/>
  <c r="V8" i="14" s="1"/>
  <c r="T5" i="14"/>
  <c r="AA5" i="14" s="1"/>
  <c r="AA8" i="14" s="1"/>
  <c r="V4" i="14"/>
  <c r="AI4" i="14" s="1"/>
  <c r="T4" i="14"/>
  <c r="AG4" i="14" s="1"/>
  <c r="AQ7" i="14"/>
  <c r="AV7" i="14"/>
  <c r="AH111" i="14"/>
  <c r="AG111" i="14"/>
  <c r="AI111" i="14" s="1"/>
  <c r="AB111" i="14"/>
  <c r="AA111" i="14"/>
  <c r="AC111" i="14" s="1"/>
  <c r="AM111" i="14" s="1"/>
  <c r="V111" i="14"/>
  <c r="AH107" i="14"/>
  <c r="AH108" i="14" s="1"/>
  <c r="AH109" i="14" s="1"/>
  <c r="AH110" i="14" s="1"/>
  <c r="AG107" i="14"/>
  <c r="AI107" i="14" s="1"/>
  <c r="AN107" i="14" s="1"/>
  <c r="AB107" i="14"/>
  <c r="AB108" i="14" s="1"/>
  <c r="AB109" i="14" s="1"/>
  <c r="AB110" i="14" s="1"/>
  <c r="AA107" i="14"/>
  <c r="AC107" i="14" s="1"/>
  <c r="V107" i="14"/>
  <c r="AA128" i="14"/>
  <c r="AB128" i="14" s="1"/>
  <c r="AE129" i="14"/>
  <c r="AD129" i="14"/>
  <c r="V129" i="14"/>
  <c r="AA129" i="14"/>
  <c r="AF129" i="14"/>
  <c r="AF125" i="14"/>
  <c r="AF126" i="14"/>
  <c r="AF128" i="14"/>
  <c r="AE128" i="14"/>
  <c r="V128" i="14"/>
  <c r="AA127" i="14"/>
  <c r="AB127" i="14" s="1"/>
  <c r="AA126" i="14"/>
  <c r="AB126" i="14" s="1"/>
  <c r="AA125" i="14"/>
  <c r="AB125" i="14" s="1"/>
  <c r="AF127" i="14"/>
  <c r="AE126" i="14"/>
  <c r="AE127" i="14"/>
  <c r="AE125" i="14"/>
  <c r="V127" i="14"/>
  <c r="V126" i="14"/>
  <c r="V125" i="14"/>
  <c r="AF124" i="14"/>
  <c r="AD124" i="14"/>
  <c r="AD123" i="14"/>
  <c r="V124" i="14"/>
  <c r="V123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V103" i="14"/>
  <c r="AH103" i="14"/>
  <c r="AH104" i="14" s="1"/>
  <c r="AH105" i="14" s="1"/>
  <c r="AH106" i="14" s="1"/>
  <c r="AG103" i="14"/>
  <c r="AI103" i="14" s="1"/>
  <c r="AN103" i="14" s="1"/>
  <c r="AB103" i="14"/>
  <c r="AB104" i="14" s="1"/>
  <c r="AB105" i="14" s="1"/>
  <c r="AB106" i="14" s="1"/>
  <c r="AA103" i="14"/>
  <c r="AA104" i="14" s="1"/>
  <c r="AA105" i="14" s="1"/>
  <c r="AA106" i="14" s="1"/>
  <c r="AK160" i="14"/>
  <c r="AO160" i="14" s="1"/>
  <c r="AI158" i="14"/>
  <c r="AI157" i="14"/>
  <c r="AI156" i="14"/>
  <c r="AI155" i="14"/>
  <c r="AI154" i="14"/>
  <c r="AI164" i="14"/>
  <c r="AI163" i="14"/>
  <c r="AI162" i="14"/>
  <c r="AP153" i="14"/>
  <c r="AI153" i="14"/>
  <c r="AK147" i="14"/>
  <c r="AK145" i="14"/>
  <c r="AN139" i="14"/>
  <c r="AM139" i="14"/>
  <c r="AI140" i="14" s="1"/>
  <c r="AK140" i="14" s="1"/>
  <c r="AO140" i="14" s="1"/>
  <c r="AP139" i="14"/>
  <c r="AK144" i="14"/>
  <c r="AO144" i="14" s="1"/>
  <c r="AI143" i="14"/>
  <c r="AK142" i="14"/>
  <c r="AO142" i="14" s="1"/>
  <c r="AI141" i="14"/>
  <c r="AL141" i="14" s="1"/>
  <c r="AL142" i="14" s="1"/>
  <c r="AI139" i="14"/>
  <c r="AH96" i="14"/>
  <c r="AH97" i="14" s="1"/>
  <c r="AH98" i="14" s="1"/>
  <c r="AH99" i="14" s="1"/>
  <c r="AB96" i="14"/>
  <c r="AB97" i="14" s="1"/>
  <c r="AB98" i="14" s="1"/>
  <c r="AB99" i="14" s="1"/>
  <c r="AB89" i="14"/>
  <c r="AH91" i="14"/>
  <c r="AH87" i="14"/>
  <c r="AB87" i="14"/>
  <c r="AI82" i="14"/>
  <c r="AI80" i="14"/>
  <c r="AI81" i="14" s="1"/>
  <c r="AI83" i="14" s="1"/>
  <c r="AC82" i="14"/>
  <c r="AC80" i="14"/>
  <c r="AI76" i="14"/>
  <c r="AI72" i="14"/>
  <c r="AI75" i="14" s="1"/>
  <c r="AC76" i="14"/>
  <c r="AI69" i="14"/>
  <c r="AI71" i="14" s="1"/>
  <c r="AI74" i="14" s="1"/>
  <c r="AI67" i="14"/>
  <c r="AC70" i="14"/>
  <c r="AC72" i="14" s="1"/>
  <c r="AC75" i="14" s="1"/>
  <c r="AC69" i="14"/>
  <c r="AC71" i="14" s="1"/>
  <c r="AC74" i="14" s="1"/>
  <c r="AC67" i="14"/>
  <c r="BH82" i="14"/>
  <c r="AG82" i="14"/>
  <c r="AB82" i="14"/>
  <c r="AA82" i="14"/>
  <c r="AH82" i="14"/>
  <c r="V82" i="14"/>
  <c r="BJ81" i="14"/>
  <c r="BI81" i="14"/>
  <c r="BH81" i="14"/>
  <c r="BG81" i="14"/>
  <c r="BF81" i="14"/>
  <c r="BE81" i="14"/>
  <c r="BD81" i="14"/>
  <c r="BB81" i="14"/>
  <c r="BA81" i="14"/>
  <c r="AZ81" i="14"/>
  <c r="AY81" i="14"/>
  <c r="AX81" i="14"/>
  <c r="AW81" i="14"/>
  <c r="AV81" i="14"/>
  <c r="AU81" i="14"/>
  <c r="AT81" i="14"/>
  <c r="AS81" i="14"/>
  <c r="AR81" i="14"/>
  <c r="AQ81" i="14"/>
  <c r="AU82" i="14"/>
  <c r="AV82" i="14" s="1"/>
  <c r="AT82" i="14"/>
  <c r="AS82" i="14"/>
  <c r="AR82" i="14"/>
  <c r="AQ82" i="14"/>
  <c r="AH80" i="14"/>
  <c r="AH81" i="14" s="1"/>
  <c r="AH83" i="14" s="1"/>
  <c r="AG80" i="14"/>
  <c r="AG81" i="14" s="1"/>
  <c r="AG83" i="14" s="1"/>
  <c r="AB80" i="14"/>
  <c r="AB81" i="14" s="1"/>
  <c r="AB83" i="14" s="1"/>
  <c r="AA80" i="14"/>
  <c r="V80" i="14"/>
  <c r="AV74" i="14"/>
  <c r="AU74" i="14"/>
  <c r="AT74" i="14"/>
  <c r="AS74" i="14"/>
  <c r="AR74" i="14"/>
  <c r="AQ74" i="14"/>
  <c r="BH68" i="14"/>
  <c r="BH69" i="14" s="1"/>
  <c r="BH71" i="14" s="1"/>
  <c r="BH73" i="14" s="1"/>
  <c r="BH74" i="14" s="1"/>
  <c r="AU68" i="14"/>
  <c r="AU69" i="14" s="1"/>
  <c r="V74" i="14"/>
  <c r="V71" i="14"/>
  <c r="V69" i="14"/>
  <c r="V67" i="14"/>
  <c r="BF68" i="14"/>
  <c r="BE68" i="14"/>
  <c r="BB68" i="14"/>
  <c r="BA68" i="14"/>
  <c r="AZ68" i="14"/>
  <c r="AY68" i="14"/>
  <c r="AX68" i="14"/>
  <c r="AW68" i="14"/>
  <c r="BG68" i="14"/>
  <c r="AT68" i="14"/>
  <c r="AT69" i="14" s="1"/>
  <c r="AT71" i="14" s="1"/>
  <c r="AT73" i="14" s="1"/>
  <c r="AR68" i="14"/>
  <c r="AR69" i="14" s="1"/>
  <c r="AR71" i="14" s="1"/>
  <c r="AR73" i="14" s="1"/>
  <c r="AS68" i="14"/>
  <c r="AS69" i="14" s="1"/>
  <c r="AS71" i="14" s="1"/>
  <c r="AQ68" i="14"/>
  <c r="AQ69" i="14" s="1"/>
  <c r="AQ71" i="14" s="1"/>
  <c r="AG99" i="14"/>
  <c r="AA99" i="14"/>
  <c r="AG98" i="14"/>
  <c r="AA97" i="14"/>
  <c r="AG96" i="14"/>
  <c r="AA96" i="14"/>
  <c r="AG91" i="14"/>
  <c r="AA89" i="14"/>
  <c r="AG87" i="14"/>
  <c r="AA87" i="14"/>
  <c r="AH76" i="14"/>
  <c r="AG76" i="14"/>
  <c r="AB76" i="14"/>
  <c r="AA76" i="14"/>
  <c r="AH72" i="14"/>
  <c r="AG72" i="14"/>
  <c r="AB70" i="14"/>
  <c r="AA70" i="14"/>
  <c r="AA72" i="14" s="1"/>
  <c r="AH67" i="14"/>
  <c r="AG67" i="14"/>
  <c r="AB67" i="14"/>
  <c r="AA67" i="14"/>
  <c r="AA69" i="14" s="1"/>
  <c r="AA71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V52" i="14" l="1"/>
  <c r="X52" i="14" s="1"/>
  <c r="Y52" i="14" s="1"/>
  <c r="AW52" i="14"/>
  <c r="AG42" i="14"/>
  <c r="AG43" i="14" s="1"/>
  <c r="AJ41" i="14"/>
  <c r="AK41" i="14" s="1"/>
  <c r="W7" i="14"/>
  <c r="AT42" i="14"/>
  <c r="AB43" i="14"/>
  <c r="AP42" i="14"/>
  <c r="AQ42" i="14" s="1"/>
  <c r="AM43" i="14"/>
  <c r="AA43" i="14"/>
  <c r="AD42" i="14"/>
  <c r="AE42" i="14" s="1"/>
  <c r="V42" i="14" s="1"/>
  <c r="AJ43" i="14"/>
  <c r="AK43" i="14" s="1"/>
  <c r="AG44" i="14"/>
  <c r="AH42" i="14"/>
  <c r="AN42" i="14"/>
  <c r="AJ42" i="14"/>
  <c r="AK42" i="14" s="1"/>
  <c r="AS42" i="14"/>
  <c r="T34" i="14"/>
  <c r="T32" i="14"/>
  <c r="T26" i="14"/>
  <c r="R26" i="14"/>
  <c r="R27" i="14"/>
  <c r="R35" i="14" s="1"/>
  <c r="Q26" i="14"/>
  <c r="Q27" i="14"/>
  <c r="Q35" i="14" s="1"/>
  <c r="W28" i="14"/>
  <c r="U28" i="14"/>
  <c r="U32" i="14" s="1"/>
  <c r="AG28" i="14"/>
  <c r="AG32" i="14" s="1"/>
  <c r="AM28" i="14"/>
  <c r="AM32" i="14" s="1"/>
  <c r="U19" i="14"/>
  <c r="AH19" i="14" s="1"/>
  <c r="AH20" i="14" s="1"/>
  <c r="U25" i="14" s="1"/>
  <c r="W19" i="14"/>
  <c r="AA19" i="14"/>
  <c r="AD19" i="14" s="1"/>
  <c r="AE19" i="14" s="1"/>
  <c r="AG19" i="14"/>
  <c r="AJ19" i="14" s="1"/>
  <c r="AK19" i="14" s="1"/>
  <c r="AI19" i="14"/>
  <c r="AI20" i="14" s="1"/>
  <c r="AI22" i="14" s="1"/>
  <c r="V21" i="14"/>
  <c r="V24" i="14" s="1"/>
  <c r="V27" i="14" s="1"/>
  <c r="V35" i="14" s="1"/>
  <c r="AC19" i="14"/>
  <c r="AC20" i="14" s="1"/>
  <c r="AC22" i="14" s="1"/>
  <c r="AC25" i="14" s="1"/>
  <c r="T21" i="14"/>
  <c r="AM19" i="14"/>
  <c r="AP19" i="14" s="1"/>
  <c r="AQ19" i="14" s="1"/>
  <c r="AO19" i="14"/>
  <c r="AO20" i="14" s="1"/>
  <c r="AO22" i="14" s="1"/>
  <c r="AO25" i="14" s="1"/>
  <c r="AO28" i="14" s="1"/>
  <c r="AO32" i="14" s="1"/>
  <c r="V6" i="14"/>
  <c r="T6" i="14"/>
  <c r="W10" i="14"/>
  <c r="W13" i="14" s="1"/>
  <c r="W12" i="14"/>
  <c r="AC13" i="14"/>
  <c r="T8" i="14"/>
  <c r="T11" i="14" s="1"/>
  <c r="T14" i="14" s="1"/>
  <c r="U7" i="14"/>
  <c r="U10" i="14" s="1"/>
  <c r="U13" i="14" s="1"/>
  <c r="AG10" i="14"/>
  <c r="AM10" i="14"/>
  <c r="AI5" i="14"/>
  <c r="AI8" i="14" s="1"/>
  <c r="AO10" i="14"/>
  <c r="AI10" i="14"/>
  <c r="AJ10" i="14"/>
  <c r="AK10" i="14" s="1"/>
  <c r="AP10" i="14"/>
  <c r="AQ10" i="14" s="1"/>
  <c r="AD10" i="14"/>
  <c r="AE10" i="14" s="1"/>
  <c r="U12" i="14"/>
  <c r="AD11" i="14"/>
  <c r="U5" i="14"/>
  <c r="AI7" i="14"/>
  <c r="AI11" i="14" s="1"/>
  <c r="AJ7" i="14"/>
  <c r="AP4" i="14"/>
  <c r="T9" i="14"/>
  <c r="V11" i="14"/>
  <c r="V14" i="14" s="1"/>
  <c r="AG7" i="14"/>
  <c r="AG11" i="14" s="1"/>
  <c r="T10" i="14"/>
  <c r="AA7" i="14"/>
  <c r="AC7" i="14"/>
  <c r="AC11" i="14" s="1"/>
  <c r="AD4" i="14"/>
  <c r="AE4" i="14" s="1"/>
  <c r="AD5" i="14"/>
  <c r="AG5" i="14"/>
  <c r="AG8" i="14" s="1"/>
  <c r="AM4" i="14"/>
  <c r="AO4" i="14"/>
  <c r="AO5" i="14" s="1"/>
  <c r="AJ5" i="14"/>
  <c r="U4" i="14"/>
  <c r="U6" i="14" s="1"/>
  <c r="W4" i="14"/>
  <c r="AP5" i="14"/>
  <c r="AQ5" i="14" s="1"/>
  <c r="AM5" i="14"/>
  <c r="V9" i="14"/>
  <c r="AC4" i="14"/>
  <c r="AC5" i="14" s="1"/>
  <c r="AC8" i="14" s="1"/>
  <c r="AJ4" i="14"/>
  <c r="AK4" i="14" s="1"/>
  <c r="AA4" i="14"/>
  <c r="W5" i="14"/>
  <c r="AK111" i="14"/>
  <c r="AN111" i="14"/>
  <c r="AJ111" i="14"/>
  <c r="AD111" i="14"/>
  <c r="AM107" i="14"/>
  <c r="AD107" i="14"/>
  <c r="AE107" i="14"/>
  <c r="AE108" i="14" s="1"/>
  <c r="AE109" i="14" s="1"/>
  <c r="AE110" i="14" s="1"/>
  <c r="AE111" i="14" s="1"/>
  <c r="AA108" i="14"/>
  <c r="AA109" i="14" s="1"/>
  <c r="AA110" i="14" s="1"/>
  <c r="AC103" i="14"/>
  <c r="AC104" i="14" s="1"/>
  <c r="AJ107" i="14"/>
  <c r="AI104" i="14"/>
  <c r="AN104" i="14" s="1"/>
  <c r="AC108" i="14"/>
  <c r="AK107" i="14"/>
  <c r="AK108" i="14" s="1"/>
  <c r="AK109" i="14" s="1"/>
  <c r="AK110" i="14" s="1"/>
  <c r="AI108" i="14"/>
  <c r="AN108" i="14" s="1"/>
  <c r="AL143" i="14"/>
  <c r="AL144" i="14" s="1"/>
  <c r="AO145" i="14"/>
  <c r="AO146" i="14" s="1"/>
  <c r="AJ103" i="14"/>
  <c r="AE103" i="14"/>
  <c r="AE104" i="14" s="1"/>
  <c r="AE105" i="14" s="1"/>
  <c r="AE106" i="14" s="1"/>
  <c r="AK103" i="14"/>
  <c r="AK104" i="14" s="1"/>
  <c r="AK105" i="14" s="1"/>
  <c r="AK106" i="14" s="1"/>
  <c r="AE82" i="14"/>
  <c r="AQ139" i="14"/>
  <c r="AP154" i="14"/>
  <c r="AP155" i="14" s="1"/>
  <c r="AP156" i="14" s="1"/>
  <c r="AP157" i="14" s="1"/>
  <c r="AP158" i="14" s="1"/>
  <c r="AP159" i="14" s="1"/>
  <c r="AP160" i="14" s="1"/>
  <c r="AQ153" i="14"/>
  <c r="AL153" i="14"/>
  <c r="AL154" i="14" s="1"/>
  <c r="AL155" i="14" s="1"/>
  <c r="AM141" i="14"/>
  <c r="AM142" i="14" s="1"/>
  <c r="AM143" i="14" s="1"/>
  <c r="AM144" i="14" s="1"/>
  <c r="AM145" i="14" s="1"/>
  <c r="AM146" i="14" s="1"/>
  <c r="AM147" i="14" s="1"/>
  <c r="AM148" i="14" s="1"/>
  <c r="AN141" i="14"/>
  <c r="AN142" i="14" s="1"/>
  <c r="AN143" i="14" s="1"/>
  <c r="AN144" i="14" s="1"/>
  <c r="AN145" i="14" s="1"/>
  <c r="AN146" i="14" s="1"/>
  <c r="AN147" i="14" s="1"/>
  <c r="AN148" i="14" s="1"/>
  <c r="AP140" i="14"/>
  <c r="AK82" i="14"/>
  <c r="AC81" i="14"/>
  <c r="AC83" i="14" s="1"/>
  <c r="AA81" i="14"/>
  <c r="AA83" i="14" s="1"/>
  <c r="AE80" i="14"/>
  <c r="AE81" i="14" s="1"/>
  <c r="AE83" i="14" s="1"/>
  <c r="AK80" i="14"/>
  <c r="AK81" i="14" s="1"/>
  <c r="AK83" i="14" s="1"/>
  <c r="AQ73" i="14"/>
  <c r="BD68" i="14"/>
  <c r="BI68" i="14" s="1"/>
  <c r="BJ68" i="14" s="1"/>
  <c r="AS73" i="14"/>
  <c r="AV68" i="14"/>
  <c r="AK99" i="14"/>
  <c r="AE97" i="14"/>
  <c r="AK98" i="14"/>
  <c r="AE99" i="14"/>
  <c r="AE87" i="14"/>
  <c r="AE96" i="14"/>
  <c r="AK87" i="14"/>
  <c r="AE89" i="14"/>
  <c r="AK91" i="14"/>
  <c r="AK96" i="14"/>
  <c r="AK76" i="14"/>
  <c r="AN74" i="14" s="1"/>
  <c r="AY74" i="14" s="1"/>
  <c r="AZ74" i="14" s="1"/>
  <c r="AE76" i="14"/>
  <c r="AL74" i="14" s="1"/>
  <c r="AK72" i="14"/>
  <c r="AK67" i="14"/>
  <c r="AN67" i="14" s="1"/>
  <c r="AN68" i="14" s="1"/>
  <c r="AN69" i="14" s="1"/>
  <c r="AE67" i="14"/>
  <c r="AL67" i="14" s="1"/>
  <c r="AE70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AN43" i="14" l="1"/>
  <c r="AV42" i="14"/>
  <c r="AB19" i="14"/>
  <c r="U20" i="14" s="1"/>
  <c r="AB20" i="14" s="1"/>
  <c r="AB22" i="14" s="1"/>
  <c r="AI105" i="14"/>
  <c r="AN105" i="14" s="1"/>
  <c r="AJ104" i="14"/>
  <c r="AJ44" i="14"/>
  <c r="AK44" i="14" s="1"/>
  <c r="AG45" i="14"/>
  <c r="AJ45" i="14" s="1"/>
  <c r="AK45" i="14" s="1"/>
  <c r="V45" i="14" s="1"/>
  <c r="AN19" i="14"/>
  <c r="AN20" i="14" s="1"/>
  <c r="AN22" i="14" s="1"/>
  <c r="AV22" i="14" s="1"/>
  <c r="AP43" i="14"/>
  <c r="AQ43" i="14" s="1"/>
  <c r="AM44" i="14"/>
  <c r="AT43" i="14"/>
  <c r="AB44" i="14"/>
  <c r="AH43" i="14"/>
  <c r="AU42" i="14"/>
  <c r="U21" i="14"/>
  <c r="U24" i="14" s="1"/>
  <c r="U27" i="14" s="1"/>
  <c r="U35" i="14" s="1"/>
  <c r="AD43" i="14"/>
  <c r="AE43" i="14" s="1"/>
  <c r="V43" i="14" s="1"/>
  <c r="AA44" i="14"/>
  <c r="W32" i="14"/>
  <c r="V25" i="14"/>
  <c r="V29" i="14" s="1"/>
  <c r="V33" i="14" s="1"/>
  <c r="U29" i="14"/>
  <c r="U33" i="14" s="1"/>
  <c r="AN25" i="14"/>
  <c r="AI25" i="14"/>
  <c r="AI28" i="14" s="1"/>
  <c r="AU19" i="14"/>
  <c r="V31" i="14"/>
  <c r="AC28" i="14"/>
  <c r="AC32" i="14" s="1"/>
  <c r="U31" i="14"/>
  <c r="AP28" i="14"/>
  <c r="AP32" i="14" s="1"/>
  <c r="AJ28" i="14"/>
  <c r="AJ32" i="14" s="1"/>
  <c r="U22" i="14"/>
  <c r="AH22" i="14"/>
  <c r="AH7" i="14"/>
  <c r="AH11" i="14" s="1"/>
  <c r="AM20" i="14"/>
  <c r="AG20" i="14"/>
  <c r="AA20" i="14"/>
  <c r="T24" i="14"/>
  <c r="T27" i="14" s="1"/>
  <c r="T35" i="14" s="1"/>
  <c r="AB7" i="14"/>
  <c r="AB11" i="14" s="1"/>
  <c r="W21" i="14"/>
  <c r="W24" i="14" s="1"/>
  <c r="W27" i="14" s="1"/>
  <c r="W35" i="14" s="1"/>
  <c r="AT19" i="14"/>
  <c r="W9" i="14"/>
  <c r="W6" i="14"/>
  <c r="AQ4" i="14"/>
  <c r="AA11" i="14"/>
  <c r="T13" i="14"/>
  <c r="U8" i="14"/>
  <c r="U11" i="14" s="1"/>
  <c r="AH13" i="14"/>
  <c r="AB13" i="14"/>
  <c r="W8" i="14"/>
  <c r="AO14" i="14"/>
  <c r="AI14" i="14"/>
  <c r="AC14" i="14"/>
  <c r="AM14" i="14"/>
  <c r="AA14" i="14"/>
  <c r="AG14" i="14"/>
  <c r="AD14" i="14"/>
  <c r="AE14" i="14" s="1"/>
  <c r="AM12" i="14"/>
  <c r="AJ12" i="14"/>
  <c r="AA12" i="14"/>
  <c r="AD12" i="14"/>
  <c r="AP12" i="14"/>
  <c r="AQ12" i="14" s="1"/>
  <c r="AG12" i="14"/>
  <c r="AK7" i="14"/>
  <c r="AK11" i="14" s="1"/>
  <c r="AJ11" i="14"/>
  <c r="AI12" i="14"/>
  <c r="AO12" i="14"/>
  <c r="AC12" i="14"/>
  <c r="AN10" i="14"/>
  <c r="AB10" i="14"/>
  <c r="AH10" i="14"/>
  <c r="AK5" i="14"/>
  <c r="AJ8" i="14"/>
  <c r="AK8" i="14" s="1"/>
  <c r="AB4" i="14"/>
  <c r="U9" i="14"/>
  <c r="AH4" i="14"/>
  <c r="AN4" i="14"/>
  <c r="AE5" i="14"/>
  <c r="AD8" i="14"/>
  <c r="AE8" i="14" s="1"/>
  <c r="AE12" i="14" s="1"/>
  <c r="AN82" i="14"/>
  <c r="AY82" i="14" s="1"/>
  <c r="BF82" i="14" s="1"/>
  <c r="BG82" i="14" s="1"/>
  <c r="AL82" i="14"/>
  <c r="AO82" i="14" s="1"/>
  <c r="AM108" i="14"/>
  <c r="AD108" i="14"/>
  <c r="AM104" i="14"/>
  <c r="AD104" i="14"/>
  <c r="AM103" i="14"/>
  <c r="AD103" i="14"/>
  <c r="AJ108" i="14"/>
  <c r="AI109" i="14"/>
  <c r="AN109" i="14" s="1"/>
  <c r="AC109" i="14"/>
  <c r="AC105" i="14"/>
  <c r="AJ105" i="14"/>
  <c r="AI106" i="14"/>
  <c r="AQ155" i="14"/>
  <c r="AL156" i="14"/>
  <c r="AQ154" i="14"/>
  <c r="AN153" i="14"/>
  <c r="AM153" i="14"/>
  <c r="AM154" i="14" s="1"/>
  <c r="AM155" i="14" s="1"/>
  <c r="AM156" i="14" s="1"/>
  <c r="AM157" i="14" s="1"/>
  <c r="AM158" i="14" s="1"/>
  <c r="AM159" i="14" s="1"/>
  <c r="AM160" i="14" s="1"/>
  <c r="AP141" i="14"/>
  <c r="AP142" i="14" s="1"/>
  <c r="AQ142" i="14" s="1"/>
  <c r="AL145" i="14"/>
  <c r="AL146" i="14" s="1"/>
  <c r="AL147" i="14" s="1"/>
  <c r="AL148" i="14" s="1"/>
  <c r="AO147" i="14"/>
  <c r="AQ140" i="14"/>
  <c r="AN80" i="14"/>
  <c r="AN81" i="14" s="1"/>
  <c r="AL80" i="14"/>
  <c r="AL81" i="14" s="1"/>
  <c r="AY69" i="14"/>
  <c r="BF69" i="14" s="1"/>
  <c r="BG69" i="14" s="1"/>
  <c r="AN71" i="14"/>
  <c r="AW74" i="14"/>
  <c r="AO74" i="14"/>
  <c r="BF74" i="14"/>
  <c r="BG74" i="14" s="1"/>
  <c r="AV69" i="14"/>
  <c r="AV71" i="14" s="1"/>
  <c r="AV73" i="14" s="1"/>
  <c r="AU71" i="14"/>
  <c r="AU73" i="14" s="1"/>
  <c r="AO67" i="14"/>
  <c r="AO68" i="14" s="1"/>
  <c r="AL68" i="14"/>
  <c r="AL69" i="14" s="1"/>
  <c r="AW69" i="14" s="1"/>
  <c r="AX69" i="14" s="1"/>
  <c r="AV19" i="14" l="1"/>
  <c r="AV20" i="14"/>
  <c r="AS19" i="14"/>
  <c r="AD44" i="14"/>
  <c r="AE44" i="14" s="1"/>
  <c r="V44" i="14" s="1"/>
  <c r="AA45" i="14"/>
  <c r="AD45" i="14" s="1"/>
  <c r="AE45" i="14" s="1"/>
  <c r="AB45" i="14"/>
  <c r="AT44" i="14"/>
  <c r="AU43" i="14"/>
  <c r="AH44" i="14"/>
  <c r="AS43" i="14"/>
  <c r="AP44" i="14"/>
  <c r="AQ44" i="14" s="1"/>
  <c r="AM45" i="14"/>
  <c r="AP45" i="14" s="1"/>
  <c r="AQ45" i="14" s="1"/>
  <c r="AV43" i="14"/>
  <c r="AN44" i="14"/>
  <c r="AI32" i="14"/>
  <c r="AV25" i="14"/>
  <c r="AN28" i="14"/>
  <c r="AN32" i="14" s="1"/>
  <c r="AB25" i="14"/>
  <c r="AT25" i="14" s="1"/>
  <c r="AH25" i="14"/>
  <c r="X25" i="14"/>
  <c r="AS4" i="14"/>
  <c r="W31" i="14"/>
  <c r="T31" i="14"/>
  <c r="AV28" i="14"/>
  <c r="AQ28" i="14"/>
  <c r="AK28" i="14"/>
  <c r="AJ20" i="14"/>
  <c r="AG22" i="14"/>
  <c r="AP20" i="14"/>
  <c r="AM22" i="14"/>
  <c r="AD20" i="14"/>
  <c r="AA22" i="14"/>
  <c r="AA25" i="14" s="1"/>
  <c r="AT22" i="14"/>
  <c r="AB28" i="14"/>
  <c r="AB32" i="14" s="1"/>
  <c r="U23" i="14"/>
  <c r="U26" i="14" s="1"/>
  <c r="V20" i="14"/>
  <c r="X20" i="14" s="1"/>
  <c r="V22" i="14"/>
  <c r="AU20" i="14"/>
  <c r="AT20" i="14"/>
  <c r="AS20" i="14"/>
  <c r="W11" i="14"/>
  <c r="W14" i="14" s="1"/>
  <c r="U14" i="14"/>
  <c r="AH12" i="14"/>
  <c r="AU10" i="14" s="1"/>
  <c r="AN12" i="14"/>
  <c r="AV10" i="14" s="1"/>
  <c r="AJ13" i="14"/>
  <c r="AK13" i="14" s="1"/>
  <c r="AG13" i="14"/>
  <c r="AA13" i="14"/>
  <c r="AD13" i="14"/>
  <c r="AE13" i="14" s="1"/>
  <c r="AK12" i="14"/>
  <c r="AJ14" i="14"/>
  <c r="AK14" i="14" s="1"/>
  <c r="AN5" i="14"/>
  <c r="AV5" i="14" s="1"/>
  <c r="AV4" i="14"/>
  <c r="AH5" i="14"/>
  <c r="AU4" i="14"/>
  <c r="AZ82" i="14"/>
  <c r="AW82" i="14"/>
  <c r="BA82" i="14" s="1"/>
  <c r="BB82" i="14" s="1"/>
  <c r="AB5" i="14"/>
  <c r="AT4" i="14"/>
  <c r="AJ106" i="14"/>
  <c r="AN106" i="14"/>
  <c r="AM105" i="14"/>
  <c r="AD105" i="14"/>
  <c r="AM109" i="14"/>
  <c r="AD109" i="14"/>
  <c r="AI110" i="14"/>
  <c r="AJ109" i="14"/>
  <c r="AC110" i="14"/>
  <c r="AQ141" i="14"/>
  <c r="AO81" i="14"/>
  <c r="AC106" i="14"/>
  <c r="AQ156" i="14"/>
  <c r="AL157" i="14"/>
  <c r="AN154" i="14"/>
  <c r="AN155" i="14" s="1"/>
  <c r="AN156" i="14" s="1"/>
  <c r="AN157" i="14" s="1"/>
  <c r="AN158" i="14" s="1"/>
  <c r="AN159" i="14" s="1"/>
  <c r="AN160" i="14" s="1"/>
  <c r="AN161" i="14" s="1"/>
  <c r="AN162" i="14" s="1"/>
  <c r="AP143" i="14"/>
  <c r="AP144" i="14" s="1"/>
  <c r="AP145" i="14" s="1"/>
  <c r="AQ145" i="14" s="1"/>
  <c r="AO80" i="14"/>
  <c r="AZ69" i="14"/>
  <c r="AX74" i="14"/>
  <c r="BE74" i="14" s="1"/>
  <c r="BD74" i="14"/>
  <c r="BI74" i="14" s="1"/>
  <c r="BJ74" i="14" s="1"/>
  <c r="BA74" i="14"/>
  <c r="BB74" i="14" s="1"/>
  <c r="AN73" i="14"/>
  <c r="AY71" i="14"/>
  <c r="BD69" i="14"/>
  <c r="BI69" i="14" s="1"/>
  <c r="BJ69" i="14" s="1"/>
  <c r="AL71" i="14"/>
  <c r="AO69" i="14"/>
  <c r="AU44" i="14" l="1"/>
  <c r="AH45" i="14"/>
  <c r="AU45" i="14" s="1"/>
  <c r="AS44" i="14"/>
  <c r="AV44" i="14"/>
  <c r="AN45" i="14"/>
  <c r="AV45" i="14" s="1"/>
  <c r="AT32" i="14"/>
  <c r="AV32" i="14"/>
  <c r="AK32" i="14"/>
  <c r="AQ32" i="14"/>
  <c r="Y25" i="14"/>
  <c r="Y29" i="14" s="1"/>
  <c r="Y33" i="14" s="1"/>
  <c r="X29" i="14"/>
  <c r="X33" i="14" s="1"/>
  <c r="AU25" i="14"/>
  <c r="AH28" i="14"/>
  <c r="AH32" i="14" s="1"/>
  <c r="AM25" i="14"/>
  <c r="AG25" i="14"/>
  <c r="AJ25" i="14" s="1"/>
  <c r="AK25" i="14" s="1"/>
  <c r="AS25" i="14"/>
  <c r="AA28" i="14"/>
  <c r="U30" i="14"/>
  <c r="AT28" i="14"/>
  <c r="X22" i="14"/>
  <c r="V23" i="14"/>
  <c r="V26" i="14" s="1"/>
  <c r="AD22" i="14"/>
  <c r="AD25" i="14" s="1"/>
  <c r="AE25" i="14" s="1"/>
  <c r="AE20" i="14"/>
  <c r="AP22" i="14"/>
  <c r="AP25" i="14" s="1"/>
  <c r="AQ20" i="14"/>
  <c r="AJ22" i="14"/>
  <c r="AK20" i="14"/>
  <c r="AK22" i="14" s="1"/>
  <c r="AS22" i="14"/>
  <c r="AX82" i="14"/>
  <c r="BE82" i="14" s="1"/>
  <c r="BD82" i="14"/>
  <c r="BI82" i="14" s="1"/>
  <c r="BJ82" i="14" s="1"/>
  <c r="AN14" i="14"/>
  <c r="AV13" i="14" s="1"/>
  <c r="AB14" i="14"/>
  <c r="AT13" i="14" s="1"/>
  <c r="AH14" i="14"/>
  <c r="AU13" i="14" s="1"/>
  <c r="AH8" i="14"/>
  <c r="AU7" i="14" s="1"/>
  <c r="AU5" i="14"/>
  <c r="AB8" i="14"/>
  <c r="AB12" i="14" s="1"/>
  <c r="AT10" i="14" s="1"/>
  <c r="AS10" i="14" s="1"/>
  <c r="AT5" i="14"/>
  <c r="AS5" i="14"/>
  <c r="AM106" i="14"/>
  <c r="AD106" i="14"/>
  <c r="AM110" i="14"/>
  <c r="AD110" i="14"/>
  <c r="AJ110" i="14"/>
  <c r="AN110" i="14"/>
  <c r="AQ143" i="14"/>
  <c r="AQ157" i="14"/>
  <c r="AL158" i="14"/>
  <c r="AI161" i="14"/>
  <c r="AK161" i="14" s="1"/>
  <c r="AO161" i="14" s="1"/>
  <c r="AN163" i="14"/>
  <c r="AN164" i="14" s="1"/>
  <c r="AK159" i="14"/>
  <c r="AO159" i="14" s="1"/>
  <c r="AP146" i="14"/>
  <c r="AQ144" i="14"/>
  <c r="AW71" i="14"/>
  <c r="BA71" i="14" s="1"/>
  <c r="AO71" i="14"/>
  <c r="AL73" i="14"/>
  <c r="AO73" i="14" s="1"/>
  <c r="AZ71" i="14"/>
  <c r="AZ73" i="14" s="1"/>
  <c r="AY73" i="14"/>
  <c r="BF71" i="14"/>
  <c r="BA69" i="14"/>
  <c r="BB69" i="14" s="1"/>
  <c r="BE69" i="14"/>
  <c r="AS45" i="14" l="1"/>
  <c r="AU32" i="14"/>
  <c r="AS32" i="14" s="1"/>
  <c r="AD28" i="14"/>
  <c r="AA32" i="14"/>
  <c r="U34" i="14"/>
  <c r="AU28" i="14"/>
  <c r="AS28" i="14" s="1"/>
  <c r="AE22" i="14"/>
  <c r="AQ22" i="14"/>
  <c r="V30" i="14"/>
  <c r="V34" i="14" s="1"/>
  <c r="Y20" i="14"/>
  <c r="Y23" i="14" s="1"/>
  <c r="Y26" i="14" s="1"/>
  <c r="X23" i="14"/>
  <c r="X26" i="14" s="1"/>
  <c r="Y22" i="14"/>
  <c r="AS13" i="14"/>
  <c r="AT7" i="14"/>
  <c r="AS7" i="14" s="1"/>
  <c r="AQ158" i="14"/>
  <c r="AL159" i="14"/>
  <c r="AL160" i="14" s="1"/>
  <c r="AL161" i="14" s="1"/>
  <c r="AM161" i="14"/>
  <c r="AM162" i="14" s="1"/>
  <c r="AM163" i="14" s="1"/>
  <c r="AM164" i="14" s="1"/>
  <c r="AP161" i="14"/>
  <c r="AP162" i="14" s="1"/>
  <c r="AP163" i="14" s="1"/>
  <c r="AP164" i="14" s="1"/>
  <c r="AQ159" i="14"/>
  <c r="AP147" i="14"/>
  <c r="AP148" i="14" s="1"/>
  <c r="AQ148" i="14" s="1"/>
  <c r="AQ146" i="14"/>
  <c r="BG71" i="14"/>
  <c r="BG73" i="14" s="1"/>
  <c r="BF73" i="14"/>
  <c r="BB71" i="14"/>
  <c r="BB73" i="14" s="1"/>
  <c r="BA73" i="14"/>
  <c r="AX71" i="14"/>
  <c r="AW73" i="14"/>
  <c r="BD71" i="14"/>
  <c r="AE28" i="14" l="1"/>
  <c r="AE32" i="14" s="1"/>
  <c r="AD32" i="14"/>
  <c r="AQ25" i="14"/>
  <c r="Y30" i="14"/>
  <c r="X30" i="14"/>
  <c r="AQ160" i="14"/>
  <c r="AL162" i="14"/>
  <c r="AQ161" i="14"/>
  <c r="AQ147" i="14"/>
  <c r="BI71" i="14"/>
  <c r="BJ71" i="14" s="1"/>
  <c r="BD73" i="14"/>
  <c r="BI73" i="14" s="1"/>
  <c r="BJ73" i="14" s="1"/>
  <c r="BE71" i="14"/>
  <c r="BE73" i="14" s="1"/>
  <c r="AX73" i="14"/>
  <c r="X34" i="14" l="1"/>
  <c r="Y34" i="14"/>
  <c r="AQ162" i="14"/>
  <c r="AL163" i="14"/>
  <c r="AL164" i="14" s="1"/>
  <c r="AQ164" i="14" s="1"/>
  <c r="AQ163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D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S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D18" authorId="0" shapeId="0" xr:uid="{93DF1956-B28C-4516-942E-231A079AE22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18" authorId="0" shapeId="0" xr:uid="{1B2D91E6-1CBA-40C3-B01C-5783A6FD1B9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G25" authorId="0" shapeId="0" xr:uid="{C622133A-33D2-453F-A385-322E4DF8372E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Check the reconstructed walletid has propagated back to BuyA 8% allocation walletid</t>
        </r>
      </text>
    </comment>
    <comment ref="V40" authorId="0" shapeId="0" xr:uid="{0BAC0BE5-75BD-4AA3-BC77-040FD73D8B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The highest %2PT of all wallets</t>
        </r>
      </text>
    </comment>
    <comment ref="AD40" authorId="0" shapeId="0" xr:uid="{1C6869A7-DB27-4352-B2A0-A605E0CD1ED9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40" authorId="0" shapeId="0" xr:uid="{9AB5230F-6A5F-4576-B146-67E5F241B3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D50" authorId="0" shapeId="0" xr:uid="{7EDF3E15-F120-410D-A5D0-BA33CCD4472C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50" authorId="0" shapeId="0" xr:uid="{F1A52232-59AF-4865-9940-49E2A63C74F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Q68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68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68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68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68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68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D68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E68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F68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G68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H68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I68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J68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W69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69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69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69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69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69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Q82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82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82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82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82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82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W82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82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82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82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82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82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D124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E127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E128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<sst xmlns="http://schemas.openxmlformats.org/spreadsheetml/2006/main" count="1190" uniqueCount="247">
  <si>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</si>
  <si>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</si>
  <si>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</si>
  <si>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</si>
  <si>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</si>
  <si>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</si>
  <si>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</si>
  <si>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</si>
  <si>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</si>
  <si>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</si>
  <si>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</si>
  <si>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</si>
  <si>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</si>
  <si>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</si>
  <si>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</si>
  <si>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</si>
  <si>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</si>
  <si>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</si>
  <si>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</si>
  <si>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</si>
  <si>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</si>
  <si>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</si>
  <si>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</si>
  <si>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</si>
  <si>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</si>
  <si>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</si>
  <si>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</si>
  <si>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</si>
  <si>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</si>
  <si>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</si>
  <si>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</si>
  <si>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</si>
  <si>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</si>
  <si>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</si>
  <si>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</si>
  <si>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</si>
  <si>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</si>
  <si>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</si>
  <si>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</si>
  <si>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</si>
  <si>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</si>
  <si>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</si>
  <si>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</si>
  <si>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</si>
  <si>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</si>
  <si>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</si>
  <si>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</si>
  <si>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</si>
  <si>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</si>
  <si>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</si>
  <si>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</si>
  <si>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</si>
  <si>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</si>
  <si>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</si>
  <si>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</si>
  <si>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</si>
  <si>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</si>
  <si>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</si>
  <si>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</si>
  <si>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</si>
  <si>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</si>
  <si>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</si>
  <si>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</si>
  <si>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</si>
  <si>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</si>
  <si>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</si>
  <si>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</si>
  <si>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</si>
  <si>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</si>
  <si>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</si>
  <si>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</si>
  <si>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</si>
  <si>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</si>
  <si>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</si>
  <si>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</si>
  <si>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</si>
  <si>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</si>
  <si>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</si>
  <si>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</si>
  <si>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</si>
  <si>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</si>
  <si>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</si>
  <si>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</si>
  <si>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</si>
  <si>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</si>
  <si>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</si>
  <si>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</si>
  <si>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</si>
  <si>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</si>
  <si>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</si>
  <si>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</si>
  <si>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</si>
  <si>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</si>
  <si>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</si>
  <si>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</si>
  <si>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</si>
  <si>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</si>
  <si>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</si>
  <si>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</si>
  <si>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</si>
  <si>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</si>
  <si>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</si>
  <si>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</si>
  <si>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</si>
  <si>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</si>
  <si>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</si>
  <si>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</si>
  <si>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</si>
  <si>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</si>
  <si>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</si>
  <si>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</si>
  <si>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</si>
  <si>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</si>
  <si>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</si>
  <si>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</si>
  <si>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</si>
  <si>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</si>
  <si>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</si>
  <si>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</si>
  <si>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</si>
  <si>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</si>
  <si>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</si>
  <si>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</si>
  <si>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</si>
  <si>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</si>
  <si>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</si>
  <si>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</si>
  <si>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</si>
  <si>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</si>
  <si>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</si>
  <si>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</si>
  <si>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</si>
  <si>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</si>
  <si>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</si>
  <si>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</si>
  <si>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</si>
  <si>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</si>
  <si>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</si>
  <si>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</si>
  <si>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</si>
  <si>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</si>
  <si>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</si>
  <si>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</si>
  <si>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</si>
  <si>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</si>
  <si>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</si>
  <si>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</si>
  <si>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</si>
  <si>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</si>
  <si>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</si>
  <si>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</si>
  <si>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</si>
  <si>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</si>
  <si>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</si>
  <si>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</si>
  <si>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</si>
  <si>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</si>
  <si>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</si>
  <si>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</si>
  <si>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</si>
  <si>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</si>
  <si>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</si>
  <si>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</si>
  <si>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</si>
  <si>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</si>
  <si>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</si>
  <si>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</si>
  <si>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</si>
  <si>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</si>
  <si>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</si>
  <si>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</si>
  <si>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</si>
  <si>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</si>
  <si>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</si>
  <si>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</si>
  <si>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</si>
  <si>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</si>
  <si>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</si>
  <si>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</si>
  <si>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</si>
  <si>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</si>
  <si>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</si>
  <si>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</si>
  <si>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</si>
  <si>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</si>
  <si>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</si>
  <si>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</si>
  <si>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</si>
  <si>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</si>
  <si>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</si>
  <si>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</si>
  <si>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</si>
  <si>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</si>
  <si>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</si>
  <si>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</si>
  <si>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</si>
  <si>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</si>
  <si>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</si>
  <si>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</si>
  <si>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</si>
  <si>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</si>
  <si>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</si>
  <si>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</si>
  <si>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</si>
  <si>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</si>
  <si>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</si>
  <si>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</si>
  <si>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</si>
  <si>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</si>
  <si>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</si>
  <si>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</si>
  <si>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</si>
  <si>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</si>
  <si>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</si>
  <si>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</si>
  <si>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</si>
  <si>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</si>
  <si>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</si>
  <si>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</si>
  <si>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asset-sell-crud.spec.ts</t>
  </si>
  <si>
    <t>SellA</t>
  </si>
  <si>
    <t>Profit Target</t>
  </si>
  <si>
    <t>Inv/Amt</t>
  </si>
  <si>
    <t>SellB</t>
  </si>
  <si>
    <t>Del</t>
  </si>
  <si>
    <t>Del SellB</t>
  </si>
  <si>
    <t>Edit SellB</t>
  </si>
  <si>
    <t>Edit</t>
  </si>
  <si>
    <t>Expected: Dashboard Table</t>
  </si>
  <si>
    <t>E2E-Dashboard-Signals</t>
  </si>
  <si>
    <t>Last Buy</t>
  </si>
  <si>
    <t>5D Pullback</t>
  </si>
  <si>
    <t>Pullback</t>
  </si>
  <si>
    <t>%2PT</t>
  </si>
  <si>
    <t>Symbol</t>
  </si>
  <si>
    <t>dashboard-signals.spec.ts</t>
  </si>
  <si>
    <t>check PL when comm vs non-comm</t>
  </si>
  <si>
    <t>BTC has buy commission too</t>
  </si>
  <si>
    <t>PriceUpdateA</t>
  </si>
  <si>
    <t>PriceUpdateB</t>
  </si>
  <si>
    <t>UpdateC</t>
  </si>
  <si>
    <t>Overview</t>
  </si>
  <si>
    <t>Div, SPL and other transactions</t>
  </si>
  <si>
    <t>roic.spec.ts</t>
  </si>
  <si>
    <t>Mkt Val</t>
  </si>
  <si>
    <t>Peak OOP</t>
  </si>
  <si>
    <t>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</si>
</sst>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3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  <font>
      <sz val="10"/>
      <color rgb="FF00B050"/>
      <name val="Arial"/>
      <family val="2"/>
    </font>
    <font>
      <sz val="10"/>
      <name val="Arial"/>
      <family val="2"/>
    </font>
    <font>
      <sz val="10"/>
      <color rgb="FF9A57CD"/>
      <name val="Arial"/>
      <family val="2"/>
      <scheme val="minor"/>
    </font>
    <font>
      <sz val="10"/>
      <color theme="0" tint="-0.499984740745262"/>
      <name val="Arial"/>
      <family val="2"/>
    </font>
    <font>
      <sz val="10"/>
      <color theme="6"/>
      <name val="Arial"/>
      <family val="2"/>
    </font>
    <font>
      <strike/>
      <sz val="10"/>
      <color rgb="FF00B050"/>
      <name val="Arial"/>
      <family val="2"/>
    </font>
    <font>
      <b/>
      <sz val="1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11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11" fillId="0" borderId="0" xfId="0" applyFont="1" applyAlignment="1">
      <alignment wrapText="1"/>
    </xf>
    <xf numFmtId="10" fontId="3" fillId="3" borderId="0" xfId="1" quotePrefix="1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center"/>
    </xf>
    <xf numFmtId="164" fontId="3" fillId="3" borderId="0" xfId="0" quotePrefix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quotePrefix="1" applyNumberFormat="1" applyFont="1" applyAlignment="1">
      <alignment horizontal="center"/>
    </xf>
    <xf numFmtId="10" fontId="27" fillId="3" borderId="0" xfId="0" applyNumberFormat="1" applyFont="1" applyFill="1" applyAlignment="1">
      <alignment horizontal="right"/>
    </xf>
    <xf numFmtId="164" fontId="3" fillId="0" borderId="0" xfId="2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right"/>
    </xf>
    <xf numFmtId="165" fontId="3" fillId="0" borderId="0" xfId="0" quotePrefix="1" applyNumberFormat="1" applyFont="1" applyAlignment="1">
      <alignment horizontal="right"/>
    </xf>
    <xf numFmtId="10" fontId="3" fillId="0" borderId="0" xfId="1" quotePrefix="1" applyNumberFormat="1" applyFont="1" applyAlignment="1">
      <alignment horizontal="center"/>
    </xf>
    <xf numFmtId="10" fontId="3" fillId="0" borderId="0" xfId="1" quotePrefix="1" applyNumberFormat="1" applyFont="1" applyFill="1" applyAlignment="1">
      <alignment horizontal="center"/>
    </xf>
    <xf numFmtId="164" fontId="26" fillId="0" borderId="0" xfId="0" applyNumberFormat="1" applyFont="1" applyAlignment="1">
      <alignment horizontal="right"/>
    </xf>
    <xf numFmtId="166" fontId="26" fillId="0" borderId="0" xfId="0" applyNumberFormat="1" applyFont="1" applyAlignment="1">
      <alignment horizontal="right"/>
    </xf>
    <xf numFmtId="164" fontId="26" fillId="0" borderId="0" xfId="2" applyNumberFormat="1" applyFont="1" applyAlignment="1">
      <alignment horizontal="right"/>
    </xf>
    <xf numFmtId="164" fontId="27" fillId="0" borderId="0" xfId="0" applyNumberFormat="1" applyFont="1" applyAlignment="1">
      <alignment horizontal="right"/>
    </xf>
    <xf numFmtId="0" fontId="25" fillId="3" borderId="0" xfId="0" applyFont="1" applyFill="1"/>
    <xf numFmtId="8" fontId="25" fillId="3" borderId="0" xfId="0" applyNumberFormat="1" applyFont="1" applyFill="1"/>
    <xf numFmtId="10" fontId="26" fillId="3" borderId="0" xfId="0" applyNumberFormat="1" applyFont="1" applyFill="1" applyAlignment="1">
      <alignment horizontal="right"/>
    </xf>
    <xf numFmtId="10" fontId="25" fillId="3" borderId="0" xfId="0" applyNumberFormat="1" applyFont="1" applyFill="1"/>
    <xf numFmtId="166" fontId="7" fillId="3" borderId="0" xfId="0" applyNumberFormat="1" applyFont="1" applyFill="1" applyAlignment="1">
      <alignment horizontal="right"/>
    </xf>
    <xf numFmtId="164" fontId="27" fillId="3" borderId="0" xfId="0" applyNumberFormat="1" applyFont="1" applyFill="1" applyAlignment="1">
      <alignment horizontal="right"/>
    </xf>
    <xf numFmtId="2" fontId="11" fillId="3" borderId="0" xfId="0" applyNumberFormat="1" applyFont="1" applyFill="1"/>
    <xf numFmtId="49" fontId="26" fillId="3" borderId="0" xfId="0" applyNumberFormat="1" applyFont="1" applyFill="1"/>
    <xf numFmtId="164" fontId="26" fillId="3" borderId="0" xfId="0" applyNumberFormat="1" applyFont="1" applyFill="1" applyAlignment="1">
      <alignment horizontal="right"/>
    </xf>
    <xf numFmtId="166" fontId="26" fillId="3" borderId="0" xfId="0" applyNumberFormat="1" applyFont="1" applyFill="1" applyAlignment="1">
      <alignment horizontal="right"/>
    </xf>
    <xf numFmtId="164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0" fontId="10" fillId="0" borderId="0" xfId="1" applyNumberFormat="1" applyFont="1" applyFill="1" applyAlignment="1">
      <alignment horizontal="right"/>
    </xf>
    <xf numFmtId="164" fontId="3" fillId="0" borderId="0" xfId="0" applyNumberFormat="1" applyFont="1" applyAlignment="1">
      <alignment horizontal="center"/>
    </xf>
    <xf numFmtId="10" fontId="10" fillId="3" borderId="0" xfId="0" applyNumberFormat="1" applyFont="1" applyFill="1" applyAlignment="1">
      <alignment horizontal="right"/>
    </xf>
    <xf numFmtId="164" fontId="28" fillId="3" borderId="0" xfId="0" applyNumberFormat="1" applyFont="1" applyFill="1" applyAlignment="1">
      <alignment horizontal="right"/>
    </xf>
    <xf numFmtId="164" fontId="26" fillId="3" borderId="0" xfId="0" quotePrefix="1" applyNumberFormat="1" applyFont="1" applyFill="1" applyAlignment="1">
      <alignment horizontal="right"/>
    </xf>
    <xf numFmtId="10" fontId="26" fillId="3" borderId="0" xfId="1" quotePrefix="1" applyNumberFormat="1" applyFont="1" applyFill="1" applyAlignment="1">
      <alignment horizontal="right"/>
    </xf>
    <xf numFmtId="0" fontId="20" fillId="3" borderId="0" xfId="0" applyFont="1" applyFill="1"/>
    <xf numFmtId="0" fontId="8" fillId="9" borderId="0" xfId="0" applyFont="1" applyFill="1"/>
    <xf numFmtId="0" fontId="9" fillId="9" borderId="0" xfId="0" applyFont="1" applyFill="1"/>
    <xf numFmtId="164" fontId="29" fillId="0" borderId="0" xfId="0" applyNumberFormat="1" applyFont="1"/>
    <xf numFmtId="1" fontId="30" fillId="0" borderId="0" xfId="0" applyNumberFormat="1" applyFont="1" applyAlignment="1">
      <alignment horizontal="right"/>
    </xf>
    <xf numFmtId="0" fontId="11" fillId="3" borderId="0" xfId="0" applyFont="1" applyFill="1" applyAlignment="1">
      <alignment wrapText="1"/>
    </xf>
    <xf numFmtId="164" fontId="29" fillId="3" borderId="0" xfId="0" applyNumberFormat="1" applyFont="1" applyFill="1"/>
    <xf numFmtId="1" fontId="30" fillId="3" borderId="0" xfId="0" applyNumberFormat="1" applyFont="1" applyFill="1" applyAlignment="1">
      <alignment horizontal="right"/>
    </xf>
    <xf numFmtId="10" fontId="27" fillId="0" borderId="0" xfId="1" applyNumberFormat="1" applyFont="1" applyFill="1" applyAlignment="1">
      <alignment horizontal="right"/>
    </xf>
    <xf numFmtId="10" fontId="27" fillId="0" borderId="0" xfId="0" applyNumberFormat="1" applyFont="1" applyAlignment="1">
      <alignment horizontal="right"/>
    </xf>
    <xf numFmtId="10" fontId="27" fillId="3" borderId="0" xfId="1" applyNumberFormat="1" applyFont="1" applyFill="1" applyAlignment="1">
      <alignment horizontal="right"/>
    </xf>
    <xf numFmtId="10" fontId="31" fillId="3" borderId="0" xfId="0" applyNumberFormat="1" applyFont="1" applyFill="1" applyAlignment="1">
      <alignment horizontal="right"/>
    </xf>
    <xf numFmtId="10" fontId="31" fillId="3" borderId="0" xfId="1" applyNumberFormat="1" applyFont="1" applyFill="1" applyAlignment="1">
      <alignment horizontal="right"/>
    </xf>
    <xf numFmtId="10" fontId="28" fillId="0" borderId="0" xfId="1" applyNumberFormat="1" applyFont="1" applyAlignment="1">
      <alignment horizontal="right"/>
    </xf>
    <xf numFmtId="10" fontId="31" fillId="0" borderId="0" xfId="0" applyNumberFormat="1" applyFont="1" applyAlignment="1">
      <alignment horizontal="right"/>
    </xf>
    <xf numFmtId="10" fontId="31" fillId="0" borderId="0" xfId="1" applyNumberFormat="1" applyFont="1" applyFill="1" applyAlignment="1">
      <alignment horizontal="right"/>
    </xf>
    <xf numFmtId="164" fontId="26" fillId="0" borderId="0" xfId="2" applyNumberFormat="1" applyFont="1" applyFill="1" applyAlignment="1">
      <alignment horizontal="right"/>
    </xf>
    <xf numFmtId="10" fontId="32" fillId="0" borderId="0" xfId="0" applyNumberFormat="1" applyFont="1" applyAlignment="1">
      <alignment horizontal="right"/>
    </xf>
    <xf numFmtId="0" fontId="33" fillId="5" borderId="0" xfId="0" applyFont="1" applyFill="1" applyAlignment="1">
      <alignment wrapText="1"/>
    </xf>
    <xf numFmtId="0" fontId="8" fillId="10" borderId="0" xfId="0" applyFont="1" applyFill="1" applyAlignment="1">
      <alignment wrapText="1"/>
    </xf>
    <xf numFmtId="8" fontId="11" fillId="0" borderId="0" xfId="0" applyNumberFormat="1" applyFont="1"/>
    <xf numFmtId="10" fontId="10" fillId="0" borderId="0" xfId="0" applyNumberFormat="1" applyFont="1" applyAlignment="1">
      <alignment horizontal="right"/>
    </xf>
    <xf numFmtId="164" fontId="10" fillId="0" borderId="0" xfId="0" applyNumberFormat="1" applyFont="1"/>
    <xf numFmtId="9" fontId="3" fillId="0" borderId="0" xfId="1" applyFont="1" applyAlignment="1">
      <alignment horizontal="right"/>
    </xf>
    <xf numFmtId="0" fontId="20" fillId="0" borderId="0" xfId="0" applyFont="1" applyFill="1"/>
    <xf numFmtId="164" fontId="10" fillId="0" borderId="0" xfId="0" applyNumberFormat="1" applyFont="1" applyAlignment="1">
      <alignment horizontal="left"/>
    </xf>
    <xf numFmtId="164" fontId="11" fillId="0" borderId="0" xfId="0" applyNumberFormat="1" applyFont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A5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J164"/>
  <sheetViews>
    <sheetView tabSelected="1" topLeftCell="A38" workbookViewId="0">
      <selection activeCell="AV52" sqref="AV52"/>
    </sheetView>
  </sheetViews>
  <sheetFormatPr defaultColWidth="12.5703125" defaultRowHeight="15.75" customHeight="1" x14ac:dyDescent="0.2"/>
  <cols>
    <col min="1" max="1" width="13.2851562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9" width="6.5703125" customWidth="1"/>
    <col min="10" max="10" width="11.140625" customWidth="1"/>
    <col min="11" max="11" width="8.7109375" bestFit="1" customWidth="1"/>
    <col min="12" max="12" width="8.140625" bestFit="1" customWidth="1"/>
    <col min="13" max="14" width="8.28515625" bestFit="1" customWidth="1"/>
    <col min="15" max="15" width="8.7109375" bestFit="1" customWidth="1"/>
    <col min="16" max="16" width="6.42578125" customWidth="1"/>
    <col min="17" max="17" width="11.140625" customWidth="1"/>
    <col min="18" max="18" width="8.7109375" bestFit="1" customWidth="1"/>
    <col min="19" max="19" width="11.42578125" customWidth="1"/>
    <col min="20" max="20" width="8.85546875" customWidth="1"/>
    <col min="21" max="21" width="8.5703125" bestFit="1" customWidth="1"/>
    <col min="22" max="22" width="7.5703125" bestFit="1" customWidth="1"/>
    <col min="23" max="23" width="8" customWidth="1"/>
    <col min="24" max="24" width="7.5703125" bestFit="1" customWidth="1"/>
    <col min="25" max="25" width="7.85546875" bestFit="1" customWidth="1"/>
    <col min="26" max="26" width="4.85546875" customWidth="1"/>
    <col min="27" max="27" width="7.28515625" customWidth="1"/>
    <col min="28" max="28" width="8.42578125" customWidth="1"/>
    <col min="29" max="29" width="8.140625" customWidth="1"/>
    <col min="30" max="30" width="8.5703125" customWidth="1"/>
    <col min="31" max="31" width="7.7109375" customWidth="1"/>
    <col min="32" max="32" width="6.7109375" bestFit="1" customWidth="1"/>
    <col min="33" max="33" width="7.85546875" customWidth="1"/>
    <col min="34" max="34" width="9" customWidth="1"/>
    <col min="35" max="35" width="7.85546875" customWidth="1"/>
    <col min="36" max="36" width="9.140625" customWidth="1"/>
    <col min="37" max="37" width="7.85546875" customWidth="1"/>
    <col min="38" max="38" width="9.85546875" bestFit="1" customWidth="1"/>
    <col min="39" max="39" width="7.7109375" customWidth="1"/>
    <col min="40" max="40" width="8.5703125" bestFit="1" customWidth="1"/>
    <col min="41" max="41" width="8.140625" customWidth="1"/>
    <col min="42" max="42" width="9.7109375" bestFit="1" customWidth="1"/>
    <col min="43" max="43" width="7.5703125" customWidth="1"/>
    <col min="44" max="44" width="5.5703125" bestFit="1" customWidth="1"/>
    <col min="45" max="45" width="8.85546875" bestFit="1" customWidth="1"/>
    <col min="46" max="46" width="8.28515625" customWidth="1"/>
    <col min="47" max="47" width="7.42578125" bestFit="1" customWidth="1"/>
    <col min="48" max="48" width="8.7109375" bestFit="1" customWidth="1"/>
    <col min="49" max="49" width="14.5703125" bestFit="1" customWidth="1"/>
    <col min="50" max="50" width="8.28515625" bestFit="1" customWidth="1"/>
    <col min="51" max="51" width="8.140625" bestFit="1" customWidth="1"/>
    <col min="52" max="52" width="8.28515625" bestFit="1" customWidth="1"/>
    <col min="53" max="53" width="9.7109375" bestFit="1" customWidth="1"/>
    <col min="54" max="54" width="8.28515625" bestFit="1" customWidth="1"/>
    <col min="55" max="55" width="4.7109375" customWidth="1"/>
    <col min="56" max="56" width="14" bestFit="1" customWidth="1"/>
    <col min="57" max="57" width="8.28515625" bestFit="1" customWidth="1"/>
    <col min="58" max="58" width="8.140625" bestFit="1" customWidth="1"/>
    <col min="59" max="59" width="8.28515625" bestFit="1" customWidth="1"/>
    <col min="60" max="60" width="8.5703125" bestFit="1" customWidth="1"/>
    <col min="61" max="61" width="9.7109375" bestFit="1" customWidth="1"/>
    <col min="62" max="62" width="9.28515625" bestFit="1" customWidth="1"/>
  </cols>
  <sheetData>
    <row r="1" spans="1:48" ht="12.75" x14ac:dyDescent="0.2">
      <c r="A1" s="66" t="s">
        <v>214</v>
      </c>
    </row>
    <row r="2" spans="1:48" ht="12.75" x14ac:dyDescent="0.2">
      <c r="B2" s="45" t="s">
        <v>204</v>
      </c>
      <c r="C2" s="109"/>
      <c r="I2" s="45" t="s">
        <v>202</v>
      </c>
      <c r="Q2" s="45" t="s">
        <v>203</v>
      </c>
      <c r="S2" s="12"/>
      <c r="T2" s="12"/>
      <c r="U2" s="12"/>
      <c r="V2" s="12"/>
      <c r="W2" s="12"/>
      <c r="X2" s="12"/>
      <c r="Y2" s="12"/>
      <c r="Z2" s="12"/>
      <c r="AA2" s="130" t="s">
        <v>205</v>
      </c>
      <c r="AB2" s="46"/>
      <c r="AC2" s="46"/>
      <c r="AD2" s="46"/>
      <c r="AE2" s="46"/>
      <c r="AF2" s="46"/>
      <c r="AG2" s="130" t="s">
        <v>207</v>
      </c>
      <c r="AH2" s="46"/>
      <c r="AI2" s="46"/>
      <c r="AJ2" s="46"/>
      <c r="AK2" s="46"/>
      <c r="AL2" s="45"/>
      <c r="AM2" s="130" t="s">
        <v>208</v>
      </c>
      <c r="AN2" s="12"/>
      <c r="AO2" s="12"/>
      <c r="AP2" s="12"/>
      <c r="AQ2" s="12"/>
      <c r="AS2" s="130" t="s">
        <v>206</v>
      </c>
    </row>
    <row r="3" spans="1:48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101"/>
      <c r="I3" s="28" t="s">
        <v>76</v>
      </c>
      <c r="J3" s="28" t="s">
        <v>4</v>
      </c>
      <c r="K3" s="57" t="s">
        <v>0</v>
      </c>
      <c r="L3" s="57" t="s">
        <v>1</v>
      </c>
      <c r="M3" s="28" t="s">
        <v>191</v>
      </c>
      <c r="N3" s="28" t="s">
        <v>192</v>
      </c>
      <c r="O3" s="28" t="s">
        <v>193</v>
      </c>
      <c r="Q3" s="28"/>
      <c r="R3" s="28" t="s">
        <v>76</v>
      </c>
      <c r="S3" s="28" t="s">
        <v>4</v>
      </c>
      <c r="T3" s="57" t="s">
        <v>0</v>
      </c>
      <c r="U3" s="28" t="s">
        <v>62</v>
      </c>
      <c r="V3" s="57" t="s">
        <v>222</v>
      </c>
      <c r="W3" s="57" t="s">
        <v>190</v>
      </c>
      <c r="X3" s="57" t="s">
        <v>194</v>
      </c>
      <c r="Y3" s="28" t="s">
        <v>195</v>
      </c>
      <c r="Z3" s="12"/>
      <c r="AA3" s="28" t="s">
        <v>0</v>
      </c>
      <c r="AB3" s="28" t="s">
        <v>196</v>
      </c>
      <c r="AC3" s="57" t="s">
        <v>1</v>
      </c>
      <c r="AD3" s="57" t="s">
        <v>197</v>
      </c>
      <c r="AE3" s="57" t="s">
        <v>198</v>
      </c>
      <c r="AF3" s="60"/>
      <c r="AG3" s="28" t="s">
        <v>0</v>
      </c>
      <c r="AH3" s="28" t="s">
        <v>196</v>
      </c>
      <c r="AI3" s="57" t="s">
        <v>1</v>
      </c>
      <c r="AJ3" s="57" t="s">
        <v>197</v>
      </c>
      <c r="AK3" s="57" t="s">
        <v>198</v>
      </c>
      <c r="AM3" s="28" t="s">
        <v>0</v>
      </c>
      <c r="AN3" s="28" t="s">
        <v>196</v>
      </c>
      <c r="AO3" s="57" t="s">
        <v>1</v>
      </c>
      <c r="AP3" s="57" t="s">
        <v>197</v>
      </c>
      <c r="AQ3" s="57" t="s">
        <v>198</v>
      </c>
      <c r="AS3" s="57" t="s">
        <v>199</v>
      </c>
      <c r="AT3" s="28" t="s">
        <v>191</v>
      </c>
      <c r="AU3" s="28" t="s">
        <v>192</v>
      </c>
      <c r="AV3" s="28" t="s">
        <v>193</v>
      </c>
    </row>
    <row r="4" spans="1:48" ht="12.75" x14ac:dyDescent="0.2">
      <c r="A4" s="45" t="s">
        <v>200</v>
      </c>
      <c r="B4" s="52">
        <v>100</v>
      </c>
      <c r="C4" s="54">
        <v>0.02</v>
      </c>
      <c r="D4" s="124">
        <v>0.04</v>
      </c>
      <c r="E4" s="95">
        <v>0.08</v>
      </c>
      <c r="F4" s="95">
        <v>0.16</v>
      </c>
      <c r="G4" s="95">
        <v>0.01</v>
      </c>
      <c r="H4" s="95"/>
      <c r="I4" s="133" t="s">
        <v>75</v>
      </c>
      <c r="J4" s="133" t="s">
        <v>78</v>
      </c>
      <c r="K4" s="52">
        <v>100</v>
      </c>
      <c r="L4" s="52">
        <v>200</v>
      </c>
      <c r="M4" s="124">
        <v>0.5</v>
      </c>
      <c r="N4" s="95">
        <v>0.3</v>
      </c>
      <c r="O4" s="95">
        <v>0.2</v>
      </c>
      <c r="Q4" s="45" t="s">
        <v>216</v>
      </c>
      <c r="R4" s="45" t="s">
        <v>75</v>
      </c>
      <c r="S4" s="131" t="s">
        <v>78</v>
      </c>
      <c r="T4" s="122">
        <f>K4</f>
        <v>100</v>
      </c>
      <c r="U4" s="30">
        <f>V4/T4</f>
        <v>2</v>
      </c>
      <c r="V4" s="122">
        <f>L4</f>
        <v>200</v>
      </c>
      <c r="W4" s="122">
        <f>T4 * (1 - ABS(C4))</f>
        <v>98</v>
      </c>
      <c r="X4" s="152" t="s">
        <v>34</v>
      </c>
      <c r="Y4" s="152" t="s">
        <v>34</v>
      </c>
      <c r="Z4" s="12"/>
      <c r="AA4" s="122">
        <f>T4</f>
        <v>100</v>
      </c>
      <c r="AB4" s="30">
        <f>U4*M4</f>
        <v>1</v>
      </c>
      <c r="AC4" s="123">
        <f>V4*M4</f>
        <v>100</v>
      </c>
      <c r="AD4" s="123">
        <f>T4 * (1 + D4) / (1 - G4)</f>
        <v>105.05050505050505</v>
      </c>
      <c r="AE4" s="124">
        <f>(B4 - AD4) / AD4</f>
        <v>-4.8076923076923087E-2</v>
      </c>
      <c r="AF4" s="30"/>
      <c r="AG4" s="122">
        <f>T4</f>
        <v>100</v>
      </c>
      <c r="AH4" s="30">
        <f>U4*N4</f>
        <v>0.6</v>
      </c>
      <c r="AI4" s="123">
        <f>V4*N4</f>
        <v>60</v>
      </c>
      <c r="AJ4" s="123">
        <f>T4 * (1 + E4) / (1 - G4)</f>
        <v>109.09090909090909</v>
      </c>
      <c r="AK4" s="124">
        <f>(B4 - AJ4) / AJ4</f>
        <v>-8.3333333333333356E-2</v>
      </c>
      <c r="AM4" s="122">
        <f>T4</f>
        <v>100</v>
      </c>
      <c r="AN4" s="30">
        <f>U4*O4</f>
        <v>0.4</v>
      </c>
      <c r="AO4" s="123">
        <f>V4*O4</f>
        <v>40</v>
      </c>
      <c r="AP4" s="123">
        <f>T4 * (1 + F4) / (1 - G4)</f>
        <v>117.17171717171716</v>
      </c>
      <c r="AQ4" s="124">
        <f>(B4 - AP4) / AP4</f>
        <v>-0.14655172413793097</v>
      </c>
      <c r="AS4" s="32">
        <f>AB4+AH4+AN4</f>
        <v>2</v>
      </c>
      <c r="AT4" s="32">
        <f>AB4</f>
        <v>1</v>
      </c>
      <c r="AU4" s="32">
        <f>AH4</f>
        <v>0.6</v>
      </c>
      <c r="AV4" s="32">
        <f>AN4</f>
        <v>0.4</v>
      </c>
    </row>
    <row r="5" spans="1:48" ht="12.75" x14ac:dyDescent="0.2">
      <c r="A5" s="47" t="s">
        <v>210</v>
      </c>
      <c r="B5" s="40">
        <v>100</v>
      </c>
      <c r="C5" s="55">
        <v>0.02</v>
      </c>
      <c r="D5" s="129">
        <v>0.04</v>
      </c>
      <c r="E5" s="125">
        <v>0.08</v>
      </c>
      <c r="F5" s="125">
        <v>0.16</v>
      </c>
      <c r="G5" s="125">
        <v>0.01</v>
      </c>
      <c r="H5" s="125"/>
      <c r="I5" s="134" t="s">
        <v>75</v>
      </c>
      <c r="J5" s="134" t="s">
        <v>211</v>
      </c>
      <c r="K5" s="40">
        <v>100</v>
      </c>
      <c r="L5" s="40">
        <v>300</v>
      </c>
      <c r="M5" s="129">
        <v>0.5</v>
      </c>
      <c r="N5" s="125">
        <v>0.25</v>
      </c>
      <c r="O5" s="125">
        <v>0.25</v>
      </c>
      <c r="P5" s="35"/>
      <c r="Q5" s="47" t="s">
        <v>217</v>
      </c>
      <c r="R5" s="47" t="s">
        <v>75</v>
      </c>
      <c r="S5" s="132" t="s">
        <v>211</v>
      </c>
      <c r="T5" s="126">
        <f>K5</f>
        <v>100</v>
      </c>
      <c r="U5" s="43">
        <f>V5/T5</f>
        <v>3</v>
      </c>
      <c r="V5" s="126">
        <f>L5</f>
        <v>300</v>
      </c>
      <c r="W5" s="126">
        <f>T5 * (1 - ABS(C5))</f>
        <v>98</v>
      </c>
      <c r="X5" s="153" t="s">
        <v>34</v>
      </c>
      <c r="Y5" s="153" t="s">
        <v>34</v>
      </c>
      <c r="Z5" s="41"/>
      <c r="AA5" s="126">
        <f>T5</f>
        <v>100</v>
      </c>
      <c r="AB5" s="43">
        <f>AB4+(U5*M5)</f>
        <v>2.5</v>
      </c>
      <c r="AC5" s="128">
        <f>AC4+(V5*M5)</f>
        <v>250</v>
      </c>
      <c r="AD5" s="128">
        <f>T5 * (1 + D5) / (1 - G5)</f>
        <v>105.05050505050505</v>
      </c>
      <c r="AE5" s="129">
        <f>(B5 - AD5) / AD5</f>
        <v>-4.8076923076923087E-2</v>
      </c>
      <c r="AF5" s="43"/>
      <c r="AG5" s="126">
        <f>T5</f>
        <v>100</v>
      </c>
      <c r="AH5" s="43">
        <f>AH4+(U5*N5)</f>
        <v>1.35</v>
      </c>
      <c r="AI5" s="128">
        <f>AI4+(V5*N5)</f>
        <v>135</v>
      </c>
      <c r="AJ5" s="128">
        <f>T5 * (1 + E5) / (1 - G5)</f>
        <v>109.09090909090909</v>
      </c>
      <c r="AK5" s="129">
        <f>(B5 - AJ5) / AJ5</f>
        <v>-8.3333333333333356E-2</v>
      </c>
      <c r="AL5" s="35"/>
      <c r="AM5" s="126">
        <f>T5</f>
        <v>100</v>
      </c>
      <c r="AN5" s="43">
        <f>AN4+(U5*O5)</f>
        <v>1.1499999999999999</v>
      </c>
      <c r="AO5" s="128">
        <f>AO4+(V5*O5)</f>
        <v>115</v>
      </c>
      <c r="AP5" s="128">
        <f>T5 * (1 + F5) / (1 - G5)</f>
        <v>117.17171717171716</v>
      </c>
      <c r="AQ5" s="129">
        <f>(B5 - AP5) / AP5</f>
        <v>-0.14655172413793097</v>
      </c>
      <c r="AR5" s="35"/>
      <c r="AS5" s="39">
        <f>AB5+AH5+AN5</f>
        <v>5</v>
      </c>
      <c r="AT5" s="39">
        <f>AB5</f>
        <v>2.5</v>
      </c>
      <c r="AU5" s="39">
        <f>AH5</f>
        <v>1.35</v>
      </c>
      <c r="AV5" s="39">
        <f>AN5</f>
        <v>1.1499999999999999</v>
      </c>
    </row>
    <row r="6" spans="1:48" ht="12.75" x14ac:dyDescent="0.2">
      <c r="A6" s="47"/>
      <c r="B6" s="40"/>
      <c r="C6" s="55"/>
      <c r="D6" s="129"/>
      <c r="E6" s="125"/>
      <c r="F6" s="125"/>
      <c r="G6" s="125"/>
      <c r="H6" s="125"/>
      <c r="I6" s="134"/>
      <c r="J6" s="134"/>
      <c r="K6" s="40"/>
      <c r="L6" s="40"/>
      <c r="M6" s="129"/>
      <c r="N6" s="125"/>
      <c r="O6" s="125"/>
      <c r="P6" s="35"/>
      <c r="Q6" s="47" t="s">
        <v>216</v>
      </c>
      <c r="R6" s="47" t="s">
        <v>75</v>
      </c>
      <c r="S6" s="132" t="s">
        <v>78</v>
      </c>
      <c r="T6" s="126">
        <f>T4</f>
        <v>100</v>
      </c>
      <c r="U6" s="43">
        <f>U4</f>
        <v>2</v>
      </c>
      <c r="V6" s="126">
        <f>V4</f>
        <v>200</v>
      </c>
      <c r="W6" s="126">
        <f>W4</f>
        <v>98</v>
      </c>
      <c r="X6" s="153"/>
      <c r="Y6" s="153"/>
      <c r="Z6" s="41"/>
      <c r="AA6" s="126"/>
      <c r="AB6" s="43"/>
      <c r="AC6" s="128"/>
      <c r="AD6" s="128"/>
      <c r="AE6" s="129"/>
      <c r="AF6" s="43"/>
      <c r="AG6" s="126"/>
      <c r="AH6" s="43"/>
      <c r="AI6" s="128"/>
      <c r="AJ6" s="128"/>
      <c r="AK6" s="129"/>
      <c r="AL6" s="35"/>
      <c r="AM6" s="126"/>
      <c r="AN6" s="43"/>
      <c r="AO6" s="128"/>
      <c r="AP6" s="128"/>
      <c r="AQ6" s="129"/>
      <c r="AR6" s="35"/>
      <c r="AS6" s="39"/>
      <c r="AT6" s="39"/>
      <c r="AU6" s="39"/>
      <c r="AV6" s="39"/>
    </row>
    <row r="7" spans="1:48" ht="12.75" x14ac:dyDescent="0.2">
      <c r="A7" s="45" t="s">
        <v>201</v>
      </c>
      <c r="B7" s="52">
        <v>120</v>
      </c>
      <c r="C7" s="54">
        <v>0.02</v>
      </c>
      <c r="D7" s="124">
        <v>0.04</v>
      </c>
      <c r="E7" s="95">
        <v>0.08</v>
      </c>
      <c r="F7" s="95">
        <v>0.16</v>
      </c>
      <c r="G7" s="95">
        <v>0.01</v>
      </c>
      <c r="H7" s="95"/>
      <c r="I7" s="133" t="s">
        <v>75</v>
      </c>
      <c r="J7" s="133" t="s">
        <v>215</v>
      </c>
      <c r="K7" s="52">
        <v>120</v>
      </c>
      <c r="L7" s="52">
        <v>400</v>
      </c>
      <c r="M7" s="124">
        <v>0.5</v>
      </c>
      <c r="N7" s="95">
        <v>0.5</v>
      </c>
      <c r="O7" s="95">
        <v>0</v>
      </c>
      <c r="Q7" s="45" t="s">
        <v>218</v>
      </c>
      <c r="R7" s="45" t="s">
        <v>75</v>
      </c>
      <c r="S7" s="130" t="s">
        <v>215</v>
      </c>
      <c r="T7" s="122">
        <f>K7</f>
        <v>120</v>
      </c>
      <c r="U7" s="30">
        <f>V7/T7</f>
        <v>3.3333333333333335</v>
      </c>
      <c r="V7" s="122">
        <f>L7</f>
        <v>400</v>
      </c>
      <c r="W7" s="122">
        <f>T7 * (1 - ABS(C7))</f>
        <v>117.6</v>
      </c>
      <c r="X7" s="152" t="s">
        <v>34</v>
      </c>
      <c r="Y7" s="152" t="s">
        <v>34</v>
      </c>
      <c r="Z7" s="12"/>
      <c r="AA7" s="122">
        <f>T7</f>
        <v>120</v>
      </c>
      <c r="AB7" s="30">
        <f>U7*M7</f>
        <v>1.6666666666666667</v>
      </c>
      <c r="AC7" s="123">
        <f>V7*M7</f>
        <v>200</v>
      </c>
      <c r="AD7" s="123">
        <f>T7 * (1 + D7) / (1 - G7)</f>
        <v>126.06060606060608</v>
      </c>
      <c r="AE7" s="124">
        <f>(B7 - AD7) / AD7</f>
        <v>-4.8076923076923198E-2</v>
      </c>
      <c r="AF7" s="30"/>
      <c r="AG7" s="122">
        <f>T7</f>
        <v>120</v>
      </c>
      <c r="AH7" s="30">
        <f>U7*M7</f>
        <v>1.6666666666666667</v>
      </c>
      <c r="AI7" s="123">
        <f>V7*M7</f>
        <v>200</v>
      </c>
      <c r="AJ7" s="123">
        <f>T7 * (1 + E7) / (1 - G7)</f>
        <v>130.90909090909093</v>
      </c>
      <c r="AK7" s="124">
        <f>(B7 - AJ7) / AJ7</f>
        <v>-8.3333333333333509E-2</v>
      </c>
      <c r="AM7" s="122">
        <v>100</v>
      </c>
      <c r="AN7" s="30">
        <v>1.1499999999999999</v>
      </c>
      <c r="AO7" s="123">
        <v>115</v>
      </c>
      <c r="AP7" s="123">
        <v>117.17171717171716</v>
      </c>
      <c r="AQ7" s="124">
        <f>(B7 - AP7) / AP7</f>
        <v>2.4137931034482842E-2</v>
      </c>
      <c r="AS7" s="32">
        <f>AT7+AU7+AV7</f>
        <v>8.3333333333333339</v>
      </c>
      <c r="AT7" s="32">
        <f>AB8+AB7</f>
        <v>4.166666666666667</v>
      </c>
      <c r="AU7" s="32">
        <f>AH7+AH8</f>
        <v>3.0166666666666666</v>
      </c>
      <c r="AV7" s="32">
        <f>AN7</f>
        <v>1.1499999999999999</v>
      </c>
    </row>
    <row r="8" spans="1:48" ht="12.75" x14ac:dyDescent="0.2">
      <c r="B8" s="52"/>
      <c r="C8" s="95"/>
      <c r="H8" s="95"/>
      <c r="I8" s="95"/>
      <c r="J8" s="95"/>
      <c r="K8" s="52"/>
      <c r="L8" s="52"/>
      <c r="M8" s="95"/>
      <c r="N8" s="95"/>
      <c r="O8" s="95"/>
      <c r="Q8" s="46" t="s">
        <v>217</v>
      </c>
      <c r="R8" s="46" t="s">
        <v>75</v>
      </c>
      <c r="S8" s="130" t="s">
        <v>211</v>
      </c>
      <c r="T8" s="122">
        <f>T5</f>
        <v>100</v>
      </c>
      <c r="U8" s="30">
        <f>U5</f>
        <v>3</v>
      </c>
      <c r="V8" s="122">
        <f>V5</f>
        <v>300</v>
      </c>
      <c r="W8" s="122">
        <f>W5</f>
        <v>98</v>
      </c>
      <c r="X8" s="152" t="s">
        <v>34</v>
      </c>
      <c r="Y8" s="152" t="s">
        <v>34</v>
      </c>
      <c r="Z8" s="12"/>
      <c r="AA8" s="122">
        <f>AA5</f>
        <v>100</v>
      </c>
      <c r="AB8" s="30">
        <f>AB5</f>
        <v>2.5</v>
      </c>
      <c r="AC8" s="123">
        <f>AC5</f>
        <v>250</v>
      </c>
      <c r="AD8" s="123">
        <f>AD5</f>
        <v>105.05050505050505</v>
      </c>
      <c r="AE8" s="124">
        <f>(B7 - AD8) / AD8</f>
        <v>0.1423076923076923</v>
      </c>
      <c r="AF8" s="30"/>
      <c r="AG8" s="63">
        <f>AG5</f>
        <v>100</v>
      </c>
      <c r="AH8" s="32">
        <f>AH5</f>
        <v>1.35</v>
      </c>
      <c r="AI8" s="63">
        <f>AI5</f>
        <v>135</v>
      </c>
      <c r="AJ8" s="63">
        <f>AJ5</f>
        <v>109.09090909090909</v>
      </c>
      <c r="AK8" s="54">
        <f>(B10 - AJ8) / AJ8</f>
        <v>9.9999999999999978E-2</v>
      </c>
      <c r="AM8" s="152" t="s">
        <v>34</v>
      </c>
      <c r="AN8" s="155" t="s">
        <v>34</v>
      </c>
      <c r="AO8" s="155" t="s">
        <v>34</v>
      </c>
      <c r="AP8" s="155" t="s">
        <v>34</v>
      </c>
      <c r="AQ8" s="155" t="s">
        <v>34</v>
      </c>
    </row>
    <row r="9" spans="1:48" ht="12.75" x14ac:dyDescent="0.2">
      <c r="B9" s="52"/>
      <c r="C9" s="95"/>
      <c r="D9" s="29"/>
      <c r="E9" s="50"/>
      <c r="G9" s="50"/>
      <c r="H9" s="50"/>
      <c r="I9" s="50"/>
      <c r="J9" s="50"/>
      <c r="K9" s="52"/>
      <c r="L9" s="52"/>
      <c r="M9" s="50"/>
      <c r="N9" s="50"/>
      <c r="O9" s="50"/>
      <c r="Q9" s="46" t="s">
        <v>216</v>
      </c>
      <c r="R9" s="46" t="s">
        <v>75</v>
      </c>
      <c r="S9" s="130" t="s">
        <v>78</v>
      </c>
      <c r="T9" s="122">
        <f>T4</f>
        <v>100</v>
      </c>
      <c r="U9" s="30">
        <f>U4</f>
        <v>2</v>
      </c>
      <c r="V9" s="122">
        <f>V4</f>
        <v>200</v>
      </c>
      <c r="W9" s="122">
        <f>W4</f>
        <v>98</v>
      </c>
      <c r="X9" s="152" t="s">
        <v>34</v>
      </c>
      <c r="Y9" s="152" t="s">
        <v>34</v>
      </c>
      <c r="Z9" s="12"/>
      <c r="AA9" s="63"/>
      <c r="AF9" s="30"/>
      <c r="AG9" s="13"/>
      <c r="AH9" s="13"/>
      <c r="AI9" s="13"/>
      <c r="AJ9" s="13"/>
      <c r="AK9" s="30"/>
      <c r="AM9" s="122"/>
      <c r="AN9" s="13"/>
      <c r="AO9" s="13"/>
      <c r="AP9" s="13"/>
      <c r="AQ9" s="30"/>
    </row>
    <row r="10" spans="1:48" ht="12.75" x14ac:dyDescent="0.2">
      <c r="A10" s="47" t="s">
        <v>212</v>
      </c>
      <c r="B10" s="40">
        <v>120</v>
      </c>
      <c r="C10" s="55">
        <v>0.02</v>
      </c>
      <c r="D10" s="129">
        <v>0.04</v>
      </c>
      <c r="E10" s="125">
        <v>0.08</v>
      </c>
      <c r="F10" s="125">
        <v>0.16</v>
      </c>
      <c r="G10" s="125">
        <v>0.01</v>
      </c>
      <c r="H10" s="35"/>
      <c r="I10" s="35" t="s">
        <v>75</v>
      </c>
      <c r="J10" s="35" t="s">
        <v>78</v>
      </c>
      <c r="K10" s="40">
        <v>130</v>
      </c>
      <c r="L10" s="40">
        <v>600</v>
      </c>
      <c r="M10" s="129">
        <v>0.4</v>
      </c>
      <c r="N10" s="125">
        <v>0.5</v>
      </c>
      <c r="O10" s="125">
        <v>0.1</v>
      </c>
      <c r="P10" s="35"/>
      <c r="Q10" s="41" t="s">
        <v>218</v>
      </c>
      <c r="R10" s="41" t="s">
        <v>75</v>
      </c>
      <c r="S10" s="41" t="s">
        <v>215</v>
      </c>
      <c r="T10" s="135">
        <f t="shared" ref="T10:V11" si="0">T7</f>
        <v>120</v>
      </c>
      <c r="U10" s="136">
        <f t="shared" si="0"/>
        <v>3.3333333333333335</v>
      </c>
      <c r="V10" s="135">
        <f t="shared" si="0"/>
        <v>400</v>
      </c>
      <c r="W10" s="135">
        <f>W7</f>
        <v>117.6</v>
      </c>
      <c r="X10" s="153" t="s">
        <v>34</v>
      </c>
      <c r="Y10" s="153" t="s">
        <v>34</v>
      </c>
      <c r="Z10" s="41"/>
      <c r="AA10" s="142">
        <f>T12</f>
        <v>130</v>
      </c>
      <c r="AB10" s="141">
        <f>U12*M10</f>
        <v>1.846153846153846</v>
      </c>
      <c r="AC10" s="142">
        <f>V12*M10</f>
        <v>240</v>
      </c>
      <c r="AD10" s="142">
        <f>T12 * (1 + D10) / (1 - G10)</f>
        <v>136.56565656565658</v>
      </c>
      <c r="AE10" s="143">
        <f>(B10 - AD10) / AD10</f>
        <v>-0.1213017751479291</v>
      </c>
      <c r="AF10" s="141"/>
      <c r="AG10" s="142">
        <f>T12</f>
        <v>130</v>
      </c>
      <c r="AH10" s="141">
        <f>U12*N10</f>
        <v>2.3076923076923075</v>
      </c>
      <c r="AI10" s="142">
        <f>V12*N10</f>
        <v>300</v>
      </c>
      <c r="AJ10" s="142">
        <f>T12 * (1 + E10) / (1 - G10)</f>
        <v>141.81818181818181</v>
      </c>
      <c r="AK10" s="143">
        <f>(B10 - AJ10) / AJ10</f>
        <v>-0.15384615384615383</v>
      </c>
      <c r="AL10" s="47"/>
      <c r="AM10" s="142">
        <f>T12</f>
        <v>130</v>
      </c>
      <c r="AN10" s="141">
        <f>U12*O10</f>
        <v>0.46153846153846151</v>
      </c>
      <c r="AO10" s="142">
        <f>V12*O10</f>
        <v>60</v>
      </c>
      <c r="AP10" s="142">
        <f>T12 * (1 + F10) / (1 - G10)</f>
        <v>152.3232323232323</v>
      </c>
      <c r="AQ10" s="129">
        <f>(B10 - AP10) / AP10</f>
        <v>-0.21220159151193624</v>
      </c>
      <c r="AR10" s="47"/>
      <c r="AS10" s="145">
        <f>AT10+AU10+AV10</f>
        <v>10.948717948717949</v>
      </c>
      <c r="AT10" s="145">
        <f>AB10+AB11+AB12</f>
        <v>5.0128205128205128</v>
      </c>
      <c r="AU10" s="145">
        <f>AH10+AH11+AH12</f>
        <v>4.7243589743589745</v>
      </c>
      <c r="AV10" s="145">
        <f>AN10+AN12</f>
        <v>1.2115384615384615</v>
      </c>
    </row>
    <row r="11" spans="1:48" ht="12.75" x14ac:dyDescent="0.2">
      <c r="A11" s="45"/>
      <c r="B11" s="52"/>
      <c r="C11" s="95"/>
      <c r="D11" s="124"/>
      <c r="E11" s="95"/>
      <c r="F11" s="95"/>
      <c r="G11" s="95"/>
      <c r="K11" s="52"/>
      <c r="L11" s="52"/>
      <c r="M11" s="124"/>
      <c r="N11" s="95"/>
      <c r="O11" s="95"/>
      <c r="Q11" s="41" t="s">
        <v>217</v>
      </c>
      <c r="R11" s="41" t="s">
        <v>75</v>
      </c>
      <c r="S11" s="41" t="s">
        <v>211</v>
      </c>
      <c r="T11" s="135">
        <f t="shared" si="0"/>
        <v>100</v>
      </c>
      <c r="U11" s="136">
        <f t="shared" si="0"/>
        <v>3</v>
      </c>
      <c r="V11" s="135">
        <f t="shared" si="0"/>
        <v>300</v>
      </c>
      <c r="W11" s="135">
        <f>W8</f>
        <v>98</v>
      </c>
      <c r="X11" s="153" t="s">
        <v>34</v>
      </c>
      <c r="Y11" s="153" t="s">
        <v>34</v>
      </c>
      <c r="Z11" s="41"/>
      <c r="AA11" s="142">
        <f>T10</f>
        <v>120</v>
      </c>
      <c r="AB11" s="141">
        <f>AB7</f>
        <v>1.6666666666666667</v>
      </c>
      <c r="AC11" s="142">
        <f>AC7</f>
        <v>200</v>
      </c>
      <c r="AD11" s="128">
        <f>AD7</f>
        <v>126.06060606060608</v>
      </c>
      <c r="AE11" s="129">
        <f>AE7</f>
        <v>-4.8076923076923198E-2</v>
      </c>
      <c r="AF11" s="141"/>
      <c r="AG11" s="142">
        <f>AG7</f>
        <v>120</v>
      </c>
      <c r="AH11" s="141">
        <f>AH7</f>
        <v>1.6666666666666667</v>
      </c>
      <c r="AI11" s="142">
        <f>AI7</f>
        <v>200</v>
      </c>
      <c r="AJ11" s="142">
        <f>AJ7</f>
        <v>130.90909090909093</v>
      </c>
      <c r="AK11" s="129">
        <f>AK7</f>
        <v>-8.3333333333333509E-2</v>
      </c>
      <c r="AL11" s="47"/>
      <c r="AM11" s="127" t="s">
        <v>34</v>
      </c>
      <c r="AN11" s="144" t="s">
        <v>34</v>
      </c>
      <c r="AO11" s="144" t="s">
        <v>34</v>
      </c>
      <c r="AP11" s="144" t="s">
        <v>34</v>
      </c>
      <c r="AQ11" s="144" t="s">
        <v>34</v>
      </c>
      <c r="AR11" s="47"/>
      <c r="AS11" s="47"/>
      <c r="AT11" s="145"/>
      <c r="AU11" s="145"/>
      <c r="AV11" s="145"/>
    </row>
    <row r="12" spans="1:48" ht="12.75" x14ac:dyDescent="0.2">
      <c r="A12" s="45"/>
      <c r="B12" s="52"/>
      <c r="C12" s="95"/>
      <c r="D12" s="124"/>
      <c r="E12" s="95"/>
      <c r="F12" s="95"/>
      <c r="G12" s="95"/>
      <c r="K12" s="52"/>
      <c r="L12" s="52"/>
      <c r="M12" s="124"/>
      <c r="N12" s="95"/>
      <c r="O12" s="95"/>
      <c r="Q12" s="41" t="s">
        <v>216</v>
      </c>
      <c r="R12" s="41" t="s">
        <v>75</v>
      </c>
      <c r="S12" s="41" t="s">
        <v>78</v>
      </c>
      <c r="T12" s="135">
        <f>K10</f>
        <v>130</v>
      </c>
      <c r="U12" s="136">
        <f>V12/T12</f>
        <v>4.615384615384615</v>
      </c>
      <c r="V12" s="135">
        <f>L10</f>
        <v>600</v>
      </c>
      <c r="W12" s="135">
        <f>T12 * (1 - ABS(C10))</f>
        <v>127.39999999999999</v>
      </c>
      <c r="X12" s="153" t="s">
        <v>34</v>
      </c>
      <c r="Y12" s="153" t="s">
        <v>34</v>
      </c>
      <c r="Z12" s="41"/>
      <c r="AA12" s="142">
        <f>T11</f>
        <v>100</v>
      </c>
      <c r="AB12" s="141">
        <f>AB8-AB4</f>
        <v>1.5</v>
      </c>
      <c r="AC12" s="142">
        <f>V11*M5</f>
        <v>150</v>
      </c>
      <c r="AD12" s="128">
        <f>T11 * (1 + D10) / (1 - G10)</f>
        <v>105.05050505050505</v>
      </c>
      <c r="AE12" s="129">
        <f>AE8</f>
        <v>0.1423076923076923</v>
      </c>
      <c r="AF12" s="141"/>
      <c r="AG12" s="142">
        <f>T11</f>
        <v>100</v>
      </c>
      <c r="AH12" s="141">
        <f>U11*N5</f>
        <v>0.75</v>
      </c>
      <c r="AI12" s="142">
        <f>V11*N5</f>
        <v>75</v>
      </c>
      <c r="AJ12" s="142">
        <f>T11 * (1 + E10) / (1 - G10)</f>
        <v>109.09090909090909</v>
      </c>
      <c r="AK12" s="55">
        <f>(B10 - AJ12) / AJ12</f>
        <v>9.9999999999999978E-2</v>
      </c>
      <c r="AL12" s="47"/>
      <c r="AM12" s="142">
        <f>T11</f>
        <v>100</v>
      </c>
      <c r="AN12" s="141">
        <f>U11*O5</f>
        <v>0.75</v>
      </c>
      <c r="AO12" s="142">
        <f>V11*O5</f>
        <v>75</v>
      </c>
      <c r="AP12" s="142">
        <f>T11 * (1 + F10) / (1 - G10)</f>
        <v>117.17171717171716</v>
      </c>
      <c r="AQ12" s="129">
        <f>(B10 - AP12) / AP12</f>
        <v>2.4137931034482842E-2</v>
      </c>
      <c r="AR12" s="47"/>
      <c r="AS12" s="47"/>
      <c r="AT12" s="145"/>
      <c r="AU12" s="145"/>
      <c r="AV12" s="145"/>
    </row>
    <row r="13" spans="1:48" ht="12.75" x14ac:dyDescent="0.2">
      <c r="A13" s="45" t="s">
        <v>213</v>
      </c>
      <c r="B13" s="52">
        <v>90</v>
      </c>
      <c r="C13" s="54">
        <v>0.02</v>
      </c>
      <c r="D13" s="124">
        <v>0.04</v>
      </c>
      <c r="E13" s="95">
        <v>0.08</v>
      </c>
      <c r="F13" s="95">
        <v>0.16</v>
      </c>
      <c r="G13" s="95">
        <v>0.01</v>
      </c>
      <c r="I13" s="146" t="s">
        <v>75</v>
      </c>
      <c r="J13" s="146" t="s">
        <v>78</v>
      </c>
      <c r="K13" s="147">
        <v>130</v>
      </c>
      <c r="L13" s="147">
        <v>600</v>
      </c>
      <c r="M13" s="148">
        <v>0.4</v>
      </c>
      <c r="N13" s="149">
        <v>0.5</v>
      </c>
      <c r="O13" s="149">
        <v>0.1</v>
      </c>
      <c r="Q13" s="12" t="s">
        <v>218</v>
      </c>
      <c r="R13" s="46" t="s">
        <v>75</v>
      </c>
      <c r="S13" s="12" t="str">
        <f t="shared" ref="S13:W14" si="1">S10</f>
        <v>Entry Target</v>
      </c>
      <c r="T13" s="137">
        <f t="shared" si="1"/>
        <v>120</v>
      </c>
      <c r="U13" s="138">
        <f t="shared" si="1"/>
        <v>3.3333333333333335</v>
      </c>
      <c r="V13" s="137">
        <f t="shared" si="1"/>
        <v>400</v>
      </c>
      <c r="W13" s="137">
        <f t="shared" si="1"/>
        <v>117.6</v>
      </c>
      <c r="X13" s="152" t="s">
        <v>34</v>
      </c>
      <c r="Y13" s="152" t="s">
        <v>34</v>
      </c>
      <c r="Z13" s="12"/>
      <c r="AA13" s="122">
        <f>T13</f>
        <v>120</v>
      </c>
      <c r="AB13" s="30">
        <f>U13*M7</f>
        <v>1.6666666666666667</v>
      </c>
      <c r="AC13" s="123">
        <f>V13*M7</f>
        <v>200</v>
      </c>
      <c r="AD13" s="123">
        <f>T13 * (1 + D13) / (1 - G13)</f>
        <v>126.06060606060608</v>
      </c>
      <c r="AE13" s="124">
        <f>(B13 - AD13) / AD13</f>
        <v>-0.2860576923076924</v>
      </c>
      <c r="AF13" s="140"/>
      <c r="AG13" s="122">
        <f>T13</f>
        <v>120</v>
      </c>
      <c r="AH13" s="30">
        <f>U13*N7</f>
        <v>1.6666666666666667</v>
      </c>
      <c r="AI13" s="123">
        <f>V13*N7</f>
        <v>200</v>
      </c>
      <c r="AJ13" s="123">
        <f>T13 * (1 + E13) / (1 - G13)</f>
        <v>130.90909090909093</v>
      </c>
      <c r="AK13" s="124">
        <f>(B13 - AJ13) / AJ13</f>
        <v>-0.31250000000000011</v>
      </c>
      <c r="AM13" s="152" t="s">
        <v>34</v>
      </c>
      <c r="AN13" s="155" t="s">
        <v>34</v>
      </c>
      <c r="AO13" s="155" t="s">
        <v>34</v>
      </c>
      <c r="AP13" s="155" t="s">
        <v>34</v>
      </c>
      <c r="AQ13" s="155" t="s">
        <v>34</v>
      </c>
      <c r="AS13" s="32">
        <f>AT13+AU13+AV13</f>
        <v>6.3333333333333339</v>
      </c>
      <c r="AT13" s="32">
        <f>AB13+AB14</f>
        <v>3.166666666666667</v>
      </c>
      <c r="AU13" s="32">
        <f>AH13+AH14</f>
        <v>2.416666666666667</v>
      </c>
      <c r="AV13" s="32">
        <f>AN14</f>
        <v>0.75</v>
      </c>
    </row>
    <row r="14" spans="1:48" ht="12.75" x14ac:dyDescent="0.2">
      <c r="A14" s="45"/>
      <c r="B14" s="33"/>
      <c r="C14" s="67"/>
      <c r="D14" s="124"/>
      <c r="E14" s="95"/>
      <c r="F14" s="95"/>
      <c r="G14" s="95"/>
      <c r="K14" s="33"/>
      <c r="L14" s="33"/>
      <c r="M14" s="124"/>
      <c r="N14" s="95"/>
      <c r="O14" s="95"/>
      <c r="Q14" s="12" t="s">
        <v>217</v>
      </c>
      <c r="R14" s="12" t="str">
        <f>R11</f>
        <v>Buy</v>
      </c>
      <c r="S14" s="12" t="str">
        <f t="shared" si="1"/>
        <v>Custom</v>
      </c>
      <c r="T14" s="137">
        <f t="shared" si="1"/>
        <v>100</v>
      </c>
      <c r="U14" s="138">
        <f t="shared" si="1"/>
        <v>3</v>
      </c>
      <c r="V14" s="137">
        <f t="shared" si="1"/>
        <v>300</v>
      </c>
      <c r="W14" s="137">
        <f t="shared" si="1"/>
        <v>98</v>
      </c>
      <c r="X14" s="152" t="s">
        <v>34</v>
      </c>
      <c r="Y14" s="152" t="s">
        <v>34</v>
      </c>
      <c r="Z14" s="12"/>
      <c r="AA14" s="122">
        <f>T14</f>
        <v>100</v>
      </c>
      <c r="AB14" s="30">
        <f>U14*M4</f>
        <v>1.5</v>
      </c>
      <c r="AC14" s="123">
        <f>V14*M4</f>
        <v>150</v>
      </c>
      <c r="AD14" s="123">
        <f>T14 * (1 + D13) / (1 - G13)</f>
        <v>105.05050505050505</v>
      </c>
      <c r="AE14" s="124">
        <f>(B13 - AD14) / AD14</f>
        <v>-0.14326923076923079</v>
      </c>
      <c r="AF14" s="140"/>
      <c r="AG14" s="63">
        <f>T14</f>
        <v>100</v>
      </c>
      <c r="AH14" s="32">
        <f>U14*N5</f>
        <v>0.75</v>
      </c>
      <c r="AI14" s="63">
        <f>V14*N5</f>
        <v>75</v>
      </c>
      <c r="AJ14" s="63">
        <f>AJ12</f>
        <v>109.09090909090909</v>
      </c>
      <c r="AK14" s="54">
        <f>(B13 - AJ14) / AJ14</f>
        <v>-0.17500000000000002</v>
      </c>
      <c r="AM14" s="122">
        <f>T14</f>
        <v>100</v>
      </c>
      <c r="AN14" s="30">
        <f>U14*O5</f>
        <v>0.75</v>
      </c>
      <c r="AO14" s="123">
        <f>V14*O5</f>
        <v>75</v>
      </c>
      <c r="AP14" s="123">
        <v>117.17171717171716</v>
      </c>
      <c r="AQ14" s="124">
        <f>(B13 - AP14) / AP14</f>
        <v>-0.23189655172413787</v>
      </c>
    </row>
    <row r="15" spans="1:48" ht="12.75" x14ac:dyDescent="0.2">
      <c r="A15" s="45"/>
      <c r="B15" s="33"/>
      <c r="C15" s="67"/>
      <c r="D15" s="124"/>
      <c r="E15" s="95"/>
      <c r="F15" s="95"/>
      <c r="G15" s="95"/>
      <c r="K15" s="33"/>
      <c r="L15" s="33"/>
      <c r="M15" s="124"/>
      <c r="N15" s="95"/>
      <c r="O15" s="95"/>
      <c r="Q15" s="12"/>
      <c r="R15" s="12"/>
      <c r="S15" s="12"/>
      <c r="T15" s="137"/>
      <c r="U15" s="138"/>
      <c r="V15" s="137"/>
      <c r="W15" s="137"/>
      <c r="X15" s="154"/>
      <c r="Y15" s="154"/>
      <c r="Z15" s="12"/>
      <c r="AA15" s="139"/>
      <c r="AB15" s="139"/>
      <c r="AC15" s="139"/>
      <c r="AD15" s="139"/>
      <c r="AE15" s="140"/>
      <c r="AF15" s="140"/>
      <c r="AG15" s="139"/>
      <c r="AH15" s="139"/>
      <c r="AI15" s="139"/>
      <c r="AJ15" s="139"/>
      <c r="AK15" s="140"/>
      <c r="AM15" s="139"/>
      <c r="AN15" s="139"/>
      <c r="AO15" s="139"/>
      <c r="AP15" s="139"/>
      <c r="AQ15" s="140"/>
    </row>
    <row r="16" spans="1:48" ht="12.75" x14ac:dyDescent="0.2">
      <c r="A16" s="66" t="s">
        <v>219</v>
      </c>
      <c r="B16" s="33"/>
      <c r="C16" s="67"/>
      <c r="D16" s="124"/>
      <c r="E16" s="95"/>
      <c r="F16" s="95"/>
      <c r="G16" s="95"/>
      <c r="K16" s="33"/>
      <c r="L16" s="33"/>
      <c r="M16" s="124"/>
      <c r="N16" s="95"/>
      <c r="O16" s="95"/>
      <c r="Q16" s="12"/>
      <c r="R16" s="12"/>
      <c r="S16" s="12"/>
      <c r="T16" s="137"/>
      <c r="U16" s="138"/>
      <c r="V16" s="137"/>
      <c r="W16" s="137"/>
      <c r="X16" s="12"/>
      <c r="Y16" s="12"/>
      <c r="Z16" s="12"/>
      <c r="AA16" s="139"/>
      <c r="AB16" s="139"/>
      <c r="AC16" s="139"/>
      <c r="AD16" s="139"/>
      <c r="AE16" s="140"/>
      <c r="AF16" s="140"/>
      <c r="AG16" s="139"/>
      <c r="AH16" s="139"/>
      <c r="AI16" s="139"/>
      <c r="AJ16" s="139"/>
      <c r="AK16" s="140"/>
      <c r="AM16" s="139"/>
      <c r="AN16" s="139"/>
      <c r="AO16" s="139"/>
      <c r="AP16" s="139"/>
      <c r="AQ16" s="140"/>
    </row>
    <row r="17" spans="1:48" ht="12.75" x14ac:dyDescent="0.2">
      <c r="B17" s="45" t="s">
        <v>204</v>
      </c>
      <c r="C17" s="109"/>
      <c r="I17" s="45" t="s">
        <v>202</v>
      </c>
      <c r="Q17" s="45" t="s">
        <v>203</v>
      </c>
      <c r="S17" s="12"/>
      <c r="T17" s="12"/>
      <c r="U17" s="12"/>
      <c r="V17" s="12"/>
      <c r="W17" s="12"/>
      <c r="X17" s="12"/>
      <c r="Y17" s="12"/>
      <c r="Z17" s="12"/>
      <c r="AA17" s="130" t="s">
        <v>205</v>
      </c>
      <c r="AB17" s="46"/>
      <c r="AC17" s="46"/>
      <c r="AD17" s="46"/>
      <c r="AE17" s="46"/>
      <c r="AF17" s="46"/>
      <c r="AG17" s="130" t="s">
        <v>207</v>
      </c>
      <c r="AH17" s="46"/>
      <c r="AI17" s="46"/>
      <c r="AJ17" s="46"/>
      <c r="AK17" s="46"/>
      <c r="AL17" s="45"/>
      <c r="AM17" s="130" t="s">
        <v>208</v>
      </c>
      <c r="AN17" s="12"/>
      <c r="AO17" s="12"/>
      <c r="AP17" s="12"/>
      <c r="AQ17" s="12"/>
      <c r="AS17" s="130" t="s">
        <v>206</v>
      </c>
    </row>
    <row r="18" spans="1:48" ht="12.75" x14ac:dyDescent="0.2">
      <c r="B18" s="57" t="s">
        <v>209</v>
      </c>
      <c r="C18" s="28" t="s">
        <v>190</v>
      </c>
      <c r="D18" s="57" t="s">
        <v>191</v>
      </c>
      <c r="E18" s="28" t="s">
        <v>192</v>
      </c>
      <c r="F18" s="28" t="s">
        <v>193</v>
      </c>
      <c r="G18" s="57" t="s">
        <v>112</v>
      </c>
      <c r="H18" s="101"/>
      <c r="I18" s="28" t="s">
        <v>76</v>
      </c>
      <c r="J18" s="28" t="s">
        <v>4</v>
      </c>
      <c r="K18" s="57" t="s">
        <v>0</v>
      </c>
      <c r="L18" s="57" t="s">
        <v>1</v>
      </c>
      <c r="M18" s="28" t="s">
        <v>191</v>
      </c>
      <c r="N18" s="28" t="s">
        <v>192</v>
      </c>
      <c r="O18" s="28" t="s">
        <v>193</v>
      </c>
      <c r="Q18" s="28"/>
      <c r="R18" s="28" t="s">
        <v>76</v>
      </c>
      <c r="S18" s="28" t="s">
        <v>4</v>
      </c>
      <c r="T18" s="57" t="s">
        <v>0</v>
      </c>
      <c r="U18" s="28" t="s">
        <v>62</v>
      </c>
      <c r="V18" s="57" t="s">
        <v>222</v>
      </c>
      <c r="W18" s="57" t="s">
        <v>190</v>
      </c>
      <c r="X18" s="57" t="s">
        <v>194</v>
      </c>
      <c r="Y18" s="28" t="s">
        <v>195</v>
      </c>
      <c r="Z18" s="12"/>
      <c r="AA18" s="28" t="s">
        <v>0</v>
      </c>
      <c r="AB18" s="28" t="s">
        <v>196</v>
      </c>
      <c r="AC18" s="57" t="s">
        <v>1</v>
      </c>
      <c r="AD18" s="57" t="s">
        <v>197</v>
      </c>
      <c r="AE18" s="57" t="s">
        <v>198</v>
      </c>
      <c r="AF18" s="60"/>
      <c r="AG18" s="28" t="s">
        <v>0</v>
      </c>
      <c r="AH18" s="28" t="s">
        <v>196</v>
      </c>
      <c r="AI18" s="57" t="s">
        <v>1</v>
      </c>
      <c r="AJ18" s="57" t="s">
        <v>197</v>
      </c>
      <c r="AK18" s="57" t="s">
        <v>198</v>
      </c>
      <c r="AM18" s="28" t="s">
        <v>0</v>
      </c>
      <c r="AN18" s="28" t="s">
        <v>196</v>
      </c>
      <c r="AO18" s="57" t="s">
        <v>1</v>
      </c>
      <c r="AP18" s="57" t="s">
        <v>197</v>
      </c>
      <c r="AQ18" s="57" t="s">
        <v>198</v>
      </c>
      <c r="AS18" s="57" t="s">
        <v>199</v>
      </c>
      <c r="AT18" s="28" t="s">
        <v>191</v>
      </c>
      <c r="AU18" s="28" t="s">
        <v>192</v>
      </c>
      <c r="AV18" s="28" t="s">
        <v>193</v>
      </c>
    </row>
    <row r="19" spans="1:48" ht="12.75" x14ac:dyDescent="0.2">
      <c r="A19" s="110" t="s">
        <v>216</v>
      </c>
      <c r="B19" s="52">
        <v>100</v>
      </c>
      <c r="C19" s="54">
        <v>0.02</v>
      </c>
      <c r="D19" s="124">
        <v>0.04</v>
      </c>
      <c r="E19" s="95">
        <v>0.08</v>
      </c>
      <c r="F19" s="95">
        <v>0.16</v>
      </c>
      <c r="G19" s="95">
        <v>0.01</v>
      </c>
      <c r="H19" s="95"/>
      <c r="I19" s="133" t="s">
        <v>75</v>
      </c>
      <c r="J19" s="133" t="s">
        <v>78</v>
      </c>
      <c r="K19" s="52">
        <v>100</v>
      </c>
      <c r="L19" s="52">
        <v>600</v>
      </c>
      <c r="M19" s="124">
        <v>0.5</v>
      </c>
      <c r="N19" s="95">
        <v>0.3</v>
      </c>
      <c r="O19" s="95">
        <v>0.2</v>
      </c>
      <c r="Q19" s="45" t="s">
        <v>216</v>
      </c>
      <c r="R19" s="45" t="s">
        <v>75</v>
      </c>
      <c r="S19" s="131" t="s">
        <v>78</v>
      </c>
      <c r="T19" s="122">
        <f>K19</f>
        <v>100</v>
      </c>
      <c r="U19" s="30">
        <f>V19/T19</f>
        <v>6</v>
      </c>
      <c r="V19" s="122">
        <f>L19</f>
        <v>600</v>
      </c>
      <c r="W19" s="122">
        <f>T19 * (1 - ABS(C19))</f>
        <v>98</v>
      </c>
      <c r="X19" s="152" t="s">
        <v>34</v>
      </c>
      <c r="Y19" s="152" t="s">
        <v>34</v>
      </c>
      <c r="Z19" s="12"/>
      <c r="AA19" s="122">
        <f>T19</f>
        <v>100</v>
      </c>
      <c r="AB19" s="30">
        <f>U19*M19</f>
        <v>3</v>
      </c>
      <c r="AC19" s="123">
        <f>V19*M19</f>
        <v>300</v>
      </c>
      <c r="AD19" s="123">
        <f>AA19 * (1 + D19) / (1 - G19)</f>
        <v>105.05050505050505</v>
      </c>
      <c r="AE19" s="124">
        <f>(B19 - AD19) / AD19</f>
        <v>-4.8076923076923087E-2</v>
      </c>
      <c r="AF19" s="30"/>
      <c r="AG19" s="122">
        <f>T19</f>
        <v>100</v>
      </c>
      <c r="AH19" s="30">
        <f>U19*N19</f>
        <v>1.7999999999999998</v>
      </c>
      <c r="AI19" s="123">
        <f>V19*N19</f>
        <v>180</v>
      </c>
      <c r="AJ19" s="123">
        <f>AG19 * (1 + E19) / (1 - G19)</f>
        <v>109.09090909090909</v>
      </c>
      <c r="AK19" s="124">
        <f>(B19 - AJ19) / AJ19</f>
        <v>-8.3333333333333356E-2</v>
      </c>
      <c r="AM19" s="122">
        <f>T19</f>
        <v>100</v>
      </c>
      <c r="AN19" s="30">
        <f>U19*O19</f>
        <v>1.2000000000000002</v>
      </c>
      <c r="AO19" s="123">
        <f>V19*O19</f>
        <v>120</v>
      </c>
      <c r="AP19" s="123">
        <f>AM19 * (1 + F19) / (1 - G19)</f>
        <v>117.17171717171716</v>
      </c>
      <c r="AQ19" s="124">
        <f>(B19 - AP19) / AP19</f>
        <v>-0.14655172413793097</v>
      </c>
      <c r="AS19" s="32">
        <f>AB19+AH19+AN19</f>
        <v>6</v>
      </c>
      <c r="AT19" s="32">
        <f>AB19</f>
        <v>3</v>
      </c>
      <c r="AU19" s="32">
        <f>AH19</f>
        <v>1.7999999999999998</v>
      </c>
      <c r="AV19" s="32">
        <f>AN19</f>
        <v>1.2000000000000002</v>
      </c>
    </row>
    <row r="20" spans="1:48" ht="12.75" x14ac:dyDescent="0.2">
      <c r="A20" s="184" t="s">
        <v>220</v>
      </c>
      <c r="B20" s="40">
        <v>110</v>
      </c>
      <c r="C20" s="55">
        <v>0.02</v>
      </c>
      <c r="D20" s="129">
        <v>0.04</v>
      </c>
      <c r="E20" s="125">
        <v>0.08</v>
      </c>
      <c r="F20" s="125">
        <v>0.16</v>
      </c>
      <c r="G20" s="125">
        <v>0.01</v>
      </c>
      <c r="H20" s="125"/>
      <c r="I20" s="134" t="s">
        <v>73</v>
      </c>
      <c r="J20" s="134" t="s">
        <v>221</v>
      </c>
      <c r="K20" s="40">
        <v>110</v>
      </c>
      <c r="L20" s="153" t="s">
        <v>34</v>
      </c>
      <c r="M20" s="129">
        <v>0.5</v>
      </c>
      <c r="N20" s="153" t="s">
        <v>34</v>
      </c>
      <c r="O20" s="153" t="s">
        <v>34</v>
      </c>
      <c r="P20" s="35"/>
      <c r="Q20" s="47" t="s">
        <v>220</v>
      </c>
      <c r="R20" s="47" t="s">
        <v>73</v>
      </c>
      <c r="S20" s="132" t="s">
        <v>221</v>
      </c>
      <c r="T20" s="126">
        <f>K20</f>
        <v>110</v>
      </c>
      <c r="U20" s="43">
        <f>AB19*M20</f>
        <v>1.5</v>
      </c>
      <c r="V20" s="126">
        <f>T20*U20-(T20*U20*G20)</f>
        <v>163.35</v>
      </c>
      <c r="W20" s="153" t="s">
        <v>34</v>
      </c>
      <c r="X20" s="127">
        <f>V20-(T19*U20)</f>
        <v>13.349999999999994</v>
      </c>
      <c r="Y20" s="151">
        <f>X20/(T19*U20)</f>
        <v>8.8999999999999968E-2</v>
      </c>
      <c r="Z20" s="41"/>
      <c r="AA20" s="126">
        <f>T21</f>
        <v>100</v>
      </c>
      <c r="AB20" s="43">
        <f>AB19-U20</f>
        <v>1.5</v>
      </c>
      <c r="AC20" s="128">
        <f>AC19*M20</f>
        <v>150</v>
      </c>
      <c r="AD20" s="128">
        <f>AA20 * (1 + D20) / (1 - G20)</f>
        <v>105.05050505050505</v>
      </c>
      <c r="AE20" s="156">
        <f>(B20 - AD20) / AD20</f>
        <v>4.7115384615384601E-2</v>
      </c>
      <c r="AF20" s="43"/>
      <c r="AG20" s="126">
        <f>T21</f>
        <v>100</v>
      </c>
      <c r="AH20" s="43">
        <f>AH19</f>
        <v>1.7999999999999998</v>
      </c>
      <c r="AI20" s="128">
        <f>AI19</f>
        <v>180</v>
      </c>
      <c r="AJ20" s="128">
        <f>AG20 * (1 + E20) / (1 - G20)</f>
        <v>109.09090909090909</v>
      </c>
      <c r="AK20" s="156">
        <f>(B20 - AJ20) / AJ20</f>
        <v>8.3333333333333089E-3</v>
      </c>
      <c r="AL20" s="35"/>
      <c r="AM20" s="126">
        <f>T21</f>
        <v>100</v>
      </c>
      <c r="AN20" s="43">
        <f>AN19</f>
        <v>1.2000000000000002</v>
      </c>
      <c r="AO20" s="128">
        <f>AO19</f>
        <v>120</v>
      </c>
      <c r="AP20" s="128">
        <f>AM20 * (1 + F20) / (1 - G20)</f>
        <v>117.17171717171716</v>
      </c>
      <c r="AQ20" s="129">
        <f>(B20 - AP20) / AP20</f>
        <v>-6.1206896551724066E-2</v>
      </c>
      <c r="AR20" s="35"/>
      <c r="AS20" s="39">
        <f>AB20+AH20+AN20</f>
        <v>4.5</v>
      </c>
      <c r="AT20" s="39">
        <f>AB20</f>
        <v>1.5</v>
      </c>
      <c r="AU20" s="39">
        <f>AH20</f>
        <v>1.7999999999999998</v>
      </c>
      <c r="AV20" s="39">
        <f>AN20</f>
        <v>1.2000000000000002</v>
      </c>
    </row>
    <row r="21" spans="1:48" ht="12.75" x14ac:dyDescent="0.2">
      <c r="A21" s="184"/>
      <c r="B21" s="40"/>
      <c r="C21" s="55"/>
      <c r="D21" s="129"/>
      <c r="E21" s="125"/>
      <c r="F21" s="125"/>
      <c r="G21" s="125"/>
      <c r="H21" s="125"/>
      <c r="I21" s="134"/>
      <c r="J21" s="134"/>
      <c r="K21" s="40"/>
      <c r="L21" s="40"/>
      <c r="M21" s="129"/>
      <c r="N21" s="125"/>
      <c r="O21" s="125"/>
      <c r="P21" s="35"/>
      <c r="Q21" s="47" t="s">
        <v>216</v>
      </c>
      <c r="R21" s="47" t="s">
        <v>75</v>
      </c>
      <c r="S21" s="132" t="s">
        <v>78</v>
      </c>
      <c r="T21" s="126">
        <f>T19</f>
        <v>100</v>
      </c>
      <c r="U21" s="43">
        <f>U19</f>
        <v>6</v>
      </c>
      <c r="V21" s="126">
        <f>V19</f>
        <v>600</v>
      </c>
      <c r="W21" s="126">
        <f>W19</f>
        <v>98</v>
      </c>
      <c r="X21" s="153" t="s">
        <v>34</v>
      </c>
      <c r="Y21" s="153" t="s">
        <v>34</v>
      </c>
      <c r="Z21" s="41"/>
      <c r="AA21" s="126"/>
      <c r="AB21" s="43"/>
      <c r="AC21" s="128"/>
      <c r="AD21" s="128"/>
      <c r="AE21" s="129"/>
      <c r="AF21" s="43"/>
      <c r="AG21" s="126"/>
      <c r="AH21" s="43"/>
      <c r="AI21" s="128"/>
      <c r="AJ21" s="128"/>
      <c r="AK21" s="129"/>
      <c r="AL21" s="35"/>
      <c r="AM21" s="126"/>
      <c r="AN21" s="43"/>
      <c r="AO21" s="128"/>
      <c r="AP21" s="128"/>
      <c r="AQ21" s="129"/>
      <c r="AR21" s="35"/>
      <c r="AS21" s="39"/>
      <c r="AT21" s="39"/>
      <c r="AU21" s="39"/>
      <c r="AV21" s="39"/>
    </row>
    <row r="22" spans="1:48" ht="12.75" x14ac:dyDescent="0.2">
      <c r="A22" s="110" t="s">
        <v>223</v>
      </c>
      <c r="B22" s="52">
        <v>90</v>
      </c>
      <c r="C22" s="54">
        <v>0.02</v>
      </c>
      <c r="D22" s="124">
        <v>0.04</v>
      </c>
      <c r="E22" s="95">
        <v>0.08</v>
      </c>
      <c r="F22" s="95">
        <v>0.16</v>
      </c>
      <c r="G22" s="95">
        <v>0.01</v>
      </c>
      <c r="H22" s="95"/>
      <c r="I22" s="133" t="s">
        <v>73</v>
      </c>
      <c r="J22" s="133" t="s">
        <v>221</v>
      </c>
      <c r="K22" s="52">
        <v>90</v>
      </c>
      <c r="L22" s="152" t="s">
        <v>34</v>
      </c>
      <c r="M22" s="152" t="s">
        <v>34</v>
      </c>
      <c r="N22" s="95">
        <v>1</v>
      </c>
      <c r="O22" s="152" t="s">
        <v>34</v>
      </c>
      <c r="Q22" s="45" t="s">
        <v>223</v>
      </c>
      <c r="R22" s="45" t="s">
        <v>73</v>
      </c>
      <c r="S22" s="130" t="s">
        <v>221</v>
      </c>
      <c r="T22" s="122">
        <f>K22</f>
        <v>90</v>
      </c>
      <c r="U22" s="30">
        <f>AH20*N22</f>
        <v>1.7999999999999998</v>
      </c>
      <c r="V22" s="122">
        <f>T22*U22-(T22*U22*G22)</f>
        <v>160.37999999999997</v>
      </c>
      <c r="W22" s="152" t="s">
        <v>34</v>
      </c>
      <c r="X22" s="152">
        <f>V22-(T21*U22)</f>
        <v>-19.620000000000005</v>
      </c>
      <c r="Y22" s="160">
        <f>X22/(T21*U22)</f>
        <v>-0.10900000000000004</v>
      </c>
      <c r="Z22" s="12"/>
      <c r="AA22" s="122">
        <f>AA20</f>
        <v>100</v>
      </c>
      <c r="AB22" s="30">
        <f>AB20</f>
        <v>1.5</v>
      </c>
      <c r="AC22" s="123">
        <f>AC20</f>
        <v>150</v>
      </c>
      <c r="AD22" s="123">
        <f>AD20</f>
        <v>105.05050505050505</v>
      </c>
      <c r="AE22" s="124">
        <f>(B22 - AD22) / AD22</f>
        <v>-0.14326923076923079</v>
      </c>
      <c r="AF22" s="30"/>
      <c r="AG22" s="162">
        <f>AG20</f>
        <v>100</v>
      </c>
      <c r="AH22" s="163">
        <f>AH20</f>
        <v>1.7999999999999998</v>
      </c>
      <c r="AI22" s="164">
        <f>AI20</f>
        <v>180</v>
      </c>
      <c r="AJ22" s="164">
        <f>AJ20</f>
        <v>109.09090909090909</v>
      </c>
      <c r="AK22" s="148">
        <f>AK20</f>
        <v>8.3333333333333089E-3</v>
      </c>
      <c r="AM22" s="122">
        <f>AM20</f>
        <v>100</v>
      </c>
      <c r="AN22" s="30">
        <f>AN20</f>
        <v>1.2000000000000002</v>
      </c>
      <c r="AO22" s="123">
        <f>AO20</f>
        <v>120</v>
      </c>
      <c r="AP22" s="123">
        <f>AP20</f>
        <v>117.17171717171716</v>
      </c>
      <c r="AQ22" s="124">
        <f>(B22 - AP22) / AP22</f>
        <v>-0.23189655172413787</v>
      </c>
      <c r="AS22" s="32">
        <f>AT22+AU22+AV22</f>
        <v>2.7</v>
      </c>
      <c r="AT22" s="32">
        <f>AB22</f>
        <v>1.5</v>
      </c>
      <c r="AU22" s="32">
        <v>0</v>
      </c>
      <c r="AV22" s="32">
        <f>AN22</f>
        <v>1.2000000000000002</v>
      </c>
    </row>
    <row r="23" spans="1:48" ht="12.75" x14ac:dyDescent="0.2">
      <c r="A23" s="110"/>
      <c r="B23" s="52"/>
      <c r="C23" s="95"/>
      <c r="H23" s="95"/>
      <c r="I23" s="95"/>
      <c r="J23" s="95"/>
      <c r="K23" s="52"/>
      <c r="L23" s="52"/>
      <c r="M23" s="95"/>
      <c r="N23" s="95"/>
      <c r="O23" s="95"/>
      <c r="Q23" s="46" t="str">
        <f t="shared" ref="Q23:R27" si="2">Q20</f>
        <v>SellA</v>
      </c>
      <c r="R23" s="46" t="str">
        <f t="shared" si="2"/>
        <v>Sell</v>
      </c>
      <c r="S23" s="130" t="s">
        <v>221</v>
      </c>
      <c r="T23" s="122">
        <f t="shared" ref="T23:V23" si="3">T20</f>
        <v>110</v>
      </c>
      <c r="U23" s="30">
        <f t="shared" si="3"/>
        <v>1.5</v>
      </c>
      <c r="V23" s="122">
        <f t="shared" si="3"/>
        <v>163.35</v>
      </c>
      <c r="W23" s="152" t="s">
        <v>34</v>
      </c>
      <c r="X23" s="152">
        <f>X20</f>
        <v>13.349999999999994</v>
      </c>
      <c r="Y23" s="161">
        <f>Y20</f>
        <v>8.8999999999999968E-2</v>
      </c>
      <c r="Z23" s="12"/>
      <c r="AA23" s="122"/>
      <c r="AB23" s="30"/>
      <c r="AC23" s="157"/>
      <c r="AD23" s="157"/>
      <c r="AE23" s="124"/>
      <c r="AF23" s="30"/>
      <c r="AG23" s="63"/>
      <c r="AH23" s="32"/>
      <c r="AI23" s="63"/>
      <c r="AJ23" s="63"/>
      <c r="AK23" s="62"/>
      <c r="AM23" s="158"/>
      <c r="AN23" s="159"/>
      <c r="AO23" s="159"/>
      <c r="AP23" s="159"/>
      <c r="AQ23" s="159"/>
    </row>
    <row r="24" spans="1:48" ht="12.75" x14ac:dyDescent="0.2">
      <c r="A24" s="110"/>
      <c r="B24" s="52"/>
      <c r="C24" s="95"/>
      <c r="D24" s="29"/>
      <c r="E24" s="50"/>
      <c r="G24" s="50"/>
      <c r="H24" s="50"/>
      <c r="I24" s="50"/>
      <c r="J24" s="50"/>
      <c r="K24" s="52"/>
      <c r="L24" s="52"/>
      <c r="M24" s="50"/>
      <c r="N24" s="50"/>
      <c r="O24" s="50"/>
      <c r="Q24" s="46" t="str">
        <f t="shared" si="2"/>
        <v>BuyA</v>
      </c>
      <c r="R24" s="46" t="str">
        <f t="shared" si="2"/>
        <v>Buy</v>
      </c>
      <c r="S24" s="130" t="s">
        <v>78</v>
      </c>
      <c r="T24" s="122">
        <f>T21</f>
        <v>100</v>
      </c>
      <c r="U24" s="30">
        <f>U21</f>
        <v>6</v>
      </c>
      <c r="V24" s="122">
        <f>V21</f>
        <v>600</v>
      </c>
      <c r="W24" s="165">
        <f>W21</f>
        <v>98</v>
      </c>
      <c r="X24" s="152" t="s">
        <v>34</v>
      </c>
      <c r="Y24" s="152" t="s">
        <v>34</v>
      </c>
      <c r="Z24" s="12"/>
      <c r="AA24" s="63"/>
      <c r="AF24" s="30"/>
      <c r="AG24" s="13"/>
      <c r="AH24" s="13"/>
      <c r="AI24" s="13"/>
      <c r="AJ24" s="13"/>
      <c r="AK24" s="30"/>
      <c r="AM24" s="122"/>
      <c r="AN24" s="13"/>
      <c r="AO24" s="13"/>
      <c r="AP24" s="13"/>
      <c r="AQ24" s="30"/>
    </row>
    <row r="25" spans="1:48" s="35" customFormat="1" ht="12.75" x14ac:dyDescent="0.2">
      <c r="A25" s="184" t="s">
        <v>226</v>
      </c>
      <c r="B25" s="40">
        <v>90</v>
      </c>
      <c r="C25" s="55">
        <v>0.02</v>
      </c>
      <c r="D25" s="129">
        <v>0.04</v>
      </c>
      <c r="E25" s="125">
        <v>0.08</v>
      </c>
      <c r="F25" s="125">
        <v>0.16</v>
      </c>
      <c r="G25" s="125">
        <v>0.01</v>
      </c>
      <c r="H25" s="51"/>
      <c r="I25" s="172" t="s">
        <v>227</v>
      </c>
      <c r="J25" s="172" t="s">
        <v>211</v>
      </c>
      <c r="K25" s="40">
        <v>95</v>
      </c>
      <c r="L25" s="153" t="s">
        <v>34</v>
      </c>
      <c r="M25" s="153" t="s">
        <v>34</v>
      </c>
      <c r="N25" s="125">
        <v>0.5</v>
      </c>
      <c r="O25" s="153" t="s">
        <v>34</v>
      </c>
      <c r="Q25" s="47" t="str">
        <f t="shared" si="2"/>
        <v>SellB</v>
      </c>
      <c r="R25" s="47" t="str">
        <f t="shared" si="2"/>
        <v>Sell</v>
      </c>
      <c r="S25" s="132" t="s">
        <v>211</v>
      </c>
      <c r="T25" s="126">
        <f>K25</f>
        <v>95</v>
      </c>
      <c r="U25" s="43">
        <f>AH20*N25</f>
        <v>0.89999999999999991</v>
      </c>
      <c r="V25" s="126">
        <f>T25*U25-(T25*U25*G25)</f>
        <v>84.644999999999982</v>
      </c>
      <c r="W25" s="153" t="s">
        <v>34</v>
      </c>
      <c r="X25" s="127">
        <f>V25-(T24*U25)</f>
        <v>-5.355000000000004</v>
      </c>
      <c r="Y25" s="151">
        <f>X25/(T24*U25)</f>
        <v>-5.9500000000000053E-2</v>
      </c>
      <c r="Z25" s="41"/>
      <c r="AA25" s="126">
        <f>AA22</f>
        <v>100</v>
      </c>
      <c r="AB25" s="43">
        <f>AB22</f>
        <v>1.5</v>
      </c>
      <c r="AC25" s="128">
        <f>AC22</f>
        <v>150</v>
      </c>
      <c r="AD25" s="128">
        <f>AD22</f>
        <v>105.05050505050505</v>
      </c>
      <c r="AE25" s="180">
        <f>(B25 - AD25) / AD25</f>
        <v>-0.14326923076923079</v>
      </c>
      <c r="AF25" s="43"/>
      <c r="AG25" s="126">
        <f>AG22</f>
        <v>100</v>
      </c>
      <c r="AH25" s="43">
        <f>AH22*N25</f>
        <v>0.89999999999999991</v>
      </c>
      <c r="AI25" s="128">
        <f>AI22*N25</f>
        <v>90</v>
      </c>
      <c r="AJ25" s="128">
        <f>AG25 * (1 + E25) / (1 - G25)</f>
        <v>109.09090909090909</v>
      </c>
      <c r="AK25" s="180">
        <f>(B25 - AJ25) / AJ25</f>
        <v>-0.17500000000000002</v>
      </c>
      <c r="AM25" s="126">
        <f>AM22</f>
        <v>100</v>
      </c>
      <c r="AN25" s="43">
        <f>AN22</f>
        <v>1.2000000000000002</v>
      </c>
      <c r="AO25" s="128">
        <f>AO22</f>
        <v>120</v>
      </c>
      <c r="AP25" s="128">
        <f>AP22</f>
        <v>117.17171717171716</v>
      </c>
      <c r="AQ25" s="129">
        <f>AQ22</f>
        <v>-0.23189655172413787</v>
      </c>
      <c r="AS25" s="39">
        <f>AT25+AU25+AV25</f>
        <v>3.6</v>
      </c>
      <c r="AT25" s="39">
        <f>AB25</f>
        <v>1.5</v>
      </c>
      <c r="AU25" s="39">
        <f>AH25</f>
        <v>0.89999999999999991</v>
      </c>
      <c r="AV25" s="39">
        <f>AN25</f>
        <v>1.2000000000000002</v>
      </c>
    </row>
    <row r="26" spans="1:48" s="35" customFormat="1" ht="12.75" x14ac:dyDescent="0.2">
      <c r="A26" s="184"/>
      <c r="B26" s="40"/>
      <c r="C26" s="125"/>
      <c r="D26" s="37"/>
      <c r="E26" s="51"/>
      <c r="G26" s="51"/>
      <c r="H26" s="51"/>
      <c r="I26" s="51"/>
      <c r="J26" s="51"/>
      <c r="K26" s="40"/>
      <c r="L26" s="40"/>
      <c r="M26" s="51"/>
      <c r="N26" s="51"/>
      <c r="O26" s="51"/>
      <c r="Q26" s="47" t="str">
        <f t="shared" si="2"/>
        <v>SellA</v>
      </c>
      <c r="R26" s="47" t="str">
        <f t="shared" si="2"/>
        <v>Sell</v>
      </c>
      <c r="S26" s="132" t="s">
        <v>221</v>
      </c>
      <c r="T26" s="126">
        <f t="shared" ref="T26:V27" si="4">T23</f>
        <v>110</v>
      </c>
      <c r="U26" s="43">
        <f t="shared" si="4"/>
        <v>1.5</v>
      </c>
      <c r="V26" s="126">
        <f t="shared" si="4"/>
        <v>163.35</v>
      </c>
      <c r="W26" s="153" t="s">
        <v>34</v>
      </c>
      <c r="X26" s="127">
        <f>X23</f>
        <v>13.349999999999994</v>
      </c>
      <c r="Y26" s="151">
        <f>Y23</f>
        <v>8.8999999999999968E-2</v>
      </c>
      <c r="Z26" s="41"/>
      <c r="AA26" s="65"/>
      <c r="AF26" s="43"/>
      <c r="AG26" s="42"/>
      <c r="AH26" s="42"/>
      <c r="AI26" s="42"/>
      <c r="AJ26" s="42"/>
      <c r="AK26" s="43"/>
      <c r="AM26" s="126"/>
      <c r="AN26" s="42"/>
      <c r="AO26" s="42"/>
      <c r="AP26" s="42"/>
      <c r="AQ26" s="43"/>
    </row>
    <row r="27" spans="1:48" s="35" customFormat="1" ht="12.75" x14ac:dyDescent="0.2">
      <c r="A27" s="184"/>
      <c r="B27" s="40"/>
      <c r="C27" s="125"/>
      <c r="D27" s="37"/>
      <c r="E27" s="51"/>
      <c r="G27" s="51"/>
      <c r="H27" s="51"/>
      <c r="I27" s="51"/>
      <c r="J27" s="51"/>
      <c r="K27" s="40"/>
      <c r="L27" s="40"/>
      <c r="M27" s="51"/>
      <c r="N27" s="51"/>
      <c r="O27" s="51"/>
      <c r="Q27" s="47" t="str">
        <f t="shared" si="2"/>
        <v>BuyA</v>
      </c>
      <c r="R27" s="47" t="str">
        <f t="shared" si="2"/>
        <v>Buy</v>
      </c>
      <c r="S27" s="132" t="s">
        <v>78</v>
      </c>
      <c r="T27" s="126">
        <f t="shared" si="4"/>
        <v>100</v>
      </c>
      <c r="U27" s="43">
        <f t="shared" si="4"/>
        <v>6</v>
      </c>
      <c r="V27" s="126">
        <f t="shared" si="4"/>
        <v>600</v>
      </c>
      <c r="W27" s="171">
        <f>W24</f>
        <v>98</v>
      </c>
      <c r="X27" s="153" t="s">
        <v>34</v>
      </c>
      <c r="Y27" s="153" t="s">
        <v>34</v>
      </c>
      <c r="Z27" s="41"/>
      <c r="AA27" s="65"/>
      <c r="AF27" s="43"/>
      <c r="AG27" s="42"/>
      <c r="AH27" s="42"/>
      <c r="AI27" s="42"/>
      <c r="AJ27" s="42"/>
      <c r="AK27" s="43"/>
      <c r="AM27" s="126"/>
      <c r="AN27" s="42"/>
      <c r="AO27" s="42"/>
      <c r="AP27" s="42"/>
      <c r="AQ27" s="43"/>
    </row>
    <row r="28" spans="1:48" ht="12.75" x14ac:dyDescent="0.2">
      <c r="A28" s="110" t="s">
        <v>217</v>
      </c>
      <c r="B28" s="52">
        <v>100</v>
      </c>
      <c r="C28" s="62">
        <v>0.02</v>
      </c>
      <c r="D28" s="124">
        <v>0.04</v>
      </c>
      <c r="E28" s="95">
        <v>0.08</v>
      </c>
      <c r="F28" s="95">
        <v>0.16</v>
      </c>
      <c r="G28" s="95">
        <v>0.01</v>
      </c>
      <c r="I28" s="45" t="s">
        <v>75</v>
      </c>
      <c r="J28" s="45" t="s">
        <v>215</v>
      </c>
      <c r="K28" s="52">
        <v>100</v>
      </c>
      <c r="L28" s="52">
        <v>400</v>
      </c>
      <c r="M28" s="124">
        <v>0.4</v>
      </c>
      <c r="N28" s="95">
        <v>0.4</v>
      </c>
      <c r="O28" s="95">
        <v>0.2</v>
      </c>
      <c r="Q28" s="46" t="s">
        <v>217</v>
      </c>
      <c r="R28" s="46" t="s">
        <v>75</v>
      </c>
      <c r="S28" s="46" t="s">
        <v>215</v>
      </c>
      <c r="T28" s="137">
        <f>K28</f>
        <v>100</v>
      </c>
      <c r="U28" s="138">
        <f>V28/T28</f>
        <v>4</v>
      </c>
      <c r="V28" s="137">
        <f>L28</f>
        <v>400</v>
      </c>
      <c r="W28" s="137">
        <f>T28 * (1 - ABS(C28))</f>
        <v>98</v>
      </c>
      <c r="X28" s="152" t="s">
        <v>34</v>
      </c>
      <c r="Y28" s="152" t="s">
        <v>34</v>
      </c>
      <c r="Z28" s="12"/>
      <c r="AA28" s="176">
        <f>AA22</f>
        <v>100</v>
      </c>
      <c r="AB28" s="177">
        <f>AB22+(U28*M28)</f>
        <v>3.1</v>
      </c>
      <c r="AC28" s="176">
        <f>AC22+(V28*M28)</f>
        <v>310</v>
      </c>
      <c r="AD28" s="176">
        <f>AA28 * (1 + D28) / (1 - G28)</f>
        <v>105.05050505050505</v>
      </c>
      <c r="AE28" s="178">
        <f>(B28 - AD28) / AD28</f>
        <v>-4.8076923076923087E-2</v>
      </c>
      <c r="AF28" s="177"/>
      <c r="AG28" s="176">
        <f>T28</f>
        <v>100</v>
      </c>
      <c r="AH28" s="177">
        <f>AH25+(U28*N28)</f>
        <v>2.5</v>
      </c>
      <c r="AI28" s="176">
        <f>AI25+(V28*M28)</f>
        <v>250</v>
      </c>
      <c r="AJ28" s="176">
        <f>AG28 * (1 + E28) / (1 - G28)</f>
        <v>109.09090909090909</v>
      </c>
      <c r="AK28" s="178">
        <f>(B28 - AJ28) / AJ28</f>
        <v>-8.3333333333333356E-2</v>
      </c>
      <c r="AL28" s="45"/>
      <c r="AM28" s="176">
        <f>T28</f>
        <v>100</v>
      </c>
      <c r="AN28" s="177">
        <f>AN25+(U28*O28)</f>
        <v>2</v>
      </c>
      <c r="AO28" s="176">
        <f>AO25+(V28*O28)</f>
        <v>200</v>
      </c>
      <c r="AP28" s="176">
        <f>AM28 * (1 + F28) / (1 - G28)</f>
        <v>117.17171717171716</v>
      </c>
      <c r="AQ28" s="124">
        <f>(B28 - AP28) / AP28</f>
        <v>-0.14655172413793097</v>
      </c>
      <c r="AR28" s="45"/>
      <c r="AS28" s="104">
        <f>AT28+AU28+AV28</f>
        <v>7.6</v>
      </c>
      <c r="AT28" s="104">
        <f>AB28</f>
        <v>3.1</v>
      </c>
      <c r="AU28" s="104">
        <f>AH28</f>
        <v>2.5</v>
      </c>
      <c r="AV28" s="104">
        <f>AN28</f>
        <v>2</v>
      </c>
    </row>
    <row r="29" spans="1:48" ht="12.75" x14ac:dyDescent="0.2">
      <c r="A29" s="45"/>
      <c r="B29" s="52"/>
      <c r="C29" s="95"/>
      <c r="D29" s="124"/>
      <c r="E29" s="95"/>
      <c r="F29" s="95"/>
      <c r="G29" s="95"/>
      <c r="K29" s="52"/>
      <c r="L29" s="52"/>
      <c r="M29" s="124"/>
      <c r="N29" s="95"/>
      <c r="O29" s="95"/>
      <c r="Q29" s="46" t="s">
        <v>223</v>
      </c>
      <c r="R29" s="46" t="s">
        <v>73</v>
      </c>
      <c r="S29" s="46" t="s">
        <v>211</v>
      </c>
      <c r="T29" s="137">
        <f>T25</f>
        <v>95</v>
      </c>
      <c r="U29" s="138">
        <f>U25</f>
        <v>0.89999999999999991</v>
      </c>
      <c r="V29" s="137">
        <f>V25</f>
        <v>84.644999999999982</v>
      </c>
      <c r="W29" s="179" t="str">
        <f>W22</f>
        <v>-</v>
      </c>
      <c r="X29" s="152">
        <f>X25</f>
        <v>-5.355000000000004</v>
      </c>
      <c r="Y29" s="161">
        <f>Y25</f>
        <v>-5.9500000000000053E-2</v>
      </c>
      <c r="Z29" s="12"/>
      <c r="AA29" s="176"/>
      <c r="AB29" s="177"/>
      <c r="AC29" s="176"/>
      <c r="AD29" s="157"/>
      <c r="AE29" s="124"/>
      <c r="AF29" s="177"/>
      <c r="AG29" s="176"/>
      <c r="AH29" s="177"/>
      <c r="AI29" s="176"/>
      <c r="AJ29" s="176"/>
      <c r="AK29" s="124"/>
      <c r="AL29" s="45"/>
      <c r="AM29" s="158"/>
      <c r="AN29" s="159"/>
      <c r="AO29" s="159"/>
      <c r="AP29" s="159"/>
      <c r="AQ29" s="159"/>
      <c r="AR29" s="45"/>
      <c r="AS29" s="45"/>
      <c r="AT29" s="104"/>
      <c r="AU29" s="104"/>
      <c r="AV29" s="104"/>
    </row>
    <row r="30" spans="1:48" ht="12.75" x14ac:dyDescent="0.2">
      <c r="A30" s="45"/>
      <c r="B30" s="52"/>
      <c r="C30" s="95"/>
      <c r="D30" s="124"/>
      <c r="E30" s="95"/>
      <c r="F30" s="95"/>
      <c r="G30" s="95"/>
      <c r="K30" s="52"/>
      <c r="L30" s="52"/>
      <c r="M30" s="124"/>
      <c r="N30" s="95"/>
      <c r="O30" s="95"/>
      <c r="Q30" s="46" t="s">
        <v>220</v>
      </c>
      <c r="R30" s="46" t="s">
        <v>73</v>
      </c>
      <c r="S30" s="131" t="str">
        <f t="shared" ref="S30:V31" si="5">S23</f>
        <v>Profit Target</v>
      </c>
      <c r="T30" s="137">
        <f t="shared" si="5"/>
        <v>110</v>
      </c>
      <c r="U30" s="138">
        <f t="shared" si="5"/>
        <v>1.5</v>
      </c>
      <c r="V30" s="137">
        <f t="shared" si="5"/>
        <v>163.35</v>
      </c>
      <c r="W30" s="179" t="str">
        <f>W23</f>
        <v>-</v>
      </c>
      <c r="X30" s="152">
        <f>X23</f>
        <v>13.349999999999994</v>
      </c>
      <c r="Y30" s="161">
        <f>Y23</f>
        <v>8.8999999999999968E-2</v>
      </c>
      <c r="Z30" s="12"/>
      <c r="AA30" s="176"/>
      <c r="AB30" s="177"/>
      <c r="AC30" s="176"/>
      <c r="AD30" s="157"/>
      <c r="AE30" s="124"/>
      <c r="AF30" s="177"/>
      <c r="AG30" s="176"/>
      <c r="AH30" s="177"/>
      <c r="AI30" s="176"/>
      <c r="AJ30" s="176"/>
      <c r="AK30" s="62"/>
      <c r="AL30" s="45"/>
      <c r="AM30" s="176"/>
      <c r="AN30" s="177"/>
      <c r="AO30" s="176"/>
      <c r="AP30" s="176"/>
      <c r="AQ30" s="124"/>
      <c r="AR30" s="45"/>
      <c r="AS30" s="45"/>
      <c r="AT30" s="104"/>
      <c r="AU30" s="104"/>
      <c r="AV30" s="104"/>
    </row>
    <row r="31" spans="1:48" ht="12.75" x14ac:dyDescent="0.2">
      <c r="A31" s="45"/>
      <c r="B31" s="52"/>
      <c r="C31" s="62"/>
      <c r="D31" s="124"/>
      <c r="E31" s="95"/>
      <c r="F31" s="95"/>
      <c r="G31" s="95"/>
      <c r="I31" s="146"/>
      <c r="J31" s="146"/>
      <c r="K31" s="147"/>
      <c r="L31" s="147"/>
      <c r="M31" s="148"/>
      <c r="N31" s="149"/>
      <c r="O31" s="149"/>
      <c r="Q31" s="46" t="s">
        <v>216</v>
      </c>
      <c r="R31" s="46" t="s">
        <v>75</v>
      </c>
      <c r="S31" s="131" t="str">
        <f t="shared" si="5"/>
        <v>Initial</v>
      </c>
      <c r="T31" s="137">
        <f t="shared" si="5"/>
        <v>100</v>
      </c>
      <c r="U31" s="138">
        <f t="shared" si="5"/>
        <v>6</v>
      </c>
      <c r="V31" s="137">
        <f t="shared" si="5"/>
        <v>600</v>
      </c>
      <c r="W31" s="137">
        <f>W24</f>
        <v>98</v>
      </c>
      <c r="X31" s="152" t="str">
        <f>X24</f>
        <v>-</v>
      </c>
      <c r="Y31" s="152" t="str">
        <f>Y24</f>
        <v>-</v>
      </c>
      <c r="Z31" s="12"/>
      <c r="AA31" s="122"/>
      <c r="AB31" s="30"/>
      <c r="AC31" s="157"/>
      <c r="AD31" s="157"/>
      <c r="AE31" s="124"/>
      <c r="AF31" s="140"/>
      <c r="AG31" s="122"/>
      <c r="AH31" s="30"/>
      <c r="AI31" s="157"/>
      <c r="AJ31" s="157"/>
      <c r="AK31" s="124"/>
      <c r="AM31" s="158"/>
      <c r="AN31" s="159"/>
      <c r="AO31" s="159"/>
      <c r="AP31" s="159"/>
      <c r="AQ31" s="159"/>
      <c r="AS31" s="32"/>
      <c r="AT31" s="32"/>
      <c r="AU31" s="32"/>
      <c r="AV31" s="32"/>
    </row>
    <row r="32" spans="1:48" s="35" customFormat="1" ht="12.75" x14ac:dyDescent="0.2">
      <c r="A32" s="47" t="s">
        <v>225</v>
      </c>
      <c r="B32" s="40">
        <f t="shared" ref="B32:G32" si="6">B28</f>
        <v>100</v>
      </c>
      <c r="C32" s="55">
        <f t="shared" si="6"/>
        <v>0.02</v>
      </c>
      <c r="D32" s="129">
        <f t="shared" si="6"/>
        <v>0.04</v>
      </c>
      <c r="E32" s="125">
        <f t="shared" si="6"/>
        <v>0.08</v>
      </c>
      <c r="F32" s="125">
        <f t="shared" si="6"/>
        <v>0.16</v>
      </c>
      <c r="G32" s="125">
        <f t="shared" si="6"/>
        <v>0.01</v>
      </c>
      <c r="I32" s="47" t="s">
        <v>224</v>
      </c>
      <c r="J32" s="153" t="s">
        <v>34</v>
      </c>
      <c r="K32" s="153" t="s">
        <v>34</v>
      </c>
      <c r="L32" s="153" t="s">
        <v>34</v>
      </c>
      <c r="M32" s="153" t="s">
        <v>34</v>
      </c>
      <c r="N32" s="153" t="s">
        <v>34</v>
      </c>
      <c r="O32" s="153" t="s">
        <v>34</v>
      </c>
      <c r="Q32" s="47" t="str">
        <f t="shared" ref="Q32:R34" si="7">Q28</f>
        <v>BuyB</v>
      </c>
      <c r="R32" s="47" t="str">
        <f t="shared" si="7"/>
        <v>Buy</v>
      </c>
      <c r="S32" s="132" t="s">
        <v>215</v>
      </c>
      <c r="T32" s="126">
        <f>T28</f>
        <v>100</v>
      </c>
      <c r="U32" s="43">
        <f>U28</f>
        <v>4</v>
      </c>
      <c r="V32" s="126">
        <f>V28</f>
        <v>400</v>
      </c>
      <c r="W32" s="181">
        <f>W28</f>
        <v>98</v>
      </c>
      <c r="X32" s="153" t="s">
        <v>34</v>
      </c>
      <c r="Y32" s="153" t="s">
        <v>34</v>
      </c>
      <c r="Z32" s="41"/>
      <c r="AA32" s="126">
        <f>AA28</f>
        <v>100</v>
      </c>
      <c r="AB32" s="43">
        <f>AB28</f>
        <v>3.1</v>
      </c>
      <c r="AC32" s="128">
        <f>AC28</f>
        <v>310</v>
      </c>
      <c r="AD32" s="128">
        <f>AD28</f>
        <v>105.05050505050505</v>
      </c>
      <c r="AE32" s="129">
        <f>AE28</f>
        <v>-4.8076923076923087E-2</v>
      </c>
      <c r="AF32" s="170"/>
      <c r="AG32" s="126">
        <f>AG28</f>
        <v>100</v>
      </c>
      <c r="AH32" s="43">
        <f>AH28+AH25</f>
        <v>3.4</v>
      </c>
      <c r="AI32" s="128">
        <f>AI28+AI25</f>
        <v>340</v>
      </c>
      <c r="AJ32" s="128">
        <f>AJ28</f>
        <v>109.09090909090909</v>
      </c>
      <c r="AK32" s="129">
        <f>AK28</f>
        <v>-8.3333333333333356E-2</v>
      </c>
      <c r="AM32" s="126">
        <f>AM28</f>
        <v>100</v>
      </c>
      <c r="AN32" s="43">
        <f>AN28</f>
        <v>2</v>
      </c>
      <c r="AO32" s="128">
        <f>AO28</f>
        <v>200</v>
      </c>
      <c r="AP32" s="128">
        <f>AP28</f>
        <v>117.17171717171716</v>
      </c>
      <c r="AQ32" s="129">
        <f>AQ28</f>
        <v>-0.14655172413793097</v>
      </c>
      <c r="AS32" s="39">
        <f>AT32+AU32+AV32</f>
        <v>8.5</v>
      </c>
      <c r="AT32" s="39">
        <f>AB32</f>
        <v>3.1</v>
      </c>
      <c r="AU32" s="39">
        <f>AH32</f>
        <v>3.4</v>
      </c>
      <c r="AV32" s="39">
        <f>AN32</f>
        <v>2</v>
      </c>
    </row>
    <row r="33" spans="1:48" s="35" customFormat="1" ht="12.75" x14ac:dyDescent="0.2">
      <c r="A33" s="47"/>
      <c r="B33" s="40"/>
      <c r="C33" s="55"/>
      <c r="D33" s="129"/>
      <c r="E33" s="125"/>
      <c r="F33" s="125"/>
      <c r="G33" s="125"/>
      <c r="I33" s="166"/>
      <c r="J33" s="166"/>
      <c r="K33" s="167"/>
      <c r="L33" s="167"/>
      <c r="M33" s="168"/>
      <c r="N33" s="169"/>
      <c r="O33" s="169"/>
      <c r="Q33" s="166" t="str">
        <f t="shared" si="7"/>
        <v>SellB</v>
      </c>
      <c r="R33" s="166" t="str">
        <f t="shared" si="7"/>
        <v>Sell</v>
      </c>
      <c r="S33" s="173" t="s">
        <v>211</v>
      </c>
      <c r="T33" s="174">
        <f t="shared" ref="T33:V34" si="8">T29</f>
        <v>95</v>
      </c>
      <c r="U33" s="175">
        <f t="shared" si="8"/>
        <v>0.89999999999999991</v>
      </c>
      <c r="V33" s="174">
        <f t="shared" si="8"/>
        <v>84.644999999999982</v>
      </c>
      <c r="W33" s="153" t="s">
        <v>34</v>
      </c>
      <c r="X33" s="182">
        <f>X29</f>
        <v>-5.355000000000004</v>
      </c>
      <c r="Y33" s="183">
        <f>Y29</f>
        <v>-5.9500000000000053E-2</v>
      </c>
      <c r="Z33" s="41"/>
      <c r="AA33" s="126"/>
      <c r="AB33" s="43"/>
      <c r="AC33" s="128"/>
      <c r="AD33" s="128"/>
      <c r="AE33" s="129"/>
      <c r="AF33" s="170"/>
      <c r="AG33" s="126"/>
      <c r="AH33" s="43"/>
      <c r="AI33" s="128"/>
      <c r="AJ33" s="128"/>
      <c r="AK33" s="129"/>
      <c r="AM33" s="127"/>
      <c r="AN33" s="144"/>
      <c r="AO33" s="144"/>
      <c r="AP33" s="144"/>
      <c r="AQ33" s="144"/>
      <c r="AS33" s="39"/>
      <c r="AT33" s="39"/>
      <c r="AU33" s="39"/>
      <c r="AV33" s="39"/>
    </row>
    <row r="34" spans="1:48" s="35" customFormat="1" ht="12.75" x14ac:dyDescent="0.2">
      <c r="A34" s="47"/>
      <c r="B34" s="40"/>
      <c r="C34" s="55"/>
      <c r="D34" s="129"/>
      <c r="E34" s="125"/>
      <c r="F34" s="125"/>
      <c r="G34" s="125"/>
      <c r="I34" s="166"/>
      <c r="J34" s="166"/>
      <c r="K34" s="167"/>
      <c r="L34" s="167"/>
      <c r="M34" s="168"/>
      <c r="N34" s="169"/>
      <c r="O34" s="169"/>
      <c r="Q34" s="47" t="str">
        <f t="shared" si="7"/>
        <v>SellA</v>
      </c>
      <c r="R34" s="47" t="str">
        <f t="shared" si="7"/>
        <v>Sell</v>
      </c>
      <c r="S34" s="132" t="s">
        <v>221</v>
      </c>
      <c r="T34" s="126">
        <f t="shared" si="8"/>
        <v>110</v>
      </c>
      <c r="U34" s="43">
        <f t="shared" si="8"/>
        <v>1.5</v>
      </c>
      <c r="V34" s="126">
        <f t="shared" si="8"/>
        <v>163.35</v>
      </c>
      <c r="W34" s="153" t="s">
        <v>34</v>
      </c>
      <c r="X34" s="127">
        <f>X30</f>
        <v>13.349999999999994</v>
      </c>
      <c r="Y34" s="151">
        <f>Y30</f>
        <v>8.8999999999999968E-2</v>
      </c>
      <c r="Z34" s="41"/>
      <c r="AA34" s="126"/>
      <c r="AB34" s="43"/>
      <c r="AC34" s="128"/>
      <c r="AD34" s="128"/>
      <c r="AE34" s="129"/>
      <c r="AF34" s="170"/>
      <c r="AG34" s="126"/>
      <c r="AH34" s="43"/>
      <c r="AI34" s="128"/>
      <c r="AJ34" s="128"/>
      <c r="AK34" s="129"/>
      <c r="AM34" s="127"/>
      <c r="AN34" s="144"/>
      <c r="AO34" s="144"/>
      <c r="AP34" s="144"/>
      <c r="AQ34" s="144"/>
      <c r="AS34" s="39"/>
      <c r="AT34" s="39"/>
      <c r="AU34" s="39"/>
      <c r="AV34" s="39"/>
    </row>
    <row r="35" spans="1:48" s="35" customFormat="1" ht="12.75" x14ac:dyDescent="0.2">
      <c r="A35" s="47"/>
      <c r="B35" s="40"/>
      <c r="C35" s="55"/>
      <c r="D35" s="129"/>
      <c r="E35" s="125"/>
      <c r="F35" s="125"/>
      <c r="G35" s="125"/>
      <c r="I35" s="166"/>
      <c r="J35" s="166"/>
      <c r="K35" s="167"/>
      <c r="L35" s="167"/>
      <c r="M35" s="168"/>
      <c r="N35" s="169"/>
      <c r="O35" s="169"/>
      <c r="Q35" s="47" t="str">
        <f>Q27</f>
        <v>BuyA</v>
      </c>
      <c r="R35" s="47" t="str">
        <f>R27</f>
        <v>Buy</v>
      </c>
      <c r="S35" s="132" t="s">
        <v>78</v>
      </c>
      <c r="T35" s="126">
        <f>T27</f>
        <v>100</v>
      </c>
      <c r="U35" s="43">
        <f>U27</f>
        <v>6</v>
      </c>
      <c r="V35" s="126">
        <f>V27</f>
        <v>600</v>
      </c>
      <c r="W35" s="181">
        <f>W27</f>
        <v>98</v>
      </c>
      <c r="X35" s="153" t="s">
        <v>34</v>
      </c>
      <c r="Y35" s="153" t="s">
        <v>34</v>
      </c>
      <c r="Z35" s="41"/>
      <c r="AA35" s="126"/>
      <c r="AB35" s="43"/>
      <c r="AC35" s="128"/>
      <c r="AD35" s="128"/>
      <c r="AE35" s="129"/>
      <c r="AF35" s="170"/>
      <c r="AG35" s="126"/>
      <c r="AH35" s="43"/>
      <c r="AI35" s="128"/>
      <c r="AJ35" s="128"/>
      <c r="AK35" s="129"/>
      <c r="AM35" s="127"/>
      <c r="AN35" s="144"/>
      <c r="AO35" s="144"/>
      <c r="AP35" s="144"/>
      <c r="AQ35" s="144"/>
      <c r="AS35" s="39"/>
      <c r="AT35" s="39"/>
      <c r="AU35" s="39"/>
      <c r="AV35" s="39"/>
    </row>
    <row r="36" spans="1:48" ht="12.75" x14ac:dyDescent="0.2">
      <c r="A36" s="150"/>
      <c r="B36" s="33"/>
      <c r="C36" s="67"/>
      <c r="D36" s="124"/>
      <c r="E36" s="95"/>
      <c r="F36" s="95"/>
      <c r="G36" s="95"/>
      <c r="K36" s="93"/>
      <c r="L36" s="93"/>
      <c r="M36" s="124"/>
      <c r="N36" s="95"/>
      <c r="O36" s="95"/>
      <c r="Q36" s="12"/>
      <c r="R36" s="12"/>
      <c r="S36" s="12"/>
      <c r="T36" s="137"/>
      <c r="U36" s="138"/>
      <c r="V36" s="137"/>
      <c r="W36" s="137"/>
      <c r="X36" s="12"/>
      <c r="Y36" s="12"/>
      <c r="Z36" s="12"/>
      <c r="AA36" s="139"/>
      <c r="AB36" s="139"/>
      <c r="AC36" s="139"/>
      <c r="AD36" s="139"/>
      <c r="AE36" s="140"/>
      <c r="AF36" s="140"/>
      <c r="AG36" s="139"/>
      <c r="AH36" s="139"/>
      <c r="AI36" s="139"/>
      <c r="AJ36" s="139"/>
      <c r="AK36" s="140"/>
      <c r="AM36" s="139"/>
      <c r="AN36" s="139"/>
      <c r="AO36" s="139"/>
      <c r="AP36" s="139"/>
      <c r="AQ36" s="140"/>
    </row>
    <row r="37" spans="1:48" ht="12.75" x14ac:dyDescent="0.2">
      <c r="A37" s="150"/>
      <c r="B37" s="33"/>
      <c r="C37" s="67"/>
      <c r="D37" s="124"/>
      <c r="E37" s="95"/>
      <c r="F37" s="95"/>
      <c r="G37" s="95"/>
      <c r="K37" s="93"/>
      <c r="L37" s="93"/>
      <c r="M37" s="124"/>
      <c r="N37" s="95"/>
      <c r="O37" s="95"/>
      <c r="Q37" s="12"/>
      <c r="R37" s="12"/>
      <c r="S37" s="12"/>
      <c r="T37" s="137"/>
      <c r="U37" s="138"/>
      <c r="V37" s="137"/>
      <c r="W37" s="137"/>
      <c r="X37" s="12"/>
      <c r="Y37" s="12"/>
      <c r="Z37" s="12"/>
      <c r="AA37" s="139"/>
      <c r="AB37" s="139"/>
      <c r="AC37" s="139"/>
      <c r="AD37" s="139"/>
      <c r="AE37" s="140"/>
      <c r="AF37" s="140"/>
      <c r="AG37" s="139"/>
      <c r="AH37" s="139"/>
      <c r="AI37" s="139"/>
      <c r="AJ37" s="139"/>
      <c r="AK37" s="140"/>
      <c r="AM37" s="139"/>
      <c r="AN37" s="139"/>
      <c r="AO37" s="139"/>
      <c r="AP37" s="139"/>
      <c r="AQ37" s="140"/>
    </row>
    <row r="38" spans="1:48" ht="12.75" x14ac:dyDescent="0.2">
      <c r="A38" s="202" t="s">
        <v>235</v>
      </c>
      <c r="B38" s="33"/>
      <c r="C38" s="67"/>
      <c r="D38" s="124"/>
      <c r="E38" s="95"/>
      <c r="F38" s="95"/>
      <c r="G38" s="95"/>
      <c r="K38" s="93"/>
      <c r="L38" s="93"/>
      <c r="M38" s="124"/>
      <c r="N38" s="95"/>
      <c r="O38" s="95"/>
      <c r="Q38" s="12"/>
      <c r="R38" s="12"/>
      <c r="S38" s="12"/>
      <c r="T38" s="137"/>
      <c r="U38" s="138"/>
      <c r="V38" s="137"/>
      <c r="W38" s="137"/>
      <c r="X38" s="12"/>
      <c r="Y38" s="12"/>
      <c r="Z38" s="12"/>
      <c r="AA38" s="139"/>
      <c r="AB38" s="139"/>
      <c r="AC38" s="139"/>
      <c r="AD38" s="139"/>
      <c r="AE38" s="140"/>
      <c r="AF38" s="140"/>
      <c r="AG38" s="139"/>
      <c r="AH38" s="139"/>
      <c r="AI38" s="139"/>
      <c r="AJ38" s="139"/>
      <c r="AK38" s="140"/>
      <c r="AM38" s="139"/>
      <c r="AN38" s="139"/>
      <c r="AO38" s="139"/>
      <c r="AP38" s="139"/>
      <c r="AQ38" s="140"/>
    </row>
    <row r="39" spans="1:48" ht="12.75" x14ac:dyDescent="0.2">
      <c r="B39" s="45" t="s">
        <v>204</v>
      </c>
      <c r="C39" s="109"/>
      <c r="I39" s="45" t="s">
        <v>202</v>
      </c>
      <c r="Q39" s="45" t="s">
        <v>228</v>
      </c>
      <c r="S39" s="12"/>
      <c r="T39" s="12"/>
      <c r="U39" s="12"/>
      <c r="V39" s="12"/>
      <c r="W39" s="12"/>
      <c r="X39" s="12"/>
      <c r="Y39" s="12"/>
      <c r="Z39" s="12"/>
      <c r="AA39" s="130" t="s">
        <v>205</v>
      </c>
      <c r="AB39" s="46"/>
      <c r="AC39" s="46"/>
      <c r="AD39" s="46"/>
      <c r="AE39" s="46"/>
      <c r="AF39" s="46"/>
      <c r="AG39" s="130" t="s">
        <v>207</v>
      </c>
      <c r="AH39" s="46"/>
      <c r="AI39" s="46"/>
      <c r="AJ39" s="46"/>
      <c r="AK39" s="46"/>
      <c r="AL39" s="45"/>
      <c r="AM39" s="130" t="s">
        <v>208</v>
      </c>
      <c r="AN39" s="12"/>
      <c r="AO39" s="12"/>
      <c r="AP39" s="12"/>
      <c r="AQ39" s="12"/>
      <c r="AS39" s="130" t="s">
        <v>206</v>
      </c>
    </row>
    <row r="40" spans="1:48" ht="12.75" x14ac:dyDescent="0.2">
      <c r="A40" s="150"/>
      <c r="B40" s="57" t="s">
        <v>209</v>
      </c>
      <c r="C40" s="28" t="s">
        <v>190</v>
      </c>
      <c r="D40" s="57" t="s">
        <v>191</v>
      </c>
      <c r="E40" s="28" t="s">
        <v>192</v>
      </c>
      <c r="F40" s="28" t="s">
        <v>193</v>
      </c>
      <c r="G40" s="57" t="s">
        <v>112</v>
      </c>
      <c r="H40" s="101"/>
      <c r="I40" s="28" t="s">
        <v>76</v>
      </c>
      <c r="J40" s="28" t="s">
        <v>4</v>
      </c>
      <c r="K40" s="57" t="s">
        <v>0</v>
      </c>
      <c r="L40" s="57" t="s">
        <v>1</v>
      </c>
      <c r="M40" s="28" t="s">
        <v>191</v>
      </c>
      <c r="N40" s="28" t="s">
        <v>192</v>
      </c>
      <c r="O40" s="28" t="s">
        <v>193</v>
      </c>
      <c r="Q40" s="28" t="s">
        <v>234</v>
      </c>
      <c r="R40" s="28" t="s">
        <v>0</v>
      </c>
      <c r="S40" s="28" t="s">
        <v>231</v>
      </c>
      <c r="T40" s="57" t="s">
        <v>232</v>
      </c>
      <c r="U40" s="28" t="s">
        <v>230</v>
      </c>
      <c r="V40" s="57" t="s">
        <v>233</v>
      </c>
      <c r="W40" s="57"/>
      <c r="X40" s="57"/>
      <c r="Y40" s="28"/>
      <c r="Z40" s="12"/>
      <c r="AA40" s="28" t="s">
        <v>0</v>
      </c>
      <c r="AB40" s="28" t="s">
        <v>196</v>
      </c>
      <c r="AC40" s="57" t="s">
        <v>1</v>
      </c>
      <c r="AD40" s="57" t="s">
        <v>197</v>
      </c>
      <c r="AE40" s="57" t="s">
        <v>233</v>
      </c>
      <c r="AF40" s="60"/>
      <c r="AG40" s="28" t="s">
        <v>0</v>
      </c>
      <c r="AH40" s="28" t="s">
        <v>196</v>
      </c>
      <c r="AI40" s="57" t="s">
        <v>1</v>
      </c>
      <c r="AJ40" s="57" t="s">
        <v>197</v>
      </c>
      <c r="AK40" s="57" t="s">
        <v>233</v>
      </c>
      <c r="AM40" s="28" t="s">
        <v>0</v>
      </c>
      <c r="AN40" s="28" t="s">
        <v>196</v>
      </c>
      <c r="AO40" s="57" t="s">
        <v>1</v>
      </c>
      <c r="AP40" s="57" t="s">
        <v>197</v>
      </c>
      <c r="AQ40" s="57" t="s">
        <v>233</v>
      </c>
      <c r="AS40" s="57" t="s">
        <v>199</v>
      </c>
      <c r="AT40" s="28" t="s">
        <v>191</v>
      </c>
      <c r="AU40" s="28" t="s">
        <v>192</v>
      </c>
      <c r="AV40" s="28" t="s">
        <v>193</v>
      </c>
    </row>
    <row r="41" spans="1:48" ht="12.75" x14ac:dyDescent="0.2">
      <c r="A41" s="150" t="s">
        <v>216</v>
      </c>
      <c r="B41" s="52">
        <v>100</v>
      </c>
      <c r="C41" s="54">
        <v>0.02</v>
      </c>
      <c r="D41" s="124">
        <v>0.04</v>
      </c>
      <c r="E41" s="95">
        <v>0.08</v>
      </c>
      <c r="F41" s="95">
        <v>0.16</v>
      </c>
      <c r="G41" s="95">
        <v>5.0000000000000001E-3</v>
      </c>
      <c r="H41" s="95"/>
      <c r="I41" s="133" t="s">
        <v>75</v>
      </c>
      <c r="J41" s="133" t="s">
        <v>78</v>
      </c>
      <c r="K41" s="52">
        <v>100</v>
      </c>
      <c r="L41" s="52">
        <v>600</v>
      </c>
      <c r="M41" s="124">
        <v>0.5</v>
      </c>
      <c r="N41" s="95">
        <v>0.3</v>
      </c>
      <c r="O41" s="95">
        <v>0.2</v>
      </c>
      <c r="Q41" s="45" t="s">
        <v>229</v>
      </c>
      <c r="R41" s="187">
        <f>K41</f>
        <v>100</v>
      </c>
      <c r="S41" s="152" t="s">
        <v>34</v>
      </c>
      <c r="T41" s="152" t="s">
        <v>34</v>
      </c>
      <c r="U41" s="188">
        <v>0</v>
      </c>
      <c r="V41" s="197">
        <f>AE41</f>
        <v>-4.3269230769230817E-2</v>
      </c>
      <c r="W41" s="122"/>
      <c r="X41" s="152"/>
      <c r="Y41" s="152"/>
      <c r="Z41" s="12"/>
      <c r="AA41" s="122">
        <f>K41</f>
        <v>100</v>
      </c>
      <c r="AB41" s="30">
        <f>L41/K41*M41</f>
        <v>3</v>
      </c>
      <c r="AC41" s="123">
        <f>L41*M41</f>
        <v>300</v>
      </c>
      <c r="AD41" s="123">
        <f>AA41 * (1 + D41) / (1 - G41)</f>
        <v>104.52261306532664</v>
      </c>
      <c r="AE41" s="124">
        <f>(B41 - AD41) / AD41</f>
        <v>-4.3269230769230817E-2</v>
      </c>
      <c r="AF41" s="30"/>
      <c r="AG41" s="122">
        <f>R41</f>
        <v>100</v>
      </c>
      <c r="AH41" s="30">
        <f>L41/K41*N41</f>
        <v>1.7999999999999998</v>
      </c>
      <c r="AI41" s="123">
        <f>L41*M41</f>
        <v>300</v>
      </c>
      <c r="AJ41" s="123">
        <f>AG41 * (1 + E41) / (1 - G41)</f>
        <v>108.5427135678392</v>
      </c>
      <c r="AK41" s="124">
        <f>(B41 - AJ41) / AJ41</f>
        <v>-7.8703703703703748E-2</v>
      </c>
      <c r="AM41" s="122">
        <f>K41</f>
        <v>100</v>
      </c>
      <c r="AN41" s="30">
        <f>L41/K41*O41</f>
        <v>1.2000000000000002</v>
      </c>
      <c r="AO41" s="123">
        <f>L41*O41</f>
        <v>120</v>
      </c>
      <c r="AP41" s="123">
        <f>AM41 * (1 + F41) / (1 - G41)</f>
        <v>116.58291457286431</v>
      </c>
      <c r="AQ41" s="124">
        <f>(B41 - AP41) / AP41</f>
        <v>-0.14224137931034475</v>
      </c>
      <c r="AS41" s="32">
        <f>AB41+AH41+AN41</f>
        <v>6</v>
      </c>
      <c r="AT41" s="32">
        <f>AB41</f>
        <v>3</v>
      </c>
      <c r="AU41" s="32">
        <f>AH41</f>
        <v>1.7999999999999998</v>
      </c>
      <c r="AV41" s="32">
        <f>AN41</f>
        <v>1.2000000000000002</v>
      </c>
    </row>
    <row r="42" spans="1:48" ht="12.75" x14ac:dyDescent="0.2">
      <c r="A42" s="189" t="s">
        <v>238</v>
      </c>
      <c r="B42" s="40">
        <v>104</v>
      </c>
      <c r="C42" s="55">
        <v>0.02</v>
      </c>
      <c r="D42" s="129">
        <v>0.04</v>
      </c>
      <c r="E42" s="125">
        <v>0.08</v>
      </c>
      <c r="F42" s="125">
        <v>0.16</v>
      </c>
      <c r="G42" s="125">
        <v>5.0000000000000001E-3</v>
      </c>
      <c r="H42" s="125"/>
      <c r="I42" s="134"/>
      <c r="J42" s="134"/>
      <c r="K42" s="40"/>
      <c r="L42" s="40"/>
      <c r="M42" s="129"/>
      <c r="N42" s="125"/>
      <c r="O42" s="125"/>
      <c r="P42" s="35"/>
      <c r="Q42" s="47" t="s">
        <v>229</v>
      </c>
      <c r="R42" s="190">
        <f>B42</f>
        <v>104</v>
      </c>
      <c r="S42" s="153" t="s">
        <v>34</v>
      </c>
      <c r="T42" s="153" t="s">
        <v>34</v>
      </c>
      <c r="U42" s="191">
        <v>0</v>
      </c>
      <c r="V42" s="196">
        <f>AE42</f>
        <v>-5.0000000000000469E-3</v>
      </c>
      <c r="W42" s="126"/>
      <c r="X42" s="153"/>
      <c r="Y42" s="153"/>
      <c r="Z42" s="41"/>
      <c r="AA42" s="126">
        <f t="shared" ref="AA42:AC45" si="9">AA41</f>
        <v>100</v>
      </c>
      <c r="AB42" s="43">
        <f t="shared" si="9"/>
        <v>3</v>
      </c>
      <c r="AC42" s="128">
        <f t="shared" si="9"/>
        <v>300</v>
      </c>
      <c r="AD42" s="128">
        <f>AA42 * (1 + D42) / (1 - G42)</f>
        <v>104.52261306532664</v>
      </c>
      <c r="AE42" s="195">
        <f>(B42 - AD42) / AD42</f>
        <v>-5.0000000000000469E-3</v>
      </c>
      <c r="AF42" s="43"/>
      <c r="AG42" s="126">
        <f t="shared" ref="AG42:AI45" si="10">AG41</f>
        <v>100</v>
      </c>
      <c r="AH42" s="43">
        <f t="shared" si="10"/>
        <v>1.7999999999999998</v>
      </c>
      <c r="AI42" s="128">
        <f t="shared" si="10"/>
        <v>300</v>
      </c>
      <c r="AJ42" s="128">
        <f>AG42 * (1 + E42) / (1 - G42)</f>
        <v>108.5427135678392</v>
      </c>
      <c r="AK42" s="129">
        <f>(B42 - AJ42) / AJ42</f>
        <v>-4.185185185185189E-2</v>
      </c>
      <c r="AL42" s="35"/>
      <c r="AM42" s="126">
        <f t="shared" ref="AM42:AO45" si="11">AM41</f>
        <v>100</v>
      </c>
      <c r="AN42" s="43">
        <f t="shared" si="11"/>
        <v>1.2000000000000002</v>
      </c>
      <c r="AO42" s="128">
        <f t="shared" si="11"/>
        <v>120</v>
      </c>
      <c r="AP42" s="128">
        <f>AM42 * (1 + F42) / (1 - G42)</f>
        <v>116.58291457286431</v>
      </c>
      <c r="AQ42" s="129">
        <f>(B42 - AP42) / AP42</f>
        <v>-0.10793103448275854</v>
      </c>
      <c r="AR42" s="35"/>
      <c r="AS42" s="39">
        <f>AB42+AH42+AN42</f>
        <v>6</v>
      </c>
      <c r="AT42" s="39">
        <f>AB42</f>
        <v>3</v>
      </c>
      <c r="AU42" s="39">
        <f>AH42</f>
        <v>1.7999999999999998</v>
      </c>
      <c r="AV42" s="39">
        <f>AN42</f>
        <v>1.2000000000000002</v>
      </c>
    </row>
    <row r="43" spans="1:48" ht="12.75" x14ac:dyDescent="0.2">
      <c r="A43" s="150" t="s">
        <v>239</v>
      </c>
      <c r="B43" s="52">
        <v>104.7</v>
      </c>
      <c r="C43" s="54">
        <v>0.02</v>
      </c>
      <c r="D43" s="124">
        <v>0.04</v>
      </c>
      <c r="E43" s="95">
        <v>0.08</v>
      </c>
      <c r="F43" s="95">
        <v>0.16</v>
      </c>
      <c r="G43" s="95">
        <v>5.0000000000000001E-3</v>
      </c>
      <c r="H43" s="95"/>
      <c r="I43" s="133"/>
      <c r="J43" s="133"/>
      <c r="K43" s="52"/>
      <c r="L43" s="52"/>
      <c r="M43" s="124"/>
      <c r="N43" s="95"/>
      <c r="O43" s="95"/>
      <c r="Q43" s="45" t="s">
        <v>229</v>
      </c>
      <c r="R43" s="187">
        <f>B43</f>
        <v>104.7</v>
      </c>
      <c r="S43" s="152" t="s">
        <v>34</v>
      </c>
      <c r="T43" s="152" t="s">
        <v>34</v>
      </c>
      <c r="U43" s="188">
        <v>0</v>
      </c>
      <c r="V43" s="192">
        <f>AE43</f>
        <v>1.6971153846153646E-3</v>
      </c>
      <c r="W43" s="122"/>
      <c r="X43" s="152"/>
      <c r="Y43" s="152"/>
      <c r="Z43" s="12"/>
      <c r="AA43" s="122">
        <f t="shared" si="9"/>
        <v>100</v>
      </c>
      <c r="AB43" s="30">
        <f t="shared" si="9"/>
        <v>3</v>
      </c>
      <c r="AC43" s="157">
        <f t="shared" si="9"/>
        <v>300</v>
      </c>
      <c r="AD43" s="157">
        <f>AA43 * (1 + D43) / (1 - G43)</f>
        <v>104.52261306532664</v>
      </c>
      <c r="AE43" s="193">
        <f>(B43 - AD43) / AD43</f>
        <v>1.6971153846153646E-3</v>
      </c>
      <c r="AF43" s="30"/>
      <c r="AG43" s="122">
        <f t="shared" si="10"/>
        <v>100</v>
      </c>
      <c r="AH43" s="30">
        <f t="shared" si="10"/>
        <v>1.7999999999999998</v>
      </c>
      <c r="AI43" s="157">
        <f t="shared" si="10"/>
        <v>300</v>
      </c>
      <c r="AJ43" s="157">
        <f>AG43 * (1 + E43) / (1 - G43)</f>
        <v>108.5427135678392</v>
      </c>
      <c r="AK43" s="124">
        <f>(B43 - AJ43) / AJ43</f>
        <v>-3.540277777777779E-2</v>
      </c>
      <c r="AM43" s="122">
        <f t="shared" si="11"/>
        <v>100</v>
      </c>
      <c r="AN43" s="30">
        <f t="shared" si="11"/>
        <v>1.2000000000000002</v>
      </c>
      <c r="AO43" s="157">
        <f t="shared" si="11"/>
        <v>120</v>
      </c>
      <c r="AP43" s="157">
        <f>AM43 * (1 + F43) / (1 - G43)</f>
        <v>116.58291457286431</v>
      </c>
      <c r="AQ43" s="124">
        <f>(B43 - AP43) / AP43</f>
        <v>-0.10192672413793093</v>
      </c>
      <c r="AS43" s="32">
        <f>AB43+AH43+AN43</f>
        <v>6</v>
      </c>
      <c r="AT43" s="32">
        <f>AB43</f>
        <v>3</v>
      </c>
      <c r="AU43" s="32">
        <f>AH43</f>
        <v>1.7999999999999998</v>
      </c>
      <c r="AV43" s="32">
        <f>AN43</f>
        <v>1.2000000000000002</v>
      </c>
    </row>
    <row r="44" spans="1:48" ht="12.75" x14ac:dyDescent="0.2">
      <c r="A44" s="189" t="s">
        <v>240</v>
      </c>
      <c r="B44" s="40">
        <v>108.5</v>
      </c>
      <c r="C44" s="55">
        <v>0.02</v>
      </c>
      <c r="D44" s="129">
        <v>0.04</v>
      </c>
      <c r="E44" s="125">
        <v>0.08</v>
      </c>
      <c r="F44" s="125">
        <v>0.16</v>
      </c>
      <c r="G44" s="125">
        <v>5.0000000000000001E-3</v>
      </c>
      <c r="H44" s="125"/>
      <c r="I44" s="134"/>
      <c r="J44" s="134"/>
      <c r="K44" s="40"/>
      <c r="L44" s="40"/>
      <c r="M44" s="129"/>
      <c r="N44" s="125"/>
      <c r="O44" s="125"/>
      <c r="P44" s="35"/>
      <c r="Q44" s="47" t="s">
        <v>229</v>
      </c>
      <c r="R44" s="190">
        <f>B44</f>
        <v>108.5</v>
      </c>
      <c r="S44" s="153" t="s">
        <v>34</v>
      </c>
      <c r="T44" s="153" t="s">
        <v>34</v>
      </c>
      <c r="U44" s="191">
        <v>0</v>
      </c>
      <c r="V44" s="194">
        <f>AE44</f>
        <v>3.8052884615384565E-2</v>
      </c>
      <c r="W44" s="126"/>
      <c r="X44" s="153"/>
      <c r="Y44" s="153"/>
      <c r="Z44" s="41"/>
      <c r="AA44" s="126">
        <f t="shared" si="9"/>
        <v>100</v>
      </c>
      <c r="AB44" s="43">
        <f t="shared" si="9"/>
        <v>3</v>
      </c>
      <c r="AC44" s="128">
        <f t="shared" si="9"/>
        <v>300</v>
      </c>
      <c r="AD44" s="128">
        <f>AA44 * (1 + D44) / (1 - G44)</f>
        <v>104.52261306532664</v>
      </c>
      <c r="AE44" s="156">
        <f>(B44 - AD44) / AD44</f>
        <v>3.8052884615384565E-2</v>
      </c>
      <c r="AF44" s="43"/>
      <c r="AG44" s="126">
        <f t="shared" si="10"/>
        <v>100</v>
      </c>
      <c r="AH44" s="43">
        <f t="shared" si="10"/>
        <v>1.7999999999999998</v>
      </c>
      <c r="AI44" s="128">
        <f t="shared" si="10"/>
        <v>300</v>
      </c>
      <c r="AJ44" s="128">
        <f>AG44 * (1 + E44) / (1 - G44)</f>
        <v>108.5427135678392</v>
      </c>
      <c r="AK44" s="195">
        <f>(B44 - AJ44) / AJ44</f>
        <v>-3.9351851851856059E-4</v>
      </c>
      <c r="AL44" s="35"/>
      <c r="AM44" s="126">
        <f t="shared" si="11"/>
        <v>100</v>
      </c>
      <c r="AN44" s="43">
        <f t="shared" si="11"/>
        <v>1.2000000000000002</v>
      </c>
      <c r="AO44" s="128">
        <f t="shared" si="11"/>
        <v>120</v>
      </c>
      <c r="AP44" s="128">
        <f>AM44 * (1 + F44) / (1 - G44)</f>
        <v>116.58291457286431</v>
      </c>
      <c r="AQ44" s="129">
        <f>(B44 - AP44) / AP44</f>
        <v>-6.9331896551724059E-2</v>
      </c>
      <c r="AR44" s="35"/>
      <c r="AS44" s="39">
        <f>AB44+AH44+AN44</f>
        <v>6</v>
      </c>
      <c r="AT44" s="39">
        <f>AB44</f>
        <v>3</v>
      </c>
      <c r="AU44" s="39">
        <f>AH44</f>
        <v>1.7999999999999998</v>
      </c>
      <c r="AV44" s="39">
        <f>AN44</f>
        <v>1.2000000000000002</v>
      </c>
    </row>
    <row r="45" spans="1:48" ht="12.75" x14ac:dyDescent="0.2">
      <c r="A45" s="150" t="s">
        <v>220</v>
      </c>
      <c r="B45" s="52">
        <v>108.5</v>
      </c>
      <c r="C45" s="62">
        <v>0.02</v>
      </c>
      <c r="D45" s="124">
        <v>0.04</v>
      </c>
      <c r="E45" s="95">
        <v>0.08</v>
      </c>
      <c r="F45" s="95">
        <v>0.16</v>
      </c>
      <c r="G45" s="95">
        <v>5.0000000000000001E-3</v>
      </c>
      <c r="H45" s="95"/>
      <c r="I45" s="45" t="s">
        <v>73</v>
      </c>
      <c r="J45" s="45" t="s">
        <v>221</v>
      </c>
      <c r="K45" s="52">
        <v>108.5</v>
      </c>
      <c r="L45" s="152" t="s">
        <v>34</v>
      </c>
      <c r="M45" s="124">
        <v>1</v>
      </c>
      <c r="N45" s="152" t="s">
        <v>34</v>
      </c>
      <c r="O45" s="152" t="s">
        <v>34</v>
      </c>
      <c r="Q45" s="45" t="s">
        <v>229</v>
      </c>
      <c r="R45" s="187">
        <f>B45</f>
        <v>108.5</v>
      </c>
      <c r="S45" s="152" t="s">
        <v>34</v>
      </c>
      <c r="T45" s="152" t="s">
        <v>34</v>
      </c>
      <c r="U45" s="188">
        <v>0</v>
      </c>
      <c r="V45" s="199">
        <f>AK45</f>
        <v>-3.9351851851856059E-4</v>
      </c>
      <c r="W45" s="122"/>
      <c r="X45" s="152"/>
      <c r="Y45" s="152"/>
      <c r="Z45" s="12"/>
      <c r="AA45" s="162">
        <f t="shared" si="9"/>
        <v>100</v>
      </c>
      <c r="AB45" s="163">
        <f t="shared" si="9"/>
        <v>3</v>
      </c>
      <c r="AC45" s="200">
        <f t="shared" si="9"/>
        <v>300</v>
      </c>
      <c r="AD45" s="200">
        <f>AA45 * (1 + D45) / (1 - G45)</f>
        <v>104.52261306532664</v>
      </c>
      <c r="AE45" s="201">
        <f>(B45 - AD45) / AD45</f>
        <v>3.8052884615384565E-2</v>
      </c>
      <c r="AF45" s="30"/>
      <c r="AG45" s="122">
        <f t="shared" si="10"/>
        <v>100</v>
      </c>
      <c r="AH45" s="30">
        <f t="shared" si="10"/>
        <v>1.7999999999999998</v>
      </c>
      <c r="AI45" s="157">
        <f t="shared" si="10"/>
        <v>300</v>
      </c>
      <c r="AJ45" s="157">
        <f>AG45 * (1 + E45) / (1 - G45)</f>
        <v>108.5427135678392</v>
      </c>
      <c r="AK45" s="198">
        <f>(B45 - AJ45) / AJ45</f>
        <v>-3.9351851851856059E-4</v>
      </c>
      <c r="AM45" s="122">
        <f t="shared" si="11"/>
        <v>100</v>
      </c>
      <c r="AN45" s="30">
        <f t="shared" si="11"/>
        <v>1.2000000000000002</v>
      </c>
      <c r="AO45" s="157">
        <f t="shared" si="11"/>
        <v>120</v>
      </c>
      <c r="AP45" s="157">
        <f>AM45 * (1 + F45) / (1 - G45)</f>
        <v>116.58291457286431</v>
      </c>
      <c r="AQ45" s="124">
        <f>(B45 - AP45) / AP45</f>
        <v>-6.9331896551724059E-2</v>
      </c>
      <c r="AS45" s="32">
        <f>AT45+AU45+AV45</f>
        <v>3</v>
      </c>
      <c r="AT45" s="32">
        <v>0</v>
      </c>
      <c r="AU45" s="32">
        <f>AH45</f>
        <v>1.7999999999999998</v>
      </c>
      <c r="AV45" s="32">
        <f>AN45</f>
        <v>1.2000000000000002</v>
      </c>
    </row>
    <row r="46" spans="1:48" ht="12.75" x14ac:dyDescent="0.2">
      <c r="A46" s="150"/>
      <c r="B46" s="52"/>
      <c r="C46" s="54"/>
      <c r="D46" s="124"/>
      <c r="E46" s="95"/>
      <c r="F46" s="95"/>
      <c r="G46" s="95"/>
      <c r="H46" s="95"/>
      <c r="I46" s="133" t="s">
        <v>75</v>
      </c>
      <c r="J46" s="133" t="s">
        <v>78</v>
      </c>
      <c r="K46" s="52">
        <v>100</v>
      </c>
      <c r="L46" s="52">
        <v>600</v>
      </c>
      <c r="M46" s="124">
        <v>0.5</v>
      </c>
      <c r="N46" s="95">
        <v>0.3</v>
      </c>
      <c r="O46" s="95">
        <v>0.2</v>
      </c>
      <c r="Q46" s="45"/>
      <c r="R46" s="45"/>
      <c r="S46" s="131"/>
      <c r="T46" s="122"/>
      <c r="U46" s="30"/>
      <c r="V46" s="122"/>
      <c r="W46" s="122"/>
      <c r="X46" s="152"/>
      <c r="Y46" s="152"/>
      <c r="Z46" s="12"/>
      <c r="AA46" s="122"/>
      <c r="AB46" s="30"/>
      <c r="AC46" s="123"/>
      <c r="AD46" s="123"/>
      <c r="AE46" s="124"/>
      <c r="AF46" s="30"/>
      <c r="AG46" s="122"/>
      <c r="AH46" s="30"/>
      <c r="AI46" s="123"/>
      <c r="AJ46" s="123"/>
      <c r="AK46" s="124"/>
      <c r="AM46" s="122"/>
      <c r="AN46" s="30"/>
      <c r="AO46" s="123"/>
      <c r="AP46" s="123"/>
      <c r="AQ46" s="124"/>
      <c r="AS46" s="32"/>
      <c r="AT46" s="32"/>
      <c r="AU46" s="32"/>
      <c r="AV46" s="32"/>
    </row>
    <row r="47" spans="1:48" ht="12.75" x14ac:dyDescent="0.2">
      <c r="A47" s="150"/>
      <c r="B47" s="52"/>
      <c r="C47" s="54"/>
      <c r="D47" s="124"/>
      <c r="E47" s="95"/>
      <c r="F47" s="95"/>
      <c r="G47" s="95"/>
      <c r="H47" s="95"/>
      <c r="I47" s="133"/>
      <c r="J47" s="133"/>
      <c r="K47" s="52"/>
      <c r="L47" s="52"/>
      <c r="M47" s="124"/>
      <c r="N47" s="95"/>
      <c r="O47" s="95"/>
      <c r="Q47" s="45"/>
      <c r="R47" s="45"/>
      <c r="S47" s="131"/>
      <c r="T47" s="122"/>
      <c r="U47" s="30"/>
      <c r="V47" s="122"/>
      <c r="W47" s="122"/>
      <c r="X47" s="152"/>
      <c r="Y47" s="152"/>
      <c r="Z47" s="12"/>
      <c r="AA47" s="122"/>
      <c r="AB47" s="30"/>
      <c r="AC47" s="123"/>
      <c r="AD47" s="123"/>
      <c r="AE47" s="124"/>
      <c r="AF47" s="30"/>
      <c r="AG47" s="122"/>
      <c r="AH47" s="30"/>
      <c r="AI47" s="123"/>
      <c r="AJ47" s="123"/>
      <c r="AK47" s="124"/>
      <c r="AM47" s="122"/>
      <c r="AN47" s="30"/>
      <c r="AO47" s="123"/>
      <c r="AP47" s="123"/>
      <c r="AQ47" s="124"/>
      <c r="AS47" s="32"/>
      <c r="AT47" s="32"/>
      <c r="AU47" s="32"/>
      <c r="AV47" s="32"/>
    </row>
    <row r="48" spans="1:48" ht="12.75" x14ac:dyDescent="0.2">
      <c r="A48" s="203" t="s">
        <v>243</v>
      </c>
      <c r="B48" s="52"/>
      <c r="C48" s="54"/>
      <c r="D48" s="124"/>
      <c r="E48" s="95"/>
      <c r="F48" s="95"/>
      <c r="G48" s="95"/>
      <c r="H48" s="95"/>
      <c r="I48" s="133"/>
      <c r="J48" s="133"/>
      <c r="K48" s="52"/>
      <c r="L48" s="52"/>
      <c r="M48" s="124"/>
      <c r="N48" s="95"/>
      <c r="O48" s="95"/>
      <c r="Q48" s="45"/>
      <c r="R48" s="45"/>
      <c r="S48" s="131"/>
      <c r="T48" s="122"/>
      <c r="U48" s="30"/>
      <c r="V48" s="122"/>
      <c r="W48" s="122"/>
      <c r="X48" s="152"/>
      <c r="Y48" s="152"/>
      <c r="Z48" s="12"/>
      <c r="AA48" s="122"/>
      <c r="AB48" s="30"/>
      <c r="AC48" s="123"/>
      <c r="AD48" s="123"/>
      <c r="AE48" s="124"/>
      <c r="AF48" s="30"/>
      <c r="AG48" s="122"/>
      <c r="AH48" s="30"/>
      <c r="AI48" s="123"/>
      <c r="AJ48" s="123"/>
      <c r="AK48" s="124"/>
      <c r="AM48" s="122"/>
      <c r="AN48" s="30"/>
      <c r="AO48" s="123"/>
      <c r="AP48" s="123"/>
      <c r="AQ48" s="124"/>
      <c r="AS48" s="32"/>
      <c r="AT48" s="32"/>
      <c r="AU48" s="32"/>
      <c r="AV48" s="32"/>
    </row>
    <row r="49" spans="1:53" ht="12.75" x14ac:dyDescent="0.2">
      <c r="A49" s="150"/>
      <c r="B49" s="45" t="s">
        <v>204</v>
      </c>
      <c r="C49" s="109"/>
      <c r="I49" s="45" t="s">
        <v>202</v>
      </c>
      <c r="Q49" s="45" t="s">
        <v>203</v>
      </c>
      <c r="S49" s="12"/>
      <c r="T49" s="12"/>
      <c r="U49" s="12"/>
      <c r="V49" s="12"/>
      <c r="W49" s="12"/>
      <c r="X49" s="12"/>
      <c r="Y49" s="12"/>
      <c r="Z49" s="12"/>
      <c r="AA49" s="130" t="s">
        <v>205</v>
      </c>
      <c r="AB49" s="46"/>
      <c r="AC49" s="46"/>
      <c r="AD49" s="46"/>
      <c r="AE49" s="46"/>
      <c r="AF49" s="46"/>
      <c r="AG49" s="130" t="s">
        <v>207</v>
      </c>
      <c r="AH49" s="46"/>
      <c r="AI49" s="46"/>
      <c r="AJ49" s="46"/>
      <c r="AK49" s="46"/>
      <c r="AL49" s="45"/>
      <c r="AM49" s="130" t="s">
        <v>208</v>
      </c>
      <c r="AN49" s="12"/>
      <c r="AO49" s="12"/>
      <c r="AP49" s="12"/>
      <c r="AQ49" s="12"/>
      <c r="AR49" s="208"/>
      <c r="AS49" s="45" t="s">
        <v>206</v>
      </c>
      <c r="AU49" s="12"/>
      <c r="AV49" s="12"/>
      <c r="AW49" s="12"/>
      <c r="AX49" s="12"/>
      <c r="AY49" s="12"/>
      <c r="AZ49" s="12"/>
      <c r="BA49" s="12"/>
    </row>
    <row r="50" spans="1:53" ht="12.75" x14ac:dyDescent="0.2">
      <c r="A50" s="150"/>
      <c r="B50" s="57" t="s">
        <v>209</v>
      </c>
      <c r="C50" s="28" t="s">
        <v>190</v>
      </c>
      <c r="D50" s="57" t="s">
        <v>191</v>
      </c>
      <c r="E50" s="28" t="s">
        <v>192</v>
      </c>
      <c r="F50" s="28" t="s">
        <v>193</v>
      </c>
      <c r="G50" s="57" t="s">
        <v>112</v>
      </c>
      <c r="H50" s="101"/>
      <c r="I50" s="28" t="s">
        <v>76</v>
      </c>
      <c r="J50" s="28" t="s">
        <v>4</v>
      </c>
      <c r="K50" s="57" t="s">
        <v>0</v>
      </c>
      <c r="L50" s="57" t="s">
        <v>1</v>
      </c>
      <c r="M50" s="28" t="s">
        <v>191</v>
      </c>
      <c r="N50" s="28" t="s">
        <v>192</v>
      </c>
      <c r="O50" s="28" t="s">
        <v>193</v>
      </c>
      <c r="Q50" s="28"/>
      <c r="R50" s="28" t="s">
        <v>76</v>
      </c>
      <c r="S50" s="28" t="s">
        <v>4</v>
      </c>
      <c r="T50" s="57" t="s">
        <v>0</v>
      </c>
      <c r="U50" s="28" t="s">
        <v>62</v>
      </c>
      <c r="V50" s="57" t="s">
        <v>222</v>
      </c>
      <c r="W50" s="57" t="s">
        <v>190</v>
      </c>
      <c r="X50" s="57" t="s">
        <v>194</v>
      </c>
      <c r="Y50" s="28" t="s">
        <v>195</v>
      </c>
      <c r="Z50" s="12"/>
      <c r="AA50" s="28" t="s">
        <v>0</v>
      </c>
      <c r="AB50" s="28" t="s">
        <v>196</v>
      </c>
      <c r="AC50" s="57" t="s">
        <v>1</v>
      </c>
      <c r="AD50" s="57" t="s">
        <v>197</v>
      </c>
      <c r="AE50" s="57" t="s">
        <v>233</v>
      </c>
      <c r="AF50" s="60"/>
      <c r="AG50" s="28" t="s">
        <v>0</v>
      </c>
      <c r="AH50" s="28" t="s">
        <v>196</v>
      </c>
      <c r="AI50" s="57" t="s">
        <v>1</v>
      </c>
      <c r="AJ50" s="57" t="s">
        <v>197</v>
      </c>
      <c r="AK50" s="57" t="s">
        <v>233</v>
      </c>
      <c r="AM50" s="28" t="s">
        <v>0</v>
      </c>
      <c r="AN50" s="28" t="s">
        <v>196</v>
      </c>
      <c r="AO50" s="57" t="s">
        <v>1</v>
      </c>
      <c r="AP50" s="57" t="s">
        <v>197</v>
      </c>
      <c r="AQ50" s="57" t="s">
        <v>233</v>
      </c>
      <c r="AS50" s="28"/>
      <c r="AT50" s="57" t="s">
        <v>246</v>
      </c>
      <c r="AU50" s="57" t="s">
        <v>245</v>
      </c>
      <c r="AV50" s="57" t="s">
        <v>244</v>
      </c>
      <c r="AW50" s="57" t="s">
        <v>82</v>
      </c>
      <c r="AX50" s="57"/>
      <c r="AY50" s="57"/>
      <c r="AZ50" s="57"/>
      <c r="BA50" s="28"/>
    </row>
    <row r="51" spans="1:53" ht="12.75" x14ac:dyDescent="0.2">
      <c r="A51" s="150" t="s">
        <v>216</v>
      </c>
      <c r="B51" s="52">
        <v>100</v>
      </c>
      <c r="C51" s="54">
        <v>0.02</v>
      </c>
      <c r="D51" s="124">
        <v>0.04</v>
      </c>
      <c r="E51" s="95">
        <v>0.08</v>
      </c>
      <c r="F51" s="95">
        <v>0.16</v>
      </c>
      <c r="G51" s="95">
        <v>0.01</v>
      </c>
      <c r="H51" s="95"/>
      <c r="I51" s="133" t="s">
        <v>75</v>
      </c>
      <c r="J51" s="133" t="s">
        <v>78</v>
      </c>
      <c r="K51" s="52">
        <v>100</v>
      </c>
      <c r="L51" s="52">
        <v>600</v>
      </c>
      <c r="M51" s="124">
        <v>0.5</v>
      </c>
      <c r="N51" s="95">
        <v>0.3</v>
      </c>
      <c r="O51" s="95">
        <v>0.2</v>
      </c>
      <c r="Q51" s="45" t="s">
        <v>216</v>
      </c>
      <c r="R51" s="45" t="s">
        <v>75</v>
      </c>
      <c r="S51" s="131" t="s">
        <v>78</v>
      </c>
      <c r="T51" s="122">
        <f>K51</f>
        <v>100</v>
      </c>
      <c r="U51" s="30">
        <f>V51/T51</f>
        <v>6</v>
      </c>
      <c r="V51" s="122">
        <f>L51</f>
        <v>600</v>
      </c>
      <c r="W51" s="122">
        <f>T51 * (1 - ABS(C51))</f>
        <v>98</v>
      </c>
      <c r="X51" s="152" t="s">
        <v>34</v>
      </c>
      <c r="Y51" s="152" t="s">
        <v>34</v>
      </c>
      <c r="Z51" s="12"/>
      <c r="AA51" s="122">
        <f>K51</f>
        <v>100</v>
      </c>
      <c r="AB51" s="30">
        <f>L51/K51*M51</f>
        <v>3</v>
      </c>
      <c r="AC51" s="123">
        <f>L51*M51</f>
        <v>300</v>
      </c>
      <c r="AD51" s="123">
        <f>AA51 * (1 + D51) / (1 - G51)</f>
        <v>105.05050505050505</v>
      </c>
      <c r="AE51" s="124">
        <f>(B51 - AD51) / AD51</f>
        <v>-4.8076923076923087E-2</v>
      </c>
      <c r="AF51" s="30"/>
      <c r="AG51" s="122">
        <f>T51</f>
        <v>100</v>
      </c>
      <c r="AH51" s="30">
        <f>L51/K51*N51</f>
        <v>1.7999999999999998</v>
      </c>
      <c r="AI51" s="123">
        <f>L51*N51</f>
        <v>180</v>
      </c>
      <c r="AJ51" s="123">
        <f>AG51 * (1 + E51) / (1 - G51)</f>
        <v>109.09090909090909</v>
      </c>
      <c r="AK51" s="124">
        <f>(B51 - AJ51) / AJ51</f>
        <v>-8.3333333333333356E-2</v>
      </c>
      <c r="AM51" s="122">
        <f>K51</f>
        <v>100</v>
      </c>
      <c r="AN51" s="30">
        <f>L51/K51*O51</f>
        <v>1.2000000000000002</v>
      </c>
      <c r="AO51" s="123">
        <f>L51*O51</f>
        <v>120</v>
      </c>
      <c r="AP51" s="123">
        <f>AM51 * (1 + F51) / (1 - G51)</f>
        <v>117.17171717171716</v>
      </c>
      <c r="AQ51" s="124">
        <f>(B51 - AP51) / AP51</f>
        <v>-0.14655172413793097</v>
      </c>
      <c r="AS51" s="45"/>
      <c r="AT51" s="63">
        <f>V51*-1</f>
        <v>-600</v>
      </c>
      <c r="AU51" s="206">
        <f>V51</f>
        <v>600</v>
      </c>
      <c r="AV51" s="122">
        <f>U51*B51</f>
        <v>600</v>
      </c>
      <c r="AW51" s="207">
        <f>(AT51+AV51)/AU51</f>
        <v>0</v>
      </c>
      <c r="AX51" s="122"/>
      <c r="AY51" s="122"/>
      <c r="AZ51" s="152"/>
      <c r="BA51" s="152"/>
    </row>
    <row r="52" spans="1:53" ht="12.75" x14ac:dyDescent="0.2">
      <c r="A52" s="150" t="s">
        <v>220</v>
      </c>
      <c r="B52" s="52">
        <v>90</v>
      </c>
      <c r="C52" s="54">
        <v>0.02</v>
      </c>
      <c r="D52" s="124">
        <v>0.04</v>
      </c>
      <c r="E52" s="95">
        <v>0.08</v>
      </c>
      <c r="F52" s="95">
        <v>0.16</v>
      </c>
      <c r="G52" s="95">
        <v>0.01</v>
      </c>
      <c r="H52" s="95"/>
      <c r="I52" s="133" t="s">
        <v>73</v>
      </c>
      <c r="J52" s="133" t="s">
        <v>80</v>
      </c>
      <c r="K52" s="52">
        <f>B52</f>
        <v>90</v>
      </c>
      <c r="L52" s="152" t="s">
        <v>34</v>
      </c>
      <c r="M52" s="124">
        <v>0.5</v>
      </c>
      <c r="N52" s="152" t="s">
        <v>34</v>
      </c>
      <c r="O52" s="152" t="s">
        <v>34</v>
      </c>
      <c r="Q52" s="209" t="s">
        <v>220</v>
      </c>
      <c r="R52" s="45" t="s">
        <v>73</v>
      </c>
      <c r="S52" s="45" t="s">
        <v>80</v>
      </c>
      <c r="T52" s="122">
        <f>K52</f>
        <v>90</v>
      </c>
      <c r="U52" s="30">
        <f>AB51*M52</f>
        <v>1.5</v>
      </c>
      <c r="V52" s="122">
        <f>T52*U52-(T52*U52*G52)</f>
        <v>133.65</v>
      </c>
      <c r="W52" s="152" t="s">
        <v>34</v>
      </c>
      <c r="X52" s="152">
        <f>V52-(T51*U52)</f>
        <v>-16.349999999999994</v>
      </c>
      <c r="Y52" s="160">
        <f>X52/(T51*U52)</f>
        <v>-0.10899999999999996</v>
      </c>
      <c r="Z52" s="12"/>
      <c r="AA52" s="63">
        <f>AA51</f>
        <v>100</v>
      </c>
      <c r="AB52" s="32">
        <f>AB51-U52</f>
        <v>1.5</v>
      </c>
      <c r="AC52" s="63">
        <f>AC51*M52</f>
        <v>150</v>
      </c>
      <c r="AD52" s="123">
        <f>AA52 * (1 + D52) / (1 - G52)</f>
        <v>105.05050505050505</v>
      </c>
      <c r="AE52" s="124">
        <f>(B52 - AD52) / AD52</f>
        <v>-0.14326923076923079</v>
      </c>
      <c r="AG52" s="210">
        <f>AG51</f>
        <v>100</v>
      </c>
      <c r="AH52" s="32">
        <f>AH51</f>
        <v>1.7999999999999998</v>
      </c>
      <c r="AI52" s="63">
        <f>AI51</f>
        <v>180</v>
      </c>
      <c r="AJ52" s="123">
        <f>AJ51</f>
        <v>109.09090909090909</v>
      </c>
      <c r="AK52" s="124">
        <f>AK51</f>
        <v>-8.3333333333333356E-2</v>
      </c>
      <c r="AM52" s="63">
        <f>AM51</f>
        <v>100</v>
      </c>
      <c r="AN52" s="32">
        <f>AN51</f>
        <v>1.2000000000000002</v>
      </c>
      <c r="AO52" s="63">
        <f>AO51</f>
        <v>120</v>
      </c>
      <c r="AP52" s="63">
        <f>AP51</f>
        <v>117.17171717171716</v>
      </c>
      <c r="AQ52" s="95">
        <f>AQ51</f>
        <v>-0.14655172413793097</v>
      </c>
      <c r="AS52" s="45"/>
      <c r="AT52" s="63">
        <f>AT51+(V52)</f>
        <v>-466.35</v>
      </c>
      <c r="AU52" s="206">
        <f>AU51</f>
        <v>600</v>
      </c>
      <c r="AV52" s="122">
        <f>(AB52+AH52+AN52)*B52</f>
        <v>405</v>
      </c>
      <c r="AW52" s="207">
        <f>(AT52+AV52)/AU52</f>
        <v>-0.10225000000000004</v>
      </c>
      <c r="AX52" s="122"/>
      <c r="AY52" s="122"/>
      <c r="AZ52" s="152"/>
      <c r="BA52" s="152"/>
    </row>
    <row r="53" spans="1:53" ht="12.75" x14ac:dyDescent="0.2">
      <c r="A53" s="150"/>
      <c r="B53" s="52"/>
      <c r="C53" s="54"/>
      <c r="D53" s="124"/>
      <c r="E53" s="95"/>
      <c r="F53" s="95"/>
      <c r="G53" s="95"/>
      <c r="H53" s="95"/>
      <c r="I53" s="133"/>
      <c r="J53" s="133"/>
      <c r="K53" s="52"/>
      <c r="L53" s="52"/>
      <c r="M53" s="124"/>
      <c r="N53" s="95"/>
      <c r="O53" s="95"/>
      <c r="Q53" s="45"/>
      <c r="R53" s="45"/>
      <c r="S53" s="131"/>
      <c r="T53" s="122"/>
      <c r="U53" s="30"/>
      <c r="V53" s="122"/>
      <c r="W53" s="122"/>
      <c r="X53" s="152"/>
      <c r="Y53" s="152"/>
      <c r="Z53" s="12"/>
      <c r="AJ53" s="123"/>
      <c r="AK53" s="124"/>
      <c r="AU53" s="32"/>
      <c r="AV53" s="32"/>
    </row>
    <row r="54" spans="1:53" ht="12.75" x14ac:dyDescent="0.2">
      <c r="A54" s="150"/>
      <c r="B54" s="52"/>
      <c r="C54" s="54"/>
      <c r="D54" s="124"/>
      <c r="E54" s="95"/>
      <c r="F54" s="95"/>
      <c r="G54" s="95"/>
      <c r="H54" s="95"/>
      <c r="I54" s="133"/>
      <c r="J54" s="133"/>
      <c r="K54" s="52"/>
      <c r="L54" s="52"/>
      <c r="M54" s="124"/>
      <c r="N54" s="95"/>
      <c r="O54" s="95"/>
      <c r="Q54" s="45"/>
      <c r="R54" s="45"/>
      <c r="S54" s="131"/>
      <c r="T54" s="122"/>
      <c r="U54" s="30"/>
      <c r="V54" s="122"/>
      <c r="W54" s="122"/>
      <c r="X54" s="152"/>
      <c r="Y54" s="152"/>
      <c r="Z54" s="12"/>
      <c r="AA54" s="122"/>
      <c r="AB54" s="30"/>
      <c r="AC54" s="123"/>
      <c r="AD54" s="123"/>
      <c r="AE54" s="124"/>
      <c r="AF54" s="30"/>
      <c r="AG54" s="122"/>
      <c r="AH54" s="30"/>
      <c r="AI54" s="123"/>
      <c r="AJ54" s="123"/>
      <c r="AK54" s="124"/>
      <c r="AM54" s="122"/>
      <c r="AN54" s="30"/>
      <c r="AO54" s="123"/>
      <c r="AP54" s="123"/>
      <c r="AQ54" s="124"/>
      <c r="AS54" s="32"/>
      <c r="AT54" s="32"/>
      <c r="AU54" s="32"/>
      <c r="AV54" s="32"/>
    </row>
    <row r="55" spans="1:53" ht="12.75" x14ac:dyDescent="0.2">
      <c r="A55" s="150"/>
      <c r="B55" s="204"/>
      <c r="C55" s="64"/>
      <c r="D55" s="124"/>
      <c r="E55" s="95"/>
      <c r="F55" s="95"/>
      <c r="G55" s="95"/>
      <c r="H55" s="95"/>
      <c r="I55" s="133"/>
      <c r="J55" s="133"/>
      <c r="K55" s="204"/>
      <c r="L55" s="204"/>
      <c r="M55" s="205"/>
      <c r="N55" s="95"/>
      <c r="O55" s="95"/>
      <c r="Q55" s="45"/>
      <c r="R55" s="45"/>
      <c r="S55" s="131"/>
      <c r="T55" s="122"/>
      <c r="U55" s="30"/>
      <c r="V55" s="122"/>
      <c r="W55" s="122"/>
      <c r="X55" s="152"/>
      <c r="Y55" s="152"/>
      <c r="Z55" s="12"/>
      <c r="AA55" s="122"/>
      <c r="AB55" s="30"/>
      <c r="AC55" s="123"/>
      <c r="AD55" s="123"/>
      <c r="AE55" s="124"/>
      <c r="AF55" s="30"/>
      <c r="AG55" s="122"/>
      <c r="AH55" s="30"/>
      <c r="AI55" s="123"/>
      <c r="AJ55" s="123"/>
      <c r="AK55" s="124"/>
      <c r="AM55" s="122"/>
      <c r="AN55" s="30"/>
      <c r="AO55" s="123"/>
      <c r="AP55" s="123"/>
      <c r="AQ55" s="124"/>
      <c r="AS55" s="32"/>
      <c r="AT55" s="32"/>
      <c r="AU55" s="32"/>
      <c r="AV55" s="32"/>
    </row>
    <row r="56" spans="1:53" ht="12.75" x14ac:dyDescent="0.2">
      <c r="A56" s="150"/>
      <c r="B56" s="52"/>
      <c r="C56" s="54"/>
      <c r="D56" s="124"/>
      <c r="E56" s="95"/>
      <c r="F56" s="95"/>
      <c r="G56" s="95"/>
      <c r="H56" s="95"/>
      <c r="I56" s="133"/>
      <c r="J56" s="133"/>
      <c r="K56" s="52"/>
      <c r="L56" s="52"/>
      <c r="M56" s="124"/>
      <c r="N56" s="95"/>
      <c r="O56" s="95"/>
      <c r="Q56" s="45"/>
      <c r="R56" s="45"/>
      <c r="S56" s="131"/>
      <c r="T56" s="122"/>
      <c r="U56" s="30"/>
      <c r="V56" s="122"/>
      <c r="W56" s="122"/>
      <c r="X56" s="152"/>
      <c r="Y56" s="152"/>
      <c r="Z56" s="12"/>
      <c r="AA56" s="122"/>
      <c r="AB56" s="30"/>
      <c r="AC56" s="123"/>
      <c r="AD56" s="123"/>
      <c r="AE56" s="124"/>
      <c r="AF56" s="30"/>
      <c r="AG56" s="122"/>
      <c r="AH56" s="30"/>
      <c r="AI56" s="123"/>
      <c r="AJ56" s="123"/>
      <c r="AK56" s="124"/>
      <c r="AM56" s="122"/>
      <c r="AN56" s="30"/>
      <c r="AO56" s="123"/>
      <c r="AP56" s="123"/>
      <c r="AQ56" s="124"/>
      <c r="AS56" s="32"/>
      <c r="AT56" s="32"/>
      <c r="AU56" s="32"/>
      <c r="AV56" s="32"/>
    </row>
    <row r="57" spans="1:53" ht="12.75" x14ac:dyDescent="0.2">
      <c r="A57" s="150"/>
      <c r="B57" s="52"/>
      <c r="C57" s="54"/>
      <c r="D57" s="124"/>
      <c r="E57" s="95"/>
      <c r="F57" s="95"/>
      <c r="G57" s="95"/>
      <c r="H57" s="95"/>
      <c r="I57" s="133"/>
      <c r="J57" s="133"/>
      <c r="K57" s="52"/>
      <c r="L57" s="52"/>
      <c r="M57" s="124"/>
      <c r="N57" s="95"/>
      <c r="O57" s="95"/>
      <c r="Q57" s="45"/>
      <c r="R57" s="45"/>
      <c r="S57" s="131"/>
      <c r="T57" s="122"/>
      <c r="U57" s="30"/>
      <c r="V57" s="122"/>
      <c r="W57" s="122"/>
      <c r="X57" s="152"/>
      <c r="Y57" s="152"/>
      <c r="Z57" s="12"/>
      <c r="AA57" s="122"/>
      <c r="AB57" s="30"/>
      <c r="AC57" s="123"/>
      <c r="AD57" s="123"/>
      <c r="AE57" s="124"/>
      <c r="AF57" s="30"/>
      <c r="AG57" s="122"/>
      <c r="AH57" s="30"/>
      <c r="AI57" s="123"/>
      <c r="AJ57" s="123"/>
      <c r="AK57" s="124"/>
      <c r="AM57" s="122"/>
      <c r="AN57" s="30"/>
      <c r="AO57" s="123"/>
      <c r="AP57" s="123"/>
      <c r="AQ57" s="124"/>
      <c r="AS57" s="32"/>
      <c r="AT57" s="32"/>
      <c r="AU57" s="32"/>
      <c r="AV57" s="32"/>
    </row>
    <row r="58" spans="1:53" ht="12.75" x14ac:dyDescent="0.2">
      <c r="A58" s="150"/>
      <c r="B58" s="52"/>
      <c r="C58" s="54"/>
      <c r="D58" s="124"/>
      <c r="E58" s="95"/>
      <c r="F58" s="95"/>
      <c r="G58" s="95"/>
      <c r="H58" s="95"/>
      <c r="I58" s="133"/>
      <c r="J58" s="133"/>
      <c r="K58" s="52"/>
      <c r="L58" s="52"/>
      <c r="M58" s="124"/>
      <c r="N58" s="95"/>
      <c r="O58" s="95"/>
      <c r="Q58" s="45"/>
      <c r="R58" s="45"/>
      <c r="S58" s="131"/>
      <c r="T58" s="122"/>
      <c r="U58" s="30"/>
      <c r="V58" s="122"/>
      <c r="W58" s="122"/>
      <c r="X58" s="152"/>
      <c r="Y58" s="152"/>
      <c r="Z58" s="12"/>
      <c r="AA58" s="122"/>
      <c r="AB58" s="30"/>
      <c r="AC58" s="123"/>
      <c r="AD58" s="123"/>
      <c r="AE58" s="124"/>
      <c r="AF58" s="30"/>
      <c r="AG58" s="122"/>
      <c r="AH58" s="30"/>
      <c r="AI58" s="123"/>
      <c r="AJ58" s="123"/>
      <c r="AK58" s="124"/>
      <c r="AM58" s="122"/>
      <c r="AN58" s="30"/>
      <c r="AO58" s="123"/>
      <c r="AP58" s="123"/>
      <c r="AQ58" s="124"/>
      <c r="AS58" s="32"/>
      <c r="AT58" s="32"/>
      <c r="AU58" s="32"/>
      <c r="AV58" s="32"/>
    </row>
    <row r="59" spans="1:53" ht="12.75" x14ac:dyDescent="0.2">
      <c r="A59" s="150"/>
      <c r="B59" s="33"/>
      <c r="C59" s="67"/>
      <c r="D59" s="124"/>
      <c r="E59" s="95"/>
      <c r="F59" s="95"/>
      <c r="G59" s="95"/>
      <c r="K59" s="93"/>
      <c r="L59" s="93"/>
      <c r="M59" s="124"/>
      <c r="N59" s="95"/>
      <c r="O59" s="95"/>
      <c r="Q59" s="12"/>
      <c r="R59" s="12"/>
      <c r="S59" s="12"/>
      <c r="T59" s="137"/>
      <c r="U59" s="138"/>
      <c r="V59" s="137"/>
      <c r="W59" s="137"/>
      <c r="X59" s="12"/>
      <c r="Y59" s="12"/>
      <c r="Z59" s="12"/>
      <c r="AA59" s="139"/>
      <c r="AB59" s="139"/>
      <c r="AC59" s="139"/>
      <c r="AD59" s="139"/>
      <c r="AE59" s="140"/>
      <c r="AF59" s="140"/>
      <c r="AG59" s="139"/>
      <c r="AH59" s="139"/>
      <c r="AI59" s="139"/>
      <c r="AJ59" s="139"/>
      <c r="AK59" s="140"/>
      <c r="AM59" s="139"/>
      <c r="AN59" s="139"/>
      <c r="AO59" s="139"/>
      <c r="AP59" s="139"/>
      <c r="AQ59" s="140"/>
    </row>
    <row r="60" spans="1:53" ht="12.75" x14ac:dyDescent="0.2">
      <c r="A60" s="150"/>
      <c r="B60" s="33"/>
      <c r="C60" s="67"/>
      <c r="D60" s="124"/>
      <c r="E60" s="95"/>
      <c r="F60" s="95"/>
      <c r="G60" s="95"/>
      <c r="K60" s="93"/>
      <c r="L60" s="93"/>
      <c r="M60" s="124"/>
      <c r="N60" s="95"/>
      <c r="O60" s="95"/>
      <c r="Q60" s="12"/>
      <c r="R60" s="12"/>
      <c r="S60" s="12"/>
      <c r="T60" s="137"/>
      <c r="U60" s="138"/>
      <c r="V60" s="137"/>
      <c r="W60" s="137"/>
      <c r="X60" s="12"/>
      <c r="Y60" s="12"/>
      <c r="Z60" s="12"/>
      <c r="AA60" s="139"/>
      <c r="AB60" s="139"/>
      <c r="AC60" s="139"/>
      <c r="AD60" s="139"/>
      <c r="AE60" s="140"/>
      <c r="AF60" s="140"/>
      <c r="AG60" s="139"/>
      <c r="AH60" s="139"/>
      <c r="AI60" s="139"/>
      <c r="AJ60" s="139"/>
      <c r="AK60" s="140"/>
      <c r="AM60" s="139"/>
      <c r="AN60" s="139"/>
      <c r="AO60" s="139"/>
      <c r="AP60" s="139"/>
      <c r="AQ60" s="140"/>
    </row>
    <row r="61" spans="1:53" ht="12.75" x14ac:dyDescent="0.2">
      <c r="A61" s="150" t="s">
        <v>242</v>
      </c>
      <c r="B61" s="33"/>
      <c r="C61" s="67"/>
      <c r="D61" s="124"/>
      <c r="E61" s="95"/>
      <c r="F61" s="95"/>
      <c r="G61" s="95"/>
      <c r="K61" s="93"/>
      <c r="L61" s="93"/>
      <c r="M61" s="124"/>
      <c r="N61" s="95"/>
      <c r="O61" s="95"/>
      <c r="Q61" s="12"/>
      <c r="R61" s="12"/>
      <c r="S61" s="12"/>
      <c r="T61" s="137"/>
      <c r="U61" s="138"/>
      <c r="V61" s="137"/>
      <c r="W61" s="137"/>
      <c r="X61" s="12"/>
      <c r="Y61" s="12"/>
      <c r="Z61" s="12"/>
      <c r="AA61" s="139"/>
      <c r="AB61" s="139"/>
      <c r="AC61" s="139"/>
      <c r="AD61" s="139"/>
      <c r="AE61" s="140"/>
      <c r="AF61" s="140"/>
      <c r="AG61" s="139"/>
      <c r="AH61" s="139"/>
      <c r="AI61" s="139"/>
      <c r="AJ61" s="139"/>
      <c r="AK61" s="140"/>
      <c r="AM61" s="139"/>
      <c r="AN61" s="139"/>
      <c r="AO61" s="139"/>
      <c r="AP61" s="139"/>
      <c r="AQ61" s="140"/>
    </row>
    <row r="62" spans="1:53" ht="12.75" x14ac:dyDescent="0.2">
      <c r="A62" s="45" t="s">
        <v>236</v>
      </c>
      <c r="B62" s="33"/>
      <c r="C62" s="67"/>
      <c r="D62" s="124"/>
      <c r="E62" s="95"/>
      <c r="F62" s="95"/>
      <c r="G62" s="95"/>
      <c r="K62" s="33"/>
      <c r="L62" s="33"/>
      <c r="M62" s="124"/>
      <c r="N62" s="95"/>
      <c r="O62" s="95"/>
      <c r="Q62" s="12"/>
      <c r="R62" s="12"/>
      <c r="S62" s="12"/>
      <c r="T62" s="137"/>
      <c r="U62" s="138"/>
      <c r="V62" s="137"/>
      <c r="W62" s="137"/>
      <c r="X62" s="12"/>
      <c r="Y62" s="12"/>
      <c r="Z62" s="12"/>
      <c r="AA62" s="139"/>
      <c r="AB62" s="139"/>
      <c r="AC62" s="139"/>
      <c r="AD62" s="139"/>
      <c r="AE62" s="140"/>
      <c r="AF62" s="140"/>
      <c r="AG62" s="139"/>
      <c r="AH62" s="139"/>
      <c r="AI62" s="139"/>
      <c r="AJ62" s="139"/>
      <c r="AK62" s="140"/>
      <c r="AM62" s="139"/>
      <c r="AN62" s="139"/>
      <c r="AO62" s="139"/>
      <c r="AP62" s="139"/>
      <c r="AQ62" s="140"/>
    </row>
    <row r="63" spans="1:53" ht="12.75" x14ac:dyDescent="0.2">
      <c r="A63" s="45" t="s">
        <v>237</v>
      </c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3"/>
      <c r="AB63" s="13"/>
      <c r="AC63" s="13"/>
      <c r="AD63" s="13"/>
      <c r="AE63" s="30"/>
      <c r="AF63" s="30"/>
      <c r="AG63" s="13"/>
      <c r="AH63" s="13"/>
      <c r="AI63" s="13"/>
      <c r="AJ63" s="13"/>
      <c r="AK63" s="30"/>
      <c r="AM63" s="13"/>
      <c r="AN63" s="13"/>
      <c r="AO63" s="13"/>
      <c r="AP63" s="13"/>
      <c r="AQ63" s="30"/>
    </row>
    <row r="64" spans="1:53" ht="15.75" customHeight="1" x14ac:dyDescent="0.2">
      <c r="A64" s="45" t="s">
        <v>241</v>
      </c>
    </row>
    <row r="65" spans="2:62" ht="15.75" customHeight="1" x14ac:dyDescent="0.2">
      <c r="B65" s="185" t="s">
        <v>31</v>
      </c>
      <c r="C65" s="34"/>
      <c r="AA65" s="56" t="s">
        <v>27</v>
      </c>
      <c r="AB65" s="12"/>
      <c r="AC65" s="12"/>
      <c r="AD65" s="12"/>
      <c r="AE65" s="12"/>
      <c r="AF65" s="12"/>
      <c r="AG65" s="56" t="s">
        <v>28</v>
      </c>
      <c r="AH65" s="12"/>
      <c r="AI65" s="12"/>
      <c r="AJ65" s="12"/>
      <c r="AK65" s="12"/>
      <c r="AQ65" s="34" t="s">
        <v>52</v>
      </c>
      <c r="AW65" s="34" t="s">
        <v>53</v>
      </c>
      <c r="BD65" s="34" t="s">
        <v>65</v>
      </c>
    </row>
    <row r="66" spans="2:62" ht="15.75" customHeight="1" x14ac:dyDescent="0.2">
      <c r="B66" s="28" t="s">
        <v>61</v>
      </c>
      <c r="C66" s="28"/>
      <c r="D66" s="28" t="s">
        <v>29</v>
      </c>
      <c r="E66" s="57" t="s">
        <v>63</v>
      </c>
      <c r="F66" s="57" t="s">
        <v>72</v>
      </c>
      <c r="G66" s="57"/>
      <c r="H66" s="101"/>
      <c r="I66" s="101"/>
      <c r="J66" s="101"/>
      <c r="K66" s="101"/>
      <c r="L66" s="101"/>
      <c r="M66" s="101"/>
      <c r="N66" s="101"/>
      <c r="O66" s="101"/>
      <c r="Q66" s="28" t="s">
        <v>3</v>
      </c>
      <c r="R66" s="28"/>
      <c r="S66" s="57" t="s">
        <v>50</v>
      </c>
      <c r="T66" s="57" t="s">
        <v>70</v>
      </c>
      <c r="U66" s="28" t="s">
        <v>1</v>
      </c>
      <c r="V66" s="57" t="s">
        <v>62</v>
      </c>
      <c r="W66" s="57" t="s">
        <v>9</v>
      </c>
      <c r="X66" s="57"/>
      <c r="AA66" s="28" t="s">
        <v>30</v>
      </c>
      <c r="AB66" s="28" t="s">
        <v>1</v>
      </c>
      <c r="AC66" s="57" t="s">
        <v>10</v>
      </c>
      <c r="AD66" s="57"/>
      <c r="AE66" s="57" t="s">
        <v>64</v>
      </c>
      <c r="AF66" s="60"/>
      <c r="AG66" s="28" t="s">
        <v>30</v>
      </c>
      <c r="AH66" s="28" t="s">
        <v>1</v>
      </c>
      <c r="AI66" s="57" t="s">
        <v>10</v>
      </c>
      <c r="AJ66" s="57"/>
      <c r="AK66" s="57" t="s">
        <v>64</v>
      </c>
      <c r="AL66" s="28" t="s">
        <v>58</v>
      </c>
      <c r="AM66" s="28"/>
      <c r="AN66" s="28" t="s">
        <v>59</v>
      </c>
      <c r="AO66" s="28" t="s">
        <v>60</v>
      </c>
      <c r="AQ66" s="61" t="s">
        <v>54</v>
      </c>
      <c r="AR66" s="61" t="s">
        <v>57</v>
      </c>
      <c r="AS66" s="61" t="s">
        <v>55</v>
      </c>
      <c r="AT66" s="61" t="s">
        <v>57</v>
      </c>
      <c r="AU66" s="61" t="s">
        <v>56</v>
      </c>
      <c r="AV66" s="61" t="s">
        <v>57</v>
      </c>
      <c r="AW66" s="28" t="s">
        <v>54</v>
      </c>
      <c r="AX66" s="28" t="s">
        <v>57</v>
      </c>
      <c r="AY66" s="28" t="s">
        <v>55</v>
      </c>
      <c r="AZ66" s="28" t="s">
        <v>57</v>
      </c>
      <c r="BA66" s="28" t="s">
        <v>56</v>
      </c>
      <c r="BB66" s="28" t="s">
        <v>57</v>
      </c>
      <c r="BC66" s="60"/>
      <c r="BD66" s="61" t="s">
        <v>54</v>
      </c>
      <c r="BE66" s="61" t="s">
        <v>57</v>
      </c>
      <c r="BF66" s="61" t="s">
        <v>55</v>
      </c>
      <c r="BG66" s="61" t="s">
        <v>57</v>
      </c>
      <c r="BH66" s="61" t="s">
        <v>66</v>
      </c>
      <c r="BI66" s="61" t="s">
        <v>56</v>
      </c>
      <c r="BJ66" s="61" t="s">
        <v>57</v>
      </c>
    </row>
    <row r="67" spans="2:62" ht="15.75" customHeight="1" x14ac:dyDescent="0.2">
      <c r="B67" s="33">
        <v>100</v>
      </c>
      <c r="C67" s="33"/>
      <c r="D67" s="29">
        <v>0.7</v>
      </c>
      <c r="E67" s="50">
        <v>5</v>
      </c>
      <c r="F67">
        <v>10</v>
      </c>
      <c r="Q67" s="12" t="s">
        <v>32</v>
      </c>
      <c r="R67" s="12"/>
      <c r="S67" s="13"/>
      <c r="T67" s="13"/>
      <c r="U67" s="13">
        <v>200</v>
      </c>
      <c r="V67" s="58" t="e">
        <f>U67/#REF!</f>
        <v>#REF!</v>
      </c>
      <c r="W67" s="58"/>
      <c r="X67" s="58"/>
      <c r="AA67" s="31" t="e">
        <f>#REF!</f>
        <v>#REF!</v>
      </c>
      <c r="AB67" s="31">
        <f>U67*D67</f>
        <v>140</v>
      </c>
      <c r="AC67" s="63" t="e">
        <f>(#REF!+(#REF!*(F67/100)))/(1-#REF!/100)</f>
        <v>#REF!</v>
      </c>
      <c r="AD67" s="63"/>
      <c r="AE67" s="32" t="e">
        <f>AB67/AA67</f>
        <v>#REF!</v>
      </c>
      <c r="AF67" s="32"/>
      <c r="AG67" s="31" t="e">
        <f>#REF!</f>
        <v>#REF!</v>
      </c>
      <c r="AH67" s="31">
        <f>U67*(1-D67)</f>
        <v>60.000000000000007</v>
      </c>
      <c r="AI67" s="63" t="e">
        <f>(#REF!+(#REF!*(F67/100)))/(1-#REF!/100)</f>
        <v>#REF!</v>
      </c>
      <c r="AJ67" s="63"/>
      <c r="AK67" s="32" t="e">
        <f>AH67/AG67</f>
        <v>#REF!</v>
      </c>
      <c r="AL67" s="32" t="e">
        <f>AE67</f>
        <v>#REF!</v>
      </c>
      <c r="AM67" s="32"/>
      <c r="AN67" s="32" t="e">
        <f>AK67</f>
        <v>#REF!</v>
      </c>
      <c r="AO67" s="32" t="e">
        <f>AL67+AN67</f>
        <v>#REF!</v>
      </c>
      <c r="AQ67" s="52">
        <v>0</v>
      </c>
      <c r="AR67" s="50">
        <v>0</v>
      </c>
      <c r="AS67" s="52">
        <v>0</v>
      </c>
      <c r="AT67" s="50">
        <v>0</v>
      </c>
      <c r="AU67" s="52">
        <v>0</v>
      </c>
      <c r="AV67" s="54">
        <v>0</v>
      </c>
      <c r="AW67" s="52">
        <v>0</v>
      </c>
      <c r="AX67" s="50">
        <v>0</v>
      </c>
      <c r="AY67" s="52">
        <v>0</v>
      </c>
      <c r="AZ67" s="50">
        <v>0</v>
      </c>
      <c r="BA67" s="52">
        <v>0</v>
      </c>
      <c r="BB67" s="50">
        <v>0</v>
      </c>
      <c r="BC67" s="50"/>
      <c r="BD67" s="52">
        <v>0</v>
      </c>
      <c r="BE67" s="50">
        <v>0</v>
      </c>
      <c r="BF67" s="52">
        <v>0</v>
      </c>
      <c r="BG67" s="50">
        <v>0</v>
      </c>
      <c r="BH67" s="52">
        <v>0</v>
      </c>
      <c r="BI67" s="52">
        <v>0</v>
      </c>
      <c r="BJ67" s="50">
        <v>0</v>
      </c>
    </row>
    <row r="68" spans="2:62" ht="15.75" customHeight="1" x14ac:dyDescent="0.2">
      <c r="B68" s="36">
        <v>100</v>
      </c>
      <c r="C68" s="36"/>
      <c r="D68" s="37">
        <v>0.7</v>
      </c>
      <c r="E68" s="51">
        <v>5</v>
      </c>
      <c r="F68" s="35">
        <v>10</v>
      </c>
      <c r="G68" s="35"/>
      <c r="Q68" s="41" t="s">
        <v>51</v>
      </c>
      <c r="R68" s="41"/>
      <c r="S68" s="42">
        <v>20</v>
      </c>
      <c r="T68" s="42"/>
      <c r="U68" s="42"/>
      <c r="V68" s="59"/>
      <c r="W68" s="59"/>
      <c r="X68" s="59"/>
      <c r="AA68" s="38"/>
      <c r="AB68" s="38"/>
      <c r="AC68" s="65"/>
      <c r="AD68" s="65"/>
      <c r="AE68" s="39"/>
      <c r="AF68" s="32"/>
      <c r="AG68" s="38"/>
      <c r="AH68" s="38"/>
      <c r="AI68" s="38"/>
      <c r="AJ68" s="38"/>
      <c r="AK68" s="39"/>
      <c r="AL68" s="39" t="e">
        <f t="shared" ref="AL68:AO68" si="12">AL67</f>
        <v>#REF!</v>
      </c>
      <c r="AM68" s="39"/>
      <c r="AN68" s="39" t="e">
        <f t="shared" si="12"/>
        <v>#REF!</v>
      </c>
      <c r="AO68" s="39" t="e">
        <f t="shared" si="12"/>
        <v>#REF!</v>
      </c>
      <c r="AQ68" s="40">
        <f>AQ67</f>
        <v>0</v>
      </c>
      <c r="AR68" s="51">
        <f t="shared" ref="AR68:AT68" si="13">AR67</f>
        <v>0</v>
      </c>
      <c r="AS68" s="40">
        <f t="shared" si="13"/>
        <v>0</v>
      </c>
      <c r="AT68" s="51">
        <f t="shared" si="13"/>
        <v>0</v>
      </c>
      <c r="AU68" s="40">
        <f>AU67</f>
        <v>0</v>
      </c>
      <c r="AV68" s="55">
        <f>AU68/U67</f>
        <v>0</v>
      </c>
      <c r="AW68" s="40">
        <f>AW67</f>
        <v>0</v>
      </c>
      <c r="AX68" s="51">
        <f t="shared" ref="AX68" si="14">AX67</f>
        <v>0</v>
      </c>
      <c r="AY68" s="40">
        <f t="shared" ref="AY68" si="15">AY67</f>
        <v>0</v>
      </c>
      <c r="AZ68" s="51">
        <f t="shared" ref="AZ68" si="16">AZ67</f>
        <v>0</v>
      </c>
      <c r="BA68" s="40">
        <f>BA67</f>
        <v>0</v>
      </c>
      <c r="BB68" s="51">
        <f t="shared" ref="BB68" si="17">BB67</f>
        <v>0</v>
      </c>
      <c r="BC68" s="50"/>
      <c r="BD68" s="40">
        <f>AQ68+AW68</f>
        <v>0</v>
      </c>
      <c r="BE68" s="51">
        <f t="shared" ref="BE68" si="18">BE67</f>
        <v>0</v>
      </c>
      <c r="BF68" s="40">
        <f t="shared" ref="BF68" si="19">BF67</f>
        <v>0</v>
      </c>
      <c r="BG68" s="51">
        <f t="shared" ref="BG68" si="20">BG67</f>
        <v>0</v>
      </c>
      <c r="BH68" s="65">
        <f>S68</f>
        <v>20</v>
      </c>
      <c r="BI68" s="65">
        <f>BD68+BF68+BH68</f>
        <v>20</v>
      </c>
      <c r="BJ68" s="55">
        <f>BI68/(AB67+AH67)</f>
        <v>0.1</v>
      </c>
    </row>
    <row r="69" spans="2:62" ht="15.75" customHeight="1" x14ac:dyDescent="0.2">
      <c r="B69" s="33">
        <v>300</v>
      </c>
      <c r="C69" s="33"/>
      <c r="D69" s="29">
        <v>0.7</v>
      </c>
      <c r="E69" s="50">
        <v>5</v>
      </c>
      <c r="F69">
        <v>10</v>
      </c>
      <c r="Q69" t="s">
        <v>33</v>
      </c>
      <c r="S69" s="33"/>
      <c r="T69" s="33"/>
      <c r="U69" s="33">
        <v>400</v>
      </c>
      <c r="V69" s="50" t="e">
        <f>U69/#REF!</f>
        <v>#REF!</v>
      </c>
      <c r="W69" s="50"/>
      <c r="X69" s="50"/>
      <c r="AA69" s="31" t="e">
        <f>AA67</f>
        <v>#REF!</v>
      </c>
      <c r="AB69" s="31">
        <v>140</v>
      </c>
      <c r="AC69" s="63" t="e">
        <f>(#REF!+(#REF!*(F67/100)))/(1-#REF!/100)</f>
        <v>#REF!</v>
      </c>
      <c r="AD69" s="63"/>
      <c r="AE69" s="32">
        <v>1.4</v>
      </c>
      <c r="AF69" s="32"/>
      <c r="AG69" s="31">
        <v>100</v>
      </c>
      <c r="AH69" s="31">
        <v>60.000000000000007</v>
      </c>
      <c r="AI69" s="63" t="e">
        <f>(#REF!+(#REF!*(F67/100)))/(1-#REF!/100)</f>
        <v>#REF!</v>
      </c>
      <c r="AJ69" s="63"/>
      <c r="AK69" s="32">
        <v>0.60000000000000009</v>
      </c>
      <c r="AL69" s="32" t="e">
        <f>AL68+AE70</f>
        <v>#REF!</v>
      </c>
      <c r="AM69" s="32"/>
      <c r="AN69" s="32" t="e">
        <f>AN68</f>
        <v>#REF!</v>
      </c>
      <c r="AO69" s="32" t="e">
        <f>AL69+AN69</f>
        <v>#REF!</v>
      </c>
      <c r="AQ69" s="52">
        <f>AQ68</f>
        <v>0</v>
      </c>
      <c r="AR69" s="50">
        <f>AR68</f>
        <v>0</v>
      </c>
      <c r="AS69" s="52">
        <f>AS68</f>
        <v>0</v>
      </c>
      <c r="AT69" s="50">
        <f>AT68</f>
        <v>0</v>
      </c>
      <c r="AU69" s="52">
        <f>AU68</f>
        <v>0</v>
      </c>
      <c r="AV69" s="64">
        <f>AU69 / (U67+U69)</f>
        <v>0</v>
      </c>
      <c r="AW69" s="52" t="e">
        <f>(B69*AL69)-(AB69+AB70)</f>
        <v>#REF!</v>
      </c>
      <c r="AX69" s="54" t="e">
        <f>AW69/(AB69+AB70)</f>
        <v>#REF!</v>
      </c>
      <c r="AY69" s="52" t="e">
        <f>(AN69*B69)-AH69</f>
        <v>#REF!</v>
      </c>
      <c r="AZ69" s="53" t="e">
        <f>AY69/(AG69*AK69)</f>
        <v>#REF!</v>
      </c>
      <c r="BA69" s="52" t="e">
        <f>AW69+AY69</f>
        <v>#REF!</v>
      </c>
      <c r="BB69" s="62" t="e">
        <f>BA69/(AB69+AB70+AH69)</f>
        <v>#REF!</v>
      </c>
      <c r="BC69" s="62"/>
      <c r="BD69" s="52" t="e">
        <f>AQ69+AW69</f>
        <v>#REF!</v>
      </c>
      <c r="BE69" s="54" t="e">
        <f>AX69</f>
        <v>#REF!</v>
      </c>
      <c r="BF69" s="52" t="e">
        <f>AS69+AY69</f>
        <v>#REF!</v>
      </c>
      <c r="BG69" s="53" t="e">
        <f>BF69/AH69</f>
        <v>#REF!</v>
      </c>
      <c r="BH69" s="63">
        <f>BH68</f>
        <v>20</v>
      </c>
      <c r="BI69" s="52" t="e">
        <f>BD69+BF69+BH69</f>
        <v>#REF!</v>
      </c>
      <c r="BJ69" s="54" t="e">
        <f>BI69/(AB69+AB70+AH69)</f>
        <v>#REF!</v>
      </c>
    </row>
    <row r="70" spans="2:62" ht="15.75" customHeight="1" x14ac:dyDescent="0.2">
      <c r="E70" s="50"/>
      <c r="V70" s="50"/>
      <c r="W70" s="50"/>
      <c r="X70" s="50"/>
      <c r="AA70" s="31" t="e">
        <f>#REF!</f>
        <v>#REF!</v>
      </c>
      <c r="AB70" s="31">
        <f>U69</f>
        <v>400</v>
      </c>
      <c r="AC70" s="63" t="e">
        <f>(#REF!+(#REF!*(F69/100)))/(1-#REF!/100)</f>
        <v>#REF!</v>
      </c>
      <c r="AD70" s="63"/>
      <c r="AE70" s="32" t="e">
        <f>AB70/AA70</f>
        <v>#REF!</v>
      </c>
      <c r="AF70" s="32"/>
      <c r="AG70" s="49" t="s">
        <v>34</v>
      </c>
      <c r="AH70" s="49" t="s">
        <v>34</v>
      </c>
      <c r="AI70" s="49" t="s">
        <v>34</v>
      </c>
      <c r="AJ70" s="49"/>
      <c r="AK70" s="49" t="s">
        <v>34</v>
      </c>
      <c r="AR70" s="50"/>
      <c r="AT70" s="50"/>
      <c r="AV70" s="54"/>
      <c r="AW70" s="31"/>
      <c r="AX70" s="54"/>
      <c r="AZ70" s="50"/>
      <c r="BB70" s="50"/>
      <c r="BC70" s="50"/>
      <c r="BE70" s="50"/>
      <c r="BG70" s="50"/>
      <c r="BH70" s="63"/>
      <c r="BJ70" s="50"/>
    </row>
    <row r="71" spans="2:62" ht="15.75" customHeight="1" x14ac:dyDescent="0.2">
      <c r="B71" s="36">
        <v>910</v>
      </c>
      <c r="C71" s="36"/>
      <c r="D71" s="37">
        <v>0.7</v>
      </c>
      <c r="E71" s="51">
        <v>5</v>
      </c>
      <c r="F71" s="35">
        <v>10</v>
      </c>
      <c r="G71" s="35"/>
      <c r="Q71" s="35" t="s">
        <v>35</v>
      </c>
      <c r="R71" s="35"/>
      <c r="S71" s="36"/>
      <c r="T71" s="36"/>
      <c r="U71" s="36">
        <v>350</v>
      </c>
      <c r="V71" s="51" t="e">
        <f>U71/#REF!</f>
        <v>#REF!</v>
      </c>
      <c r="W71" s="51"/>
      <c r="X71" s="51"/>
      <c r="AA71" s="38" t="e">
        <f>AA69</f>
        <v>#REF!</v>
      </c>
      <c r="AB71" s="38">
        <v>140</v>
      </c>
      <c r="AC71" s="65" t="e">
        <f>AC69</f>
        <v>#REF!</v>
      </c>
      <c r="AD71" s="65"/>
      <c r="AE71" s="39">
        <v>1.4</v>
      </c>
      <c r="AF71" s="32"/>
      <c r="AG71" s="38">
        <v>100</v>
      </c>
      <c r="AH71" s="38">
        <v>60.000000000000007</v>
      </c>
      <c r="AI71" s="65" t="e">
        <f>AI69</f>
        <v>#REF!</v>
      </c>
      <c r="AJ71" s="65"/>
      <c r="AK71" s="39">
        <v>0.60000000000000009</v>
      </c>
      <c r="AL71" s="39" t="e">
        <f>AL69</f>
        <v>#REF!</v>
      </c>
      <c r="AM71" s="39"/>
      <c r="AN71" s="39" t="e">
        <f>AN69+AK72</f>
        <v>#REF!</v>
      </c>
      <c r="AO71" s="39" t="e">
        <f>AL71+AN71</f>
        <v>#REF!</v>
      </c>
      <c r="AQ71" s="40">
        <f t="shared" ref="AQ71:AV71" si="21">AQ69</f>
        <v>0</v>
      </c>
      <c r="AR71" s="51">
        <f t="shared" si="21"/>
        <v>0</v>
      </c>
      <c r="AS71" s="40">
        <f t="shared" si="21"/>
        <v>0</v>
      </c>
      <c r="AT71" s="51">
        <f t="shared" si="21"/>
        <v>0</v>
      </c>
      <c r="AU71" s="40">
        <f t="shared" si="21"/>
        <v>0</v>
      </c>
      <c r="AV71" s="55">
        <f t="shared" si="21"/>
        <v>0</v>
      </c>
      <c r="AW71" s="40" t="e">
        <f>(B71*AL71)-(AB71+AB72)</f>
        <v>#REF!</v>
      </c>
      <c r="AX71" s="55" t="e">
        <f>AW71/(AB71+AB72)</f>
        <v>#REF!</v>
      </c>
      <c r="AY71" s="40" t="e">
        <f>(AN71*B71)-(AH71+AH72)</f>
        <v>#REF!</v>
      </c>
      <c r="AZ71" s="55" t="e">
        <f>AY71/(AH71+AH72)</f>
        <v>#REF!</v>
      </c>
      <c r="BA71" s="40" t="e">
        <f>AW71+AY71</f>
        <v>#REF!</v>
      </c>
      <c r="BB71" s="55" t="e">
        <f>BA71/(AB71+AB72+AH71+AH72)</f>
        <v>#REF!</v>
      </c>
      <c r="BC71" s="50"/>
      <c r="BD71" s="40" t="e">
        <f>AQ71+AW71</f>
        <v>#REF!</v>
      </c>
      <c r="BE71" s="55" t="e">
        <f>AX71</f>
        <v>#REF!</v>
      </c>
      <c r="BF71" s="40" t="e">
        <f>AS71+AY71</f>
        <v>#REF!</v>
      </c>
      <c r="BG71" s="55" t="e">
        <f>BF71/(AH71+AH72)</f>
        <v>#REF!</v>
      </c>
      <c r="BH71" s="65">
        <f>BH69</f>
        <v>20</v>
      </c>
      <c r="BI71" s="40" t="e">
        <f>BD71+BF71+BH71</f>
        <v>#REF!</v>
      </c>
      <c r="BJ71" s="55" t="e">
        <f>BI71/(AB71+AB72+AH71+AH72)</f>
        <v>#REF!</v>
      </c>
    </row>
    <row r="72" spans="2:62" ht="15.75" customHeight="1" x14ac:dyDescent="0.2">
      <c r="B72" s="35"/>
      <c r="C72" s="35"/>
      <c r="D72" s="35"/>
      <c r="E72" s="51"/>
      <c r="F72" s="35"/>
      <c r="G72" s="35"/>
      <c r="Q72" s="35"/>
      <c r="R72" s="35"/>
      <c r="S72" s="35"/>
      <c r="T72" s="35"/>
      <c r="U72" s="35"/>
      <c r="V72" s="51"/>
      <c r="W72" s="51"/>
      <c r="X72" s="51"/>
      <c r="AA72" s="38" t="e">
        <f>AA70</f>
        <v>#REF!</v>
      </c>
      <c r="AB72" s="38">
        <v>400</v>
      </c>
      <c r="AC72" s="65" t="e">
        <f>AC70</f>
        <v>#REF!</v>
      </c>
      <c r="AD72" s="65"/>
      <c r="AE72" s="39">
        <v>1.6</v>
      </c>
      <c r="AF72" s="32"/>
      <c r="AG72" s="36" t="e">
        <f>#REF!</f>
        <v>#REF!</v>
      </c>
      <c r="AH72" s="36">
        <f>U71</f>
        <v>350</v>
      </c>
      <c r="AI72" s="65" t="e">
        <f>(#REF!+(#REF!*(F71/100)))/(1-#REF!/100)</f>
        <v>#REF!</v>
      </c>
      <c r="AJ72" s="65"/>
      <c r="AK72" s="39" t="e">
        <f>AH72/AG72</f>
        <v>#REF!</v>
      </c>
      <c r="AR72" s="50"/>
      <c r="AT72" s="50"/>
      <c r="AV72" s="50"/>
      <c r="AX72" s="50"/>
      <c r="AZ72" s="50"/>
      <c r="BB72" s="50"/>
      <c r="BC72" s="50"/>
      <c r="BE72" s="50"/>
      <c r="BG72" s="50"/>
      <c r="BH72" s="63"/>
      <c r="BJ72" s="50"/>
    </row>
    <row r="73" spans="2:62" ht="15.75" customHeight="1" x14ac:dyDescent="0.2">
      <c r="B73" s="33">
        <v>910</v>
      </c>
      <c r="C73" s="33"/>
      <c r="D73" s="29">
        <v>0.7</v>
      </c>
      <c r="E73" s="50">
        <v>5</v>
      </c>
      <c r="F73">
        <v>10</v>
      </c>
      <c r="Q73" t="s">
        <v>49</v>
      </c>
      <c r="S73" s="33">
        <v>10</v>
      </c>
      <c r="T73" s="33"/>
      <c r="V73" s="50"/>
      <c r="W73" s="50"/>
      <c r="X73" s="50"/>
      <c r="AA73" s="31"/>
      <c r="AB73" s="31"/>
      <c r="AC73" s="31"/>
      <c r="AD73" s="31"/>
      <c r="AE73" s="31"/>
      <c r="AF73" s="31"/>
      <c r="AG73" s="33"/>
      <c r="AH73" s="33"/>
      <c r="AI73" s="31"/>
      <c r="AJ73" s="31"/>
      <c r="AK73" s="32"/>
      <c r="AL73" s="32" t="e">
        <f>AL71</f>
        <v>#REF!</v>
      </c>
      <c r="AM73" s="32"/>
      <c r="AN73" s="32" t="e">
        <f>AN71+AK74</f>
        <v>#REF!</v>
      </c>
      <c r="AO73" s="32" t="e">
        <f>AL73+AN73</f>
        <v>#REF!</v>
      </c>
      <c r="AQ73" s="52">
        <f t="shared" ref="AQ73:AV74" si="22">AQ71</f>
        <v>0</v>
      </c>
      <c r="AR73" s="50">
        <f t="shared" si="22"/>
        <v>0</v>
      </c>
      <c r="AS73" s="52">
        <f t="shared" si="22"/>
        <v>0</v>
      </c>
      <c r="AT73" s="50">
        <f t="shared" si="22"/>
        <v>0</v>
      </c>
      <c r="AU73" s="52">
        <f t="shared" si="22"/>
        <v>0</v>
      </c>
      <c r="AV73" s="62">
        <f t="shared" si="22"/>
        <v>0</v>
      </c>
      <c r="AW73" s="52" t="e">
        <f t="shared" ref="AW73:BB73" si="23">AW71</f>
        <v>#REF!</v>
      </c>
      <c r="AX73" s="62" t="e">
        <f t="shared" si="23"/>
        <v>#REF!</v>
      </c>
      <c r="AY73" s="52" t="e">
        <f t="shared" si="23"/>
        <v>#REF!</v>
      </c>
      <c r="AZ73" s="62" t="e">
        <f t="shared" si="23"/>
        <v>#REF!</v>
      </c>
      <c r="BA73" s="52" t="e">
        <f t="shared" si="23"/>
        <v>#REF!</v>
      </c>
      <c r="BB73" s="62" t="e">
        <f t="shared" si="23"/>
        <v>#REF!</v>
      </c>
      <c r="BC73" s="50"/>
      <c r="BD73" s="52" t="e">
        <f>BD71</f>
        <v>#REF!</v>
      </c>
      <c r="BE73" s="62" t="e">
        <f>BE71</f>
        <v>#REF!</v>
      </c>
      <c r="BF73" s="52" t="e">
        <f>BF71</f>
        <v>#REF!</v>
      </c>
      <c r="BG73" s="62" t="e">
        <f>BG71</f>
        <v>#REF!</v>
      </c>
      <c r="BH73" s="63">
        <f>BH71+S73</f>
        <v>30</v>
      </c>
      <c r="BI73" s="52" t="e">
        <f>BD73+BF73+BH73</f>
        <v>#REF!</v>
      </c>
      <c r="BJ73" s="62" t="e">
        <f>BI73/(AB71+AB72+AH71+AH72)</f>
        <v>#REF!</v>
      </c>
    </row>
    <row r="74" spans="2:62" ht="15.75" customHeight="1" x14ac:dyDescent="0.2">
      <c r="B74" s="36">
        <v>510</v>
      </c>
      <c r="C74" s="36"/>
      <c r="D74" s="37">
        <v>0.7</v>
      </c>
      <c r="E74" s="51">
        <v>5</v>
      </c>
      <c r="F74" s="35">
        <v>10</v>
      </c>
      <c r="G74" s="35"/>
      <c r="Q74" s="35" t="s">
        <v>36</v>
      </c>
      <c r="R74" s="35"/>
      <c r="S74" s="40"/>
      <c r="T74" s="40"/>
      <c r="U74" s="36">
        <v>100</v>
      </c>
      <c r="V74" s="51" t="e">
        <f>U74/#REF!</f>
        <v>#REF!</v>
      </c>
      <c r="W74" s="51"/>
      <c r="X74" s="51"/>
      <c r="AA74" s="38">
        <v>100</v>
      </c>
      <c r="AB74" s="38">
        <v>140</v>
      </c>
      <c r="AC74" s="38" t="e">
        <f>AC71</f>
        <v>#REF!</v>
      </c>
      <c r="AD74" s="38"/>
      <c r="AE74" s="39">
        <v>1.4</v>
      </c>
      <c r="AF74" s="32"/>
      <c r="AG74" s="38">
        <v>100</v>
      </c>
      <c r="AH74" s="38">
        <v>60.000000000000007</v>
      </c>
      <c r="AI74" s="38" t="e">
        <f>AI71</f>
        <v>#REF!</v>
      </c>
      <c r="AJ74" s="38"/>
      <c r="AK74" s="39">
        <v>0.60000000000000009</v>
      </c>
      <c r="AL74" s="39" t="e">
        <f>AE74+AE75+AE76</f>
        <v>#REF!</v>
      </c>
      <c r="AM74" s="39"/>
      <c r="AN74" s="39" t="e">
        <f>AK74+AK75+AK76</f>
        <v>#REF!</v>
      </c>
      <c r="AO74" s="39" t="e">
        <f>AL74+AN74</f>
        <v>#REF!</v>
      </c>
      <c r="AQ74" s="40">
        <f t="shared" si="22"/>
        <v>0</v>
      </c>
      <c r="AR74" s="51">
        <f t="shared" si="22"/>
        <v>0</v>
      </c>
      <c r="AS74" s="40">
        <f t="shared" si="22"/>
        <v>0</v>
      </c>
      <c r="AT74" s="51">
        <f t="shared" si="22"/>
        <v>0</v>
      </c>
      <c r="AU74" s="40">
        <f t="shared" si="22"/>
        <v>0</v>
      </c>
      <c r="AV74" s="55">
        <f t="shared" si="22"/>
        <v>0</v>
      </c>
      <c r="AW74" s="40" t="e">
        <f>(B74*AL74)-(AB74+AB75+AB76)</f>
        <v>#REF!</v>
      </c>
      <c r="AX74" s="55" t="e">
        <f>AW74/(AB74+AB75+AB76)</f>
        <v>#REF!</v>
      </c>
      <c r="AY74" s="40" t="e">
        <f>(AN74*B74)-(AH74+AH75+AH76)</f>
        <v>#REF!</v>
      </c>
      <c r="AZ74" s="55" t="e">
        <f>AY74/(AH74+AH75+AH76)</f>
        <v>#REF!</v>
      </c>
      <c r="BA74" s="40" t="e">
        <f>AW74+AY74</f>
        <v>#REF!</v>
      </c>
      <c r="BB74" s="55" t="e">
        <f>BA74/(AB74+AB75+AB76+AH74+AH75+AH76)</f>
        <v>#REF!</v>
      </c>
      <c r="BC74" s="50"/>
      <c r="BD74" s="40" t="e">
        <f>AQ74+AW74</f>
        <v>#REF!</v>
      </c>
      <c r="BE74" s="55" t="e">
        <f>AX74</f>
        <v>#REF!</v>
      </c>
      <c r="BF74" s="40" t="e">
        <f>AS74+AY74</f>
        <v>#REF!</v>
      </c>
      <c r="BG74" s="55" t="e">
        <f>BF74/(AH74+AH75+AH76)</f>
        <v>#REF!</v>
      </c>
      <c r="BH74" s="65">
        <f>BH73</f>
        <v>30</v>
      </c>
      <c r="BI74" s="40" t="e">
        <f>BD74+BF74+BH74</f>
        <v>#REF!</v>
      </c>
      <c r="BJ74" s="55" t="e">
        <f>BI74/(AB74+AB75+AB76+AH74+AH75+AH76)</f>
        <v>#REF!</v>
      </c>
    </row>
    <row r="75" spans="2:62" ht="15.75" customHeight="1" x14ac:dyDescent="0.2">
      <c r="B75" s="35"/>
      <c r="C75" s="35"/>
      <c r="D75" s="35"/>
      <c r="E75" s="51"/>
      <c r="F75" s="35"/>
      <c r="G75" s="35"/>
      <c r="Q75" s="35"/>
      <c r="R75" s="35"/>
      <c r="S75" s="35"/>
      <c r="T75" s="35"/>
      <c r="U75" s="35"/>
      <c r="V75" s="51"/>
      <c r="W75" s="51"/>
      <c r="X75" s="51"/>
      <c r="AA75" s="38">
        <v>250</v>
      </c>
      <c r="AB75" s="38">
        <v>400</v>
      </c>
      <c r="AC75" s="38" t="e">
        <f>AC72</f>
        <v>#REF!</v>
      </c>
      <c r="AD75" s="38"/>
      <c r="AE75" s="39">
        <v>1.6</v>
      </c>
      <c r="AF75" s="32"/>
      <c r="AG75" s="36">
        <v>900</v>
      </c>
      <c r="AH75" s="36">
        <v>350</v>
      </c>
      <c r="AI75" s="38" t="e">
        <f>AI72</f>
        <v>#REF!</v>
      </c>
      <c r="AJ75" s="38"/>
      <c r="AK75" s="39">
        <v>0.3888888888888889</v>
      </c>
      <c r="AL75" s="35"/>
      <c r="AM75" s="35"/>
      <c r="AN75" s="35"/>
      <c r="AO75" s="35"/>
      <c r="AQ75" s="35"/>
      <c r="AR75" s="51"/>
      <c r="AS75" s="35"/>
      <c r="AT75" s="51"/>
      <c r="AU75" s="35"/>
      <c r="AV75" s="51"/>
      <c r="AW75" s="35"/>
      <c r="AX75" s="51"/>
      <c r="AY75" s="35"/>
      <c r="AZ75" s="51"/>
      <c r="BA75" s="35"/>
      <c r="BB75" s="51"/>
      <c r="BC75" s="50"/>
      <c r="BD75" s="35"/>
      <c r="BE75" s="51"/>
      <c r="BF75" s="35"/>
      <c r="BG75" s="51"/>
      <c r="BH75" s="35"/>
      <c r="BI75" s="35"/>
      <c r="BJ75" s="51"/>
    </row>
    <row r="76" spans="2:62" ht="15.75" customHeight="1" x14ac:dyDescent="0.2">
      <c r="B76" s="35"/>
      <c r="C76" s="35"/>
      <c r="D76" s="35"/>
      <c r="E76" s="51"/>
      <c r="F76" s="35"/>
      <c r="G76" s="35"/>
      <c r="Q76" s="35"/>
      <c r="R76" s="35"/>
      <c r="S76" s="35"/>
      <c r="T76" s="35"/>
      <c r="U76" s="35"/>
      <c r="V76" s="51"/>
      <c r="W76" s="51"/>
      <c r="X76" s="51"/>
      <c r="AA76" s="40" t="e">
        <f>#REF!</f>
        <v>#REF!</v>
      </c>
      <c r="AB76" s="36">
        <f>U74*D74</f>
        <v>70</v>
      </c>
      <c r="AC76" s="65" t="e">
        <f>(#REF!+(#REF!*(F74/100)))/(1-#REF!/100)</f>
        <v>#REF!</v>
      </c>
      <c r="AD76" s="65"/>
      <c r="AE76" s="39" t="e">
        <f>AB76/AA76</f>
        <v>#REF!</v>
      </c>
      <c r="AF76" s="31"/>
      <c r="AG76" s="40" t="e">
        <f>#REF!</f>
        <v>#REF!</v>
      </c>
      <c r="AH76" s="36">
        <f>U74*(1-D74)</f>
        <v>30.000000000000004</v>
      </c>
      <c r="AI76" s="65" t="e">
        <f>(#REF!+(#REF!*(F74/100)))/(1-#REF!/100)</f>
        <v>#REF!</v>
      </c>
      <c r="AJ76" s="65"/>
      <c r="AK76" s="39" t="e">
        <f>AH76/AG76</f>
        <v>#REF!</v>
      </c>
      <c r="AL76" s="35"/>
      <c r="AM76" s="35"/>
      <c r="AN76" s="35"/>
      <c r="AO76" s="35"/>
      <c r="AQ76" s="35"/>
      <c r="AR76" s="51"/>
      <c r="AS76" s="35"/>
      <c r="AT76" s="51"/>
      <c r="AU76" s="35"/>
      <c r="AV76" s="51"/>
      <c r="AW76" s="35"/>
      <c r="AX76" s="51"/>
      <c r="AY76" s="35"/>
      <c r="AZ76" s="51"/>
      <c r="BA76" s="35"/>
      <c r="BB76" s="51"/>
      <c r="BC76" s="50"/>
      <c r="BD76" s="35"/>
      <c r="BE76" s="51"/>
      <c r="BF76" s="35"/>
      <c r="BG76" s="51"/>
      <c r="BH76" s="35"/>
      <c r="BI76" s="35"/>
      <c r="BJ76" s="51"/>
    </row>
    <row r="77" spans="2:62" ht="15.75" customHeight="1" x14ac:dyDescent="0.2">
      <c r="E77" s="50"/>
      <c r="V77" s="50"/>
      <c r="W77" s="50"/>
      <c r="X77" s="50"/>
      <c r="AA77" s="52"/>
      <c r="AB77" s="33"/>
      <c r="AC77" s="33"/>
      <c r="AD77" s="33"/>
      <c r="AE77" s="32"/>
      <c r="AF77" s="31"/>
      <c r="AG77" s="52"/>
      <c r="AH77" s="33"/>
      <c r="AI77" s="33"/>
      <c r="AJ77" s="33"/>
      <c r="AK77" s="32"/>
      <c r="AR77" s="50"/>
      <c r="AT77" s="50"/>
      <c r="AV77" s="50"/>
      <c r="AX77" s="50"/>
      <c r="AZ77" s="50"/>
      <c r="BB77" s="50"/>
      <c r="BC77" s="50"/>
      <c r="BE77" s="50"/>
      <c r="BG77" s="50"/>
      <c r="BJ77" s="50"/>
    </row>
    <row r="78" spans="2:62" ht="15.75" customHeight="1" x14ac:dyDescent="0.2">
      <c r="B78" s="185" t="s">
        <v>67</v>
      </c>
      <c r="C78" s="34"/>
      <c r="AA78" s="56" t="s">
        <v>27</v>
      </c>
      <c r="AB78" s="12"/>
      <c r="AC78" s="12"/>
      <c r="AD78" s="12"/>
      <c r="AE78" s="12"/>
      <c r="AF78" s="12"/>
      <c r="AG78" s="56" t="s">
        <v>28</v>
      </c>
      <c r="AH78" s="12"/>
      <c r="AI78" s="12"/>
      <c r="AJ78" s="12"/>
      <c r="AK78" s="12"/>
      <c r="AQ78" s="34" t="s">
        <v>52</v>
      </c>
      <c r="AW78" s="34" t="s">
        <v>53</v>
      </c>
      <c r="BD78" s="34" t="s">
        <v>65</v>
      </c>
    </row>
    <row r="79" spans="2:62" ht="15.75" customHeight="1" x14ac:dyDescent="0.2">
      <c r="B79" s="28" t="s">
        <v>61</v>
      </c>
      <c r="C79" s="28"/>
      <c r="D79" s="28" t="s">
        <v>29</v>
      </c>
      <c r="E79" s="57" t="s">
        <v>63</v>
      </c>
      <c r="F79" s="57" t="s">
        <v>72</v>
      </c>
      <c r="G79" s="57"/>
      <c r="H79" s="101"/>
      <c r="I79" s="101"/>
      <c r="J79" s="101"/>
      <c r="K79" s="101"/>
      <c r="L79" s="101"/>
      <c r="M79" s="101"/>
      <c r="N79" s="101"/>
      <c r="O79" s="101"/>
      <c r="Q79" s="28" t="s">
        <v>3</v>
      </c>
      <c r="R79" s="28"/>
      <c r="S79" s="57" t="s">
        <v>50</v>
      </c>
      <c r="T79" s="57" t="s">
        <v>70</v>
      </c>
      <c r="U79" s="28" t="s">
        <v>1</v>
      </c>
      <c r="V79" s="57" t="s">
        <v>62</v>
      </c>
      <c r="W79" s="57" t="s">
        <v>9</v>
      </c>
      <c r="X79" s="57"/>
      <c r="AA79" s="28" t="s">
        <v>30</v>
      </c>
      <c r="AB79" s="28" t="s">
        <v>1</v>
      </c>
      <c r="AC79" s="57" t="s">
        <v>10</v>
      </c>
      <c r="AD79" s="57"/>
      <c r="AE79" s="57" t="s">
        <v>64</v>
      </c>
      <c r="AF79" s="60"/>
      <c r="AG79" s="28" t="s">
        <v>30</v>
      </c>
      <c r="AH79" s="28" t="s">
        <v>1</v>
      </c>
      <c r="AI79" s="57" t="s">
        <v>10</v>
      </c>
      <c r="AJ79" s="57"/>
      <c r="AK79" s="57" t="s">
        <v>64</v>
      </c>
      <c r="AL79" s="28" t="s">
        <v>58</v>
      </c>
      <c r="AM79" s="28"/>
      <c r="AN79" s="28" t="s">
        <v>59</v>
      </c>
      <c r="AO79" s="28" t="s">
        <v>60</v>
      </c>
      <c r="AQ79" s="61" t="s">
        <v>54</v>
      </c>
      <c r="AR79" s="61" t="s">
        <v>57</v>
      </c>
      <c r="AS79" s="61" t="s">
        <v>55</v>
      </c>
      <c r="AT79" s="61" t="s">
        <v>57</v>
      </c>
      <c r="AU79" s="61" t="s">
        <v>56</v>
      </c>
      <c r="AV79" s="61" t="s">
        <v>57</v>
      </c>
      <c r="AW79" s="28" t="s">
        <v>54</v>
      </c>
      <c r="AX79" s="28" t="s">
        <v>57</v>
      </c>
      <c r="AY79" s="28" t="s">
        <v>55</v>
      </c>
      <c r="AZ79" s="28" t="s">
        <v>57</v>
      </c>
      <c r="BA79" s="28" t="s">
        <v>56</v>
      </c>
      <c r="BB79" s="28" t="s">
        <v>57</v>
      </c>
      <c r="BC79" s="60"/>
      <c r="BD79" s="61" t="s">
        <v>54</v>
      </c>
      <c r="BE79" s="61" t="s">
        <v>57</v>
      </c>
      <c r="BF79" s="61" t="s">
        <v>55</v>
      </c>
      <c r="BG79" s="61" t="s">
        <v>57</v>
      </c>
      <c r="BH79" s="61" t="s">
        <v>66</v>
      </c>
      <c r="BI79" s="61" t="s">
        <v>56</v>
      </c>
      <c r="BJ79" s="61" t="s">
        <v>57</v>
      </c>
    </row>
    <row r="80" spans="2:62" ht="15.75" customHeight="1" x14ac:dyDescent="0.2">
      <c r="B80" s="33">
        <v>200</v>
      </c>
      <c r="C80" s="33"/>
      <c r="D80" s="29">
        <v>0.6</v>
      </c>
      <c r="E80" s="50">
        <v>5</v>
      </c>
      <c r="F80">
        <v>10</v>
      </c>
      <c r="Q80" s="12" t="s">
        <v>68</v>
      </c>
      <c r="R80" s="12"/>
      <c r="S80" s="13"/>
      <c r="T80" s="13"/>
      <c r="U80" s="13">
        <v>400</v>
      </c>
      <c r="V80" s="58" t="e">
        <f>U80/#REF!</f>
        <v>#REF!</v>
      </c>
      <c r="W80" s="58"/>
      <c r="X80" s="58"/>
      <c r="AA80" s="31" t="e">
        <f>#REF!</f>
        <v>#REF!</v>
      </c>
      <c r="AB80" s="31">
        <f>U80*D80</f>
        <v>240</v>
      </c>
      <c r="AC80" s="63" t="e">
        <f>(#REF!+(#REF!*(F80/100)))/(1-#REF!/100)</f>
        <v>#REF!</v>
      </c>
      <c r="AD80" s="63"/>
      <c r="AE80" s="32" t="e">
        <f>AB80/AA80</f>
        <v>#REF!</v>
      </c>
      <c r="AF80" s="32"/>
      <c r="AG80" s="31" t="e">
        <f>#REF!</f>
        <v>#REF!</v>
      </c>
      <c r="AH80" s="31">
        <f>U80*(1-D80)</f>
        <v>160</v>
      </c>
      <c r="AI80" s="63" t="e">
        <f>(#REF!+(#REF!*(F80/100)))/(1-#REF!/100)</f>
        <v>#REF!</v>
      </c>
      <c r="AJ80" s="63"/>
      <c r="AK80" s="32" t="e">
        <f>AH80/AG80</f>
        <v>#REF!</v>
      </c>
      <c r="AL80" s="32" t="e">
        <f>AE80</f>
        <v>#REF!</v>
      </c>
      <c r="AM80" s="32"/>
      <c r="AN80" s="32" t="e">
        <f>AK80</f>
        <v>#REF!</v>
      </c>
      <c r="AO80" s="32" t="e">
        <f>AL80+AN80</f>
        <v>#REF!</v>
      </c>
      <c r="AQ80" s="52">
        <v>0</v>
      </c>
      <c r="AR80" s="50">
        <v>0</v>
      </c>
      <c r="AS80" s="52">
        <v>0</v>
      </c>
      <c r="AT80" s="50">
        <v>0</v>
      </c>
      <c r="AU80" s="52">
        <v>0</v>
      </c>
      <c r="AV80" s="54">
        <v>0</v>
      </c>
      <c r="AW80" s="52">
        <v>0</v>
      </c>
      <c r="AX80" s="50">
        <v>0</v>
      </c>
      <c r="AY80" s="52">
        <v>0</v>
      </c>
      <c r="AZ80" s="50">
        <v>0</v>
      </c>
      <c r="BA80" s="52">
        <v>0</v>
      </c>
      <c r="BB80" s="50">
        <v>0</v>
      </c>
      <c r="BC80" s="50"/>
      <c r="BD80" s="52">
        <v>0</v>
      </c>
      <c r="BE80" s="50">
        <v>0</v>
      </c>
      <c r="BF80" s="52">
        <v>0</v>
      </c>
      <c r="BG80" s="50">
        <v>0</v>
      </c>
      <c r="BH80" s="52">
        <v>0</v>
      </c>
      <c r="BI80" s="52">
        <v>0</v>
      </c>
      <c r="BJ80" s="50">
        <v>0</v>
      </c>
    </row>
    <row r="81" spans="2:62" ht="15.75" customHeight="1" x14ac:dyDescent="0.2">
      <c r="B81" s="36">
        <v>100</v>
      </c>
      <c r="C81" s="36"/>
      <c r="D81" s="37">
        <v>0.6</v>
      </c>
      <c r="E81" s="51">
        <v>5</v>
      </c>
      <c r="F81" s="35">
        <v>10</v>
      </c>
      <c r="G81" s="35"/>
      <c r="Q81" s="41" t="s">
        <v>69</v>
      </c>
      <c r="R81" s="41"/>
      <c r="S81" s="35"/>
      <c r="T81" s="59">
        <v>2</v>
      </c>
      <c r="U81" s="42"/>
      <c r="V81" s="59"/>
      <c r="W81" s="59"/>
      <c r="X81" s="59"/>
      <c r="AA81" s="38" t="e">
        <f>AA80/T81</f>
        <v>#REF!</v>
      </c>
      <c r="AB81" s="38">
        <f>AB80</f>
        <v>240</v>
      </c>
      <c r="AC81" s="65" t="e">
        <f>AC80/T81</f>
        <v>#REF!</v>
      </c>
      <c r="AD81" s="65"/>
      <c r="AE81" s="39" t="e">
        <f>AE80*T81</f>
        <v>#REF!</v>
      </c>
      <c r="AF81" s="32"/>
      <c r="AG81" s="38" t="e">
        <f>AG80/T81</f>
        <v>#REF!</v>
      </c>
      <c r="AH81" s="38">
        <f>AH80</f>
        <v>160</v>
      </c>
      <c r="AI81" s="65" t="e">
        <f>AI80/T81</f>
        <v>#REF!</v>
      </c>
      <c r="AJ81" s="65"/>
      <c r="AK81" s="39" t="e">
        <f>AK80*T81</f>
        <v>#REF!</v>
      </c>
      <c r="AL81" s="39" t="e">
        <f>AL80*T81</f>
        <v>#REF!</v>
      </c>
      <c r="AM81" s="39"/>
      <c r="AN81" s="39" t="e">
        <f>AN80*T81</f>
        <v>#REF!</v>
      </c>
      <c r="AO81" s="39" t="e">
        <f>AL81+AN81</f>
        <v>#REF!</v>
      </c>
      <c r="AQ81" s="40">
        <f t="shared" ref="AQ81:AV81" si="24">AQ80</f>
        <v>0</v>
      </c>
      <c r="AR81" s="51">
        <f t="shared" si="24"/>
        <v>0</v>
      </c>
      <c r="AS81" s="40">
        <f t="shared" si="24"/>
        <v>0</v>
      </c>
      <c r="AT81" s="51">
        <f t="shared" si="24"/>
        <v>0</v>
      </c>
      <c r="AU81" s="40">
        <f t="shared" si="24"/>
        <v>0</v>
      </c>
      <c r="AV81" s="55">
        <f t="shared" si="24"/>
        <v>0</v>
      </c>
      <c r="AW81" s="40">
        <f t="shared" ref="AW81:BB81" si="25">AW80</f>
        <v>0</v>
      </c>
      <c r="AX81" s="51">
        <f t="shared" si="25"/>
        <v>0</v>
      </c>
      <c r="AY81" s="40">
        <f t="shared" si="25"/>
        <v>0</v>
      </c>
      <c r="AZ81" s="51">
        <f t="shared" si="25"/>
        <v>0</v>
      </c>
      <c r="BA81" s="40">
        <f t="shared" si="25"/>
        <v>0</v>
      </c>
      <c r="BB81" s="51">
        <f t="shared" si="25"/>
        <v>0</v>
      </c>
      <c r="BC81" s="50"/>
      <c r="BD81" s="40">
        <f t="shared" ref="BD81:BJ81" si="26">BD80</f>
        <v>0</v>
      </c>
      <c r="BE81" s="51">
        <f t="shared" si="26"/>
        <v>0</v>
      </c>
      <c r="BF81" s="40">
        <f t="shared" si="26"/>
        <v>0</v>
      </c>
      <c r="BG81" s="51">
        <f t="shared" si="26"/>
        <v>0</v>
      </c>
      <c r="BH81" s="40">
        <f t="shared" si="26"/>
        <v>0</v>
      </c>
      <c r="BI81" s="40">
        <f t="shared" si="26"/>
        <v>0</v>
      </c>
      <c r="BJ81" s="51">
        <f t="shared" si="26"/>
        <v>0</v>
      </c>
    </row>
    <row r="82" spans="2:62" ht="15.75" customHeight="1" x14ac:dyDescent="0.2">
      <c r="B82" s="33">
        <v>100</v>
      </c>
      <c r="C82" s="33"/>
      <c r="D82" s="29">
        <v>0.6</v>
      </c>
      <c r="E82" s="50">
        <v>5</v>
      </c>
      <c r="F82">
        <v>10</v>
      </c>
      <c r="Q82" s="12" t="s">
        <v>71</v>
      </c>
      <c r="R82" s="12"/>
      <c r="S82" s="13"/>
      <c r="T82" s="13"/>
      <c r="U82" s="13">
        <v>300</v>
      </c>
      <c r="V82" s="58" t="e">
        <f>U82/#REF!</f>
        <v>#REF!</v>
      </c>
      <c r="W82" s="58"/>
      <c r="X82" s="58"/>
      <c r="AA82" s="31" t="e">
        <f>#REF!</f>
        <v>#REF!</v>
      </c>
      <c r="AB82" s="31">
        <f>U82*D82</f>
        <v>180</v>
      </c>
      <c r="AC82" s="63" t="e">
        <f>(#REF!+(#REF!*(F82/100)))/(1-#REF!/100)</f>
        <v>#REF!</v>
      </c>
      <c r="AD82" s="63"/>
      <c r="AE82" s="32" t="e">
        <f>AB82/AA82</f>
        <v>#REF!</v>
      </c>
      <c r="AF82" s="32"/>
      <c r="AG82" s="31" t="e">
        <f>#REF!</f>
        <v>#REF!</v>
      </c>
      <c r="AH82" s="31">
        <f>U82*(1-D82)</f>
        <v>120</v>
      </c>
      <c r="AI82" s="63" t="e">
        <f>(#REF!+(#REF!*(F82/100)))/(1-#REF!/100)</f>
        <v>#REF!</v>
      </c>
      <c r="AJ82" s="63"/>
      <c r="AK82" s="32" t="e">
        <f>AH82/AG82</f>
        <v>#REF!</v>
      </c>
      <c r="AL82" s="32" t="e">
        <f>AE82+AE83</f>
        <v>#REF!</v>
      </c>
      <c r="AM82" s="32"/>
      <c r="AN82" s="32" t="e">
        <f>AK82+AK83</f>
        <v>#REF!</v>
      </c>
      <c r="AO82" s="32" t="e">
        <f>AL82+AN82</f>
        <v>#REF!</v>
      </c>
      <c r="AQ82" s="52">
        <f>AQ80</f>
        <v>0</v>
      </c>
      <c r="AR82" s="50">
        <f t="shared" ref="AR82:AT82" si="27">AR80</f>
        <v>0</v>
      </c>
      <c r="AS82" s="52">
        <f t="shared" si="27"/>
        <v>0</v>
      </c>
      <c r="AT82" s="50">
        <f t="shared" si="27"/>
        <v>0</v>
      </c>
      <c r="AU82" s="52">
        <f>AU80</f>
        <v>0</v>
      </c>
      <c r="AV82" s="62">
        <f>AU82/U80</f>
        <v>0</v>
      </c>
      <c r="AW82" s="63" t="e">
        <f>(B82*AL82)-(AB82+AB83)</f>
        <v>#REF!</v>
      </c>
      <c r="AX82" s="62" t="e">
        <f>AW82/(AB82+AB83)</f>
        <v>#REF!</v>
      </c>
      <c r="AY82" s="63" t="e">
        <f>(AN82*B82)-(AH82+AH83)</f>
        <v>#REF!</v>
      </c>
      <c r="AZ82" s="62" t="e">
        <f>AY82/(AH82+AH83)</f>
        <v>#REF!</v>
      </c>
      <c r="BA82" s="63" t="e">
        <f>AW82+AY82</f>
        <v>#REF!</v>
      </c>
      <c r="BB82" s="62" t="e">
        <f>BA82/(AB82+AB83+AH82+AH83)</f>
        <v>#REF!</v>
      </c>
      <c r="BC82" s="50"/>
      <c r="BD82" s="63" t="e">
        <f>AQ82+AW82</f>
        <v>#REF!</v>
      </c>
      <c r="BE82" s="62" t="e">
        <f>AX82</f>
        <v>#REF!</v>
      </c>
      <c r="BF82" s="63" t="e">
        <f>AS82+AY82</f>
        <v>#REF!</v>
      </c>
      <c r="BG82" s="62" t="e">
        <f>BF82/(AH82+AH83)</f>
        <v>#REF!</v>
      </c>
      <c r="BH82" s="63">
        <f>BH80</f>
        <v>0</v>
      </c>
      <c r="BI82" s="63" t="e">
        <f>BD82+BF82+BH82</f>
        <v>#REF!</v>
      </c>
      <c r="BJ82" s="62" t="e">
        <f>BI82/(AB82+AB83+AH82+AH83)</f>
        <v>#REF!</v>
      </c>
    </row>
    <row r="83" spans="2:62" ht="15.75" customHeight="1" x14ac:dyDescent="0.2">
      <c r="B83" s="33"/>
      <c r="C83" s="33"/>
      <c r="D83" s="29"/>
      <c r="E83" s="50"/>
      <c r="Q83" s="12"/>
      <c r="R83" s="12"/>
      <c r="S83" s="13"/>
      <c r="T83" s="13"/>
      <c r="U83" s="13"/>
      <c r="V83" s="58"/>
      <c r="W83" s="58"/>
      <c r="X83" s="58"/>
      <c r="AA83" s="31" t="e">
        <f>AA81</f>
        <v>#REF!</v>
      </c>
      <c r="AB83" s="31">
        <f>AB81</f>
        <v>240</v>
      </c>
      <c r="AC83" s="63" t="e">
        <f>AC81</f>
        <v>#REF!</v>
      </c>
      <c r="AD83" s="63"/>
      <c r="AE83" s="32" t="e">
        <f>AE81</f>
        <v>#REF!</v>
      </c>
      <c r="AF83" s="32"/>
      <c r="AG83" s="31" t="e">
        <f>AG81</f>
        <v>#REF!</v>
      </c>
      <c r="AH83" s="31">
        <f>AH81</f>
        <v>160</v>
      </c>
      <c r="AI83" s="63" t="e">
        <f>AI81</f>
        <v>#REF!</v>
      </c>
      <c r="AJ83" s="63"/>
      <c r="AK83" s="32" t="e">
        <f>AK81</f>
        <v>#REF!</v>
      </c>
      <c r="AL83" s="32"/>
      <c r="AM83" s="32"/>
      <c r="AN83" s="32"/>
      <c r="AO83" s="32"/>
      <c r="AQ83" s="52"/>
      <c r="AR83" s="50"/>
      <c r="AS83" s="52"/>
      <c r="AT83" s="50"/>
      <c r="AU83" s="52"/>
      <c r="AV83" s="62"/>
      <c r="AW83" s="52"/>
      <c r="AX83" s="50"/>
      <c r="AY83" s="52"/>
      <c r="AZ83" s="50"/>
      <c r="BA83" s="52"/>
      <c r="BB83" s="50"/>
      <c r="BC83" s="50"/>
      <c r="BD83" s="52"/>
      <c r="BE83" s="50"/>
      <c r="BF83" s="52"/>
      <c r="BG83" s="50"/>
      <c r="BH83" s="63"/>
      <c r="BI83" s="63"/>
      <c r="BJ83" s="62"/>
    </row>
    <row r="84" spans="2:62" ht="15.75" customHeight="1" x14ac:dyDescent="0.2">
      <c r="B84" s="33"/>
      <c r="C84" s="33"/>
      <c r="D84" s="29"/>
      <c r="E84" s="50"/>
      <c r="Q84" s="12"/>
      <c r="R84" s="12"/>
      <c r="S84" s="13"/>
      <c r="T84" s="13"/>
      <c r="U84" s="13"/>
      <c r="V84" s="58"/>
      <c r="W84" s="58"/>
      <c r="X84" s="58"/>
      <c r="AA84" s="31"/>
      <c r="AB84" s="31"/>
      <c r="AC84" s="63"/>
      <c r="AD84" s="63"/>
      <c r="AE84" s="32"/>
      <c r="AF84" s="32"/>
      <c r="AG84" s="31"/>
      <c r="AH84" s="31"/>
      <c r="AI84" s="63"/>
      <c r="AJ84" s="63"/>
      <c r="AK84" s="32"/>
      <c r="AL84" s="32"/>
      <c r="AM84" s="32"/>
      <c r="AN84" s="32"/>
      <c r="AO84" s="32"/>
      <c r="AQ84" s="52"/>
      <c r="AR84" s="50"/>
      <c r="AS84" s="52"/>
      <c r="AT84" s="50"/>
      <c r="AU84" s="52"/>
      <c r="AV84" s="62"/>
      <c r="AW84" s="52"/>
      <c r="AX84" s="50"/>
      <c r="AY84" s="52"/>
      <c r="AZ84" s="50"/>
      <c r="BA84" s="52"/>
      <c r="BB84" s="50"/>
      <c r="BC84" s="50"/>
      <c r="BD84" s="52"/>
      <c r="BE84" s="50"/>
      <c r="BF84" s="52"/>
      <c r="BG84" s="50"/>
      <c r="BH84" s="63"/>
      <c r="BI84" s="63"/>
      <c r="BJ84" s="62"/>
    </row>
    <row r="85" spans="2:62" ht="15.75" customHeight="1" x14ac:dyDescent="0.2">
      <c r="B85" s="186" t="s">
        <v>37</v>
      </c>
      <c r="C85" s="109"/>
      <c r="S85" s="12"/>
      <c r="T85" s="12"/>
      <c r="U85" s="12"/>
      <c r="V85" s="12"/>
      <c r="W85" s="12"/>
      <c r="X85" s="12"/>
      <c r="Y85" s="12"/>
      <c r="Z85" s="12"/>
      <c r="AA85" s="56" t="s">
        <v>27</v>
      </c>
      <c r="AB85" s="12"/>
      <c r="AC85" s="12"/>
      <c r="AD85" s="12"/>
      <c r="AE85" s="12"/>
      <c r="AF85" s="12"/>
      <c r="AG85" s="56" t="s">
        <v>28</v>
      </c>
      <c r="AH85" s="12"/>
      <c r="AI85" s="12"/>
      <c r="AJ85" s="12"/>
      <c r="AK85" s="12"/>
      <c r="AR85" s="33"/>
      <c r="AW85" s="63"/>
    </row>
    <row r="86" spans="2:62" ht="15.75" customHeight="1" x14ac:dyDescent="0.2">
      <c r="B86" s="28" t="s">
        <v>61</v>
      </c>
      <c r="C86" s="28"/>
      <c r="D86" s="28" t="s">
        <v>29</v>
      </c>
      <c r="E86" s="57" t="s">
        <v>63</v>
      </c>
      <c r="F86" s="57" t="s">
        <v>72</v>
      </c>
      <c r="G86" s="57"/>
      <c r="H86" s="101"/>
      <c r="I86" s="101"/>
      <c r="J86" s="101"/>
      <c r="K86" s="101"/>
      <c r="L86" s="101"/>
      <c r="M86" s="101"/>
      <c r="N86" s="101"/>
      <c r="O86" s="101"/>
      <c r="Q86" s="28" t="s">
        <v>3</v>
      </c>
      <c r="R86" s="28"/>
      <c r="S86" s="57" t="s">
        <v>50</v>
      </c>
      <c r="T86" s="57" t="s">
        <v>70</v>
      </c>
      <c r="U86" s="28" t="s">
        <v>1</v>
      </c>
      <c r="V86" s="57" t="s">
        <v>62</v>
      </c>
      <c r="W86" s="57" t="s">
        <v>9</v>
      </c>
      <c r="X86" s="57"/>
      <c r="Y86" s="60"/>
      <c r="Z86" s="12"/>
      <c r="AA86" s="28" t="s">
        <v>30</v>
      </c>
      <c r="AB86" s="28" t="s">
        <v>1</v>
      </c>
      <c r="AC86" s="57" t="s">
        <v>10</v>
      </c>
      <c r="AD86" s="57"/>
      <c r="AE86" s="57" t="s">
        <v>64</v>
      </c>
      <c r="AF86" s="60"/>
      <c r="AG86" s="28" t="s">
        <v>30</v>
      </c>
      <c r="AH86" s="28" t="s">
        <v>1</v>
      </c>
      <c r="AI86" s="57" t="s">
        <v>10</v>
      </c>
      <c r="AJ86" s="57"/>
      <c r="AK86" s="57" t="s">
        <v>64</v>
      </c>
      <c r="AR86" s="33"/>
    </row>
    <row r="87" spans="2:62" ht="15.75" customHeight="1" x14ac:dyDescent="0.2">
      <c r="B87" s="33">
        <v>100</v>
      </c>
      <c r="C87" s="33"/>
      <c r="D87" s="29">
        <v>0.6</v>
      </c>
      <c r="E87" s="50">
        <v>5</v>
      </c>
      <c r="F87">
        <v>10</v>
      </c>
      <c r="Q87" t="s">
        <v>38</v>
      </c>
      <c r="S87" s="33"/>
      <c r="T87" s="33"/>
      <c r="U87" s="33">
        <v>200</v>
      </c>
      <c r="V87" s="33"/>
      <c r="W87" s="33"/>
      <c r="X87" s="33"/>
      <c r="Y87" s="67"/>
      <c r="AA87" s="33" t="e">
        <f>#REF!</f>
        <v>#REF!</v>
      </c>
      <c r="AB87" s="33">
        <f>U87*D87</f>
        <v>120</v>
      </c>
      <c r="AC87" s="33"/>
      <c r="AD87" s="33"/>
      <c r="AE87" s="44" t="e">
        <f>AB87/AA87</f>
        <v>#REF!</v>
      </c>
      <c r="AF87" s="44"/>
      <c r="AG87" s="33" t="e">
        <f>#REF!</f>
        <v>#REF!</v>
      </c>
      <c r="AH87" s="31">
        <f>U87*(1-D87)</f>
        <v>80</v>
      </c>
      <c r="AI87" s="33"/>
      <c r="AJ87" s="33"/>
      <c r="AK87" s="32" t="e">
        <f>AH87/AG87</f>
        <v>#REF!</v>
      </c>
    </row>
    <row r="88" spans="2:62" ht="15.75" customHeight="1" x14ac:dyDescent="0.2">
      <c r="B88" s="36">
        <v>100</v>
      </c>
      <c r="C88" s="36"/>
      <c r="D88" s="37">
        <v>0.6</v>
      </c>
      <c r="E88" s="51">
        <v>5</v>
      </c>
      <c r="F88" s="35">
        <v>10</v>
      </c>
      <c r="G88" s="35"/>
      <c r="Q88" s="35" t="s">
        <v>39</v>
      </c>
      <c r="R88" s="35"/>
      <c r="S88" s="35"/>
      <c r="T88" s="35"/>
      <c r="U88" s="35"/>
      <c r="V88" s="35"/>
      <c r="W88" s="35"/>
      <c r="X88" s="35"/>
      <c r="AA88" s="38" t="s">
        <v>34</v>
      </c>
      <c r="AB88" s="38" t="s">
        <v>34</v>
      </c>
      <c r="AC88" s="38"/>
      <c r="AD88" s="38"/>
      <c r="AE88" s="38" t="s">
        <v>34</v>
      </c>
      <c r="AF88" s="31"/>
      <c r="AG88" s="38" t="s">
        <v>34</v>
      </c>
      <c r="AH88" s="38" t="s">
        <v>34</v>
      </c>
      <c r="AI88" s="38"/>
      <c r="AJ88" s="38"/>
      <c r="AK88" s="38" t="s">
        <v>34</v>
      </c>
    </row>
    <row r="89" spans="2:62" ht="15.75" customHeight="1" x14ac:dyDescent="0.2">
      <c r="B89" s="33">
        <v>100</v>
      </c>
      <c r="C89" s="33"/>
      <c r="D89" s="29">
        <v>0.6</v>
      </c>
      <c r="E89" s="50">
        <v>5</v>
      </c>
      <c r="F89">
        <v>10</v>
      </c>
      <c r="Q89" t="s">
        <v>40</v>
      </c>
      <c r="S89" s="33"/>
      <c r="T89" s="33"/>
      <c r="U89" s="33">
        <v>500</v>
      </c>
      <c r="V89" s="33"/>
      <c r="W89" s="33"/>
      <c r="X89" s="33"/>
      <c r="Y89" s="67"/>
      <c r="AA89" s="33" t="e">
        <f>#REF!</f>
        <v>#REF!</v>
      </c>
      <c r="AB89" s="33">
        <f>U89</f>
        <v>500</v>
      </c>
      <c r="AC89" s="33"/>
      <c r="AD89" s="33"/>
      <c r="AE89" s="44" t="e">
        <f>AB89/AA89</f>
        <v>#REF!</v>
      </c>
      <c r="AF89" s="44"/>
      <c r="AG89" s="31" t="s">
        <v>34</v>
      </c>
      <c r="AH89" s="31" t="s">
        <v>34</v>
      </c>
      <c r="AI89" s="33"/>
      <c r="AJ89" s="33"/>
      <c r="AK89" s="31" t="s">
        <v>34</v>
      </c>
    </row>
    <row r="90" spans="2:62" ht="15.75" customHeight="1" x14ac:dyDescent="0.2">
      <c r="B90" s="36">
        <v>100</v>
      </c>
      <c r="C90" s="36"/>
      <c r="D90" s="37">
        <v>0.6</v>
      </c>
      <c r="E90" s="51">
        <v>5</v>
      </c>
      <c r="F90" s="35">
        <v>10</v>
      </c>
      <c r="G90" s="35"/>
      <c r="Q90" s="35" t="s">
        <v>41</v>
      </c>
      <c r="R90" s="35"/>
      <c r="S90" s="35"/>
      <c r="T90" s="35"/>
      <c r="U90" s="35"/>
      <c r="V90" s="35"/>
      <c r="W90" s="35"/>
      <c r="X90" s="35"/>
      <c r="AA90" s="38" t="s">
        <v>34</v>
      </c>
      <c r="AB90" s="38" t="s">
        <v>34</v>
      </c>
      <c r="AC90" s="38"/>
      <c r="AD90" s="38"/>
      <c r="AE90" s="38" t="s">
        <v>34</v>
      </c>
      <c r="AF90" s="31"/>
      <c r="AG90" s="38" t="s">
        <v>34</v>
      </c>
      <c r="AH90" s="38" t="s">
        <v>34</v>
      </c>
      <c r="AI90" s="38"/>
      <c r="AJ90" s="38"/>
      <c r="AK90" s="38" t="s">
        <v>34</v>
      </c>
    </row>
    <row r="91" spans="2:62" ht="15.75" customHeight="1" x14ac:dyDescent="0.2">
      <c r="B91" s="33">
        <v>100</v>
      </c>
      <c r="C91" s="33"/>
      <c r="D91" s="29">
        <v>0.6</v>
      </c>
      <c r="E91" s="50">
        <v>5</v>
      </c>
      <c r="F91">
        <v>10</v>
      </c>
      <c r="Q91" t="s">
        <v>42</v>
      </c>
      <c r="S91" s="33"/>
      <c r="T91" s="33"/>
      <c r="U91" s="33">
        <v>350</v>
      </c>
      <c r="V91" s="33"/>
      <c r="W91" s="33"/>
      <c r="X91" s="33"/>
      <c r="Y91" s="67"/>
      <c r="AA91" s="31" t="s">
        <v>34</v>
      </c>
      <c r="AB91" s="31" t="s">
        <v>34</v>
      </c>
      <c r="AC91" s="31"/>
      <c r="AD91" s="31"/>
      <c r="AE91" s="31" t="s">
        <v>34</v>
      </c>
      <c r="AF91" s="31"/>
      <c r="AG91" s="33" t="e">
        <f>#REF!</f>
        <v>#REF!</v>
      </c>
      <c r="AH91" s="31">
        <f>U91*(1-D91)</f>
        <v>140</v>
      </c>
      <c r="AI91" s="31"/>
      <c r="AJ91" s="31"/>
      <c r="AK91" s="32" t="e">
        <f>AH91/AG91</f>
        <v>#REF!</v>
      </c>
    </row>
    <row r="92" spans="2:62" ht="15.75" customHeight="1" x14ac:dyDescent="0.2">
      <c r="B92" s="36">
        <v>100</v>
      </c>
      <c r="C92" s="36"/>
      <c r="D92" s="37">
        <v>0.6</v>
      </c>
      <c r="E92" s="51">
        <v>5</v>
      </c>
      <c r="F92" s="35">
        <v>10</v>
      </c>
      <c r="G92" s="35"/>
      <c r="Q92" s="35" t="s">
        <v>43</v>
      </c>
      <c r="R92" s="35"/>
      <c r="S92" s="35"/>
      <c r="T92" s="35"/>
      <c r="U92" s="35"/>
      <c r="V92" s="35"/>
      <c r="W92" s="35"/>
      <c r="X92" s="35"/>
      <c r="AA92" s="38" t="s">
        <v>34</v>
      </c>
      <c r="AB92" s="38" t="s">
        <v>34</v>
      </c>
      <c r="AC92" s="38"/>
      <c r="AD92" s="38"/>
      <c r="AE92" s="38" t="s">
        <v>34</v>
      </c>
      <c r="AF92" s="31"/>
      <c r="AG92" s="38" t="s">
        <v>34</v>
      </c>
      <c r="AH92" s="38" t="s">
        <v>34</v>
      </c>
      <c r="AI92" s="38"/>
      <c r="AJ92" s="38"/>
      <c r="AK92" s="38" t="s">
        <v>34</v>
      </c>
    </row>
    <row r="94" spans="2:62" ht="15.75" customHeight="1" x14ac:dyDescent="0.2">
      <c r="B94" s="185" t="s">
        <v>44</v>
      </c>
      <c r="C94" s="34"/>
      <c r="AA94" s="56" t="s">
        <v>27</v>
      </c>
      <c r="AB94" s="12"/>
      <c r="AC94" s="12"/>
      <c r="AD94" s="12"/>
      <c r="AE94" s="12"/>
      <c r="AF94" s="12"/>
      <c r="AG94" s="56" t="s">
        <v>28</v>
      </c>
      <c r="AI94" s="12"/>
      <c r="AJ94" s="12"/>
    </row>
    <row r="95" spans="2:62" ht="15.75" customHeight="1" x14ac:dyDescent="0.2">
      <c r="B95" s="28" t="s">
        <v>61</v>
      </c>
      <c r="C95" s="28"/>
      <c r="D95" s="28" t="s">
        <v>29</v>
      </c>
      <c r="E95" s="57" t="s">
        <v>63</v>
      </c>
      <c r="F95" s="57" t="s">
        <v>72</v>
      </c>
      <c r="G95" s="57"/>
      <c r="H95" s="101"/>
      <c r="I95" s="101"/>
      <c r="J95" s="101"/>
      <c r="K95" s="101"/>
      <c r="L95" s="101"/>
      <c r="M95" s="101"/>
      <c r="N95" s="101"/>
      <c r="O95" s="101"/>
      <c r="Q95" s="28" t="s">
        <v>3</v>
      </c>
      <c r="R95" s="28"/>
      <c r="S95" s="57" t="s">
        <v>50</v>
      </c>
      <c r="T95" s="57" t="s">
        <v>70</v>
      </c>
      <c r="U95" s="28" t="s">
        <v>1</v>
      </c>
      <c r="V95" s="57" t="s">
        <v>62</v>
      </c>
      <c r="W95" s="57" t="s">
        <v>9</v>
      </c>
      <c r="X95" s="57"/>
      <c r="Y95" s="60"/>
      <c r="Z95" s="12"/>
      <c r="AA95" s="28" t="s">
        <v>30</v>
      </c>
      <c r="AB95" s="28" t="s">
        <v>1</v>
      </c>
      <c r="AC95" s="57" t="s">
        <v>10</v>
      </c>
      <c r="AD95" s="57"/>
      <c r="AE95" s="57" t="s">
        <v>64</v>
      </c>
      <c r="AF95" s="60"/>
      <c r="AG95" s="28" t="s">
        <v>30</v>
      </c>
      <c r="AH95" s="28" t="s">
        <v>1</v>
      </c>
      <c r="AI95" s="57" t="s">
        <v>10</v>
      </c>
      <c r="AJ95" s="57"/>
      <c r="AK95" s="57" t="s">
        <v>64</v>
      </c>
    </row>
    <row r="96" spans="2:62" ht="15.75" customHeight="1" x14ac:dyDescent="0.2">
      <c r="B96" s="33">
        <v>100</v>
      </c>
      <c r="C96" s="33"/>
      <c r="D96" s="29">
        <v>0.3</v>
      </c>
      <c r="E96" s="50">
        <v>5</v>
      </c>
      <c r="F96">
        <v>10</v>
      </c>
      <c r="Q96" s="45" t="s">
        <v>47</v>
      </c>
      <c r="R96" s="45"/>
      <c r="S96" s="33"/>
      <c r="T96" s="33"/>
      <c r="U96" s="33">
        <v>200</v>
      </c>
      <c r="V96" s="33"/>
      <c r="W96" s="33"/>
      <c r="X96" s="33"/>
      <c r="Y96" s="67"/>
      <c r="AA96" s="33" t="e">
        <f>#REF!</f>
        <v>#REF!</v>
      </c>
      <c r="AB96" s="33">
        <f>U96*D96</f>
        <v>60</v>
      </c>
      <c r="AC96" s="33"/>
      <c r="AD96" s="33"/>
      <c r="AE96" s="44" t="e">
        <f>AB96/AA96</f>
        <v>#REF!</v>
      </c>
      <c r="AF96" s="44"/>
      <c r="AG96" s="33" t="e">
        <f>#REF!</f>
        <v>#REF!</v>
      </c>
      <c r="AH96" s="31">
        <f>U96*(1-D96)</f>
        <v>140</v>
      </c>
      <c r="AI96" s="33"/>
      <c r="AJ96" s="33"/>
      <c r="AK96" s="32" t="e">
        <f>AH96/AG96</f>
        <v>#REF!</v>
      </c>
    </row>
    <row r="97" spans="2:42" ht="15.75" customHeight="1" x14ac:dyDescent="0.2">
      <c r="B97" s="36">
        <v>100</v>
      </c>
      <c r="C97" s="36"/>
      <c r="D97" s="37">
        <v>0.3</v>
      </c>
      <c r="E97" s="51">
        <v>5</v>
      </c>
      <c r="F97" s="35">
        <v>10</v>
      </c>
      <c r="G97" s="35"/>
      <c r="Q97" s="47" t="s">
        <v>45</v>
      </c>
      <c r="R97" s="47"/>
      <c r="S97" s="36"/>
      <c r="T97" s="36"/>
      <c r="U97" s="36">
        <v>300</v>
      </c>
      <c r="V97" s="36"/>
      <c r="W97" s="36"/>
      <c r="X97" s="36"/>
      <c r="Y97" s="67"/>
      <c r="AA97" s="36" t="e">
        <f>#REF!</f>
        <v>#REF!</v>
      </c>
      <c r="AB97" s="36">
        <f>U97+AB96</f>
        <v>360</v>
      </c>
      <c r="AC97" s="36"/>
      <c r="AD97" s="36"/>
      <c r="AE97" s="48" t="e">
        <f>AB97/AA97</f>
        <v>#REF!</v>
      </c>
      <c r="AF97" s="44"/>
      <c r="AG97" s="36">
        <v>100</v>
      </c>
      <c r="AH97" s="38">
        <f>AH96</f>
        <v>140</v>
      </c>
      <c r="AI97" s="36"/>
      <c r="AJ97" s="36"/>
      <c r="AK97" s="39">
        <v>1.4</v>
      </c>
    </row>
    <row r="98" spans="2:42" ht="15.75" customHeight="1" x14ac:dyDescent="0.2">
      <c r="B98" s="33">
        <v>100</v>
      </c>
      <c r="C98" s="33"/>
      <c r="D98" s="29">
        <v>0.3</v>
      </c>
      <c r="E98" s="50">
        <v>5</v>
      </c>
      <c r="F98">
        <v>10</v>
      </c>
      <c r="Q98" s="45" t="s">
        <v>46</v>
      </c>
      <c r="R98" s="45"/>
      <c r="S98" s="33"/>
      <c r="T98" s="33"/>
      <c r="U98" s="33">
        <v>400</v>
      </c>
      <c r="V98" s="33"/>
      <c r="W98" s="33"/>
      <c r="X98" s="33"/>
      <c r="AA98" s="33">
        <v>100</v>
      </c>
      <c r="AB98" s="33">
        <f>AB97</f>
        <v>360</v>
      </c>
      <c r="AC98" s="33"/>
      <c r="AD98" s="33"/>
      <c r="AE98" s="44">
        <v>3.6</v>
      </c>
      <c r="AF98" s="44"/>
      <c r="AG98" s="33" t="e">
        <f>#REF!</f>
        <v>#REF!</v>
      </c>
      <c r="AH98" s="33">
        <f>U98+AH97</f>
        <v>540</v>
      </c>
      <c r="AI98" s="33"/>
      <c r="AJ98" s="33"/>
      <c r="AK98" s="32" t="e">
        <f>AH98/AG98</f>
        <v>#REF!</v>
      </c>
    </row>
    <row r="99" spans="2:42" ht="15.75" customHeight="1" x14ac:dyDescent="0.2">
      <c r="B99" s="36">
        <v>100</v>
      </c>
      <c r="C99" s="36"/>
      <c r="D99" s="37">
        <v>0.3</v>
      </c>
      <c r="E99" s="51">
        <v>5</v>
      </c>
      <c r="F99" s="35">
        <v>10</v>
      </c>
      <c r="G99" s="35"/>
      <c r="Q99" s="47" t="s">
        <v>48</v>
      </c>
      <c r="R99" s="47"/>
      <c r="S99" s="36"/>
      <c r="T99" s="36"/>
      <c r="U99" s="36">
        <v>500</v>
      </c>
      <c r="V99" s="36"/>
      <c r="W99" s="36"/>
      <c r="X99" s="36"/>
      <c r="Y99" s="67"/>
      <c r="AA99" s="36" t="e">
        <f>#REF!</f>
        <v>#REF!</v>
      </c>
      <c r="AB99" s="36">
        <f>AB98+(U99*D99)</f>
        <v>510</v>
      </c>
      <c r="AC99" s="36"/>
      <c r="AD99" s="36"/>
      <c r="AE99" s="48" t="e">
        <f>AB99/AA99</f>
        <v>#REF!</v>
      </c>
      <c r="AF99" s="44"/>
      <c r="AG99" s="36" t="e">
        <f>#REF!</f>
        <v>#REF!</v>
      </c>
      <c r="AH99" s="36">
        <f>AH98+(U99*(1-D99))</f>
        <v>890</v>
      </c>
      <c r="AI99" s="36"/>
      <c r="AJ99" s="36"/>
      <c r="AK99" s="39" t="e">
        <f>AH99/AG99</f>
        <v>#REF!</v>
      </c>
    </row>
    <row r="101" spans="2:42" ht="15.75" customHeight="1" x14ac:dyDescent="0.2">
      <c r="B101" s="185" t="s">
        <v>98</v>
      </c>
      <c r="C101" s="34"/>
      <c r="AA101" s="56" t="s">
        <v>27</v>
      </c>
      <c r="AB101" s="12"/>
      <c r="AC101" s="12"/>
      <c r="AD101" s="12"/>
      <c r="AE101" s="12"/>
      <c r="AF101" s="12"/>
      <c r="AG101" s="56" t="s">
        <v>28</v>
      </c>
      <c r="AI101" s="12"/>
      <c r="AJ101" s="12"/>
      <c r="AM101" s="34" t="s">
        <v>179</v>
      </c>
    </row>
    <row r="102" spans="2:42" ht="15.75" customHeight="1" x14ac:dyDescent="0.2">
      <c r="B102" s="28" t="s">
        <v>61</v>
      </c>
      <c r="C102" s="28"/>
      <c r="D102" s="28" t="s">
        <v>29</v>
      </c>
      <c r="E102" s="57" t="s">
        <v>63</v>
      </c>
      <c r="F102" s="57" t="s">
        <v>72</v>
      </c>
      <c r="G102" s="57" t="s">
        <v>99</v>
      </c>
      <c r="H102" s="101"/>
      <c r="I102" s="101"/>
      <c r="J102" s="101"/>
      <c r="K102" s="101"/>
      <c r="L102" s="101"/>
      <c r="M102" s="101"/>
      <c r="N102" s="101"/>
      <c r="O102" s="101"/>
      <c r="Q102" s="28" t="s">
        <v>3</v>
      </c>
      <c r="R102" s="28"/>
      <c r="S102" s="57" t="s">
        <v>50</v>
      </c>
      <c r="T102" s="57" t="s">
        <v>70</v>
      </c>
      <c r="U102" s="28" t="s">
        <v>1</v>
      </c>
      <c r="V102" s="57" t="s">
        <v>62</v>
      </c>
      <c r="W102" s="57" t="s">
        <v>9</v>
      </c>
      <c r="X102" s="57"/>
      <c r="Y102" s="60"/>
      <c r="Z102" s="12"/>
      <c r="AA102" s="28" t="s">
        <v>30</v>
      </c>
      <c r="AB102" s="28" t="s">
        <v>1</v>
      </c>
      <c r="AC102" s="57" t="s">
        <v>72</v>
      </c>
      <c r="AD102" s="57" t="s">
        <v>100</v>
      </c>
      <c r="AE102" s="57" t="s">
        <v>64</v>
      </c>
      <c r="AF102" s="60"/>
      <c r="AG102" s="28" t="s">
        <v>30</v>
      </c>
      <c r="AH102" s="28" t="s">
        <v>1</v>
      </c>
      <c r="AI102" s="57" t="s">
        <v>99</v>
      </c>
      <c r="AJ102" s="57" t="s">
        <v>101</v>
      </c>
      <c r="AK102" s="57" t="s">
        <v>64</v>
      </c>
      <c r="AM102" s="28" t="s">
        <v>100</v>
      </c>
      <c r="AN102" s="57" t="s">
        <v>101</v>
      </c>
      <c r="AO102" s="101"/>
      <c r="AP102" s="101"/>
    </row>
    <row r="103" spans="2:42" ht="15.75" customHeight="1" x14ac:dyDescent="0.2">
      <c r="B103" s="33">
        <v>100</v>
      </c>
      <c r="C103" s="33" t="s">
        <v>187</v>
      </c>
      <c r="D103" s="29">
        <v>0.5</v>
      </c>
      <c r="E103" s="50">
        <v>5</v>
      </c>
      <c r="F103">
        <v>10</v>
      </c>
      <c r="G103">
        <v>20</v>
      </c>
      <c r="Q103" s="45" t="s">
        <v>102</v>
      </c>
      <c r="R103" s="45"/>
      <c r="S103" s="33"/>
      <c r="T103" s="33"/>
      <c r="U103" s="33">
        <v>200</v>
      </c>
      <c r="V103" s="50" t="e">
        <f>U103/#REF!</f>
        <v>#REF!</v>
      </c>
      <c r="W103" s="33"/>
      <c r="X103" s="33"/>
      <c r="Y103" s="67"/>
      <c r="AA103" s="33" t="e">
        <f>#REF!</f>
        <v>#REF!</v>
      </c>
      <c r="AB103" s="33">
        <f>U103*D103</f>
        <v>100</v>
      </c>
      <c r="AC103" s="52" t="e">
        <f>AA103*(1+F103/100)/(1-#REF!/100)</f>
        <v>#REF!</v>
      </c>
      <c r="AD103" s="95" t="e">
        <f t="shared" ref="AD103:AD111" si="28">(B103-AC103)/AC103</f>
        <v>#REF!</v>
      </c>
      <c r="AE103" s="44" t="e">
        <f>AB103/AA103</f>
        <v>#REF!</v>
      </c>
      <c r="AF103" s="44"/>
      <c r="AG103" s="33" t="e">
        <f>#REF!</f>
        <v>#REF!</v>
      </c>
      <c r="AH103" s="31">
        <f>U103*(1-D103)</f>
        <v>100</v>
      </c>
      <c r="AI103" s="52" t="e">
        <f>AG103*(1+G103/100)/(1-#REF!/100)</f>
        <v>#REF!</v>
      </c>
      <c r="AJ103" s="54" t="e">
        <f t="shared" ref="AJ103:AJ111" si="29">(B103-AI103)/AI103</f>
        <v>#REF!</v>
      </c>
      <c r="AK103" s="32" t="e">
        <f>AH103/AG103</f>
        <v>#REF!</v>
      </c>
      <c r="AM103" s="54" t="e">
        <f t="shared" ref="AM103:AM111" si="30">(B103-AC103)/AC103</f>
        <v>#REF!</v>
      </c>
      <c r="AN103" s="54" t="e">
        <f t="shared" ref="AN103:AN111" si="31">(B103-AI103)/AI103</f>
        <v>#REF!</v>
      </c>
    </row>
    <row r="104" spans="2:42" ht="15.75" customHeight="1" x14ac:dyDescent="0.2">
      <c r="B104" s="36">
        <v>109</v>
      </c>
      <c r="C104" s="36" t="s">
        <v>187</v>
      </c>
      <c r="D104" s="37">
        <v>0.5</v>
      </c>
      <c r="E104" s="51">
        <v>5</v>
      </c>
      <c r="F104" s="35">
        <v>10</v>
      </c>
      <c r="G104" s="35">
        <v>20</v>
      </c>
      <c r="Q104" s="47"/>
      <c r="R104" s="47"/>
      <c r="S104" s="36"/>
      <c r="T104" s="36"/>
      <c r="U104" s="36"/>
      <c r="V104" s="51"/>
      <c r="W104" s="36"/>
      <c r="X104" s="36"/>
      <c r="Y104" s="67"/>
      <c r="AA104" s="36" t="e">
        <f t="shared" ref="AA104:AC106" si="32">AA103</f>
        <v>#REF!</v>
      </c>
      <c r="AB104" s="36">
        <f t="shared" si="32"/>
        <v>100</v>
      </c>
      <c r="AC104" s="40" t="e">
        <f t="shared" si="32"/>
        <v>#REF!</v>
      </c>
      <c r="AD104" s="116" t="e">
        <f t="shared" si="28"/>
        <v>#REF!</v>
      </c>
      <c r="AE104" s="48" t="e">
        <f>AE103</f>
        <v>#REF!</v>
      </c>
      <c r="AF104" s="44"/>
      <c r="AG104" s="36">
        <v>100</v>
      </c>
      <c r="AH104" s="38">
        <f t="shared" ref="AH104:AI106" si="33">AH103</f>
        <v>100</v>
      </c>
      <c r="AI104" s="40" t="e">
        <f t="shared" si="33"/>
        <v>#REF!</v>
      </c>
      <c r="AJ104" s="55" t="e">
        <f t="shared" si="29"/>
        <v>#REF!</v>
      </c>
      <c r="AK104" s="39" t="e">
        <f>AK103</f>
        <v>#REF!</v>
      </c>
      <c r="AM104" s="115" t="e">
        <f t="shared" si="30"/>
        <v>#REF!</v>
      </c>
      <c r="AN104" s="55" t="e">
        <f t="shared" si="31"/>
        <v>#REF!</v>
      </c>
    </row>
    <row r="105" spans="2:42" ht="15.75" customHeight="1" x14ac:dyDescent="0.2">
      <c r="B105" s="33">
        <v>115</v>
      </c>
      <c r="C105" s="33" t="s">
        <v>187</v>
      </c>
      <c r="D105" s="29">
        <v>0.5</v>
      </c>
      <c r="E105" s="50">
        <v>5</v>
      </c>
      <c r="F105">
        <v>10</v>
      </c>
      <c r="G105">
        <v>20</v>
      </c>
      <c r="Q105" s="45"/>
      <c r="R105" s="45"/>
      <c r="S105" s="33"/>
      <c r="T105" s="33"/>
      <c r="U105" s="33"/>
      <c r="V105" s="50"/>
      <c r="W105" s="33"/>
      <c r="X105" s="33"/>
      <c r="AA105" s="33" t="e">
        <f t="shared" si="32"/>
        <v>#REF!</v>
      </c>
      <c r="AB105" s="33">
        <f t="shared" si="32"/>
        <v>100</v>
      </c>
      <c r="AC105" s="118" t="e">
        <f t="shared" si="32"/>
        <v>#REF!</v>
      </c>
      <c r="AD105" s="113" t="e">
        <f t="shared" si="28"/>
        <v>#REF!</v>
      </c>
      <c r="AE105" s="44" t="e">
        <f>AE104</f>
        <v>#REF!</v>
      </c>
      <c r="AF105" s="44"/>
      <c r="AG105" s="33">
        <v>100</v>
      </c>
      <c r="AH105" s="31">
        <f t="shared" si="33"/>
        <v>100</v>
      </c>
      <c r="AI105" s="52" t="e">
        <f t="shared" si="33"/>
        <v>#REF!</v>
      </c>
      <c r="AJ105" s="62" t="e">
        <f t="shared" si="29"/>
        <v>#REF!</v>
      </c>
      <c r="AK105" s="32" t="e">
        <f>AK104</f>
        <v>#REF!</v>
      </c>
      <c r="AM105" s="117" t="e">
        <f t="shared" si="30"/>
        <v>#REF!</v>
      </c>
      <c r="AN105" s="54" t="e">
        <f t="shared" si="31"/>
        <v>#REF!</v>
      </c>
    </row>
    <row r="106" spans="2:42" ht="15.75" customHeight="1" x14ac:dyDescent="0.2">
      <c r="B106" s="36">
        <v>122</v>
      </c>
      <c r="C106" s="36" t="s">
        <v>187</v>
      </c>
      <c r="D106" s="37">
        <v>0.5</v>
      </c>
      <c r="E106" s="51">
        <v>5</v>
      </c>
      <c r="F106" s="35">
        <v>10</v>
      </c>
      <c r="G106" s="35">
        <v>20</v>
      </c>
      <c r="Q106" s="47"/>
      <c r="R106" s="47"/>
      <c r="S106" s="36"/>
      <c r="T106" s="36"/>
      <c r="U106" s="36"/>
      <c r="V106" s="51"/>
      <c r="W106" s="36"/>
      <c r="X106" s="36"/>
      <c r="Y106" s="67"/>
      <c r="AA106" s="36" t="e">
        <f t="shared" si="32"/>
        <v>#REF!</v>
      </c>
      <c r="AB106" s="36">
        <f t="shared" si="32"/>
        <v>100</v>
      </c>
      <c r="AC106" s="119" t="e">
        <f t="shared" si="32"/>
        <v>#REF!</v>
      </c>
      <c r="AD106" s="114" t="e">
        <f t="shared" si="28"/>
        <v>#REF!</v>
      </c>
      <c r="AE106" s="48" t="e">
        <f>AE105</f>
        <v>#REF!</v>
      </c>
      <c r="AF106" s="44"/>
      <c r="AG106" s="36">
        <v>100</v>
      </c>
      <c r="AH106" s="38">
        <f t="shared" si="33"/>
        <v>100</v>
      </c>
      <c r="AI106" s="119" t="e">
        <f t="shared" si="33"/>
        <v>#REF!</v>
      </c>
      <c r="AJ106" s="114" t="e">
        <f t="shared" si="29"/>
        <v>#REF!</v>
      </c>
      <c r="AK106" s="39" t="e">
        <f>AK105</f>
        <v>#REF!</v>
      </c>
      <c r="AM106" s="114" t="e">
        <f t="shared" si="30"/>
        <v>#REF!</v>
      </c>
      <c r="AN106" s="114" t="e">
        <f t="shared" si="31"/>
        <v>#REF!</v>
      </c>
    </row>
    <row r="107" spans="2:42" ht="15.75" customHeight="1" x14ac:dyDescent="0.2">
      <c r="B107" s="33">
        <v>100</v>
      </c>
      <c r="C107" s="33" t="s">
        <v>188</v>
      </c>
      <c r="D107" s="29">
        <v>0.5</v>
      </c>
      <c r="E107" s="50">
        <v>5</v>
      </c>
      <c r="F107">
        <v>10</v>
      </c>
      <c r="G107">
        <v>20</v>
      </c>
      <c r="Q107" s="45" t="s">
        <v>102</v>
      </c>
      <c r="R107" s="45"/>
      <c r="S107" s="33"/>
      <c r="T107" s="33"/>
      <c r="U107" s="33">
        <v>200</v>
      </c>
      <c r="V107" s="50" t="e">
        <f>U107/#REF!</f>
        <v>#REF!</v>
      </c>
      <c r="W107" s="33"/>
      <c r="X107" s="33"/>
      <c r="Y107" s="67"/>
      <c r="AA107" s="33" t="e">
        <f>#REF!</f>
        <v>#REF!</v>
      </c>
      <c r="AB107" s="33">
        <f>U107*D107</f>
        <v>100</v>
      </c>
      <c r="AC107" s="52" t="e">
        <f>AA107*(1+F107/100)/(1-#REF!/100)</f>
        <v>#REF!</v>
      </c>
      <c r="AD107" s="95" t="e">
        <f t="shared" si="28"/>
        <v>#REF!</v>
      </c>
      <c r="AE107" s="44" t="e">
        <f>AB107/AA107</f>
        <v>#REF!</v>
      </c>
      <c r="AF107" s="44"/>
      <c r="AG107" s="33" t="e">
        <f>#REF!</f>
        <v>#REF!</v>
      </c>
      <c r="AH107" s="31">
        <f>U107*(1-D107)</f>
        <v>100</v>
      </c>
      <c r="AI107" s="52" t="e">
        <f>AG107*(1+G107/100)/(1-#REF!/100)</f>
        <v>#REF!</v>
      </c>
      <c r="AJ107" s="54" t="e">
        <f t="shared" si="29"/>
        <v>#REF!</v>
      </c>
      <c r="AK107" s="32" t="e">
        <f>AH107/AG107</f>
        <v>#REF!</v>
      </c>
      <c r="AM107" s="54" t="e">
        <f t="shared" si="30"/>
        <v>#REF!</v>
      </c>
      <c r="AN107" s="54" t="e">
        <f t="shared" si="31"/>
        <v>#REF!</v>
      </c>
    </row>
    <row r="108" spans="2:42" ht="15.75" customHeight="1" x14ac:dyDescent="0.2">
      <c r="B108" s="36">
        <v>109</v>
      </c>
      <c r="C108" s="36" t="s">
        <v>188</v>
      </c>
      <c r="D108" s="37">
        <v>0.5</v>
      </c>
      <c r="E108" s="51">
        <v>5</v>
      </c>
      <c r="F108" s="35">
        <v>10</v>
      </c>
      <c r="G108" s="35">
        <v>20</v>
      </c>
      <c r="Q108" s="47"/>
      <c r="R108" s="47"/>
      <c r="S108" s="36"/>
      <c r="T108" s="36"/>
      <c r="U108" s="36"/>
      <c r="V108" s="51"/>
      <c r="W108" s="36"/>
      <c r="X108" s="36"/>
      <c r="Y108" s="67"/>
      <c r="AA108" s="36" t="e">
        <f t="shared" ref="AA108:AC108" si="34">AA107</f>
        <v>#REF!</v>
      </c>
      <c r="AB108" s="36">
        <f t="shared" si="34"/>
        <v>100</v>
      </c>
      <c r="AC108" s="40" t="e">
        <f t="shared" si="34"/>
        <v>#REF!</v>
      </c>
      <c r="AD108" s="55" t="e">
        <f t="shared" si="28"/>
        <v>#REF!</v>
      </c>
      <c r="AE108" s="48" t="e">
        <f>AE107</f>
        <v>#REF!</v>
      </c>
      <c r="AF108" s="44"/>
      <c r="AG108" s="36">
        <v>100</v>
      </c>
      <c r="AH108" s="38">
        <f t="shared" ref="AH108:AI108" si="35">AH107</f>
        <v>100</v>
      </c>
      <c r="AI108" s="40" t="e">
        <f t="shared" si="35"/>
        <v>#REF!</v>
      </c>
      <c r="AJ108" s="55" t="e">
        <f t="shared" si="29"/>
        <v>#REF!</v>
      </c>
      <c r="AK108" s="39" t="e">
        <f>AK107</f>
        <v>#REF!</v>
      </c>
      <c r="AM108" s="55" t="e">
        <f t="shared" si="30"/>
        <v>#REF!</v>
      </c>
      <c r="AN108" s="55" t="e">
        <f t="shared" si="31"/>
        <v>#REF!</v>
      </c>
    </row>
    <row r="109" spans="2:42" ht="15.75" customHeight="1" x14ac:dyDescent="0.2">
      <c r="B109" s="33">
        <v>115</v>
      </c>
      <c r="C109" s="33" t="s">
        <v>188</v>
      </c>
      <c r="D109" s="29">
        <v>0.5</v>
      </c>
      <c r="E109" s="50">
        <v>5</v>
      </c>
      <c r="F109">
        <v>10</v>
      </c>
      <c r="G109">
        <v>20</v>
      </c>
      <c r="Q109" s="45"/>
      <c r="R109" s="45"/>
      <c r="S109" s="33"/>
      <c r="T109" s="33"/>
      <c r="U109" s="33"/>
      <c r="V109" s="50"/>
      <c r="W109" s="33"/>
      <c r="X109" s="33"/>
      <c r="Y109" s="67"/>
      <c r="AA109" s="33" t="e">
        <f t="shared" ref="AA109:AC109" si="36">AA108</f>
        <v>#REF!</v>
      </c>
      <c r="AB109" s="33">
        <f t="shared" si="36"/>
        <v>100</v>
      </c>
      <c r="AC109" s="118" t="e">
        <f t="shared" si="36"/>
        <v>#REF!</v>
      </c>
      <c r="AD109" s="113" t="e">
        <f t="shared" si="28"/>
        <v>#REF!</v>
      </c>
      <c r="AE109" s="44" t="e">
        <f>AE108</f>
        <v>#REF!</v>
      </c>
      <c r="AF109" s="44"/>
      <c r="AG109" s="33">
        <v>100</v>
      </c>
      <c r="AH109" s="31">
        <f t="shared" ref="AH109:AI109" si="37">AH108</f>
        <v>100</v>
      </c>
      <c r="AI109" s="52" t="e">
        <f t="shared" si="37"/>
        <v>#REF!</v>
      </c>
      <c r="AJ109" s="62" t="e">
        <f t="shared" si="29"/>
        <v>#REF!</v>
      </c>
      <c r="AK109" s="32" t="e">
        <f>AK108</f>
        <v>#REF!</v>
      </c>
      <c r="AM109" s="117" t="e">
        <f t="shared" si="30"/>
        <v>#REF!</v>
      </c>
      <c r="AN109" s="54" t="e">
        <f t="shared" si="31"/>
        <v>#REF!</v>
      </c>
    </row>
    <row r="110" spans="2:42" ht="15.75" customHeight="1" x14ac:dyDescent="0.2">
      <c r="B110" s="36">
        <v>122</v>
      </c>
      <c r="C110" s="121" t="s">
        <v>188</v>
      </c>
      <c r="D110" s="37">
        <v>0.5</v>
      </c>
      <c r="E110" s="51">
        <v>5</v>
      </c>
      <c r="F110" s="35">
        <v>10</v>
      </c>
      <c r="G110" s="35">
        <v>20</v>
      </c>
      <c r="Q110" s="47"/>
      <c r="R110" s="47"/>
      <c r="S110" s="36"/>
      <c r="T110" s="36"/>
      <c r="U110" s="36"/>
      <c r="V110" s="51"/>
      <c r="W110" s="36"/>
      <c r="X110" s="36"/>
      <c r="Y110" s="67"/>
      <c r="AA110" s="36" t="e">
        <f t="shared" ref="AA110:AC110" si="38">AA109</f>
        <v>#REF!</v>
      </c>
      <c r="AB110" s="36">
        <f t="shared" si="38"/>
        <v>100</v>
      </c>
      <c r="AC110" s="119" t="e">
        <f t="shared" si="38"/>
        <v>#REF!</v>
      </c>
      <c r="AD110" s="114" t="e">
        <f t="shared" si="28"/>
        <v>#REF!</v>
      </c>
      <c r="AE110" s="48" t="e">
        <f>AE109</f>
        <v>#REF!</v>
      </c>
      <c r="AF110" s="44"/>
      <c r="AG110" s="36">
        <v>100</v>
      </c>
      <c r="AH110" s="38">
        <f t="shared" ref="AH110:AI110" si="39">AH109</f>
        <v>100</v>
      </c>
      <c r="AI110" s="119" t="e">
        <f t="shared" si="39"/>
        <v>#REF!</v>
      </c>
      <c r="AJ110" s="114" t="e">
        <f t="shared" si="29"/>
        <v>#REF!</v>
      </c>
      <c r="AK110" s="39" t="e">
        <f>AK109</f>
        <v>#REF!</v>
      </c>
      <c r="AM110" s="114" t="e">
        <f t="shared" si="30"/>
        <v>#REF!</v>
      </c>
      <c r="AN110" s="114" t="e">
        <f t="shared" si="31"/>
        <v>#REF!</v>
      </c>
    </row>
    <row r="111" spans="2:42" ht="15.75" customHeight="1" x14ac:dyDescent="0.2">
      <c r="B111" s="33">
        <v>122</v>
      </c>
      <c r="C111" s="33" t="s">
        <v>188</v>
      </c>
      <c r="D111" s="29">
        <v>0.5</v>
      </c>
      <c r="E111" s="50">
        <v>5</v>
      </c>
      <c r="F111">
        <v>10</v>
      </c>
      <c r="G111">
        <v>20</v>
      </c>
      <c r="Q111" s="45" t="s">
        <v>189</v>
      </c>
      <c r="R111" s="45"/>
      <c r="S111" s="33"/>
      <c r="T111" s="33"/>
      <c r="U111" s="33">
        <v>200</v>
      </c>
      <c r="V111" s="50" t="e">
        <f>U111/#REF!</f>
        <v>#REF!</v>
      </c>
      <c r="W111" s="33"/>
      <c r="X111" s="33"/>
      <c r="Y111" s="67"/>
      <c r="AA111" s="33" t="e">
        <f>#REF!</f>
        <v>#REF!</v>
      </c>
      <c r="AB111" s="33">
        <f>U111*D111</f>
        <v>100</v>
      </c>
      <c r="AC111" s="118" t="e">
        <f>AA111*(1+F111/100)/(1-#REF!/100)</f>
        <v>#REF!</v>
      </c>
      <c r="AD111" s="113" t="e">
        <f t="shared" si="28"/>
        <v>#REF!</v>
      </c>
      <c r="AE111" s="44" t="e">
        <f>AE110</f>
        <v>#REF!</v>
      </c>
      <c r="AF111" s="44"/>
      <c r="AG111" s="33" t="e">
        <f>#REF!</f>
        <v>#REF!</v>
      </c>
      <c r="AH111" s="31">
        <f>U111*(1-D111)</f>
        <v>100</v>
      </c>
      <c r="AI111" s="52" t="e">
        <f>AG111*(1+G111/100)/(1-#REF!/100)</f>
        <v>#REF!</v>
      </c>
      <c r="AJ111" s="54" t="e">
        <f t="shared" si="29"/>
        <v>#REF!</v>
      </c>
      <c r="AK111" s="32" t="e">
        <f>AH111/AG111</f>
        <v>#REF!</v>
      </c>
      <c r="AM111" s="117" t="e">
        <f t="shared" si="30"/>
        <v>#REF!</v>
      </c>
      <c r="AN111" s="54" t="e">
        <f t="shared" si="31"/>
        <v>#REF!</v>
      </c>
    </row>
    <row r="112" spans="2:42" ht="15.75" customHeight="1" x14ac:dyDescent="0.2">
      <c r="B112" s="33"/>
      <c r="C112" s="33"/>
      <c r="D112" s="29"/>
      <c r="E112" s="50"/>
      <c r="Q112" s="45"/>
      <c r="R112" s="45"/>
      <c r="S112" s="33"/>
      <c r="T112" s="33"/>
      <c r="U112" s="33"/>
      <c r="V112" s="50"/>
      <c r="W112" s="33"/>
      <c r="X112" s="33"/>
      <c r="Y112" s="67"/>
      <c r="AA112" s="33"/>
      <c r="AB112" s="33"/>
      <c r="AC112" s="52"/>
      <c r="AD112" s="62"/>
      <c r="AE112" s="44"/>
      <c r="AF112" s="44"/>
      <c r="AG112" s="33"/>
      <c r="AH112" s="31"/>
      <c r="AI112" s="33"/>
      <c r="AJ112" s="62"/>
      <c r="AK112" s="32"/>
    </row>
    <row r="113" spans="2:38" ht="15.75" customHeight="1" x14ac:dyDescent="0.2">
      <c r="AA113" s="110"/>
      <c r="AB113" s="110"/>
      <c r="AC113" s="110"/>
      <c r="AD113" s="110"/>
      <c r="AE113" s="110"/>
      <c r="AF113" s="110"/>
      <c r="AG113" s="110"/>
      <c r="AH113" s="110"/>
      <c r="AI113" s="110"/>
      <c r="AJ113" s="110"/>
      <c r="AK113" s="110"/>
      <c r="AL113" s="110"/>
    </row>
    <row r="114" spans="2:38" ht="15.75" customHeight="1" x14ac:dyDescent="0.2">
      <c r="B114" s="185" t="s">
        <v>103</v>
      </c>
      <c r="C114" s="34"/>
      <c r="AA114" s="110"/>
      <c r="AB114" s="110"/>
      <c r="AC114" s="111"/>
      <c r="AD114" s="110"/>
      <c r="AE114" s="110"/>
      <c r="AF114" s="110"/>
      <c r="AG114" s="110"/>
      <c r="AH114" s="110"/>
      <c r="AI114" s="110"/>
      <c r="AJ114" s="110"/>
      <c r="AK114" s="110"/>
      <c r="AL114" s="110"/>
    </row>
    <row r="115" spans="2:38" ht="15.75" customHeight="1" x14ac:dyDescent="0.2">
      <c r="B115" s="28" t="s">
        <v>61</v>
      </c>
      <c r="C115" s="28"/>
      <c r="D115" s="28" t="s">
        <v>29</v>
      </c>
      <c r="E115" s="57" t="s">
        <v>63</v>
      </c>
      <c r="F115" s="57" t="s">
        <v>72</v>
      </c>
      <c r="G115" s="57" t="s">
        <v>99</v>
      </c>
      <c r="H115" s="101"/>
      <c r="I115" s="101"/>
      <c r="J115" s="101"/>
      <c r="K115" s="101"/>
      <c r="L115" s="101"/>
      <c r="M115" s="101"/>
      <c r="N115" s="101"/>
      <c r="O115" s="101"/>
      <c r="AA115" s="110"/>
      <c r="AB115" s="110"/>
      <c r="AC115" s="112"/>
      <c r="AD115" s="110"/>
      <c r="AE115" s="110"/>
      <c r="AF115" s="110"/>
      <c r="AG115" s="110"/>
      <c r="AH115" s="110"/>
      <c r="AI115" s="110"/>
      <c r="AJ115" s="110"/>
      <c r="AK115" s="110"/>
      <c r="AL115" s="110"/>
    </row>
    <row r="116" spans="2:38" ht="15.75" customHeight="1" x14ac:dyDescent="0.2">
      <c r="B116" s="33">
        <v>100</v>
      </c>
      <c r="C116" s="33"/>
      <c r="D116" s="29">
        <v>0.5</v>
      </c>
      <c r="E116" s="50">
        <v>5</v>
      </c>
      <c r="F116">
        <v>10</v>
      </c>
      <c r="G116">
        <v>20</v>
      </c>
      <c r="AA116" s="110"/>
      <c r="AB116" s="110"/>
      <c r="AC116" s="110"/>
      <c r="AD116" s="110"/>
      <c r="AE116" s="110"/>
      <c r="AF116" s="110"/>
      <c r="AG116" s="110"/>
      <c r="AH116" s="110"/>
      <c r="AI116" s="110"/>
      <c r="AJ116" s="110"/>
      <c r="AK116" s="110"/>
      <c r="AL116" s="110"/>
    </row>
    <row r="117" spans="2:38" ht="15.75" customHeight="1" x14ac:dyDescent="0.2">
      <c r="B117" s="36">
        <v>109</v>
      </c>
      <c r="C117" s="36"/>
      <c r="D117" s="37">
        <v>0.5</v>
      </c>
      <c r="E117" s="51">
        <v>5</v>
      </c>
      <c r="F117" s="35">
        <v>10</v>
      </c>
      <c r="G117" s="35">
        <v>20</v>
      </c>
      <c r="AA117" s="110"/>
      <c r="AB117" s="110"/>
      <c r="AC117" s="110"/>
      <c r="AD117" s="110"/>
      <c r="AE117" s="110"/>
      <c r="AF117" s="110"/>
      <c r="AG117" s="110"/>
      <c r="AH117" s="110"/>
      <c r="AI117" s="110"/>
      <c r="AJ117" s="110"/>
      <c r="AK117" s="110"/>
      <c r="AL117" s="110"/>
    </row>
    <row r="118" spans="2:38" ht="15.75" customHeight="1" x14ac:dyDescent="0.2">
      <c r="B118" s="33">
        <v>115</v>
      </c>
      <c r="C118" s="33"/>
      <c r="D118" s="29">
        <v>0.5</v>
      </c>
      <c r="E118" s="50">
        <v>5</v>
      </c>
      <c r="F118">
        <v>10</v>
      </c>
      <c r="G118">
        <v>20</v>
      </c>
      <c r="AA118" s="110"/>
      <c r="AB118" s="110"/>
      <c r="AC118" s="110"/>
      <c r="AD118" s="110"/>
      <c r="AE118" s="110"/>
      <c r="AF118" s="110"/>
      <c r="AG118" s="110"/>
      <c r="AH118" s="110"/>
      <c r="AI118" s="110"/>
      <c r="AJ118" s="110"/>
      <c r="AK118" s="110"/>
      <c r="AL118" s="110"/>
    </row>
    <row r="119" spans="2:38" ht="15.75" customHeight="1" x14ac:dyDescent="0.2">
      <c r="B119" s="36">
        <v>122</v>
      </c>
      <c r="C119" s="36"/>
      <c r="D119" s="37">
        <v>0.5</v>
      </c>
      <c r="E119" s="51">
        <v>5</v>
      </c>
      <c r="F119" s="35">
        <v>10</v>
      </c>
      <c r="G119" s="35">
        <v>20</v>
      </c>
      <c r="AA119" s="110"/>
      <c r="AB119" s="110"/>
      <c r="AC119" s="110"/>
      <c r="AD119" s="110"/>
      <c r="AE119" s="110"/>
      <c r="AF119" s="110"/>
      <c r="AG119" s="110"/>
      <c r="AH119" s="110"/>
      <c r="AI119" s="110"/>
      <c r="AJ119" s="110"/>
      <c r="AK119" s="110"/>
      <c r="AL119" s="110"/>
    </row>
    <row r="120" spans="2:38" ht="15.75" customHeight="1" x14ac:dyDescent="0.2">
      <c r="AL120" s="120"/>
    </row>
    <row r="121" spans="2:38" ht="15.75" customHeight="1" x14ac:dyDescent="0.2">
      <c r="B121" s="185" t="s">
        <v>175</v>
      </c>
      <c r="C121" s="34"/>
      <c r="AA121" s="56" t="s">
        <v>186</v>
      </c>
      <c r="AB121" s="12"/>
      <c r="AC121" s="12"/>
      <c r="AD121" s="34" t="s">
        <v>179</v>
      </c>
      <c r="AG121" s="46"/>
      <c r="AH121" s="45"/>
      <c r="AI121" s="46"/>
      <c r="AJ121" s="46"/>
      <c r="AK121" s="45"/>
    </row>
    <row r="122" spans="2:38" ht="15.75" customHeight="1" x14ac:dyDescent="0.2">
      <c r="B122" s="28" t="s">
        <v>110</v>
      </c>
      <c r="C122" s="28" t="s">
        <v>114</v>
      </c>
      <c r="D122" s="28" t="s">
        <v>29</v>
      </c>
      <c r="E122" s="57" t="s">
        <v>63</v>
      </c>
      <c r="F122" s="57" t="s">
        <v>72</v>
      </c>
      <c r="G122" s="57" t="s">
        <v>99</v>
      </c>
      <c r="H122" s="101"/>
      <c r="I122" s="101"/>
      <c r="J122" s="101"/>
      <c r="K122" s="101"/>
      <c r="L122" s="101"/>
      <c r="M122" s="101"/>
      <c r="N122" s="101"/>
      <c r="O122" s="101"/>
      <c r="Q122" s="28" t="s">
        <v>3</v>
      </c>
      <c r="R122" s="28"/>
      <c r="S122" s="28"/>
      <c r="T122" s="57" t="s">
        <v>70</v>
      </c>
      <c r="U122" s="28" t="s">
        <v>1</v>
      </c>
      <c r="V122" s="57" t="s">
        <v>62</v>
      </c>
      <c r="W122" s="101"/>
      <c r="X122" s="101"/>
      <c r="AA122" s="57" t="s">
        <v>0</v>
      </c>
      <c r="AB122" s="57" t="s">
        <v>9</v>
      </c>
      <c r="AC122" s="101"/>
      <c r="AD122" s="57" t="s">
        <v>182</v>
      </c>
      <c r="AE122" s="57" t="s">
        <v>183</v>
      </c>
      <c r="AF122" s="57" t="s">
        <v>181</v>
      </c>
      <c r="AG122" s="101"/>
      <c r="AH122" s="101"/>
      <c r="AI122" s="101"/>
      <c r="AJ122" s="101"/>
      <c r="AK122" s="101"/>
    </row>
    <row r="123" spans="2:38" ht="15.75" customHeight="1" x14ac:dyDescent="0.2">
      <c r="B123" s="33">
        <v>100</v>
      </c>
      <c r="C123" s="99" t="s">
        <v>176</v>
      </c>
      <c r="D123" s="29">
        <v>0.5</v>
      </c>
      <c r="E123" s="50">
        <v>5</v>
      </c>
      <c r="F123">
        <v>10</v>
      </c>
      <c r="G123">
        <v>20</v>
      </c>
      <c r="Q123" s="45" t="s">
        <v>75</v>
      </c>
      <c r="R123" s="45"/>
      <c r="S123" s="33"/>
      <c r="T123" s="33"/>
      <c r="U123" s="33">
        <v>500</v>
      </c>
      <c r="V123" s="50" t="e">
        <f>U123/#REF!</f>
        <v>#REF!</v>
      </c>
      <c r="W123" s="52"/>
      <c r="X123" s="52"/>
      <c r="AA123" s="33"/>
      <c r="AB123" s="33"/>
      <c r="AC123" s="33"/>
      <c r="AD123" s="100" t="e">
        <f>IF(
      OR(
        (B123*(1+#REF!/100)/C130-1)*100 &lt;= -E123,
        (B123*(1+#REF!/100)/C131-1)*100 &lt;= -E123,
        (B123*(1+#REF!/100)/C132-1)*100 &lt;= -E123,
        (B123*(1+#REF!/100)/C133-1)*100 &lt;= -E123,
        (B123*(1+#REF!/100)/C134-1)*100 &lt;= -E123
      ),
      MIN(
        IF((B123*(1+#REF!/100)/C130-1)*100 &lt;= -E123, (B123*(1+#REF!/100)/C130-1)*100, 0),
        IF((B123*(1+#REF!/100)/C131-1)*100 &lt;= -E123, (B123*(1+#REF!/100)/C131-1)*100, 0),
        IF((B123*(1+#REF!/100)/C132-1)*100 &lt;= -E123, (B123*(1+#REF!/100)/C132-1)*100, 0),
        IF((B123*(1+#REF!/100)/C133-1)*100 &lt;= -E123, (B123*(1+#REF!/100)/C133-1)*100, 0),
        IF((B123*(1+#REF!/100)/C134-1)*100 &lt;= -E123, (B123*(1+#REF!/100)/C134-1)*100, 0)
      )/100,
      ""
    )</f>
        <v>#REF!</v>
      </c>
      <c r="AE123" s="92" t="s">
        <v>34</v>
      </c>
      <c r="AF123" t="s">
        <v>184</v>
      </c>
      <c r="AG123" s="99"/>
      <c r="AH123" s="102"/>
      <c r="AI123" s="99"/>
      <c r="AJ123" s="103"/>
      <c r="AK123" s="104"/>
    </row>
    <row r="124" spans="2:38" ht="15.75" customHeight="1" x14ac:dyDescent="0.2">
      <c r="B124" s="36"/>
      <c r="C124" s="36"/>
      <c r="D124" s="37"/>
      <c r="E124" s="51"/>
      <c r="F124" s="35"/>
      <c r="G124" s="35"/>
      <c r="Q124" s="47" t="s">
        <v>75</v>
      </c>
      <c r="R124" s="47"/>
      <c r="S124" s="36"/>
      <c r="T124" s="36"/>
      <c r="U124" s="36">
        <v>200</v>
      </c>
      <c r="V124" s="51" t="e">
        <f>U124/#REF!</f>
        <v>#REF!</v>
      </c>
      <c r="W124" s="52"/>
      <c r="X124" s="52"/>
      <c r="AA124" s="36"/>
      <c r="AB124" s="36"/>
      <c r="AC124" s="33"/>
      <c r="AD124" s="107" t="e">
        <f>IF(
      OR(
        (B123*(1+#REF!/100)/C130-1)*100 &lt;= -E123,
        (B123*(1+#REF!/100)/C131-1)*100 &lt;= -E123,
        (B123*(1+#REF!/100)/C132-1)*100 &lt;= -E123,
        (B123*(1+#REF!/100)/C133-1)*100 &lt;= -E123,
        (B123*(1+#REF!/100)/C134-1)*100 &lt;= -E123
      ),
      MIN(
        IF((B123*(1+#REF!/100)/C130-1)*100 &lt;= -E123, (B123*(1+#REF!/100)/C130-1)*100, 0),
        IF((B123*(1+#REF!/100)/C131-1)*100 &lt;= -E123, (B123*(1+#REF!/100)/C131-1)*100, 0),
        IF((B123*(1+#REF!/100)/C132-1)*100 &lt;= -E123, (B123*(1+#REF!/100)/C132-1)*100, 0),
        IF((B123*(1+#REF!/100)/C133-1)*100 &lt;= -E123, (B123*(1+#REF!/100)/C133-1)*100, 0),
        IF((B123*(1+#REF!/100)/C134-1)*100 &lt;= -E123, (B123*(1+#REF!/100)/C134-1)*100, 0)
      )/100,
      ""
    )</f>
        <v>#REF!</v>
      </c>
      <c r="AE124" s="105" t="s">
        <v>34</v>
      </c>
      <c r="AF124" s="35" t="e">
        <f>#REF!</f>
        <v>#REF!</v>
      </c>
      <c r="AG124" s="99"/>
      <c r="AH124" s="102"/>
      <c r="AI124" s="99"/>
      <c r="AJ124" s="103"/>
      <c r="AK124" s="104"/>
    </row>
    <row r="125" spans="2:38" ht="15.75" customHeight="1" x14ac:dyDescent="0.2">
      <c r="B125" s="33">
        <v>50</v>
      </c>
      <c r="C125" s="99" t="s">
        <v>185</v>
      </c>
      <c r="D125" s="29">
        <v>0.5</v>
      </c>
      <c r="E125" s="50">
        <v>8</v>
      </c>
      <c r="F125">
        <v>10</v>
      </c>
      <c r="G125">
        <v>20</v>
      </c>
      <c r="Q125" s="45" t="s">
        <v>75</v>
      </c>
      <c r="R125" s="45"/>
      <c r="S125" s="33"/>
      <c r="T125" s="33"/>
      <c r="U125" s="33">
        <v>600</v>
      </c>
      <c r="V125" s="50" t="e">
        <f>U125/#REF!</f>
        <v>#REF!</v>
      </c>
      <c r="W125" s="52"/>
      <c r="X125" s="52"/>
      <c r="AA125" s="33" t="e">
        <f>#REF!</f>
        <v>#REF!</v>
      </c>
      <c r="AB125" s="52" t="e">
        <f>AA125 * (1 - $E$125%)</f>
        <v>#REF!</v>
      </c>
      <c r="AC125" s="33"/>
      <c r="AE125" s="54" t="e">
        <f>($B$125 -#REF!) /#REF!</f>
        <v>#REF!</v>
      </c>
      <c r="AF125" t="e">
        <f>#REF!</f>
        <v>#REF!</v>
      </c>
      <c r="AG125" s="99"/>
      <c r="AH125" s="102"/>
      <c r="AI125" s="99"/>
      <c r="AJ125" s="103"/>
      <c r="AK125" s="104"/>
    </row>
    <row r="126" spans="2:38" ht="15.75" customHeight="1" x14ac:dyDescent="0.2">
      <c r="B126" s="36"/>
      <c r="C126" s="36"/>
      <c r="D126" s="37"/>
      <c r="E126" s="51"/>
      <c r="F126" s="35"/>
      <c r="G126" s="35"/>
      <c r="Q126" s="47" t="s">
        <v>75</v>
      </c>
      <c r="R126" s="47"/>
      <c r="S126" s="36"/>
      <c r="T126" s="36"/>
      <c r="U126" s="36">
        <v>520</v>
      </c>
      <c r="V126" s="51" t="e">
        <f>U126/#REF!</f>
        <v>#REF!</v>
      </c>
      <c r="W126" s="52"/>
      <c r="X126" s="52"/>
      <c r="AA126" s="36" t="e">
        <f>#REF!</f>
        <v>#REF!</v>
      </c>
      <c r="AB126" s="40" t="e">
        <f t="shared" ref="AB126:AB127" si="40">AA126 * (1 - $E$125%)</f>
        <v>#REF!</v>
      </c>
      <c r="AC126" s="33"/>
      <c r="AD126" s="35"/>
      <c r="AE126" s="55" t="e">
        <f>($B$125 -#REF!) /#REF!</f>
        <v>#REF!</v>
      </c>
      <c r="AF126" s="35" t="e">
        <f>#REF!</f>
        <v>#REF!</v>
      </c>
      <c r="AG126" s="99"/>
      <c r="AH126" s="102"/>
      <c r="AI126" s="99"/>
      <c r="AJ126" s="103"/>
      <c r="AK126" s="104"/>
    </row>
    <row r="127" spans="2:38" ht="15.75" customHeight="1" x14ac:dyDescent="0.2">
      <c r="B127" s="33"/>
      <c r="C127" s="33"/>
      <c r="D127" s="29"/>
      <c r="E127" s="50"/>
      <c r="Q127" t="s">
        <v>75</v>
      </c>
      <c r="U127" s="33">
        <v>700</v>
      </c>
      <c r="V127" s="50" t="e">
        <f>U127/#REF!</f>
        <v>#REF!</v>
      </c>
      <c r="W127" s="52"/>
      <c r="X127" s="52"/>
      <c r="AA127" s="33" t="e">
        <f>#REF!</f>
        <v>#REF!</v>
      </c>
      <c r="AB127" s="52" t="e">
        <f t="shared" si="40"/>
        <v>#REF!</v>
      </c>
      <c r="AE127" s="54" t="e">
        <f>($B$125 -#REF!) /#REF!</f>
        <v>#REF!</v>
      </c>
      <c r="AF127" t="e">
        <f>#REF!</f>
        <v>#REF!</v>
      </c>
      <c r="AG127" s="45"/>
      <c r="AH127" s="45"/>
      <c r="AI127" s="45"/>
      <c r="AJ127" s="45"/>
      <c r="AK127" s="45"/>
    </row>
    <row r="128" spans="2:38" ht="15.75" customHeight="1" x14ac:dyDescent="0.2">
      <c r="B128" s="99" t="s">
        <v>177</v>
      </c>
      <c r="C128" s="33"/>
      <c r="D128" s="29"/>
      <c r="E128" s="50"/>
      <c r="Q128" s="47" t="s">
        <v>75</v>
      </c>
      <c r="R128" s="47"/>
      <c r="S128" s="35"/>
      <c r="T128" s="35"/>
      <c r="U128" s="36">
        <v>255</v>
      </c>
      <c r="V128" s="51" t="e">
        <f>U128/#REF!</f>
        <v>#REF!</v>
      </c>
      <c r="AA128" s="36" t="e">
        <f>#REF!</f>
        <v>#REF!</v>
      </c>
      <c r="AB128" s="40" t="e">
        <f>(AA128 * (1 - $E$125%)) / (1 +#REF! %)</f>
        <v>#REF!</v>
      </c>
      <c r="AD128" s="35"/>
      <c r="AE128" s="106" t="e">
        <f>($B$125 -#REF!) /#REF!</f>
        <v>#REF!</v>
      </c>
      <c r="AF128" s="35" t="e">
        <f>#REF!</f>
        <v>#REF!</v>
      </c>
    </row>
    <row r="129" spans="2:43" ht="15.75" customHeight="1" x14ac:dyDescent="0.2">
      <c r="B129" s="57" t="s">
        <v>2</v>
      </c>
      <c r="C129" s="57" t="s">
        <v>178</v>
      </c>
      <c r="D129" s="57" t="s">
        <v>180</v>
      </c>
      <c r="Q129" s="45" t="s">
        <v>75</v>
      </c>
      <c r="R129" s="45"/>
      <c r="U129" s="33">
        <v>1100</v>
      </c>
      <c r="V129" s="50" t="e">
        <f>U129/#REF!</f>
        <v>#REF!</v>
      </c>
      <c r="AA129" s="33" t="e">
        <f>#REF!</f>
        <v>#REF!</v>
      </c>
      <c r="AD129" s="100" t="e">
        <f>IF(
      OR(
        (B123*(1+#REF!/100)/C130-1)*100 &lt;= -E123,
        (B123*(1+#REF!/100)/C131-1)*100 &lt;= -E123,
        (B123*(1+#REF!/100)/C132-1)*100 &lt;= -E123,
        (B123*(1+#REF!/100)/C133-1)*100 &lt;= -E123,
        (B123*(1+#REF!/100)/C134-1)*100 &lt;= -E123
      ),
      MIN(
        IF((B123*(1+#REF!/100)/C130-1)*100 &lt;= -E123, (B123*(1+#REF!/100)/C130-1)*100, 0),
        IF((B123*(1+#REF!/100)/C131-1)*100 &lt;= -E123, (B123*(1+#REF!/100)/C131-1)*100, 0),
        IF((B123*(1+#REF!/100)/C132-1)*100 &lt;= -E123, (B123*(1+#REF!/100)/C132-1)*100, 0),
        IF((B123*(1+#REF!/100)/C133-1)*100 &lt;= -E123, (B123*(1+#REF!/100)/C133-1)*100, 0),
        IF((B123*(1+#REF!/100)/C134-1)*100 &lt;= -E123, (B123*(1+#REF!/100)/C134-1)*100, 0)
      )/100,
      ""
    )</f>
        <v>#REF!</v>
      </c>
      <c r="AE129" s="108" t="e">
        <f>($B$123 -#REF!) /#REF!</f>
        <v>#REF!</v>
      </c>
      <c r="AF129" t="e">
        <f>#REF!</f>
        <v>#REF!</v>
      </c>
    </row>
    <row r="130" spans="2:43" ht="15.75" customHeight="1" x14ac:dyDescent="0.2">
      <c r="B130" s="98">
        <v>45924</v>
      </c>
      <c r="C130" s="97">
        <v>106</v>
      </c>
    </row>
    <row r="131" spans="2:43" ht="15.75" customHeight="1" x14ac:dyDescent="0.2">
      <c r="B131" s="98">
        <v>45923</v>
      </c>
      <c r="C131" s="97">
        <v>105</v>
      </c>
    </row>
    <row r="132" spans="2:43" ht="15.75" customHeight="1" x14ac:dyDescent="0.2">
      <c r="B132" s="98">
        <v>45922</v>
      </c>
      <c r="C132" s="97">
        <v>108</v>
      </c>
    </row>
    <row r="133" spans="2:43" ht="15.75" customHeight="1" x14ac:dyDescent="0.2">
      <c r="B133" s="98">
        <v>45921</v>
      </c>
      <c r="C133" s="97">
        <v>107</v>
      </c>
    </row>
    <row r="134" spans="2:43" ht="15.75" customHeight="1" x14ac:dyDescent="0.2">
      <c r="B134" s="98">
        <v>45920</v>
      </c>
      <c r="C134" s="97">
        <v>104</v>
      </c>
      <c r="P134" s="45"/>
      <c r="AB134" s="68"/>
    </row>
    <row r="135" spans="2:43" ht="15.75" customHeight="1" x14ac:dyDescent="0.2">
      <c r="P135" s="45"/>
    </row>
    <row r="136" spans="2:43" ht="15.75" customHeight="1" x14ac:dyDescent="0.2">
      <c r="P136" s="45"/>
    </row>
    <row r="137" spans="2:43" ht="15.75" customHeight="1" x14ac:dyDescent="0.2">
      <c r="P137" s="92"/>
      <c r="AB137" s="45" t="s">
        <v>74</v>
      </c>
      <c r="AL137" s="45" t="s">
        <v>94</v>
      </c>
    </row>
    <row r="138" spans="2:43" ht="15.75" customHeight="1" x14ac:dyDescent="0.2">
      <c r="AB138" s="69" t="s">
        <v>2</v>
      </c>
      <c r="AC138" s="70" t="s">
        <v>3</v>
      </c>
      <c r="AD138" s="70"/>
      <c r="AE138" s="70" t="s">
        <v>76</v>
      </c>
      <c r="AF138" s="70" t="s">
        <v>4</v>
      </c>
      <c r="AG138" s="70" t="s">
        <v>0</v>
      </c>
      <c r="AH138" s="70" t="s">
        <v>1</v>
      </c>
      <c r="AI138" s="70" t="s">
        <v>62</v>
      </c>
      <c r="AJ138" s="70"/>
      <c r="AK138" s="70" t="s">
        <v>77</v>
      </c>
      <c r="AL138" s="70" t="s">
        <v>84</v>
      </c>
      <c r="AM138" s="70" t="s">
        <v>83</v>
      </c>
      <c r="AN138" s="70" t="s">
        <v>7</v>
      </c>
      <c r="AO138" s="70" t="s">
        <v>81</v>
      </c>
      <c r="AP138" s="70" t="s">
        <v>79</v>
      </c>
      <c r="AQ138" s="70" t="s">
        <v>82</v>
      </c>
    </row>
    <row r="139" spans="2:43" ht="15.75" customHeight="1" x14ac:dyDescent="0.2">
      <c r="AB139" s="78">
        <v>45658</v>
      </c>
      <c r="AC139" s="79" t="s">
        <v>75</v>
      </c>
      <c r="AD139" s="79"/>
      <c r="AE139" s="80" t="s">
        <v>85</v>
      </c>
      <c r="AF139" s="79" t="s">
        <v>78</v>
      </c>
      <c r="AG139" s="81">
        <v>200</v>
      </c>
      <c r="AH139" s="81">
        <v>200</v>
      </c>
      <c r="AI139" s="82">
        <f>AH139/AG139</f>
        <v>1</v>
      </c>
      <c r="AJ139" s="82"/>
      <c r="AK139" s="79"/>
      <c r="AL139" s="82">
        <v>1</v>
      </c>
      <c r="AM139" s="82">
        <f>AL139/2</f>
        <v>0.5</v>
      </c>
      <c r="AN139" s="83">
        <f>AL139/2</f>
        <v>0.5</v>
      </c>
      <c r="AO139" s="81">
        <v>0</v>
      </c>
      <c r="AP139" s="84">
        <f>ABS(AO139-AH139)</f>
        <v>200</v>
      </c>
      <c r="AQ139" s="85">
        <f>((AO139+(AI139*AG139)-AP139)/AP139)</f>
        <v>0</v>
      </c>
    </row>
    <row r="140" spans="2:43" ht="15.75" customHeight="1" x14ac:dyDescent="0.2">
      <c r="AB140" s="71">
        <v>45659</v>
      </c>
      <c r="AC140" s="72" t="s">
        <v>73</v>
      </c>
      <c r="AD140" s="72"/>
      <c r="AE140" s="74" t="s">
        <v>86</v>
      </c>
      <c r="AF140" s="72" t="s">
        <v>10</v>
      </c>
      <c r="AG140" s="73">
        <v>220</v>
      </c>
      <c r="AH140" s="72"/>
      <c r="AI140" s="75">
        <f>AM139</f>
        <v>0.5</v>
      </c>
      <c r="AJ140" s="75"/>
      <c r="AK140" s="73">
        <f>AG140*AI140</f>
        <v>110</v>
      </c>
      <c r="AL140" s="75">
        <v>0.5</v>
      </c>
      <c r="AM140" s="75">
        <v>0</v>
      </c>
      <c r="AN140" s="75">
        <v>0.5</v>
      </c>
      <c r="AO140" s="73">
        <f>AK140+AO139</f>
        <v>110</v>
      </c>
      <c r="AP140" s="73">
        <f>AP139</f>
        <v>200</v>
      </c>
      <c r="AQ140" s="77">
        <f t="shared" ref="AQ140:AQ148" si="41">((AO140+(AL140*AG140)-AP140)/AP140)</f>
        <v>0.1</v>
      </c>
    </row>
    <row r="141" spans="2:43" ht="15.75" customHeight="1" x14ac:dyDescent="0.2">
      <c r="AB141" s="78">
        <v>45660</v>
      </c>
      <c r="AC141" s="79" t="s">
        <v>75</v>
      </c>
      <c r="AD141" s="79"/>
      <c r="AE141" s="80" t="s">
        <v>87</v>
      </c>
      <c r="AF141" s="79" t="s">
        <v>80</v>
      </c>
      <c r="AG141" s="81">
        <v>220</v>
      </c>
      <c r="AH141" s="81">
        <v>220</v>
      </c>
      <c r="AI141" s="82">
        <f>AH141/AG141</f>
        <v>1</v>
      </c>
      <c r="AJ141" s="82"/>
      <c r="AK141" s="79"/>
      <c r="AL141" s="82">
        <f>AI141+AL140</f>
        <v>1.5</v>
      </c>
      <c r="AM141" s="82">
        <f>AM140+(AI141/2)</f>
        <v>0.5</v>
      </c>
      <c r="AN141" s="82">
        <f>AN140+(AI141/2)</f>
        <v>1</v>
      </c>
      <c r="AO141" s="81">
        <v>0</v>
      </c>
      <c r="AP141" s="81">
        <f>AP140+(AH141-AO140)</f>
        <v>310</v>
      </c>
      <c r="AQ141" s="85">
        <f t="shared" si="41"/>
        <v>6.4516129032258063E-2</v>
      </c>
    </row>
    <row r="142" spans="2:43" ht="15.75" customHeight="1" x14ac:dyDescent="0.2">
      <c r="AB142" s="71">
        <v>45661</v>
      </c>
      <c r="AC142" s="72" t="s">
        <v>73</v>
      </c>
      <c r="AD142" s="72"/>
      <c r="AE142" s="74" t="s">
        <v>88</v>
      </c>
      <c r="AF142" s="72" t="s">
        <v>80</v>
      </c>
      <c r="AG142" s="73">
        <v>190</v>
      </c>
      <c r="AH142" s="72"/>
      <c r="AI142" s="75">
        <v>0.5</v>
      </c>
      <c r="AJ142" s="75"/>
      <c r="AK142" s="73">
        <f>AG142*AI142</f>
        <v>95</v>
      </c>
      <c r="AL142" s="75">
        <f>AL141-AI142</f>
        <v>1</v>
      </c>
      <c r="AM142" s="75">
        <f>AM141</f>
        <v>0.5</v>
      </c>
      <c r="AN142" s="75">
        <f>AN141-AI142</f>
        <v>0.5</v>
      </c>
      <c r="AO142" s="73">
        <f>AO141+AK142</f>
        <v>95</v>
      </c>
      <c r="AP142" s="73">
        <f>AP141</f>
        <v>310</v>
      </c>
      <c r="AQ142" s="77">
        <f t="shared" si="41"/>
        <v>-8.0645161290322578E-2</v>
      </c>
    </row>
    <row r="143" spans="2:43" ht="15.75" customHeight="1" x14ac:dyDescent="0.2">
      <c r="AB143" s="78">
        <v>45662</v>
      </c>
      <c r="AC143" s="79" t="s">
        <v>75</v>
      </c>
      <c r="AD143" s="79"/>
      <c r="AE143" s="80" t="s">
        <v>89</v>
      </c>
      <c r="AF143" s="79" t="s">
        <v>80</v>
      </c>
      <c r="AG143" s="81">
        <v>200</v>
      </c>
      <c r="AH143" s="81">
        <v>200</v>
      </c>
      <c r="AI143" s="82">
        <f>AH143/AG143</f>
        <v>1</v>
      </c>
      <c r="AJ143" s="82"/>
      <c r="AK143" s="79"/>
      <c r="AL143" s="82">
        <f>AL142+AI143</f>
        <v>2</v>
      </c>
      <c r="AM143" s="82">
        <f>AM142+(AI143/2)</f>
        <v>1</v>
      </c>
      <c r="AN143" s="82">
        <f>AN142+(AI143/2)</f>
        <v>1</v>
      </c>
      <c r="AO143" s="81">
        <v>0</v>
      </c>
      <c r="AP143" s="81">
        <f>AP142+(AH143-AO142)</f>
        <v>415</v>
      </c>
      <c r="AQ143" s="85">
        <f t="shared" si="41"/>
        <v>-3.614457831325301E-2</v>
      </c>
    </row>
    <row r="144" spans="2:43" ht="15.75" customHeight="1" x14ac:dyDescent="0.2">
      <c r="AB144" s="71">
        <v>45663</v>
      </c>
      <c r="AC144" s="72" t="s">
        <v>73</v>
      </c>
      <c r="AD144" s="72"/>
      <c r="AE144" s="74" t="s">
        <v>90</v>
      </c>
      <c r="AF144" s="72" t="s">
        <v>80</v>
      </c>
      <c r="AG144" s="73">
        <v>210</v>
      </c>
      <c r="AH144" s="72"/>
      <c r="AI144" s="75">
        <v>0.5</v>
      </c>
      <c r="AJ144" s="75"/>
      <c r="AK144" s="73">
        <f>AG144*AI144</f>
        <v>105</v>
      </c>
      <c r="AL144" s="75">
        <f>AL143-AI144</f>
        <v>1.5</v>
      </c>
      <c r="AM144" s="75">
        <f>AM143-AI144</f>
        <v>0.5</v>
      </c>
      <c r="AN144" s="75">
        <f>AN143</f>
        <v>1</v>
      </c>
      <c r="AO144" s="73">
        <f>AO143+AK144</f>
        <v>105</v>
      </c>
      <c r="AP144" s="73">
        <f>AP143</f>
        <v>415</v>
      </c>
      <c r="AQ144" s="77">
        <f t="shared" si="41"/>
        <v>1.2048192771084338E-2</v>
      </c>
    </row>
    <row r="145" spans="25:43" ht="15.75" customHeight="1" x14ac:dyDescent="0.2">
      <c r="AB145" s="71">
        <v>45664</v>
      </c>
      <c r="AC145" s="72" t="s">
        <v>73</v>
      </c>
      <c r="AD145" s="72"/>
      <c r="AE145" s="74" t="s">
        <v>91</v>
      </c>
      <c r="AF145" s="72" t="s">
        <v>80</v>
      </c>
      <c r="AG145" s="73">
        <v>210</v>
      </c>
      <c r="AH145" s="72"/>
      <c r="AI145" s="75">
        <v>0.5</v>
      </c>
      <c r="AJ145" s="75"/>
      <c r="AK145" s="73">
        <f>AG145/2</f>
        <v>105</v>
      </c>
      <c r="AL145" s="75">
        <f>AL144-AI145</f>
        <v>1</v>
      </c>
      <c r="AM145" s="75">
        <f>AM144</f>
        <v>0.5</v>
      </c>
      <c r="AN145" s="75">
        <f>AN144-AI145</f>
        <v>0.5</v>
      </c>
      <c r="AO145" s="73">
        <f>AK145+AO144</f>
        <v>210</v>
      </c>
      <c r="AP145" s="73">
        <f>AP144</f>
        <v>415</v>
      </c>
      <c r="AQ145" s="77">
        <f t="shared" si="41"/>
        <v>1.2048192771084338E-2</v>
      </c>
    </row>
    <row r="146" spans="25:43" ht="15.75" customHeight="1" x14ac:dyDescent="0.2">
      <c r="Y146" s="92"/>
      <c r="AB146" s="78">
        <v>45665</v>
      </c>
      <c r="AC146" s="80" t="s">
        <v>75</v>
      </c>
      <c r="AD146" s="80"/>
      <c r="AE146" s="80" t="s">
        <v>92</v>
      </c>
      <c r="AF146" s="80" t="s">
        <v>80</v>
      </c>
      <c r="AG146" s="81">
        <v>200</v>
      </c>
      <c r="AH146" s="81">
        <v>200</v>
      </c>
      <c r="AI146" s="82">
        <v>1</v>
      </c>
      <c r="AJ146" s="82"/>
      <c r="AK146" s="79"/>
      <c r="AL146" s="82">
        <f>AL145+AI146</f>
        <v>2</v>
      </c>
      <c r="AM146" s="82">
        <f>AI146+AM145</f>
        <v>1.5</v>
      </c>
      <c r="AN146" s="83">
        <f>AN145</f>
        <v>0.5</v>
      </c>
      <c r="AO146" s="81">
        <f>AO145-AH146</f>
        <v>10</v>
      </c>
      <c r="AP146" s="81">
        <f>AP144</f>
        <v>415</v>
      </c>
      <c r="AQ146" s="85">
        <f t="shared" si="41"/>
        <v>-1.2048192771084338E-2</v>
      </c>
    </row>
    <row r="147" spans="25:43" ht="15.75" customHeight="1" x14ac:dyDescent="0.2">
      <c r="Y147" s="93"/>
      <c r="AB147" s="71">
        <v>45666</v>
      </c>
      <c r="AC147" s="74" t="s">
        <v>73</v>
      </c>
      <c r="AD147" s="74"/>
      <c r="AE147" s="74" t="s">
        <v>92</v>
      </c>
      <c r="AF147" s="74" t="s">
        <v>80</v>
      </c>
      <c r="AG147" s="73">
        <v>230</v>
      </c>
      <c r="AH147" s="72"/>
      <c r="AI147" s="75">
        <v>0.5</v>
      </c>
      <c r="AJ147" s="75"/>
      <c r="AK147" s="73">
        <f>AG147/2</f>
        <v>115</v>
      </c>
      <c r="AL147" s="75">
        <f>AL146-AI147</f>
        <v>1.5</v>
      </c>
      <c r="AM147" s="75">
        <f>AM146-AI147</f>
        <v>1</v>
      </c>
      <c r="AN147" s="75">
        <f>AN146</f>
        <v>0.5</v>
      </c>
      <c r="AO147" s="73">
        <f>AO146+AK147</f>
        <v>125</v>
      </c>
      <c r="AP147" s="73">
        <f>AP146</f>
        <v>415</v>
      </c>
      <c r="AQ147" s="77">
        <f t="shared" si="41"/>
        <v>0.13253012048192772</v>
      </c>
    </row>
    <row r="148" spans="25:43" ht="15.75" customHeight="1" x14ac:dyDescent="0.2">
      <c r="Y148" s="93"/>
      <c r="AB148" s="78">
        <v>45667</v>
      </c>
      <c r="AC148" s="80" t="s">
        <v>75</v>
      </c>
      <c r="AD148" s="80"/>
      <c r="AE148" s="80" t="s">
        <v>93</v>
      </c>
      <c r="AF148" s="80" t="s">
        <v>80</v>
      </c>
      <c r="AG148" s="81">
        <v>230</v>
      </c>
      <c r="AH148" s="81">
        <v>230</v>
      </c>
      <c r="AI148" s="82">
        <v>1</v>
      </c>
      <c r="AJ148" s="82"/>
      <c r="AK148" s="79"/>
      <c r="AL148" s="82">
        <f>AL147+AI148</f>
        <v>2.5</v>
      </c>
      <c r="AM148" s="82">
        <f>AM147</f>
        <v>1</v>
      </c>
      <c r="AN148" s="82">
        <f>AN147+AI148</f>
        <v>1.5</v>
      </c>
      <c r="AO148" s="81">
        <v>0</v>
      </c>
      <c r="AP148" s="81">
        <f>AP147+(AH148-AO147)</f>
        <v>520</v>
      </c>
      <c r="AQ148" s="85">
        <f t="shared" si="41"/>
        <v>0.10576923076923077</v>
      </c>
    </row>
    <row r="149" spans="25:43" ht="15.75" customHeight="1" x14ac:dyDescent="0.2">
      <c r="Y149" s="93"/>
    </row>
    <row r="150" spans="25:43" ht="15.75" customHeight="1" x14ac:dyDescent="0.2">
      <c r="Y150" s="93"/>
    </row>
    <row r="151" spans="25:43" ht="12.75" x14ac:dyDescent="0.2">
      <c r="AB151" s="45" t="s">
        <v>74</v>
      </c>
      <c r="AL151" s="45" t="s">
        <v>94</v>
      </c>
    </row>
    <row r="152" spans="25:43" ht="15.75" customHeight="1" x14ac:dyDescent="0.2">
      <c r="Y152" s="54"/>
      <c r="AB152" s="69" t="s">
        <v>2</v>
      </c>
      <c r="AC152" s="70" t="s">
        <v>3</v>
      </c>
      <c r="AD152" s="70"/>
      <c r="AE152" s="70" t="s">
        <v>76</v>
      </c>
      <c r="AF152" s="70" t="s">
        <v>4</v>
      </c>
      <c r="AG152" s="70" t="s">
        <v>0</v>
      </c>
      <c r="AH152" s="70" t="s">
        <v>1</v>
      </c>
      <c r="AI152" s="70" t="s">
        <v>62</v>
      </c>
      <c r="AJ152" s="70"/>
      <c r="AK152" s="70" t="s">
        <v>77</v>
      </c>
      <c r="AL152" s="70" t="s">
        <v>84</v>
      </c>
      <c r="AM152" s="70" t="s">
        <v>83</v>
      </c>
      <c r="AN152" s="70" t="s">
        <v>7</v>
      </c>
      <c r="AO152" s="70" t="s">
        <v>81</v>
      </c>
      <c r="AP152" s="70" t="s">
        <v>79</v>
      </c>
      <c r="AQ152" s="70" t="s">
        <v>82</v>
      </c>
    </row>
    <row r="153" spans="25:43" ht="15.75" customHeight="1" x14ac:dyDescent="0.2">
      <c r="Y153" s="94"/>
      <c r="AB153" s="78"/>
      <c r="AC153" s="79" t="s">
        <v>75</v>
      </c>
      <c r="AD153" s="79"/>
      <c r="AE153" s="80" t="s">
        <v>70</v>
      </c>
      <c r="AF153" s="79" t="s">
        <v>78</v>
      </c>
      <c r="AG153" s="89">
        <v>232.37</v>
      </c>
      <c r="AH153" s="81">
        <v>1000</v>
      </c>
      <c r="AI153" s="86">
        <f t="shared" ref="AI153:AI158" si="42">AH153/AG153</f>
        <v>4.3034815165468867</v>
      </c>
      <c r="AJ153" s="86"/>
      <c r="AK153" s="89"/>
      <c r="AL153" s="86">
        <f>AI153</f>
        <v>4.3034815165468867</v>
      </c>
      <c r="AM153" s="86">
        <f>AL153/2</f>
        <v>2.1517407582734434</v>
      </c>
      <c r="AN153" s="88">
        <f>AL153/2</f>
        <v>2.1517407582734434</v>
      </c>
      <c r="AO153" s="89">
        <v>0</v>
      </c>
      <c r="AP153" s="91">
        <f>ABS(AO153-AH153)</f>
        <v>1000</v>
      </c>
      <c r="AQ153" s="85">
        <f>((AO153+(AI153*AG153)-AP153)/AP153)</f>
        <v>1.1368683772161603E-16</v>
      </c>
    </row>
    <row r="154" spans="25:43" ht="15.75" customHeight="1" x14ac:dyDescent="0.2">
      <c r="AB154" s="78"/>
      <c r="AC154" s="79" t="s">
        <v>75</v>
      </c>
      <c r="AD154" s="79"/>
      <c r="AE154" s="80" t="s">
        <v>70</v>
      </c>
      <c r="AF154" s="79" t="s">
        <v>80</v>
      </c>
      <c r="AG154" s="89">
        <v>205.6</v>
      </c>
      <c r="AH154" s="81">
        <v>500</v>
      </c>
      <c r="AI154" s="86">
        <f t="shared" si="42"/>
        <v>2.4319066147859925</v>
      </c>
      <c r="AJ154" s="86"/>
      <c r="AK154" s="89"/>
      <c r="AL154" s="86">
        <f>AI154+AL153</f>
        <v>6.7353881313328792</v>
      </c>
      <c r="AM154" s="86">
        <f>AM153+(AI154/2)</f>
        <v>3.3676940656664396</v>
      </c>
      <c r="AN154" s="86">
        <f>AN153+(AI154/2)</f>
        <v>3.3676940656664396</v>
      </c>
      <c r="AO154" s="89">
        <v>0</v>
      </c>
      <c r="AP154" s="89">
        <f>AP153+(AH154-AO153)</f>
        <v>1500</v>
      </c>
      <c r="AQ154" s="85">
        <f t="shared" ref="AQ154:AQ164" si="43">((AO154+(AL154*AG154)-AP154)/AP154)</f>
        <v>-7.6802800131973381E-2</v>
      </c>
    </row>
    <row r="155" spans="25:43" ht="15.75" customHeight="1" x14ac:dyDescent="0.2">
      <c r="AB155" s="78"/>
      <c r="AC155" s="79" t="s">
        <v>75</v>
      </c>
      <c r="AD155" s="79"/>
      <c r="AE155" s="80" t="s">
        <v>70</v>
      </c>
      <c r="AF155" s="79" t="s">
        <v>80</v>
      </c>
      <c r="AG155" s="89">
        <v>199.37</v>
      </c>
      <c r="AH155" s="81">
        <v>500</v>
      </c>
      <c r="AI155" s="86">
        <f t="shared" si="42"/>
        <v>2.5078998846366054</v>
      </c>
      <c r="AJ155" s="86"/>
      <c r="AK155" s="89"/>
      <c r="AL155" s="86">
        <f>AI155+AL154</f>
        <v>9.243288015969485</v>
      </c>
      <c r="AM155" s="86">
        <f>AM154+(AI155/2)</f>
        <v>4.6216440079847425</v>
      </c>
      <c r="AN155" s="86">
        <f>AN154+(AI155/2)</f>
        <v>4.6216440079847425</v>
      </c>
      <c r="AO155" s="89">
        <v>0</v>
      </c>
      <c r="AP155" s="89">
        <f>AP154+(AH155-AO154)</f>
        <v>2000</v>
      </c>
      <c r="AQ155" s="85">
        <f t="shared" si="43"/>
        <v>-7.858283412808191E-2</v>
      </c>
    </row>
    <row r="156" spans="25:43" ht="15.75" customHeight="1" x14ac:dyDescent="0.2">
      <c r="AB156" s="78"/>
      <c r="AC156" s="79" t="s">
        <v>75</v>
      </c>
      <c r="AD156" s="79"/>
      <c r="AE156" s="80" t="s">
        <v>70</v>
      </c>
      <c r="AF156" s="79" t="s">
        <v>80</v>
      </c>
      <c r="AG156" s="89">
        <v>196.54</v>
      </c>
      <c r="AH156" s="81">
        <v>500</v>
      </c>
      <c r="AI156" s="86">
        <f t="shared" si="42"/>
        <v>2.5440113971710594</v>
      </c>
      <c r="AJ156" s="86"/>
      <c r="AK156" s="89"/>
      <c r="AL156" s="86">
        <f>AI156+AL155</f>
        <v>11.787299413140545</v>
      </c>
      <c r="AM156" s="86">
        <f>AM155+(AI156/2)</f>
        <v>5.8936497065702724</v>
      </c>
      <c r="AN156" s="86">
        <f>AN155+(AI156/2)</f>
        <v>5.8936497065702724</v>
      </c>
      <c r="AO156" s="89">
        <v>0</v>
      </c>
      <c r="AP156" s="89">
        <f>AP155+(AH156-AO155)</f>
        <v>2500</v>
      </c>
      <c r="AQ156" s="85">
        <f t="shared" si="43"/>
        <v>-7.3329669336542974E-2</v>
      </c>
    </row>
    <row r="157" spans="25:43" ht="15.75" customHeight="1" x14ac:dyDescent="0.2">
      <c r="AB157" s="78"/>
      <c r="AC157" s="79" t="s">
        <v>75</v>
      </c>
      <c r="AD157" s="79"/>
      <c r="AE157" s="80" t="s">
        <v>70</v>
      </c>
      <c r="AF157" s="79" t="s">
        <v>80</v>
      </c>
      <c r="AG157" s="89">
        <v>184.88</v>
      </c>
      <c r="AH157" s="81">
        <v>50</v>
      </c>
      <c r="AI157" s="86">
        <f t="shared" si="42"/>
        <v>0.27044569450454348</v>
      </c>
      <c r="AJ157" s="86"/>
      <c r="AK157" s="89"/>
      <c r="AL157" s="86">
        <f>AI157+AL156</f>
        <v>12.057745107645088</v>
      </c>
      <c r="AM157" s="86">
        <f>AM156+(AI157/2)</f>
        <v>6.0288725538225441</v>
      </c>
      <c r="AN157" s="86">
        <f>AN156+(AI157/2)</f>
        <v>6.0288725538225441</v>
      </c>
      <c r="AO157" s="89">
        <v>0</v>
      </c>
      <c r="AP157" s="89">
        <f>AP156+(AH157-AO156)</f>
        <v>2550</v>
      </c>
      <c r="AQ157" s="85">
        <f t="shared" si="43"/>
        <v>-0.12578983705826521</v>
      </c>
    </row>
    <row r="158" spans="25:43" ht="15.75" customHeight="1" x14ac:dyDescent="0.2">
      <c r="AB158" s="78"/>
      <c r="AC158" s="79" t="s">
        <v>75</v>
      </c>
      <c r="AD158" s="79"/>
      <c r="AE158" s="80" t="s">
        <v>70</v>
      </c>
      <c r="AF158" s="79" t="s">
        <v>80</v>
      </c>
      <c r="AG158" s="89">
        <v>180.62</v>
      </c>
      <c r="AH158" s="81">
        <v>50</v>
      </c>
      <c r="AI158" s="86">
        <f t="shared" si="42"/>
        <v>0.27682427195216475</v>
      </c>
      <c r="AJ158" s="86"/>
      <c r="AK158" s="89"/>
      <c r="AL158" s="86">
        <f>AI158+AL157</f>
        <v>12.334569379597253</v>
      </c>
      <c r="AM158" s="86">
        <f>AM157+(AI158/2)</f>
        <v>6.1672846897986267</v>
      </c>
      <c r="AN158" s="86">
        <f>AN157+(AI158/2)</f>
        <v>6.1672846897986267</v>
      </c>
      <c r="AO158" s="89">
        <v>0</v>
      </c>
      <c r="AP158" s="89">
        <f>AP157+(AH158-AO157)</f>
        <v>2600</v>
      </c>
      <c r="AQ158" s="85">
        <f t="shared" si="43"/>
        <v>-0.14312695332967085</v>
      </c>
    </row>
    <row r="159" spans="25:43" ht="15.75" customHeight="1" x14ac:dyDescent="0.2">
      <c r="AB159" s="71"/>
      <c r="AC159" s="72" t="s">
        <v>73</v>
      </c>
      <c r="AD159" s="72"/>
      <c r="AE159" s="74" t="s">
        <v>27</v>
      </c>
      <c r="AF159" s="72" t="s">
        <v>10</v>
      </c>
      <c r="AG159" s="90">
        <v>208.59</v>
      </c>
      <c r="AH159" s="72"/>
      <c r="AI159" s="87">
        <v>0.13841000000000001</v>
      </c>
      <c r="AJ159" s="87"/>
      <c r="AK159" s="90">
        <f>AG159*AI159</f>
        <v>28.870941900000002</v>
      </c>
      <c r="AL159" s="87">
        <f>AL158-AI159</f>
        <v>12.196159379597253</v>
      </c>
      <c r="AM159" s="87">
        <f>AM158-AI159</f>
        <v>6.0288746897986263</v>
      </c>
      <c r="AN159" s="87">
        <f>AN158</f>
        <v>6.1672846897986267</v>
      </c>
      <c r="AO159" s="90">
        <f>AK159+AO153</f>
        <v>28.870941900000002</v>
      </c>
      <c r="AP159" s="90">
        <f>AP158</f>
        <v>2600</v>
      </c>
      <c r="AQ159" s="77">
        <f t="shared" si="43"/>
        <v>-1.0435451196080277E-2</v>
      </c>
    </row>
    <row r="160" spans="25:43" ht="15.75" customHeight="1" x14ac:dyDescent="0.2">
      <c r="AB160" s="78"/>
      <c r="AC160" s="72" t="s">
        <v>73</v>
      </c>
      <c r="AD160" s="72"/>
      <c r="AE160" s="74" t="s">
        <v>27</v>
      </c>
      <c r="AF160" s="72" t="s">
        <v>10</v>
      </c>
      <c r="AG160" s="90">
        <v>208.54</v>
      </c>
      <c r="AH160" s="72"/>
      <c r="AI160" s="87">
        <v>0.13522000000000001</v>
      </c>
      <c r="AJ160" s="87"/>
      <c r="AK160" s="90">
        <f>AG160*AI160</f>
        <v>28.198778799999999</v>
      </c>
      <c r="AL160" s="87">
        <f>AL159-AI160</f>
        <v>12.060939379597253</v>
      </c>
      <c r="AM160" s="87">
        <f>AM159-AI160</f>
        <v>5.8936546897986259</v>
      </c>
      <c r="AN160" s="87">
        <f>AN159</f>
        <v>6.1672846897986267</v>
      </c>
      <c r="AO160" s="90">
        <f>AK160+AO154</f>
        <v>28.198778799999999</v>
      </c>
      <c r="AP160" s="90">
        <f>AP159</f>
        <v>2600</v>
      </c>
      <c r="AQ160" s="85">
        <f t="shared" si="43"/>
        <v>-2.1774201145688038E-2</v>
      </c>
    </row>
    <row r="161" spans="28:43" ht="15.75" customHeight="1" x14ac:dyDescent="0.2">
      <c r="AB161" s="71"/>
      <c r="AC161" s="72" t="s">
        <v>73</v>
      </c>
      <c r="AD161" s="72"/>
      <c r="AE161" s="74" t="s">
        <v>95</v>
      </c>
      <c r="AF161" s="72" t="s">
        <v>80</v>
      </c>
      <c r="AG161" s="90">
        <v>28.25</v>
      </c>
      <c r="AH161" s="72"/>
      <c r="AI161" s="87">
        <f>AM160</f>
        <v>5.8936546897986259</v>
      </c>
      <c r="AJ161" s="87"/>
      <c r="AK161" s="90">
        <f>AG161*AI161</f>
        <v>166.49574498681119</v>
      </c>
      <c r="AL161" s="87">
        <f>AL160-AI161</f>
        <v>6.1672846897986267</v>
      </c>
      <c r="AM161" s="87">
        <f>AM160-AI161</f>
        <v>0</v>
      </c>
      <c r="AN161" s="87">
        <f>AN160</f>
        <v>6.1672846897986267</v>
      </c>
      <c r="AO161" s="90">
        <f>AO160+AK161</f>
        <v>194.6945237868112</v>
      </c>
      <c r="AP161" s="90">
        <f>AP160</f>
        <v>2600</v>
      </c>
      <c r="AQ161" s="77">
        <f t="shared" si="43"/>
        <v>-0.85810757066399135</v>
      </c>
    </row>
    <row r="162" spans="28:43" ht="15.75" customHeight="1" x14ac:dyDescent="0.2">
      <c r="AB162" s="78"/>
      <c r="AC162" s="79" t="s">
        <v>75</v>
      </c>
      <c r="AD162" s="79"/>
      <c r="AE162" s="80" t="s">
        <v>89</v>
      </c>
      <c r="AF162" s="79" t="s">
        <v>80</v>
      </c>
      <c r="AG162" s="89">
        <v>28.39</v>
      </c>
      <c r="AH162" s="81">
        <v>200</v>
      </c>
      <c r="AI162" s="86">
        <f>AH162/AG162</f>
        <v>7.0447340612891862</v>
      </c>
      <c r="AJ162" s="86"/>
      <c r="AK162" s="89"/>
      <c r="AL162" s="86">
        <f>AL161+AI162</f>
        <v>13.212018751087813</v>
      </c>
      <c r="AM162" s="86">
        <f>AM161+(AI162/2)</f>
        <v>3.5223670306445931</v>
      </c>
      <c r="AN162" s="86">
        <f>AN161+(AI162/2)</f>
        <v>9.6896517204432193</v>
      </c>
      <c r="AO162" s="89">
        <v>0</v>
      </c>
      <c r="AP162" s="89">
        <f>AP161+(AH162-AO161)</f>
        <v>2605.3054762131887</v>
      </c>
      <c r="AQ162" s="85">
        <f t="shared" si="43"/>
        <v>-0.85602870152156774</v>
      </c>
    </row>
    <row r="163" spans="28:43" ht="15.75" customHeight="1" x14ac:dyDescent="0.2">
      <c r="AB163" s="78"/>
      <c r="AC163" s="80" t="s">
        <v>75</v>
      </c>
      <c r="AD163" s="80"/>
      <c r="AE163" s="80" t="s">
        <v>96</v>
      </c>
      <c r="AF163" s="80" t="s">
        <v>80</v>
      </c>
      <c r="AG163" s="89">
        <v>27.28</v>
      </c>
      <c r="AH163" s="81">
        <v>200</v>
      </c>
      <c r="AI163" s="86">
        <f>AH163/AG163</f>
        <v>7.3313782991202343</v>
      </c>
      <c r="AJ163" s="86"/>
      <c r="AK163" s="89"/>
      <c r="AL163" s="86">
        <f>AL162+AI163</f>
        <v>20.543397050208046</v>
      </c>
      <c r="AM163" s="86">
        <f>AM162+(AI163/2)</f>
        <v>7.1880561802047103</v>
      </c>
      <c r="AN163" s="86">
        <f>AN162+(AI163/2)</f>
        <v>13.355340870003337</v>
      </c>
      <c r="AO163" s="89">
        <v>0</v>
      </c>
      <c r="AP163" s="89">
        <f>AP162+(AH163-AO162)</f>
        <v>2805.3054762131887</v>
      </c>
      <c r="AQ163" s="85">
        <f t="shared" si="43"/>
        <v>-0.80022714949169182</v>
      </c>
    </row>
    <row r="164" spans="28:43" ht="15.75" customHeight="1" x14ac:dyDescent="0.2">
      <c r="AB164" s="78"/>
      <c r="AC164" s="80" t="s">
        <v>75</v>
      </c>
      <c r="AD164" s="80"/>
      <c r="AE164" s="80" t="s">
        <v>97</v>
      </c>
      <c r="AF164" s="80" t="s">
        <v>80</v>
      </c>
      <c r="AG164" s="89">
        <v>27.38</v>
      </c>
      <c r="AH164" s="81">
        <v>200</v>
      </c>
      <c r="AI164" s="86">
        <f>AH164/AG164</f>
        <v>7.3046018991964941</v>
      </c>
      <c r="AJ164" s="86"/>
      <c r="AK164" s="89"/>
      <c r="AL164" s="86">
        <f>AL163+AI164</f>
        <v>27.847998949404541</v>
      </c>
      <c r="AM164" s="86">
        <f>AM163+(AI164/2)</f>
        <v>10.840357129802957</v>
      </c>
      <c r="AN164" s="86">
        <f>AN163+(AI164/2)</f>
        <v>17.007641819601584</v>
      </c>
      <c r="AO164" s="89">
        <v>0</v>
      </c>
      <c r="AP164" s="89">
        <f>AP163+(AH164-AO163)</f>
        <v>3005.3054762131887</v>
      </c>
      <c r="AQ164" s="85">
        <f t="shared" si="43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L69 AA70 AN71 AO68 BE69 BE71 BE74 AK81 AE81 BE82 AA81:AC81 AG81:AI81 AD104:AD105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0" t="s">
        <v>104</v>
      </c>
      <c r="C3" s="70" t="s">
        <v>105</v>
      </c>
      <c r="D3" s="70" t="s">
        <v>106</v>
      </c>
      <c r="E3" s="70" t="s">
        <v>107</v>
      </c>
      <c r="F3" s="70" t="s">
        <v>117</v>
      </c>
      <c r="G3" s="70" t="s">
        <v>119</v>
      </c>
      <c r="H3" s="70" t="s">
        <v>110</v>
      </c>
      <c r="I3" s="70" t="s">
        <v>109</v>
      </c>
      <c r="J3" s="70" t="s">
        <v>111</v>
      </c>
      <c r="K3" s="70" t="s">
        <v>113</v>
      </c>
      <c r="L3" s="70" t="s">
        <v>29</v>
      </c>
      <c r="M3" s="70" t="s">
        <v>63</v>
      </c>
      <c r="N3" s="70" t="s">
        <v>72</v>
      </c>
      <c r="O3" s="70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0" t="s">
        <v>104</v>
      </c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0" t="s">
        <v>104</v>
      </c>
      <c r="C11" s="70" t="s">
        <v>76</v>
      </c>
      <c r="D11" s="70" t="s">
        <v>107</v>
      </c>
      <c r="E11" s="70" t="s">
        <v>108</v>
      </c>
      <c r="F11" s="70" t="s">
        <v>119</v>
      </c>
      <c r="G11" s="70" t="s">
        <v>63</v>
      </c>
      <c r="H11" s="70" t="s">
        <v>72</v>
      </c>
      <c r="I11" s="70" t="s">
        <v>99</v>
      </c>
      <c r="J11" s="70" t="s">
        <v>112</v>
      </c>
      <c r="K11" s="70" t="s">
        <v>109</v>
      </c>
      <c r="L11" s="70" t="s">
        <v>79</v>
      </c>
      <c r="M11" s="70" t="s">
        <v>121</v>
      </c>
      <c r="N11" s="70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6" t="s">
        <v>34</v>
      </c>
      <c r="K12" s="33">
        <v>1200</v>
      </c>
      <c r="L12" s="96" t="s">
        <v>34</v>
      </c>
      <c r="M12" s="96" t="s">
        <v>34</v>
      </c>
      <c r="N12" s="96" t="s">
        <v>34</v>
      </c>
    </row>
    <row r="14" spans="2:15" x14ac:dyDescent="0.2">
      <c r="B14" s="45" t="s">
        <v>131</v>
      </c>
    </row>
    <row r="15" spans="2:15" x14ac:dyDescent="0.2">
      <c r="B15" s="70" t="s">
        <v>104</v>
      </c>
      <c r="C15" s="70" t="s">
        <v>105</v>
      </c>
      <c r="D15" s="70" t="s">
        <v>106</v>
      </c>
      <c r="E15" s="70" t="s">
        <v>107</v>
      </c>
      <c r="F15" s="70" t="s">
        <v>117</v>
      </c>
      <c r="G15" s="70" t="s">
        <v>119</v>
      </c>
      <c r="H15" s="70" t="s">
        <v>110</v>
      </c>
      <c r="I15" s="70" t="s">
        <v>109</v>
      </c>
      <c r="J15" s="70" t="s">
        <v>111</v>
      </c>
      <c r="K15" s="70" t="s">
        <v>113</v>
      </c>
      <c r="L15" s="70" t="s">
        <v>29</v>
      </c>
      <c r="M15" s="70" t="s">
        <v>63</v>
      </c>
      <c r="N15" s="70" t="s">
        <v>72</v>
      </c>
      <c r="O15" s="70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6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6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6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6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6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6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6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6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0" t="s">
        <v>107</v>
      </c>
      <c r="C33" s="70" t="s">
        <v>109</v>
      </c>
      <c r="D33" s="70" t="s">
        <v>79</v>
      </c>
      <c r="E33" s="70" t="s">
        <v>126</v>
      </c>
      <c r="F33" s="70" t="s">
        <v>127</v>
      </c>
      <c r="G33" s="70" t="s">
        <v>82</v>
      </c>
    </row>
    <row r="34" spans="2:7" x14ac:dyDescent="0.2">
      <c r="B34" s="45" t="s">
        <v>128</v>
      </c>
      <c r="C34" s="97">
        <f>I16+I21+I22+I27</f>
        <v>5800</v>
      </c>
      <c r="D34" s="96" t="s">
        <v>34</v>
      </c>
      <c r="E34" s="96" t="s">
        <v>34</v>
      </c>
      <c r="F34" s="96" t="s">
        <v>34</v>
      </c>
      <c r="G34" s="96" t="s">
        <v>34</v>
      </c>
    </row>
    <row r="35" spans="2:7" x14ac:dyDescent="0.2">
      <c r="B35" s="45" t="s">
        <v>129</v>
      </c>
      <c r="C35" s="97">
        <f>I18+I26+I28</f>
        <v>4100</v>
      </c>
      <c r="D35" s="96" t="s">
        <v>34</v>
      </c>
      <c r="E35" s="96" t="s">
        <v>34</v>
      </c>
      <c r="F35" s="96" t="s">
        <v>34</v>
      </c>
      <c r="G35" s="96" t="s">
        <v>34</v>
      </c>
    </row>
    <row r="36" spans="2:7" x14ac:dyDescent="0.2">
      <c r="B36" s="45" t="s">
        <v>130</v>
      </c>
      <c r="C36" s="97">
        <f>I17+I19+I23+I24+I29</f>
        <v>6900</v>
      </c>
      <c r="D36" s="96" t="s">
        <v>34</v>
      </c>
      <c r="E36" s="96" t="s">
        <v>34</v>
      </c>
      <c r="F36" s="96" t="s">
        <v>34</v>
      </c>
      <c r="G36" s="96" t="s">
        <v>34</v>
      </c>
    </row>
    <row r="37" spans="2:7" x14ac:dyDescent="0.2">
      <c r="B37" s="45" t="s">
        <v>115</v>
      </c>
      <c r="C37" s="97">
        <f>I4+I20+I25</f>
        <v>3600</v>
      </c>
      <c r="D37" s="96" t="s">
        <v>34</v>
      </c>
      <c r="E37" s="96" t="s">
        <v>34</v>
      </c>
      <c r="F37" s="96" t="s">
        <v>34</v>
      </c>
      <c r="G37" s="96" t="s">
        <v>34</v>
      </c>
    </row>
    <row r="39" spans="2:7" x14ac:dyDescent="0.2">
      <c r="B39" s="45" t="s">
        <v>174</v>
      </c>
    </row>
    <row r="40" spans="2:7" x14ac:dyDescent="0.2">
      <c r="B40" s="70" t="s">
        <v>107</v>
      </c>
      <c r="C40" s="70" t="s">
        <v>109</v>
      </c>
      <c r="D40" s="70" t="s">
        <v>79</v>
      </c>
      <c r="E40" s="70" t="s">
        <v>126</v>
      </c>
      <c r="F40" s="70" t="s">
        <v>127</v>
      </c>
      <c r="G40" s="70" t="s">
        <v>82</v>
      </c>
    </row>
    <row r="41" spans="2:7" x14ac:dyDescent="0.2">
      <c r="B41" s="45" t="s">
        <v>134</v>
      </c>
      <c r="C41" s="63">
        <f>I16+I27</f>
        <v>3500</v>
      </c>
      <c r="D41" s="96" t="s">
        <v>34</v>
      </c>
      <c r="E41" s="96" t="s">
        <v>34</v>
      </c>
      <c r="F41" s="96" t="s">
        <v>34</v>
      </c>
      <c r="G41" s="96" t="s">
        <v>34</v>
      </c>
    </row>
    <row r="42" spans="2:7" x14ac:dyDescent="0.2">
      <c r="B42" s="45" t="s">
        <v>154</v>
      </c>
      <c r="C42" s="63">
        <f>I22</f>
        <v>1300</v>
      </c>
      <c r="D42" s="96" t="s">
        <v>34</v>
      </c>
      <c r="E42" s="96" t="s">
        <v>34</v>
      </c>
      <c r="F42" s="96" t="s">
        <v>34</v>
      </c>
      <c r="G42" s="96" t="s">
        <v>34</v>
      </c>
    </row>
    <row r="43" spans="2:7" x14ac:dyDescent="0.2">
      <c r="B43" s="45" t="s">
        <v>137</v>
      </c>
      <c r="C43" s="63">
        <f>I19+I21</f>
        <v>1500</v>
      </c>
      <c r="D43" s="96" t="s">
        <v>34</v>
      </c>
      <c r="E43" s="96" t="s">
        <v>34</v>
      </c>
      <c r="F43" s="96" t="s">
        <v>34</v>
      </c>
      <c r="G43" s="96" t="s">
        <v>34</v>
      </c>
    </row>
    <row r="44" spans="2:7" x14ac:dyDescent="0.2">
      <c r="B44" s="45" t="s">
        <v>160</v>
      </c>
      <c r="C44" s="63">
        <f>I17+I24</f>
        <v>4600</v>
      </c>
      <c r="D44" s="96" t="s">
        <v>34</v>
      </c>
      <c r="E44" s="96" t="s">
        <v>34</v>
      </c>
      <c r="F44" s="96" t="s">
        <v>34</v>
      </c>
      <c r="G44" s="96" t="s">
        <v>34</v>
      </c>
    </row>
    <row r="45" spans="2:7" x14ac:dyDescent="0.2">
      <c r="B45" s="45" t="s">
        <v>136</v>
      </c>
      <c r="C45" s="63">
        <v>0</v>
      </c>
      <c r="D45" s="96" t="s">
        <v>34</v>
      </c>
      <c r="E45" s="96" t="s">
        <v>34</v>
      </c>
      <c r="F45" s="96" t="s">
        <v>34</v>
      </c>
      <c r="G45" s="96" t="s">
        <v>34</v>
      </c>
    </row>
    <row r="46" spans="2:7" x14ac:dyDescent="0.2">
      <c r="B46" s="45" t="s">
        <v>157</v>
      </c>
      <c r="C46" s="63">
        <f>I23+I29</f>
        <v>1800</v>
      </c>
      <c r="D46" s="96" t="s">
        <v>34</v>
      </c>
      <c r="E46" s="96" t="s">
        <v>34</v>
      </c>
      <c r="F46" s="96" t="s">
        <v>34</v>
      </c>
      <c r="G46" s="96" t="s">
        <v>34</v>
      </c>
    </row>
    <row r="47" spans="2:7" x14ac:dyDescent="0.2">
      <c r="B47" s="45" t="s">
        <v>166</v>
      </c>
      <c r="C47" s="63">
        <f>I26+I28</f>
        <v>2600</v>
      </c>
      <c r="D47" s="96" t="s">
        <v>34</v>
      </c>
      <c r="E47" s="96" t="s">
        <v>34</v>
      </c>
      <c r="F47" s="96" t="s">
        <v>34</v>
      </c>
      <c r="G47" s="96" t="s">
        <v>34</v>
      </c>
    </row>
    <row r="48" spans="2:7" x14ac:dyDescent="0.2">
      <c r="B48" s="45" t="s">
        <v>163</v>
      </c>
      <c r="C48" s="63">
        <f>I25</f>
        <v>1200</v>
      </c>
      <c r="D48" s="96" t="s">
        <v>34</v>
      </c>
      <c r="E48" s="96" t="s">
        <v>34</v>
      </c>
      <c r="F48" s="96" t="s">
        <v>34</v>
      </c>
      <c r="G48" s="96" t="s">
        <v>34</v>
      </c>
    </row>
    <row r="49" spans="2:7" x14ac:dyDescent="0.2">
      <c r="B49" s="45" t="s">
        <v>118</v>
      </c>
      <c r="C49" s="63">
        <f>I4+I18</f>
        <v>2700</v>
      </c>
      <c r="D49" s="96" t="s">
        <v>34</v>
      </c>
      <c r="E49" s="96" t="s">
        <v>34</v>
      </c>
      <c r="F49" s="96" t="s">
        <v>34</v>
      </c>
      <c r="G49" s="96" t="s">
        <v>34</v>
      </c>
    </row>
    <row r="50" spans="2:7" x14ac:dyDescent="0.2">
      <c r="B50" s="45" t="s">
        <v>116</v>
      </c>
      <c r="C50" s="63">
        <f>I20</f>
        <v>1200</v>
      </c>
      <c r="D50" s="96" t="s">
        <v>34</v>
      </c>
      <c r="E50" s="96" t="s">
        <v>34</v>
      </c>
      <c r="F50" s="96" t="s">
        <v>34</v>
      </c>
      <c r="G50" s="96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2026-01-03T17:48:47Z</dcterms:modified>
</cp:coreProperties>
</file>