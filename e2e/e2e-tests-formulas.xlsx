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1944ACFF-E1BC-44A9-AC1E-E699A845D112}" xr6:coauthVersionLast="47" xr6:coauthVersionMax="47" xr10:uidLastSave="{00000000-0000-0000-0000-000000000000}"/>
  <bookViews>
    <workbookView xWindow="4335" yWindow="300"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13" i="14" l="1"/>
  <c r="AJ113" i="14" s="1"/>
  <c r="AJ115" i="14" s="1"/>
  <c r="AJ117" i="14" s="1"/>
  <c r="U113" i="14"/>
  <c r="AH113" i="14" s="1"/>
  <c r="AK113" i="14" s="1"/>
  <c r="AL113" i="14" s="1"/>
  <c r="W112" i="14"/>
  <c r="AP112" i="14" s="1"/>
  <c r="AP114" i="14" s="1"/>
  <c r="AP116" i="14" s="1"/>
  <c r="AP118" i="14" s="1"/>
  <c r="U112" i="14"/>
  <c r="AN112" i="14" s="1"/>
  <c r="AQ112" i="14" s="1"/>
  <c r="AR112" i="14" s="1"/>
  <c r="BB133" i="14"/>
  <c r="AW133" i="14"/>
  <c r="AV133" i="14"/>
  <c r="AU133" i="14"/>
  <c r="M132" i="14"/>
  <c r="U128" i="14"/>
  <c r="U129" i="14" s="1"/>
  <c r="W127" i="14"/>
  <c r="W125" i="14"/>
  <c r="AY125" i="14" s="1"/>
  <c r="AY126" i="14" s="1"/>
  <c r="AX124" i="14"/>
  <c r="W124" i="14"/>
  <c r="AD124" i="14" s="1"/>
  <c r="AD125" i="14" s="1"/>
  <c r="AD126" i="14" s="1"/>
  <c r="AD127" i="14" s="1"/>
  <c r="AD128" i="14" s="1"/>
  <c r="U124" i="14"/>
  <c r="AN124"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95" i="14"/>
  <c r="AH195" i="14"/>
  <c r="AJ195" i="14" s="1"/>
  <c r="AC195" i="14"/>
  <c r="AB195" i="14"/>
  <c r="AD195" i="14" s="1"/>
  <c r="AN195" i="14" s="1"/>
  <c r="W195" i="14"/>
  <c r="AI191" i="14"/>
  <c r="AI192" i="14" s="1"/>
  <c r="AI193" i="14" s="1"/>
  <c r="AI194" i="14" s="1"/>
  <c r="AH191" i="14"/>
  <c r="AJ191" i="14" s="1"/>
  <c r="AO191" i="14" s="1"/>
  <c r="AC191" i="14"/>
  <c r="AC192" i="14" s="1"/>
  <c r="AC193" i="14" s="1"/>
  <c r="AC194" i="14" s="1"/>
  <c r="AB191" i="14"/>
  <c r="AD191" i="14" s="1"/>
  <c r="W191" i="14"/>
  <c r="AB212" i="14"/>
  <c r="AC212" i="14" s="1"/>
  <c r="AF213" i="14"/>
  <c r="AE213" i="14"/>
  <c r="W213" i="14"/>
  <c r="AB213" i="14"/>
  <c r="AG213" i="14"/>
  <c r="AG209" i="14"/>
  <c r="AG210" i="14"/>
  <c r="AG212" i="14"/>
  <c r="AF212" i="14"/>
  <c r="W212" i="14"/>
  <c r="AB211" i="14"/>
  <c r="AC211" i="14" s="1"/>
  <c r="AB210" i="14"/>
  <c r="AC210" i="14" s="1"/>
  <c r="AB209" i="14"/>
  <c r="AC209" i="14" s="1"/>
  <c r="AG211" i="14"/>
  <c r="AF210" i="14"/>
  <c r="AF211" i="14"/>
  <c r="AF209" i="14"/>
  <c r="W211" i="14"/>
  <c r="W210" i="14"/>
  <c r="W209" i="14"/>
  <c r="AG208" i="14"/>
  <c r="AE208" i="14"/>
  <c r="AE207" i="14"/>
  <c r="W208" i="14"/>
  <c r="W207" i="14"/>
  <c r="C50" i="15"/>
  <c r="C49" i="15"/>
  <c r="C48" i="15"/>
  <c r="C47" i="15"/>
  <c r="C46" i="15"/>
  <c r="C44" i="15"/>
  <c r="C43" i="15"/>
  <c r="C42" i="15"/>
  <c r="C41" i="15"/>
  <c r="C37" i="15"/>
  <c r="C36" i="15"/>
  <c r="C35" i="15"/>
  <c r="C34" i="15"/>
  <c r="W187" i="14"/>
  <c r="AI187" i="14"/>
  <c r="AI188" i="14" s="1"/>
  <c r="AI189" i="14" s="1"/>
  <c r="AI190" i="14" s="1"/>
  <c r="AH187" i="14"/>
  <c r="AJ187" i="14" s="1"/>
  <c r="AO187" i="14" s="1"/>
  <c r="AC187" i="14"/>
  <c r="AC188" i="14" s="1"/>
  <c r="AC189" i="14" s="1"/>
  <c r="AC190" i="14" s="1"/>
  <c r="AB187" i="14"/>
  <c r="AB188" i="14" s="1"/>
  <c r="AB189" i="14" s="1"/>
  <c r="AB190" i="14" s="1"/>
  <c r="AL244" i="14"/>
  <c r="AP244" i="14" s="1"/>
  <c r="AJ242" i="14"/>
  <c r="AJ241" i="14"/>
  <c r="AJ240" i="14"/>
  <c r="AJ239" i="14"/>
  <c r="AJ238" i="14"/>
  <c r="AJ248" i="14"/>
  <c r="AJ247" i="14"/>
  <c r="AJ246" i="14"/>
  <c r="AQ237" i="14"/>
  <c r="AJ237" i="14"/>
  <c r="AL231" i="14"/>
  <c r="AL229" i="14"/>
  <c r="AO223" i="14"/>
  <c r="AN223" i="14"/>
  <c r="AJ224" i="14" s="1"/>
  <c r="AL224" i="14" s="1"/>
  <c r="AP224" i="14" s="1"/>
  <c r="AQ223" i="14"/>
  <c r="AL228" i="14"/>
  <c r="AP228" i="14" s="1"/>
  <c r="AJ227" i="14"/>
  <c r="AL226" i="14"/>
  <c r="AP226" i="14" s="1"/>
  <c r="AJ225" i="14"/>
  <c r="AM225" i="14" s="1"/>
  <c r="AM226" i="14" s="1"/>
  <c r="AJ223" i="14"/>
  <c r="AI180" i="14"/>
  <c r="AI181" i="14" s="1"/>
  <c r="AI182" i="14" s="1"/>
  <c r="AI183" i="14" s="1"/>
  <c r="AC180" i="14"/>
  <c r="AC181" i="14" s="1"/>
  <c r="AC182" i="14" s="1"/>
  <c r="AC183" i="14" s="1"/>
  <c r="AC173" i="14"/>
  <c r="AI175" i="14"/>
  <c r="AI171" i="14"/>
  <c r="AC171" i="14"/>
  <c r="AJ166" i="14"/>
  <c r="AJ164" i="14"/>
  <c r="AJ165" i="14" s="1"/>
  <c r="AJ167" i="14" s="1"/>
  <c r="AD166" i="14"/>
  <c r="AD164" i="14"/>
  <c r="AJ160" i="14"/>
  <c r="AJ156" i="14"/>
  <c r="AJ159" i="14" s="1"/>
  <c r="AD160" i="14"/>
  <c r="AJ153" i="14"/>
  <c r="AJ155" i="14" s="1"/>
  <c r="AJ158" i="14" s="1"/>
  <c r="AJ151" i="14"/>
  <c r="AD154" i="14"/>
  <c r="AD156" i="14" s="1"/>
  <c r="AD159" i="14" s="1"/>
  <c r="AD153" i="14"/>
  <c r="AD155" i="14" s="1"/>
  <c r="AD158" i="14" s="1"/>
  <c r="AD151" i="14"/>
  <c r="BI166" i="14"/>
  <c r="AH166" i="14"/>
  <c r="AC166" i="14"/>
  <c r="AB166" i="14"/>
  <c r="AI166" i="14"/>
  <c r="W166" i="14"/>
  <c r="BK165" i="14"/>
  <c r="BJ165" i="14"/>
  <c r="BI165" i="14"/>
  <c r="BH165" i="14"/>
  <c r="BG165" i="14"/>
  <c r="BF165" i="14"/>
  <c r="BE165" i="14"/>
  <c r="BC165" i="14"/>
  <c r="BB165" i="14"/>
  <c r="BA165" i="14"/>
  <c r="AZ165" i="14"/>
  <c r="AY165" i="14"/>
  <c r="AX165" i="14"/>
  <c r="AW165" i="14"/>
  <c r="AV165" i="14"/>
  <c r="AU165" i="14"/>
  <c r="AT165" i="14"/>
  <c r="AS165" i="14"/>
  <c r="AR165" i="14"/>
  <c r="AV166" i="14"/>
  <c r="AW166" i="14" s="1"/>
  <c r="AU166" i="14"/>
  <c r="AT166" i="14"/>
  <c r="AS166" i="14"/>
  <c r="AR166" i="14"/>
  <c r="AI164" i="14"/>
  <c r="AI165" i="14" s="1"/>
  <c r="AI167" i="14" s="1"/>
  <c r="AH164" i="14"/>
  <c r="AH165" i="14" s="1"/>
  <c r="AH167" i="14" s="1"/>
  <c r="AC164" i="14"/>
  <c r="AC165" i="14" s="1"/>
  <c r="AC167" i="14" s="1"/>
  <c r="AB164" i="14"/>
  <c r="W164" i="14"/>
  <c r="AW158" i="14"/>
  <c r="AV158" i="14"/>
  <c r="AU158" i="14"/>
  <c r="AT158" i="14"/>
  <c r="AS158" i="14"/>
  <c r="AR158" i="14"/>
  <c r="BI152" i="14"/>
  <c r="BI153" i="14" s="1"/>
  <c r="BI155" i="14" s="1"/>
  <c r="BI157" i="14" s="1"/>
  <c r="BI158" i="14" s="1"/>
  <c r="AV152" i="14"/>
  <c r="AV153" i="14" s="1"/>
  <c r="W158" i="14"/>
  <c r="W155" i="14"/>
  <c r="W153" i="14"/>
  <c r="W151" i="14"/>
  <c r="BG152" i="14"/>
  <c r="BF152" i="14"/>
  <c r="BC152" i="14"/>
  <c r="BB152" i="14"/>
  <c r="BA152" i="14"/>
  <c r="AZ152" i="14"/>
  <c r="AY152" i="14"/>
  <c r="AX152" i="14"/>
  <c r="BH152" i="14"/>
  <c r="AU152" i="14"/>
  <c r="AU153" i="14" s="1"/>
  <c r="AU155" i="14" s="1"/>
  <c r="AU157" i="14" s="1"/>
  <c r="AS152" i="14"/>
  <c r="AS153" i="14" s="1"/>
  <c r="AS155" i="14" s="1"/>
  <c r="AS157" i="14" s="1"/>
  <c r="AT152" i="14"/>
  <c r="AT153" i="14" s="1"/>
  <c r="AT155" i="14" s="1"/>
  <c r="AR152" i="14"/>
  <c r="AR153" i="14" s="1"/>
  <c r="AR155" i="14" s="1"/>
  <c r="AH183" i="14"/>
  <c r="AB183" i="14"/>
  <c r="AH182" i="14"/>
  <c r="AB181" i="14"/>
  <c r="AH180" i="14"/>
  <c r="AB180" i="14"/>
  <c r="AH175" i="14"/>
  <c r="AB173" i="14"/>
  <c r="AH171" i="14"/>
  <c r="AB171" i="14"/>
  <c r="AI160" i="14"/>
  <c r="AH160" i="14"/>
  <c r="AC160" i="14"/>
  <c r="AB160" i="14"/>
  <c r="AI156" i="14"/>
  <c r="AH156" i="14"/>
  <c r="AC154" i="14"/>
  <c r="AB154" i="14"/>
  <c r="AB156" i="14" s="1"/>
  <c r="AI151" i="14"/>
  <c r="AH151" i="14"/>
  <c r="AC151" i="14"/>
  <c r="AB151" i="14"/>
  <c r="AB153" i="14" s="1"/>
  <c r="AB155"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U117" i="14" l="1"/>
  <c r="X117" i="14" s="1"/>
  <c r="W117" i="14"/>
  <c r="AH115" i="14"/>
  <c r="W118" i="14"/>
  <c r="U118" i="14"/>
  <c r="X118" i="14" s="1"/>
  <c r="AT133" i="14"/>
  <c r="AZ133" i="14" s="1"/>
  <c r="X112" i="14"/>
  <c r="AN114" i="14"/>
  <c r="V113" i="14"/>
  <c r="V118" i="14" s="1"/>
  <c r="AD113" i="14"/>
  <c r="AD115" i="14" s="1"/>
  <c r="AD117" i="14" s="1"/>
  <c r="AN113" i="14"/>
  <c r="AB113" i="14"/>
  <c r="AP113" i="14"/>
  <c r="AP115" i="14" s="1"/>
  <c r="AP117" i="14" s="1"/>
  <c r="X113" i="14"/>
  <c r="AB112" i="14"/>
  <c r="V112" i="14"/>
  <c r="V117" i="14" s="1"/>
  <c r="AD112" i="14"/>
  <c r="AD114" i="14" s="1"/>
  <c r="AD116" i="14" s="1"/>
  <c r="AD118" i="14" s="1"/>
  <c r="AH112" i="14"/>
  <c r="AJ112" i="14"/>
  <c r="AJ114" i="14" s="1"/>
  <c r="AJ116" i="14" s="1"/>
  <c r="AJ118" i="14" s="1"/>
  <c r="AD129" i="14"/>
  <c r="AD131" i="14" s="1"/>
  <c r="AD132" i="14" s="1"/>
  <c r="W133" i="14"/>
  <c r="U133" i="14"/>
  <c r="X133" i="14" s="1"/>
  <c r="AY127" i="14"/>
  <c r="BB124" i="14"/>
  <c r="AX125" i="14"/>
  <c r="AQ124" i="14"/>
  <c r="AR124" i="14" s="1"/>
  <c r="AN125" i="14"/>
  <c r="AB124" i="14"/>
  <c r="AJ124" i="14"/>
  <c r="AJ125" i="14" s="1"/>
  <c r="AJ126" i="14" s="1"/>
  <c r="AJ127" i="14" s="1"/>
  <c r="AJ128" i="14" s="1"/>
  <c r="AJ129" i="14" s="1"/>
  <c r="AP124" i="14"/>
  <c r="AP125" i="14" s="1"/>
  <c r="AP126" i="14" s="1"/>
  <c r="V124" i="14"/>
  <c r="V133" i="14" s="1"/>
  <c r="X124" i="14"/>
  <c r="AH124"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D82" i="14"/>
  <c r="AD85" i="14" s="1"/>
  <c r="AD88" i="14" s="1"/>
  <c r="AD90" i="14" s="1"/>
  <c r="AD92" i="14" s="1"/>
  <c r="AD94" i="14" s="1"/>
  <c r="AD96" i="14" s="1"/>
  <c r="AD98" i="14" s="1"/>
  <c r="AD100" i="14" s="1"/>
  <c r="AD102"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95" i="14"/>
  <c r="AO195" i="14"/>
  <c r="AK195" i="14"/>
  <c r="AE195" i="14"/>
  <c r="AN191" i="14"/>
  <c r="AE191" i="14"/>
  <c r="AF191" i="14"/>
  <c r="AF192" i="14" s="1"/>
  <c r="AF193" i="14" s="1"/>
  <c r="AF194" i="14" s="1"/>
  <c r="AF195" i="14" s="1"/>
  <c r="AB192" i="14"/>
  <c r="AB193" i="14" s="1"/>
  <c r="AB194" i="14" s="1"/>
  <c r="AD187" i="14"/>
  <c r="AD188" i="14" s="1"/>
  <c r="AK191" i="14"/>
  <c r="AJ188" i="14"/>
  <c r="AO188" i="14" s="1"/>
  <c r="AD192" i="14"/>
  <c r="AL191" i="14"/>
  <c r="AL192" i="14" s="1"/>
  <c r="AL193" i="14" s="1"/>
  <c r="AL194" i="14" s="1"/>
  <c r="AJ192" i="14"/>
  <c r="AO192" i="14" s="1"/>
  <c r="AM227" i="14"/>
  <c r="AM228" i="14" s="1"/>
  <c r="AP229" i="14"/>
  <c r="AP230" i="14" s="1"/>
  <c r="AK187" i="14"/>
  <c r="AF187" i="14"/>
  <c r="AF188" i="14" s="1"/>
  <c r="AF189" i="14" s="1"/>
  <c r="AF190" i="14" s="1"/>
  <c r="AL187" i="14"/>
  <c r="AL188" i="14" s="1"/>
  <c r="AL189" i="14" s="1"/>
  <c r="AL190" i="14" s="1"/>
  <c r="AF166" i="14"/>
  <c r="AR223" i="14"/>
  <c r="AQ238" i="14"/>
  <c r="AQ239" i="14" s="1"/>
  <c r="AQ240" i="14" s="1"/>
  <c r="AQ241" i="14" s="1"/>
  <c r="AQ242" i="14" s="1"/>
  <c r="AQ243" i="14" s="1"/>
  <c r="AQ244" i="14" s="1"/>
  <c r="AR237" i="14"/>
  <c r="AM237" i="14"/>
  <c r="AM238" i="14" s="1"/>
  <c r="AM239" i="14" s="1"/>
  <c r="AN225" i="14"/>
  <c r="AN226" i="14" s="1"/>
  <c r="AN227" i="14" s="1"/>
  <c r="AN228" i="14" s="1"/>
  <c r="AN229" i="14" s="1"/>
  <c r="AN230" i="14" s="1"/>
  <c r="AN231" i="14" s="1"/>
  <c r="AN232" i="14" s="1"/>
  <c r="AO225" i="14"/>
  <c r="AO226" i="14" s="1"/>
  <c r="AO227" i="14" s="1"/>
  <c r="AO228" i="14" s="1"/>
  <c r="AO229" i="14" s="1"/>
  <c r="AO230" i="14" s="1"/>
  <c r="AO231" i="14" s="1"/>
  <c r="AO232" i="14" s="1"/>
  <c r="AQ224" i="14"/>
  <c r="AL166" i="14"/>
  <c r="AD165" i="14"/>
  <c r="AD167" i="14" s="1"/>
  <c r="AB165" i="14"/>
  <c r="AB167" i="14" s="1"/>
  <c r="AF164" i="14"/>
  <c r="AF165" i="14" s="1"/>
  <c r="AF167" i="14" s="1"/>
  <c r="AL164" i="14"/>
  <c r="AL165" i="14" s="1"/>
  <c r="AL167" i="14" s="1"/>
  <c r="AR157" i="14"/>
  <c r="BE152" i="14"/>
  <c r="BJ152" i="14" s="1"/>
  <c r="BK152" i="14" s="1"/>
  <c r="AT157" i="14"/>
  <c r="AW152" i="14"/>
  <c r="AL183" i="14"/>
  <c r="AF181" i="14"/>
  <c r="AL182" i="14"/>
  <c r="AF183" i="14"/>
  <c r="AF171" i="14"/>
  <c r="AF180" i="14"/>
  <c r="AL171" i="14"/>
  <c r="AF173" i="14"/>
  <c r="AL175" i="14"/>
  <c r="AL180" i="14"/>
  <c r="AL160" i="14"/>
  <c r="AO158" i="14" s="1"/>
  <c r="AZ158" i="14" s="1"/>
  <c r="BA158" i="14" s="1"/>
  <c r="AF160" i="14"/>
  <c r="AM158" i="14" s="1"/>
  <c r="AL156" i="14"/>
  <c r="AL151" i="14"/>
  <c r="AO151" i="14" s="1"/>
  <c r="AO152" i="14" s="1"/>
  <c r="AO153" i="14" s="1"/>
  <c r="AF151" i="14"/>
  <c r="AM151" i="14" s="1"/>
  <c r="AF154" i="14"/>
  <c r="O8" i="12"/>
  <c r="O7" i="12" s="1"/>
  <c r="O8" i="9"/>
  <c r="O7" i="9" s="1"/>
  <c r="O8" i="11"/>
  <c r="O7" i="11" s="1"/>
  <c r="O8" i="6"/>
  <c r="O7" i="6" s="1"/>
  <c r="J3" i="9"/>
  <c r="J3" i="12"/>
  <c r="J4" i="6"/>
  <c r="J4" i="12"/>
  <c r="J4" i="9"/>
  <c r="J5" i="12"/>
  <c r="J5" i="9"/>
  <c r="J6" i="12"/>
  <c r="AD130" i="14" l="1"/>
  <c r="AQ113" i="14"/>
  <c r="AR113" i="14" s="1"/>
  <c r="AN115" i="14"/>
  <c r="AH117" i="14"/>
  <c r="AK117" i="14" s="1"/>
  <c r="AL117" i="14" s="1"/>
  <c r="AK115" i="14"/>
  <c r="AL115" i="14" s="1"/>
  <c r="AE113" i="14"/>
  <c r="AF113" i="14" s="1"/>
  <c r="AB115" i="14"/>
  <c r="AQ114" i="14"/>
  <c r="AR114" i="14" s="1"/>
  <c r="AN116" i="14"/>
  <c r="AK112" i="14"/>
  <c r="AL112" i="14" s="1"/>
  <c r="AH114" i="14"/>
  <c r="AE112" i="14"/>
  <c r="AF112" i="14" s="1"/>
  <c r="AB114" i="14"/>
  <c r="AI113" i="14"/>
  <c r="AI115" i="14" s="1"/>
  <c r="AI117" i="14" s="1"/>
  <c r="AO113" i="14"/>
  <c r="AO115" i="14" s="1"/>
  <c r="AO117" i="14" s="1"/>
  <c r="AC113" i="14"/>
  <c r="AC115" i="14" s="1"/>
  <c r="AC117" i="14" s="1"/>
  <c r="AC112" i="14"/>
  <c r="AI112" i="14"/>
  <c r="AO112" i="14"/>
  <c r="AJ131" i="14"/>
  <c r="AJ132" i="14" s="1"/>
  <c r="AJ130" i="14"/>
  <c r="AE81" i="14"/>
  <c r="AF81" i="14" s="1"/>
  <c r="AI82" i="14"/>
  <c r="AI85" i="14" s="1"/>
  <c r="AI88" i="14" s="1"/>
  <c r="AX126" i="14"/>
  <c r="BB125" i="14"/>
  <c r="AN126" i="14"/>
  <c r="AQ125" i="14"/>
  <c r="AR125" i="14" s="1"/>
  <c r="AE124" i="14"/>
  <c r="AF124" i="14" s="1"/>
  <c r="AB125" i="14"/>
  <c r="AP128" i="14"/>
  <c r="AP127" i="14"/>
  <c r="AP129" i="14" s="1"/>
  <c r="AK124" i="14"/>
  <c r="AL124" i="14" s="1"/>
  <c r="AH125" i="14"/>
  <c r="AC124" i="14"/>
  <c r="AO124" i="14"/>
  <c r="AI124" i="14"/>
  <c r="AP32" i="14"/>
  <c r="AP28" i="14"/>
  <c r="AC82" i="14"/>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9" i="14"/>
  <c r="AO189" i="14" s="1"/>
  <c r="AK188"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66" i="14"/>
  <c r="AZ166" i="14" s="1"/>
  <c r="BG166" i="14" s="1"/>
  <c r="BH166" i="14" s="1"/>
  <c r="AM166" i="14"/>
  <c r="AN192" i="14"/>
  <c r="AE192" i="14"/>
  <c r="AN188" i="14"/>
  <c r="AE188" i="14"/>
  <c r="AN187" i="14"/>
  <c r="AE187" i="14"/>
  <c r="AK192" i="14"/>
  <c r="AJ193" i="14"/>
  <c r="AO193" i="14" s="1"/>
  <c r="AD193" i="14"/>
  <c r="AD189" i="14"/>
  <c r="AR239" i="14"/>
  <c r="AM240" i="14"/>
  <c r="AR238" i="14"/>
  <c r="AO237" i="14"/>
  <c r="AN237" i="14"/>
  <c r="AN238" i="14" s="1"/>
  <c r="AN239" i="14" s="1"/>
  <c r="AN240" i="14" s="1"/>
  <c r="AN241" i="14" s="1"/>
  <c r="AN242" i="14" s="1"/>
  <c r="AN243" i="14" s="1"/>
  <c r="AN244" i="14" s="1"/>
  <c r="AQ225" i="14"/>
  <c r="AQ226" i="14" s="1"/>
  <c r="AR226" i="14" s="1"/>
  <c r="AM229" i="14"/>
  <c r="AM230" i="14" s="1"/>
  <c r="AM231" i="14" s="1"/>
  <c r="AM232" i="14" s="1"/>
  <c r="AP231" i="14"/>
  <c r="AR224" i="14"/>
  <c r="AO164" i="14"/>
  <c r="AO165" i="14" s="1"/>
  <c r="AM164" i="14"/>
  <c r="AM165" i="14" s="1"/>
  <c r="AZ153" i="14"/>
  <c r="BG153" i="14" s="1"/>
  <c r="BH153" i="14" s="1"/>
  <c r="AO155" i="14"/>
  <c r="AX158" i="14"/>
  <c r="AP158" i="14"/>
  <c r="BG158" i="14"/>
  <c r="BH158" i="14" s="1"/>
  <c r="AW153" i="14"/>
  <c r="AW155" i="14" s="1"/>
  <c r="AW157" i="14" s="1"/>
  <c r="AV155" i="14"/>
  <c r="AV157" i="14" s="1"/>
  <c r="AP151" i="14"/>
  <c r="AP152" i="14" s="1"/>
  <c r="AM152" i="14"/>
  <c r="AM153" i="14" s="1"/>
  <c r="AX153" i="14" s="1"/>
  <c r="AY153" i="14" s="1"/>
  <c r="AQ116" i="14" l="1"/>
  <c r="AR116" i="14" s="1"/>
  <c r="AN118" i="14"/>
  <c r="AQ118" i="14" s="1"/>
  <c r="AR118" i="14" s="1"/>
  <c r="AK114" i="14"/>
  <c r="AL114" i="14" s="1"/>
  <c r="AH116" i="14"/>
  <c r="AQ115" i="14"/>
  <c r="AR115" i="14" s="1"/>
  <c r="AN117" i="14"/>
  <c r="AQ117" i="14" s="1"/>
  <c r="AR117" i="14" s="1"/>
  <c r="AE114" i="14"/>
  <c r="AF114" i="14" s="1"/>
  <c r="AB116" i="14"/>
  <c r="AB117" i="14"/>
  <c r="AE117" i="14" s="1"/>
  <c r="AF117" i="14" s="1"/>
  <c r="AE115" i="14"/>
  <c r="AF115" i="14" s="1"/>
  <c r="AW112" i="14"/>
  <c r="AO114" i="14"/>
  <c r="AV112" i="14"/>
  <c r="AI114" i="14"/>
  <c r="AU112" i="14"/>
  <c r="AC114" i="14"/>
  <c r="AP131" i="14"/>
  <c r="AP130" i="14"/>
  <c r="AP132" i="14" s="1"/>
  <c r="AX128" i="14"/>
  <c r="AX127" i="14"/>
  <c r="BB126" i="14"/>
  <c r="AN128" i="14"/>
  <c r="AN127" i="14"/>
  <c r="AQ126" i="14"/>
  <c r="AR126" i="14" s="1"/>
  <c r="AE125" i="14"/>
  <c r="AF125" i="14" s="1"/>
  <c r="AB126" i="14"/>
  <c r="AH126" i="14"/>
  <c r="AK125" i="14"/>
  <c r="AL125" i="14" s="1"/>
  <c r="AU124" i="14"/>
  <c r="AC125" i="14"/>
  <c r="AW124" i="14"/>
  <c r="AT124" i="14" s="1"/>
  <c r="AZ124" i="14" s="1"/>
  <c r="BA124" i="14" s="1"/>
  <c r="AO125" i="14"/>
  <c r="AV124" i="14"/>
  <c r="AI125" i="14"/>
  <c r="AI32" i="14"/>
  <c r="AV28" i="14"/>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T66" i="14" s="1"/>
  <c r="AU66" i="14"/>
  <c r="AC68"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66" i="14"/>
  <c r="AC57" i="14"/>
  <c r="V35" i="14"/>
  <c r="AF51" i="14"/>
  <c r="AJ190" i="14"/>
  <c r="AK190" i="14" s="1"/>
  <c r="AK189"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66" i="14"/>
  <c r="AX166" i="14"/>
  <c r="BB166" i="14" s="1"/>
  <c r="BC166" i="14" s="1"/>
  <c r="AC5" i="14"/>
  <c r="AU4" i="14"/>
  <c r="AN189" i="14"/>
  <c r="AE189" i="14"/>
  <c r="AN193" i="14"/>
  <c r="AE193" i="14"/>
  <c r="AJ194" i="14"/>
  <c r="AK193" i="14"/>
  <c r="AD194" i="14"/>
  <c r="AR225" i="14"/>
  <c r="AP165" i="14"/>
  <c r="AD190" i="14"/>
  <c r="AR240" i="14"/>
  <c r="AM241" i="14"/>
  <c r="AO238" i="14"/>
  <c r="AO239" i="14" s="1"/>
  <c r="AO240" i="14" s="1"/>
  <c r="AO241" i="14" s="1"/>
  <c r="AO242" i="14" s="1"/>
  <c r="AO243" i="14" s="1"/>
  <c r="AO244" i="14" s="1"/>
  <c r="AO245" i="14" s="1"/>
  <c r="AO246" i="14" s="1"/>
  <c r="AQ227" i="14"/>
  <c r="AQ228" i="14" s="1"/>
  <c r="AQ229" i="14" s="1"/>
  <c r="AR229" i="14" s="1"/>
  <c r="AP164" i="14"/>
  <c r="BA153" i="14"/>
  <c r="AY158" i="14"/>
  <c r="BF158" i="14" s="1"/>
  <c r="BE158" i="14"/>
  <c r="BJ158" i="14" s="1"/>
  <c r="BK158" i="14" s="1"/>
  <c r="BB158" i="14"/>
  <c r="BC158" i="14" s="1"/>
  <c r="AO157" i="14"/>
  <c r="AZ155" i="14"/>
  <c r="BE153" i="14"/>
  <c r="BJ153" i="14" s="1"/>
  <c r="BK153" i="14" s="1"/>
  <c r="AM155" i="14"/>
  <c r="AP153" i="14"/>
  <c r="AE116" i="14" l="1"/>
  <c r="AF116" i="14" s="1"/>
  <c r="AB118" i="14"/>
  <c r="AE118" i="14" s="1"/>
  <c r="AF118" i="14" s="1"/>
  <c r="AU113" i="14"/>
  <c r="AC116" i="14"/>
  <c r="AV113" i="14"/>
  <c r="AI116" i="14"/>
  <c r="AW113" i="14"/>
  <c r="AO116" i="14"/>
  <c r="AK116" i="14"/>
  <c r="AL116" i="14" s="1"/>
  <c r="AH118" i="14"/>
  <c r="AK118" i="14" s="1"/>
  <c r="AL118" i="14" s="1"/>
  <c r="AT113" i="14"/>
  <c r="AT112" i="14"/>
  <c r="AQ128" i="14"/>
  <c r="AR128" i="14" s="1"/>
  <c r="AN130" i="14"/>
  <c r="AX131" i="14"/>
  <c r="AX130" i="14"/>
  <c r="AQ127" i="14"/>
  <c r="AR127" i="14" s="1"/>
  <c r="AN129" i="14"/>
  <c r="BB127" i="14"/>
  <c r="AX129" i="14"/>
  <c r="AE126" i="14"/>
  <c r="AF126" i="14" s="1"/>
  <c r="AB128" i="14"/>
  <c r="AB127" i="14"/>
  <c r="AH127" i="14"/>
  <c r="AK126" i="14"/>
  <c r="AL126" i="14" s="1"/>
  <c r="AC126" i="14"/>
  <c r="AU125" i="14"/>
  <c r="AO126" i="14"/>
  <c r="AW125" i="14"/>
  <c r="AI126" i="14"/>
  <c r="AV125"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90"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66" i="14"/>
  <c r="BF166" i="14" s="1"/>
  <c r="BE166" i="14"/>
  <c r="BJ166" i="14" s="1"/>
  <c r="BK166" i="14" s="1"/>
  <c r="AO14" i="14"/>
  <c r="AW13" i="14" s="1"/>
  <c r="AC14" i="14"/>
  <c r="AU13" i="14" s="1"/>
  <c r="AI14" i="14"/>
  <c r="AV13" i="14" s="1"/>
  <c r="AI8" i="14"/>
  <c r="AV7" i="14" s="1"/>
  <c r="AV5" i="14"/>
  <c r="AC8" i="14"/>
  <c r="AC12" i="14" s="1"/>
  <c r="AU10" i="14" s="1"/>
  <c r="AT10" i="14" s="1"/>
  <c r="AU5" i="14"/>
  <c r="AT5" i="14"/>
  <c r="AN190" i="14"/>
  <c r="AE190" i="14"/>
  <c r="AN194" i="14"/>
  <c r="AE194" i="14"/>
  <c r="AK194" i="14"/>
  <c r="AO194" i="14"/>
  <c r="AR227" i="14"/>
  <c r="AR241" i="14"/>
  <c r="AM242" i="14"/>
  <c r="AJ245" i="14"/>
  <c r="AL245" i="14" s="1"/>
  <c r="AP245" i="14" s="1"/>
  <c r="AO247" i="14"/>
  <c r="AO248" i="14" s="1"/>
  <c r="AL243" i="14"/>
  <c r="AP243" i="14" s="1"/>
  <c r="AQ230" i="14"/>
  <c r="AR228" i="14"/>
  <c r="AX155" i="14"/>
  <c r="BB155" i="14" s="1"/>
  <c r="AP155" i="14"/>
  <c r="AM157" i="14"/>
  <c r="AP157" i="14" s="1"/>
  <c r="BA155" i="14"/>
  <c r="BA157" i="14" s="1"/>
  <c r="AZ157" i="14"/>
  <c r="BG155" i="14"/>
  <c r="BB153" i="14"/>
  <c r="BC153" i="14" s="1"/>
  <c r="BF153" i="14"/>
  <c r="AO118" i="14" l="1"/>
  <c r="AW117" i="14" s="1"/>
  <c r="AW115" i="14"/>
  <c r="AC118" i="14"/>
  <c r="AU117" i="14" s="1"/>
  <c r="AU115" i="14"/>
  <c r="AI118" i="14"/>
  <c r="AV117" i="14" s="1"/>
  <c r="AV115" i="14"/>
  <c r="AE128" i="14"/>
  <c r="AF128" i="14" s="1"/>
  <c r="AB130" i="14"/>
  <c r="AX132" i="14"/>
  <c r="AQ130" i="14"/>
  <c r="AR130" i="14" s="1"/>
  <c r="AN131" i="14"/>
  <c r="AN132" i="14" s="1"/>
  <c r="AQ132" i="14" s="1"/>
  <c r="AR132" i="14" s="1"/>
  <c r="AE127" i="14"/>
  <c r="AF127" i="14" s="1"/>
  <c r="AB129" i="14"/>
  <c r="AQ129" i="14"/>
  <c r="AR129" i="14" s="1"/>
  <c r="AQ131" i="14"/>
  <c r="AR131" i="14" s="1"/>
  <c r="AH128" i="14"/>
  <c r="AK127" i="14"/>
  <c r="AL127" i="14" s="1"/>
  <c r="AC127" i="14"/>
  <c r="AC129" i="14" s="1"/>
  <c r="AC130" i="14" s="1"/>
  <c r="AU126" i="14"/>
  <c r="AO128" i="14"/>
  <c r="AO127" i="14"/>
  <c r="AW126" i="14"/>
  <c r="AI127" i="14"/>
  <c r="AV126" i="14"/>
  <c r="AT125" i="14"/>
  <c r="AZ125" i="14" s="1"/>
  <c r="BA125"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42" i="14"/>
  <c r="AM243" i="14"/>
  <c r="AM244" i="14" s="1"/>
  <c r="AM245" i="14" s="1"/>
  <c r="AN245" i="14"/>
  <c r="AN246" i="14" s="1"/>
  <c r="AN247" i="14" s="1"/>
  <c r="AN248" i="14" s="1"/>
  <c r="AQ245" i="14"/>
  <c r="AQ246" i="14" s="1"/>
  <c r="AQ247" i="14" s="1"/>
  <c r="AQ248" i="14" s="1"/>
  <c r="AQ231" i="14"/>
  <c r="AQ232" i="14" s="1"/>
  <c r="AR232" i="14" s="1"/>
  <c r="AR230" i="14"/>
  <c r="BH155" i="14"/>
  <c r="BH157" i="14" s="1"/>
  <c r="BG157" i="14"/>
  <c r="BC155" i="14"/>
  <c r="BC157" i="14" s="1"/>
  <c r="BB157" i="14"/>
  <c r="AY155" i="14"/>
  <c r="AX157" i="14"/>
  <c r="BE155" i="14"/>
  <c r="AT115" i="14" l="1"/>
  <c r="AT117" i="14"/>
  <c r="AW128" i="14"/>
  <c r="AO130" i="14"/>
  <c r="AU130" i="14"/>
  <c r="AC131" i="14"/>
  <c r="AC132" i="14" s="1"/>
  <c r="AU132" i="14" s="1"/>
  <c r="AE130" i="14"/>
  <c r="AF130" i="14" s="1"/>
  <c r="AB131" i="14"/>
  <c r="AB132" i="14" s="1"/>
  <c r="AE132" i="14" s="1"/>
  <c r="AF132" i="14" s="1"/>
  <c r="AW127" i="14"/>
  <c r="AO129" i="14"/>
  <c r="AU129" i="14"/>
  <c r="AU131" i="14"/>
  <c r="AE129" i="14"/>
  <c r="AF129" i="14" s="1"/>
  <c r="AE131" i="14"/>
  <c r="AF131" i="14" s="1"/>
  <c r="AK128" i="14"/>
  <c r="AL128" i="14" s="1"/>
  <c r="AH129" i="14"/>
  <c r="AH130" i="14" s="1"/>
  <c r="AT32" i="14"/>
  <c r="V128" i="14"/>
  <c r="AC128" i="14"/>
  <c r="AU128" i="14" s="1"/>
  <c r="AU127" i="14"/>
  <c r="AI128" i="14"/>
  <c r="AV127" i="14"/>
  <c r="AT127" i="14" s="1"/>
  <c r="AZ127" i="14" s="1"/>
  <c r="BA127" i="14" s="1"/>
  <c r="AT126" i="14"/>
  <c r="AZ126" i="14" s="1"/>
  <c r="BA126" i="14" s="1"/>
  <c r="AT75" i="14"/>
  <c r="AK96" i="14"/>
  <c r="AL96" i="14" s="1"/>
  <c r="AH100" i="14"/>
  <c r="W98" i="14"/>
  <c r="AY98" i="14" s="1"/>
  <c r="V100" i="14"/>
  <c r="W100" i="14" s="1"/>
  <c r="AE94" i="14"/>
  <c r="AF94" i="14" s="1"/>
  <c r="AB96" i="14"/>
  <c r="AE95" i="14"/>
  <c r="AF95" i="14" s="1"/>
  <c r="AB97" i="14"/>
  <c r="AE92" i="14"/>
  <c r="AF92" i="14" s="1"/>
  <c r="AE93" i="14"/>
  <c r="AF93" i="14" s="1"/>
  <c r="AC89" i="14"/>
  <c r="AU85" i="14"/>
  <c r="AT82" i="14"/>
  <c r="AZ82" i="14" s="1"/>
  <c r="BA81" i="14"/>
  <c r="AN90" i="14"/>
  <c r="AQ88" i="14"/>
  <c r="AR88" i="14" s="1"/>
  <c r="AO88" i="14"/>
  <c r="AW85" i="14"/>
  <c r="AX82" i="14"/>
  <c r="BB81" i="14"/>
  <c r="AK89" i="14"/>
  <c r="AL89" i="14" s="1"/>
  <c r="AH91" i="14"/>
  <c r="AI89" i="14"/>
  <c r="AV85" i="14"/>
  <c r="AR243" i="14"/>
  <c r="AT59" i="14"/>
  <c r="AW59" i="14" s="1"/>
  <c r="AR58" i="14"/>
  <c r="AK58" i="14"/>
  <c r="AL56" i="14"/>
  <c r="AX57" i="14"/>
  <c r="AW57" i="14"/>
  <c r="AX55" i="14"/>
  <c r="AW55" i="14"/>
  <c r="AF32" i="14"/>
  <c r="AR25" i="14"/>
  <c r="Z34" i="14"/>
  <c r="Y34" i="14"/>
  <c r="AR244" i="14"/>
  <c r="AM246" i="14"/>
  <c r="AR245" i="14"/>
  <c r="AR231" i="14"/>
  <c r="BJ155" i="14"/>
  <c r="BK155" i="14" s="1"/>
  <c r="BE157" i="14"/>
  <c r="BJ157" i="14" s="1"/>
  <c r="BK157" i="14" s="1"/>
  <c r="BF155" i="14"/>
  <c r="BF157" i="14" s="1"/>
  <c r="AY157" i="14"/>
  <c r="Y98" i="14" l="1"/>
  <c r="AK130" i="14"/>
  <c r="AL130" i="14" s="1"/>
  <c r="AH131" i="14"/>
  <c r="AH132" i="14" s="1"/>
  <c r="AK132" i="14" s="1"/>
  <c r="AL132" i="14" s="1"/>
  <c r="AW130" i="14"/>
  <c r="AO131" i="14"/>
  <c r="AO132" i="14" s="1"/>
  <c r="AW132" i="14" s="1"/>
  <c r="AI129" i="14"/>
  <c r="AI130" i="14" s="1"/>
  <c r="AV128" i="14"/>
  <c r="AT128" i="14" s="1"/>
  <c r="AZ128" i="14" s="1"/>
  <c r="AK129" i="14"/>
  <c r="AL129" i="14" s="1"/>
  <c r="AK131" i="14"/>
  <c r="AL131" i="14" s="1"/>
  <c r="W128" i="14"/>
  <c r="V129" i="14"/>
  <c r="W129" i="14" s="1"/>
  <c r="Y129" i="14" s="1"/>
  <c r="Z129" i="14" s="1"/>
  <c r="AW129" i="14"/>
  <c r="AW131" i="14"/>
  <c r="Y128" i="14"/>
  <c r="Z128" i="14" s="1"/>
  <c r="AY128" i="14"/>
  <c r="AY129" i="14" s="1"/>
  <c r="AY130" i="14" s="1"/>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2" i="14"/>
  <c r="AC91" i="14"/>
  <c r="AU88" i="14"/>
  <c r="AX59" i="14"/>
  <c r="AL58" i="14"/>
  <c r="Y30" i="14"/>
  <c r="Z30" i="14"/>
  <c r="AR246" i="14"/>
  <c r="AM247" i="14"/>
  <c r="AM248" i="14" s="1"/>
  <c r="AR248" i="14" s="1"/>
  <c r="AY131" i="14" l="1"/>
  <c r="AY132" i="14" s="1"/>
  <c r="BB130" i="14"/>
  <c r="AV130" i="14"/>
  <c r="AI131" i="14"/>
  <c r="AI132" i="14" s="1"/>
  <c r="AV132" i="14" s="1"/>
  <c r="AT132" i="14" s="1"/>
  <c r="AZ132" i="14" s="1"/>
  <c r="AT130" i="14"/>
  <c r="AZ130" i="14" s="1"/>
  <c r="BA130" i="14" s="1"/>
  <c r="BA85" i="14"/>
  <c r="BB131" i="14"/>
  <c r="BB129" i="14"/>
  <c r="AV129" i="14"/>
  <c r="AT129" i="14" s="1"/>
  <c r="AZ129" i="14" s="1"/>
  <c r="BA129" i="14" s="1"/>
  <c r="AV131" i="14"/>
  <c r="AT131" i="14" s="1"/>
  <c r="AZ131" i="14" s="1"/>
  <c r="BA131" i="14" s="1"/>
  <c r="BB128" i="14"/>
  <c r="BA128"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47" i="14"/>
  <c r="BA132" i="14" l="1"/>
  <c r="BB132" i="14"/>
  <c r="AE101" i="14"/>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3"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3"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52"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52"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52"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52"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52"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52"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52"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52"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52"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52"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52" authorId="0" shapeId="0" xr:uid="{44F6E4E3-EEED-4802-956A-284A28EABB1A}">
      <text>
        <r>
          <rPr>
            <b/>
            <sz val="9"/>
            <color indexed="81"/>
            <rFont val="Tahoma"/>
            <family val="2"/>
          </rPr>
          <t>Marin Sarbulescu:</t>
        </r>
        <r>
          <rPr>
            <sz val="9"/>
            <color indexed="81"/>
            <rFont val="Tahoma"/>
            <family val="2"/>
          </rPr>
          <t xml:space="preserve">
SUM(All_Div + All_SLP)</t>
        </r>
      </text>
    </comment>
    <comment ref="BJ152"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52"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53"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53"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53"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53"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53"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53"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66"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66"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66"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66"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66"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66"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66"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66"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66"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66"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66"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66"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8"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11"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12"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<sst xmlns="http://schemas.openxmlformats.org/spreadsheetml/2006/main" count="1668" uniqueCount="291">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</sst>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4">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8"/>
  <sheetViews>
    <sheetView tabSelected="1" topLeftCell="A125" workbookViewId="0">
      <selection activeCell="A135" sqref="A135:XFD139"/>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6.42578125" bestFit="1" customWidth="1"/>
    <col min="8" max="8" width="9.140625" bestFit="1" customWidth="1"/>
    <col min="9" max="9" width="6.42578125" customWidth="1"/>
    <col min="10" max="10" width="7.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42578125" bestFit="1" customWidth="1"/>
    <col min="23" max="23" width="7.42578125" bestFit="1" customWidth="1"/>
    <col min="24" max="24" width="8" customWidth="1"/>
    <col min="25" max="25" width="8.42578125" bestFit="1" customWidth="1"/>
    <col min="26" max="26" width="7.85546875" bestFit="1" customWidth="1"/>
    <col min="27" max="27" width="4.85546875" customWidth="1"/>
    <col min="28" max="28" width="7.28515625" customWidth="1"/>
    <col min="29" max="29" width="8.42578125" customWidth="1"/>
    <col min="30" max="30" width="8.28515625" customWidth="1"/>
    <col min="31" max="31" width="8.42578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42578125" bestFit="1" customWidth="1"/>
    <col min="42" max="42" width="8.140625" customWidth="1"/>
    <col min="43" max="43" width="9.7109375" bestFit="1" customWidth="1"/>
    <col min="44" max="44" width="8.5703125" customWidth="1"/>
    <col min="45" max="45" width="5.42578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42578125" bestFit="1" customWidth="1"/>
    <col min="62" max="62" width="9.7109375" bestFit="1" customWidth="1"/>
    <col min="63" max="63" width="9.28515625" bestFit="1" customWidth="1"/>
  </cols>
  <sheetData>
    <row r="1" spans="1:49" ht="12.75" x14ac:dyDescent="0.2">
      <c r="A1" s="66" t="s">
        <v>263</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7"/>
      <c r="B11" s="40"/>
      <c r="C11" s="125"/>
      <c r="D11" s="129"/>
      <c r="E11" s="125"/>
      <c r="F11" s="125"/>
      <c r="G11" s="125"/>
      <c r="H11" s="125"/>
      <c r="I11" s="35"/>
      <c r="J11" s="35"/>
      <c r="K11" s="35"/>
      <c r="L11" s="40"/>
      <c r="M11" s="40"/>
      <c r="N11" s="129"/>
      <c r="O11" s="125"/>
      <c r="P11" s="125"/>
      <c r="Q11" s="3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7"/>
      <c r="B12" s="40"/>
      <c r="C12" s="125"/>
      <c r="D12" s="129"/>
      <c r="E12" s="125"/>
      <c r="F12" s="125"/>
      <c r="G12" s="125"/>
      <c r="H12" s="125"/>
      <c r="I12" s="35"/>
      <c r="J12" s="35"/>
      <c r="K12" s="35"/>
      <c r="L12" s="40"/>
      <c r="M12" s="40"/>
      <c r="N12" s="129"/>
      <c r="O12" s="125"/>
      <c r="P12" s="125"/>
      <c r="Q12" s="3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264</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19">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2.75" x14ac:dyDescent="0.2">
      <c r="A29" s="45"/>
      <c r="B29" s="52"/>
      <c r="C29" s="62"/>
      <c r="D29" s="124"/>
      <c r="E29" s="95"/>
      <c r="F29" s="95"/>
      <c r="G29" s="95"/>
      <c r="H29" s="95"/>
      <c r="J29" s="146"/>
      <c r="K29" s="146"/>
      <c r="L29" s="147"/>
      <c r="M29" s="147"/>
      <c r="N29" s="148"/>
      <c r="O29" s="149"/>
      <c r="P29" s="149"/>
      <c r="R29" s="146" t="str">
        <f t="shared" si="5"/>
        <v>SellB</v>
      </c>
      <c r="S29" s="146" t="str">
        <f t="shared" si="5"/>
        <v>Sell</v>
      </c>
      <c r="T29" s="215" t="s">
        <v>211</v>
      </c>
      <c r="U29" s="162">
        <f t="shared" ref="U29:W30" si="6">U33</f>
        <v>95</v>
      </c>
      <c r="V29" s="163">
        <f t="shared" si="6"/>
        <v>0.89999999999999991</v>
      </c>
      <c r="W29" s="162">
        <f t="shared" si="6"/>
        <v>84.644999999999982</v>
      </c>
      <c r="X29" s="152" t="s">
        <v>34</v>
      </c>
      <c r="Y29" s="220">
        <f>Y33</f>
        <v>-5.355000000000004</v>
      </c>
      <c r="Z29" s="221">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2.75" x14ac:dyDescent="0.2">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2.75" x14ac:dyDescent="0.2">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19">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2" t="s">
        <v>216</v>
      </c>
      <c r="S32" s="222" t="s">
        <v>75</v>
      </c>
      <c r="T32" s="222"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22" t="s">
        <v>221</v>
      </c>
      <c r="S33" s="222" t="s">
        <v>73</v>
      </c>
      <c r="T33" s="222" t="s">
        <v>211</v>
      </c>
      <c r="U33" s="135">
        <f>U25</f>
        <v>95</v>
      </c>
      <c r="V33" s="136">
        <f>V25</f>
        <v>0.89999999999999991</v>
      </c>
      <c r="W33" s="135">
        <f>W25</f>
        <v>84.644999999999982</v>
      </c>
      <c r="X33" s="223"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22" t="s">
        <v>218</v>
      </c>
      <c r="S34" s="222" t="s">
        <v>73</v>
      </c>
      <c r="T34" s="203" t="str">
        <f t="shared" ref="T34:W35" si="7">T23</f>
        <v>Profit Target</v>
      </c>
      <c r="U34" s="135">
        <f t="shared" si="7"/>
        <v>110</v>
      </c>
      <c r="V34" s="136">
        <f t="shared" si="7"/>
        <v>1.5</v>
      </c>
      <c r="W34" s="135">
        <f t="shared" si="7"/>
        <v>163.35</v>
      </c>
      <c r="X34" s="223"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22" t="s">
        <v>215</v>
      </c>
      <c r="S35" s="222"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249</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243</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241</v>
      </c>
      <c r="AV49" s="57" t="s">
        <v>240</v>
      </c>
      <c r="AW49" s="57" t="s">
        <v>250</v>
      </c>
      <c r="AX49" s="57" t="s">
        <v>242</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2.75" x14ac:dyDescent="0.2">
      <c r="A55" s="150" t="s">
        <v>244</v>
      </c>
      <c r="B55" s="52">
        <v>90</v>
      </c>
      <c r="C55" s="62">
        <v>0.02</v>
      </c>
      <c r="D55" s="124">
        <v>0.04</v>
      </c>
      <c r="E55" s="95">
        <v>0.08</v>
      </c>
      <c r="F55" s="95">
        <v>0.16</v>
      </c>
      <c r="G55" s="95">
        <v>5.0000000000000001E-3</v>
      </c>
      <c r="H55" s="63">
        <v>1200</v>
      </c>
      <c r="I55" s="95"/>
      <c r="J55" s="133" t="s">
        <v>245</v>
      </c>
      <c r="K55" s="152"/>
      <c r="L55" s="52"/>
      <c r="M55" s="152">
        <v>20</v>
      </c>
      <c r="N55" s="124"/>
      <c r="O55" s="152"/>
      <c r="P55" s="152"/>
      <c r="R55" t="s">
        <v>244</v>
      </c>
      <c r="S55" t="s">
        <v>246</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2.75" x14ac:dyDescent="0.2">
      <c r="A57" s="182" t="s">
        <v>247</v>
      </c>
      <c r="B57" s="40">
        <v>80</v>
      </c>
      <c r="C57" s="55">
        <v>0.02</v>
      </c>
      <c r="D57" s="129">
        <v>0.04</v>
      </c>
      <c r="E57" s="125">
        <v>0.08</v>
      </c>
      <c r="F57" s="125">
        <v>0.16</v>
      </c>
      <c r="G57" s="125">
        <v>5.0000000000000001E-3</v>
      </c>
      <c r="H57" s="65">
        <v>1200</v>
      </c>
      <c r="I57" s="125"/>
      <c r="J57" s="134" t="s">
        <v>248</v>
      </c>
      <c r="K57" s="153"/>
      <c r="L57" s="40"/>
      <c r="M57" s="153">
        <v>40</v>
      </c>
      <c r="N57" s="129"/>
      <c r="O57" s="153"/>
      <c r="P57" s="153"/>
      <c r="Q57" s="35"/>
      <c r="R57" s="35" t="s">
        <v>247</v>
      </c>
      <c r="S57" s="35" t="s">
        <v>248</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256</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258</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257</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259</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260</v>
      </c>
      <c r="AO68" s="163"/>
      <c r="AP68" s="164"/>
      <c r="AQ68" s="164"/>
      <c r="AR68" s="148"/>
      <c r="AT68" s="32">
        <f>AC68+AI68+AO68</f>
        <v>0.8</v>
      </c>
      <c r="AU68" s="32">
        <f>AC68</f>
        <v>0.5</v>
      </c>
      <c r="AV68" s="32">
        <f>AI68</f>
        <v>0.3</v>
      </c>
      <c r="AW68" s="32"/>
    </row>
    <row r="69" spans="1:54" ht="25.5" x14ac:dyDescent="0.2">
      <c r="A69" s="150" t="s">
        <v>261</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253</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254</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251</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252</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255</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262</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265</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243</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241</v>
      </c>
      <c r="AZ79" s="57" t="s">
        <v>240</v>
      </c>
      <c r="BA79" s="57" t="s">
        <v>250</v>
      </c>
      <c r="BB79" s="57" t="s">
        <v>242</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3">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266</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266</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2.75" x14ac:dyDescent="0.2">
      <c r="A94" s="182" t="s">
        <v>268</v>
      </c>
      <c r="B94" s="40">
        <v>20</v>
      </c>
      <c r="C94" s="55">
        <v>0.02</v>
      </c>
      <c r="D94" s="129">
        <v>0.04</v>
      </c>
      <c r="E94" s="125">
        <v>0.08</v>
      </c>
      <c r="F94" s="125">
        <v>0.16</v>
      </c>
      <c r="G94" s="125">
        <v>5.0000000000000001E-3</v>
      </c>
      <c r="H94" s="65">
        <v>1200</v>
      </c>
      <c r="I94" s="35"/>
      <c r="J94" s="35" t="s">
        <v>269</v>
      </c>
      <c r="K94" s="35"/>
      <c r="L94" s="210"/>
      <c r="M94" s="210"/>
      <c r="N94" s="129"/>
      <c r="O94" s="125"/>
      <c r="P94" s="125"/>
      <c r="Q94" s="35"/>
      <c r="R94" s="166" t="s">
        <v>266</v>
      </c>
      <c r="S94" s="166" t="s">
        <v>73</v>
      </c>
      <c r="T94" s="173" t="s">
        <v>211</v>
      </c>
      <c r="U94" s="174">
        <f>U92</f>
        <v>20</v>
      </c>
      <c r="V94" s="175">
        <f>V92</f>
        <v>6.666666666666667</v>
      </c>
      <c r="W94" s="174">
        <f>U94*V94-(U94*V94*G94)</f>
        <v>132.66666666666669</v>
      </c>
      <c r="X94" s="217" t="s">
        <v>34</v>
      </c>
      <c r="Y94" s="217">
        <f>Y92</f>
        <v>32.666666666666686</v>
      </c>
      <c r="Z94" s="218">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7"/>
      <c r="Y95" s="217"/>
      <c r="Z95" s="218"/>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267</v>
      </c>
      <c r="B96" s="52">
        <v>25</v>
      </c>
      <c r="C96" s="62">
        <v>0.02</v>
      </c>
      <c r="D96" s="124">
        <v>0.04</v>
      </c>
      <c r="E96" s="95">
        <v>0.08</v>
      </c>
      <c r="F96" s="95">
        <v>0.16</v>
      </c>
      <c r="G96" s="95">
        <v>5.0000000000000001E-3</v>
      </c>
      <c r="H96" s="63">
        <v>1200</v>
      </c>
      <c r="J96" s="45" t="s">
        <v>274</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2.75" x14ac:dyDescent="0.2">
      <c r="A98" s="182" t="s">
        <v>270</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270</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150" t="s">
        <v>271</v>
      </c>
      <c r="B100" s="52">
        <v>25</v>
      </c>
      <c r="C100" s="62">
        <v>0.02</v>
      </c>
      <c r="D100" s="124">
        <v>0.04</v>
      </c>
      <c r="E100" s="95">
        <v>0.08</v>
      </c>
      <c r="F100" s="95">
        <v>0.16</v>
      </c>
      <c r="G100" s="95">
        <v>5.0000000000000001E-3</v>
      </c>
      <c r="H100" s="63">
        <v>1200</v>
      </c>
      <c r="J100" s="45" t="s">
        <v>272</v>
      </c>
      <c r="L100" s="207"/>
      <c r="M100" s="207"/>
      <c r="N100" s="124"/>
      <c r="O100" s="95"/>
      <c r="P100" s="95"/>
      <c r="R100" s="146" t="s">
        <v>270</v>
      </c>
      <c r="S100" s="146" t="s">
        <v>73</v>
      </c>
      <c r="T100" s="215" t="s">
        <v>211</v>
      </c>
      <c r="U100" s="162">
        <f>U98</f>
        <v>25</v>
      </c>
      <c r="V100" s="163">
        <f>V98</f>
        <v>4.4444444444444446</v>
      </c>
      <c r="W100" s="162">
        <f>U100*V100-(U100*V100*G100)</f>
        <v>110.55555555555556</v>
      </c>
      <c r="X100" s="216" t="s">
        <v>34</v>
      </c>
      <c r="Y100" s="216">
        <f>Y98</f>
        <v>10.555555555555557</v>
      </c>
      <c r="Z100" s="214">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2.75" x14ac:dyDescent="0.2">
      <c r="A101" s="150"/>
      <c r="B101" s="52"/>
      <c r="C101" s="62"/>
      <c r="D101" s="124"/>
      <c r="E101" s="95"/>
      <c r="F101" s="95"/>
      <c r="G101" s="95"/>
      <c r="H101" s="63"/>
      <c r="L101" s="207"/>
      <c r="M101" s="207"/>
      <c r="N101" s="124"/>
      <c r="O101" s="95"/>
      <c r="P101" s="95"/>
      <c r="R101" s="146"/>
      <c r="S101" s="146"/>
      <c r="T101" s="215"/>
      <c r="U101" s="162"/>
      <c r="V101" s="163"/>
      <c r="W101" s="162"/>
      <c r="X101" s="216"/>
      <c r="Y101" s="216"/>
      <c r="Z101" s="214"/>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2.75" x14ac:dyDescent="0.2">
      <c r="A102" s="182" t="s">
        <v>273</v>
      </c>
      <c r="B102" s="40">
        <v>25</v>
      </c>
      <c r="C102" s="55">
        <v>0.02</v>
      </c>
      <c r="D102" s="129">
        <v>0.04</v>
      </c>
      <c r="E102" s="125">
        <v>0.08</v>
      </c>
      <c r="F102" s="125">
        <v>0.16</v>
      </c>
      <c r="G102" s="125">
        <v>5.0000000000000001E-3</v>
      </c>
      <c r="H102" s="65">
        <v>1200</v>
      </c>
      <c r="I102" s="35"/>
      <c r="J102" s="47" t="s">
        <v>273</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2.75" x14ac:dyDescent="0.2">
      <c r="A105" s="208" t="s">
        <v>275</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243</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249"/>
      <c r="AY107" s="249"/>
      <c r="AZ107" s="249"/>
      <c r="BA107" s="249"/>
      <c r="BB107" s="249"/>
    </row>
    <row r="108" spans="1:54" s="250" customFormat="1" ht="12.75" x14ac:dyDescent="0.2">
      <c r="A108" s="250" t="s">
        <v>288</v>
      </c>
      <c r="B108" s="251"/>
      <c r="C108" s="251"/>
      <c r="D108" s="251"/>
      <c r="E108" s="251"/>
      <c r="F108" s="251"/>
      <c r="G108" s="251"/>
      <c r="H108" s="251"/>
      <c r="I108" s="251"/>
      <c r="J108" s="251"/>
      <c r="K108" s="251"/>
      <c r="L108" s="251"/>
      <c r="M108" s="251"/>
      <c r="N108" s="251"/>
      <c r="O108" s="251"/>
      <c r="P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N108" s="251"/>
      <c r="AO108" s="251"/>
      <c r="AP108" s="251"/>
      <c r="AQ108" s="251"/>
      <c r="AR108" s="251"/>
      <c r="AT108" s="251"/>
      <c r="AU108" s="251"/>
      <c r="AV108" s="251"/>
      <c r="AW108" s="251"/>
      <c r="AX108" s="251"/>
      <c r="AY108" s="251"/>
      <c r="AZ108" s="251"/>
      <c r="BA108" s="251"/>
      <c r="BB108" s="251"/>
    </row>
    <row r="109" spans="1:54" ht="12.75" x14ac:dyDescent="0.2">
      <c r="A109" s="110" t="s">
        <v>287</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239"/>
      <c r="AY109" s="233"/>
      <c r="AZ109" s="235"/>
      <c r="BA109" s="206"/>
      <c r="BB109" s="233"/>
    </row>
    <row r="110" spans="1:54" ht="12.75" x14ac:dyDescent="0.2">
      <c r="A110" s="110" t="s">
        <v>289</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239"/>
      <c r="AY110" s="233"/>
      <c r="AZ110" s="235"/>
      <c r="BA110" s="206"/>
      <c r="BB110" s="233"/>
    </row>
    <row r="111" spans="1:54" ht="12.75" x14ac:dyDescent="0.2">
      <c r="A111" s="110" t="s">
        <v>288</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239"/>
      <c r="AY111" s="233"/>
      <c r="AZ111" s="235"/>
      <c r="BA111" s="206"/>
      <c r="BB111" s="233"/>
    </row>
    <row r="112" spans="1:54" ht="12.75" x14ac:dyDescent="0.2">
      <c r="A112" s="110" t="s">
        <v>280</v>
      </c>
      <c r="B112" s="52">
        <v>100</v>
      </c>
      <c r="C112" s="54">
        <v>0.02</v>
      </c>
      <c r="D112" s="124">
        <v>0.04</v>
      </c>
      <c r="E112" s="95">
        <v>0.08</v>
      </c>
      <c r="F112" s="95">
        <v>0.16</v>
      </c>
      <c r="G112" s="95">
        <v>0.01</v>
      </c>
      <c r="H112" s="63">
        <v>1200</v>
      </c>
      <c r="I112" s="95"/>
      <c r="J112" s="133" t="s">
        <v>75</v>
      </c>
      <c r="K112" s="133" t="s">
        <v>78</v>
      </c>
      <c r="L112" s="52">
        <v>100</v>
      </c>
      <c r="M112" s="52">
        <v>200</v>
      </c>
      <c r="N112" s="124">
        <v>0.5</v>
      </c>
      <c r="O112" s="95">
        <v>0.3</v>
      </c>
      <c r="P112" s="95">
        <v>0.2</v>
      </c>
      <c r="R112" s="45" t="s">
        <v>215</v>
      </c>
      <c r="S112" s="45" t="s">
        <v>75</v>
      </c>
      <c r="T112" s="131" t="s">
        <v>78</v>
      </c>
      <c r="U112" s="122">
        <f>L112</f>
        <v>100</v>
      </c>
      <c r="V112" s="30">
        <f>W112/U112</f>
        <v>2</v>
      </c>
      <c r="W112" s="122">
        <f>M112</f>
        <v>200</v>
      </c>
      <c r="X112" s="122">
        <f>U112 * (1 - ABS(C112))</f>
        <v>98</v>
      </c>
      <c r="Y112" s="152" t="s">
        <v>34</v>
      </c>
      <c r="Z112" s="152" t="s">
        <v>34</v>
      </c>
      <c r="AA112" s="12"/>
      <c r="AB112" s="122">
        <f>U112</f>
        <v>100</v>
      </c>
      <c r="AC112" s="30">
        <f>V112*N112</f>
        <v>1</v>
      </c>
      <c r="AD112" s="123">
        <f>W112*N112</f>
        <v>100</v>
      </c>
      <c r="AE112" s="123">
        <f>AB112 * (1 + D112) / (1 - G112)</f>
        <v>105.05050505050505</v>
      </c>
      <c r="AF112" s="124">
        <f>(B112 - AE112) / AE112</f>
        <v>-4.8076923076923087E-2</v>
      </c>
      <c r="AG112" s="30"/>
      <c r="AH112" s="122">
        <f>U112</f>
        <v>100</v>
      </c>
      <c r="AI112" s="30">
        <f>V112*O112</f>
        <v>0.6</v>
      </c>
      <c r="AJ112" s="123">
        <f>W112*O112</f>
        <v>60</v>
      </c>
      <c r="AK112" s="123">
        <f>AH112 * (1 + E112) / (1 - G112)</f>
        <v>109.09090909090909</v>
      </c>
      <c r="AL112" s="124">
        <f>(B112 - AK112) / AK112</f>
        <v>-8.3333333333333356E-2</v>
      </c>
      <c r="AN112" s="122">
        <f>U112</f>
        <v>100</v>
      </c>
      <c r="AO112" s="30">
        <f>V112*P112</f>
        <v>0.4</v>
      </c>
      <c r="AP112" s="123">
        <f>W112*P112</f>
        <v>40</v>
      </c>
      <c r="AQ112" s="123">
        <f>AN112 * (1 + F112) / (1 - G112)</f>
        <v>117.17171717171716</v>
      </c>
      <c r="AR112" s="124">
        <f>(B112 - AQ112) / AQ112</f>
        <v>-0.14655172413793097</v>
      </c>
      <c r="AT112" s="32">
        <f>AW112+AV112+AU112</f>
        <v>2</v>
      </c>
      <c r="AU112" s="32">
        <f>AC112</f>
        <v>1</v>
      </c>
      <c r="AV112" s="32">
        <f>AI112</f>
        <v>0.6</v>
      </c>
      <c r="AW112" s="32">
        <f>AO112</f>
        <v>0.4</v>
      </c>
      <c r="AX112" s="239"/>
      <c r="AY112" s="233"/>
      <c r="AZ112" s="235"/>
      <c r="BA112" s="206"/>
      <c r="BB112" s="233"/>
    </row>
    <row r="113" spans="1:54" ht="12.75" x14ac:dyDescent="0.2">
      <c r="A113" s="177" t="s">
        <v>279</v>
      </c>
      <c r="B113" s="40">
        <v>110</v>
      </c>
      <c r="C113" s="55">
        <v>0.02</v>
      </c>
      <c r="D113" s="129">
        <v>0.04</v>
      </c>
      <c r="E113" s="125">
        <v>0.08</v>
      </c>
      <c r="F113" s="125">
        <v>0.16</v>
      </c>
      <c r="G113" s="125">
        <v>0.01</v>
      </c>
      <c r="H113" s="65">
        <v>1200</v>
      </c>
      <c r="I113" s="125"/>
      <c r="J113" s="134" t="s">
        <v>75</v>
      </c>
      <c r="K113" s="134" t="s">
        <v>211</v>
      </c>
      <c r="L113" s="40">
        <v>110</v>
      </c>
      <c r="M113" s="40">
        <v>300</v>
      </c>
      <c r="N113" s="129">
        <v>0.5</v>
      </c>
      <c r="O113" s="125">
        <v>0.3</v>
      </c>
      <c r="P113" s="125">
        <v>0.2</v>
      </c>
      <c r="Q113" s="35"/>
      <c r="R113" s="47" t="s">
        <v>216</v>
      </c>
      <c r="S113" s="47" t="s">
        <v>75</v>
      </c>
      <c r="T113" s="134" t="s">
        <v>211</v>
      </c>
      <c r="U113" s="126">
        <f>L113</f>
        <v>110</v>
      </c>
      <c r="V113" s="43">
        <f>W113/U113</f>
        <v>2.7272727272727271</v>
      </c>
      <c r="W113" s="126">
        <f>M113</f>
        <v>300</v>
      </c>
      <c r="X113" s="126">
        <f>U113 * (1 - ABS(C113))</f>
        <v>107.8</v>
      </c>
      <c r="Y113" s="153" t="s">
        <v>34</v>
      </c>
      <c r="Z113" s="153" t="s">
        <v>34</v>
      </c>
      <c r="AA113" s="41"/>
      <c r="AB113" s="126">
        <f>U113</f>
        <v>110</v>
      </c>
      <c r="AC113" s="43">
        <f>V113*N113</f>
        <v>1.3636363636363635</v>
      </c>
      <c r="AD113" s="128">
        <f>W113*N113</f>
        <v>150</v>
      </c>
      <c r="AE113" s="128">
        <f>AB113 * (1 + D113) / (1 - G113)</f>
        <v>115.55555555555556</v>
      </c>
      <c r="AF113" s="129">
        <f>(B113 - AE113) / AE113</f>
        <v>-4.8076923076923087E-2</v>
      </c>
      <c r="AG113" s="43"/>
      <c r="AH113" s="126">
        <f>U113</f>
        <v>110</v>
      </c>
      <c r="AI113" s="43">
        <f>V113*O113</f>
        <v>0.81818181818181812</v>
      </c>
      <c r="AJ113" s="128">
        <f>W113*O113</f>
        <v>90</v>
      </c>
      <c r="AK113" s="128">
        <f>AH113 * (1 + E113) / (1 - G113)</f>
        <v>120.00000000000001</v>
      </c>
      <c r="AL113" s="129">
        <f>(B113 - AK113) / AK113</f>
        <v>-8.333333333333344E-2</v>
      </c>
      <c r="AM113" s="35"/>
      <c r="AN113" s="126">
        <f>U113</f>
        <v>110</v>
      </c>
      <c r="AO113" s="43">
        <f>V113*P113</f>
        <v>0.54545454545454541</v>
      </c>
      <c r="AP113" s="128">
        <f>W113*P113</f>
        <v>60</v>
      </c>
      <c r="AQ113" s="128">
        <f>AN113 * (1 + F113) / (1 - G113)</f>
        <v>128.88888888888889</v>
      </c>
      <c r="AR113" s="129">
        <f>(B113 - AQ113) / AQ113</f>
        <v>-0.14655172413793102</v>
      </c>
      <c r="AS113" s="35"/>
      <c r="AT113" s="39">
        <f>AW113+AV113+AU113</f>
        <v>4.7272727272727266</v>
      </c>
      <c r="AU113" s="39">
        <f>AC113+AC114</f>
        <v>2.3636363636363633</v>
      </c>
      <c r="AV113" s="39">
        <f>AI113+AI114</f>
        <v>1.418181818181818</v>
      </c>
      <c r="AW113" s="39">
        <f>AO113+AO114</f>
        <v>0.94545454545454544</v>
      </c>
      <c r="AX113" s="196"/>
      <c r="AY113" s="63"/>
      <c r="AZ113" s="122"/>
      <c r="BA113" s="197"/>
      <c r="BB113" s="63"/>
    </row>
    <row r="114" spans="1:54" ht="12.75" x14ac:dyDescent="0.2">
      <c r="A114" s="35"/>
      <c r="B114" s="40"/>
      <c r="C114" s="55"/>
      <c r="D114" s="129"/>
      <c r="E114" s="125"/>
      <c r="F114" s="125"/>
      <c r="G114" s="125"/>
      <c r="H114" s="65"/>
      <c r="I114" s="125"/>
      <c r="J114" s="134"/>
      <c r="K114" s="134"/>
      <c r="L114" s="40"/>
      <c r="M114" s="40"/>
      <c r="N114" s="129"/>
      <c r="O114" s="125"/>
      <c r="P114" s="125"/>
      <c r="Q114" s="35"/>
      <c r="R114" s="47"/>
      <c r="S114" s="47"/>
      <c r="T114" s="203"/>
      <c r="U114" s="126"/>
      <c r="V114" s="43"/>
      <c r="W114" s="126"/>
      <c r="X114" s="126"/>
      <c r="Y114" s="153"/>
      <c r="Z114" s="153"/>
      <c r="AA114" s="41"/>
      <c r="AB114" s="126">
        <f>AB112</f>
        <v>100</v>
      </c>
      <c r="AC114" s="43">
        <f>AC112</f>
        <v>1</v>
      </c>
      <c r="AD114" s="128">
        <f>AD112</f>
        <v>100</v>
      </c>
      <c r="AE114" s="128">
        <f>AB114 * (1 + D113) / (1 - G113)</f>
        <v>105.05050505050505</v>
      </c>
      <c r="AF114" s="129">
        <f>(B113 - AE114) / AE114</f>
        <v>4.7115384615384601E-2</v>
      </c>
      <c r="AG114" s="43"/>
      <c r="AH114" s="126">
        <f>AH112</f>
        <v>100</v>
      </c>
      <c r="AI114" s="43">
        <f>AI112</f>
        <v>0.6</v>
      </c>
      <c r="AJ114" s="128">
        <f>AJ112</f>
        <v>60</v>
      </c>
      <c r="AK114" s="128">
        <f>AH114 * (1 + E113) / (1 - G113)</f>
        <v>109.09090909090909</v>
      </c>
      <c r="AL114" s="129">
        <f>(B113 - AK114) / AK114</f>
        <v>8.3333333333333089E-3</v>
      </c>
      <c r="AM114" s="35"/>
      <c r="AN114" s="126">
        <f>AN112</f>
        <v>100</v>
      </c>
      <c r="AO114" s="43">
        <f>AO112</f>
        <v>0.4</v>
      </c>
      <c r="AP114" s="128">
        <f>AP112</f>
        <v>40</v>
      </c>
      <c r="AQ114" s="128">
        <f>AN114 * (1 + F113) / (1 - G113)</f>
        <v>117.17171717171716</v>
      </c>
      <c r="AR114" s="129">
        <f>(B113 - AQ114) / AQ114</f>
        <v>-6.1206896551724066E-2</v>
      </c>
      <c r="AS114" s="35"/>
      <c r="AT114" s="39"/>
      <c r="AU114" s="39"/>
      <c r="AV114" s="39"/>
      <c r="AW114" s="39"/>
      <c r="AX114" s="196"/>
      <c r="AY114" s="63"/>
      <c r="AZ114" s="122"/>
      <c r="BA114" s="197"/>
      <c r="BB114" s="63"/>
    </row>
    <row r="115" spans="1:54" s="237" customFormat="1" ht="12.75" x14ac:dyDescent="0.2">
      <c r="A115" s="250" t="s">
        <v>236</v>
      </c>
      <c r="B115" s="230">
        <v>90</v>
      </c>
      <c r="C115" s="62">
        <v>0.02</v>
      </c>
      <c r="D115" s="231">
        <v>0.04</v>
      </c>
      <c r="E115" s="232">
        <v>0.08</v>
      </c>
      <c r="F115" s="232">
        <v>0.16</v>
      </c>
      <c r="G115" s="232">
        <v>0.01</v>
      </c>
      <c r="H115" s="233">
        <v>1200</v>
      </c>
      <c r="I115" s="232"/>
      <c r="J115" s="234"/>
      <c r="K115" s="234"/>
      <c r="L115" s="230"/>
      <c r="M115" s="230"/>
      <c r="N115" s="231"/>
      <c r="O115" s="232"/>
      <c r="P115" s="232"/>
      <c r="R115" s="252"/>
      <c r="S115" s="252"/>
      <c r="T115" s="234"/>
      <c r="U115" s="235"/>
      <c r="V115" s="236"/>
      <c r="W115" s="235"/>
      <c r="X115" s="235"/>
      <c r="Y115" s="241"/>
      <c r="Z115" s="241"/>
      <c r="AA115" s="247"/>
      <c r="AB115" s="235">
        <f>AB113</f>
        <v>110</v>
      </c>
      <c r="AC115" s="236">
        <f>AC113</f>
        <v>1.3636363636363635</v>
      </c>
      <c r="AD115" s="157">
        <f>AD113</f>
        <v>150</v>
      </c>
      <c r="AE115" s="157">
        <f>AB115 * (1 + D115) / (1 - G115)</f>
        <v>115.55555555555556</v>
      </c>
      <c r="AF115" s="231">
        <f>(B115 - AE115) / AE115</f>
        <v>-0.22115384615384617</v>
      </c>
      <c r="AG115" s="236"/>
      <c r="AH115" s="235">
        <f>AH113</f>
        <v>110</v>
      </c>
      <c r="AI115" s="236">
        <f>AI113</f>
        <v>0.81818181818181812</v>
      </c>
      <c r="AJ115" s="157">
        <f>AJ113</f>
        <v>90</v>
      </c>
      <c r="AK115" s="157">
        <f>AH115 * (1 + E115) / (1 - G115)</f>
        <v>120.00000000000001</v>
      </c>
      <c r="AL115" s="231">
        <f>(B115 - AK115) / AK115</f>
        <v>-0.25000000000000011</v>
      </c>
      <c r="AN115" s="235">
        <f>AN113</f>
        <v>110</v>
      </c>
      <c r="AO115" s="236">
        <f>AO113</f>
        <v>0.54545454545454541</v>
      </c>
      <c r="AP115" s="157">
        <f>AP113</f>
        <v>60</v>
      </c>
      <c r="AQ115" s="157">
        <f>AN115 * (1 + F115) / (1 - G115)</f>
        <v>128.88888888888889</v>
      </c>
      <c r="AR115" s="231">
        <f>(B115 - AQ115) / AQ115</f>
        <v>-0.30172413793103448</v>
      </c>
      <c r="AT115" s="238">
        <f>AW115+AV115+AU115</f>
        <v>4.7272727272727266</v>
      </c>
      <c r="AU115" s="238">
        <f>AC115+AC116</f>
        <v>2.3636363636363633</v>
      </c>
      <c r="AV115" s="238">
        <f>AI115+AI116</f>
        <v>1.418181818181818</v>
      </c>
      <c r="AW115" s="238">
        <f>AO115+AO116</f>
        <v>0.94545454545454544</v>
      </c>
      <c r="AX115" s="239"/>
      <c r="AY115" s="233"/>
      <c r="AZ115" s="235"/>
      <c r="BA115" s="206"/>
      <c r="BB115" s="233"/>
    </row>
    <row r="116" spans="1:54" s="237" customFormat="1" ht="12.75" x14ac:dyDescent="0.2">
      <c r="B116" s="230"/>
      <c r="C116" s="62"/>
      <c r="D116" s="231"/>
      <c r="E116" s="232"/>
      <c r="F116" s="232"/>
      <c r="G116" s="232"/>
      <c r="H116" s="233"/>
      <c r="I116" s="232"/>
      <c r="J116" s="234"/>
      <c r="K116" s="234"/>
      <c r="L116" s="230"/>
      <c r="M116" s="230"/>
      <c r="N116" s="231"/>
      <c r="O116" s="232"/>
      <c r="P116" s="232"/>
      <c r="R116" s="252"/>
      <c r="S116" s="252"/>
      <c r="T116" s="253"/>
      <c r="U116" s="235"/>
      <c r="V116" s="236"/>
      <c r="W116" s="235"/>
      <c r="X116" s="235"/>
      <c r="Y116" s="241"/>
      <c r="Z116" s="241"/>
      <c r="AA116" s="247"/>
      <c r="AB116" s="235">
        <f>AB114</f>
        <v>100</v>
      </c>
      <c r="AC116" s="236">
        <f>AC114</f>
        <v>1</v>
      </c>
      <c r="AD116" s="157">
        <f>AD114</f>
        <v>100</v>
      </c>
      <c r="AE116" s="157">
        <f>AB116 * (1 + D115) / (1 - G115)</f>
        <v>105.05050505050505</v>
      </c>
      <c r="AF116" s="231">
        <f>(B115 - AE116) / AE116</f>
        <v>-0.14326923076923079</v>
      </c>
      <c r="AG116" s="236"/>
      <c r="AH116" s="235">
        <f>AH114</f>
        <v>100</v>
      </c>
      <c r="AI116" s="236">
        <f>AI114</f>
        <v>0.6</v>
      </c>
      <c r="AJ116" s="157">
        <f>AJ114</f>
        <v>60</v>
      </c>
      <c r="AK116" s="157">
        <f>AH116 * (1 + E115) / (1 - G115)</f>
        <v>109.09090909090909</v>
      </c>
      <c r="AL116" s="231">
        <f>(B115 - AK116) / AK116</f>
        <v>-0.17500000000000002</v>
      </c>
      <c r="AN116" s="235">
        <f>AN114</f>
        <v>100</v>
      </c>
      <c r="AO116" s="236">
        <f>AO114</f>
        <v>0.4</v>
      </c>
      <c r="AP116" s="157">
        <f>AP114</f>
        <v>40</v>
      </c>
      <c r="AQ116" s="157">
        <f>AN116 * (1 + F115) / (1 - G115)</f>
        <v>117.17171717171716</v>
      </c>
      <c r="AR116" s="231">
        <f>(B115 - AQ116) / AQ116</f>
        <v>-0.23189655172413787</v>
      </c>
      <c r="AT116" s="238"/>
      <c r="AU116" s="238"/>
      <c r="AV116" s="238"/>
      <c r="AW116" s="238"/>
      <c r="AX116" s="239"/>
      <c r="AY116" s="233"/>
      <c r="AZ116" s="235"/>
      <c r="BA116" s="206"/>
      <c r="BB116" s="233"/>
    </row>
    <row r="117" spans="1:54" s="237" customFormat="1" ht="12.75" x14ac:dyDescent="0.2">
      <c r="A117" s="47" t="s">
        <v>290</v>
      </c>
      <c r="B117" s="40">
        <v>90</v>
      </c>
      <c r="C117" s="55">
        <v>0.04</v>
      </c>
      <c r="D117" s="129">
        <v>0.04</v>
      </c>
      <c r="E117" s="125">
        <v>0.08</v>
      </c>
      <c r="F117" s="125">
        <v>0.16</v>
      </c>
      <c r="G117" s="125">
        <v>0.01</v>
      </c>
      <c r="H117" s="65">
        <v>1200</v>
      </c>
      <c r="I117" s="125"/>
      <c r="J117" s="134"/>
      <c r="K117" s="134"/>
      <c r="L117" s="40"/>
      <c r="M117" s="40"/>
      <c r="N117" s="129"/>
      <c r="O117" s="125"/>
      <c r="P117" s="125"/>
      <c r="Q117" s="35"/>
      <c r="R117" s="47" t="s">
        <v>215</v>
      </c>
      <c r="S117" s="47" t="s">
        <v>75</v>
      </c>
      <c r="T117" s="203" t="s">
        <v>78</v>
      </c>
      <c r="U117" s="126">
        <f>U112</f>
        <v>100</v>
      </c>
      <c r="V117" s="43">
        <f>V112</f>
        <v>2</v>
      </c>
      <c r="W117" s="126">
        <f>W112</f>
        <v>200</v>
      </c>
      <c r="X117" s="126">
        <f>U117 * (1 - ABS(C117))</f>
        <v>96</v>
      </c>
      <c r="Y117" s="153" t="s">
        <v>34</v>
      </c>
      <c r="Z117" s="153" t="s">
        <v>34</v>
      </c>
      <c r="AA117" s="41"/>
      <c r="AB117" s="126">
        <f>AB115</f>
        <v>110</v>
      </c>
      <c r="AC117" s="43">
        <f>AC115</f>
        <v>1.3636363636363635</v>
      </c>
      <c r="AD117" s="128">
        <f>AD115</f>
        <v>150</v>
      </c>
      <c r="AE117" s="128">
        <f>AB117 * (1 + D117) / (1 - G117)</f>
        <v>115.55555555555556</v>
      </c>
      <c r="AF117" s="129">
        <f>(B117 - AE117) / AE117</f>
        <v>-0.22115384615384617</v>
      </c>
      <c r="AG117" s="43"/>
      <c r="AH117" s="126">
        <f>AH115</f>
        <v>110</v>
      </c>
      <c r="AI117" s="43">
        <f>AI115</f>
        <v>0.81818181818181812</v>
      </c>
      <c r="AJ117" s="128">
        <f>AJ115</f>
        <v>90</v>
      </c>
      <c r="AK117" s="128">
        <f>AH117 * (1 + E117) / (1 - G117)</f>
        <v>120.00000000000001</v>
      </c>
      <c r="AL117" s="129">
        <f>(B117 - AK117) / AK117</f>
        <v>-0.25000000000000011</v>
      </c>
      <c r="AM117" s="35"/>
      <c r="AN117" s="126">
        <f>AN115</f>
        <v>110</v>
      </c>
      <c r="AO117" s="43">
        <f>AO115</f>
        <v>0.54545454545454541</v>
      </c>
      <c r="AP117" s="128">
        <f>AP115</f>
        <v>60</v>
      </c>
      <c r="AQ117" s="128">
        <f>AN117 * (1 + F117) / (1 - G117)</f>
        <v>128.88888888888889</v>
      </c>
      <c r="AR117" s="129">
        <f>(B117 - AQ117) / AQ117</f>
        <v>-0.30172413793103448</v>
      </c>
      <c r="AS117" s="35"/>
      <c r="AT117" s="39">
        <f>AW117+AV117+AU117</f>
        <v>4.7272727272727266</v>
      </c>
      <c r="AU117" s="39">
        <f>AC117+AC118</f>
        <v>2.3636363636363633</v>
      </c>
      <c r="AV117" s="39">
        <f>AI117+AI118</f>
        <v>1.418181818181818</v>
      </c>
      <c r="AW117" s="39">
        <f>AO117+AO118</f>
        <v>0.94545454545454544</v>
      </c>
      <c r="AX117" s="239"/>
      <c r="AY117" s="233"/>
      <c r="AZ117" s="235"/>
      <c r="BA117" s="206"/>
      <c r="BB117" s="233"/>
    </row>
    <row r="118" spans="1:54" s="237" customFormat="1" ht="12.75" x14ac:dyDescent="0.2">
      <c r="A118" s="35"/>
      <c r="B118" s="40"/>
      <c r="C118" s="55"/>
      <c r="D118" s="129"/>
      <c r="E118" s="125"/>
      <c r="F118" s="125"/>
      <c r="G118" s="125"/>
      <c r="H118" s="65"/>
      <c r="I118" s="125"/>
      <c r="J118" s="134"/>
      <c r="K118" s="134"/>
      <c r="L118" s="40"/>
      <c r="M118" s="40"/>
      <c r="N118" s="129"/>
      <c r="O118" s="125"/>
      <c r="P118" s="125"/>
      <c r="Q118" s="35"/>
      <c r="R118" s="47" t="s">
        <v>216</v>
      </c>
      <c r="S118" s="47" t="s">
        <v>75</v>
      </c>
      <c r="T118" s="134" t="s">
        <v>211</v>
      </c>
      <c r="U118" s="126">
        <f>U113</f>
        <v>110</v>
      </c>
      <c r="V118" s="43">
        <f>V113</f>
        <v>2.7272727272727271</v>
      </c>
      <c r="W118" s="126">
        <f>W113</f>
        <v>300</v>
      </c>
      <c r="X118" s="126">
        <f>U118 * (1 - ABS(C117))</f>
        <v>105.6</v>
      </c>
      <c r="Y118" s="153" t="s">
        <v>34</v>
      </c>
      <c r="Z118" s="153" t="s">
        <v>34</v>
      </c>
      <c r="AA118" s="41"/>
      <c r="AB118" s="126">
        <f>AB116</f>
        <v>100</v>
      </c>
      <c r="AC118" s="43">
        <f>AC116</f>
        <v>1</v>
      </c>
      <c r="AD118" s="128">
        <f>AD116</f>
        <v>100</v>
      </c>
      <c r="AE118" s="128">
        <f>AB118 * (1 + D117) / (1 - G117)</f>
        <v>105.05050505050505</v>
      </c>
      <c r="AF118" s="129">
        <f>(B117 - AE118) / AE118</f>
        <v>-0.14326923076923079</v>
      </c>
      <c r="AG118" s="43"/>
      <c r="AH118" s="126">
        <f>AH116</f>
        <v>100</v>
      </c>
      <c r="AI118" s="43">
        <f>AI116</f>
        <v>0.6</v>
      </c>
      <c r="AJ118" s="128">
        <f>AJ116</f>
        <v>60</v>
      </c>
      <c r="AK118" s="128">
        <f>AH118 * (1 + E117) / (1 - G117)</f>
        <v>109.09090909090909</v>
      </c>
      <c r="AL118" s="129">
        <f>(B117 - AK118) / AK118</f>
        <v>-0.17500000000000002</v>
      </c>
      <c r="AM118" s="35"/>
      <c r="AN118" s="126">
        <f>AN116</f>
        <v>100</v>
      </c>
      <c r="AO118" s="43">
        <f>AO116</f>
        <v>0.4</v>
      </c>
      <c r="AP118" s="128">
        <f>AP116</f>
        <v>40</v>
      </c>
      <c r="AQ118" s="128">
        <f>AN118 * (1 + F117) / (1 - G117)</f>
        <v>117.17171717171716</v>
      </c>
      <c r="AR118" s="129">
        <f>(B117 - AQ118) / AQ118</f>
        <v>-0.23189655172413787</v>
      </c>
      <c r="AS118" s="35"/>
      <c r="AT118" s="39"/>
      <c r="AU118" s="39"/>
      <c r="AV118" s="39"/>
      <c r="AW118" s="39"/>
      <c r="AX118" s="239"/>
      <c r="AY118" s="233"/>
      <c r="AZ118" s="235"/>
      <c r="BA118" s="206"/>
      <c r="BB118" s="233"/>
    </row>
    <row r="119" spans="1:54" ht="12.75" x14ac:dyDescent="0.2">
      <c r="A119" s="150"/>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38.25" x14ac:dyDescent="0.2">
      <c r="A120" s="150" t="s">
        <v>276</v>
      </c>
      <c r="B120" s="33"/>
      <c r="C120" s="67"/>
      <c r="D120" s="124"/>
      <c r="E120" s="95"/>
      <c r="F120" s="95"/>
      <c r="G120" s="95"/>
      <c r="H120" s="95"/>
      <c r="L120" s="207"/>
      <c r="M120" s="207"/>
      <c r="N120" s="124"/>
      <c r="O120" s="95"/>
      <c r="P120" s="95"/>
      <c r="R120" s="45"/>
      <c r="S120" s="45"/>
      <c r="T120" s="131"/>
      <c r="U120" s="122"/>
      <c r="V120" s="30"/>
      <c r="W120" s="122"/>
      <c r="X120" s="122"/>
      <c r="Y120" s="152"/>
      <c r="Z120" s="152"/>
      <c r="AA120" s="12"/>
      <c r="AB120" s="122"/>
      <c r="AC120" s="30"/>
      <c r="AD120" s="157"/>
      <c r="AE120" s="157"/>
      <c r="AF120" s="124"/>
      <c r="AG120" s="30"/>
      <c r="AH120" s="122"/>
      <c r="AI120" s="30"/>
      <c r="AJ120" s="157"/>
      <c r="AK120" s="157"/>
      <c r="AL120" s="124"/>
    </row>
    <row r="121" spans="1:54" ht="25.5" x14ac:dyDescent="0.2">
      <c r="A121" s="208" t="s">
        <v>277</v>
      </c>
      <c r="B121" s="33"/>
      <c r="C121" s="67"/>
      <c r="D121" s="124"/>
      <c r="E121" s="95"/>
      <c r="F121" s="95"/>
      <c r="G121" s="95"/>
      <c r="H121" s="95"/>
      <c r="L121" s="207"/>
      <c r="M121" s="207"/>
      <c r="N121" s="124"/>
      <c r="O121" s="95"/>
      <c r="P121" s="95"/>
      <c r="R121" s="45"/>
      <c r="S121" s="45"/>
      <c r="T121" s="131"/>
      <c r="U121" s="122"/>
      <c r="V121" s="30"/>
      <c r="W121" s="122"/>
      <c r="X121" s="122"/>
      <c r="Y121" s="152"/>
      <c r="Z121" s="152"/>
      <c r="AA121" s="12"/>
      <c r="AB121" s="122"/>
      <c r="AC121" s="30"/>
      <c r="AD121" s="157"/>
      <c r="AE121" s="157"/>
      <c r="AF121" s="124"/>
      <c r="AG121" s="30"/>
      <c r="AH121" s="122"/>
      <c r="AI121" s="30"/>
      <c r="AJ121" s="157"/>
      <c r="AK121" s="157"/>
      <c r="AL121" s="124"/>
    </row>
    <row r="122" spans="1:54" ht="12.75" x14ac:dyDescent="0.2">
      <c r="B122" s="45" t="s">
        <v>204</v>
      </c>
      <c r="C122" s="109"/>
      <c r="J122" s="45" t="s">
        <v>202</v>
      </c>
      <c r="R122" s="45" t="s">
        <v>203</v>
      </c>
      <c r="T122" s="12"/>
      <c r="U122" s="12"/>
      <c r="V122" s="12"/>
      <c r="W122" s="12"/>
      <c r="X122" s="12"/>
      <c r="Y122" s="12"/>
      <c r="Z122" s="12"/>
      <c r="AA122" s="12"/>
      <c r="AB122" s="130" t="s">
        <v>205</v>
      </c>
      <c r="AC122" s="46"/>
      <c r="AD122" s="46"/>
      <c r="AE122" s="46"/>
      <c r="AF122" s="46"/>
      <c r="AG122" s="46"/>
      <c r="AH122" s="130" t="s">
        <v>207</v>
      </c>
      <c r="AI122" s="46"/>
      <c r="AJ122" s="46"/>
      <c r="AK122" s="46"/>
      <c r="AL122" s="46"/>
      <c r="AM122" s="45"/>
      <c r="AN122" s="130" t="s">
        <v>208</v>
      </c>
      <c r="AO122" s="12"/>
      <c r="AP122" s="12"/>
      <c r="AQ122" s="12"/>
      <c r="AR122" s="12"/>
      <c r="AT122" s="130" t="s">
        <v>206</v>
      </c>
    </row>
    <row r="123" spans="1:54" ht="12.75" x14ac:dyDescent="0.2">
      <c r="B123" s="57" t="s">
        <v>209</v>
      </c>
      <c r="C123" s="28" t="s">
        <v>190</v>
      </c>
      <c r="D123" s="57" t="s">
        <v>191</v>
      </c>
      <c r="E123" s="28" t="s">
        <v>192</v>
      </c>
      <c r="F123" s="28" t="s">
        <v>193</v>
      </c>
      <c r="G123" s="57" t="s">
        <v>112</v>
      </c>
      <c r="H123" s="57" t="s">
        <v>243</v>
      </c>
      <c r="I123" s="101"/>
      <c r="J123" s="28" t="s">
        <v>76</v>
      </c>
      <c r="K123" s="28" t="s">
        <v>4</v>
      </c>
      <c r="L123" s="57" t="s">
        <v>0</v>
      </c>
      <c r="M123" s="57" t="s">
        <v>1</v>
      </c>
      <c r="N123" s="28" t="s">
        <v>191</v>
      </c>
      <c r="O123" s="28" t="s">
        <v>192</v>
      </c>
      <c r="P123" s="28" t="s">
        <v>193</v>
      </c>
      <c r="R123" s="28"/>
      <c r="S123" s="28" t="s">
        <v>76</v>
      </c>
      <c r="T123" s="28" t="s">
        <v>4</v>
      </c>
      <c r="U123" s="57" t="s">
        <v>0</v>
      </c>
      <c r="V123" s="28" t="s">
        <v>62</v>
      </c>
      <c r="W123" s="57" t="s">
        <v>220</v>
      </c>
      <c r="X123" s="57" t="s">
        <v>190</v>
      </c>
      <c r="Y123" s="57" t="s">
        <v>194</v>
      </c>
      <c r="Z123" s="28" t="s">
        <v>195</v>
      </c>
      <c r="AA123" s="12"/>
      <c r="AB123" s="28" t="s">
        <v>0</v>
      </c>
      <c r="AC123" s="28" t="s">
        <v>196</v>
      </c>
      <c r="AD123" s="57" t="s">
        <v>1</v>
      </c>
      <c r="AE123" s="57" t="s">
        <v>197</v>
      </c>
      <c r="AF123" s="57" t="s">
        <v>198</v>
      </c>
      <c r="AG123" s="60"/>
      <c r="AH123" s="28" t="s">
        <v>0</v>
      </c>
      <c r="AI123" s="28" t="s">
        <v>196</v>
      </c>
      <c r="AJ123" s="57" t="s">
        <v>1</v>
      </c>
      <c r="AK123" s="57" t="s">
        <v>197</v>
      </c>
      <c r="AL123" s="57" t="s">
        <v>198</v>
      </c>
      <c r="AN123" s="28" t="s">
        <v>0</v>
      </c>
      <c r="AO123" s="28" t="s">
        <v>196</v>
      </c>
      <c r="AP123" s="57" t="s">
        <v>1</v>
      </c>
      <c r="AQ123" s="57" t="s">
        <v>197</v>
      </c>
      <c r="AR123" s="57" t="s">
        <v>198</v>
      </c>
      <c r="AT123" s="57" t="s">
        <v>199</v>
      </c>
      <c r="AU123" s="28" t="s">
        <v>191</v>
      </c>
      <c r="AV123" s="28" t="s">
        <v>192</v>
      </c>
      <c r="AW123" s="28" t="s">
        <v>193</v>
      </c>
      <c r="AX123" s="57" t="s">
        <v>79</v>
      </c>
      <c r="AY123" s="57" t="s">
        <v>241</v>
      </c>
      <c r="AZ123" s="57" t="s">
        <v>240</v>
      </c>
      <c r="BA123" s="57" t="s">
        <v>250</v>
      </c>
      <c r="BB123" s="57" t="s">
        <v>242</v>
      </c>
    </row>
    <row r="124" spans="1:54" ht="12.75" x14ac:dyDescent="0.2">
      <c r="A124" s="110" t="s">
        <v>215</v>
      </c>
      <c r="B124" s="52">
        <v>100</v>
      </c>
      <c r="C124" s="54">
        <v>0.02</v>
      </c>
      <c r="D124" s="124">
        <v>0.04</v>
      </c>
      <c r="E124" s="95">
        <v>0.08</v>
      </c>
      <c r="F124" s="95">
        <v>0.16</v>
      </c>
      <c r="G124" s="95">
        <v>5.0000000000000001E-3</v>
      </c>
      <c r="H124" s="63">
        <v>1200</v>
      </c>
      <c r="I124" s="95"/>
      <c r="J124" s="133" t="s">
        <v>75</v>
      </c>
      <c r="K124" s="133" t="s">
        <v>78</v>
      </c>
      <c r="L124" s="52">
        <v>100</v>
      </c>
      <c r="M124" s="52">
        <v>300</v>
      </c>
      <c r="N124" s="124">
        <v>0.5</v>
      </c>
      <c r="O124" s="95">
        <v>0.3</v>
      </c>
      <c r="P124" s="95">
        <v>0.2</v>
      </c>
      <c r="R124" s="45" t="s">
        <v>215</v>
      </c>
      <c r="S124" s="45" t="s">
        <v>75</v>
      </c>
      <c r="T124" s="131" t="s">
        <v>78</v>
      </c>
      <c r="U124" s="122">
        <f>L124</f>
        <v>100</v>
      </c>
      <c r="V124" s="30">
        <f>W124/U124</f>
        <v>3</v>
      </c>
      <c r="W124" s="122">
        <f>M124</f>
        <v>300</v>
      </c>
      <c r="X124" s="122">
        <f>U124 * (1 - ABS(C124))</f>
        <v>98</v>
      </c>
      <c r="Y124" s="152" t="s">
        <v>34</v>
      </c>
      <c r="Z124" s="152" t="s">
        <v>34</v>
      </c>
      <c r="AA124" s="12"/>
      <c r="AB124" s="122">
        <f>U124</f>
        <v>100</v>
      </c>
      <c r="AC124" s="30">
        <f>V124*N124</f>
        <v>1.5</v>
      </c>
      <c r="AD124" s="123">
        <f>W124*N124</f>
        <v>150</v>
      </c>
      <c r="AE124" s="123">
        <f>AB124 * (1 + D124) / (1 - G124)</f>
        <v>104.52261306532664</v>
      </c>
      <c r="AF124" s="231">
        <f>(B124 - AE124) / AE124</f>
        <v>-4.3269230769230817E-2</v>
      </c>
      <c r="AG124" s="30"/>
      <c r="AH124" s="122">
        <f>U124</f>
        <v>100</v>
      </c>
      <c r="AI124" s="30">
        <f>V124*O124</f>
        <v>0.89999999999999991</v>
      </c>
      <c r="AJ124" s="123">
        <f>W124*O124</f>
        <v>90</v>
      </c>
      <c r="AK124" s="123">
        <f>AH124 * (1 + E124) / (1 - G124)</f>
        <v>108.5427135678392</v>
      </c>
      <c r="AL124" s="124">
        <f>(B124 - AK124) / AK124</f>
        <v>-7.8703703703703748E-2</v>
      </c>
      <c r="AN124" s="122">
        <f>U124</f>
        <v>100</v>
      </c>
      <c r="AO124" s="30">
        <f>V124*P124</f>
        <v>0.60000000000000009</v>
      </c>
      <c r="AP124" s="123">
        <f>W124*P124</f>
        <v>60</v>
      </c>
      <c r="AQ124" s="123">
        <f>AN124 * (1 + F124) / (1 - G124)</f>
        <v>116.58291457286431</v>
      </c>
      <c r="AR124" s="124">
        <f>(B124 - AQ124) / AQ124</f>
        <v>-0.14224137931034475</v>
      </c>
      <c r="AT124" s="32">
        <f>AW124+AV124+AU124</f>
        <v>3</v>
      </c>
      <c r="AU124" s="32">
        <f>AC124</f>
        <v>1.5</v>
      </c>
      <c r="AV124" s="32">
        <f>AI124</f>
        <v>0.89999999999999991</v>
      </c>
      <c r="AW124" s="32">
        <f>AO124</f>
        <v>0.60000000000000009</v>
      </c>
      <c r="AX124" s="196">
        <f>M124</f>
        <v>300</v>
      </c>
      <c r="AY124" s="63">
        <v>0</v>
      </c>
      <c r="AZ124" s="122">
        <f>AT124*B124</f>
        <v>300</v>
      </c>
      <c r="BA124" s="197">
        <f>(AY124+AZ124-AX124)/AX124</f>
        <v>0</v>
      </c>
      <c r="BB124" s="63">
        <f>H124-AX124+AY124</f>
        <v>900</v>
      </c>
    </row>
    <row r="125" spans="1:54" ht="12.75" x14ac:dyDescent="0.2">
      <c r="A125" s="182" t="s">
        <v>278</v>
      </c>
      <c r="B125" s="40">
        <v>100</v>
      </c>
      <c r="C125" s="55">
        <v>0.02</v>
      </c>
      <c r="D125" s="129">
        <v>0.04</v>
      </c>
      <c r="E125" s="125">
        <v>0.08</v>
      </c>
      <c r="F125" s="125">
        <v>0.16</v>
      </c>
      <c r="G125" s="125">
        <v>5.0000000000000001E-3</v>
      </c>
      <c r="H125" s="65">
        <v>1200</v>
      </c>
      <c r="I125" s="125"/>
      <c r="J125" s="134" t="s">
        <v>245</v>
      </c>
      <c r="K125" s="153"/>
      <c r="L125" s="153"/>
      <c r="M125" s="40">
        <v>20</v>
      </c>
      <c r="N125" s="153"/>
      <c r="O125" s="153"/>
      <c r="P125" s="153"/>
      <c r="Q125" s="35"/>
      <c r="R125" s="47" t="s">
        <v>278</v>
      </c>
      <c r="S125" s="47" t="s">
        <v>245</v>
      </c>
      <c r="T125" s="153" t="s">
        <v>34</v>
      </c>
      <c r="U125" s="153" t="s">
        <v>34</v>
      </c>
      <c r="V125" s="153" t="s">
        <v>34</v>
      </c>
      <c r="W125" s="126">
        <f>M125</f>
        <v>20</v>
      </c>
      <c r="X125" s="153" t="s">
        <v>34</v>
      </c>
      <c r="Y125" s="153" t="s">
        <v>34</v>
      </c>
      <c r="Z125" s="153" t="s">
        <v>34</v>
      </c>
      <c r="AA125" s="41"/>
      <c r="AB125" s="126">
        <f>AB124</f>
        <v>100</v>
      </c>
      <c r="AC125" s="43">
        <f>AC124</f>
        <v>1.5</v>
      </c>
      <c r="AD125" s="128">
        <f>AD124</f>
        <v>150</v>
      </c>
      <c r="AE125" s="128">
        <f>AB125 * (1 + D125) / (1 - G125)</f>
        <v>104.52261306532664</v>
      </c>
      <c r="AF125" s="129">
        <f>(B125 - AE125) / AE125</f>
        <v>-4.3269230769230817E-2</v>
      </c>
      <c r="AG125" s="43"/>
      <c r="AH125" s="126">
        <f>AH124</f>
        <v>100</v>
      </c>
      <c r="AI125" s="43">
        <f>AI124</f>
        <v>0.89999999999999991</v>
      </c>
      <c r="AJ125" s="128">
        <f>AJ124</f>
        <v>90</v>
      </c>
      <c r="AK125" s="128">
        <f>AH125 * (1 + E125) / (1 - G125)</f>
        <v>108.5427135678392</v>
      </c>
      <c r="AL125" s="129">
        <f>(B125 - AK125) / AK125</f>
        <v>-7.8703703703703748E-2</v>
      </c>
      <c r="AM125" s="35"/>
      <c r="AN125" s="126">
        <f>AN124</f>
        <v>100</v>
      </c>
      <c r="AO125" s="43">
        <f>AO124</f>
        <v>0.60000000000000009</v>
      </c>
      <c r="AP125" s="128">
        <f>AP124</f>
        <v>60</v>
      </c>
      <c r="AQ125" s="128">
        <f>AN125 * (1 + F125) / (1 - G125)</f>
        <v>116.58291457286431</v>
      </c>
      <c r="AR125" s="129">
        <f>(B125 - AQ125) / AQ125</f>
        <v>-0.14224137931034475</v>
      </c>
      <c r="AS125" s="35"/>
      <c r="AT125" s="39">
        <f>AW125+AV125+AU125</f>
        <v>3</v>
      </c>
      <c r="AU125" s="39">
        <f>AC125</f>
        <v>1.5</v>
      </c>
      <c r="AV125" s="39">
        <f>AI125</f>
        <v>0.89999999999999991</v>
      </c>
      <c r="AW125" s="39">
        <f>AO125</f>
        <v>0.60000000000000009</v>
      </c>
      <c r="AX125" s="201">
        <f>AX124</f>
        <v>300</v>
      </c>
      <c r="AY125" s="65">
        <f>AY124+W125</f>
        <v>20</v>
      </c>
      <c r="AZ125" s="126">
        <f>AT125*B125</f>
        <v>300</v>
      </c>
      <c r="BA125" s="202">
        <f>(AY125+AZ125-AX125)/AX125</f>
        <v>6.6666666666666666E-2</v>
      </c>
      <c r="BB125" s="65">
        <f>H125-AX125+AY125</f>
        <v>920</v>
      </c>
    </row>
    <row r="126" spans="1:54" ht="12.75" x14ac:dyDescent="0.2">
      <c r="A126" s="150" t="s">
        <v>85</v>
      </c>
      <c r="B126" s="52">
        <v>100</v>
      </c>
      <c r="C126" s="54">
        <v>0.02</v>
      </c>
      <c r="D126" s="124">
        <v>0.04</v>
      </c>
      <c r="E126" s="95">
        <v>0.08</v>
      </c>
      <c r="F126" s="95">
        <v>0.16</v>
      </c>
      <c r="G126" s="95">
        <v>5.0000000000000001E-3</v>
      </c>
      <c r="H126" s="63">
        <v>1200</v>
      </c>
      <c r="J126" s="45" t="s">
        <v>70</v>
      </c>
      <c r="L126" s="207"/>
      <c r="M126" s="207"/>
      <c r="N126" s="124"/>
      <c r="O126" s="95"/>
      <c r="P126" s="95"/>
      <c r="R126" s="45" t="s">
        <v>85</v>
      </c>
      <c r="S126" s="45" t="s">
        <v>70</v>
      </c>
      <c r="T126" s="152" t="s">
        <v>34</v>
      </c>
      <c r="U126" s="152" t="s">
        <v>34</v>
      </c>
      <c r="V126" s="152" t="s">
        <v>34</v>
      </c>
      <c r="W126" s="225">
        <v>2</v>
      </c>
      <c r="X126" s="152" t="s">
        <v>34</v>
      </c>
      <c r="Y126" s="152" t="s">
        <v>34</v>
      </c>
      <c r="Z126" s="152" t="s">
        <v>34</v>
      </c>
      <c r="AA126" s="224"/>
      <c r="AB126" s="122">
        <f>AB125/W126</f>
        <v>50</v>
      </c>
      <c r="AC126" s="30">
        <f>AC125*W126</f>
        <v>3</v>
      </c>
      <c r="AD126" s="123">
        <f>AD125</f>
        <v>150</v>
      </c>
      <c r="AE126" s="123">
        <f>AB126 * (1 + D126) / (1 - G126)</f>
        <v>52.261306532663319</v>
      </c>
      <c r="AF126" s="124">
        <f>(B126 - AE126) / AE126</f>
        <v>0.91346153846153832</v>
      </c>
      <c r="AG126" s="30"/>
      <c r="AH126" s="122">
        <f>AH125/W126</f>
        <v>50</v>
      </c>
      <c r="AI126" s="30">
        <f>AI125*W126</f>
        <v>1.7999999999999998</v>
      </c>
      <c r="AJ126" s="123">
        <f>AJ125</f>
        <v>90</v>
      </c>
      <c r="AK126" s="123">
        <f>AH126 * (1 + E126) / (1 - G126)</f>
        <v>54.2713567839196</v>
      </c>
      <c r="AL126" s="124">
        <f>(B126 - AK126) / AK126</f>
        <v>0.84259259259259256</v>
      </c>
      <c r="AN126" s="122">
        <f>AN125/W126</f>
        <v>50</v>
      </c>
      <c r="AO126" s="30">
        <f>AO125*W126</f>
        <v>1.2000000000000002</v>
      </c>
      <c r="AP126" s="123">
        <f>AP125</f>
        <v>60</v>
      </c>
      <c r="AQ126" s="123">
        <f>AN126 * (1 + F126) / (1 - G126)</f>
        <v>58.291457286432156</v>
      </c>
      <c r="AR126" s="124">
        <f>(B126 - AQ126) / AQ126</f>
        <v>0.7155172413793105</v>
      </c>
      <c r="AT126" s="32">
        <f>AW126+AV126+AU126</f>
        <v>6</v>
      </c>
      <c r="AU126" s="32">
        <f>AC126</f>
        <v>3</v>
      </c>
      <c r="AV126" s="32">
        <f>AI126</f>
        <v>1.7999999999999998</v>
      </c>
      <c r="AW126" s="32">
        <f>AO126</f>
        <v>1.2000000000000002</v>
      </c>
      <c r="AX126" s="196">
        <f>AX125</f>
        <v>300</v>
      </c>
      <c r="AY126" s="63">
        <f>AY125</f>
        <v>20</v>
      </c>
      <c r="AZ126" s="122">
        <f>AT126*B126</f>
        <v>600</v>
      </c>
      <c r="BA126" s="197">
        <f>(AY126+AZ126-AX126)/AX126</f>
        <v>1.0666666666666667</v>
      </c>
      <c r="BB126" s="63">
        <f>H126-AX126+AY126</f>
        <v>920</v>
      </c>
    </row>
    <row r="127" spans="1:54" ht="12.75" x14ac:dyDescent="0.2">
      <c r="A127" s="182" t="s">
        <v>247</v>
      </c>
      <c r="B127" s="40">
        <v>100</v>
      </c>
      <c r="C127" s="55">
        <v>0.02</v>
      </c>
      <c r="D127" s="129">
        <v>0.04</v>
      </c>
      <c r="E127" s="125">
        <v>0.08</v>
      </c>
      <c r="F127" s="125">
        <v>0.16</v>
      </c>
      <c r="G127" s="125">
        <v>5.0000000000000001E-3</v>
      </c>
      <c r="H127" s="65">
        <v>1200</v>
      </c>
      <c r="I127" s="125"/>
      <c r="J127" s="134" t="s">
        <v>248</v>
      </c>
      <c r="K127" s="153"/>
      <c r="L127" s="153"/>
      <c r="M127" s="40">
        <v>10</v>
      </c>
      <c r="N127" s="153"/>
      <c r="O127" s="153"/>
      <c r="P127" s="153"/>
      <c r="Q127" s="35"/>
      <c r="R127" s="47" t="s">
        <v>247</v>
      </c>
      <c r="S127" s="47" t="s">
        <v>248</v>
      </c>
      <c r="T127" s="153" t="s">
        <v>34</v>
      </c>
      <c r="U127" s="153" t="s">
        <v>34</v>
      </c>
      <c r="V127" s="153" t="s">
        <v>34</v>
      </c>
      <c r="W127" s="126">
        <f>M127</f>
        <v>10</v>
      </c>
      <c r="X127" s="153" t="s">
        <v>34</v>
      </c>
      <c r="Y127" s="153" t="s">
        <v>34</v>
      </c>
      <c r="Z127" s="153" t="s">
        <v>34</v>
      </c>
      <c r="AA127" s="41"/>
      <c r="AB127" s="126">
        <f>AB126</f>
        <v>50</v>
      </c>
      <c r="AC127" s="43">
        <f>AC126</f>
        <v>3</v>
      </c>
      <c r="AD127" s="128">
        <f>AD126</f>
        <v>150</v>
      </c>
      <c r="AE127" s="128">
        <f>AB127 * (1 + D127) / (1 - G127)</f>
        <v>52.261306532663319</v>
      </c>
      <c r="AF127" s="129">
        <f>(B127 - AE127) / AE127</f>
        <v>0.91346153846153832</v>
      </c>
      <c r="AG127" s="43"/>
      <c r="AH127" s="126">
        <f>AH126</f>
        <v>50</v>
      </c>
      <c r="AI127" s="43">
        <f>AI126</f>
        <v>1.7999999999999998</v>
      </c>
      <c r="AJ127" s="128">
        <f>AJ126</f>
        <v>90</v>
      </c>
      <c r="AK127" s="128">
        <f>AH127 * (1 + E127) / (1 - G127)</f>
        <v>54.2713567839196</v>
      </c>
      <c r="AL127" s="129">
        <f>(B127 - AK127) / AK127</f>
        <v>0.84259259259259256</v>
      </c>
      <c r="AM127" s="35"/>
      <c r="AN127" s="126">
        <f>AN126</f>
        <v>50</v>
      </c>
      <c r="AO127" s="43">
        <f>AO126</f>
        <v>1.2000000000000002</v>
      </c>
      <c r="AP127" s="128">
        <f>AP126</f>
        <v>60</v>
      </c>
      <c r="AQ127" s="128">
        <f>AN127 * (1 + F127) / (1 - G127)</f>
        <v>58.291457286432156</v>
      </c>
      <c r="AR127" s="129">
        <f>(B127 - AQ127) / AQ127</f>
        <v>0.7155172413793105</v>
      </c>
      <c r="AS127" s="35"/>
      <c r="AT127" s="39">
        <f>AW127+AV127+AU127</f>
        <v>6</v>
      </c>
      <c r="AU127" s="39">
        <f>AC127</f>
        <v>3</v>
      </c>
      <c r="AV127" s="39">
        <f>AI127</f>
        <v>1.7999999999999998</v>
      </c>
      <c r="AW127" s="39">
        <f>AO127</f>
        <v>1.2000000000000002</v>
      </c>
      <c r="AX127" s="201">
        <f>AX126</f>
        <v>300</v>
      </c>
      <c r="AY127" s="65">
        <f>AY126+W127</f>
        <v>30</v>
      </c>
      <c r="AZ127" s="126">
        <f>AT127*B127</f>
        <v>600</v>
      </c>
      <c r="BA127" s="202">
        <f>(AY127+AZ127-AX127)/AX127</f>
        <v>1.1000000000000001</v>
      </c>
      <c r="BB127" s="65">
        <f>H127-AX127+AY127</f>
        <v>930</v>
      </c>
    </row>
    <row r="128" spans="1:54" ht="12.75" x14ac:dyDescent="0.2">
      <c r="A128" s="150" t="s">
        <v>218</v>
      </c>
      <c r="B128" s="52">
        <v>100</v>
      </c>
      <c r="C128" s="62">
        <v>0.02</v>
      </c>
      <c r="D128" s="124">
        <v>0.04</v>
      </c>
      <c r="E128" s="95">
        <v>0.08</v>
      </c>
      <c r="F128" s="95">
        <v>0.16</v>
      </c>
      <c r="G128" s="95">
        <v>5.0000000000000001E-3</v>
      </c>
      <c r="H128" s="63">
        <v>1200</v>
      </c>
      <c r="I128" s="95"/>
      <c r="J128" s="133" t="s">
        <v>73</v>
      </c>
      <c r="K128" s="133" t="s">
        <v>219</v>
      </c>
      <c r="L128" s="52">
        <v>100</v>
      </c>
      <c r="M128" s="152" t="s">
        <v>34</v>
      </c>
      <c r="N128" s="124">
        <v>0.5</v>
      </c>
      <c r="O128" s="152" t="s">
        <v>34</v>
      </c>
      <c r="P128" s="152" t="s">
        <v>34</v>
      </c>
      <c r="R128" s="45" t="s">
        <v>218</v>
      </c>
      <c r="S128" s="45" t="s">
        <v>73</v>
      </c>
      <c r="T128" s="133" t="s">
        <v>219</v>
      </c>
      <c r="U128" s="122">
        <f>L128</f>
        <v>100</v>
      </c>
      <c r="V128" s="30">
        <f>N128*AC127</f>
        <v>1.5</v>
      </c>
      <c r="W128" s="122">
        <f>U128*V128-(U128*V128*G128)</f>
        <v>149.25</v>
      </c>
      <c r="X128" s="152" t="s">
        <v>34</v>
      </c>
      <c r="Y128" s="152">
        <f>W128-(AH126*V128)</f>
        <v>74.25</v>
      </c>
      <c r="Z128" s="161">
        <f>Y128/(AH126*V128)</f>
        <v>0.99</v>
      </c>
      <c r="AA128" s="12"/>
      <c r="AB128" s="122">
        <f>AB126</f>
        <v>50</v>
      </c>
      <c r="AC128" s="30">
        <f>AC127*N128</f>
        <v>1.5</v>
      </c>
      <c r="AD128" s="157">
        <f>AD127*N128</f>
        <v>75</v>
      </c>
      <c r="AE128" s="157">
        <f>AB128 * (1 + D128) / (1 - G128)</f>
        <v>52.261306532663319</v>
      </c>
      <c r="AF128" s="124">
        <f>(B128 - AE128) / AE128</f>
        <v>0.91346153846153832</v>
      </c>
      <c r="AG128" s="30"/>
      <c r="AH128" s="122">
        <f>AH127</f>
        <v>50</v>
      </c>
      <c r="AI128" s="30">
        <f>AI127</f>
        <v>1.7999999999999998</v>
      </c>
      <c r="AJ128" s="123">
        <f>AJ127</f>
        <v>90</v>
      </c>
      <c r="AK128" s="123">
        <f>AH128 * (1 + E128) / (1 - G128)</f>
        <v>54.2713567839196</v>
      </c>
      <c r="AL128" s="124">
        <f>(B128 - AK128) / AK128</f>
        <v>0.84259259259259256</v>
      </c>
      <c r="AN128" s="122">
        <f>AN126</f>
        <v>50</v>
      </c>
      <c r="AO128" s="30">
        <f>AO126</f>
        <v>1.2000000000000002</v>
      </c>
      <c r="AP128" s="157">
        <f>AP126</f>
        <v>60</v>
      </c>
      <c r="AQ128" s="157">
        <f>AN128 * (1 + F128) / (1 - G128)</f>
        <v>58.291457286432156</v>
      </c>
      <c r="AR128" s="124">
        <f>(B128 - AQ128) / AQ128</f>
        <v>0.7155172413793105</v>
      </c>
      <c r="AT128" s="32">
        <f>AW128+AV128+AU128</f>
        <v>4.5</v>
      </c>
      <c r="AU128" s="32">
        <f>AC128</f>
        <v>1.5</v>
      </c>
      <c r="AV128" s="32">
        <f>AI128</f>
        <v>1.7999999999999998</v>
      </c>
      <c r="AW128" s="32">
        <f>AO128</f>
        <v>1.2000000000000002</v>
      </c>
      <c r="AX128" s="196">
        <f>AX126</f>
        <v>300</v>
      </c>
      <c r="AY128" s="63">
        <f>AY127+W128</f>
        <v>179.25</v>
      </c>
      <c r="AZ128" s="122">
        <f>AT128*B128</f>
        <v>450</v>
      </c>
      <c r="BA128" s="206">
        <f>(AY128+AZ128-AX128)/AX128</f>
        <v>1.0974999999999999</v>
      </c>
      <c r="BB128" s="63">
        <f>H128-AX128+AY128</f>
        <v>1079.25</v>
      </c>
    </row>
    <row r="129" spans="1:54" ht="12.75" x14ac:dyDescent="0.2">
      <c r="A129" s="182" t="s">
        <v>281</v>
      </c>
      <c r="B129" s="40">
        <v>100</v>
      </c>
      <c r="C129" s="55">
        <v>0.02</v>
      </c>
      <c r="D129" s="129">
        <v>0.04</v>
      </c>
      <c r="E129" s="125">
        <v>0.08</v>
      </c>
      <c r="F129" s="125">
        <v>0.16</v>
      </c>
      <c r="G129" s="125">
        <v>5.0000000000000001E-3</v>
      </c>
      <c r="H129" s="65">
        <v>1200</v>
      </c>
      <c r="I129" s="125"/>
      <c r="J129" s="134" t="s">
        <v>281</v>
      </c>
      <c r="K129" s="134"/>
      <c r="L129" s="40"/>
      <c r="M129" s="153"/>
      <c r="N129" s="129"/>
      <c r="O129" s="153"/>
      <c r="P129" s="153"/>
      <c r="Q129" s="35"/>
      <c r="R129" s="47" t="s">
        <v>218</v>
      </c>
      <c r="S129" s="166" t="s">
        <v>73</v>
      </c>
      <c r="T129" s="169" t="s">
        <v>219</v>
      </c>
      <c r="U129" s="227">
        <f>U128</f>
        <v>100</v>
      </c>
      <c r="V129" s="170">
        <f>V128</f>
        <v>1.5</v>
      </c>
      <c r="W129" s="227">
        <f>U129*V129-(U129*V129*G129)</f>
        <v>149.25</v>
      </c>
      <c r="X129" s="228" t="s">
        <v>34</v>
      </c>
      <c r="Y129" s="228">
        <f>W129-(AH127*V129)</f>
        <v>74.25</v>
      </c>
      <c r="Z129" s="229">
        <f>Y129/(AH127*V129)</f>
        <v>0.99</v>
      </c>
      <c r="AA129" s="41"/>
      <c r="AB129" s="126">
        <f>AB127</f>
        <v>50</v>
      </c>
      <c r="AC129" s="43">
        <f>AC127</f>
        <v>3</v>
      </c>
      <c r="AD129" s="128">
        <f>AD127</f>
        <v>150</v>
      </c>
      <c r="AE129" s="128">
        <f>AB129 * (1 + D129) / (1 - G129)</f>
        <v>52.261306532663319</v>
      </c>
      <c r="AF129" s="129">
        <f>(B129 - AE129) / AE129</f>
        <v>0.91346153846153832</v>
      </c>
      <c r="AG129" s="43"/>
      <c r="AH129" s="126">
        <f>AH128</f>
        <v>50</v>
      </c>
      <c r="AI129" s="43">
        <f>AI128</f>
        <v>1.7999999999999998</v>
      </c>
      <c r="AJ129" s="128">
        <f>AJ128</f>
        <v>90</v>
      </c>
      <c r="AK129" s="128">
        <f>AH129 * (1 + E129) / (1 - G129)</f>
        <v>54.2713567839196</v>
      </c>
      <c r="AL129" s="129">
        <f>(B129 - AK129) / AK129</f>
        <v>0.84259259259259256</v>
      </c>
      <c r="AM129" s="35"/>
      <c r="AN129" s="126">
        <f>AN127</f>
        <v>50</v>
      </c>
      <c r="AO129" s="43">
        <f>AO127</f>
        <v>1.2000000000000002</v>
      </c>
      <c r="AP129" s="128">
        <f>AP127</f>
        <v>60</v>
      </c>
      <c r="AQ129" s="128">
        <f>AN129 * (1 + F129) / (1 - G129)</f>
        <v>58.291457286432156</v>
      </c>
      <c r="AR129" s="129">
        <f>(B129 - AQ129) / AQ129</f>
        <v>0.7155172413793105</v>
      </c>
      <c r="AS129" s="35"/>
      <c r="AT129" s="39">
        <f>AW129+AV129+AU129</f>
        <v>6</v>
      </c>
      <c r="AU129" s="39">
        <f>AC129</f>
        <v>3</v>
      </c>
      <c r="AV129" s="39">
        <f>AI129</f>
        <v>1.7999999999999998</v>
      </c>
      <c r="AW129" s="39">
        <f>AO129</f>
        <v>1.2000000000000002</v>
      </c>
      <c r="AX129" s="201">
        <f>AX127</f>
        <v>300</v>
      </c>
      <c r="AY129" s="65">
        <f>AY128-W129</f>
        <v>30</v>
      </c>
      <c r="AZ129" s="126">
        <f>AT129*B129</f>
        <v>600</v>
      </c>
      <c r="BA129" s="202">
        <f>(AY129+AZ129-AX129)/AX129</f>
        <v>1.1000000000000001</v>
      </c>
      <c r="BB129" s="65">
        <f>H129-AX129+AY129</f>
        <v>930</v>
      </c>
    </row>
    <row r="130" spans="1:54" s="237" customFormat="1" ht="12.75" x14ac:dyDescent="0.2">
      <c r="A130" s="240" t="s">
        <v>283</v>
      </c>
      <c r="B130" s="52">
        <v>100</v>
      </c>
      <c r="C130" s="62">
        <v>0.02</v>
      </c>
      <c r="D130" s="124">
        <v>0.04</v>
      </c>
      <c r="E130" s="95">
        <v>0.08</v>
      </c>
      <c r="F130" s="95">
        <v>0.16</v>
      </c>
      <c r="G130" s="95">
        <v>5.0000000000000001E-3</v>
      </c>
      <c r="H130" s="63">
        <v>1200</v>
      </c>
      <c r="I130" s="232"/>
      <c r="J130" s="234" t="s">
        <v>284</v>
      </c>
      <c r="K130" s="234"/>
      <c r="L130" s="230"/>
      <c r="M130" s="241">
        <v>10</v>
      </c>
      <c r="N130" s="231"/>
      <c r="O130" s="241"/>
      <c r="P130" s="241"/>
      <c r="R130" s="234" t="s">
        <v>284</v>
      </c>
      <c r="S130" s="242" t="s">
        <v>248</v>
      </c>
      <c r="T130" s="243"/>
      <c r="U130" s="244"/>
      <c r="V130" s="245"/>
      <c r="W130" s="241">
        <v>10</v>
      </c>
      <c r="X130" s="246"/>
      <c r="Y130" s="246"/>
      <c r="Z130" s="226"/>
      <c r="AA130" s="247"/>
      <c r="AB130" s="235">
        <f>AB128</f>
        <v>50</v>
      </c>
      <c r="AC130" s="236">
        <f>AC129</f>
        <v>3</v>
      </c>
      <c r="AD130" s="157">
        <f>AD129</f>
        <v>150</v>
      </c>
      <c r="AE130" s="157">
        <f>AB130 * (1 + D130) / (1 - G130)</f>
        <v>52.261306532663319</v>
      </c>
      <c r="AF130" s="231">
        <f>(B130 - AE130) / AE130</f>
        <v>0.91346153846153832</v>
      </c>
      <c r="AG130" s="236"/>
      <c r="AH130" s="235">
        <f>AH129</f>
        <v>50</v>
      </c>
      <c r="AI130" s="236">
        <f>AI129</f>
        <v>1.7999999999999998</v>
      </c>
      <c r="AJ130" s="157">
        <f>AJ129</f>
        <v>90</v>
      </c>
      <c r="AK130" s="157">
        <f>AH130 * (1 + E130) / (1 - G130)</f>
        <v>54.2713567839196</v>
      </c>
      <c r="AL130" s="231">
        <f>(B130 - AK130) / AK130</f>
        <v>0.84259259259259256</v>
      </c>
      <c r="AN130" s="235">
        <f>AN128</f>
        <v>50</v>
      </c>
      <c r="AO130" s="236">
        <f>AO128</f>
        <v>1.2000000000000002</v>
      </c>
      <c r="AP130" s="157">
        <f>AP128</f>
        <v>60</v>
      </c>
      <c r="AQ130" s="157">
        <f>AN130 * (1 + F130) / (1 - G130)</f>
        <v>58.291457286432156</v>
      </c>
      <c r="AR130" s="231">
        <f>(B130 - AQ130) / AQ130</f>
        <v>0.7155172413793105</v>
      </c>
      <c r="AT130" s="238">
        <f>AW130+AV130+AU130</f>
        <v>6</v>
      </c>
      <c r="AU130" s="238">
        <f>AC130</f>
        <v>3</v>
      </c>
      <c r="AV130" s="238">
        <f>AI130</f>
        <v>1.7999999999999998</v>
      </c>
      <c r="AW130" s="238">
        <f>AO130</f>
        <v>1.2000000000000002</v>
      </c>
      <c r="AX130" s="239">
        <f>AX128</f>
        <v>300</v>
      </c>
      <c r="AY130" s="233">
        <f>AY129-W130</f>
        <v>20</v>
      </c>
      <c r="AZ130" s="235">
        <f>AT130*B130</f>
        <v>600</v>
      </c>
      <c r="BA130" s="206">
        <f>(AY130+AZ130-AX130)/AX130</f>
        <v>1.0666666666666667</v>
      </c>
      <c r="BB130" s="233">
        <f>H130-AX130+AY130</f>
        <v>920</v>
      </c>
    </row>
    <row r="131" spans="1:54" ht="12.75" x14ac:dyDescent="0.2">
      <c r="A131" s="182" t="s">
        <v>282</v>
      </c>
      <c r="B131" s="40">
        <v>100</v>
      </c>
      <c r="C131" s="55">
        <v>0.02</v>
      </c>
      <c r="D131" s="129">
        <v>0.04</v>
      </c>
      <c r="E131" s="125">
        <v>0.08</v>
      </c>
      <c r="F131" s="125">
        <v>0.16</v>
      </c>
      <c r="G131" s="125">
        <v>5.0000000000000001E-3</v>
      </c>
      <c r="H131" s="65">
        <v>1200</v>
      </c>
      <c r="I131" s="35"/>
      <c r="J131" s="134" t="s">
        <v>282</v>
      </c>
      <c r="K131" s="35"/>
      <c r="L131" s="210"/>
      <c r="M131" s="210"/>
      <c r="N131" s="129"/>
      <c r="O131" s="125"/>
      <c r="P131" s="125"/>
      <c r="Q131" s="35"/>
      <c r="R131" s="134" t="s">
        <v>282</v>
      </c>
      <c r="S131" s="166" t="s">
        <v>70</v>
      </c>
      <c r="T131" s="203"/>
      <c r="U131" s="126"/>
      <c r="V131" s="43"/>
      <c r="W131" s="126"/>
      <c r="X131" s="126"/>
      <c r="Y131" s="153"/>
      <c r="Z131" s="153"/>
      <c r="AA131" s="41"/>
      <c r="AB131" s="126">
        <f>AB130*W126</f>
        <v>100</v>
      </c>
      <c r="AC131" s="43">
        <f>AC130/W126</f>
        <v>1.5</v>
      </c>
      <c r="AD131" s="128">
        <f>AD129</f>
        <v>150</v>
      </c>
      <c r="AE131" s="128">
        <f>AB131 * (1 + D131) / (1 - G131)</f>
        <v>104.52261306532664</v>
      </c>
      <c r="AF131" s="129">
        <f>(B131 - AE131) / AE131</f>
        <v>-4.3269230769230817E-2</v>
      </c>
      <c r="AG131" s="43"/>
      <c r="AH131" s="126">
        <f>AH130*W126</f>
        <v>100</v>
      </c>
      <c r="AI131" s="43">
        <f>AI130/W126</f>
        <v>0.89999999999999991</v>
      </c>
      <c r="AJ131" s="128">
        <f>AJ129</f>
        <v>90</v>
      </c>
      <c r="AK131" s="128">
        <f>AH131 * (1 + E131) / (1 - G131)</f>
        <v>108.5427135678392</v>
      </c>
      <c r="AL131" s="129">
        <f>(B131 - AK131) / AK131</f>
        <v>-7.8703703703703748E-2</v>
      </c>
      <c r="AM131" s="35"/>
      <c r="AN131" s="126">
        <f>AN130*W126</f>
        <v>100</v>
      </c>
      <c r="AO131" s="43">
        <f>AO130/W126</f>
        <v>0.60000000000000009</v>
      </c>
      <c r="AP131" s="128">
        <f>AP128</f>
        <v>60</v>
      </c>
      <c r="AQ131" s="128">
        <f>AN131 * (1 + F131) / (1 - G131)</f>
        <v>116.58291457286431</v>
      </c>
      <c r="AR131" s="129">
        <f>(B131 - AQ131) / AQ131</f>
        <v>-0.14224137931034475</v>
      </c>
      <c r="AS131" s="35"/>
      <c r="AT131" s="39">
        <f>AW131+AV131+AU131</f>
        <v>5.4</v>
      </c>
      <c r="AU131" s="39">
        <f>AC131+AC132</f>
        <v>3</v>
      </c>
      <c r="AV131" s="39">
        <f>AI131+AI132</f>
        <v>1.7999999999999998</v>
      </c>
      <c r="AW131" s="39">
        <f>AO131</f>
        <v>0.60000000000000009</v>
      </c>
      <c r="AX131" s="201">
        <f>AX128</f>
        <v>300</v>
      </c>
      <c r="AY131" s="65">
        <f>AY130</f>
        <v>20</v>
      </c>
      <c r="AZ131" s="126">
        <f>AT131*B131</f>
        <v>540</v>
      </c>
      <c r="BA131" s="202">
        <f>(AY131+AZ131-AX131)/AX131</f>
        <v>0.8666666666666667</v>
      </c>
      <c r="BB131" s="65">
        <f>H131-AX131+AY131</f>
        <v>920</v>
      </c>
    </row>
    <row r="132" spans="1:54" ht="12.75" x14ac:dyDescent="0.2">
      <c r="A132" s="240" t="s">
        <v>285</v>
      </c>
      <c r="B132" s="52">
        <v>100</v>
      </c>
      <c r="C132" s="62">
        <v>0.02</v>
      </c>
      <c r="D132" s="124">
        <v>0.04</v>
      </c>
      <c r="E132" s="95">
        <v>0.08</v>
      </c>
      <c r="F132" s="95">
        <v>0.16</v>
      </c>
      <c r="G132" s="95">
        <v>5.0000000000000001E-3</v>
      </c>
      <c r="H132" s="63">
        <v>1200</v>
      </c>
      <c r="I132" s="232"/>
      <c r="J132" s="240" t="s">
        <v>285</v>
      </c>
      <c r="K132" s="234"/>
      <c r="L132" s="230"/>
      <c r="M132" s="241">
        <f>M125</f>
        <v>20</v>
      </c>
      <c r="N132" s="231"/>
      <c r="O132" s="241"/>
      <c r="P132" s="241"/>
      <c r="Q132" s="237"/>
      <c r="R132" s="240" t="s">
        <v>285</v>
      </c>
      <c r="S132" s="242" t="s">
        <v>245</v>
      </c>
      <c r="T132" s="243"/>
      <c r="U132" s="244"/>
      <c r="V132" s="245"/>
      <c r="W132" s="246">
        <v>20</v>
      </c>
      <c r="X132" s="246"/>
      <c r="Y132" s="246"/>
      <c r="Z132" s="226"/>
      <c r="AA132" s="247"/>
      <c r="AB132" s="235">
        <f>AB131</f>
        <v>100</v>
      </c>
      <c r="AC132" s="236">
        <f>AC131</f>
        <v>1.5</v>
      </c>
      <c r="AD132" s="157">
        <f>AD131</f>
        <v>150</v>
      </c>
      <c r="AE132" s="157">
        <f>AB132 * (1 + D132) / (1 - G132)</f>
        <v>104.52261306532664</v>
      </c>
      <c r="AF132" s="231">
        <f>(B132 - AE132) / AE132</f>
        <v>-4.3269230769230817E-2</v>
      </c>
      <c r="AG132" s="236"/>
      <c r="AH132" s="235">
        <f>AH131</f>
        <v>100</v>
      </c>
      <c r="AI132" s="236">
        <f>AI131</f>
        <v>0.89999999999999991</v>
      </c>
      <c r="AJ132" s="157">
        <f>AJ131</f>
        <v>90</v>
      </c>
      <c r="AK132" s="157">
        <f>AH132 * (1 + E132) / (1 - G132)</f>
        <v>108.5427135678392</v>
      </c>
      <c r="AL132" s="231">
        <f>(B132 - AK132) / AK132</f>
        <v>-7.8703703703703748E-2</v>
      </c>
      <c r="AM132" s="237"/>
      <c r="AN132" s="235">
        <f>AN131</f>
        <v>100</v>
      </c>
      <c r="AO132" s="236">
        <f>AO131</f>
        <v>0.60000000000000009</v>
      </c>
      <c r="AP132" s="157">
        <f>AP130</f>
        <v>60</v>
      </c>
      <c r="AQ132" s="157">
        <f>AN132 * (1 + F132) / (1 - G132)</f>
        <v>116.58291457286431</v>
      </c>
      <c r="AR132" s="231">
        <f>(B132 - AQ132) / AQ132</f>
        <v>-0.14224137931034475</v>
      </c>
      <c r="AS132" s="237"/>
      <c r="AT132" s="238">
        <f>AW132+AV132+AU132</f>
        <v>3</v>
      </c>
      <c r="AU132" s="238">
        <f>AC132</f>
        <v>1.5</v>
      </c>
      <c r="AV132" s="238">
        <f>AI132</f>
        <v>0.89999999999999991</v>
      </c>
      <c r="AW132" s="238">
        <f>AO132</f>
        <v>0.60000000000000009</v>
      </c>
      <c r="AX132" s="239">
        <f>AX130</f>
        <v>300</v>
      </c>
      <c r="AY132" s="233">
        <f>AY131-W132</f>
        <v>0</v>
      </c>
      <c r="AZ132" s="235">
        <f>AT132*B132</f>
        <v>300</v>
      </c>
      <c r="BA132" s="206">
        <f>(AY132+AZ132-AX132)/AX132</f>
        <v>0</v>
      </c>
      <c r="BB132" s="233">
        <f>H132-AX132+AY132</f>
        <v>900</v>
      </c>
    </row>
    <row r="133" spans="1:54" ht="12.75" x14ac:dyDescent="0.2">
      <c r="A133" s="182" t="s">
        <v>286</v>
      </c>
      <c r="B133" s="40">
        <v>100</v>
      </c>
      <c r="C133" s="55">
        <v>0.02</v>
      </c>
      <c r="D133" s="129">
        <v>0.04</v>
      </c>
      <c r="E133" s="125">
        <v>0.08</v>
      </c>
      <c r="F133" s="125">
        <v>0.16</v>
      </c>
      <c r="G133" s="125">
        <v>5.0000000000000001E-3</v>
      </c>
      <c r="H133" s="65">
        <v>1200</v>
      </c>
      <c r="I133" s="35"/>
      <c r="J133" s="47" t="s">
        <v>286</v>
      </c>
      <c r="K133" s="35"/>
      <c r="L133" s="210"/>
      <c r="M133" s="210"/>
      <c r="N133" s="129"/>
      <c r="O133" s="125"/>
      <c r="P133" s="125"/>
      <c r="Q133" s="35"/>
      <c r="R133" s="47" t="s">
        <v>215</v>
      </c>
      <c r="S133" s="166" t="s">
        <v>75</v>
      </c>
      <c r="T133" s="248" t="s">
        <v>78</v>
      </c>
      <c r="U133" s="227">
        <f>U124</f>
        <v>100</v>
      </c>
      <c r="V133" s="170">
        <f>V124</f>
        <v>3</v>
      </c>
      <c r="W133" s="227">
        <f>W124</f>
        <v>300</v>
      </c>
      <c r="X133" s="227">
        <f>U133 * (1 - ABS(C133))</f>
        <v>98</v>
      </c>
      <c r="Y133" s="228" t="s">
        <v>34</v>
      </c>
      <c r="Z133" s="228" t="s">
        <v>34</v>
      </c>
      <c r="AA133" s="41"/>
      <c r="AB133" s="212"/>
      <c r="AC133" s="212"/>
      <c r="AD133" s="212"/>
      <c r="AE133" s="212"/>
      <c r="AF133" s="170"/>
      <c r="AG133" s="170"/>
      <c r="AH133" s="212"/>
      <c r="AI133" s="212"/>
      <c r="AJ133" s="212"/>
      <c r="AK133" s="212"/>
      <c r="AL133" s="170"/>
      <c r="AM133" s="35"/>
      <c r="AN133" s="212"/>
      <c r="AO133" s="212"/>
      <c r="AP133" s="212"/>
      <c r="AQ133" s="212"/>
      <c r="AR133" s="170"/>
      <c r="AS133" s="35"/>
      <c r="AT133" s="39">
        <f>AW133+AV133+AU133</f>
        <v>0</v>
      </c>
      <c r="AU133" s="39">
        <f>AC133</f>
        <v>0</v>
      </c>
      <c r="AV133" s="39">
        <f>AI133</f>
        <v>0</v>
      </c>
      <c r="AW133" s="39">
        <f>AO133</f>
        <v>0</v>
      </c>
      <c r="AX133" s="201">
        <v>0</v>
      </c>
      <c r="AY133" s="65">
        <v>0</v>
      </c>
      <c r="AZ133" s="126">
        <f>AT133*B133</f>
        <v>0</v>
      </c>
      <c r="BA133" s="202">
        <v>0</v>
      </c>
      <c r="BB133" s="65">
        <f>H133-AX133+AY133</f>
        <v>1200</v>
      </c>
    </row>
    <row r="134" spans="1:54" ht="12.75" x14ac:dyDescent="0.2">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54"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54" ht="12.75" x14ac:dyDescent="0.2">
      <c r="A136" s="150"/>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54" ht="12.75" x14ac:dyDescent="0.2">
      <c r="A137" s="150"/>
      <c r="B137" s="33"/>
      <c r="C137" s="67"/>
      <c r="D137" s="124"/>
      <c r="E137" s="95"/>
      <c r="F137" s="95"/>
      <c r="G137" s="95"/>
      <c r="H137" s="95"/>
      <c r="L137" s="207"/>
      <c r="M137" s="207"/>
      <c r="N137" s="124"/>
      <c r="O137" s="95"/>
      <c r="P137" s="95"/>
      <c r="R137" s="45"/>
      <c r="S137" s="45"/>
      <c r="T137" s="131"/>
      <c r="U137" s="122"/>
      <c r="V137" s="30"/>
      <c r="W137" s="122"/>
      <c r="X137" s="122"/>
      <c r="Y137" s="152"/>
      <c r="Z137" s="152"/>
      <c r="AA137" s="12"/>
      <c r="AB137" s="139"/>
      <c r="AC137" s="139"/>
      <c r="AD137" s="139"/>
      <c r="AE137" s="139"/>
      <c r="AF137" s="140"/>
      <c r="AG137" s="140"/>
      <c r="AH137" s="139"/>
      <c r="AI137" s="139"/>
      <c r="AJ137" s="139"/>
      <c r="AK137" s="139"/>
      <c r="AL137" s="140"/>
      <c r="AN137" s="139"/>
      <c r="AO137" s="139"/>
      <c r="AP137" s="139"/>
      <c r="AQ137" s="139"/>
      <c r="AR137" s="140"/>
    </row>
    <row r="138" spans="1:54" ht="12.75" x14ac:dyDescent="0.2">
      <c r="A138" s="150"/>
      <c r="B138" s="33"/>
      <c r="C138" s="67"/>
      <c r="D138" s="124"/>
      <c r="E138" s="95"/>
      <c r="F138" s="95"/>
      <c r="G138" s="95"/>
      <c r="H138" s="95"/>
      <c r="L138" s="207"/>
      <c r="M138" s="207"/>
      <c r="N138" s="124"/>
      <c r="O138" s="95"/>
      <c r="P138" s="95"/>
      <c r="R138" s="45"/>
      <c r="S138" s="45"/>
      <c r="T138" s="131"/>
      <c r="U138" s="122"/>
      <c r="V138" s="30"/>
      <c r="W138" s="122"/>
      <c r="X138" s="122"/>
      <c r="Y138" s="152"/>
      <c r="Z138" s="152"/>
      <c r="AA138" s="12"/>
      <c r="AB138" s="139"/>
      <c r="AC138" s="139"/>
      <c r="AD138" s="139"/>
      <c r="AE138" s="139"/>
      <c r="AF138" s="140"/>
      <c r="AG138" s="140"/>
      <c r="AH138" s="139"/>
      <c r="AI138" s="139"/>
      <c r="AJ138" s="139"/>
      <c r="AK138" s="139"/>
      <c r="AL138" s="140"/>
      <c r="AN138" s="139"/>
      <c r="AO138" s="139"/>
      <c r="AP138" s="139"/>
      <c r="AQ138" s="139"/>
      <c r="AR138" s="140"/>
    </row>
    <row r="139" spans="1:54" ht="12.75" x14ac:dyDescent="0.2">
      <c r="A139" s="150"/>
      <c r="B139" s="33"/>
      <c r="C139" s="67"/>
      <c r="D139" s="124"/>
      <c r="E139" s="95"/>
      <c r="F139" s="95"/>
      <c r="G139" s="95"/>
      <c r="H139" s="95"/>
      <c r="L139" s="207"/>
      <c r="M139" s="207"/>
      <c r="N139" s="124"/>
      <c r="O139" s="95"/>
      <c r="P139" s="95"/>
      <c r="R139" s="45"/>
      <c r="S139" s="45"/>
      <c r="T139" s="131"/>
      <c r="U139" s="122"/>
      <c r="V139" s="30"/>
      <c r="W139" s="122"/>
      <c r="X139" s="122"/>
      <c r="Y139" s="152"/>
      <c r="Z139" s="152"/>
      <c r="AA139" s="12"/>
      <c r="AB139" s="139"/>
      <c r="AC139" s="139"/>
      <c r="AD139" s="139"/>
      <c r="AE139" s="139"/>
      <c r="AF139" s="140"/>
      <c r="AG139" s="140"/>
      <c r="AH139" s="139"/>
      <c r="AI139" s="139"/>
      <c r="AJ139" s="139"/>
      <c r="AK139" s="139"/>
      <c r="AL139" s="140"/>
      <c r="AN139" s="139"/>
      <c r="AO139" s="139"/>
      <c r="AP139" s="139"/>
      <c r="AQ139" s="139"/>
      <c r="AR139" s="140"/>
    </row>
    <row r="140" spans="1:54" ht="12.75" x14ac:dyDescent="0.2">
      <c r="A140" s="150"/>
      <c r="B140" s="33"/>
      <c r="C140" s="67"/>
      <c r="D140" s="124"/>
      <c r="E140" s="95"/>
      <c r="F140" s="95"/>
      <c r="G140" s="95"/>
      <c r="H140" s="95"/>
      <c r="L140" s="207"/>
      <c r="M140" s="207"/>
      <c r="N140" s="124"/>
      <c r="O140" s="95"/>
      <c r="P140" s="95"/>
      <c r="R140" s="45"/>
      <c r="S140" s="45"/>
      <c r="T140" s="131"/>
      <c r="U140" s="122"/>
      <c r="V140" s="30"/>
      <c r="W140" s="122"/>
      <c r="X140" s="122"/>
      <c r="Y140" s="152"/>
      <c r="Z140" s="152"/>
      <c r="AA140" s="12"/>
      <c r="AB140" s="139"/>
      <c r="AC140" s="139"/>
      <c r="AD140" s="139"/>
      <c r="AE140" s="139"/>
      <c r="AF140" s="140"/>
      <c r="AG140" s="140"/>
      <c r="AH140" s="139"/>
      <c r="AI140" s="139"/>
      <c r="AJ140" s="139"/>
      <c r="AK140" s="139"/>
      <c r="AL140" s="140"/>
      <c r="AN140" s="139"/>
      <c r="AO140" s="139"/>
      <c r="AP140" s="139"/>
      <c r="AQ140" s="139"/>
      <c r="AR140" s="140"/>
    </row>
    <row r="141" spans="1:54" ht="12.75" x14ac:dyDescent="0.2">
      <c r="A141" s="150"/>
      <c r="B141" s="33"/>
      <c r="C141" s="67"/>
      <c r="D141" s="124"/>
      <c r="E141" s="95"/>
      <c r="F141" s="95"/>
      <c r="G141" s="95"/>
      <c r="H141" s="95"/>
      <c r="L141" s="207"/>
      <c r="M141" s="207"/>
      <c r="N141" s="124"/>
      <c r="O141" s="95"/>
      <c r="P141" s="95"/>
      <c r="R141" s="45"/>
      <c r="S141" s="45"/>
      <c r="T141" s="131"/>
      <c r="U141" s="122"/>
      <c r="V141" s="30"/>
      <c r="W141" s="122"/>
      <c r="X141" s="122"/>
      <c r="Y141" s="152"/>
      <c r="Z141" s="152"/>
      <c r="AA141" s="12"/>
      <c r="AB141" s="139"/>
      <c r="AC141" s="139"/>
      <c r="AD141" s="139"/>
      <c r="AE141" s="139"/>
      <c r="AF141" s="140"/>
      <c r="AG141" s="140"/>
      <c r="AH141" s="139"/>
      <c r="AI141" s="139"/>
      <c r="AJ141" s="139"/>
      <c r="AK141" s="139"/>
      <c r="AL141" s="140"/>
      <c r="AN141" s="139"/>
      <c r="AO141" s="139"/>
      <c r="AP141" s="139"/>
      <c r="AQ141" s="139"/>
      <c r="AR141" s="140"/>
    </row>
    <row r="142" spans="1:54" ht="12.75" x14ac:dyDescent="0.2">
      <c r="A142" s="150"/>
      <c r="B142" s="33"/>
      <c r="C142" s="67"/>
      <c r="D142" s="124"/>
      <c r="E142" s="95"/>
      <c r="F142" s="95"/>
      <c r="G142" s="95"/>
      <c r="H142" s="95"/>
      <c r="L142" s="207"/>
      <c r="M142" s="207"/>
      <c r="N142" s="124"/>
      <c r="O142" s="95"/>
      <c r="P142" s="95"/>
      <c r="R142" s="45"/>
      <c r="S142" s="45"/>
      <c r="T142" s="131"/>
      <c r="U142" s="122"/>
      <c r="V142" s="30"/>
      <c r="W142" s="122"/>
      <c r="X142" s="122"/>
      <c r="Y142" s="152"/>
      <c r="Z142" s="152"/>
      <c r="AA142" s="12"/>
      <c r="AB142" s="139"/>
      <c r="AC142" s="139"/>
      <c r="AD142" s="139"/>
      <c r="AE142" s="139"/>
      <c r="AF142" s="140"/>
      <c r="AG142" s="140"/>
      <c r="AH142" s="139"/>
      <c r="AI142" s="139"/>
      <c r="AJ142" s="139"/>
      <c r="AK142" s="139"/>
      <c r="AL142" s="140"/>
      <c r="AN142" s="139"/>
      <c r="AO142" s="139"/>
      <c r="AP142" s="139"/>
      <c r="AQ142" s="139"/>
      <c r="AR142" s="140"/>
    </row>
    <row r="143" spans="1:54" ht="12.75" x14ac:dyDescent="0.2">
      <c r="A143" s="150"/>
      <c r="B143" s="33"/>
      <c r="C143" s="67"/>
      <c r="D143" s="124"/>
      <c r="E143" s="95"/>
      <c r="F143" s="95"/>
      <c r="G143" s="95"/>
      <c r="H143" s="95"/>
      <c r="L143" s="207"/>
      <c r="M143" s="207"/>
      <c r="N143" s="124"/>
      <c r="O143" s="95"/>
      <c r="P143" s="95"/>
      <c r="R143" s="45"/>
      <c r="S143" s="45"/>
      <c r="T143" s="131"/>
      <c r="U143" s="122"/>
      <c r="V143" s="30"/>
      <c r="W143" s="122"/>
      <c r="X143" s="122"/>
      <c r="Y143" s="152"/>
      <c r="Z143" s="152"/>
      <c r="AA143" s="12"/>
      <c r="AB143" s="139"/>
      <c r="AC143" s="139"/>
      <c r="AD143" s="139"/>
      <c r="AE143" s="139"/>
      <c r="AF143" s="140"/>
      <c r="AG143" s="140"/>
      <c r="AH143" s="139"/>
      <c r="AI143" s="139"/>
      <c r="AJ143" s="139"/>
      <c r="AK143" s="139"/>
      <c r="AL143" s="140"/>
      <c r="AN143" s="139"/>
      <c r="AO143" s="139"/>
      <c r="AP143" s="139"/>
      <c r="AQ143" s="139"/>
      <c r="AR143" s="140"/>
    </row>
    <row r="144" spans="1:54" ht="12.75" x14ac:dyDescent="0.2">
      <c r="A144" s="150"/>
      <c r="B144" s="33"/>
      <c r="C144" s="67"/>
      <c r="D144" s="124"/>
      <c r="E144" s="95"/>
      <c r="F144" s="95"/>
      <c r="G144" s="95"/>
      <c r="H144" s="95"/>
      <c r="L144" s="93"/>
      <c r="M144" s="93"/>
      <c r="N144" s="124"/>
      <c r="O144" s="95"/>
      <c r="P144" s="95"/>
      <c r="R144" s="12"/>
      <c r="S144" s="12"/>
      <c r="T144" s="12"/>
      <c r="U144" s="137"/>
      <c r="V144" s="138"/>
      <c r="W144" s="137"/>
      <c r="X144" s="137"/>
      <c r="Y144" s="12"/>
      <c r="Z144" s="12"/>
      <c r="AA144" s="12"/>
      <c r="AB144" s="139"/>
      <c r="AC144" s="139"/>
      <c r="AD144" s="139"/>
      <c r="AE144" s="139"/>
      <c r="AF144" s="140"/>
      <c r="AG144" s="140"/>
      <c r="AH144" s="139"/>
      <c r="AI144" s="139"/>
      <c r="AJ144" s="139"/>
      <c r="AK144" s="139"/>
      <c r="AL144" s="140"/>
      <c r="AN144" s="139"/>
      <c r="AO144" s="139"/>
      <c r="AP144" s="139"/>
      <c r="AQ144" s="139"/>
      <c r="AR144" s="140"/>
    </row>
    <row r="145" spans="1:63" ht="12.75" x14ac:dyDescent="0.2">
      <c r="A145" s="45" t="s">
        <v>234</v>
      </c>
      <c r="B145" s="33"/>
      <c r="C145" s="67"/>
      <c r="D145" s="124"/>
      <c r="E145" s="95"/>
      <c r="F145" s="95"/>
      <c r="G145" s="95"/>
      <c r="H145" s="95"/>
      <c r="L145" s="33"/>
      <c r="M145" s="33"/>
      <c r="N145" s="124"/>
      <c r="O145" s="95"/>
      <c r="P145" s="95"/>
      <c r="R145" s="12"/>
      <c r="S145" s="12"/>
      <c r="T145" s="12"/>
      <c r="U145" s="137"/>
      <c r="V145" s="138"/>
      <c r="W145" s="137"/>
      <c r="X145" s="137"/>
      <c r="Y145" s="12"/>
      <c r="Z145" s="12"/>
      <c r="AA145" s="12"/>
      <c r="AB145" s="139"/>
      <c r="AC145" s="139"/>
      <c r="AD145" s="139"/>
      <c r="AE145" s="139"/>
      <c r="AF145" s="140"/>
      <c r="AG145" s="140"/>
      <c r="AH145" s="139"/>
      <c r="AI145" s="139"/>
      <c r="AJ145" s="139"/>
      <c r="AK145" s="139"/>
      <c r="AL145" s="140"/>
      <c r="AN145" s="139"/>
      <c r="AO145" s="139"/>
      <c r="AP145" s="139"/>
      <c r="AQ145" s="139"/>
      <c r="AR145" s="140"/>
    </row>
    <row r="146" spans="1:63" ht="12.75" x14ac:dyDescent="0.2">
      <c r="A146" s="45" t="s">
        <v>235</v>
      </c>
      <c r="R146" s="12"/>
      <c r="S146" s="12"/>
      <c r="T146" s="12"/>
      <c r="U146" s="12"/>
      <c r="V146" s="12"/>
      <c r="W146" s="12"/>
      <c r="X146" s="12"/>
      <c r="Y146" s="12"/>
      <c r="Z146" s="12"/>
      <c r="AA146" s="12"/>
      <c r="AB146" s="13"/>
      <c r="AC146" s="13"/>
      <c r="AD146" s="13"/>
      <c r="AE146" s="13"/>
      <c r="AF146" s="30"/>
      <c r="AG146" s="30"/>
      <c r="AH146" s="13"/>
      <c r="AI146" s="13"/>
      <c r="AJ146" s="13"/>
      <c r="AK146" s="13"/>
      <c r="AL146" s="30"/>
      <c r="AN146" s="13"/>
      <c r="AO146" s="13"/>
      <c r="AP146" s="13"/>
      <c r="AQ146" s="13"/>
      <c r="AR146" s="30"/>
    </row>
    <row r="147" spans="1:63" ht="12.75" x14ac:dyDescent="0.2">
      <c r="A147" s="45"/>
      <c r="R147" s="12"/>
      <c r="S147" s="12"/>
      <c r="T147" s="12"/>
      <c r="U147" s="12"/>
      <c r="V147" s="12"/>
      <c r="W147" s="12"/>
      <c r="X147" s="12"/>
      <c r="Y147" s="12"/>
      <c r="Z147" s="12"/>
      <c r="AA147" s="12"/>
      <c r="AB147" s="13"/>
      <c r="AC147" s="13"/>
      <c r="AD147" s="13"/>
      <c r="AE147" s="13"/>
      <c r="AF147" s="30"/>
      <c r="AG147" s="30"/>
      <c r="AH147" s="13"/>
      <c r="AI147" s="13"/>
      <c r="AJ147" s="13"/>
      <c r="AK147" s="13"/>
      <c r="AL147" s="30"/>
      <c r="AN147" s="13"/>
      <c r="AO147" s="13"/>
      <c r="AP147" s="13"/>
      <c r="AQ147" s="13"/>
      <c r="AR147" s="30"/>
    </row>
    <row r="148" spans="1:63" ht="15.75" customHeight="1" x14ac:dyDescent="0.2">
      <c r="A148" s="45" t="s">
        <v>239</v>
      </c>
    </row>
    <row r="149" spans="1:63" ht="15.75" customHeight="1" x14ac:dyDescent="0.2">
      <c r="B149" s="178" t="s">
        <v>31</v>
      </c>
      <c r="C149" s="34"/>
      <c r="AB149" s="56" t="s">
        <v>27</v>
      </c>
      <c r="AC149" s="12"/>
      <c r="AD149" s="12"/>
      <c r="AE149" s="12"/>
      <c r="AF149" s="12"/>
      <c r="AG149" s="12"/>
      <c r="AH149" s="56" t="s">
        <v>28</v>
      </c>
      <c r="AI149" s="12"/>
      <c r="AJ149" s="12"/>
      <c r="AK149" s="12"/>
      <c r="AL149" s="12"/>
      <c r="AR149" s="34" t="s">
        <v>52</v>
      </c>
      <c r="AX149" s="34" t="s">
        <v>53</v>
      </c>
      <c r="BE149" s="34" t="s">
        <v>65</v>
      </c>
    </row>
    <row r="150" spans="1:63" ht="15.75" customHeight="1" x14ac:dyDescent="0.2">
      <c r="B150" s="28" t="s">
        <v>61</v>
      </c>
      <c r="C150" s="28"/>
      <c r="D150" s="28" t="s">
        <v>29</v>
      </c>
      <c r="E150" s="57" t="s">
        <v>63</v>
      </c>
      <c r="F150" s="57" t="s">
        <v>72</v>
      </c>
      <c r="G150" s="57"/>
      <c r="H150" s="57"/>
      <c r="I150" s="101"/>
      <c r="J150" s="101"/>
      <c r="K150" s="101"/>
      <c r="L150" s="101"/>
      <c r="M150" s="101"/>
      <c r="N150" s="101"/>
      <c r="O150" s="101"/>
      <c r="P150" s="101"/>
      <c r="R150" s="28" t="s">
        <v>3</v>
      </c>
      <c r="S150" s="28"/>
      <c r="T150" s="57" t="s">
        <v>50</v>
      </c>
      <c r="U150" s="57" t="s">
        <v>70</v>
      </c>
      <c r="V150" s="28" t="s">
        <v>1</v>
      </c>
      <c r="W150" s="57" t="s">
        <v>62</v>
      </c>
      <c r="X150" s="57" t="s">
        <v>9</v>
      </c>
      <c r="Y150" s="57"/>
      <c r="AB150" s="28" t="s">
        <v>30</v>
      </c>
      <c r="AC150" s="28" t="s">
        <v>1</v>
      </c>
      <c r="AD150" s="57" t="s">
        <v>10</v>
      </c>
      <c r="AE150" s="57"/>
      <c r="AF150" s="57" t="s">
        <v>64</v>
      </c>
      <c r="AG150" s="60"/>
      <c r="AH150" s="28" t="s">
        <v>30</v>
      </c>
      <c r="AI150" s="28" t="s">
        <v>1</v>
      </c>
      <c r="AJ150" s="57" t="s">
        <v>10</v>
      </c>
      <c r="AK150" s="57"/>
      <c r="AL150" s="57" t="s">
        <v>64</v>
      </c>
      <c r="AM150" s="28" t="s">
        <v>58</v>
      </c>
      <c r="AN150" s="28"/>
      <c r="AO150" s="28" t="s">
        <v>59</v>
      </c>
      <c r="AP150" s="28" t="s">
        <v>60</v>
      </c>
      <c r="AR150" s="61" t="s">
        <v>54</v>
      </c>
      <c r="AS150" s="61" t="s">
        <v>57</v>
      </c>
      <c r="AT150" s="61" t="s">
        <v>55</v>
      </c>
      <c r="AU150" s="61" t="s">
        <v>57</v>
      </c>
      <c r="AV150" s="61" t="s">
        <v>56</v>
      </c>
      <c r="AW150" s="61" t="s">
        <v>57</v>
      </c>
      <c r="AX150" s="28" t="s">
        <v>54</v>
      </c>
      <c r="AY150" s="28" t="s">
        <v>57</v>
      </c>
      <c r="AZ150" s="28" t="s">
        <v>55</v>
      </c>
      <c r="BA150" s="28" t="s">
        <v>57</v>
      </c>
      <c r="BB150" s="28" t="s">
        <v>56</v>
      </c>
      <c r="BC150" s="28" t="s">
        <v>57</v>
      </c>
      <c r="BD150" s="60"/>
      <c r="BE150" s="61" t="s">
        <v>54</v>
      </c>
      <c r="BF150" s="61" t="s">
        <v>57</v>
      </c>
      <c r="BG150" s="61" t="s">
        <v>55</v>
      </c>
      <c r="BH150" s="61" t="s">
        <v>57</v>
      </c>
      <c r="BI150" s="61" t="s">
        <v>66</v>
      </c>
      <c r="BJ150" s="61" t="s">
        <v>56</v>
      </c>
      <c r="BK150" s="61" t="s">
        <v>57</v>
      </c>
    </row>
    <row r="151" spans="1:63" ht="15.75" customHeight="1" x14ac:dyDescent="0.2">
      <c r="B151" s="33">
        <v>100</v>
      </c>
      <c r="C151" s="33"/>
      <c r="D151" s="29">
        <v>0.7</v>
      </c>
      <c r="E151" s="50">
        <v>5</v>
      </c>
      <c r="F151">
        <v>10</v>
      </c>
      <c r="R151" s="12" t="s">
        <v>32</v>
      </c>
      <c r="S151" s="12"/>
      <c r="T151" s="13"/>
      <c r="U151" s="13"/>
      <c r="V151" s="13">
        <v>200</v>
      </c>
      <c r="W151" s="58" t="e">
        <f>V151/#REF!</f>
        <v>#REF!</v>
      </c>
      <c r="X151" s="58"/>
      <c r="Y151" s="58"/>
      <c r="AB151" s="31" t="e">
        <f>#REF!</f>
        <v>#REF!</v>
      </c>
      <c r="AC151" s="31">
        <f>V151*D151</f>
        <v>140</v>
      </c>
      <c r="AD151" s="63" t="e">
        <f>(#REF!+(#REF!*(F151/100)))/(1-#REF!/100)</f>
        <v>#REF!</v>
      </c>
      <c r="AE151" s="63"/>
      <c r="AF151" s="32" t="e">
        <f>AC151/AB151</f>
        <v>#REF!</v>
      </c>
      <c r="AG151" s="32"/>
      <c r="AH151" s="31" t="e">
        <f>#REF!</f>
        <v>#REF!</v>
      </c>
      <c r="AI151" s="31">
        <f>V151*(1-D151)</f>
        <v>60.000000000000007</v>
      </c>
      <c r="AJ151" s="63" t="e">
        <f>(#REF!+(#REF!*(F151/100)))/(1-#REF!/100)</f>
        <v>#REF!</v>
      </c>
      <c r="AK151" s="63"/>
      <c r="AL151" s="32" t="e">
        <f>AI151/AH151</f>
        <v>#REF!</v>
      </c>
      <c r="AM151" s="32" t="e">
        <f>AF151</f>
        <v>#REF!</v>
      </c>
      <c r="AN151" s="32"/>
      <c r="AO151" s="32" t="e">
        <f>AL151</f>
        <v>#REF!</v>
      </c>
      <c r="AP151" s="32" t="e">
        <f>AM151+AO151</f>
        <v>#REF!</v>
      </c>
      <c r="AR151" s="52">
        <v>0</v>
      </c>
      <c r="AS151" s="50">
        <v>0</v>
      </c>
      <c r="AT151" s="52">
        <v>0</v>
      </c>
      <c r="AU151" s="50">
        <v>0</v>
      </c>
      <c r="AV151" s="52">
        <v>0</v>
      </c>
      <c r="AW151" s="54">
        <v>0</v>
      </c>
      <c r="AX151" s="52">
        <v>0</v>
      </c>
      <c r="AY151" s="50">
        <v>0</v>
      </c>
      <c r="AZ151" s="52">
        <v>0</v>
      </c>
      <c r="BA151" s="50">
        <v>0</v>
      </c>
      <c r="BB151" s="52">
        <v>0</v>
      </c>
      <c r="BC151" s="50">
        <v>0</v>
      </c>
      <c r="BD151" s="50"/>
      <c r="BE151" s="52">
        <v>0</v>
      </c>
      <c r="BF151" s="50">
        <v>0</v>
      </c>
      <c r="BG151" s="52">
        <v>0</v>
      </c>
      <c r="BH151" s="50">
        <v>0</v>
      </c>
      <c r="BI151" s="52">
        <v>0</v>
      </c>
      <c r="BJ151" s="52">
        <v>0</v>
      </c>
      <c r="BK151" s="50">
        <v>0</v>
      </c>
    </row>
    <row r="152" spans="1:63" ht="15.75" customHeight="1" x14ac:dyDescent="0.2">
      <c r="B152" s="36">
        <v>100</v>
      </c>
      <c r="C152" s="36"/>
      <c r="D152" s="37">
        <v>0.7</v>
      </c>
      <c r="E152" s="51">
        <v>5</v>
      </c>
      <c r="F152" s="35">
        <v>10</v>
      </c>
      <c r="G152" s="35"/>
      <c r="H152" s="35"/>
      <c r="R152" s="41" t="s">
        <v>51</v>
      </c>
      <c r="S152" s="41"/>
      <c r="T152" s="42">
        <v>20</v>
      </c>
      <c r="U152" s="42"/>
      <c r="V152" s="42"/>
      <c r="W152" s="59"/>
      <c r="X152" s="59"/>
      <c r="Y152" s="59"/>
      <c r="AB152" s="38"/>
      <c r="AC152" s="38"/>
      <c r="AD152" s="65"/>
      <c r="AE152" s="65"/>
      <c r="AF152" s="39"/>
      <c r="AG152" s="32"/>
      <c r="AH152" s="38"/>
      <c r="AI152" s="38"/>
      <c r="AJ152" s="38"/>
      <c r="AK152" s="38"/>
      <c r="AL152" s="39"/>
      <c r="AM152" s="39" t="e">
        <f t="shared" ref="AM152:AP152" si="20">AM151</f>
        <v>#REF!</v>
      </c>
      <c r="AN152" s="39"/>
      <c r="AO152" s="39" t="e">
        <f t="shared" si="20"/>
        <v>#REF!</v>
      </c>
      <c r="AP152" s="39" t="e">
        <f t="shared" si="20"/>
        <v>#REF!</v>
      </c>
      <c r="AR152" s="40">
        <f>AR151</f>
        <v>0</v>
      </c>
      <c r="AS152" s="51">
        <f t="shared" ref="AS152:AU152" si="21">AS151</f>
        <v>0</v>
      </c>
      <c r="AT152" s="40">
        <f t="shared" si="21"/>
        <v>0</v>
      </c>
      <c r="AU152" s="51">
        <f t="shared" si="21"/>
        <v>0</v>
      </c>
      <c r="AV152" s="40">
        <f>AV151</f>
        <v>0</v>
      </c>
      <c r="AW152" s="55">
        <f>AV152/V151</f>
        <v>0</v>
      </c>
      <c r="AX152" s="40">
        <f>AX151</f>
        <v>0</v>
      </c>
      <c r="AY152" s="51">
        <f t="shared" ref="AY152" si="22">AY151</f>
        <v>0</v>
      </c>
      <c r="AZ152" s="40">
        <f t="shared" ref="AZ152" si="23">AZ151</f>
        <v>0</v>
      </c>
      <c r="BA152" s="51">
        <f t="shared" ref="BA152" si="24">BA151</f>
        <v>0</v>
      </c>
      <c r="BB152" s="40">
        <f>BB151</f>
        <v>0</v>
      </c>
      <c r="BC152" s="51">
        <f t="shared" ref="BC152" si="25">BC151</f>
        <v>0</v>
      </c>
      <c r="BD152" s="50"/>
      <c r="BE152" s="40">
        <f>AR152+AX152</f>
        <v>0</v>
      </c>
      <c r="BF152" s="51">
        <f t="shared" ref="BF152" si="26">BF151</f>
        <v>0</v>
      </c>
      <c r="BG152" s="40">
        <f t="shared" ref="BG152" si="27">BG151</f>
        <v>0</v>
      </c>
      <c r="BH152" s="51">
        <f t="shared" ref="BH152" si="28">BH151</f>
        <v>0</v>
      </c>
      <c r="BI152" s="65">
        <f>T152</f>
        <v>20</v>
      </c>
      <c r="BJ152" s="65">
        <f>BE152+BG152+BI152</f>
        <v>20</v>
      </c>
      <c r="BK152" s="55">
        <f>BJ152/(AC151+AI151)</f>
        <v>0.1</v>
      </c>
    </row>
    <row r="153" spans="1:63" ht="15.75" customHeight="1" x14ac:dyDescent="0.2">
      <c r="B153" s="33">
        <v>300</v>
      </c>
      <c r="C153" s="33"/>
      <c r="D153" s="29">
        <v>0.7</v>
      </c>
      <c r="E153" s="50">
        <v>5</v>
      </c>
      <c r="F153">
        <v>10</v>
      </c>
      <c r="R153" t="s">
        <v>33</v>
      </c>
      <c r="T153" s="33"/>
      <c r="U153" s="33"/>
      <c r="V153" s="33">
        <v>400</v>
      </c>
      <c r="W153" s="50" t="e">
        <f>V153/#REF!</f>
        <v>#REF!</v>
      </c>
      <c r="X153" s="50"/>
      <c r="Y153" s="50"/>
      <c r="AB153" s="31" t="e">
        <f>AB151</f>
        <v>#REF!</v>
      </c>
      <c r="AC153" s="31">
        <v>140</v>
      </c>
      <c r="AD153" s="63" t="e">
        <f>(#REF!+(#REF!*(F151/100)))/(1-#REF!/100)</f>
        <v>#REF!</v>
      </c>
      <c r="AE153" s="63"/>
      <c r="AF153" s="32">
        <v>1.4</v>
      </c>
      <c r="AG153" s="32"/>
      <c r="AH153" s="31">
        <v>100</v>
      </c>
      <c r="AI153" s="31">
        <v>60.000000000000007</v>
      </c>
      <c r="AJ153" s="63" t="e">
        <f>(#REF!+(#REF!*(F151/100)))/(1-#REF!/100)</f>
        <v>#REF!</v>
      </c>
      <c r="AK153" s="63"/>
      <c r="AL153" s="32">
        <v>0.60000000000000009</v>
      </c>
      <c r="AM153" s="32" t="e">
        <f>AM152+AF154</f>
        <v>#REF!</v>
      </c>
      <c r="AN153" s="32"/>
      <c r="AO153" s="32" t="e">
        <f>AO152</f>
        <v>#REF!</v>
      </c>
      <c r="AP153" s="32" t="e">
        <f>AM153+AO153</f>
        <v>#REF!</v>
      </c>
      <c r="AR153" s="52">
        <f>AR152</f>
        <v>0</v>
      </c>
      <c r="AS153" s="50">
        <f>AS152</f>
        <v>0</v>
      </c>
      <c r="AT153" s="52">
        <f>AT152</f>
        <v>0</v>
      </c>
      <c r="AU153" s="50">
        <f>AU152</f>
        <v>0</v>
      </c>
      <c r="AV153" s="52">
        <f>AV152</f>
        <v>0</v>
      </c>
      <c r="AW153" s="64">
        <f>AV153 / (V151+V153)</f>
        <v>0</v>
      </c>
      <c r="AX153" s="52" t="e">
        <f>(B153*AM153)-(AC153+AC154)</f>
        <v>#REF!</v>
      </c>
      <c r="AY153" s="54" t="e">
        <f>AX153/(AC153+AC154)</f>
        <v>#REF!</v>
      </c>
      <c r="AZ153" s="52" t="e">
        <f>(AO153*B153)-AI153</f>
        <v>#REF!</v>
      </c>
      <c r="BA153" s="53" t="e">
        <f>AZ153/(AH153*AL153)</f>
        <v>#REF!</v>
      </c>
      <c r="BB153" s="52" t="e">
        <f>AX153+AZ153</f>
        <v>#REF!</v>
      </c>
      <c r="BC153" s="62" t="e">
        <f>BB153/(AC153+AC154+AI153)</f>
        <v>#REF!</v>
      </c>
      <c r="BD153" s="62"/>
      <c r="BE153" s="52" t="e">
        <f>AR153+AX153</f>
        <v>#REF!</v>
      </c>
      <c r="BF153" s="54" t="e">
        <f>AY153</f>
        <v>#REF!</v>
      </c>
      <c r="BG153" s="52" t="e">
        <f>AT153+AZ153</f>
        <v>#REF!</v>
      </c>
      <c r="BH153" s="53" t="e">
        <f>BG153/AI153</f>
        <v>#REF!</v>
      </c>
      <c r="BI153" s="63">
        <f>BI152</f>
        <v>20</v>
      </c>
      <c r="BJ153" s="52" t="e">
        <f>BE153+BG153+BI153</f>
        <v>#REF!</v>
      </c>
      <c r="BK153" s="54" t="e">
        <f>BJ153/(AC153+AC154+AI153)</f>
        <v>#REF!</v>
      </c>
    </row>
    <row r="154" spans="1:63" ht="15.75" customHeight="1" x14ac:dyDescent="0.2">
      <c r="E154" s="50"/>
      <c r="W154" s="50"/>
      <c r="X154" s="50"/>
      <c r="Y154" s="50"/>
      <c r="AB154" s="31" t="e">
        <f>#REF!</f>
        <v>#REF!</v>
      </c>
      <c r="AC154" s="31">
        <f>V153</f>
        <v>400</v>
      </c>
      <c r="AD154" s="63" t="e">
        <f>(#REF!+(#REF!*(F153/100)))/(1-#REF!/100)</f>
        <v>#REF!</v>
      </c>
      <c r="AE154" s="63"/>
      <c r="AF154" s="32" t="e">
        <f>AC154/AB154</f>
        <v>#REF!</v>
      </c>
      <c r="AG154" s="32"/>
      <c r="AH154" s="49" t="s">
        <v>34</v>
      </c>
      <c r="AI154" s="49" t="s">
        <v>34</v>
      </c>
      <c r="AJ154" s="49" t="s">
        <v>34</v>
      </c>
      <c r="AK154" s="49"/>
      <c r="AL154" s="49" t="s">
        <v>34</v>
      </c>
      <c r="AS154" s="50"/>
      <c r="AU154" s="50"/>
      <c r="AW154" s="54"/>
      <c r="AX154" s="31"/>
      <c r="AY154" s="54"/>
      <c r="BA154" s="50"/>
      <c r="BC154" s="50"/>
      <c r="BD154" s="50"/>
      <c r="BF154" s="50"/>
      <c r="BH154" s="50"/>
      <c r="BI154" s="63"/>
      <c r="BK154" s="50"/>
    </row>
    <row r="155" spans="1:63" ht="15.75" customHeight="1" x14ac:dyDescent="0.2">
      <c r="B155" s="36">
        <v>910</v>
      </c>
      <c r="C155" s="36"/>
      <c r="D155" s="37">
        <v>0.7</v>
      </c>
      <c r="E155" s="51">
        <v>5</v>
      </c>
      <c r="F155" s="35">
        <v>10</v>
      </c>
      <c r="G155" s="35"/>
      <c r="H155" s="35"/>
      <c r="R155" s="35" t="s">
        <v>35</v>
      </c>
      <c r="S155" s="35"/>
      <c r="T155" s="36"/>
      <c r="U155" s="36"/>
      <c r="V155" s="36">
        <v>350</v>
      </c>
      <c r="W155" s="51" t="e">
        <f>V155/#REF!</f>
        <v>#REF!</v>
      </c>
      <c r="X155" s="51"/>
      <c r="Y155" s="51"/>
      <c r="AB155" s="38" t="e">
        <f>AB153</f>
        <v>#REF!</v>
      </c>
      <c r="AC155" s="38">
        <v>140</v>
      </c>
      <c r="AD155" s="65" t="e">
        <f>AD153</f>
        <v>#REF!</v>
      </c>
      <c r="AE155" s="65"/>
      <c r="AF155" s="39">
        <v>1.4</v>
      </c>
      <c r="AG155" s="32"/>
      <c r="AH155" s="38">
        <v>100</v>
      </c>
      <c r="AI155" s="38">
        <v>60.000000000000007</v>
      </c>
      <c r="AJ155" s="65" t="e">
        <f>AJ153</f>
        <v>#REF!</v>
      </c>
      <c r="AK155" s="65"/>
      <c r="AL155" s="39">
        <v>0.60000000000000009</v>
      </c>
      <c r="AM155" s="39" t="e">
        <f>AM153</f>
        <v>#REF!</v>
      </c>
      <c r="AN155" s="39"/>
      <c r="AO155" s="39" t="e">
        <f>AO153+AL156</f>
        <v>#REF!</v>
      </c>
      <c r="AP155" s="39" t="e">
        <f>AM155+AO155</f>
        <v>#REF!</v>
      </c>
      <c r="AR155" s="40">
        <f t="shared" ref="AR155:AW155" si="29">AR153</f>
        <v>0</v>
      </c>
      <c r="AS155" s="51">
        <f t="shared" si="29"/>
        <v>0</v>
      </c>
      <c r="AT155" s="40">
        <f t="shared" si="29"/>
        <v>0</v>
      </c>
      <c r="AU155" s="51">
        <f t="shared" si="29"/>
        <v>0</v>
      </c>
      <c r="AV155" s="40">
        <f t="shared" si="29"/>
        <v>0</v>
      </c>
      <c r="AW155" s="55">
        <f t="shared" si="29"/>
        <v>0</v>
      </c>
      <c r="AX155" s="40" t="e">
        <f>(B155*AM155)-(AC155+AC156)</f>
        <v>#REF!</v>
      </c>
      <c r="AY155" s="55" t="e">
        <f>AX155/(AC155+AC156)</f>
        <v>#REF!</v>
      </c>
      <c r="AZ155" s="40" t="e">
        <f>(AO155*B155)-(AI155+AI156)</f>
        <v>#REF!</v>
      </c>
      <c r="BA155" s="55" t="e">
        <f>AZ155/(AI155+AI156)</f>
        <v>#REF!</v>
      </c>
      <c r="BB155" s="40" t="e">
        <f>AX155+AZ155</f>
        <v>#REF!</v>
      </c>
      <c r="BC155" s="55" t="e">
        <f>BB155/(AC155+AC156+AI155+AI156)</f>
        <v>#REF!</v>
      </c>
      <c r="BD155" s="50"/>
      <c r="BE155" s="40" t="e">
        <f>AR155+AX155</f>
        <v>#REF!</v>
      </c>
      <c r="BF155" s="55" t="e">
        <f>AY155</f>
        <v>#REF!</v>
      </c>
      <c r="BG155" s="40" t="e">
        <f>AT155+AZ155</f>
        <v>#REF!</v>
      </c>
      <c r="BH155" s="55" t="e">
        <f>BG155/(AI155+AI156)</f>
        <v>#REF!</v>
      </c>
      <c r="BI155" s="65">
        <f>BI153</f>
        <v>20</v>
      </c>
      <c r="BJ155" s="40" t="e">
        <f>BE155+BG155+BI155</f>
        <v>#REF!</v>
      </c>
      <c r="BK155" s="55" t="e">
        <f>BJ155/(AC155+AC156+AI155+AI156)</f>
        <v>#REF!</v>
      </c>
    </row>
    <row r="156" spans="1:63" ht="15.75" customHeight="1" x14ac:dyDescent="0.2">
      <c r="B156" s="35"/>
      <c r="C156" s="35"/>
      <c r="D156" s="35"/>
      <c r="E156" s="51"/>
      <c r="F156" s="35"/>
      <c r="G156" s="35"/>
      <c r="H156" s="35"/>
      <c r="R156" s="35"/>
      <c r="S156" s="35"/>
      <c r="T156" s="35"/>
      <c r="U156" s="35"/>
      <c r="V156" s="35"/>
      <c r="W156" s="51"/>
      <c r="X156" s="51"/>
      <c r="Y156" s="51"/>
      <c r="AB156" s="38" t="e">
        <f>AB154</f>
        <v>#REF!</v>
      </c>
      <c r="AC156" s="38">
        <v>400</v>
      </c>
      <c r="AD156" s="65" t="e">
        <f>AD154</f>
        <v>#REF!</v>
      </c>
      <c r="AE156" s="65"/>
      <c r="AF156" s="39">
        <v>1.6</v>
      </c>
      <c r="AG156" s="32"/>
      <c r="AH156" s="36" t="e">
        <f>#REF!</f>
        <v>#REF!</v>
      </c>
      <c r="AI156" s="36">
        <f>V155</f>
        <v>350</v>
      </c>
      <c r="AJ156" s="65" t="e">
        <f>(#REF!+(#REF!*(F155/100)))/(1-#REF!/100)</f>
        <v>#REF!</v>
      </c>
      <c r="AK156" s="65"/>
      <c r="AL156" s="39" t="e">
        <f>AI156/AH156</f>
        <v>#REF!</v>
      </c>
      <c r="AS156" s="50"/>
      <c r="AU156" s="50"/>
      <c r="AW156" s="50"/>
      <c r="AY156" s="50"/>
      <c r="BA156" s="50"/>
      <c r="BC156" s="50"/>
      <c r="BD156" s="50"/>
      <c r="BF156" s="50"/>
      <c r="BH156" s="50"/>
      <c r="BI156" s="63"/>
      <c r="BK156" s="50"/>
    </row>
    <row r="157" spans="1:63" ht="15.75" customHeight="1" x14ac:dyDescent="0.2">
      <c r="B157" s="33">
        <v>910</v>
      </c>
      <c r="C157" s="33"/>
      <c r="D157" s="29">
        <v>0.7</v>
      </c>
      <c r="E157" s="50">
        <v>5</v>
      </c>
      <c r="F157">
        <v>10</v>
      </c>
      <c r="R157" t="s">
        <v>49</v>
      </c>
      <c r="T157" s="33">
        <v>10</v>
      </c>
      <c r="U157" s="33"/>
      <c r="W157" s="50"/>
      <c r="X157" s="50"/>
      <c r="Y157" s="50"/>
      <c r="AB157" s="31"/>
      <c r="AC157" s="31"/>
      <c r="AD157" s="31"/>
      <c r="AE157" s="31"/>
      <c r="AF157" s="31"/>
      <c r="AG157" s="31"/>
      <c r="AH157" s="33"/>
      <c r="AI157" s="33"/>
      <c r="AJ157" s="31"/>
      <c r="AK157" s="31"/>
      <c r="AL157" s="32"/>
      <c r="AM157" s="32" t="e">
        <f>AM155</f>
        <v>#REF!</v>
      </c>
      <c r="AN157" s="32"/>
      <c r="AO157" s="32" t="e">
        <f>AO155+AL158</f>
        <v>#REF!</v>
      </c>
      <c r="AP157" s="32" t="e">
        <f>AM157+AO157</f>
        <v>#REF!</v>
      </c>
      <c r="AR157" s="52">
        <f t="shared" ref="AR157:AW158" si="30">AR155</f>
        <v>0</v>
      </c>
      <c r="AS157" s="50">
        <f t="shared" si="30"/>
        <v>0</v>
      </c>
      <c r="AT157" s="52">
        <f t="shared" si="30"/>
        <v>0</v>
      </c>
      <c r="AU157" s="50">
        <f t="shared" si="30"/>
        <v>0</v>
      </c>
      <c r="AV157" s="52">
        <f t="shared" si="30"/>
        <v>0</v>
      </c>
      <c r="AW157" s="62">
        <f t="shared" si="30"/>
        <v>0</v>
      </c>
      <c r="AX157" s="52" t="e">
        <f t="shared" ref="AX157:BC157" si="31">AX155</f>
        <v>#REF!</v>
      </c>
      <c r="AY157" s="62" t="e">
        <f t="shared" si="31"/>
        <v>#REF!</v>
      </c>
      <c r="AZ157" s="52" t="e">
        <f t="shared" si="31"/>
        <v>#REF!</v>
      </c>
      <c r="BA157" s="62" t="e">
        <f t="shared" si="31"/>
        <v>#REF!</v>
      </c>
      <c r="BB157" s="52" t="e">
        <f t="shared" si="31"/>
        <v>#REF!</v>
      </c>
      <c r="BC157" s="62" t="e">
        <f t="shared" si="31"/>
        <v>#REF!</v>
      </c>
      <c r="BD157" s="50"/>
      <c r="BE157" s="52" t="e">
        <f>BE155</f>
        <v>#REF!</v>
      </c>
      <c r="BF157" s="62" t="e">
        <f>BF155</f>
        <v>#REF!</v>
      </c>
      <c r="BG157" s="52" t="e">
        <f>BG155</f>
        <v>#REF!</v>
      </c>
      <c r="BH157" s="62" t="e">
        <f>BH155</f>
        <v>#REF!</v>
      </c>
      <c r="BI157" s="63">
        <f>BI155+T157</f>
        <v>30</v>
      </c>
      <c r="BJ157" s="52" t="e">
        <f>BE157+BG157+BI157</f>
        <v>#REF!</v>
      </c>
      <c r="BK157" s="62" t="e">
        <f>BJ157/(AC155+AC156+AI155+AI156)</f>
        <v>#REF!</v>
      </c>
    </row>
    <row r="158" spans="1:63" ht="15.75" customHeight="1" x14ac:dyDescent="0.2">
      <c r="B158" s="36">
        <v>510</v>
      </c>
      <c r="C158" s="36"/>
      <c r="D158" s="37">
        <v>0.7</v>
      </c>
      <c r="E158" s="51">
        <v>5</v>
      </c>
      <c r="F158" s="35">
        <v>10</v>
      </c>
      <c r="G158" s="35"/>
      <c r="H158" s="35"/>
      <c r="R158" s="35" t="s">
        <v>36</v>
      </c>
      <c r="S158" s="35"/>
      <c r="T158" s="40"/>
      <c r="U158" s="40"/>
      <c r="V158" s="36">
        <v>100</v>
      </c>
      <c r="W158" s="51" t="e">
        <f>V158/#REF!</f>
        <v>#REF!</v>
      </c>
      <c r="X158" s="51"/>
      <c r="Y158" s="51"/>
      <c r="AB158" s="38">
        <v>100</v>
      </c>
      <c r="AC158" s="38">
        <v>140</v>
      </c>
      <c r="AD158" s="38" t="e">
        <f>AD155</f>
        <v>#REF!</v>
      </c>
      <c r="AE158" s="38"/>
      <c r="AF158" s="39">
        <v>1.4</v>
      </c>
      <c r="AG158" s="32"/>
      <c r="AH158" s="38">
        <v>100</v>
      </c>
      <c r="AI158" s="38">
        <v>60.000000000000007</v>
      </c>
      <c r="AJ158" s="38" t="e">
        <f>AJ155</f>
        <v>#REF!</v>
      </c>
      <c r="AK158" s="38"/>
      <c r="AL158" s="39">
        <v>0.60000000000000009</v>
      </c>
      <c r="AM158" s="39" t="e">
        <f>AF158+AF159+AF160</f>
        <v>#REF!</v>
      </c>
      <c r="AN158" s="39"/>
      <c r="AO158" s="39" t="e">
        <f>AL158+AL159+AL160</f>
        <v>#REF!</v>
      </c>
      <c r="AP158" s="39" t="e">
        <f>AM158+AO158</f>
        <v>#REF!</v>
      </c>
      <c r="AR158" s="40">
        <f t="shared" si="30"/>
        <v>0</v>
      </c>
      <c r="AS158" s="51">
        <f t="shared" si="30"/>
        <v>0</v>
      </c>
      <c r="AT158" s="40">
        <f t="shared" si="30"/>
        <v>0</v>
      </c>
      <c r="AU158" s="51">
        <f t="shared" si="30"/>
        <v>0</v>
      </c>
      <c r="AV158" s="40">
        <f t="shared" si="30"/>
        <v>0</v>
      </c>
      <c r="AW158" s="55">
        <f t="shared" si="30"/>
        <v>0</v>
      </c>
      <c r="AX158" s="40" t="e">
        <f>(B158*AM158)-(AC158+AC159+AC160)</f>
        <v>#REF!</v>
      </c>
      <c r="AY158" s="55" t="e">
        <f>AX158/(AC158+AC159+AC160)</f>
        <v>#REF!</v>
      </c>
      <c r="AZ158" s="40" t="e">
        <f>(AO158*B158)-(AI158+AI159+AI160)</f>
        <v>#REF!</v>
      </c>
      <c r="BA158" s="55" t="e">
        <f>AZ158/(AI158+AI159+AI160)</f>
        <v>#REF!</v>
      </c>
      <c r="BB158" s="40" t="e">
        <f>AX158+AZ158</f>
        <v>#REF!</v>
      </c>
      <c r="BC158" s="55" t="e">
        <f>BB158/(AC158+AC159+AC160+AI158+AI159+AI160)</f>
        <v>#REF!</v>
      </c>
      <c r="BD158" s="50"/>
      <c r="BE158" s="40" t="e">
        <f>AR158+AX158</f>
        <v>#REF!</v>
      </c>
      <c r="BF158" s="55" t="e">
        <f>AY158</f>
        <v>#REF!</v>
      </c>
      <c r="BG158" s="40" t="e">
        <f>AT158+AZ158</f>
        <v>#REF!</v>
      </c>
      <c r="BH158" s="55" t="e">
        <f>BG158/(AI158+AI159+AI160)</f>
        <v>#REF!</v>
      </c>
      <c r="BI158" s="65">
        <f>BI157</f>
        <v>30</v>
      </c>
      <c r="BJ158" s="40" t="e">
        <f>BE158+BG158+BI158</f>
        <v>#REF!</v>
      </c>
      <c r="BK158" s="55" t="e">
        <f>BJ158/(AC158+AC159+AC160+AI158+AI159+AI160)</f>
        <v>#REF!</v>
      </c>
    </row>
    <row r="159" spans="1:63" ht="15.75" customHeight="1" x14ac:dyDescent="0.2">
      <c r="B159" s="35"/>
      <c r="C159" s="35"/>
      <c r="D159" s="35"/>
      <c r="E159" s="51"/>
      <c r="F159" s="35"/>
      <c r="G159" s="35"/>
      <c r="H159" s="35"/>
      <c r="R159" s="35"/>
      <c r="S159" s="35"/>
      <c r="T159" s="35"/>
      <c r="U159" s="35"/>
      <c r="V159" s="35"/>
      <c r="W159" s="51"/>
      <c r="X159" s="51"/>
      <c r="Y159" s="51"/>
      <c r="AB159" s="38">
        <v>250</v>
      </c>
      <c r="AC159" s="38">
        <v>400</v>
      </c>
      <c r="AD159" s="38" t="e">
        <f>AD156</f>
        <v>#REF!</v>
      </c>
      <c r="AE159" s="38"/>
      <c r="AF159" s="39">
        <v>1.6</v>
      </c>
      <c r="AG159" s="32"/>
      <c r="AH159" s="36">
        <v>900</v>
      </c>
      <c r="AI159" s="36">
        <v>350</v>
      </c>
      <c r="AJ159" s="38" t="e">
        <f>AJ156</f>
        <v>#REF!</v>
      </c>
      <c r="AK159" s="38"/>
      <c r="AL159" s="39">
        <v>0.3888888888888889</v>
      </c>
      <c r="AM159" s="35"/>
      <c r="AN159" s="35"/>
      <c r="AO159" s="35"/>
      <c r="AP159" s="35"/>
      <c r="AR159" s="35"/>
      <c r="AS159" s="51"/>
      <c r="AT159" s="35"/>
      <c r="AU159" s="51"/>
      <c r="AV159" s="35"/>
      <c r="AW159" s="51"/>
      <c r="AX159" s="35"/>
      <c r="AY159" s="51"/>
      <c r="AZ159" s="35"/>
      <c r="BA159" s="51"/>
      <c r="BB159" s="35"/>
      <c r="BC159" s="51"/>
      <c r="BD159" s="50"/>
      <c r="BE159" s="35"/>
      <c r="BF159" s="51"/>
      <c r="BG159" s="35"/>
      <c r="BH159" s="51"/>
      <c r="BI159" s="35"/>
      <c r="BJ159" s="35"/>
      <c r="BK159" s="51"/>
    </row>
    <row r="160" spans="1:63" ht="15.75" customHeight="1" x14ac:dyDescent="0.2">
      <c r="B160" s="35"/>
      <c r="C160" s="35"/>
      <c r="D160" s="35"/>
      <c r="E160" s="51"/>
      <c r="F160" s="35"/>
      <c r="G160" s="35"/>
      <c r="H160" s="35"/>
      <c r="R160" s="35"/>
      <c r="S160" s="35"/>
      <c r="T160" s="35"/>
      <c r="U160" s="35"/>
      <c r="V160" s="35"/>
      <c r="W160" s="51"/>
      <c r="X160" s="51"/>
      <c r="Y160" s="51"/>
      <c r="AB160" s="40" t="e">
        <f>#REF!</f>
        <v>#REF!</v>
      </c>
      <c r="AC160" s="36">
        <f>V158*D158</f>
        <v>70</v>
      </c>
      <c r="AD160" s="65" t="e">
        <f>(#REF!+(#REF!*(F158/100)))/(1-#REF!/100)</f>
        <v>#REF!</v>
      </c>
      <c r="AE160" s="65"/>
      <c r="AF160" s="39" t="e">
        <f>AC160/AB160</f>
        <v>#REF!</v>
      </c>
      <c r="AG160" s="31"/>
      <c r="AH160" s="40" t="e">
        <f>#REF!</f>
        <v>#REF!</v>
      </c>
      <c r="AI160" s="36">
        <f>V158*(1-D158)</f>
        <v>30.000000000000004</v>
      </c>
      <c r="AJ160" s="65" t="e">
        <f>(#REF!+(#REF!*(F158/100)))/(1-#REF!/100)</f>
        <v>#REF!</v>
      </c>
      <c r="AK160" s="65"/>
      <c r="AL160" s="39" t="e">
        <f>AI160/AH160</f>
        <v>#REF!</v>
      </c>
      <c r="AM160" s="35"/>
      <c r="AN160" s="35"/>
      <c r="AO160" s="35"/>
      <c r="AP160" s="35"/>
      <c r="AR160" s="35"/>
      <c r="AS160" s="51"/>
      <c r="AT160" s="35"/>
      <c r="AU160" s="51"/>
      <c r="AV160" s="35"/>
      <c r="AW160" s="51"/>
      <c r="AX160" s="35"/>
      <c r="AY160" s="51"/>
      <c r="AZ160" s="35"/>
      <c r="BA160" s="51"/>
      <c r="BB160" s="35"/>
      <c r="BC160" s="51"/>
      <c r="BD160" s="50"/>
      <c r="BE160" s="35"/>
      <c r="BF160" s="51"/>
      <c r="BG160" s="35"/>
      <c r="BH160" s="51"/>
      <c r="BI160" s="35"/>
      <c r="BJ160" s="35"/>
      <c r="BK160" s="51"/>
    </row>
    <row r="161" spans="2:63" ht="15.75" customHeight="1" x14ac:dyDescent="0.2">
      <c r="E161" s="50"/>
      <c r="W161" s="50"/>
      <c r="X161" s="50"/>
      <c r="Y161" s="50"/>
      <c r="AB161" s="52"/>
      <c r="AC161" s="33"/>
      <c r="AD161" s="33"/>
      <c r="AE161" s="33"/>
      <c r="AF161" s="32"/>
      <c r="AG161" s="31"/>
      <c r="AH161" s="52"/>
      <c r="AI161" s="33"/>
      <c r="AJ161" s="33"/>
      <c r="AK161" s="33"/>
      <c r="AL161" s="32"/>
      <c r="AS161" s="50"/>
      <c r="AU161" s="50"/>
      <c r="AW161" s="50"/>
      <c r="AY161" s="50"/>
      <c r="BA161" s="50"/>
      <c r="BC161" s="50"/>
      <c r="BD161" s="50"/>
      <c r="BF161" s="50"/>
      <c r="BH161" s="50"/>
      <c r="BK161" s="50"/>
    </row>
    <row r="162" spans="2:63" ht="15.75" customHeight="1" x14ac:dyDescent="0.2">
      <c r="B162" s="178" t="s">
        <v>67</v>
      </c>
      <c r="C162" s="34"/>
      <c r="AB162" s="56" t="s">
        <v>27</v>
      </c>
      <c r="AC162" s="12"/>
      <c r="AD162" s="12"/>
      <c r="AE162" s="12"/>
      <c r="AF162" s="12"/>
      <c r="AG162" s="12"/>
      <c r="AH162" s="56" t="s">
        <v>28</v>
      </c>
      <c r="AI162" s="12"/>
      <c r="AJ162" s="12"/>
      <c r="AK162" s="12"/>
      <c r="AL162" s="12"/>
      <c r="AR162" s="34" t="s">
        <v>52</v>
      </c>
      <c r="AX162" s="34" t="s">
        <v>53</v>
      </c>
      <c r="BE162" s="34" t="s">
        <v>65</v>
      </c>
    </row>
    <row r="163" spans="2:63" ht="15.75" customHeight="1" x14ac:dyDescent="0.2">
      <c r="B163" s="28" t="s">
        <v>61</v>
      </c>
      <c r="C163" s="28"/>
      <c r="D163" s="28" t="s">
        <v>29</v>
      </c>
      <c r="E163" s="57" t="s">
        <v>63</v>
      </c>
      <c r="F163" s="57" t="s">
        <v>72</v>
      </c>
      <c r="G163" s="57"/>
      <c r="H163" s="57"/>
      <c r="I163" s="101"/>
      <c r="J163" s="101"/>
      <c r="K163" s="101"/>
      <c r="L163" s="101"/>
      <c r="M163" s="101"/>
      <c r="N163" s="101"/>
      <c r="O163" s="101"/>
      <c r="P163" s="101"/>
      <c r="R163" s="28" t="s">
        <v>3</v>
      </c>
      <c r="S163" s="28"/>
      <c r="T163" s="57" t="s">
        <v>50</v>
      </c>
      <c r="U163" s="57" t="s">
        <v>70</v>
      </c>
      <c r="V163" s="28" t="s">
        <v>1</v>
      </c>
      <c r="W163" s="57" t="s">
        <v>62</v>
      </c>
      <c r="X163" s="57" t="s">
        <v>9</v>
      </c>
      <c r="Y163" s="57"/>
      <c r="AB163" s="28" t="s">
        <v>30</v>
      </c>
      <c r="AC163" s="28" t="s">
        <v>1</v>
      </c>
      <c r="AD163" s="57" t="s">
        <v>10</v>
      </c>
      <c r="AE163" s="57"/>
      <c r="AF163" s="57" t="s">
        <v>64</v>
      </c>
      <c r="AG163" s="60"/>
      <c r="AH163" s="28" t="s">
        <v>30</v>
      </c>
      <c r="AI163" s="28" t="s">
        <v>1</v>
      </c>
      <c r="AJ163" s="57" t="s">
        <v>10</v>
      </c>
      <c r="AK163" s="57"/>
      <c r="AL163" s="57" t="s">
        <v>64</v>
      </c>
      <c r="AM163" s="28" t="s">
        <v>58</v>
      </c>
      <c r="AN163" s="28"/>
      <c r="AO163" s="28" t="s">
        <v>59</v>
      </c>
      <c r="AP163" s="28" t="s">
        <v>60</v>
      </c>
      <c r="AR163" s="61" t="s">
        <v>54</v>
      </c>
      <c r="AS163" s="61" t="s">
        <v>57</v>
      </c>
      <c r="AT163" s="61" t="s">
        <v>55</v>
      </c>
      <c r="AU163" s="61" t="s">
        <v>57</v>
      </c>
      <c r="AV163" s="61" t="s">
        <v>56</v>
      </c>
      <c r="AW163" s="61" t="s">
        <v>57</v>
      </c>
      <c r="AX163" s="28" t="s">
        <v>54</v>
      </c>
      <c r="AY163" s="28" t="s">
        <v>57</v>
      </c>
      <c r="AZ163" s="28" t="s">
        <v>55</v>
      </c>
      <c r="BA163" s="28" t="s">
        <v>57</v>
      </c>
      <c r="BB163" s="28" t="s">
        <v>56</v>
      </c>
      <c r="BC163" s="28" t="s">
        <v>57</v>
      </c>
      <c r="BD163" s="60"/>
      <c r="BE163" s="61" t="s">
        <v>54</v>
      </c>
      <c r="BF163" s="61" t="s">
        <v>57</v>
      </c>
      <c r="BG163" s="61" t="s">
        <v>55</v>
      </c>
      <c r="BH163" s="61" t="s">
        <v>57</v>
      </c>
      <c r="BI163" s="61" t="s">
        <v>66</v>
      </c>
      <c r="BJ163" s="61" t="s">
        <v>56</v>
      </c>
      <c r="BK163" s="61" t="s">
        <v>57</v>
      </c>
    </row>
    <row r="164" spans="2:63" ht="15.75" customHeight="1" x14ac:dyDescent="0.2">
      <c r="B164" s="33">
        <v>200</v>
      </c>
      <c r="C164" s="33"/>
      <c r="D164" s="29">
        <v>0.6</v>
      </c>
      <c r="E164" s="50">
        <v>5</v>
      </c>
      <c r="F164">
        <v>10</v>
      </c>
      <c r="R164" s="12" t="s">
        <v>68</v>
      </c>
      <c r="S164" s="12"/>
      <c r="T164" s="13"/>
      <c r="U164" s="13"/>
      <c r="V164" s="13">
        <v>400</v>
      </c>
      <c r="W164" s="58" t="e">
        <f>V164/#REF!</f>
        <v>#REF!</v>
      </c>
      <c r="X164" s="58"/>
      <c r="Y164" s="58"/>
      <c r="AB164" s="31" t="e">
        <f>#REF!</f>
        <v>#REF!</v>
      </c>
      <c r="AC164" s="31">
        <f>V164*D164</f>
        <v>240</v>
      </c>
      <c r="AD164" s="63" t="e">
        <f>(#REF!+(#REF!*(F164/100)))/(1-#REF!/100)</f>
        <v>#REF!</v>
      </c>
      <c r="AE164" s="63"/>
      <c r="AF164" s="32" t="e">
        <f>AC164/AB164</f>
        <v>#REF!</v>
      </c>
      <c r="AG164" s="32"/>
      <c r="AH164" s="31" t="e">
        <f>#REF!</f>
        <v>#REF!</v>
      </c>
      <c r="AI164" s="31">
        <f>V164*(1-D164)</f>
        <v>160</v>
      </c>
      <c r="AJ164" s="63" t="e">
        <f>(#REF!+(#REF!*(F164/100)))/(1-#REF!/100)</f>
        <v>#REF!</v>
      </c>
      <c r="AK164" s="63"/>
      <c r="AL164" s="32" t="e">
        <f>AI164/AH164</f>
        <v>#REF!</v>
      </c>
      <c r="AM164" s="32" t="e">
        <f>AF164</f>
        <v>#REF!</v>
      </c>
      <c r="AN164" s="32"/>
      <c r="AO164" s="32" t="e">
        <f>AL164</f>
        <v>#REF!</v>
      </c>
      <c r="AP164" s="32" t="e">
        <f>AM164+AO164</f>
        <v>#REF!</v>
      </c>
      <c r="AR164" s="52">
        <v>0</v>
      </c>
      <c r="AS164" s="50">
        <v>0</v>
      </c>
      <c r="AT164" s="52">
        <v>0</v>
      </c>
      <c r="AU164" s="50">
        <v>0</v>
      </c>
      <c r="AV164" s="52">
        <v>0</v>
      </c>
      <c r="AW164" s="54">
        <v>0</v>
      </c>
      <c r="AX164" s="52">
        <v>0</v>
      </c>
      <c r="AY164" s="50">
        <v>0</v>
      </c>
      <c r="AZ164" s="52">
        <v>0</v>
      </c>
      <c r="BA164" s="50">
        <v>0</v>
      </c>
      <c r="BB164" s="52">
        <v>0</v>
      </c>
      <c r="BC164" s="50">
        <v>0</v>
      </c>
      <c r="BD164" s="50"/>
      <c r="BE164" s="52">
        <v>0</v>
      </c>
      <c r="BF164" s="50">
        <v>0</v>
      </c>
      <c r="BG164" s="52">
        <v>0</v>
      </c>
      <c r="BH164" s="50">
        <v>0</v>
      </c>
      <c r="BI164" s="52">
        <v>0</v>
      </c>
      <c r="BJ164" s="52">
        <v>0</v>
      </c>
      <c r="BK164" s="50">
        <v>0</v>
      </c>
    </row>
    <row r="165" spans="2:63" ht="15.75" customHeight="1" x14ac:dyDescent="0.2">
      <c r="B165" s="36">
        <v>100</v>
      </c>
      <c r="C165" s="36"/>
      <c r="D165" s="37">
        <v>0.6</v>
      </c>
      <c r="E165" s="51">
        <v>5</v>
      </c>
      <c r="F165" s="35">
        <v>10</v>
      </c>
      <c r="G165" s="35"/>
      <c r="H165" s="35"/>
      <c r="R165" s="41" t="s">
        <v>69</v>
      </c>
      <c r="S165" s="41"/>
      <c r="T165" s="35"/>
      <c r="U165" s="59">
        <v>2</v>
      </c>
      <c r="V165" s="42"/>
      <c r="W165" s="59"/>
      <c r="X165" s="59"/>
      <c r="Y165" s="59"/>
      <c r="AB165" s="38" t="e">
        <f>AB164/U165</f>
        <v>#REF!</v>
      </c>
      <c r="AC165" s="38">
        <f>AC164</f>
        <v>240</v>
      </c>
      <c r="AD165" s="65" t="e">
        <f>AD164/U165</f>
        <v>#REF!</v>
      </c>
      <c r="AE165" s="65"/>
      <c r="AF165" s="39" t="e">
        <f>AF164*U165</f>
        <v>#REF!</v>
      </c>
      <c r="AG165" s="32"/>
      <c r="AH165" s="38" t="e">
        <f>AH164/U165</f>
        <v>#REF!</v>
      </c>
      <c r="AI165" s="38">
        <f>AI164</f>
        <v>160</v>
      </c>
      <c r="AJ165" s="65" t="e">
        <f>AJ164/U165</f>
        <v>#REF!</v>
      </c>
      <c r="AK165" s="65"/>
      <c r="AL165" s="39" t="e">
        <f>AL164*U165</f>
        <v>#REF!</v>
      </c>
      <c r="AM165" s="39" t="e">
        <f>AM164*U165</f>
        <v>#REF!</v>
      </c>
      <c r="AN165" s="39"/>
      <c r="AO165" s="39" t="e">
        <f>AO164*U165</f>
        <v>#REF!</v>
      </c>
      <c r="AP165" s="39" t="e">
        <f>AM165+AO165</f>
        <v>#REF!</v>
      </c>
      <c r="AR165" s="40">
        <f t="shared" ref="AR165:AW165" si="32">AR164</f>
        <v>0</v>
      </c>
      <c r="AS165" s="51">
        <f t="shared" si="32"/>
        <v>0</v>
      </c>
      <c r="AT165" s="40">
        <f t="shared" si="32"/>
        <v>0</v>
      </c>
      <c r="AU165" s="51">
        <f t="shared" si="32"/>
        <v>0</v>
      </c>
      <c r="AV165" s="40">
        <f t="shared" si="32"/>
        <v>0</v>
      </c>
      <c r="AW165" s="55">
        <f t="shared" si="32"/>
        <v>0</v>
      </c>
      <c r="AX165" s="40">
        <f t="shared" ref="AX165:BC165" si="33">AX164</f>
        <v>0</v>
      </c>
      <c r="AY165" s="51">
        <f t="shared" si="33"/>
        <v>0</v>
      </c>
      <c r="AZ165" s="40">
        <f t="shared" si="33"/>
        <v>0</v>
      </c>
      <c r="BA165" s="51">
        <f t="shared" si="33"/>
        <v>0</v>
      </c>
      <c r="BB165" s="40">
        <f t="shared" si="33"/>
        <v>0</v>
      </c>
      <c r="BC165" s="51">
        <f t="shared" si="33"/>
        <v>0</v>
      </c>
      <c r="BD165" s="50"/>
      <c r="BE165" s="40">
        <f t="shared" ref="BE165:BK165" si="34">BE164</f>
        <v>0</v>
      </c>
      <c r="BF165" s="51">
        <f t="shared" si="34"/>
        <v>0</v>
      </c>
      <c r="BG165" s="40">
        <f t="shared" si="34"/>
        <v>0</v>
      </c>
      <c r="BH165" s="51">
        <f t="shared" si="34"/>
        <v>0</v>
      </c>
      <c r="BI165" s="40">
        <f t="shared" si="34"/>
        <v>0</v>
      </c>
      <c r="BJ165" s="40">
        <f t="shared" si="34"/>
        <v>0</v>
      </c>
      <c r="BK165" s="51">
        <f t="shared" si="34"/>
        <v>0</v>
      </c>
    </row>
    <row r="166" spans="2:63" ht="15.75" customHeight="1" x14ac:dyDescent="0.2">
      <c r="B166" s="33">
        <v>100</v>
      </c>
      <c r="C166" s="33"/>
      <c r="D166" s="29">
        <v>0.6</v>
      </c>
      <c r="E166" s="50">
        <v>5</v>
      </c>
      <c r="F166">
        <v>10</v>
      </c>
      <c r="R166" s="12" t="s">
        <v>71</v>
      </c>
      <c r="S166" s="12"/>
      <c r="T166" s="13"/>
      <c r="U166" s="13"/>
      <c r="V166" s="13">
        <v>300</v>
      </c>
      <c r="W166" s="58" t="e">
        <f>V166/#REF!</f>
        <v>#REF!</v>
      </c>
      <c r="X166" s="58"/>
      <c r="Y166" s="58"/>
      <c r="AB166" s="31" t="e">
        <f>#REF!</f>
        <v>#REF!</v>
      </c>
      <c r="AC166" s="31">
        <f>V166*D166</f>
        <v>180</v>
      </c>
      <c r="AD166" s="63" t="e">
        <f>(#REF!+(#REF!*(F166/100)))/(1-#REF!/100)</f>
        <v>#REF!</v>
      </c>
      <c r="AE166" s="63"/>
      <c r="AF166" s="32" t="e">
        <f>AC166/AB166</f>
        <v>#REF!</v>
      </c>
      <c r="AG166" s="32"/>
      <c r="AH166" s="31" t="e">
        <f>#REF!</f>
        <v>#REF!</v>
      </c>
      <c r="AI166" s="31">
        <f>V166*(1-D166)</f>
        <v>120</v>
      </c>
      <c r="AJ166" s="63" t="e">
        <f>(#REF!+(#REF!*(F166/100)))/(1-#REF!/100)</f>
        <v>#REF!</v>
      </c>
      <c r="AK166" s="63"/>
      <c r="AL166" s="32" t="e">
        <f>AI166/AH166</f>
        <v>#REF!</v>
      </c>
      <c r="AM166" s="32" t="e">
        <f>AF166+AF167</f>
        <v>#REF!</v>
      </c>
      <c r="AN166" s="32"/>
      <c r="AO166" s="32" t="e">
        <f>AL166+AL167</f>
        <v>#REF!</v>
      </c>
      <c r="AP166" s="32" t="e">
        <f>AM166+AO166</f>
        <v>#REF!</v>
      </c>
      <c r="AR166" s="52">
        <f>AR164</f>
        <v>0</v>
      </c>
      <c r="AS166" s="50">
        <f t="shared" ref="AS166:AU166" si="35">AS164</f>
        <v>0</v>
      </c>
      <c r="AT166" s="52">
        <f t="shared" si="35"/>
        <v>0</v>
      </c>
      <c r="AU166" s="50">
        <f t="shared" si="35"/>
        <v>0</v>
      </c>
      <c r="AV166" s="52">
        <f>AV164</f>
        <v>0</v>
      </c>
      <c r="AW166" s="62">
        <f>AV166/V164</f>
        <v>0</v>
      </c>
      <c r="AX166" s="63" t="e">
        <f>(B166*AM166)-(AC166+AC167)</f>
        <v>#REF!</v>
      </c>
      <c r="AY166" s="62" t="e">
        <f>AX166/(AC166+AC167)</f>
        <v>#REF!</v>
      </c>
      <c r="AZ166" s="63" t="e">
        <f>(AO166*B166)-(AI166+AI167)</f>
        <v>#REF!</v>
      </c>
      <c r="BA166" s="62" t="e">
        <f>AZ166/(AI166+AI167)</f>
        <v>#REF!</v>
      </c>
      <c r="BB166" s="63" t="e">
        <f>AX166+AZ166</f>
        <v>#REF!</v>
      </c>
      <c r="BC166" s="62" t="e">
        <f>BB166/(AC166+AC167+AI166+AI167)</f>
        <v>#REF!</v>
      </c>
      <c r="BD166" s="50"/>
      <c r="BE166" s="63" t="e">
        <f>AR166+AX166</f>
        <v>#REF!</v>
      </c>
      <c r="BF166" s="62" t="e">
        <f>AY166</f>
        <v>#REF!</v>
      </c>
      <c r="BG166" s="63" t="e">
        <f>AT166+AZ166</f>
        <v>#REF!</v>
      </c>
      <c r="BH166" s="62" t="e">
        <f>BG166/(AI166+AI167)</f>
        <v>#REF!</v>
      </c>
      <c r="BI166" s="63">
        <f>BI164</f>
        <v>0</v>
      </c>
      <c r="BJ166" s="63" t="e">
        <f>BE166+BG166+BI166</f>
        <v>#REF!</v>
      </c>
      <c r="BK166" s="62" t="e">
        <f>BJ166/(AC166+AC167+AI166+AI167)</f>
        <v>#REF!</v>
      </c>
    </row>
    <row r="167" spans="2:63" ht="15.75" customHeight="1" x14ac:dyDescent="0.2">
      <c r="B167" s="33"/>
      <c r="C167" s="33"/>
      <c r="D167" s="29"/>
      <c r="E167" s="50"/>
      <c r="R167" s="12"/>
      <c r="S167" s="12"/>
      <c r="T167" s="13"/>
      <c r="U167" s="13"/>
      <c r="V167" s="13"/>
      <c r="W167" s="58"/>
      <c r="X167" s="58"/>
      <c r="Y167" s="58"/>
      <c r="AB167" s="31" t="e">
        <f>AB165</f>
        <v>#REF!</v>
      </c>
      <c r="AC167" s="31">
        <f>AC165</f>
        <v>240</v>
      </c>
      <c r="AD167" s="63" t="e">
        <f>AD165</f>
        <v>#REF!</v>
      </c>
      <c r="AE167" s="63"/>
      <c r="AF167" s="32" t="e">
        <f>AF165</f>
        <v>#REF!</v>
      </c>
      <c r="AG167" s="32"/>
      <c r="AH167" s="31" t="e">
        <f>AH165</f>
        <v>#REF!</v>
      </c>
      <c r="AI167" s="31">
        <f>AI165</f>
        <v>160</v>
      </c>
      <c r="AJ167" s="63" t="e">
        <f>AJ165</f>
        <v>#REF!</v>
      </c>
      <c r="AK167" s="63"/>
      <c r="AL167" s="32" t="e">
        <f>AL165</f>
        <v>#REF!</v>
      </c>
      <c r="AM167" s="32"/>
      <c r="AN167" s="32"/>
      <c r="AO167" s="32"/>
      <c r="AP167" s="32"/>
      <c r="AR167" s="52"/>
      <c r="AS167" s="50"/>
      <c r="AT167" s="52"/>
      <c r="AU167" s="50"/>
      <c r="AV167" s="52"/>
      <c r="AW167" s="62"/>
      <c r="AX167" s="52"/>
      <c r="AY167" s="50"/>
      <c r="AZ167" s="52"/>
      <c r="BA167" s="50"/>
      <c r="BB167" s="52"/>
      <c r="BC167" s="50"/>
      <c r="BD167" s="50"/>
      <c r="BE167" s="52"/>
      <c r="BF167" s="50"/>
      <c r="BG167" s="52"/>
      <c r="BH167" s="50"/>
      <c r="BI167" s="63"/>
      <c r="BJ167" s="63"/>
      <c r="BK167" s="62"/>
    </row>
    <row r="168" spans="2:63" ht="15.75" customHeight="1" x14ac:dyDescent="0.2">
      <c r="B168" s="33"/>
      <c r="C168" s="33"/>
      <c r="D168" s="29"/>
      <c r="E168" s="50"/>
      <c r="R168" s="12"/>
      <c r="S168" s="12"/>
      <c r="T168" s="13"/>
      <c r="U168" s="13"/>
      <c r="V168" s="13"/>
      <c r="W168" s="58"/>
      <c r="X168" s="58"/>
      <c r="Y168" s="58"/>
      <c r="AB168" s="31"/>
      <c r="AC168" s="31"/>
      <c r="AD168" s="63"/>
      <c r="AE168" s="63"/>
      <c r="AF168" s="32"/>
      <c r="AG168" s="32"/>
      <c r="AH168" s="31"/>
      <c r="AI168" s="31"/>
      <c r="AJ168" s="63"/>
      <c r="AK168" s="63"/>
      <c r="AL168" s="32"/>
      <c r="AM168" s="32"/>
      <c r="AN168" s="32"/>
      <c r="AO168" s="32"/>
      <c r="AP168" s="32"/>
      <c r="AR168" s="52"/>
      <c r="AS168" s="50"/>
      <c r="AT168" s="52"/>
      <c r="AU168" s="50"/>
      <c r="AV168" s="52"/>
      <c r="AW168" s="62"/>
      <c r="AX168" s="52"/>
      <c r="AY168" s="50"/>
      <c r="AZ168" s="52"/>
      <c r="BA168" s="50"/>
      <c r="BB168" s="52"/>
      <c r="BC168" s="50"/>
      <c r="BD168" s="50"/>
      <c r="BE168" s="52"/>
      <c r="BF168" s="50"/>
      <c r="BG168" s="52"/>
      <c r="BH168" s="50"/>
      <c r="BI168" s="63"/>
      <c r="BJ168" s="63"/>
      <c r="BK168" s="62"/>
    </row>
    <row r="169" spans="2:63" ht="15.75" customHeight="1" x14ac:dyDescent="0.2">
      <c r="B169" s="179" t="s">
        <v>37</v>
      </c>
      <c r="C169" s="109"/>
      <c r="T169" s="12"/>
      <c r="U169" s="12"/>
      <c r="V169" s="12"/>
      <c r="W169" s="12"/>
      <c r="X169" s="12"/>
      <c r="Y169" s="12"/>
      <c r="Z169" s="12"/>
      <c r="AA169" s="12"/>
      <c r="AB169" s="56" t="s">
        <v>27</v>
      </c>
      <c r="AC169" s="12"/>
      <c r="AD169" s="12"/>
      <c r="AE169" s="12"/>
      <c r="AF169" s="12"/>
      <c r="AG169" s="12"/>
      <c r="AH169" s="56" t="s">
        <v>28</v>
      </c>
      <c r="AI169" s="12"/>
      <c r="AJ169" s="12"/>
      <c r="AK169" s="12"/>
      <c r="AL169" s="12"/>
      <c r="AS169" s="33"/>
      <c r="AX169" s="63"/>
    </row>
    <row r="170" spans="2:63" ht="15.75" customHeight="1" x14ac:dyDescent="0.2">
      <c r="B170" s="28" t="s">
        <v>61</v>
      </c>
      <c r="C170" s="28"/>
      <c r="D170" s="28" t="s">
        <v>29</v>
      </c>
      <c r="E170" s="57" t="s">
        <v>63</v>
      </c>
      <c r="F170" s="57" t="s">
        <v>72</v>
      </c>
      <c r="G170" s="57"/>
      <c r="H170" s="57"/>
      <c r="I170" s="101"/>
      <c r="J170" s="101"/>
      <c r="K170" s="101"/>
      <c r="L170" s="101"/>
      <c r="M170" s="101"/>
      <c r="N170" s="101"/>
      <c r="O170" s="101"/>
      <c r="P170" s="101"/>
      <c r="R170" s="28" t="s">
        <v>3</v>
      </c>
      <c r="S170" s="28"/>
      <c r="T170" s="57" t="s">
        <v>50</v>
      </c>
      <c r="U170" s="57" t="s">
        <v>70</v>
      </c>
      <c r="V170" s="28" t="s">
        <v>1</v>
      </c>
      <c r="W170" s="57" t="s">
        <v>62</v>
      </c>
      <c r="X170" s="57" t="s">
        <v>9</v>
      </c>
      <c r="Y170" s="57"/>
      <c r="Z170" s="60"/>
      <c r="AA170" s="12"/>
      <c r="AB170" s="28" t="s">
        <v>30</v>
      </c>
      <c r="AC170" s="28" t="s">
        <v>1</v>
      </c>
      <c r="AD170" s="57" t="s">
        <v>10</v>
      </c>
      <c r="AE170" s="57"/>
      <c r="AF170" s="57" t="s">
        <v>64</v>
      </c>
      <c r="AG170" s="60"/>
      <c r="AH170" s="28" t="s">
        <v>30</v>
      </c>
      <c r="AI170" s="28" t="s">
        <v>1</v>
      </c>
      <c r="AJ170" s="57" t="s">
        <v>10</v>
      </c>
      <c r="AK170" s="57"/>
      <c r="AL170" s="57" t="s">
        <v>64</v>
      </c>
      <c r="AS170" s="33"/>
    </row>
    <row r="171" spans="2:63" ht="15.75" customHeight="1" x14ac:dyDescent="0.2">
      <c r="B171" s="33">
        <v>100</v>
      </c>
      <c r="C171" s="33"/>
      <c r="D171" s="29">
        <v>0.6</v>
      </c>
      <c r="E171" s="50">
        <v>5</v>
      </c>
      <c r="F171">
        <v>10</v>
      </c>
      <c r="R171" t="s">
        <v>38</v>
      </c>
      <c r="T171" s="33"/>
      <c r="U171" s="33"/>
      <c r="V171" s="33">
        <v>200</v>
      </c>
      <c r="W171" s="33"/>
      <c r="X171" s="33"/>
      <c r="Y171" s="33"/>
      <c r="Z171" s="67"/>
      <c r="AB171" s="33" t="e">
        <f>#REF!</f>
        <v>#REF!</v>
      </c>
      <c r="AC171" s="33">
        <f>V171*D171</f>
        <v>120</v>
      </c>
      <c r="AD171" s="33"/>
      <c r="AE171" s="33"/>
      <c r="AF171" s="44" t="e">
        <f>AC171/AB171</f>
        <v>#REF!</v>
      </c>
      <c r="AG171" s="44"/>
      <c r="AH171" s="33" t="e">
        <f>#REF!</f>
        <v>#REF!</v>
      </c>
      <c r="AI171" s="31">
        <f>V171*(1-D171)</f>
        <v>80</v>
      </c>
      <c r="AJ171" s="33"/>
      <c r="AK171" s="33"/>
      <c r="AL171" s="32" t="e">
        <f>AI171/AH171</f>
        <v>#REF!</v>
      </c>
    </row>
    <row r="172" spans="2:63" ht="15.75" customHeight="1" x14ac:dyDescent="0.2">
      <c r="B172" s="36">
        <v>100</v>
      </c>
      <c r="C172" s="36"/>
      <c r="D172" s="37">
        <v>0.6</v>
      </c>
      <c r="E172" s="51">
        <v>5</v>
      </c>
      <c r="F172" s="35">
        <v>10</v>
      </c>
      <c r="G172" s="35"/>
      <c r="H172" s="35"/>
      <c r="R172" s="35" t="s">
        <v>39</v>
      </c>
      <c r="S172" s="35"/>
      <c r="T172" s="35"/>
      <c r="U172" s="35"/>
      <c r="V172" s="35"/>
      <c r="W172" s="35"/>
      <c r="X172" s="35"/>
      <c r="Y172" s="35"/>
      <c r="AB172" s="38" t="s">
        <v>34</v>
      </c>
      <c r="AC172" s="38" t="s">
        <v>34</v>
      </c>
      <c r="AD172" s="38"/>
      <c r="AE172" s="38"/>
      <c r="AF172" s="38" t="s">
        <v>34</v>
      </c>
      <c r="AG172" s="31"/>
      <c r="AH172" s="38" t="s">
        <v>34</v>
      </c>
      <c r="AI172" s="38" t="s">
        <v>34</v>
      </c>
      <c r="AJ172" s="38"/>
      <c r="AK172" s="38"/>
      <c r="AL172" s="38" t="s">
        <v>34</v>
      </c>
    </row>
    <row r="173" spans="2:63" ht="15.75" customHeight="1" x14ac:dyDescent="0.2">
      <c r="B173" s="33">
        <v>100</v>
      </c>
      <c r="C173" s="33"/>
      <c r="D173" s="29">
        <v>0.6</v>
      </c>
      <c r="E173" s="50">
        <v>5</v>
      </c>
      <c r="F173">
        <v>10</v>
      </c>
      <c r="R173" t="s">
        <v>40</v>
      </c>
      <c r="T173" s="33"/>
      <c r="U173" s="33"/>
      <c r="V173" s="33">
        <v>500</v>
      </c>
      <c r="W173" s="33"/>
      <c r="X173" s="33"/>
      <c r="Y173" s="33"/>
      <c r="Z173" s="67"/>
      <c r="AB173" s="33" t="e">
        <f>#REF!</f>
        <v>#REF!</v>
      </c>
      <c r="AC173" s="33">
        <f>V173</f>
        <v>500</v>
      </c>
      <c r="AD173" s="33"/>
      <c r="AE173" s="33"/>
      <c r="AF173" s="44" t="e">
        <f>AC173/AB173</f>
        <v>#REF!</v>
      </c>
      <c r="AG173" s="44"/>
      <c r="AH173" s="31" t="s">
        <v>34</v>
      </c>
      <c r="AI173" s="31" t="s">
        <v>34</v>
      </c>
      <c r="AJ173" s="33"/>
      <c r="AK173" s="33"/>
      <c r="AL173" s="31" t="s">
        <v>34</v>
      </c>
    </row>
    <row r="174" spans="2:63" ht="15.75" customHeight="1" x14ac:dyDescent="0.2">
      <c r="B174" s="36">
        <v>100</v>
      </c>
      <c r="C174" s="36"/>
      <c r="D174" s="37">
        <v>0.6</v>
      </c>
      <c r="E174" s="51">
        <v>5</v>
      </c>
      <c r="F174" s="35">
        <v>10</v>
      </c>
      <c r="G174" s="35"/>
      <c r="H174" s="35"/>
      <c r="R174" s="35" t="s">
        <v>41</v>
      </c>
      <c r="S174" s="35"/>
      <c r="T174" s="35"/>
      <c r="U174" s="35"/>
      <c r="V174" s="35"/>
      <c r="W174" s="35"/>
      <c r="X174" s="35"/>
      <c r="Y174" s="35"/>
      <c r="AB174" s="38" t="s">
        <v>34</v>
      </c>
      <c r="AC174" s="38" t="s">
        <v>34</v>
      </c>
      <c r="AD174" s="38"/>
      <c r="AE174" s="38"/>
      <c r="AF174" s="38" t="s">
        <v>34</v>
      </c>
      <c r="AG174" s="31"/>
      <c r="AH174" s="38" t="s">
        <v>34</v>
      </c>
      <c r="AI174" s="38" t="s">
        <v>34</v>
      </c>
      <c r="AJ174" s="38"/>
      <c r="AK174" s="38"/>
      <c r="AL174" s="38" t="s">
        <v>34</v>
      </c>
    </row>
    <row r="175" spans="2:63" ht="15.75" customHeight="1" x14ac:dyDescent="0.2">
      <c r="B175" s="33">
        <v>100</v>
      </c>
      <c r="C175" s="33"/>
      <c r="D175" s="29">
        <v>0.6</v>
      </c>
      <c r="E175" s="50">
        <v>5</v>
      </c>
      <c r="F175">
        <v>10</v>
      </c>
      <c r="R175" t="s">
        <v>42</v>
      </c>
      <c r="T175" s="33"/>
      <c r="U175" s="33"/>
      <c r="V175" s="33">
        <v>350</v>
      </c>
      <c r="W175" s="33"/>
      <c r="X175" s="33"/>
      <c r="Y175" s="33"/>
      <c r="Z175" s="67"/>
      <c r="AB175" s="31" t="s">
        <v>34</v>
      </c>
      <c r="AC175" s="31" t="s">
        <v>34</v>
      </c>
      <c r="AD175" s="31"/>
      <c r="AE175" s="31"/>
      <c r="AF175" s="31" t="s">
        <v>34</v>
      </c>
      <c r="AG175" s="31"/>
      <c r="AH175" s="33" t="e">
        <f>#REF!</f>
        <v>#REF!</v>
      </c>
      <c r="AI175" s="31">
        <f>V175*(1-D175)</f>
        <v>140</v>
      </c>
      <c r="AJ175" s="31"/>
      <c r="AK175" s="31"/>
      <c r="AL175" s="32" t="e">
        <f>AI175/AH175</f>
        <v>#REF!</v>
      </c>
    </row>
    <row r="176" spans="2:63" ht="15.75" customHeight="1" x14ac:dyDescent="0.2">
      <c r="B176" s="36">
        <v>100</v>
      </c>
      <c r="C176" s="36"/>
      <c r="D176" s="37">
        <v>0.6</v>
      </c>
      <c r="E176" s="51">
        <v>5</v>
      </c>
      <c r="F176" s="35">
        <v>10</v>
      </c>
      <c r="G176" s="35"/>
      <c r="H176" s="35"/>
      <c r="R176" s="35" t="s">
        <v>43</v>
      </c>
      <c r="S176" s="35"/>
      <c r="T176" s="35"/>
      <c r="U176" s="35"/>
      <c r="V176" s="35"/>
      <c r="W176" s="35"/>
      <c r="X176" s="35"/>
      <c r="Y176" s="35"/>
      <c r="AB176" s="38" t="s">
        <v>34</v>
      </c>
      <c r="AC176" s="38" t="s">
        <v>34</v>
      </c>
      <c r="AD176" s="38"/>
      <c r="AE176" s="38"/>
      <c r="AF176" s="38" t="s">
        <v>34</v>
      </c>
      <c r="AG176" s="31"/>
      <c r="AH176" s="38" t="s">
        <v>34</v>
      </c>
      <c r="AI176" s="38" t="s">
        <v>34</v>
      </c>
      <c r="AJ176" s="38"/>
      <c r="AK176" s="38"/>
      <c r="AL176" s="38" t="s">
        <v>34</v>
      </c>
    </row>
    <row r="178" spans="2:43" ht="15.75" customHeight="1" x14ac:dyDescent="0.2">
      <c r="B178" s="178" t="s">
        <v>44</v>
      </c>
      <c r="C178" s="34"/>
      <c r="AB178" s="56" t="s">
        <v>27</v>
      </c>
      <c r="AC178" s="12"/>
      <c r="AD178" s="12"/>
      <c r="AE178" s="12"/>
      <c r="AF178" s="12"/>
      <c r="AG178" s="12"/>
      <c r="AH178" s="56" t="s">
        <v>28</v>
      </c>
      <c r="AJ178" s="12"/>
      <c r="AK178" s="12"/>
    </row>
    <row r="179" spans="2:43" ht="15.75" customHeight="1" x14ac:dyDescent="0.2">
      <c r="B179" s="28" t="s">
        <v>61</v>
      </c>
      <c r="C179" s="28"/>
      <c r="D179" s="28" t="s">
        <v>29</v>
      </c>
      <c r="E179" s="57" t="s">
        <v>63</v>
      </c>
      <c r="F179" s="57" t="s">
        <v>72</v>
      </c>
      <c r="G179" s="57"/>
      <c r="H179" s="57"/>
      <c r="I179" s="101"/>
      <c r="J179" s="101"/>
      <c r="K179" s="101"/>
      <c r="L179" s="101"/>
      <c r="M179" s="101"/>
      <c r="N179" s="101"/>
      <c r="O179" s="101"/>
      <c r="P179" s="101"/>
      <c r="R179" s="28" t="s">
        <v>3</v>
      </c>
      <c r="S179" s="28"/>
      <c r="T179" s="57" t="s">
        <v>50</v>
      </c>
      <c r="U179" s="57" t="s">
        <v>70</v>
      </c>
      <c r="V179" s="28" t="s">
        <v>1</v>
      </c>
      <c r="W179" s="57" t="s">
        <v>62</v>
      </c>
      <c r="X179" s="57" t="s">
        <v>9</v>
      </c>
      <c r="Y179" s="57"/>
      <c r="Z179" s="60"/>
      <c r="AA179" s="12"/>
      <c r="AB179" s="28" t="s">
        <v>30</v>
      </c>
      <c r="AC179" s="28" t="s">
        <v>1</v>
      </c>
      <c r="AD179" s="57" t="s">
        <v>10</v>
      </c>
      <c r="AE179" s="57"/>
      <c r="AF179" s="57" t="s">
        <v>64</v>
      </c>
      <c r="AG179" s="60"/>
      <c r="AH179" s="28" t="s">
        <v>30</v>
      </c>
      <c r="AI179" s="28" t="s">
        <v>1</v>
      </c>
      <c r="AJ179" s="57" t="s">
        <v>10</v>
      </c>
      <c r="AK179" s="57"/>
      <c r="AL179" s="57" t="s">
        <v>64</v>
      </c>
    </row>
    <row r="180" spans="2:43" ht="15.75" customHeight="1" x14ac:dyDescent="0.2">
      <c r="B180" s="33">
        <v>100</v>
      </c>
      <c r="C180" s="33"/>
      <c r="D180" s="29">
        <v>0.3</v>
      </c>
      <c r="E180" s="50">
        <v>5</v>
      </c>
      <c r="F180">
        <v>10</v>
      </c>
      <c r="R180" s="45" t="s">
        <v>47</v>
      </c>
      <c r="S180" s="45"/>
      <c r="T180" s="33"/>
      <c r="U180" s="33"/>
      <c r="V180" s="33">
        <v>200</v>
      </c>
      <c r="W180" s="33"/>
      <c r="X180" s="33"/>
      <c r="Y180" s="33"/>
      <c r="Z180" s="67"/>
      <c r="AB180" s="33" t="e">
        <f>#REF!</f>
        <v>#REF!</v>
      </c>
      <c r="AC180" s="33">
        <f>V180*D180</f>
        <v>60</v>
      </c>
      <c r="AD180" s="33"/>
      <c r="AE180" s="33"/>
      <c r="AF180" s="44" t="e">
        <f>AC180/AB180</f>
        <v>#REF!</v>
      </c>
      <c r="AG180" s="44"/>
      <c r="AH180" s="33" t="e">
        <f>#REF!</f>
        <v>#REF!</v>
      </c>
      <c r="AI180" s="31">
        <f>V180*(1-D180)</f>
        <v>140</v>
      </c>
      <c r="AJ180" s="33"/>
      <c r="AK180" s="33"/>
      <c r="AL180" s="32" t="e">
        <f>AI180/AH180</f>
        <v>#REF!</v>
      </c>
    </row>
    <row r="181" spans="2:43" ht="15.75" customHeight="1" x14ac:dyDescent="0.2">
      <c r="B181" s="36">
        <v>100</v>
      </c>
      <c r="C181" s="36"/>
      <c r="D181" s="37">
        <v>0.3</v>
      </c>
      <c r="E181" s="51">
        <v>5</v>
      </c>
      <c r="F181" s="35">
        <v>10</v>
      </c>
      <c r="G181" s="35"/>
      <c r="H181" s="35"/>
      <c r="R181" s="47" t="s">
        <v>45</v>
      </c>
      <c r="S181" s="47"/>
      <c r="T181" s="36"/>
      <c r="U181" s="36"/>
      <c r="V181" s="36">
        <v>300</v>
      </c>
      <c r="W181" s="36"/>
      <c r="X181" s="36"/>
      <c r="Y181" s="36"/>
      <c r="Z181" s="67"/>
      <c r="AB181" s="36" t="e">
        <f>#REF!</f>
        <v>#REF!</v>
      </c>
      <c r="AC181" s="36">
        <f>V181+AC180</f>
        <v>360</v>
      </c>
      <c r="AD181" s="36"/>
      <c r="AE181" s="36"/>
      <c r="AF181" s="48" t="e">
        <f>AC181/AB181</f>
        <v>#REF!</v>
      </c>
      <c r="AG181" s="44"/>
      <c r="AH181" s="36">
        <v>100</v>
      </c>
      <c r="AI181" s="38">
        <f>AI180</f>
        <v>140</v>
      </c>
      <c r="AJ181" s="36"/>
      <c r="AK181" s="36"/>
      <c r="AL181" s="39">
        <v>1.4</v>
      </c>
    </row>
    <row r="182" spans="2:43" ht="15.75" customHeight="1" x14ac:dyDescent="0.2">
      <c r="B182" s="33">
        <v>100</v>
      </c>
      <c r="C182" s="33"/>
      <c r="D182" s="29">
        <v>0.3</v>
      </c>
      <c r="E182" s="50">
        <v>5</v>
      </c>
      <c r="F182">
        <v>10</v>
      </c>
      <c r="R182" s="45" t="s">
        <v>46</v>
      </c>
      <c r="S182" s="45"/>
      <c r="T182" s="33"/>
      <c r="U182" s="33"/>
      <c r="V182" s="33">
        <v>400</v>
      </c>
      <c r="W182" s="33"/>
      <c r="X182" s="33"/>
      <c r="Y182" s="33"/>
      <c r="AB182" s="33">
        <v>100</v>
      </c>
      <c r="AC182" s="33">
        <f>AC181</f>
        <v>360</v>
      </c>
      <c r="AD182" s="33"/>
      <c r="AE182" s="33"/>
      <c r="AF182" s="44">
        <v>3.6</v>
      </c>
      <c r="AG182" s="44"/>
      <c r="AH182" s="33" t="e">
        <f>#REF!</f>
        <v>#REF!</v>
      </c>
      <c r="AI182" s="33">
        <f>V182+AI181</f>
        <v>540</v>
      </c>
      <c r="AJ182" s="33"/>
      <c r="AK182" s="33"/>
      <c r="AL182" s="32" t="e">
        <f>AI182/AH182</f>
        <v>#REF!</v>
      </c>
    </row>
    <row r="183" spans="2:43" ht="15.75" customHeight="1" x14ac:dyDescent="0.2">
      <c r="B183" s="36">
        <v>100</v>
      </c>
      <c r="C183" s="36"/>
      <c r="D183" s="37">
        <v>0.3</v>
      </c>
      <c r="E183" s="51">
        <v>5</v>
      </c>
      <c r="F183" s="35">
        <v>10</v>
      </c>
      <c r="G183" s="35"/>
      <c r="H183" s="35"/>
      <c r="R183" s="47" t="s">
        <v>48</v>
      </c>
      <c r="S183" s="47"/>
      <c r="T183" s="36"/>
      <c r="U183" s="36"/>
      <c r="V183" s="36">
        <v>500</v>
      </c>
      <c r="W183" s="36"/>
      <c r="X183" s="36"/>
      <c r="Y183" s="36"/>
      <c r="Z183" s="67"/>
      <c r="AB183" s="36" t="e">
        <f>#REF!</f>
        <v>#REF!</v>
      </c>
      <c r="AC183" s="36">
        <f>AC182+(V183*D183)</f>
        <v>510</v>
      </c>
      <c r="AD183" s="36"/>
      <c r="AE183" s="36"/>
      <c r="AF183" s="48" t="e">
        <f>AC183/AB183</f>
        <v>#REF!</v>
      </c>
      <c r="AG183" s="44"/>
      <c r="AH183" s="36" t="e">
        <f>#REF!</f>
        <v>#REF!</v>
      </c>
      <c r="AI183" s="36">
        <f>AI182+(V183*(1-D183))</f>
        <v>890</v>
      </c>
      <c r="AJ183" s="36"/>
      <c r="AK183" s="36"/>
      <c r="AL183" s="39" t="e">
        <f>AI183/AH183</f>
        <v>#REF!</v>
      </c>
    </row>
    <row r="185" spans="2:43" ht="15.75" customHeight="1" x14ac:dyDescent="0.2">
      <c r="B185" s="178" t="s">
        <v>98</v>
      </c>
      <c r="C185" s="34"/>
      <c r="AB185" s="56" t="s">
        <v>27</v>
      </c>
      <c r="AC185" s="12"/>
      <c r="AD185" s="12"/>
      <c r="AE185" s="12"/>
      <c r="AF185" s="12"/>
      <c r="AG185" s="12"/>
      <c r="AH185" s="56" t="s">
        <v>28</v>
      </c>
      <c r="AJ185" s="12"/>
      <c r="AK185" s="12"/>
      <c r="AN185" s="34" t="s">
        <v>179</v>
      </c>
    </row>
    <row r="186" spans="2:43" ht="15.75" customHeight="1" x14ac:dyDescent="0.2">
      <c r="B186" s="28" t="s">
        <v>61</v>
      </c>
      <c r="C186" s="28"/>
      <c r="D186" s="28" t="s">
        <v>29</v>
      </c>
      <c r="E186" s="57" t="s">
        <v>63</v>
      </c>
      <c r="F186" s="57" t="s">
        <v>72</v>
      </c>
      <c r="G186" s="57" t="s">
        <v>99</v>
      </c>
      <c r="H186" s="57"/>
      <c r="I186" s="101"/>
      <c r="J186" s="101"/>
      <c r="K186" s="101"/>
      <c r="L186" s="101"/>
      <c r="M186" s="101"/>
      <c r="N186" s="101"/>
      <c r="O186" s="101"/>
      <c r="P186" s="101"/>
      <c r="R186" s="28" t="s">
        <v>3</v>
      </c>
      <c r="S186" s="28"/>
      <c r="T186" s="57" t="s">
        <v>50</v>
      </c>
      <c r="U186" s="57" t="s">
        <v>70</v>
      </c>
      <c r="V186" s="28" t="s">
        <v>1</v>
      </c>
      <c r="W186" s="57" t="s">
        <v>62</v>
      </c>
      <c r="X186" s="57" t="s">
        <v>9</v>
      </c>
      <c r="Y186" s="57"/>
      <c r="Z186" s="60"/>
      <c r="AA186" s="12"/>
      <c r="AB186" s="28" t="s">
        <v>30</v>
      </c>
      <c r="AC186" s="28" t="s">
        <v>1</v>
      </c>
      <c r="AD186" s="57" t="s">
        <v>72</v>
      </c>
      <c r="AE186" s="57" t="s">
        <v>100</v>
      </c>
      <c r="AF186" s="57" t="s">
        <v>64</v>
      </c>
      <c r="AG186" s="60"/>
      <c r="AH186" s="28" t="s">
        <v>30</v>
      </c>
      <c r="AI186" s="28" t="s">
        <v>1</v>
      </c>
      <c r="AJ186" s="57" t="s">
        <v>99</v>
      </c>
      <c r="AK186" s="57" t="s">
        <v>101</v>
      </c>
      <c r="AL186" s="57" t="s">
        <v>64</v>
      </c>
      <c r="AN186" s="28" t="s">
        <v>100</v>
      </c>
      <c r="AO186" s="57" t="s">
        <v>101</v>
      </c>
      <c r="AP186" s="101"/>
      <c r="AQ186" s="101"/>
    </row>
    <row r="187" spans="2:43" ht="15.75" customHeight="1" x14ac:dyDescent="0.2">
      <c r="B187" s="33">
        <v>100</v>
      </c>
      <c r="C187" s="33" t="s">
        <v>187</v>
      </c>
      <c r="D187" s="29">
        <v>0.5</v>
      </c>
      <c r="E187" s="50">
        <v>5</v>
      </c>
      <c r="F187">
        <v>10</v>
      </c>
      <c r="G187">
        <v>20</v>
      </c>
      <c r="R187" s="45" t="s">
        <v>102</v>
      </c>
      <c r="S187" s="45"/>
      <c r="T187" s="33"/>
      <c r="U187" s="33"/>
      <c r="V187" s="33">
        <v>200</v>
      </c>
      <c r="W187" s="50" t="e">
        <f>V187/#REF!</f>
        <v>#REF!</v>
      </c>
      <c r="X187" s="33"/>
      <c r="Y187" s="33"/>
      <c r="Z187" s="67"/>
      <c r="AB187" s="33" t="e">
        <f>#REF!</f>
        <v>#REF!</v>
      </c>
      <c r="AC187" s="33">
        <f>V187*D187</f>
        <v>100</v>
      </c>
      <c r="AD187" s="52" t="e">
        <f>AB187*(1+F187/100)/(1-#REF!/100)</f>
        <v>#REF!</v>
      </c>
      <c r="AE187" s="95" t="e">
        <f t="shared" ref="AE187:AE195" si="36">(B187-AD187)/AD187</f>
        <v>#REF!</v>
      </c>
      <c r="AF187" s="44" t="e">
        <f>AC187/AB187</f>
        <v>#REF!</v>
      </c>
      <c r="AG187" s="44"/>
      <c r="AH187" s="33" t="e">
        <f>#REF!</f>
        <v>#REF!</v>
      </c>
      <c r="AI187" s="31">
        <f>V187*(1-D187)</f>
        <v>100</v>
      </c>
      <c r="AJ187" s="52" t="e">
        <f>AH187*(1+G187/100)/(1-#REF!/100)</f>
        <v>#REF!</v>
      </c>
      <c r="AK187" s="54" t="e">
        <f t="shared" ref="AK187:AK195" si="37">(B187-AJ187)/AJ187</f>
        <v>#REF!</v>
      </c>
      <c r="AL187" s="32" t="e">
        <f>AI187/AH187</f>
        <v>#REF!</v>
      </c>
      <c r="AN187" s="54" t="e">
        <f t="shared" ref="AN187:AN195" si="38">(B187-AD187)/AD187</f>
        <v>#REF!</v>
      </c>
      <c r="AO187" s="54" t="e">
        <f t="shared" ref="AO187:AO195" si="39">(B187-AJ187)/AJ187</f>
        <v>#REF!</v>
      </c>
    </row>
    <row r="188" spans="2:43" ht="15.75" customHeight="1" x14ac:dyDescent="0.2">
      <c r="B188" s="36">
        <v>109</v>
      </c>
      <c r="C188" s="36" t="s">
        <v>187</v>
      </c>
      <c r="D188" s="37">
        <v>0.5</v>
      </c>
      <c r="E188" s="51">
        <v>5</v>
      </c>
      <c r="F188" s="35">
        <v>10</v>
      </c>
      <c r="G188" s="35">
        <v>20</v>
      </c>
      <c r="H188" s="35"/>
      <c r="R188" s="47"/>
      <c r="S188" s="47"/>
      <c r="T188" s="36"/>
      <c r="U188" s="36"/>
      <c r="V188" s="36"/>
      <c r="W188" s="51"/>
      <c r="X188" s="36"/>
      <c r="Y188" s="36"/>
      <c r="Z188" s="67"/>
      <c r="AB188" s="36" t="e">
        <f t="shared" ref="AB188:AD190" si="40">AB187</f>
        <v>#REF!</v>
      </c>
      <c r="AC188" s="36">
        <f t="shared" si="40"/>
        <v>100</v>
      </c>
      <c r="AD188" s="40" t="e">
        <f t="shared" si="40"/>
        <v>#REF!</v>
      </c>
      <c r="AE188" s="116" t="e">
        <f t="shared" si="36"/>
        <v>#REF!</v>
      </c>
      <c r="AF188" s="48" t="e">
        <f>AF187</f>
        <v>#REF!</v>
      </c>
      <c r="AG188" s="44"/>
      <c r="AH188" s="36">
        <v>100</v>
      </c>
      <c r="AI188" s="38">
        <f t="shared" ref="AI188:AJ190" si="41">AI187</f>
        <v>100</v>
      </c>
      <c r="AJ188" s="40" t="e">
        <f t="shared" si="41"/>
        <v>#REF!</v>
      </c>
      <c r="AK188" s="55" t="e">
        <f t="shared" si="37"/>
        <v>#REF!</v>
      </c>
      <c r="AL188" s="39" t="e">
        <f>AL187</f>
        <v>#REF!</v>
      </c>
      <c r="AN188" s="115" t="e">
        <f t="shared" si="38"/>
        <v>#REF!</v>
      </c>
      <c r="AO188" s="55" t="e">
        <f t="shared" si="39"/>
        <v>#REF!</v>
      </c>
    </row>
    <row r="189" spans="2:43" ht="15.75" customHeight="1" x14ac:dyDescent="0.2">
      <c r="B189" s="33">
        <v>115</v>
      </c>
      <c r="C189" s="33" t="s">
        <v>187</v>
      </c>
      <c r="D189" s="29">
        <v>0.5</v>
      </c>
      <c r="E189" s="50">
        <v>5</v>
      </c>
      <c r="F189">
        <v>10</v>
      </c>
      <c r="G189">
        <v>20</v>
      </c>
      <c r="R189" s="45"/>
      <c r="S189" s="45"/>
      <c r="T189" s="33"/>
      <c r="U189" s="33"/>
      <c r="V189" s="33"/>
      <c r="W189" s="50"/>
      <c r="X189" s="33"/>
      <c r="Y189" s="33"/>
      <c r="AB189" s="33" t="e">
        <f t="shared" si="40"/>
        <v>#REF!</v>
      </c>
      <c r="AC189" s="33">
        <f t="shared" si="40"/>
        <v>100</v>
      </c>
      <c r="AD189" s="118" t="e">
        <f t="shared" si="40"/>
        <v>#REF!</v>
      </c>
      <c r="AE189" s="113" t="e">
        <f t="shared" si="36"/>
        <v>#REF!</v>
      </c>
      <c r="AF189" s="44" t="e">
        <f>AF188</f>
        <v>#REF!</v>
      </c>
      <c r="AG189" s="44"/>
      <c r="AH189" s="33">
        <v>100</v>
      </c>
      <c r="AI189" s="31">
        <f t="shared" si="41"/>
        <v>100</v>
      </c>
      <c r="AJ189" s="52" t="e">
        <f t="shared" si="41"/>
        <v>#REF!</v>
      </c>
      <c r="AK189" s="62" t="e">
        <f t="shared" si="37"/>
        <v>#REF!</v>
      </c>
      <c r="AL189" s="32" t="e">
        <f>AL188</f>
        <v>#REF!</v>
      </c>
      <c r="AN189" s="117" t="e">
        <f t="shared" si="38"/>
        <v>#REF!</v>
      </c>
      <c r="AO189" s="54" t="e">
        <f t="shared" si="39"/>
        <v>#REF!</v>
      </c>
    </row>
    <row r="190" spans="2:43" ht="15.75" customHeight="1" x14ac:dyDescent="0.2">
      <c r="B190" s="36">
        <v>122</v>
      </c>
      <c r="C190" s="36" t="s">
        <v>187</v>
      </c>
      <c r="D190" s="37">
        <v>0.5</v>
      </c>
      <c r="E190" s="51">
        <v>5</v>
      </c>
      <c r="F190" s="35">
        <v>10</v>
      </c>
      <c r="G190" s="35">
        <v>20</v>
      </c>
      <c r="H190" s="35"/>
      <c r="R190" s="47"/>
      <c r="S190" s="47"/>
      <c r="T190" s="36"/>
      <c r="U190" s="36"/>
      <c r="V190" s="36"/>
      <c r="W190" s="51"/>
      <c r="X190" s="36"/>
      <c r="Y190" s="36"/>
      <c r="Z190" s="67"/>
      <c r="AB190" s="36" t="e">
        <f t="shared" si="40"/>
        <v>#REF!</v>
      </c>
      <c r="AC190" s="36">
        <f t="shared" si="40"/>
        <v>100</v>
      </c>
      <c r="AD190" s="119" t="e">
        <f t="shared" si="40"/>
        <v>#REF!</v>
      </c>
      <c r="AE190" s="114" t="e">
        <f t="shared" si="36"/>
        <v>#REF!</v>
      </c>
      <c r="AF190" s="48" t="e">
        <f>AF189</f>
        <v>#REF!</v>
      </c>
      <c r="AG190" s="44"/>
      <c r="AH190" s="36">
        <v>100</v>
      </c>
      <c r="AI190" s="38">
        <f t="shared" si="41"/>
        <v>100</v>
      </c>
      <c r="AJ190" s="119" t="e">
        <f t="shared" si="41"/>
        <v>#REF!</v>
      </c>
      <c r="AK190" s="114" t="e">
        <f t="shared" si="37"/>
        <v>#REF!</v>
      </c>
      <c r="AL190" s="39" t="e">
        <f>AL189</f>
        <v>#REF!</v>
      </c>
      <c r="AN190" s="114" t="e">
        <f t="shared" si="38"/>
        <v>#REF!</v>
      </c>
      <c r="AO190" s="114" t="e">
        <f t="shared" si="39"/>
        <v>#REF!</v>
      </c>
    </row>
    <row r="191" spans="2:43" ht="15.75" customHeight="1" x14ac:dyDescent="0.2">
      <c r="B191" s="33">
        <v>100</v>
      </c>
      <c r="C191" s="33" t="s">
        <v>188</v>
      </c>
      <c r="D191" s="29">
        <v>0.5</v>
      </c>
      <c r="E191" s="50">
        <v>5</v>
      </c>
      <c r="F191">
        <v>10</v>
      </c>
      <c r="G191">
        <v>20</v>
      </c>
      <c r="R191" s="45" t="s">
        <v>102</v>
      </c>
      <c r="S191" s="45"/>
      <c r="T191" s="33"/>
      <c r="U191" s="33"/>
      <c r="V191" s="33">
        <v>200</v>
      </c>
      <c r="W191" s="50" t="e">
        <f>V191/#REF!</f>
        <v>#REF!</v>
      </c>
      <c r="X191" s="33"/>
      <c r="Y191" s="33"/>
      <c r="Z191" s="67"/>
      <c r="AB191" s="33" t="e">
        <f>#REF!</f>
        <v>#REF!</v>
      </c>
      <c r="AC191" s="33">
        <f>V191*D191</f>
        <v>100</v>
      </c>
      <c r="AD191" s="52" t="e">
        <f>AB191*(1+F191/100)/(1-#REF!/100)</f>
        <v>#REF!</v>
      </c>
      <c r="AE191" s="95" t="e">
        <f t="shared" si="36"/>
        <v>#REF!</v>
      </c>
      <c r="AF191" s="44" t="e">
        <f>AC191/AB191</f>
        <v>#REF!</v>
      </c>
      <c r="AG191" s="44"/>
      <c r="AH191" s="33" t="e">
        <f>#REF!</f>
        <v>#REF!</v>
      </c>
      <c r="AI191" s="31">
        <f>V191*(1-D191)</f>
        <v>100</v>
      </c>
      <c r="AJ191" s="52" t="e">
        <f>AH191*(1+G191/100)/(1-#REF!/100)</f>
        <v>#REF!</v>
      </c>
      <c r="AK191" s="54" t="e">
        <f t="shared" si="37"/>
        <v>#REF!</v>
      </c>
      <c r="AL191" s="32" t="e">
        <f>AI191/AH191</f>
        <v>#REF!</v>
      </c>
      <c r="AN191" s="54" t="e">
        <f t="shared" si="38"/>
        <v>#REF!</v>
      </c>
      <c r="AO191" s="54" t="e">
        <f t="shared" si="39"/>
        <v>#REF!</v>
      </c>
    </row>
    <row r="192" spans="2:43" ht="15.75" customHeight="1" x14ac:dyDescent="0.2">
      <c r="B192" s="36">
        <v>109</v>
      </c>
      <c r="C192" s="36" t="s">
        <v>188</v>
      </c>
      <c r="D192" s="37">
        <v>0.5</v>
      </c>
      <c r="E192" s="51">
        <v>5</v>
      </c>
      <c r="F192" s="35">
        <v>10</v>
      </c>
      <c r="G192" s="35">
        <v>20</v>
      </c>
      <c r="H192" s="35"/>
      <c r="R192" s="47"/>
      <c r="S192" s="47"/>
      <c r="T192" s="36"/>
      <c r="U192" s="36"/>
      <c r="V192" s="36"/>
      <c r="W192" s="51"/>
      <c r="X192" s="36"/>
      <c r="Y192" s="36"/>
      <c r="Z192" s="67"/>
      <c r="AB192" s="36" t="e">
        <f t="shared" ref="AB192:AD192" si="42">AB191</f>
        <v>#REF!</v>
      </c>
      <c r="AC192" s="36">
        <f t="shared" si="42"/>
        <v>100</v>
      </c>
      <c r="AD192" s="40" t="e">
        <f t="shared" si="42"/>
        <v>#REF!</v>
      </c>
      <c r="AE192" s="55" t="e">
        <f t="shared" si="36"/>
        <v>#REF!</v>
      </c>
      <c r="AF192" s="48" t="e">
        <f>AF191</f>
        <v>#REF!</v>
      </c>
      <c r="AG192" s="44"/>
      <c r="AH192" s="36">
        <v>100</v>
      </c>
      <c r="AI192" s="38">
        <f t="shared" ref="AI192:AJ192" si="43">AI191</f>
        <v>100</v>
      </c>
      <c r="AJ192" s="40" t="e">
        <f t="shared" si="43"/>
        <v>#REF!</v>
      </c>
      <c r="AK192" s="55" t="e">
        <f t="shared" si="37"/>
        <v>#REF!</v>
      </c>
      <c r="AL192" s="39" t="e">
        <f>AL191</f>
        <v>#REF!</v>
      </c>
      <c r="AN192" s="55" t="e">
        <f t="shared" si="38"/>
        <v>#REF!</v>
      </c>
      <c r="AO192" s="55" t="e">
        <f t="shared" si="39"/>
        <v>#REF!</v>
      </c>
    </row>
    <row r="193" spans="2:41" ht="15.75" customHeight="1" x14ac:dyDescent="0.2">
      <c r="B193" s="33">
        <v>115</v>
      </c>
      <c r="C193" s="33" t="s">
        <v>188</v>
      </c>
      <c r="D193" s="29">
        <v>0.5</v>
      </c>
      <c r="E193" s="50">
        <v>5</v>
      </c>
      <c r="F193">
        <v>10</v>
      </c>
      <c r="G193">
        <v>20</v>
      </c>
      <c r="R193" s="45"/>
      <c r="S193" s="45"/>
      <c r="T193" s="33"/>
      <c r="U193" s="33"/>
      <c r="V193" s="33"/>
      <c r="W193" s="50"/>
      <c r="X193" s="33"/>
      <c r="Y193" s="33"/>
      <c r="Z193" s="67"/>
      <c r="AB193" s="33" t="e">
        <f t="shared" ref="AB193:AD193" si="44">AB192</f>
        <v>#REF!</v>
      </c>
      <c r="AC193" s="33">
        <f t="shared" si="44"/>
        <v>100</v>
      </c>
      <c r="AD193" s="118" t="e">
        <f t="shared" si="44"/>
        <v>#REF!</v>
      </c>
      <c r="AE193" s="113" t="e">
        <f t="shared" si="36"/>
        <v>#REF!</v>
      </c>
      <c r="AF193" s="44" t="e">
        <f>AF192</f>
        <v>#REF!</v>
      </c>
      <c r="AG193" s="44"/>
      <c r="AH193" s="33">
        <v>100</v>
      </c>
      <c r="AI193" s="31">
        <f t="shared" ref="AI193:AJ193" si="45">AI192</f>
        <v>100</v>
      </c>
      <c r="AJ193" s="52" t="e">
        <f t="shared" si="45"/>
        <v>#REF!</v>
      </c>
      <c r="AK193" s="62" t="e">
        <f t="shared" si="37"/>
        <v>#REF!</v>
      </c>
      <c r="AL193" s="32" t="e">
        <f>AL192</f>
        <v>#REF!</v>
      </c>
      <c r="AN193" s="117" t="e">
        <f t="shared" si="38"/>
        <v>#REF!</v>
      </c>
      <c r="AO193" s="54" t="e">
        <f t="shared" si="39"/>
        <v>#REF!</v>
      </c>
    </row>
    <row r="194" spans="2:41" ht="15.75" customHeight="1" x14ac:dyDescent="0.2">
      <c r="B194" s="36">
        <v>122</v>
      </c>
      <c r="C194" s="121" t="s">
        <v>188</v>
      </c>
      <c r="D194" s="37">
        <v>0.5</v>
      </c>
      <c r="E194" s="51">
        <v>5</v>
      </c>
      <c r="F194" s="35">
        <v>10</v>
      </c>
      <c r="G194" s="35">
        <v>20</v>
      </c>
      <c r="H194" s="35"/>
      <c r="R194" s="47"/>
      <c r="S194" s="47"/>
      <c r="T194" s="36"/>
      <c r="U194" s="36"/>
      <c r="V194" s="36"/>
      <c r="W194" s="51"/>
      <c r="X194" s="36"/>
      <c r="Y194" s="36"/>
      <c r="Z194" s="67"/>
      <c r="AB194" s="36" t="e">
        <f t="shared" ref="AB194:AD194" si="46">AB193</f>
        <v>#REF!</v>
      </c>
      <c r="AC194" s="36">
        <f t="shared" si="46"/>
        <v>100</v>
      </c>
      <c r="AD194" s="119" t="e">
        <f t="shared" si="46"/>
        <v>#REF!</v>
      </c>
      <c r="AE194" s="114" t="e">
        <f t="shared" si="36"/>
        <v>#REF!</v>
      </c>
      <c r="AF194" s="48" t="e">
        <f>AF193</f>
        <v>#REF!</v>
      </c>
      <c r="AG194" s="44"/>
      <c r="AH194" s="36">
        <v>100</v>
      </c>
      <c r="AI194" s="38">
        <f t="shared" ref="AI194:AJ194" si="47">AI193</f>
        <v>100</v>
      </c>
      <c r="AJ194" s="119" t="e">
        <f t="shared" si="47"/>
        <v>#REF!</v>
      </c>
      <c r="AK194" s="114" t="e">
        <f t="shared" si="37"/>
        <v>#REF!</v>
      </c>
      <c r="AL194" s="39" t="e">
        <f>AL193</f>
        <v>#REF!</v>
      </c>
      <c r="AN194" s="114" t="e">
        <f t="shared" si="38"/>
        <v>#REF!</v>
      </c>
      <c r="AO194" s="114" t="e">
        <f t="shared" si="39"/>
        <v>#REF!</v>
      </c>
    </row>
    <row r="195" spans="2:41" ht="15.75" customHeight="1" x14ac:dyDescent="0.2">
      <c r="B195" s="33">
        <v>122</v>
      </c>
      <c r="C195" s="33" t="s">
        <v>188</v>
      </c>
      <c r="D195" s="29">
        <v>0.5</v>
      </c>
      <c r="E195" s="50">
        <v>5</v>
      </c>
      <c r="F195">
        <v>10</v>
      </c>
      <c r="G195">
        <v>20</v>
      </c>
      <c r="R195" s="45" t="s">
        <v>189</v>
      </c>
      <c r="S195" s="45"/>
      <c r="T195" s="33"/>
      <c r="U195" s="33"/>
      <c r="V195" s="33">
        <v>200</v>
      </c>
      <c r="W195" s="50" t="e">
        <f>V195/#REF!</f>
        <v>#REF!</v>
      </c>
      <c r="X195" s="33"/>
      <c r="Y195" s="33"/>
      <c r="Z195" s="67"/>
      <c r="AB195" s="33" t="e">
        <f>#REF!</f>
        <v>#REF!</v>
      </c>
      <c r="AC195" s="33">
        <f>V195*D195</f>
        <v>100</v>
      </c>
      <c r="AD195" s="118" t="e">
        <f>AB195*(1+F195/100)/(1-#REF!/100)</f>
        <v>#REF!</v>
      </c>
      <c r="AE195" s="113" t="e">
        <f t="shared" si="36"/>
        <v>#REF!</v>
      </c>
      <c r="AF195" s="44" t="e">
        <f>AF194</f>
        <v>#REF!</v>
      </c>
      <c r="AG195" s="44"/>
      <c r="AH195" s="33" t="e">
        <f>#REF!</f>
        <v>#REF!</v>
      </c>
      <c r="AI195" s="31">
        <f>V195*(1-D195)</f>
        <v>100</v>
      </c>
      <c r="AJ195" s="52" t="e">
        <f>AH195*(1+G195/100)/(1-#REF!/100)</f>
        <v>#REF!</v>
      </c>
      <c r="AK195" s="54" t="e">
        <f t="shared" si="37"/>
        <v>#REF!</v>
      </c>
      <c r="AL195" s="32" t="e">
        <f>AI195/AH195</f>
        <v>#REF!</v>
      </c>
      <c r="AN195" s="117" t="e">
        <f t="shared" si="38"/>
        <v>#REF!</v>
      </c>
      <c r="AO195" s="54" t="e">
        <f t="shared" si="39"/>
        <v>#REF!</v>
      </c>
    </row>
    <row r="196" spans="2:41" ht="15.75" customHeight="1" x14ac:dyDescent="0.2">
      <c r="B196" s="33"/>
      <c r="C196" s="33"/>
      <c r="D196" s="29"/>
      <c r="E196" s="50"/>
      <c r="R196" s="45"/>
      <c r="S196" s="45"/>
      <c r="T196" s="33"/>
      <c r="U196" s="33"/>
      <c r="V196" s="33"/>
      <c r="W196" s="50"/>
      <c r="X196" s="33"/>
      <c r="Y196" s="33"/>
      <c r="Z196" s="67"/>
      <c r="AB196" s="33"/>
      <c r="AC196" s="33"/>
      <c r="AD196" s="52"/>
      <c r="AE196" s="62"/>
      <c r="AF196" s="44"/>
      <c r="AG196" s="44"/>
      <c r="AH196" s="33"/>
      <c r="AI196" s="31"/>
      <c r="AJ196" s="33"/>
      <c r="AK196" s="62"/>
      <c r="AL196" s="32"/>
    </row>
    <row r="197" spans="2:41" ht="15.75" customHeight="1" x14ac:dyDescent="0.2">
      <c r="AB197" s="110"/>
      <c r="AC197" s="110"/>
      <c r="AD197" s="110"/>
      <c r="AE197" s="110"/>
      <c r="AF197" s="110"/>
      <c r="AG197" s="110"/>
      <c r="AH197" s="110"/>
      <c r="AI197" s="110"/>
      <c r="AJ197" s="110"/>
      <c r="AK197" s="110"/>
      <c r="AL197" s="110"/>
      <c r="AM197" s="110"/>
    </row>
    <row r="198" spans="2:41" ht="15.75" customHeight="1" x14ac:dyDescent="0.2">
      <c r="B198" s="178" t="s">
        <v>103</v>
      </c>
      <c r="C198" s="34"/>
      <c r="AB198" s="110"/>
      <c r="AC198" s="110"/>
      <c r="AD198" s="111"/>
      <c r="AE198" s="110"/>
      <c r="AF198" s="110"/>
      <c r="AG198" s="110"/>
      <c r="AH198" s="110"/>
      <c r="AI198" s="110"/>
      <c r="AJ198" s="110"/>
      <c r="AK198" s="110"/>
      <c r="AL198" s="110"/>
      <c r="AM198" s="110"/>
    </row>
    <row r="199" spans="2:41" ht="15.75" customHeight="1" x14ac:dyDescent="0.2">
      <c r="B199" s="28" t="s">
        <v>61</v>
      </c>
      <c r="C199" s="28"/>
      <c r="D199" s="28" t="s">
        <v>29</v>
      </c>
      <c r="E199" s="57" t="s">
        <v>63</v>
      </c>
      <c r="F199" s="57" t="s">
        <v>72</v>
      </c>
      <c r="G199" s="57" t="s">
        <v>99</v>
      </c>
      <c r="H199" s="57"/>
      <c r="I199" s="101"/>
      <c r="J199" s="101"/>
      <c r="K199" s="101"/>
      <c r="L199" s="101"/>
      <c r="M199" s="101"/>
      <c r="N199" s="101"/>
      <c r="O199" s="101"/>
      <c r="P199" s="101"/>
      <c r="AB199" s="110"/>
      <c r="AC199" s="110"/>
      <c r="AD199" s="112"/>
      <c r="AE199" s="110"/>
      <c r="AF199" s="110"/>
      <c r="AG199" s="110"/>
      <c r="AH199" s="110"/>
      <c r="AI199" s="110"/>
      <c r="AJ199" s="110"/>
      <c r="AK199" s="110"/>
      <c r="AL199" s="110"/>
      <c r="AM199" s="110"/>
    </row>
    <row r="200" spans="2:41" ht="15.75" customHeight="1" x14ac:dyDescent="0.2">
      <c r="B200" s="33">
        <v>100</v>
      </c>
      <c r="C200" s="33"/>
      <c r="D200" s="29">
        <v>0.5</v>
      </c>
      <c r="E200" s="50">
        <v>5</v>
      </c>
      <c r="F200">
        <v>10</v>
      </c>
      <c r="G200">
        <v>20</v>
      </c>
      <c r="AB200" s="110"/>
      <c r="AC200" s="110"/>
      <c r="AD200" s="110"/>
      <c r="AE200" s="110"/>
      <c r="AF200" s="110"/>
      <c r="AG200" s="110"/>
      <c r="AH200" s="110"/>
      <c r="AI200" s="110"/>
      <c r="AJ200" s="110"/>
      <c r="AK200" s="110"/>
      <c r="AL200" s="110"/>
      <c r="AM200" s="110"/>
    </row>
    <row r="201" spans="2:41" ht="15.75" customHeight="1" x14ac:dyDescent="0.2">
      <c r="B201" s="36">
        <v>109</v>
      </c>
      <c r="C201" s="36"/>
      <c r="D201" s="37">
        <v>0.5</v>
      </c>
      <c r="E201" s="51">
        <v>5</v>
      </c>
      <c r="F201" s="35">
        <v>10</v>
      </c>
      <c r="G201" s="35">
        <v>20</v>
      </c>
      <c r="H201" s="35"/>
      <c r="AB201" s="110"/>
      <c r="AC201" s="110"/>
      <c r="AD201" s="110"/>
      <c r="AE201" s="110"/>
      <c r="AF201" s="110"/>
      <c r="AG201" s="110"/>
      <c r="AH201" s="110"/>
      <c r="AI201" s="110"/>
      <c r="AJ201" s="110"/>
      <c r="AK201" s="110"/>
      <c r="AL201" s="110"/>
      <c r="AM201" s="110"/>
    </row>
    <row r="202" spans="2:41" ht="15.75" customHeight="1" x14ac:dyDescent="0.2">
      <c r="B202" s="33">
        <v>115</v>
      </c>
      <c r="C202" s="33"/>
      <c r="D202" s="29">
        <v>0.5</v>
      </c>
      <c r="E202" s="50">
        <v>5</v>
      </c>
      <c r="F202">
        <v>10</v>
      </c>
      <c r="G202">
        <v>20</v>
      </c>
      <c r="AB202" s="110"/>
      <c r="AC202" s="110"/>
      <c r="AD202" s="110"/>
      <c r="AE202" s="110"/>
      <c r="AF202" s="110"/>
      <c r="AG202" s="110"/>
      <c r="AH202" s="110"/>
      <c r="AI202" s="110"/>
      <c r="AJ202" s="110"/>
      <c r="AK202" s="110"/>
      <c r="AL202" s="110"/>
      <c r="AM202" s="110"/>
    </row>
    <row r="203" spans="2:41" ht="15.75" customHeight="1" x14ac:dyDescent="0.2">
      <c r="B203" s="36">
        <v>122</v>
      </c>
      <c r="C203" s="36"/>
      <c r="D203" s="37">
        <v>0.5</v>
      </c>
      <c r="E203" s="51">
        <v>5</v>
      </c>
      <c r="F203" s="35">
        <v>10</v>
      </c>
      <c r="G203" s="35">
        <v>20</v>
      </c>
      <c r="H203" s="35"/>
      <c r="AB203" s="110"/>
      <c r="AC203" s="110"/>
      <c r="AD203" s="110"/>
      <c r="AE203" s="110"/>
      <c r="AF203" s="110"/>
      <c r="AG203" s="110"/>
      <c r="AH203" s="110"/>
      <c r="AI203" s="110"/>
      <c r="AJ203" s="110"/>
      <c r="AK203" s="110"/>
      <c r="AL203" s="110"/>
      <c r="AM203" s="110"/>
    </row>
    <row r="204" spans="2:41" ht="15.75" customHeight="1" x14ac:dyDescent="0.2">
      <c r="AM204" s="120"/>
    </row>
    <row r="205" spans="2:41" ht="15.75" customHeight="1" x14ac:dyDescent="0.2">
      <c r="B205" s="178" t="s">
        <v>175</v>
      </c>
      <c r="C205" s="34"/>
      <c r="AB205" s="56" t="s">
        <v>186</v>
      </c>
      <c r="AC205" s="12"/>
      <c r="AD205" s="12"/>
      <c r="AE205" s="34" t="s">
        <v>179</v>
      </c>
      <c r="AH205" s="46"/>
      <c r="AI205" s="45"/>
      <c r="AJ205" s="46"/>
      <c r="AK205" s="46"/>
      <c r="AL205" s="45"/>
    </row>
    <row r="206" spans="2:41" ht="15.75" customHeight="1" x14ac:dyDescent="0.2">
      <c r="B206" s="28" t="s">
        <v>110</v>
      </c>
      <c r="C206" s="28" t="s">
        <v>114</v>
      </c>
      <c r="D206" s="28" t="s">
        <v>29</v>
      </c>
      <c r="E206" s="57" t="s">
        <v>63</v>
      </c>
      <c r="F206" s="57" t="s">
        <v>72</v>
      </c>
      <c r="G206" s="57" t="s">
        <v>99</v>
      </c>
      <c r="H206" s="57"/>
      <c r="I206" s="101"/>
      <c r="J206" s="101"/>
      <c r="K206" s="101"/>
      <c r="L206" s="101"/>
      <c r="M206" s="101"/>
      <c r="N206" s="101"/>
      <c r="O206" s="101"/>
      <c r="P206" s="101"/>
      <c r="R206" s="28" t="s">
        <v>3</v>
      </c>
      <c r="S206" s="28"/>
      <c r="T206" s="28"/>
      <c r="U206" s="57" t="s">
        <v>70</v>
      </c>
      <c r="V206" s="28" t="s">
        <v>1</v>
      </c>
      <c r="W206" s="57" t="s">
        <v>62</v>
      </c>
      <c r="X206" s="101"/>
      <c r="Y206" s="101"/>
      <c r="AB206" s="57" t="s">
        <v>0</v>
      </c>
      <c r="AC206" s="57" t="s">
        <v>9</v>
      </c>
      <c r="AD206" s="101"/>
      <c r="AE206" s="57" t="s">
        <v>182</v>
      </c>
      <c r="AF206" s="57" t="s">
        <v>183</v>
      </c>
      <c r="AG206" s="57" t="s">
        <v>181</v>
      </c>
      <c r="AH206" s="101"/>
      <c r="AI206" s="101"/>
      <c r="AJ206" s="101"/>
      <c r="AK206" s="101"/>
      <c r="AL206" s="101"/>
    </row>
    <row r="207" spans="2:41" ht="15.75" customHeight="1" x14ac:dyDescent="0.2">
      <c r="B207" s="33">
        <v>100</v>
      </c>
      <c r="C207" s="99" t="s">
        <v>176</v>
      </c>
      <c r="D207" s="29">
        <v>0.5</v>
      </c>
      <c r="E207" s="50">
        <v>5</v>
      </c>
      <c r="F207">
        <v>10</v>
      </c>
      <c r="G207">
        <v>20</v>
      </c>
      <c r="R207" s="45" t="s">
        <v>75</v>
      </c>
      <c r="S207" s="45"/>
      <c r="T207" s="33"/>
      <c r="U207" s="33"/>
      <c r="V207" s="33">
        <v>500</v>
      </c>
      <c r="W207" s="50" t="e">
        <f>V207/#REF!</f>
        <v>#REF!</v>
      </c>
      <c r="X207" s="52"/>
      <c r="Y207" s="52"/>
      <c r="AB207" s="33"/>
      <c r="AC207" s="33"/>
      <c r="AD207" s="33"/>
      <c r="AE207" s="100"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07" s="92" t="s">
        <v>34</v>
      </c>
      <c r="AG207" t="s">
        <v>184</v>
      </c>
      <c r="AH207" s="99"/>
      <c r="AI207" s="102"/>
      <c r="AJ207" s="99"/>
      <c r="AK207" s="103"/>
      <c r="AL207" s="104"/>
    </row>
    <row r="208" spans="2:41" ht="15.75" customHeight="1" x14ac:dyDescent="0.2">
      <c r="B208" s="36"/>
      <c r="C208" s="36"/>
      <c r="D208" s="37"/>
      <c r="E208" s="51"/>
      <c r="F208" s="35"/>
      <c r="G208" s="35"/>
      <c r="H208" s="35"/>
      <c r="R208" s="47" t="s">
        <v>75</v>
      </c>
      <c r="S208" s="47"/>
      <c r="T208" s="36"/>
      <c r="U208" s="36"/>
      <c r="V208" s="36">
        <v>200</v>
      </c>
      <c r="W208" s="51" t="e">
        <f>V208/#REF!</f>
        <v>#REF!</v>
      </c>
      <c r="X208" s="52"/>
      <c r="Y208" s="52"/>
      <c r="AB208" s="36"/>
      <c r="AC208" s="36"/>
      <c r="AD208" s="33"/>
      <c r="AE208" s="107"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08" s="105" t="s">
        <v>34</v>
      </c>
      <c r="AG208" s="35" t="e">
        <f>#REF!</f>
        <v>#REF!</v>
      </c>
      <c r="AH208" s="99"/>
      <c r="AI208" s="102"/>
      <c r="AJ208" s="99"/>
      <c r="AK208" s="103"/>
      <c r="AL208" s="104"/>
    </row>
    <row r="209" spans="2:44" ht="15.75" customHeight="1" x14ac:dyDescent="0.2">
      <c r="B209" s="33">
        <v>50</v>
      </c>
      <c r="C209" s="99" t="s">
        <v>185</v>
      </c>
      <c r="D209" s="29">
        <v>0.5</v>
      </c>
      <c r="E209" s="50">
        <v>8</v>
      </c>
      <c r="F209">
        <v>10</v>
      </c>
      <c r="G209">
        <v>20</v>
      </c>
      <c r="R209" s="45" t="s">
        <v>75</v>
      </c>
      <c r="S209" s="45"/>
      <c r="T209" s="33"/>
      <c r="U209" s="33"/>
      <c r="V209" s="33">
        <v>600</v>
      </c>
      <c r="W209" s="50" t="e">
        <f>V209/#REF!</f>
        <v>#REF!</v>
      </c>
      <c r="X209" s="52"/>
      <c r="Y209" s="52"/>
      <c r="AB209" s="33" t="e">
        <f>#REF!</f>
        <v>#REF!</v>
      </c>
      <c r="AC209" s="52" t="e">
        <f>AB209 * (1 - $E$209%)</f>
        <v>#REF!</v>
      </c>
      <c r="AD209" s="33"/>
      <c r="AF209" s="54" t="e">
        <f>($B$209 -#REF!) /#REF!</f>
        <v>#REF!</v>
      </c>
      <c r="AG209" t="e">
        <f>#REF!</f>
        <v>#REF!</v>
      </c>
      <c r="AH209" s="99"/>
      <c r="AI209" s="102"/>
      <c r="AJ209" s="99"/>
      <c r="AK209" s="103"/>
      <c r="AL209" s="104"/>
    </row>
    <row r="210" spans="2:44" ht="15.75" customHeight="1" x14ac:dyDescent="0.2">
      <c r="B210" s="36"/>
      <c r="C210" s="36"/>
      <c r="D210" s="37"/>
      <c r="E210" s="51"/>
      <c r="F210" s="35"/>
      <c r="G210" s="35"/>
      <c r="H210" s="35"/>
      <c r="R210" s="47" t="s">
        <v>75</v>
      </c>
      <c r="S210" s="47"/>
      <c r="T210" s="36"/>
      <c r="U210" s="36"/>
      <c r="V210" s="36">
        <v>520</v>
      </c>
      <c r="W210" s="51" t="e">
        <f>V210/#REF!</f>
        <v>#REF!</v>
      </c>
      <c r="X210" s="52"/>
      <c r="Y210" s="52"/>
      <c r="AB210" s="36" t="e">
        <f>#REF!</f>
        <v>#REF!</v>
      </c>
      <c r="AC210" s="40" t="e">
        <f t="shared" ref="AC210:AC211" si="48">AB210 * (1 - $E$209%)</f>
        <v>#REF!</v>
      </c>
      <c r="AD210" s="33"/>
      <c r="AE210" s="35"/>
      <c r="AF210" s="55" t="e">
        <f>($B$209 -#REF!) /#REF!</f>
        <v>#REF!</v>
      </c>
      <c r="AG210" s="35" t="e">
        <f>#REF!</f>
        <v>#REF!</v>
      </c>
      <c r="AH210" s="99"/>
      <c r="AI210" s="102"/>
      <c r="AJ210" s="99"/>
      <c r="AK210" s="103"/>
      <c r="AL210" s="104"/>
    </row>
    <row r="211" spans="2:44" ht="15.75" customHeight="1" x14ac:dyDescent="0.2">
      <c r="B211" s="33"/>
      <c r="C211" s="33"/>
      <c r="D211" s="29"/>
      <c r="E211" s="50"/>
      <c r="R211" t="s">
        <v>75</v>
      </c>
      <c r="V211" s="33">
        <v>700</v>
      </c>
      <c r="W211" s="50" t="e">
        <f>V211/#REF!</f>
        <v>#REF!</v>
      </c>
      <c r="X211" s="52"/>
      <c r="Y211" s="52"/>
      <c r="AB211" s="33" t="e">
        <f>#REF!</f>
        <v>#REF!</v>
      </c>
      <c r="AC211" s="52" t="e">
        <f t="shared" si="48"/>
        <v>#REF!</v>
      </c>
      <c r="AF211" s="54" t="e">
        <f>($B$209 -#REF!) /#REF!</f>
        <v>#REF!</v>
      </c>
      <c r="AG211" t="e">
        <f>#REF!</f>
        <v>#REF!</v>
      </c>
      <c r="AH211" s="45"/>
      <c r="AI211" s="45"/>
      <c r="AJ211" s="45"/>
      <c r="AK211" s="45"/>
      <c r="AL211" s="45"/>
    </row>
    <row r="212" spans="2:44" ht="15.75" customHeight="1" x14ac:dyDescent="0.2">
      <c r="B212" s="99" t="s">
        <v>177</v>
      </c>
      <c r="C212" s="33"/>
      <c r="D212" s="29"/>
      <c r="E212" s="50"/>
      <c r="R212" s="47" t="s">
        <v>75</v>
      </c>
      <c r="S212" s="47"/>
      <c r="T212" s="35"/>
      <c r="U212" s="35"/>
      <c r="V212" s="36">
        <v>255</v>
      </c>
      <c r="W212" s="51" t="e">
        <f>V212/#REF!</f>
        <v>#REF!</v>
      </c>
      <c r="AB212" s="36" t="e">
        <f>#REF!</f>
        <v>#REF!</v>
      </c>
      <c r="AC212" s="40" t="e">
        <f>(AB212 * (1 - $E$209%)) / (1 +#REF! %)</f>
        <v>#REF!</v>
      </c>
      <c r="AE212" s="35"/>
      <c r="AF212" s="106" t="e">
        <f>($B$209 -#REF!) /#REF!</f>
        <v>#REF!</v>
      </c>
      <c r="AG212" s="35" t="e">
        <f>#REF!</f>
        <v>#REF!</v>
      </c>
    </row>
    <row r="213" spans="2:44" ht="15.75" customHeight="1" x14ac:dyDescent="0.2">
      <c r="B213" s="57" t="s">
        <v>2</v>
      </c>
      <c r="C213" s="57" t="s">
        <v>178</v>
      </c>
      <c r="D213" s="57" t="s">
        <v>180</v>
      </c>
      <c r="R213" s="45" t="s">
        <v>75</v>
      </c>
      <c r="S213" s="45"/>
      <c r="V213" s="33">
        <v>1100</v>
      </c>
      <c r="W213" s="50" t="e">
        <f>V213/#REF!</f>
        <v>#REF!</v>
      </c>
      <c r="AB213" s="33" t="e">
        <f>#REF!</f>
        <v>#REF!</v>
      </c>
      <c r="AE213" s="100" t="e">
        <f>IF(
      OR(
        (B207*(1+#REF!/100)/C214-1)*100 &lt;= -E207,
        (B207*(1+#REF!/100)/C215-1)*100 &lt;= -E207,
        (B207*(1+#REF!/100)/C216-1)*100 &lt;= -E207,
        (B207*(1+#REF!/100)/C217-1)*100 &lt;= -E207,
        (B207*(1+#REF!/100)/C218-1)*100 &lt;= -E207
      ),
      MIN(
        IF((B207*(1+#REF!/100)/C214-1)*100 &lt;= -E207, (B207*(1+#REF!/100)/C214-1)*100, 0),
        IF((B207*(1+#REF!/100)/C215-1)*100 &lt;= -E207, (B207*(1+#REF!/100)/C215-1)*100, 0),
        IF((B207*(1+#REF!/100)/C216-1)*100 &lt;= -E207, (B207*(1+#REF!/100)/C216-1)*100, 0),
        IF((B207*(1+#REF!/100)/C217-1)*100 &lt;= -E207, (B207*(1+#REF!/100)/C217-1)*100, 0),
        IF((B207*(1+#REF!/100)/C218-1)*100 &lt;= -E207, (B207*(1+#REF!/100)/C218-1)*100, 0)
      )/100,
      ""
    )</f>
        <v>#REF!</v>
      </c>
      <c r="AF213" s="108" t="e">
        <f>($B$207 -#REF!) /#REF!</f>
        <v>#REF!</v>
      </c>
      <c r="AG213" t="e">
        <f>#REF!</f>
        <v>#REF!</v>
      </c>
    </row>
    <row r="214" spans="2:44" ht="15.75" customHeight="1" x14ac:dyDescent="0.2">
      <c r="B214" s="98">
        <v>45924</v>
      </c>
      <c r="C214" s="97">
        <v>106</v>
      </c>
    </row>
    <row r="215" spans="2:44" ht="15.75" customHeight="1" x14ac:dyDescent="0.2">
      <c r="B215" s="98">
        <v>45923</v>
      </c>
      <c r="C215" s="97">
        <v>105</v>
      </c>
    </row>
    <row r="216" spans="2:44" ht="15.75" customHeight="1" x14ac:dyDescent="0.2">
      <c r="B216" s="98">
        <v>45922</v>
      </c>
      <c r="C216" s="97">
        <v>108</v>
      </c>
    </row>
    <row r="217" spans="2:44" ht="15.75" customHeight="1" x14ac:dyDescent="0.2">
      <c r="B217" s="98">
        <v>45921</v>
      </c>
      <c r="C217" s="97">
        <v>107</v>
      </c>
    </row>
    <row r="218" spans="2:44" ht="15.75" customHeight="1" x14ac:dyDescent="0.2">
      <c r="B218" s="98">
        <v>45920</v>
      </c>
      <c r="C218" s="97">
        <v>104</v>
      </c>
      <c r="Q218" s="45"/>
      <c r="AC218" s="68"/>
    </row>
    <row r="219" spans="2:44" ht="15.75" customHeight="1" x14ac:dyDescent="0.2">
      <c r="Q219" s="45"/>
    </row>
    <row r="220" spans="2:44" ht="15.75" customHeight="1" x14ac:dyDescent="0.2">
      <c r="Q220" s="45"/>
    </row>
    <row r="221" spans="2:44" ht="15.75" customHeight="1" x14ac:dyDescent="0.2">
      <c r="Q221" s="92"/>
      <c r="AC221" s="45" t="s">
        <v>74</v>
      </c>
      <c r="AM221" s="45" t="s">
        <v>94</v>
      </c>
    </row>
    <row r="222" spans="2:44" ht="15.75" customHeight="1" x14ac:dyDescent="0.2">
      <c r="AC222" s="69" t="s">
        <v>2</v>
      </c>
      <c r="AD222" s="70" t="s">
        <v>3</v>
      </c>
      <c r="AE222" s="70"/>
      <c r="AF222" s="70" t="s">
        <v>76</v>
      </c>
      <c r="AG222" s="70" t="s">
        <v>4</v>
      </c>
      <c r="AH222" s="70" t="s">
        <v>0</v>
      </c>
      <c r="AI222" s="70" t="s">
        <v>1</v>
      </c>
      <c r="AJ222" s="70" t="s">
        <v>62</v>
      </c>
      <c r="AK222" s="70"/>
      <c r="AL222" s="70" t="s">
        <v>77</v>
      </c>
      <c r="AM222" s="70" t="s">
        <v>84</v>
      </c>
      <c r="AN222" s="70" t="s">
        <v>83</v>
      </c>
      <c r="AO222" s="70" t="s">
        <v>7</v>
      </c>
      <c r="AP222" s="70" t="s">
        <v>81</v>
      </c>
      <c r="AQ222" s="70" t="s">
        <v>79</v>
      </c>
      <c r="AR222" s="70" t="s">
        <v>82</v>
      </c>
    </row>
    <row r="223" spans="2:44" ht="15.75" customHeight="1" x14ac:dyDescent="0.2">
      <c r="AC223" s="78">
        <v>45658</v>
      </c>
      <c r="AD223" s="79" t="s">
        <v>75</v>
      </c>
      <c r="AE223" s="79"/>
      <c r="AF223" s="80" t="s">
        <v>85</v>
      </c>
      <c r="AG223" s="79" t="s">
        <v>78</v>
      </c>
      <c r="AH223" s="81">
        <v>200</v>
      </c>
      <c r="AI223" s="81">
        <v>200</v>
      </c>
      <c r="AJ223" s="82">
        <f>AI223/AH223</f>
        <v>1</v>
      </c>
      <c r="AK223" s="82"/>
      <c r="AL223" s="79"/>
      <c r="AM223" s="82">
        <v>1</v>
      </c>
      <c r="AN223" s="82">
        <f>AM223/2</f>
        <v>0.5</v>
      </c>
      <c r="AO223" s="83">
        <f>AM223/2</f>
        <v>0.5</v>
      </c>
      <c r="AP223" s="81">
        <v>0</v>
      </c>
      <c r="AQ223" s="84">
        <f>ABS(AP223-AI223)</f>
        <v>200</v>
      </c>
      <c r="AR223" s="85">
        <f>((AP223+(AJ223*AH223)-AQ223)/AQ223)</f>
        <v>0</v>
      </c>
    </row>
    <row r="224" spans="2:44" ht="15.75" customHeight="1" x14ac:dyDescent="0.2">
      <c r="AC224" s="71">
        <v>45659</v>
      </c>
      <c r="AD224" s="72" t="s">
        <v>73</v>
      </c>
      <c r="AE224" s="72"/>
      <c r="AF224" s="74" t="s">
        <v>86</v>
      </c>
      <c r="AG224" s="72" t="s">
        <v>10</v>
      </c>
      <c r="AH224" s="73">
        <v>220</v>
      </c>
      <c r="AI224" s="72"/>
      <c r="AJ224" s="75">
        <f>AN223</f>
        <v>0.5</v>
      </c>
      <c r="AK224" s="75"/>
      <c r="AL224" s="73">
        <f>AH224*AJ224</f>
        <v>110</v>
      </c>
      <c r="AM224" s="75">
        <v>0.5</v>
      </c>
      <c r="AN224" s="75">
        <v>0</v>
      </c>
      <c r="AO224" s="75">
        <v>0.5</v>
      </c>
      <c r="AP224" s="73">
        <f>AL224+AP223</f>
        <v>110</v>
      </c>
      <c r="AQ224" s="73">
        <f>AQ223</f>
        <v>200</v>
      </c>
      <c r="AR224" s="77">
        <f t="shared" ref="AR224:AR232" si="49">((AP224+(AM224*AH224)-AQ224)/AQ224)</f>
        <v>0.1</v>
      </c>
    </row>
    <row r="225" spans="26:44" ht="15.75" customHeight="1" x14ac:dyDescent="0.2">
      <c r="AC225" s="78">
        <v>45660</v>
      </c>
      <c r="AD225" s="79" t="s">
        <v>75</v>
      </c>
      <c r="AE225" s="79"/>
      <c r="AF225" s="80" t="s">
        <v>87</v>
      </c>
      <c r="AG225" s="79" t="s">
        <v>80</v>
      </c>
      <c r="AH225" s="81">
        <v>220</v>
      </c>
      <c r="AI225" s="81">
        <v>220</v>
      </c>
      <c r="AJ225" s="82">
        <f>AI225/AH225</f>
        <v>1</v>
      </c>
      <c r="AK225" s="82"/>
      <c r="AL225" s="79"/>
      <c r="AM225" s="82">
        <f>AJ225+AM224</f>
        <v>1.5</v>
      </c>
      <c r="AN225" s="82">
        <f>AN224+(AJ225/2)</f>
        <v>0.5</v>
      </c>
      <c r="AO225" s="82">
        <f>AO224+(AJ225/2)</f>
        <v>1</v>
      </c>
      <c r="AP225" s="81">
        <v>0</v>
      </c>
      <c r="AQ225" s="81">
        <f>AQ224+(AI225-AP224)</f>
        <v>310</v>
      </c>
      <c r="AR225" s="85">
        <f t="shared" si="49"/>
        <v>6.4516129032258063E-2</v>
      </c>
    </row>
    <row r="226" spans="26:44" ht="15.75" customHeight="1" x14ac:dyDescent="0.2">
      <c r="AC226" s="71">
        <v>45661</v>
      </c>
      <c r="AD226" s="72" t="s">
        <v>73</v>
      </c>
      <c r="AE226" s="72"/>
      <c r="AF226" s="74" t="s">
        <v>88</v>
      </c>
      <c r="AG226" s="72" t="s">
        <v>80</v>
      </c>
      <c r="AH226" s="73">
        <v>190</v>
      </c>
      <c r="AI226" s="72"/>
      <c r="AJ226" s="75">
        <v>0.5</v>
      </c>
      <c r="AK226" s="75"/>
      <c r="AL226" s="73">
        <f>AH226*AJ226</f>
        <v>95</v>
      </c>
      <c r="AM226" s="75">
        <f>AM225-AJ226</f>
        <v>1</v>
      </c>
      <c r="AN226" s="75">
        <f>AN225</f>
        <v>0.5</v>
      </c>
      <c r="AO226" s="75">
        <f>AO225-AJ226</f>
        <v>0.5</v>
      </c>
      <c r="AP226" s="73">
        <f>AP225+AL226</f>
        <v>95</v>
      </c>
      <c r="AQ226" s="73">
        <f>AQ225</f>
        <v>310</v>
      </c>
      <c r="AR226" s="77">
        <f t="shared" si="49"/>
        <v>-8.0645161290322578E-2</v>
      </c>
    </row>
    <row r="227" spans="26:44" ht="15.75" customHeight="1" x14ac:dyDescent="0.2">
      <c r="AC227" s="78">
        <v>45662</v>
      </c>
      <c r="AD227" s="79" t="s">
        <v>75</v>
      </c>
      <c r="AE227" s="79"/>
      <c r="AF227" s="80" t="s">
        <v>89</v>
      </c>
      <c r="AG227" s="79" t="s">
        <v>80</v>
      </c>
      <c r="AH227" s="81">
        <v>200</v>
      </c>
      <c r="AI227" s="81">
        <v>200</v>
      </c>
      <c r="AJ227" s="82">
        <f>AI227/AH227</f>
        <v>1</v>
      </c>
      <c r="AK227" s="82"/>
      <c r="AL227" s="79"/>
      <c r="AM227" s="82">
        <f>AM226+AJ227</f>
        <v>2</v>
      </c>
      <c r="AN227" s="82">
        <f>AN226+(AJ227/2)</f>
        <v>1</v>
      </c>
      <c r="AO227" s="82">
        <f>AO226+(AJ227/2)</f>
        <v>1</v>
      </c>
      <c r="AP227" s="81">
        <v>0</v>
      </c>
      <c r="AQ227" s="81">
        <f>AQ226+(AI227-AP226)</f>
        <v>415</v>
      </c>
      <c r="AR227" s="85">
        <f t="shared" si="49"/>
        <v>-3.614457831325301E-2</v>
      </c>
    </row>
    <row r="228" spans="26:44" ht="15.75" customHeight="1" x14ac:dyDescent="0.2">
      <c r="AC228" s="71">
        <v>45663</v>
      </c>
      <c r="AD228" s="72" t="s">
        <v>73</v>
      </c>
      <c r="AE228" s="72"/>
      <c r="AF228" s="74" t="s">
        <v>90</v>
      </c>
      <c r="AG228" s="72" t="s">
        <v>80</v>
      </c>
      <c r="AH228" s="73">
        <v>210</v>
      </c>
      <c r="AI228" s="72"/>
      <c r="AJ228" s="75">
        <v>0.5</v>
      </c>
      <c r="AK228" s="75"/>
      <c r="AL228" s="73">
        <f>AH228*AJ228</f>
        <v>105</v>
      </c>
      <c r="AM228" s="75">
        <f>AM227-AJ228</f>
        <v>1.5</v>
      </c>
      <c r="AN228" s="75">
        <f>AN227-AJ228</f>
        <v>0.5</v>
      </c>
      <c r="AO228" s="75">
        <f>AO227</f>
        <v>1</v>
      </c>
      <c r="AP228" s="73">
        <f>AP227+AL228</f>
        <v>105</v>
      </c>
      <c r="AQ228" s="73">
        <f>AQ227</f>
        <v>415</v>
      </c>
      <c r="AR228" s="77">
        <f t="shared" si="49"/>
        <v>1.2048192771084338E-2</v>
      </c>
    </row>
    <row r="229" spans="26:44" ht="15.75" customHeight="1" x14ac:dyDescent="0.2">
      <c r="AC229" s="71">
        <v>45664</v>
      </c>
      <c r="AD229" s="72" t="s">
        <v>73</v>
      </c>
      <c r="AE229" s="72"/>
      <c r="AF229" s="74" t="s">
        <v>91</v>
      </c>
      <c r="AG229" s="72" t="s">
        <v>80</v>
      </c>
      <c r="AH229" s="73">
        <v>210</v>
      </c>
      <c r="AI229" s="72"/>
      <c r="AJ229" s="75">
        <v>0.5</v>
      </c>
      <c r="AK229" s="75"/>
      <c r="AL229" s="73">
        <f>AH229/2</f>
        <v>105</v>
      </c>
      <c r="AM229" s="75">
        <f>AM228-AJ229</f>
        <v>1</v>
      </c>
      <c r="AN229" s="75">
        <f>AN228</f>
        <v>0.5</v>
      </c>
      <c r="AO229" s="75">
        <f>AO228-AJ229</f>
        <v>0.5</v>
      </c>
      <c r="AP229" s="73">
        <f>AL229+AP228</f>
        <v>210</v>
      </c>
      <c r="AQ229" s="73">
        <f>AQ228</f>
        <v>415</v>
      </c>
      <c r="AR229" s="77">
        <f t="shared" si="49"/>
        <v>1.2048192771084338E-2</v>
      </c>
    </row>
    <row r="230" spans="26:44" ht="15.75" customHeight="1" x14ac:dyDescent="0.2">
      <c r="Z230" s="92"/>
      <c r="AC230" s="78">
        <v>45665</v>
      </c>
      <c r="AD230" s="80" t="s">
        <v>75</v>
      </c>
      <c r="AE230" s="80"/>
      <c r="AF230" s="80" t="s">
        <v>92</v>
      </c>
      <c r="AG230" s="80" t="s">
        <v>80</v>
      </c>
      <c r="AH230" s="81">
        <v>200</v>
      </c>
      <c r="AI230" s="81">
        <v>200</v>
      </c>
      <c r="AJ230" s="82">
        <v>1</v>
      </c>
      <c r="AK230" s="82"/>
      <c r="AL230" s="79"/>
      <c r="AM230" s="82">
        <f>AM229+AJ230</f>
        <v>2</v>
      </c>
      <c r="AN230" s="82">
        <f>AJ230+AN229</f>
        <v>1.5</v>
      </c>
      <c r="AO230" s="83">
        <f>AO229</f>
        <v>0.5</v>
      </c>
      <c r="AP230" s="81">
        <f>AP229-AI230</f>
        <v>10</v>
      </c>
      <c r="AQ230" s="81">
        <f>AQ228</f>
        <v>415</v>
      </c>
      <c r="AR230" s="85">
        <f t="shared" si="49"/>
        <v>-1.2048192771084338E-2</v>
      </c>
    </row>
    <row r="231" spans="26:44" ht="15.75" customHeight="1" x14ac:dyDescent="0.2">
      <c r="Z231" s="93"/>
      <c r="AC231" s="71">
        <v>45666</v>
      </c>
      <c r="AD231" s="74" t="s">
        <v>73</v>
      </c>
      <c r="AE231" s="74"/>
      <c r="AF231" s="74" t="s">
        <v>92</v>
      </c>
      <c r="AG231" s="74" t="s">
        <v>80</v>
      </c>
      <c r="AH231" s="73">
        <v>230</v>
      </c>
      <c r="AI231" s="72"/>
      <c r="AJ231" s="75">
        <v>0.5</v>
      </c>
      <c r="AK231" s="75"/>
      <c r="AL231" s="73">
        <f>AH231/2</f>
        <v>115</v>
      </c>
      <c r="AM231" s="75">
        <f>AM230-AJ231</f>
        <v>1.5</v>
      </c>
      <c r="AN231" s="75">
        <f>AN230-AJ231</f>
        <v>1</v>
      </c>
      <c r="AO231" s="75">
        <f>AO230</f>
        <v>0.5</v>
      </c>
      <c r="AP231" s="73">
        <f>AP230+AL231</f>
        <v>125</v>
      </c>
      <c r="AQ231" s="73">
        <f>AQ230</f>
        <v>415</v>
      </c>
      <c r="AR231" s="77">
        <f t="shared" si="49"/>
        <v>0.13253012048192772</v>
      </c>
    </row>
    <row r="232" spans="26:44" ht="15.75" customHeight="1" x14ac:dyDescent="0.2">
      <c r="Z232" s="93"/>
      <c r="AC232" s="78">
        <v>45667</v>
      </c>
      <c r="AD232" s="80" t="s">
        <v>75</v>
      </c>
      <c r="AE232" s="80"/>
      <c r="AF232" s="80" t="s">
        <v>93</v>
      </c>
      <c r="AG232" s="80" t="s">
        <v>80</v>
      </c>
      <c r="AH232" s="81">
        <v>230</v>
      </c>
      <c r="AI232" s="81">
        <v>230</v>
      </c>
      <c r="AJ232" s="82">
        <v>1</v>
      </c>
      <c r="AK232" s="82"/>
      <c r="AL232" s="79"/>
      <c r="AM232" s="82">
        <f>AM231+AJ232</f>
        <v>2.5</v>
      </c>
      <c r="AN232" s="82">
        <f>AN231</f>
        <v>1</v>
      </c>
      <c r="AO232" s="82">
        <f>AO231+AJ232</f>
        <v>1.5</v>
      </c>
      <c r="AP232" s="81">
        <v>0</v>
      </c>
      <c r="AQ232" s="81">
        <f>AQ231+(AI232-AP231)</f>
        <v>520</v>
      </c>
      <c r="AR232" s="85">
        <f t="shared" si="49"/>
        <v>0.10576923076923077</v>
      </c>
    </row>
    <row r="233" spans="26:44" ht="15.75" customHeight="1" x14ac:dyDescent="0.2">
      <c r="Z233" s="93"/>
    </row>
    <row r="234" spans="26:44" ht="15.75" customHeight="1" x14ac:dyDescent="0.2">
      <c r="Z234" s="93"/>
    </row>
    <row r="235" spans="26:44" ht="12.75" x14ac:dyDescent="0.2">
      <c r="AC235" s="45" t="s">
        <v>74</v>
      </c>
      <c r="AM235" s="45" t="s">
        <v>94</v>
      </c>
    </row>
    <row r="236" spans="26:44" ht="15.75" customHeight="1" x14ac:dyDescent="0.2">
      <c r="Z236" s="54"/>
      <c r="AC236" s="69" t="s">
        <v>2</v>
      </c>
      <c r="AD236" s="70" t="s">
        <v>3</v>
      </c>
      <c r="AE236" s="70"/>
      <c r="AF236" s="70" t="s">
        <v>76</v>
      </c>
      <c r="AG236" s="70" t="s">
        <v>4</v>
      </c>
      <c r="AH236" s="70" t="s">
        <v>0</v>
      </c>
      <c r="AI236" s="70" t="s">
        <v>1</v>
      </c>
      <c r="AJ236" s="70" t="s">
        <v>62</v>
      </c>
      <c r="AK236" s="70"/>
      <c r="AL236" s="70" t="s">
        <v>77</v>
      </c>
      <c r="AM236" s="70" t="s">
        <v>84</v>
      </c>
      <c r="AN236" s="70" t="s">
        <v>83</v>
      </c>
      <c r="AO236" s="70" t="s">
        <v>7</v>
      </c>
      <c r="AP236" s="70" t="s">
        <v>81</v>
      </c>
      <c r="AQ236" s="70" t="s">
        <v>79</v>
      </c>
      <c r="AR236" s="70" t="s">
        <v>82</v>
      </c>
    </row>
    <row r="237" spans="26:44" ht="15.75" customHeight="1" x14ac:dyDescent="0.2">
      <c r="Z237" s="94"/>
      <c r="AC237" s="78"/>
      <c r="AD237" s="79" t="s">
        <v>75</v>
      </c>
      <c r="AE237" s="79"/>
      <c r="AF237" s="80" t="s">
        <v>70</v>
      </c>
      <c r="AG237" s="79" t="s">
        <v>78</v>
      </c>
      <c r="AH237" s="89">
        <v>232.37</v>
      </c>
      <c r="AI237" s="81">
        <v>1000</v>
      </c>
      <c r="AJ237" s="86">
        <f t="shared" ref="AJ237:AJ242" si="50">AI237/AH237</f>
        <v>4.3034815165468867</v>
      </c>
      <c r="AK237" s="86"/>
      <c r="AL237" s="89"/>
      <c r="AM237" s="86">
        <f>AJ237</f>
        <v>4.3034815165468867</v>
      </c>
      <c r="AN237" s="86">
        <f>AM237/2</f>
        <v>2.1517407582734434</v>
      </c>
      <c r="AO237" s="88">
        <f>AM237/2</f>
        <v>2.1517407582734434</v>
      </c>
      <c r="AP237" s="89">
        <v>0</v>
      </c>
      <c r="AQ237" s="91">
        <f>ABS(AP237-AI237)</f>
        <v>1000</v>
      </c>
      <c r="AR237" s="85">
        <f>((AP237+(AJ237*AH237)-AQ237)/AQ237)</f>
        <v>1.1368683772161603E-16</v>
      </c>
    </row>
    <row r="238" spans="26:44" ht="15.75" customHeight="1" x14ac:dyDescent="0.2">
      <c r="AC238" s="78"/>
      <c r="AD238" s="79" t="s">
        <v>75</v>
      </c>
      <c r="AE238" s="79"/>
      <c r="AF238" s="80" t="s">
        <v>70</v>
      </c>
      <c r="AG238" s="79" t="s">
        <v>80</v>
      </c>
      <c r="AH238" s="89">
        <v>205.6</v>
      </c>
      <c r="AI238" s="81">
        <v>500</v>
      </c>
      <c r="AJ238" s="86">
        <f t="shared" si="50"/>
        <v>2.4319066147859925</v>
      </c>
      <c r="AK238" s="86"/>
      <c r="AL238" s="89"/>
      <c r="AM238" s="86">
        <f>AJ238+AM237</f>
        <v>6.7353881313328792</v>
      </c>
      <c r="AN238" s="86">
        <f>AN237+(AJ238/2)</f>
        <v>3.3676940656664396</v>
      </c>
      <c r="AO238" s="86">
        <f>AO237+(AJ238/2)</f>
        <v>3.3676940656664396</v>
      </c>
      <c r="AP238" s="89">
        <v>0</v>
      </c>
      <c r="AQ238" s="89">
        <f>AQ237+(AI238-AP237)</f>
        <v>1500</v>
      </c>
      <c r="AR238" s="85">
        <f t="shared" ref="AR238:AR248" si="51">((AP238+(AM238*AH238)-AQ238)/AQ238)</f>
        <v>-7.6802800131973381E-2</v>
      </c>
    </row>
    <row r="239" spans="26:44" ht="15.75" customHeight="1" x14ac:dyDescent="0.2">
      <c r="AC239" s="78"/>
      <c r="AD239" s="79" t="s">
        <v>75</v>
      </c>
      <c r="AE239" s="79"/>
      <c r="AF239" s="80" t="s">
        <v>70</v>
      </c>
      <c r="AG239" s="79" t="s">
        <v>80</v>
      </c>
      <c r="AH239" s="89">
        <v>199.37</v>
      </c>
      <c r="AI239" s="81">
        <v>500</v>
      </c>
      <c r="AJ239" s="86">
        <f t="shared" si="50"/>
        <v>2.5078998846366054</v>
      </c>
      <c r="AK239" s="86"/>
      <c r="AL239" s="89"/>
      <c r="AM239" s="86">
        <f>AJ239+AM238</f>
        <v>9.243288015969485</v>
      </c>
      <c r="AN239" s="86">
        <f>AN238+(AJ239/2)</f>
        <v>4.6216440079847425</v>
      </c>
      <c r="AO239" s="86">
        <f>AO238+(AJ239/2)</f>
        <v>4.6216440079847425</v>
      </c>
      <c r="AP239" s="89">
        <v>0</v>
      </c>
      <c r="AQ239" s="89">
        <f>AQ238+(AI239-AP238)</f>
        <v>2000</v>
      </c>
      <c r="AR239" s="85">
        <f t="shared" si="51"/>
        <v>-7.858283412808191E-2</v>
      </c>
    </row>
    <row r="240" spans="26:44" ht="15.75" customHeight="1" x14ac:dyDescent="0.2">
      <c r="AC240" s="78"/>
      <c r="AD240" s="79" t="s">
        <v>75</v>
      </c>
      <c r="AE240" s="79"/>
      <c r="AF240" s="80" t="s">
        <v>70</v>
      </c>
      <c r="AG240" s="79" t="s">
        <v>80</v>
      </c>
      <c r="AH240" s="89">
        <v>196.54</v>
      </c>
      <c r="AI240" s="81">
        <v>500</v>
      </c>
      <c r="AJ240" s="86">
        <f t="shared" si="50"/>
        <v>2.5440113971710594</v>
      </c>
      <c r="AK240" s="86"/>
      <c r="AL240" s="89"/>
      <c r="AM240" s="86">
        <f>AJ240+AM239</f>
        <v>11.787299413140545</v>
      </c>
      <c r="AN240" s="86">
        <f>AN239+(AJ240/2)</f>
        <v>5.8936497065702724</v>
      </c>
      <c r="AO240" s="86">
        <f>AO239+(AJ240/2)</f>
        <v>5.8936497065702724</v>
      </c>
      <c r="AP240" s="89">
        <v>0</v>
      </c>
      <c r="AQ240" s="89">
        <f>AQ239+(AI240-AP239)</f>
        <v>2500</v>
      </c>
      <c r="AR240" s="85">
        <f t="shared" si="51"/>
        <v>-7.3329669336542974E-2</v>
      </c>
    </row>
    <row r="241" spans="29:44" ht="15.75" customHeight="1" x14ac:dyDescent="0.2">
      <c r="AC241" s="78"/>
      <c r="AD241" s="79" t="s">
        <v>75</v>
      </c>
      <c r="AE241" s="79"/>
      <c r="AF241" s="80" t="s">
        <v>70</v>
      </c>
      <c r="AG241" s="79" t="s">
        <v>80</v>
      </c>
      <c r="AH241" s="89">
        <v>184.88</v>
      </c>
      <c r="AI241" s="81">
        <v>50</v>
      </c>
      <c r="AJ241" s="86">
        <f t="shared" si="50"/>
        <v>0.27044569450454348</v>
      </c>
      <c r="AK241" s="86"/>
      <c r="AL241" s="89"/>
      <c r="AM241" s="86">
        <f>AJ241+AM240</f>
        <v>12.057745107645088</v>
      </c>
      <c r="AN241" s="86">
        <f>AN240+(AJ241/2)</f>
        <v>6.0288725538225441</v>
      </c>
      <c r="AO241" s="86">
        <f>AO240+(AJ241/2)</f>
        <v>6.0288725538225441</v>
      </c>
      <c r="AP241" s="89">
        <v>0</v>
      </c>
      <c r="AQ241" s="89">
        <f>AQ240+(AI241-AP240)</f>
        <v>2550</v>
      </c>
      <c r="AR241" s="85">
        <f t="shared" si="51"/>
        <v>-0.12578983705826521</v>
      </c>
    </row>
    <row r="242" spans="29:44" ht="15.75" customHeight="1" x14ac:dyDescent="0.2">
      <c r="AC242" s="78"/>
      <c r="AD242" s="79" t="s">
        <v>75</v>
      </c>
      <c r="AE242" s="79"/>
      <c r="AF242" s="80" t="s">
        <v>70</v>
      </c>
      <c r="AG242" s="79" t="s">
        <v>80</v>
      </c>
      <c r="AH242" s="89">
        <v>180.62</v>
      </c>
      <c r="AI242" s="81">
        <v>50</v>
      </c>
      <c r="AJ242" s="86">
        <f t="shared" si="50"/>
        <v>0.27682427195216475</v>
      </c>
      <c r="AK242" s="86"/>
      <c r="AL242" s="89"/>
      <c r="AM242" s="86">
        <f>AJ242+AM241</f>
        <v>12.334569379597253</v>
      </c>
      <c r="AN242" s="86">
        <f>AN241+(AJ242/2)</f>
        <v>6.1672846897986267</v>
      </c>
      <c r="AO242" s="86">
        <f>AO241+(AJ242/2)</f>
        <v>6.1672846897986267</v>
      </c>
      <c r="AP242" s="89">
        <v>0</v>
      </c>
      <c r="AQ242" s="89">
        <f>AQ241+(AI242-AP241)</f>
        <v>2600</v>
      </c>
      <c r="AR242" s="85">
        <f t="shared" si="51"/>
        <v>-0.14312695332967085</v>
      </c>
    </row>
    <row r="243" spans="29:44" ht="15.75" customHeight="1" x14ac:dyDescent="0.2">
      <c r="AC243" s="71"/>
      <c r="AD243" s="72" t="s">
        <v>73</v>
      </c>
      <c r="AE243" s="72"/>
      <c r="AF243" s="74" t="s">
        <v>27</v>
      </c>
      <c r="AG243" s="72" t="s">
        <v>10</v>
      </c>
      <c r="AH243" s="90">
        <v>208.59</v>
      </c>
      <c r="AI243" s="72"/>
      <c r="AJ243" s="87">
        <v>0.13841000000000001</v>
      </c>
      <c r="AK243" s="87"/>
      <c r="AL243" s="90">
        <f>AH243*AJ243</f>
        <v>28.870941900000002</v>
      </c>
      <c r="AM243" s="87">
        <f>AM242-AJ243</f>
        <v>12.196159379597253</v>
      </c>
      <c r="AN243" s="87">
        <f>AN242-AJ243</f>
        <v>6.0288746897986263</v>
      </c>
      <c r="AO243" s="87">
        <f>AO242</f>
        <v>6.1672846897986267</v>
      </c>
      <c r="AP243" s="90">
        <f>AL243+AP237</f>
        <v>28.870941900000002</v>
      </c>
      <c r="AQ243" s="90">
        <f>AQ242</f>
        <v>2600</v>
      </c>
      <c r="AR243" s="77">
        <f t="shared" si="51"/>
        <v>-1.0435451196080277E-2</v>
      </c>
    </row>
    <row r="244" spans="29:44" ht="15.75" customHeight="1" x14ac:dyDescent="0.2">
      <c r="AC244" s="78"/>
      <c r="AD244" s="72" t="s">
        <v>73</v>
      </c>
      <c r="AE244" s="72"/>
      <c r="AF244" s="74" t="s">
        <v>27</v>
      </c>
      <c r="AG244" s="72" t="s">
        <v>10</v>
      </c>
      <c r="AH244" s="90">
        <v>208.54</v>
      </c>
      <c r="AI244" s="72"/>
      <c r="AJ244" s="87">
        <v>0.13522000000000001</v>
      </c>
      <c r="AK244" s="87"/>
      <c r="AL244" s="90">
        <f>AH244*AJ244</f>
        <v>28.198778799999999</v>
      </c>
      <c r="AM244" s="87">
        <f>AM243-AJ244</f>
        <v>12.060939379597253</v>
      </c>
      <c r="AN244" s="87">
        <f>AN243-AJ244</f>
        <v>5.8936546897986259</v>
      </c>
      <c r="AO244" s="87">
        <f>AO243</f>
        <v>6.1672846897986267</v>
      </c>
      <c r="AP244" s="90">
        <f>AL244+AP238</f>
        <v>28.198778799999999</v>
      </c>
      <c r="AQ244" s="90">
        <f>AQ243</f>
        <v>2600</v>
      </c>
      <c r="AR244" s="85">
        <f t="shared" si="51"/>
        <v>-2.1774201145688038E-2</v>
      </c>
    </row>
    <row r="245" spans="29:44" ht="15.75" customHeight="1" x14ac:dyDescent="0.2">
      <c r="AC245" s="71"/>
      <c r="AD245" s="72" t="s">
        <v>73</v>
      </c>
      <c r="AE245" s="72"/>
      <c r="AF245" s="74" t="s">
        <v>95</v>
      </c>
      <c r="AG245" s="72" t="s">
        <v>80</v>
      </c>
      <c r="AH245" s="90">
        <v>28.25</v>
      </c>
      <c r="AI245" s="72"/>
      <c r="AJ245" s="87">
        <f>AN244</f>
        <v>5.8936546897986259</v>
      </c>
      <c r="AK245" s="87"/>
      <c r="AL245" s="90">
        <f>AH245*AJ245</f>
        <v>166.49574498681119</v>
      </c>
      <c r="AM245" s="87">
        <f>AM244-AJ245</f>
        <v>6.1672846897986267</v>
      </c>
      <c r="AN245" s="87">
        <f>AN244-AJ245</f>
        <v>0</v>
      </c>
      <c r="AO245" s="87">
        <f>AO244</f>
        <v>6.1672846897986267</v>
      </c>
      <c r="AP245" s="90">
        <f>AP244+AL245</f>
        <v>194.6945237868112</v>
      </c>
      <c r="AQ245" s="90">
        <f>AQ244</f>
        <v>2600</v>
      </c>
      <c r="AR245" s="77">
        <f t="shared" si="51"/>
        <v>-0.85810757066399135</v>
      </c>
    </row>
    <row r="246" spans="29:44" ht="15.75" customHeight="1" x14ac:dyDescent="0.2">
      <c r="AC246" s="78"/>
      <c r="AD246" s="79" t="s">
        <v>75</v>
      </c>
      <c r="AE246" s="79"/>
      <c r="AF246" s="80" t="s">
        <v>89</v>
      </c>
      <c r="AG246" s="79" t="s">
        <v>80</v>
      </c>
      <c r="AH246" s="89">
        <v>28.39</v>
      </c>
      <c r="AI246" s="81">
        <v>200</v>
      </c>
      <c r="AJ246" s="86">
        <f>AI246/AH246</f>
        <v>7.0447340612891862</v>
      </c>
      <c r="AK246" s="86"/>
      <c r="AL246" s="89"/>
      <c r="AM246" s="86">
        <f>AM245+AJ246</f>
        <v>13.212018751087813</v>
      </c>
      <c r="AN246" s="86">
        <f>AN245+(AJ246/2)</f>
        <v>3.5223670306445931</v>
      </c>
      <c r="AO246" s="86">
        <f>AO245+(AJ246/2)</f>
        <v>9.6896517204432193</v>
      </c>
      <c r="AP246" s="89">
        <v>0</v>
      </c>
      <c r="AQ246" s="89">
        <f>AQ245+(AI246-AP245)</f>
        <v>2605.3054762131887</v>
      </c>
      <c r="AR246" s="85">
        <f t="shared" si="51"/>
        <v>-0.85602870152156774</v>
      </c>
    </row>
    <row r="247" spans="29:44" ht="15.75" customHeight="1" x14ac:dyDescent="0.2">
      <c r="AC247" s="78"/>
      <c r="AD247" s="80" t="s">
        <v>75</v>
      </c>
      <c r="AE247" s="80"/>
      <c r="AF247" s="80" t="s">
        <v>96</v>
      </c>
      <c r="AG247" s="80" t="s">
        <v>80</v>
      </c>
      <c r="AH247" s="89">
        <v>27.28</v>
      </c>
      <c r="AI247" s="81">
        <v>200</v>
      </c>
      <c r="AJ247" s="86">
        <f>AI247/AH247</f>
        <v>7.3313782991202343</v>
      </c>
      <c r="AK247" s="86"/>
      <c r="AL247" s="89"/>
      <c r="AM247" s="86">
        <f>AM246+AJ247</f>
        <v>20.543397050208046</v>
      </c>
      <c r="AN247" s="86">
        <f>AN246+(AJ247/2)</f>
        <v>7.1880561802047103</v>
      </c>
      <c r="AO247" s="86">
        <f>AO246+(AJ247/2)</f>
        <v>13.355340870003337</v>
      </c>
      <c r="AP247" s="89">
        <v>0</v>
      </c>
      <c r="AQ247" s="89">
        <f>AQ246+(AI247-AP246)</f>
        <v>2805.3054762131887</v>
      </c>
      <c r="AR247" s="85">
        <f t="shared" si="51"/>
        <v>-0.80022714949169182</v>
      </c>
    </row>
    <row r="248" spans="29:44" ht="15.75" customHeight="1" x14ac:dyDescent="0.2">
      <c r="AC248" s="78"/>
      <c r="AD248" s="80" t="s">
        <v>75</v>
      </c>
      <c r="AE248" s="80"/>
      <c r="AF248" s="80" t="s">
        <v>97</v>
      </c>
      <c r="AG248" s="80" t="s">
        <v>80</v>
      </c>
      <c r="AH248" s="89">
        <v>27.38</v>
      </c>
      <c r="AI248" s="81">
        <v>200</v>
      </c>
      <c r="AJ248" s="86">
        <f>AI248/AH248</f>
        <v>7.3046018991964941</v>
      </c>
      <c r="AK248" s="86"/>
      <c r="AL248" s="89"/>
      <c r="AM248" s="86">
        <f>AM247+AJ248</f>
        <v>27.847998949404541</v>
      </c>
      <c r="AN248" s="86">
        <f>AN247+(AJ248/2)</f>
        <v>10.840357129802957</v>
      </c>
      <c r="AO248" s="86">
        <f>AO247+(AJ248/2)</f>
        <v>17.007641819601584</v>
      </c>
      <c r="AP248" s="89">
        <v>0</v>
      </c>
      <c r="AQ248" s="89">
        <f>AQ247+(AI248-AP247)</f>
        <v>3005.3054762131887</v>
      </c>
      <c r="AR248" s="85">
        <f t="shared" si="51"/>
        <v>-0.74628928164884878</v>
      </c>
    </row>
  </sheetData>
  <pageMargins left="0.7" right="0.7" top="0.75" bottom="0.75" header="0.3" footer="0.3"/>
  <pageSetup orientation="portrait" horizontalDpi="300" verticalDpi="300" r:id="rId1"/>
  <ignoredErrors>
    <ignoredError sqref="AM153 AB154 AO155 AP152 BF153 BF155 BF158 AL165 AF165 BF166 AB165:AD165 AH165:AJ165 AE188:AE189"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42578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2026-01-10T16:49:23Z</dcterms:modified>
</cp:coreProperties>
</file>