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DA65CA2B-E1D3-4291-B865-6E052732678F}" xr6:coauthVersionLast="47" xr6:coauthVersionMax="47" xr10:uidLastSave="{00000000-0000-0000-0000-000000000000}"/>
  <bookViews>
    <workbookView xWindow="1860" yWindow="225" windowWidth="53265" windowHeight="1024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64" i="14" l="1"/>
  <c r="AO164" i="14" s="1"/>
  <c r="X161" i="14"/>
  <c r="AQ161" i="14" s="1"/>
  <c r="AQ164" i="14" s="1"/>
  <c r="V161" i="14"/>
  <c r="AO161" i="14" s="1"/>
  <c r="U161" i="14"/>
  <c r="AR153" i="14"/>
  <c r="AS153" i="14" s="1"/>
  <c r="AL153" i="14"/>
  <c r="AM153" i="14" s="1"/>
  <c r="AF153" i="14"/>
  <c r="AG153" i="14" s="1"/>
  <c r="X151" i="14"/>
  <c r="AQ151" i="14" s="1"/>
  <c r="AQ153" i="14" s="1"/>
  <c r="AQ162" i="14" s="1"/>
  <c r="AQ165" i="14" s="1"/>
  <c r="V151" i="14"/>
  <c r="AO151" i="14" s="1"/>
  <c r="AO153" i="14" s="1"/>
  <c r="AO162" i="14" s="1"/>
  <c r="AO165" i="14" s="1"/>
  <c r="AY150" i="14"/>
  <c r="BC150" i="14" s="1"/>
  <c r="X150" i="14"/>
  <c r="AK150" i="14" s="1"/>
  <c r="AK152" i="14" s="1"/>
  <c r="AK154" i="14" s="1"/>
  <c r="AK163" i="14" s="1"/>
  <c r="AK166" i="14" s="1"/>
  <c r="V150" i="14"/>
  <c r="AC150" i="14" s="1"/>
  <c r="AC152" i="14" s="1"/>
  <c r="AC154" i="14" s="1"/>
  <c r="AC163" i="14" s="1"/>
  <c r="AC166" i="14" s="1"/>
  <c r="V144" i="14"/>
  <c r="AL144" i="14" s="1"/>
  <c r="AM144" i="14" s="1"/>
  <c r="X141" i="14"/>
  <c r="AE141" i="14" s="1"/>
  <c r="AE144" i="14" s="1"/>
  <c r="V141" i="14"/>
  <c r="Y141" i="14" s="1"/>
  <c r="U141" i="14"/>
  <c r="AF139" i="14"/>
  <c r="AG139" i="14" s="1"/>
  <c r="AR139" i="14"/>
  <c r="AS139" i="14" s="1"/>
  <c r="AL139" i="14"/>
  <c r="AM139" i="14" s="1"/>
  <c r="X137" i="14"/>
  <c r="AQ137" i="14" s="1"/>
  <c r="AQ139" i="14" s="1"/>
  <c r="AQ142" i="14" s="1"/>
  <c r="AQ145" i="14" s="1"/>
  <c r="V137" i="14"/>
  <c r="AR137" i="14" s="1"/>
  <c r="AS137" i="14" s="1"/>
  <c r="X136" i="14"/>
  <c r="AK136" i="14" s="1"/>
  <c r="AK138" i="14" s="1"/>
  <c r="AK140" i="14" s="1"/>
  <c r="AK143" i="14" s="1"/>
  <c r="AK146" i="14" s="1"/>
  <c r="V136" i="14"/>
  <c r="Y136" i="14" s="1"/>
  <c r="Y138" i="14" s="1"/>
  <c r="Y143" i="14" s="1"/>
  <c r="AY136" i="14"/>
  <c r="BC136" i="14" s="1"/>
  <c r="X12" i="14"/>
  <c r="X7" i="14"/>
  <c r="X10" i="14" s="1"/>
  <c r="V7" i="14"/>
  <c r="Y7" i="14" s="1"/>
  <c r="Q44" i="15"/>
  <c r="P44" i="15"/>
  <c r="N43" i="15"/>
  <c r="M43" i="15"/>
  <c r="O43" i="15" s="1"/>
  <c r="K44" i="15" s="1"/>
  <c r="X112" i="14"/>
  <c r="AK112" i="14" s="1"/>
  <c r="AK114" i="14" s="1"/>
  <c r="AK116" i="14" s="1"/>
  <c r="V112" i="14"/>
  <c r="AI112" i="14" s="1"/>
  <c r="AL112" i="14" s="1"/>
  <c r="AM112" i="14" s="1"/>
  <c r="X111" i="14"/>
  <c r="AQ111" i="14" s="1"/>
  <c r="AQ113" i="14" s="1"/>
  <c r="AQ115" i="14" s="1"/>
  <c r="AQ117" i="14" s="1"/>
  <c r="V111" i="14"/>
  <c r="AO111" i="14" s="1"/>
  <c r="AR111" i="14" s="1"/>
  <c r="AS111" i="14" s="1"/>
  <c r="BC131" i="14"/>
  <c r="AX131" i="14"/>
  <c r="AW131" i="14"/>
  <c r="AV131" i="14"/>
  <c r="N130" i="14"/>
  <c r="V126" i="14"/>
  <c r="V127" i="14" s="1"/>
  <c r="X125" i="14"/>
  <c r="X123" i="14"/>
  <c r="AZ123" i="14" s="1"/>
  <c r="AZ124" i="14" s="1"/>
  <c r="AY122" i="14"/>
  <c r="X122" i="14"/>
  <c r="AE122" i="14" s="1"/>
  <c r="AE123" i="14" s="1"/>
  <c r="AE124" i="14" s="1"/>
  <c r="AE125" i="14" s="1"/>
  <c r="AE126" i="14" s="1"/>
  <c r="V122" i="14"/>
  <c r="AO122" i="14" s="1"/>
  <c r="V99" i="14"/>
  <c r="V91" i="14"/>
  <c r="V93" i="14" s="1"/>
  <c r="X87" i="14"/>
  <c r="V87" i="14"/>
  <c r="Y87" i="14" s="1"/>
  <c r="AZ84" i="14"/>
  <c r="Y86" i="14"/>
  <c r="X81" i="14"/>
  <c r="AK81" i="14" s="1"/>
  <c r="AK84" i="14" s="1"/>
  <c r="AK87" i="14" s="1"/>
  <c r="AK89" i="14" s="1"/>
  <c r="AK93" i="14" s="1"/>
  <c r="AK95" i="14" s="1"/>
  <c r="AK99" i="14" s="1"/>
  <c r="AK101" i="14" s="1"/>
  <c r="V81" i="14"/>
  <c r="V84" i="14" s="1"/>
  <c r="AY79" i="14"/>
  <c r="BC79" i="14" s="1"/>
  <c r="V80" i="14"/>
  <c r="V82" i="14" s="1"/>
  <c r="V85" i="14" s="1"/>
  <c r="X79" i="14"/>
  <c r="AE79" i="14" s="1"/>
  <c r="AE80" i="14" s="1"/>
  <c r="AE82" i="14" s="1"/>
  <c r="AE85" i="14" s="1"/>
  <c r="V79" i="14"/>
  <c r="AC79" i="14" s="1"/>
  <c r="AF79" i="14" s="1"/>
  <c r="AG79" i="14" s="1"/>
  <c r="AX65" i="14"/>
  <c r="V65" i="14"/>
  <c r="AC65" i="14" s="1"/>
  <c r="AC67" i="14" s="1"/>
  <c r="AC74" i="14" s="1"/>
  <c r="AF74" i="14" s="1"/>
  <c r="AG74" i="14" s="1"/>
  <c r="X63" i="14"/>
  <c r="AQ63" i="14" s="1"/>
  <c r="V63" i="14"/>
  <c r="AI63" i="14" s="1"/>
  <c r="AL63" i="14" s="1"/>
  <c r="AM63" i="14" s="1"/>
  <c r="AM65" i="14" s="1"/>
  <c r="AM67" i="14" s="1"/>
  <c r="AM74" i="14" s="1"/>
  <c r="AF57" i="14"/>
  <c r="AG57" i="14" s="1"/>
  <c r="X57" i="14"/>
  <c r="V57" i="14"/>
  <c r="Y57" i="14" s="1"/>
  <c r="X51" i="14"/>
  <c r="AQ51" i="14" s="1"/>
  <c r="AQ53" i="14" s="1"/>
  <c r="V51" i="14"/>
  <c r="Y51" i="14" s="1"/>
  <c r="V50" i="14"/>
  <c r="AF48" i="14"/>
  <c r="X53" i="14"/>
  <c r="AK48" i="14"/>
  <c r="AK49" i="14" s="1"/>
  <c r="AQ48" i="14"/>
  <c r="AQ49" i="14" s="1"/>
  <c r="AP48" i="14"/>
  <c r="AP49" i="14" s="1"/>
  <c r="AO48" i="14"/>
  <c r="AR48" i="14" s="1"/>
  <c r="AJ48" i="14"/>
  <c r="AJ49" i="14" s="1"/>
  <c r="AE48" i="14"/>
  <c r="AE49" i="14" s="1"/>
  <c r="AD48" i="14"/>
  <c r="W49" i="14" s="1"/>
  <c r="AC48" i="14"/>
  <c r="X48" i="14"/>
  <c r="V48" i="14"/>
  <c r="Y48" i="14" s="1"/>
  <c r="M49" i="14"/>
  <c r="V49" i="14" s="1"/>
  <c r="T42" i="14"/>
  <c r="T41" i="14"/>
  <c r="T40" i="14"/>
  <c r="AQ38" i="14"/>
  <c r="AQ39" i="14" s="1"/>
  <c r="AQ40" i="14" s="1"/>
  <c r="AQ41" i="14" s="1"/>
  <c r="AQ42" i="14" s="1"/>
  <c r="AP38" i="14"/>
  <c r="AX38" i="14" s="1"/>
  <c r="AO38" i="14"/>
  <c r="AO39" i="14" s="1"/>
  <c r="AK38" i="14"/>
  <c r="AK39" i="14" s="1"/>
  <c r="AK40" i="14" s="1"/>
  <c r="AK41" i="14" s="1"/>
  <c r="AK42" i="14" s="1"/>
  <c r="AJ38" i="14"/>
  <c r="AW38" i="14" s="1"/>
  <c r="AE38" i="14"/>
  <c r="AE39" i="14" s="1"/>
  <c r="AE40" i="14" s="1"/>
  <c r="AE41" i="14" s="1"/>
  <c r="AE42" i="14" s="1"/>
  <c r="AD38" i="14"/>
  <c r="AD39" i="14" s="1"/>
  <c r="AC38" i="14"/>
  <c r="AC39" i="14" s="1"/>
  <c r="T39" i="14"/>
  <c r="T38" i="14"/>
  <c r="AI38" i="14" s="1"/>
  <c r="T27" i="14"/>
  <c r="S27" i="14"/>
  <c r="T28" i="14"/>
  <c r="S28" i="14"/>
  <c r="T24" i="14"/>
  <c r="S24" i="14"/>
  <c r="V24" i="14"/>
  <c r="V31" i="14" s="1"/>
  <c r="V27" i="14" s="1"/>
  <c r="AA33" i="14"/>
  <c r="Z33" i="14"/>
  <c r="U33" i="14"/>
  <c r="Y32" i="14"/>
  <c r="U32" i="14"/>
  <c r="Y31" i="14"/>
  <c r="X30" i="14"/>
  <c r="V30" i="14"/>
  <c r="Y30" i="14" s="1"/>
  <c r="T23" i="14"/>
  <c r="S23" i="14"/>
  <c r="T22" i="14"/>
  <c r="S22" i="14"/>
  <c r="V21" i="14"/>
  <c r="V19" i="14"/>
  <c r="V22" i="14" s="1"/>
  <c r="V32" i="14" s="1"/>
  <c r="X18" i="14"/>
  <c r="V18" i="14"/>
  <c r="Y18" i="14" s="1"/>
  <c r="AS13" i="14"/>
  <c r="X9" i="14"/>
  <c r="V9" i="14"/>
  <c r="AF9" i="14" s="1"/>
  <c r="AG9" i="14" s="1"/>
  <c r="X5" i="14"/>
  <c r="V5" i="14"/>
  <c r="AC5" i="14" s="1"/>
  <c r="X4" i="14"/>
  <c r="AK4" i="14" s="1"/>
  <c r="AK8" i="14" s="1"/>
  <c r="AK11" i="14" s="1"/>
  <c r="AK13" i="14" s="1"/>
  <c r="V4" i="14"/>
  <c r="AI4" i="14" s="1"/>
  <c r="AI8" i="14" s="1"/>
  <c r="AI11" i="14" s="1"/>
  <c r="AJ221" i="14"/>
  <c r="AI221" i="14"/>
  <c r="AK221" i="14" s="1"/>
  <c r="AD221" i="14"/>
  <c r="AC221" i="14"/>
  <c r="AE221" i="14" s="1"/>
  <c r="AO221" i="14" s="1"/>
  <c r="X221" i="14"/>
  <c r="AJ217" i="14"/>
  <c r="AJ218" i="14" s="1"/>
  <c r="AJ219" i="14" s="1"/>
  <c r="AJ220" i="14" s="1"/>
  <c r="AI217" i="14"/>
  <c r="AK217" i="14" s="1"/>
  <c r="AP217" i="14" s="1"/>
  <c r="AD217" i="14"/>
  <c r="AD218" i="14" s="1"/>
  <c r="AD219" i="14" s="1"/>
  <c r="AD220" i="14" s="1"/>
  <c r="AC217" i="14"/>
  <c r="AE217" i="14" s="1"/>
  <c r="X217" i="14"/>
  <c r="AC238" i="14"/>
  <c r="AD238" i="14" s="1"/>
  <c r="AG239" i="14"/>
  <c r="AF239" i="14"/>
  <c r="X239" i="14"/>
  <c r="AC239" i="14"/>
  <c r="AH239" i="14"/>
  <c r="AH235" i="14"/>
  <c r="AH236" i="14"/>
  <c r="AH238" i="14"/>
  <c r="AG238" i="14"/>
  <c r="X238" i="14"/>
  <c r="AC237" i="14"/>
  <c r="AD237" i="14" s="1"/>
  <c r="AC236" i="14"/>
  <c r="AD236" i="14" s="1"/>
  <c r="AC235" i="14"/>
  <c r="AD235" i="14" s="1"/>
  <c r="AH237" i="14"/>
  <c r="AG236" i="14"/>
  <c r="AG237" i="14"/>
  <c r="AG235" i="14"/>
  <c r="X237" i="14"/>
  <c r="X236" i="14"/>
  <c r="X235" i="14"/>
  <c r="AH234" i="14"/>
  <c r="AF234" i="14"/>
  <c r="AF233" i="14"/>
  <c r="X234" i="14"/>
  <c r="X233" i="14"/>
  <c r="C50" i="15"/>
  <c r="C49" i="15"/>
  <c r="C48" i="15"/>
  <c r="C47" i="15"/>
  <c r="C46" i="15"/>
  <c r="C44" i="15"/>
  <c r="C43" i="15"/>
  <c r="C42" i="15"/>
  <c r="C41" i="15"/>
  <c r="C37" i="15"/>
  <c r="C36" i="15"/>
  <c r="C35" i="15"/>
  <c r="C34" i="15"/>
  <c r="X213" i="14"/>
  <c r="AJ213" i="14"/>
  <c r="AJ214" i="14" s="1"/>
  <c r="AJ215" i="14" s="1"/>
  <c r="AJ216" i="14" s="1"/>
  <c r="AI213" i="14"/>
  <c r="AK213" i="14" s="1"/>
  <c r="AP213" i="14" s="1"/>
  <c r="AD213" i="14"/>
  <c r="AD214" i="14" s="1"/>
  <c r="AD215" i="14" s="1"/>
  <c r="AD216" i="14" s="1"/>
  <c r="AC213" i="14"/>
  <c r="AC214" i="14" s="1"/>
  <c r="AC215" i="14" s="1"/>
  <c r="AC216" i="14" s="1"/>
  <c r="AM270" i="14"/>
  <c r="AQ270" i="14" s="1"/>
  <c r="AK268" i="14"/>
  <c r="AK267" i="14"/>
  <c r="AK266" i="14"/>
  <c r="AK265" i="14"/>
  <c r="AK264" i="14"/>
  <c r="AK274" i="14"/>
  <c r="AK273" i="14"/>
  <c r="AK272" i="14"/>
  <c r="AR263" i="14"/>
  <c r="AK263" i="14"/>
  <c r="AM257" i="14"/>
  <c r="AM255" i="14"/>
  <c r="AP249" i="14"/>
  <c r="AO249" i="14"/>
  <c r="AK250" i="14" s="1"/>
  <c r="AM250" i="14" s="1"/>
  <c r="AQ250" i="14" s="1"/>
  <c r="AR249" i="14"/>
  <c r="AM254" i="14"/>
  <c r="AQ254" i="14" s="1"/>
  <c r="AK253" i="14"/>
  <c r="AM252" i="14"/>
  <c r="AQ252" i="14" s="1"/>
  <c r="AK251" i="14"/>
  <c r="AN251" i="14" s="1"/>
  <c r="AN252" i="14" s="1"/>
  <c r="AK249" i="14"/>
  <c r="AJ206" i="14"/>
  <c r="AJ207" i="14" s="1"/>
  <c r="AJ208" i="14" s="1"/>
  <c r="AJ209" i="14" s="1"/>
  <c r="AD206" i="14"/>
  <c r="AD207" i="14" s="1"/>
  <c r="AD208" i="14" s="1"/>
  <c r="AD209" i="14" s="1"/>
  <c r="AD199" i="14"/>
  <c r="AJ201" i="14"/>
  <c r="AJ197" i="14"/>
  <c r="AD197" i="14"/>
  <c r="AK192" i="14"/>
  <c r="AK190" i="14"/>
  <c r="AK191" i="14" s="1"/>
  <c r="AK193" i="14" s="1"/>
  <c r="AE192" i="14"/>
  <c r="AE190" i="14"/>
  <c r="AK186" i="14"/>
  <c r="AK182" i="14"/>
  <c r="AK185" i="14" s="1"/>
  <c r="AE186" i="14"/>
  <c r="AK179" i="14"/>
  <c r="AK181" i="14" s="1"/>
  <c r="AK184" i="14" s="1"/>
  <c r="AK177" i="14"/>
  <c r="AE180" i="14"/>
  <c r="AE182" i="14" s="1"/>
  <c r="AE185" i="14" s="1"/>
  <c r="AE179" i="14"/>
  <c r="AE181" i="14" s="1"/>
  <c r="AE184" i="14" s="1"/>
  <c r="AE177" i="14"/>
  <c r="BJ192" i="14"/>
  <c r="AI192" i="14"/>
  <c r="AD192" i="14"/>
  <c r="AC192" i="14"/>
  <c r="AJ192" i="14"/>
  <c r="X192" i="14"/>
  <c r="BL191" i="14"/>
  <c r="BK191" i="14"/>
  <c r="BJ191" i="14"/>
  <c r="BI191" i="14"/>
  <c r="BH191" i="14"/>
  <c r="BG191" i="14"/>
  <c r="BF191" i="14"/>
  <c r="BD191" i="14"/>
  <c r="BC191" i="14"/>
  <c r="BB191" i="14"/>
  <c r="BA191" i="14"/>
  <c r="AZ191" i="14"/>
  <c r="AY191" i="14"/>
  <c r="AX191" i="14"/>
  <c r="AW191" i="14"/>
  <c r="AV191" i="14"/>
  <c r="AU191" i="14"/>
  <c r="AT191" i="14"/>
  <c r="AS191" i="14"/>
  <c r="AW192" i="14"/>
  <c r="AX192" i="14" s="1"/>
  <c r="AV192" i="14"/>
  <c r="AU192" i="14"/>
  <c r="AT192" i="14"/>
  <c r="AS192" i="14"/>
  <c r="AJ190" i="14"/>
  <c r="AJ191" i="14" s="1"/>
  <c r="AJ193" i="14" s="1"/>
  <c r="AI190" i="14"/>
  <c r="AI191" i="14" s="1"/>
  <c r="AI193" i="14" s="1"/>
  <c r="AD190" i="14"/>
  <c r="AD191" i="14" s="1"/>
  <c r="AD193" i="14" s="1"/>
  <c r="AC190" i="14"/>
  <c r="X190" i="14"/>
  <c r="AX184" i="14"/>
  <c r="AW184" i="14"/>
  <c r="AV184" i="14"/>
  <c r="AU184" i="14"/>
  <c r="AT184" i="14"/>
  <c r="AS184" i="14"/>
  <c r="BJ178" i="14"/>
  <c r="BJ179" i="14" s="1"/>
  <c r="BJ181" i="14" s="1"/>
  <c r="BJ183" i="14" s="1"/>
  <c r="BJ184" i="14" s="1"/>
  <c r="AW178" i="14"/>
  <c r="AW179" i="14" s="1"/>
  <c r="X184" i="14"/>
  <c r="X181" i="14"/>
  <c r="X179" i="14"/>
  <c r="X177" i="14"/>
  <c r="BH178" i="14"/>
  <c r="BG178" i="14"/>
  <c r="BD178" i="14"/>
  <c r="BC178" i="14"/>
  <c r="BB178" i="14"/>
  <c r="BA178" i="14"/>
  <c r="AZ178" i="14"/>
  <c r="AY178" i="14"/>
  <c r="BI178" i="14"/>
  <c r="AV178" i="14"/>
  <c r="AV179" i="14" s="1"/>
  <c r="AV181" i="14" s="1"/>
  <c r="AV183" i="14" s="1"/>
  <c r="AT178" i="14"/>
  <c r="AT179" i="14" s="1"/>
  <c r="AT181" i="14" s="1"/>
  <c r="AT183" i="14" s="1"/>
  <c r="AU178" i="14"/>
  <c r="AU179" i="14" s="1"/>
  <c r="AU181" i="14" s="1"/>
  <c r="AS178" i="14"/>
  <c r="AS179" i="14" s="1"/>
  <c r="AS181" i="14" s="1"/>
  <c r="AI209" i="14"/>
  <c r="AC209" i="14"/>
  <c r="AI208" i="14"/>
  <c r="AC207" i="14"/>
  <c r="AI206" i="14"/>
  <c r="AC206" i="14"/>
  <c r="AI201" i="14"/>
  <c r="AC199" i="14"/>
  <c r="AI197" i="14"/>
  <c r="AC197" i="14"/>
  <c r="AJ186" i="14"/>
  <c r="AI186" i="14"/>
  <c r="AD186" i="14"/>
  <c r="AC186" i="14"/>
  <c r="AJ182" i="14"/>
  <c r="AI182" i="14"/>
  <c r="AD180" i="14"/>
  <c r="AC180" i="14"/>
  <c r="AC182" i="14" s="1"/>
  <c r="AJ177" i="14"/>
  <c r="AI177" i="14"/>
  <c r="AD177" i="14"/>
  <c r="AC177" i="14"/>
  <c r="AC179" i="14" s="1"/>
  <c r="AC18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E151" i="14" l="1"/>
  <c r="AE153" i="14" s="1"/>
  <c r="AE162" i="14" s="1"/>
  <c r="AF151" i="14"/>
  <c r="AG151" i="14" s="1"/>
  <c r="AR151" i="14"/>
  <c r="AS151" i="14" s="1"/>
  <c r="AY151" i="14"/>
  <c r="AY153" i="14" s="1"/>
  <c r="V152" i="14"/>
  <c r="V163" i="14" s="1"/>
  <c r="X152" i="14"/>
  <c r="X163" i="14" s="1"/>
  <c r="AR150" i="14"/>
  <c r="AS150" i="14" s="1"/>
  <c r="W151" i="14"/>
  <c r="AQ150" i="14"/>
  <c r="AQ152" i="14" s="1"/>
  <c r="AQ154" i="14" s="1"/>
  <c r="AQ163" i="14" s="1"/>
  <c r="AQ166" i="14" s="1"/>
  <c r="AO150" i="14"/>
  <c r="AO152" i="14" s="1"/>
  <c r="AO154" i="14" s="1"/>
  <c r="AO163" i="14" s="1"/>
  <c r="AO166" i="14" s="1"/>
  <c r="V162" i="14"/>
  <c r="AR162" i="14" s="1"/>
  <c r="AS162" i="14" s="1"/>
  <c r="X162" i="14"/>
  <c r="AL150" i="14"/>
  <c r="AM150" i="14" s="1"/>
  <c r="AR165" i="14"/>
  <c r="AS165" i="14" s="1"/>
  <c r="AF163" i="14"/>
  <c r="AL163" i="14"/>
  <c r="AR163" i="14"/>
  <c r="AC161" i="14"/>
  <c r="AC164" i="14" s="1"/>
  <c r="AE161" i="14"/>
  <c r="AE164" i="14" s="1"/>
  <c r="AF161" i="14"/>
  <c r="AG161" i="14" s="1"/>
  <c r="AL162" i="14"/>
  <c r="AF152" i="14"/>
  <c r="Y151" i="14"/>
  <c r="Y162" i="14" s="1"/>
  <c r="AI161" i="14"/>
  <c r="AI164" i="14" s="1"/>
  <c r="AF164" i="14"/>
  <c r="AG164" i="14" s="1"/>
  <c r="Y161" i="14"/>
  <c r="AC151" i="14"/>
  <c r="AC153" i="14" s="1"/>
  <c r="AC162" i="14" s="1"/>
  <c r="AJ151" i="14"/>
  <c r="AE150" i="14"/>
  <c r="AE152" i="14" s="1"/>
  <c r="AE154" i="14" s="1"/>
  <c r="AE163" i="14" s="1"/>
  <c r="AE166" i="14" s="1"/>
  <c r="AK151" i="14"/>
  <c r="AK153" i="14" s="1"/>
  <c r="AK162" i="14" s="1"/>
  <c r="AK165" i="14" s="1"/>
  <c r="AR161" i="14"/>
  <c r="AS161" i="14" s="1"/>
  <c r="Y150" i="14"/>
  <c r="Y152" i="14" s="1"/>
  <c r="Y163" i="14" s="1"/>
  <c r="AL164" i="14"/>
  <c r="AM164" i="14" s="1"/>
  <c r="AI151" i="14"/>
  <c r="AI153" i="14" s="1"/>
  <c r="AI162" i="14" s="1"/>
  <c r="AI165" i="14" s="1"/>
  <c r="AF150" i="14"/>
  <c r="AG150" i="14" s="1"/>
  <c r="AL151" i="14"/>
  <c r="AM151" i="14" s="1"/>
  <c r="AL152" i="14"/>
  <c r="AR164" i="14"/>
  <c r="AS164" i="14" s="1"/>
  <c r="BC151" i="14"/>
  <c r="AK161" i="14"/>
  <c r="AK164" i="14" s="1"/>
  <c r="W150" i="14"/>
  <c r="AL161" i="14"/>
  <c r="AM161" i="14" s="1"/>
  <c r="AI150" i="14"/>
  <c r="AI152" i="14" s="1"/>
  <c r="AI154" i="14" s="1"/>
  <c r="AI163" i="14" s="1"/>
  <c r="AI166" i="14" s="1"/>
  <c r="W161" i="14"/>
  <c r="AF162" i="14"/>
  <c r="AG162" i="14" s="1"/>
  <c r="W141" i="14"/>
  <c r="AD141" i="14" s="1"/>
  <c r="AC141" i="14"/>
  <c r="AC144" i="14" s="1"/>
  <c r="AI141" i="14"/>
  <c r="AI144" i="14" s="1"/>
  <c r="AR144" i="14"/>
  <c r="AS144" i="14" s="1"/>
  <c r="AF141" i="14"/>
  <c r="AG141" i="14" s="1"/>
  <c r="X142" i="14"/>
  <c r="V142" i="14"/>
  <c r="AD144" i="14"/>
  <c r="AF142" i="14"/>
  <c r="AG142" i="14" s="1"/>
  <c r="AY137" i="14"/>
  <c r="AF144" i="14"/>
  <c r="AG144" i="14" s="1"/>
  <c r="AO144" i="14"/>
  <c r="AJ141" i="14"/>
  <c r="AK141" i="14"/>
  <c r="AK144" i="14" s="1"/>
  <c r="AO141" i="14"/>
  <c r="V138" i="14"/>
  <c r="AQ141" i="14"/>
  <c r="AQ144" i="14" s="1"/>
  <c r="AL141" i="14"/>
  <c r="AM141" i="14" s="1"/>
  <c r="X138" i="14"/>
  <c r="X143" i="14" s="1"/>
  <c r="AR141" i="14"/>
  <c r="AS141" i="14" s="1"/>
  <c r="AC137" i="14"/>
  <c r="AC139" i="14" s="1"/>
  <c r="AC142" i="14" s="1"/>
  <c r="W137" i="14"/>
  <c r="AL137" i="14"/>
  <c r="AM137" i="14" s="1"/>
  <c r="Y137" i="14"/>
  <c r="Y142" i="14" s="1"/>
  <c r="AF137" i="14"/>
  <c r="AG137" i="14" s="1"/>
  <c r="AI137" i="14"/>
  <c r="AI139" i="14" s="1"/>
  <c r="AI142" i="14" s="1"/>
  <c r="AI145" i="14" s="1"/>
  <c r="AK137" i="14"/>
  <c r="AK139" i="14" s="1"/>
  <c r="AK142" i="14" s="1"/>
  <c r="AK145" i="14" s="1"/>
  <c r="AO137" i="14"/>
  <c r="AO139" i="14" s="1"/>
  <c r="AO142" i="14" s="1"/>
  <c r="AO145" i="14" s="1"/>
  <c r="AE137" i="14"/>
  <c r="AE139" i="14" s="1"/>
  <c r="AE142" i="14" s="1"/>
  <c r="W136" i="14"/>
  <c r="W138" i="14" s="1"/>
  <c r="W143" i="14" s="1"/>
  <c r="AF136" i="14"/>
  <c r="AI136" i="14"/>
  <c r="AI138" i="14" s="1"/>
  <c r="AI140" i="14" s="1"/>
  <c r="AI143" i="14" s="1"/>
  <c r="AI146" i="14" s="1"/>
  <c r="AQ136" i="14"/>
  <c r="AQ138" i="14" s="1"/>
  <c r="AQ140" i="14" s="1"/>
  <c r="AQ143" i="14" s="1"/>
  <c r="AQ146" i="14" s="1"/>
  <c r="AR136" i="14"/>
  <c r="AL136" i="14"/>
  <c r="AM136" i="14" s="1"/>
  <c r="AO136" i="14"/>
  <c r="AO138" i="14" s="1"/>
  <c r="AO140" i="14" s="1"/>
  <c r="AO143" i="14" s="1"/>
  <c r="AO146" i="14" s="1"/>
  <c r="AC136" i="14"/>
  <c r="AC138" i="14" s="1"/>
  <c r="AC140" i="14" s="1"/>
  <c r="AC143" i="14" s="1"/>
  <c r="AC146" i="14" s="1"/>
  <c r="AE136" i="14"/>
  <c r="AE138" i="14" s="1"/>
  <c r="AE140" i="14" s="1"/>
  <c r="AE143" i="14" s="1"/>
  <c r="AE146" i="14" s="1"/>
  <c r="V12" i="14"/>
  <c r="W12" i="14" s="1"/>
  <c r="V10" i="14"/>
  <c r="W7" i="14"/>
  <c r="AD7" i="14" s="1"/>
  <c r="AD10" i="14" s="1"/>
  <c r="AD12" i="14" s="1"/>
  <c r="AI7" i="14"/>
  <c r="AI10" i="14" s="1"/>
  <c r="AL7" i="14"/>
  <c r="AM7" i="14" s="1"/>
  <c r="AC7" i="14"/>
  <c r="AO7" i="14"/>
  <c r="AO10" i="14" s="1"/>
  <c r="AO12" i="14" s="1"/>
  <c r="AF7" i="14"/>
  <c r="AG7" i="14" s="1"/>
  <c r="AR7" i="14"/>
  <c r="AS7" i="14" s="1"/>
  <c r="AE7" i="14"/>
  <c r="AE10" i="14" s="1"/>
  <c r="AE12" i="14" s="1"/>
  <c r="AQ7" i="14"/>
  <c r="AQ10" i="14" s="1"/>
  <c r="AQ12" i="14" s="1"/>
  <c r="AK7" i="14"/>
  <c r="AK10" i="14" s="1"/>
  <c r="AK12" i="14" s="1"/>
  <c r="Y4" i="14"/>
  <c r="Y5" i="14"/>
  <c r="Y9" i="14"/>
  <c r="M44" i="15"/>
  <c r="V116" i="14"/>
  <c r="Y116" i="14" s="1"/>
  <c r="X116" i="14"/>
  <c r="AI114" i="14"/>
  <c r="X117" i="14"/>
  <c r="V117" i="14"/>
  <c r="Y117" i="14" s="1"/>
  <c r="AU131" i="14"/>
  <c r="BA131" i="14" s="1"/>
  <c r="Y111" i="14"/>
  <c r="AO113" i="14"/>
  <c r="W112" i="14"/>
  <c r="W117" i="14" s="1"/>
  <c r="AE112" i="14"/>
  <c r="AE114" i="14" s="1"/>
  <c r="AE116" i="14" s="1"/>
  <c r="AO112" i="14"/>
  <c r="AC112" i="14"/>
  <c r="AQ112" i="14"/>
  <c r="AQ114" i="14" s="1"/>
  <c r="AQ116" i="14" s="1"/>
  <c r="Y112" i="14"/>
  <c r="AC111" i="14"/>
  <c r="AF111" i="14" s="1"/>
  <c r="W111" i="14"/>
  <c r="W116" i="14" s="1"/>
  <c r="AE111" i="14"/>
  <c r="AE113" i="14" s="1"/>
  <c r="AE115" i="14" s="1"/>
  <c r="AE117" i="14" s="1"/>
  <c r="AI111" i="14"/>
  <c r="AK111" i="14"/>
  <c r="AK113" i="14" s="1"/>
  <c r="AK115" i="14" s="1"/>
  <c r="AK117" i="14" s="1"/>
  <c r="AE127" i="14"/>
  <c r="AE129" i="14" s="1"/>
  <c r="AE130" i="14" s="1"/>
  <c r="X131" i="14"/>
  <c r="V131" i="14"/>
  <c r="Y131" i="14" s="1"/>
  <c r="AZ125" i="14"/>
  <c r="BC122" i="14"/>
  <c r="AY123" i="14"/>
  <c r="AR122" i="14"/>
  <c r="AS122" i="14" s="1"/>
  <c r="AO123" i="14"/>
  <c r="AC122" i="14"/>
  <c r="AK122" i="14"/>
  <c r="AK123" i="14" s="1"/>
  <c r="AK124" i="14" s="1"/>
  <c r="AK125" i="14" s="1"/>
  <c r="AK126" i="14" s="1"/>
  <c r="AK127" i="14" s="1"/>
  <c r="AQ122" i="14"/>
  <c r="AQ123" i="14" s="1"/>
  <c r="AQ124" i="14" s="1"/>
  <c r="W122" i="14"/>
  <c r="W131" i="14" s="1"/>
  <c r="Y122" i="14"/>
  <c r="AI122" i="14"/>
  <c r="AE88" i="14"/>
  <c r="AE90" i="14" s="1"/>
  <c r="AE92" i="14" s="1"/>
  <c r="AE94" i="14" s="1"/>
  <c r="AE96" i="14" s="1"/>
  <c r="AE98" i="14" s="1"/>
  <c r="AE100" i="14" s="1"/>
  <c r="AE102" i="14" s="1"/>
  <c r="AY80" i="14"/>
  <c r="X83" i="14"/>
  <c r="X86" i="14" s="1"/>
  <c r="X84" i="14"/>
  <c r="V83" i="14"/>
  <c r="V86" i="14" s="1"/>
  <c r="AO79" i="14"/>
  <c r="AC80" i="14"/>
  <c r="AC82" i="14" s="1"/>
  <c r="W87" i="14"/>
  <c r="W81" i="14"/>
  <c r="W84" i="14" s="1"/>
  <c r="Y81" i="14"/>
  <c r="Y84" i="14" s="1"/>
  <c r="AC81" i="14"/>
  <c r="AI81" i="14"/>
  <c r="AE81" i="14"/>
  <c r="AE84" i="14" s="1"/>
  <c r="AE87" i="14" s="1"/>
  <c r="AE89" i="14" s="1"/>
  <c r="AE91" i="14" s="1"/>
  <c r="AE93" i="14" s="1"/>
  <c r="AE95" i="14" s="1"/>
  <c r="AE97" i="14" s="1"/>
  <c r="AE99" i="14" s="1"/>
  <c r="AE101" i="14" s="1"/>
  <c r="AQ79" i="14"/>
  <c r="AQ80" i="14" s="1"/>
  <c r="AQ81" i="14" s="1"/>
  <c r="AQ84" i="14" s="1"/>
  <c r="AQ87" i="14" s="1"/>
  <c r="AQ89" i="14" s="1"/>
  <c r="AQ91" i="14" s="1"/>
  <c r="AQ93" i="14" s="1"/>
  <c r="AQ95" i="14" s="1"/>
  <c r="AQ97" i="14" s="1"/>
  <c r="AQ99" i="14" s="1"/>
  <c r="AQ101" i="14" s="1"/>
  <c r="Y79" i="14"/>
  <c r="Y83" i="14" s="1"/>
  <c r="W79" i="14"/>
  <c r="W83" i="14" s="1"/>
  <c r="W86" i="14" s="1"/>
  <c r="AI79" i="14"/>
  <c r="AK79" i="14"/>
  <c r="AK80" i="14" s="1"/>
  <c r="AK82" i="14" s="1"/>
  <c r="AK85" i="14" s="1"/>
  <c r="AK88" i="14" s="1"/>
  <c r="AK90" i="14" s="1"/>
  <c r="AK92" i="14" s="1"/>
  <c r="AK94" i="14" s="1"/>
  <c r="AK96" i="14" s="1"/>
  <c r="AK98" i="14" s="1"/>
  <c r="AK100" i="14" s="1"/>
  <c r="AK102" i="14" s="1"/>
  <c r="AI65" i="14"/>
  <c r="AI67" i="14" s="1"/>
  <c r="AI74" i="14" s="1"/>
  <c r="AL65" i="14"/>
  <c r="AL67" i="14" s="1"/>
  <c r="AL74" i="14" s="1"/>
  <c r="AC63" i="14"/>
  <c r="AF63" i="14" s="1"/>
  <c r="AE63" i="14"/>
  <c r="AE65" i="14" s="1"/>
  <c r="AE67" i="14" s="1"/>
  <c r="AE74" i="14" s="1"/>
  <c r="AK63" i="14"/>
  <c r="AK65" i="14" s="1"/>
  <c r="AK67" i="14" s="1"/>
  <c r="AK74" i="14" s="1"/>
  <c r="W63" i="14"/>
  <c r="AO63" i="14"/>
  <c r="AR63" i="14" s="1"/>
  <c r="AS63" i="14" s="1"/>
  <c r="Y63" i="14"/>
  <c r="W57" i="14"/>
  <c r="AQ55" i="14"/>
  <c r="AQ57" i="14" s="1"/>
  <c r="AV53" i="14"/>
  <c r="AV55" i="14" s="1"/>
  <c r="AJ50" i="14"/>
  <c r="AJ52" i="14" s="1"/>
  <c r="AJ54" i="14" s="1"/>
  <c r="AJ56" i="14" s="1"/>
  <c r="AJ58" i="14" s="1"/>
  <c r="AK50" i="14"/>
  <c r="AK52" i="14" s="1"/>
  <c r="AK54" i="14" s="1"/>
  <c r="AK56" i="14" s="1"/>
  <c r="AK58" i="14" s="1"/>
  <c r="AK51" i="14"/>
  <c r="AK53" i="14" s="1"/>
  <c r="AK55" i="14" s="1"/>
  <c r="AK57" i="14" s="1"/>
  <c r="AO51" i="14"/>
  <c r="W51" i="14"/>
  <c r="AE51" i="14"/>
  <c r="AE53" i="14" s="1"/>
  <c r="AE55" i="14" s="1"/>
  <c r="AE57" i="14" s="1"/>
  <c r="AC51" i="14"/>
  <c r="AI51" i="14"/>
  <c r="AP50" i="14"/>
  <c r="AP52" i="14" s="1"/>
  <c r="AP54" i="14" s="1"/>
  <c r="AP56" i="14" s="1"/>
  <c r="AP58" i="14" s="1"/>
  <c r="AQ50" i="14"/>
  <c r="AQ52" i="14" s="1"/>
  <c r="AQ54" i="14" s="1"/>
  <c r="AQ56" i="14" s="1"/>
  <c r="AQ58" i="14" s="1"/>
  <c r="AG48" i="14"/>
  <c r="AS48" i="14"/>
  <c r="AR38" i="14"/>
  <c r="AS38" i="14" s="1"/>
  <c r="AV38" i="14"/>
  <c r="AF38" i="14"/>
  <c r="AG38" i="14" s="1"/>
  <c r="X38" i="14" s="1"/>
  <c r="AU38" i="14"/>
  <c r="AU48" i="14"/>
  <c r="AD49" i="14"/>
  <c r="W50" i="14" s="1"/>
  <c r="X50" i="14" s="1"/>
  <c r="Z50" i="14" s="1"/>
  <c r="AA50" i="14" s="1"/>
  <c r="W48" i="14"/>
  <c r="AC49" i="14"/>
  <c r="AI48" i="14"/>
  <c r="AL48" i="14" s="1"/>
  <c r="AO49" i="14"/>
  <c r="AO50" i="14" s="1"/>
  <c r="AO52" i="14" s="1"/>
  <c r="AO54" i="14" s="1"/>
  <c r="AO56" i="14" s="1"/>
  <c r="AO58" i="14" s="1"/>
  <c r="AR58" i="14" s="1"/>
  <c r="AS58" i="14" s="1"/>
  <c r="X49" i="14"/>
  <c r="AI39" i="14"/>
  <c r="AI40" i="14" s="1"/>
  <c r="AL40" i="14" s="1"/>
  <c r="AM40" i="14" s="1"/>
  <c r="AL38" i="14"/>
  <c r="AM38" i="14" s="1"/>
  <c r="AV39" i="14"/>
  <c r="AD40" i="14"/>
  <c r="AR39" i="14"/>
  <c r="AS39" i="14" s="1"/>
  <c r="AO40" i="14"/>
  <c r="AC40" i="14"/>
  <c r="AF39" i="14"/>
  <c r="AG39" i="14" s="1"/>
  <c r="X39" i="14" s="1"/>
  <c r="AJ39" i="14"/>
  <c r="AP39" i="14"/>
  <c r="V28" i="14"/>
  <c r="V25" i="14"/>
  <c r="T25" i="14"/>
  <c r="T26" i="14"/>
  <c r="T29" i="14" s="1"/>
  <c r="S25" i="14"/>
  <c r="S26" i="14"/>
  <c r="S29" i="14" s="1"/>
  <c r="W30" i="14"/>
  <c r="AI30" i="14"/>
  <c r="AI27" i="14" s="1"/>
  <c r="AL27" i="14" s="1"/>
  <c r="AM27" i="14" s="1"/>
  <c r="AO30" i="14"/>
  <c r="AO27" i="14" s="1"/>
  <c r="AR27" i="14" s="1"/>
  <c r="AS27" i="14" s="1"/>
  <c r="W18" i="14"/>
  <c r="AJ18" i="14" s="1"/>
  <c r="AJ19" i="14" s="1"/>
  <c r="W24" i="14" s="1"/>
  <c r="AC18" i="14"/>
  <c r="AF18" i="14" s="1"/>
  <c r="AG18" i="14" s="1"/>
  <c r="AI18" i="14"/>
  <c r="AL18" i="14" s="1"/>
  <c r="AM18" i="14" s="1"/>
  <c r="AK18" i="14"/>
  <c r="AK19" i="14" s="1"/>
  <c r="AK21" i="14" s="1"/>
  <c r="AK27" i="14" s="1"/>
  <c r="AK30" i="14" s="1"/>
  <c r="X20" i="14"/>
  <c r="X23" i="14" s="1"/>
  <c r="X26" i="14" s="1"/>
  <c r="X29" i="14" s="1"/>
  <c r="AE18" i="14"/>
  <c r="AE19" i="14" s="1"/>
  <c r="AE21" i="14" s="1"/>
  <c r="AE24" i="14" s="1"/>
  <c r="AE27" i="14" s="1"/>
  <c r="AE30" i="14" s="1"/>
  <c r="V20" i="14"/>
  <c r="AO18" i="14"/>
  <c r="AR18" i="14" s="1"/>
  <c r="AS18" i="14" s="1"/>
  <c r="AQ18" i="14"/>
  <c r="AQ19" i="14" s="1"/>
  <c r="AQ21" i="14" s="1"/>
  <c r="AQ24" i="14" s="1"/>
  <c r="X6" i="14"/>
  <c r="X8" i="14" s="1"/>
  <c r="X11" i="14" s="1"/>
  <c r="X13" i="14" s="1"/>
  <c r="V6" i="14"/>
  <c r="V8" i="14" s="1"/>
  <c r="W9" i="14"/>
  <c r="AK5" i="14"/>
  <c r="W5" i="14"/>
  <c r="AK9" i="14"/>
  <c r="AL9" i="14"/>
  <c r="AR4" i="14"/>
  <c r="AR8" i="14" s="1"/>
  <c r="AI9" i="14"/>
  <c r="AC9" i="14"/>
  <c r="AE9" i="14"/>
  <c r="AF4" i="14"/>
  <c r="AF8" i="14" s="1"/>
  <c r="AF5" i="14"/>
  <c r="AI5" i="14"/>
  <c r="AO4" i="14"/>
  <c r="AO8" i="14" s="1"/>
  <c r="AO11" i="14" s="1"/>
  <c r="AQ4" i="14"/>
  <c r="AQ8" i="14" s="1"/>
  <c r="AQ11" i="14" s="1"/>
  <c r="AQ13" i="14" s="1"/>
  <c r="AL5" i="14"/>
  <c r="W4" i="14"/>
  <c r="W6" i="14" s="1"/>
  <c r="W8" i="14" s="1"/>
  <c r="W11" i="14" s="1"/>
  <c r="W13" i="14" s="1"/>
  <c r="AR5" i="14"/>
  <c r="AS5" i="14" s="1"/>
  <c r="AO5" i="14"/>
  <c r="AE4" i="14"/>
  <c r="AE8" i="14" s="1"/>
  <c r="AE11" i="14" s="1"/>
  <c r="AE13" i="14" s="1"/>
  <c r="AL4" i="14"/>
  <c r="AL8" i="14" s="1"/>
  <c r="AC4" i="14"/>
  <c r="AC8" i="14" s="1"/>
  <c r="AC11" i="14" s="1"/>
  <c r="AM221" i="14"/>
  <c r="AP221" i="14"/>
  <c r="AL221" i="14"/>
  <c r="AF221" i="14"/>
  <c r="AO217" i="14"/>
  <c r="AF217" i="14"/>
  <c r="AG217" i="14"/>
  <c r="AG218" i="14" s="1"/>
  <c r="AG219" i="14" s="1"/>
  <c r="AG220" i="14" s="1"/>
  <c r="AG221" i="14" s="1"/>
  <c r="AC218" i="14"/>
  <c r="AC219" i="14" s="1"/>
  <c r="AC220" i="14" s="1"/>
  <c r="AE213" i="14"/>
  <c r="AE214" i="14" s="1"/>
  <c r="AL217" i="14"/>
  <c r="AK214" i="14"/>
  <c r="AP214" i="14" s="1"/>
  <c r="AE218" i="14"/>
  <c r="AM217" i="14"/>
  <c r="AM218" i="14" s="1"/>
  <c r="AM219" i="14" s="1"/>
  <c r="AM220" i="14" s="1"/>
  <c r="AK218" i="14"/>
  <c r="AP218" i="14" s="1"/>
  <c r="AN253" i="14"/>
  <c r="AN254" i="14" s="1"/>
  <c r="AQ255" i="14"/>
  <c r="AQ256" i="14" s="1"/>
  <c r="AL213" i="14"/>
  <c r="AG213" i="14"/>
  <c r="AG214" i="14" s="1"/>
  <c r="AG215" i="14" s="1"/>
  <c r="AG216" i="14" s="1"/>
  <c r="AM213" i="14"/>
  <c r="AM214" i="14" s="1"/>
  <c r="AM215" i="14" s="1"/>
  <c r="AM216" i="14" s="1"/>
  <c r="AG192" i="14"/>
  <c r="AS249" i="14"/>
  <c r="AR264" i="14"/>
  <c r="AR265" i="14" s="1"/>
  <c r="AR266" i="14" s="1"/>
  <c r="AR267" i="14" s="1"/>
  <c r="AR268" i="14" s="1"/>
  <c r="AR269" i="14" s="1"/>
  <c r="AR270" i="14" s="1"/>
  <c r="AS263" i="14"/>
  <c r="AN263" i="14"/>
  <c r="AN264" i="14" s="1"/>
  <c r="AN265" i="14" s="1"/>
  <c r="AO251" i="14"/>
  <c r="AO252" i="14" s="1"/>
  <c r="AO253" i="14" s="1"/>
  <c r="AO254" i="14" s="1"/>
  <c r="AO255" i="14" s="1"/>
  <c r="AO256" i="14" s="1"/>
  <c r="AO257" i="14" s="1"/>
  <c r="AO258" i="14" s="1"/>
  <c r="AP251" i="14"/>
  <c r="AP252" i="14" s="1"/>
  <c r="AP253" i="14" s="1"/>
  <c r="AP254" i="14" s="1"/>
  <c r="AP255" i="14" s="1"/>
  <c r="AP256" i="14" s="1"/>
  <c r="AP257" i="14" s="1"/>
  <c r="AP258" i="14" s="1"/>
  <c r="AR250" i="14"/>
  <c r="AM192" i="14"/>
  <c r="AE191" i="14"/>
  <c r="AE193" i="14" s="1"/>
  <c r="AC191" i="14"/>
  <c r="AC193" i="14" s="1"/>
  <c r="AG190" i="14"/>
  <c r="AG191" i="14" s="1"/>
  <c r="AG193" i="14" s="1"/>
  <c r="AM190" i="14"/>
  <c r="AM191" i="14" s="1"/>
  <c r="AM193" i="14" s="1"/>
  <c r="AS183" i="14"/>
  <c r="BF178" i="14"/>
  <c r="BK178" i="14" s="1"/>
  <c r="BL178" i="14" s="1"/>
  <c r="AU183" i="14"/>
  <c r="AX178" i="14"/>
  <c r="AM209" i="14"/>
  <c r="AG207" i="14"/>
  <c r="AM208" i="14"/>
  <c r="AG209" i="14"/>
  <c r="AG197" i="14"/>
  <c r="AG206" i="14"/>
  <c r="AM197" i="14"/>
  <c r="AG199" i="14"/>
  <c r="AM201" i="14"/>
  <c r="AM206" i="14"/>
  <c r="AM186" i="14"/>
  <c r="AP184" i="14" s="1"/>
  <c r="BA184" i="14" s="1"/>
  <c r="BB184" i="14" s="1"/>
  <c r="AG186" i="14"/>
  <c r="AN184" i="14" s="1"/>
  <c r="AM182" i="14"/>
  <c r="AM177" i="14"/>
  <c r="AP177" i="14" s="1"/>
  <c r="AP178" i="14" s="1"/>
  <c r="AP179" i="14" s="1"/>
  <c r="AG177" i="14"/>
  <c r="AN177" i="14" s="1"/>
  <c r="AG180" i="14"/>
  <c r="O8" i="12"/>
  <c r="O7" i="12" s="1"/>
  <c r="O8" i="9"/>
  <c r="O7" i="9" s="1"/>
  <c r="O8" i="11"/>
  <c r="O7" i="11" s="1"/>
  <c r="O8" i="6"/>
  <c r="O7" i="6" s="1"/>
  <c r="J3" i="9"/>
  <c r="J3" i="12"/>
  <c r="J4" i="6"/>
  <c r="J4" i="12"/>
  <c r="J4" i="9"/>
  <c r="J5" i="12"/>
  <c r="J5" i="9"/>
  <c r="J6" i="12"/>
  <c r="AR152" i="14" l="1"/>
  <c r="AP151" i="14"/>
  <c r="AP153" i="14" s="1"/>
  <c r="W162" i="14"/>
  <c r="AD151" i="14"/>
  <c r="AD153" i="14" s="1"/>
  <c r="AD162" i="14" s="1"/>
  <c r="W164" i="14" s="1"/>
  <c r="X164" i="14" s="1"/>
  <c r="AP7" i="14"/>
  <c r="AP10" i="14" s="1"/>
  <c r="AP12" i="14" s="1"/>
  <c r="AP141" i="14"/>
  <c r="AP144" i="14" s="1"/>
  <c r="AM152" i="14"/>
  <c r="AL154" i="14"/>
  <c r="AM154" i="14" s="1"/>
  <c r="AS152" i="14"/>
  <c r="AR154" i="14"/>
  <c r="AS154" i="14" s="1"/>
  <c r="AJ153" i="14"/>
  <c r="AG163" i="14"/>
  <c r="AF166" i="14"/>
  <c r="AG166" i="14" s="1"/>
  <c r="AD150" i="14"/>
  <c r="AJ150" i="14"/>
  <c r="W152" i="14"/>
  <c r="W163" i="14" s="1"/>
  <c r="AP150" i="14"/>
  <c r="AF154" i="14"/>
  <c r="AG154" i="14" s="1"/>
  <c r="AG152" i="14"/>
  <c r="AR166" i="14"/>
  <c r="AS166" i="14" s="1"/>
  <c r="AS163" i="14"/>
  <c r="AP161" i="14"/>
  <c r="AJ161" i="14"/>
  <c r="AD161" i="14"/>
  <c r="AL165" i="14"/>
  <c r="AM162" i="14"/>
  <c r="AM165" i="14" s="1"/>
  <c r="AZ164" i="14"/>
  <c r="Z164" i="14"/>
  <c r="AA164" i="14" s="1"/>
  <c r="AM163" i="14"/>
  <c r="AL166" i="14"/>
  <c r="AM166" i="14" s="1"/>
  <c r="AP162" i="14"/>
  <c r="AP165" i="14" s="1"/>
  <c r="AL142" i="14"/>
  <c r="AR142" i="14"/>
  <c r="AJ137" i="14"/>
  <c r="W142" i="14"/>
  <c r="AJ144" i="14"/>
  <c r="AL138" i="14"/>
  <c r="AR138" i="14"/>
  <c r="AF138" i="14"/>
  <c r="V143" i="14"/>
  <c r="BC137" i="14"/>
  <c r="AY139" i="14"/>
  <c r="AG136" i="14"/>
  <c r="AS136" i="14"/>
  <c r="AP137" i="14"/>
  <c r="AD137" i="14"/>
  <c r="AD136" i="14"/>
  <c r="AD138" i="14" s="1"/>
  <c r="AD140" i="14" s="1"/>
  <c r="AD143" i="14" s="1"/>
  <c r="AD146" i="14" s="1"/>
  <c r="AV144" i="14" s="1"/>
  <c r="AP136" i="14"/>
  <c r="AP138" i="14" s="1"/>
  <c r="AP140" i="14" s="1"/>
  <c r="AP143" i="14" s="1"/>
  <c r="AP146" i="14" s="1"/>
  <c r="AJ136" i="14"/>
  <c r="AJ138" i="14" s="1"/>
  <c r="AJ140" i="14" s="1"/>
  <c r="AJ143" i="14" s="1"/>
  <c r="AJ146" i="14" s="1"/>
  <c r="AF12" i="14"/>
  <c r="Y12" i="14"/>
  <c r="AR12" i="14"/>
  <c r="AS12" i="14" s="1"/>
  <c r="Y8" i="14"/>
  <c r="V11" i="14"/>
  <c r="V13" i="14" s="1"/>
  <c r="AJ7" i="14"/>
  <c r="AJ10" i="14" s="1"/>
  <c r="AJ12" i="14" s="1"/>
  <c r="W10" i="14"/>
  <c r="AC10" i="14"/>
  <c r="AF10" i="14"/>
  <c r="AG10" i="14" s="1"/>
  <c r="AL10" i="14"/>
  <c r="AM10" i="14" s="1"/>
  <c r="AR10" i="14"/>
  <c r="AS10" i="14" s="1"/>
  <c r="Y6" i="14"/>
  <c r="AQ5" i="14"/>
  <c r="AG4" i="14"/>
  <c r="AG8" i="14" s="1"/>
  <c r="AM4" i="14"/>
  <c r="AM8" i="14" s="1"/>
  <c r="AE5" i="14"/>
  <c r="Y10" i="14"/>
  <c r="AE128" i="14"/>
  <c r="AR112" i="14"/>
  <c r="AS112" i="14" s="1"/>
  <c r="AO114" i="14"/>
  <c r="AI116" i="14"/>
  <c r="AL116" i="14" s="1"/>
  <c r="AM116" i="14" s="1"/>
  <c r="AL114" i="14"/>
  <c r="AM114" i="14" s="1"/>
  <c r="AF112" i="14"/>
  <c r="AG112" i="14" s="1"/>
  <c r="AC114" i="14"/>
  <c r="AR113" i="14"/>
  <c r="AS113" i="14" s="1"/>
  <c r="AO115" i="14"/>
  <c r="AL111" i="14"/>
  <c r="AM111" i="14" s="1"/>
  <c r="AI113" i="14"/>
  <c r="AG111" i="14"/>
  <c r="AC113" i="14"/>
  <c r="AJ112" i="14"/>
  <c r="AJ114" i="14" s="1"/>
  <c r="AJ116" i="14" s="1"/>
  <c r="AP112" i="14"/>
  <c r="AP114" i="14" s="1"/>
  <c r="AP116" i="14" s="1"/>
  <c r="AD112" i="14"/>
  <c r="AD114" i="14" s="1"/>
  <c r="AD116" i="14" s="1"/>
  <c r="AD111" i="14"/>
  <c r="AJ111" i="14"/>
  <c r="AP111" i="14"/>
  <c r="AK129" i="14"/>
  <c r="AK130" i="14" s="1"/>
  <c r="AK128" i="14"/>
  <c r="AF80" i="14"/>
  <c r="AG80" i="14" s="1"/>
  <c r="AJ81" i="14"/>
  <c r="AJ84" i="14" s="1"/>
  <c r="AJ87" i="14" s="1"/>
  <c r="AY124" i="14"/>
  <c r="BC123" i="14"/>
  <c r="AO124" i="14"/>
  <c r="AR123" i="14"/>
  <c r="AS123" i="14" s="1"/>
  <c r="AF122" i="14"/>
  <c r="AG122" i="14" s="1"/>
  <c r="AC123" i="14"/>
  <c r="AQ126" i="14"/>
  <c r="AQ125" i="14"/>
  <c r="AQ127" i="14" s="1"/>
  <c r="AL122" i="14"/>
  <c r="AM122" i="14" s="1"/>
  <c r="AI123" i="14"/>
  <c r="AD122" i="14"/>
  <c r="AP122" i="14"/>
  <c r="AJ122" i="14"/>
  <c r="AQ30" i="14"/>
  <c r="AQ27" i="14"/>
  <c r="AD81" i="14"/>
  <c r="AD84" i="14"/>
  <c r="AD87" i="14" s="1"/>
  <c r="AL79" i="14"/>
  <c r="AM79" i="14" s="1"/>
  <c r="AI80" i="14"/>
  <c r="AL81" i="14"/>
  <c r="AM81" i="14" s="1"/>
  <c r="AI84" i="14"/>
  <c r="AF81" i="14"/>
  <c r="AG81" i="14" s="1"/>
  <c r="AG84" i="14" s="1"/>
  <c r="AC84" i="14"/>
  <c r="AR79" i="14"/>
  <c r="AS79" i="14" s="1"/>
  <c r="AO80" i="14"/>
  <c r="AF82" i="14"/>
  <c r="AG82" i="14" s="1"/>
  <c r="AG85" i="14" s="1"/>
  <c r="AC85" i="14"/>
  <c r="AD79" i="14"/>
  <c r="AP79" i="14"/>
  <c r="AJ79" i="14"/>
  <c r="AG63" i="14"/>
  <c r="AG65" i="14" s="1"/>
  <c r="AG67" i="14" s="1"/>
  <c r="AF65" i="14"/>
  <c r="AF67" i="14" s="1"/>
  <c r="AD63" i="14"/>
  <c r="AD65" i="14" s="1"/>
  <c r="AP63" i="14"/>
  <c r="AJ63" i="14"/>
  <c r="AF51" i="14"/>
  <c r="AC53" i="14"/>
  <c r="AC55" i="14" s="1"/>
  <c r="AC57" i="14" s="1"/>
  <c r="AR51" i="14"/>
  <c r="AO53" i="14"/>
  <c r="AO55" i="14" s="1"/>
  <c r="AO57" i="14" s="1"/>
  <c r="AR57" i="14" s="1"/>
  <c r="AS57" i="14" s="1"/>
  <c r="AL51" i="14"/>
  <c r="AI53" i="14"/>
  <c r="AD51" i="14"/>
  <c r="AD53" i="14" s="1"/>
  <c r="AJ51" i="14"/>
  <c r="AJ53" i="14" s="1"/>
  <c r="AJ55" i="14" s="1"/>
  <c r="AJ57" i="14" s="1"/>
  <c r="AP51" i="14"/>
  <c r="AP53" i="14" s="1"/>
  <c r="AP55" i="14" s="1"/>
  <c r="AP57" i="14" s="1"/>
  <c r="AU49" i="14"/>
  <c r="AY48" i="14"/>
  <c r="AV49" i="14"/>
  <c r="AV50" i="14" s="1"/>
  <c r="AW50" i="14"/>
  <c r="AL39" i="14"/>
  <c r="AM39" i="14" s="1"/>
  <c r="AR49" i="14"/>
  <c r="AR50" i="14" s="1"/>
  <c r="AI41" i="14"/>
  <c r="AI42" i="14" s="1"/>
  <c r="AL42" i="14" s="1"/>
  <c r="AM42" i="14" s="1"/>
  <c r="X42" i="14" s="1"/>
  <c r="AU39" i="14"/>
  <c r="AF49" i="14"/>
  <c r="AW49" i="14"/>
  <c r="AW48" i="14"/>
  <c r="AX48" i="14" s="1"/>
  <c r="AI49" i="14"/>
  <c r="AI50" i="14" s="1"/>
  <c r="Z49" i="14"/>
  <c r="AP40" i="14"/>
  <c r="AX39" i="14"/>
  <c r="AD18" i="14"/>
  <c r="W19" i="14" s="1"/>
  <c r="AD19" i="14" s="1"/>
  <c r="AD21" i="14" s="1"/>
  <c r="AK215" i="14"/>
  <c r="AP215" i="14" s="1"/>
  <c r="AL214" i="14"/>
  <c r="AP18" i="14"/>
  <c r="AP19" i="14" s="1"/>
  <c r="AP21" i="14" s="1"/>
  <c r="AX21" i="14" s="1"/>
  <c r="AR40" i="14"/>
  <c r="AS40" i="14" s="1"/>
  <c r="AO41" i="14"/>
  <c r="AV40" i="14"/>
  <c r="AD41" i="14"/>
  <c r="AJ40" i="14"/>
  <c r="AW39" i="14"/>
  <c r="W20" i="14"/>
  <c r="W23" i="14" s="1"/>
  <c r="W26" i="14" s="1"/>
  <c r="W29" i="14" s="1"/>
  <c r="AF40" i="14"/>
  <c r="AG40" i="14" s="1"/>
  <c r="X40" i="14" s="1"/>
  <c r="AC41" i="14"/>
  <c r="X24" i="14"/>
  <c r="X31" i="14" s="1"/>
  <c r="X27" i="14" s="1"/>
  <c r="W31" i="14"/>
  <c r="W27" i="14" s="1"/>
  <c r="AK24" i="14"/>
  <c r="AW18" i="14"/>
  <c r="X33" i="14"/>
  <c r="AR30" i="14"/>
  <c r="AL30" i="14"/>
  <c r="W21" i="14"/>
  <c r="AJ21" i="14"/>
  <c r="AJ27" i="14" s="1"/>
  <c r="AJ9" i="14"/>
  <c r="AO19" i="14"/>
  <c r="AI19" i="14"/>
  <c r="AC19" i="14"/>
  <c r="V23" i="14"/>
  <c r="V26" i="14" s="1"/>
  <c r="V29" i="14" s="1"/>
  <c r="AD9" i="14"/>
  <c r="Y20" i="14"/>
  <c r="Y23" i="14" s="1"/>
  <c r="Y26" i="14" s="1"/>
  <c r="Y29" i="14" s="1"/>
  <c r="AS4" i="14"/>
  <c r="AS8" i="14" s="1"/>
  <c r="AM9" i="14"/>
  <c r="AM5" i="14"/>
  <c r="AD4" i="14"/>
  <c r="AJ4" i="14"/>
  <c r="AP4" i="14"/>
  <c r="AG5" i="14"/>
  <c r="AP192" i="14"/>
  <c r="BA192" i="14" s="1"/>
  <c r="BH192" i="14" s="1"/>
  <c r="BI192" i="14" s="1"/>
  <c r="AN192" i="14"/>
  <c r="AO218" i="14"/>
  <c r="AF218" i="14"/>
  <c r="AO214" i="14"/>
  <c r="AF214" i="14"/>
  <c r="AO213" i="14"/>
  <c r="AF213" i="14"/>
  <c r="AL218" i="14"/>
  <c r="AK219" i="14"/>
  <c r="AP219" i="14" s="1"/>
  <c r="AE219" i="14"/>
  <c r="AE215" i="14"/>
  <c r="AS265" i="14"/>
  <c r="AN266" i="14"/>
  <c r="AS264" i="14"/>
  <c r="AP263" i="14"/>
  <c r="AO263" i="14"/>
  <c r="AO264" i="14" s="1"/>
  <c r="AO265" i="14" s="1"/>
  <c r="AO266" i="14" s="1"/>
  <c r="AO267" i="14" s="1"/>
  <c r="AO268" i="14" s="1"/>
  <c r="AO269" i="14" s="1"/>
  <c r="AO270" i="14" s="1"/>
  <c r="AR251" i="14"/>
  <c r="AR252" i="14" s="1"/>
  <c r="AS252" i="14" s="1"/>
  <c r="AN255" i="14"/>
  <c r="AN256" i="14" s="1"/>
  <c r="AN257" i="14" s="1"/>
  <c r="AN258" i="14" s="1"/>
  <c r="AQ257" i="14"/>
  <c r="AS250" i="14"/>
  <c r="AP190" i="14"/>
  <c r="AP191" i="14" s="1"/>
  <c r="AN190" i="14"/>
  <c r="AN191" i="14" s="1"/>
  <c r="BA179" i="14"/>
  <c r="BH179" i="14" s="1"/>
  <c r="BI179" i="14" s="1"/>
  <c r="AP181" i="14"/>
  <c r="AY184" i="14"/>
  <c r="AQ184" i="14"/>
  <c r="BH184" i="14"/>
  <c r="BI184" i="14" s="1"/>
  <c r="AX179" i="14"/>
  <c r="AX181" i="14" s="1"/>
  <c r="AX183" i="14" s="1"/>
  <c r="AW181" i="14"/>
  <c r="AW183" i="14" s="1"/>
  <c r="AQ177" i="14"/>
  <c r="AQ178" i="14" s="1"/>
  <c r="AN178" i="14"/>
  <c r="AN179" i="14" s="1"/>
  <c r="AY179" i="14" s="1"/>
  <c r="AZ179" i="14" s="1"/>
  <c r="AD164" i="14" l="1"/>
  <c r="AJ162" i="14"/>
  <c r="AJ165" i="14" s="1"/>
  <c r="AP164" i="14"/>
  <c r="AP152" i="14"/>
  <c r="AX150" i="14"/>
  <c r="AJ152" i="14"/>
  <c r="W153" i="14"/>
  <c r="X153" i="14" s="1"/>
  <c r="AW150" i="14"/>
  <c r="AV150" i="14"/>
  <c r="AD152" i="14"/>
  <c r="AJ164" i="14"/>
  <c r="AR145" i="14"/>
  <c r="AS145" i="14" s="1"/>
  <c r="AS142" i="14"/>
  <c r="AL145" i="14"/>
  <c r="AM142" i="14"/>
  <c r="AM145" i="14" s="1"/>
  <c r="AP139" i="14"/>
  <c r="AX137" i="14"/>
  <c r="AG138" i="14"/>
  <c r="AF140" i="14"/>
  <c r="AG140" i="14" s="1"/>
  <c r="AD139" i="14"/>
  <c r="AV137" i="14"/>
  <c r="AL143" i="14"/>
  <c r="AF143" i="14"/>
  <c r="AR143" i="14"/>
  <c r="AR140" i="14"/>
  <c r="AS140" i="14" s="1"/>
  <c r="AS138" i="14"/>
  <c r="AL140" i="14"/>
  <c r="AM140" i="14" s="1"/>
  <c r="AM138" i="14"/>
  <c r="AW137" i="14"/>
  <c r="AJ139" i="14"/>
  <c r="AX136" i="14"/>
  <c r="AW136" i="14"/>
  <c r="W139" i="14"/>
  <c r="X139" i="14" s="1"/>
  <c r="AV136" i="14"/>
  <c r="Y13" i="14"/>
  <c r="AL13" i="14"/>
  <c r="AM13" i="14" s="1"/>
  <c r="AR11" i="14"/>
  <c r="AS11" i="14" s="1"/>
  <c r="AF11" i="14"/>
  <c r="AG11" i="14" s="1"/>
  <c r="AL11" i="14"/>
  <c r="AM11" i="14" s="1"/>
  <c r="Y11" i="14"/>
  <c r="AJ8" i="14"/>
  <c r="AD8" i="14"/>
  <c r="AP8" i="14"/>
  <c r="AR115" i="14"/>
  <c r="AS115" i="14" s="1"/>
  <c r="AO117" i="14"/>
  <c r="AR117" i="14" s="1"/>
  <c r="AS117" i="14" s="1"/>
  <c r="AL113" i="14"/>
  <c r="AM113" i="14" s="1"/>
  <c r="AI115" i="14"/>
  <c r="AR114" i="14"/>
  <c r="AS114" i="14" s="1"/>
  <c r="AO116" i="14"/>
  <c r="AR116" i="14" s="1"/>
  <c r="AS116" i="14" s="1"/>
  <c r="AF113" i="14"/>
  <c r="AG113" i="14" s="1"/>
  <c r="AC115" i="14"/>
  <c r="AC116" i="14"/>
  <c r="AF116" i="14" s="1"/>
  <c r="AG116" i="14" s="1"/>
  <c r="AF114" i="14"/>
  <c r="AG114" i="14" s="1"/>
  <c r="AX111" i="14"/>
  <c r="AP113" i="14"/>
  <c r="AW111" i="14"/>
  <c r="AJ113" i="14"/>
  <c r="AV111" i="14"/>
  <c r="AD113" i="14"/>
  <c r="AQ129" i="14"/>
  <c r="AQ128" i="14"/>
  <c r="AQ130" i="14" s="1"/>
  <c r="AY126" i="14"/>
  <c r="AY125" i="14"/>
  <c r="BC124" i="14"/>
  <c r="AO126" i="14"/>
  <c r="AO125" i="14"/>
  <c r="AR124" i="14"/>
  <c r="AS124" i="14" s="1"/>
  <c r="AF123" i="14"/>
  <c r="AG123" i="14" s="1"/>
  <c r="AC124" i="14"/>
  <c r="AI124" i="14"/>
  <c r="AL123" i="14"/>
  <c r="AM123" i="14" s="1"/>
  <c r="AV122" i="14"/>
  <c r="AD123" i="14"/>
  <c r="AX122" i="14"/>
  <c r="AP123" i="14"/>
  <c r="AW122" i="14"/>
  <c r="AJ123" i="14"/>
  <c r="AJ30" i="14"/>
  <c r="AW27" i="14"/>
  <c r="AF85" i="14"/>
  <c r="AC88" i="14"/>
  <c r="AD89" i="14"/>
  <c r="AD91" i="14" s="1"/>
  <c r="AD93" i="14" s="1"/>
  <c r="AD95" i="14" s="1"/>
  <c r="AO81" i="14"/>
  <c r="AR80" i="14"/>
  <c r="AS80" i="14" s="1"/>
  <c r="AI82" i="14"/>
  <c r="AL80" i="14"/>
  <c r="AM80" i="14" s="1"/>
  <c r="AF84" i="14"/>
  <c r="AC87" i="14"/>
  <c r="AF87" i="14" s="1"/>
  <c r="AG87" i="14" s="1"/>
  <c r="AL84" i="14"/>
  <c r="AM84" i="14" s="1"/>
  <c r="AI87" i="14"/>
  <c r="AJ89" i="14"/>
  <c r="AW79" i="14"/>
  <c r="AJ80" i="14"/>
  <c r="AX79" i="14"/>
  <c r="AP80" i="14"/>
  <c r="AV79" i="14"/>
  <c r="W80" i="14"/>
  <c r="AD80" i="14" s="1"/>
  <c r="AW63" i="14"/>
  <c r="AJ65" i="14"/>
  <c r="AU65" i="14" s="1"/>
  <c r="AV65" i="14"/>
  <c r="AD67" i="14"/>
  <c r="AX63" i="14"/>
  <c r="W65" i="14"/>
  <c r="X65" i="14" s="1"/>
  <c r="Z65" i="14" s="1"/>
  <c r="AA65" i="14" s="1"/>
  <c r="AV63" i="14"/>
  <c r="AU63" i="14"/>
  <c r="AX49" i="14"/>
  <c r="AW53" i="14"/>
  <c r="AS51" i="14"/>
  <c r="AR53" i="14"/>
  <c r="AS53" i="14" s="1"/>
  <c r="AM51" i="14"/>
  <c r="AL53" i="14"/>
  <c r="AM53" i="14" s="1"/>
  <c r="AL41" i="14"/>
  <c r="AM41" i="14" s="1"/>
  <c r="AG51" i="14"/>
  <c r="AF53" i="14"/>
  <c r="AG53" i="14" s="1"/>
  <c r="AV18" i="14"/>
  <c r="AL50" i="14"/>
  <c r="AI52" i="14"/>
  <c r="AI54" i="14" s="1"/>
  <c r="AI56" i="14" s="1"/>
  <c r="AI58" i="14" s="1"/>
  <c r="AL58" i="14" s="1"/>
  <c r="AM58" i="14" s="1"/>
  <c r="AS50" i="14"/>
  <c r="AR52" i="14"/>
  <c r="AW51" i="14"/>
  <c r="AA49" i="14"/>
  <c r="AU50" i="14"/>
  <c r="AY49" i="14"/>
  <c r="AI55" i="14"/>
  <c r="AI57" i="14" s="1"/>
  <c r="AL57" i="14" s="1"/>
  <c r="AM57" i="14" s="1"/>
  <c r="AL49" i="14"/>
  <c r="AS49" i="14"/>
  <c r="AQ192" i="14"/>
  <c r="AD55" i="14"/>
  <c r="W33" i="14"/>
  <c r="AG49" i="14"/>
  <c r="AK216" i="14"/>
  <c r="AL216" i="14" s="1"/>
  <c r="AL215" i="14"/>
  <c r="AP24" i="14"/>
  <c r="AM48" i="14"/>
  <c r="AX18" i="14"/>
  <c r="AX19" i="14"/>
  <c r="AU18" i="14"/>
  <c r="AF41" i="14"/>
  <c r="AG41" i="14" s="1"/>
  <c r="X41" i="14" s="1"/>
  <c r="AC42" i="14"/>
  <c r="AF42" i="14" s="1"/>
  <c r="AG42" i="14" s="1"/>
  <c r="AD42" i="14"/>
  <c r="AV41" i="14"/>
  <c r="AW40" i="14"/>
  <c r="AJ41" i="14"/>
  <c r="AU40" i="14"/>
  <c r="AR41" i="14"/>
  <c r="AS41" i="14" s="1"/>
  <c r="AO42" i="14"/>
  <c r="AR42" i="14" s="1"/>
  <c r="AS42" i="14" s="1"/>
  <c r="AX40" i="14"/>
  <c r="AP41" i="14"/>
  <c r="AD24" i="14"/>
  <c r="AJ24" i="14"/>
  <c r="Z24" i="14"/>
  <c r="AU4" i="14"/>
  <c r="Y33" i="14"/>
  <c r="V33" i="14"/>
  <c r="AS30" i="14"/>
  <c r="AM30" i="14"/>
  <c r="AL19" i="14"/>
  <c r="AI21" i="14"/>
  <c r="AR19" i="14"/>
  <c r="AO21" i="14"/>
  <c r="AF19" i="14"/>
  <c r="AC21" i="14"/>
  <c r="AC24" i="14" s="1"/>
  <c r="AV21" i="14"/>
  <c r="W22" i="14"/>
  <c r="W25" i="14" s="1"/>
  <c r="X19" i="14"/>
  <c r="Z19" i="14" s="1"/>
  <c r="X21" i="14"/>
  <c r="AW19" i="14"/>
  <c r="AV19" i="14"/>
  <c r="AU19" i="14"/>
  <c r="AL12" i="14"/>
  <c r="AM12" i="14" s="1"/>
  <c r="AI12" i="14"/>
  <c r="AC12" i="14"/>
  <c r="AG12" i="14"/>
  <c r="AP5" i="14"/>
  <c r="AX5" i="14" s="1"/>
  <c r="AX4" i="14"/>
  <c r="AJ5" i="14"/>
  <c r="AW4" i="14"/>
  <c r="BB192" i="14"/>
  <c r="AY192" i="14"/>
  <c r="BC192" i="14" s="1"/>
  <c r="BD192" i="14" s="1"/>
  <c r="AD5" i="14"/>
  <c r="AV4" i="14"/>
  <c r="AO215" i="14"/>
  <c r="AF215" i="14"/>
  <c r="AO219" i="14"/>
  <c r="AF219" i="14"/>
  <c r="AK220" i="14"/>
  <c r="AL219" i="14"/>
  <c r="AE220" i="14"/>
  <c r="AS251" i="14"/>
  <c r="AQ191" i="14"/>
  <c r="AE216" i="14"/>
  <c r="AS266" i="14"/>
  <c r="AN267" i="14"/>
  <c r="AP264" i="14"/>
  <c r="AP265" i="14" s="1"/>
  <c r="AP266" i="14" s="1"/>
  <c r="AP267" i="14" s="1"/>
  <c r="AP268" i="14" s="1"/>
  <c r="AP269" i="14" s="1"/>
  <c r="AP270" i="14" s="1"/>
  <c r="AP271" i="14" s="1"/>
  <c r="AP272" i="14" s="1"/>
  <c r="AR253" i="14"/>
  <c r="AR254" i="14" s="1"/>
  <c r="AR255" i="14" s="1"/>
  <c r="AS255" i="14" s="1"/>
  <c r="AQ190" i="14"/>
  <c r="BB179" i="14"/>
  <c r="AZ184" i="14"/>
  <c r="BG184" i="14" s="1"/>
  <c r="BF184" i="14"/>
  <c r="BK184" i="14" s="1"/>
  <c r="BL184" i="14" s="1"/>
  <c r="BC184" i="14"/>
  <c r="BD184" i="14" s="1"/>
  <c r="AP183" i="14"/>
  <c r="BA181" i="14"/>
  <c r="BF179" i="14"/>
  <c r="BK179" i="14" s="1"/>
  <c r="BL179" i="14" s="1"/>
  <c r="AN181" i="14"/>
  <c r="AQ179" i="14"/>
  <c r="AD154" i="14" l="1"/>
  <c r="AV151" i="14"/>
  <c r="AJ154" i="14"/>
  <c r="AW151" i="14"/>
  <c r="AP154" i="14"/>
  <c r="AX151" i="14"/>
  <c r="AU151" i="14" s="1"/>
  <c r="BA151" i="14" s="1"/>
  <c r="BB151" i="14" s="1"/>
  <c r="Z153" i="14"/>
  <c r="AA153" i="14" s="1"/>
  <c r="AZ153" i="14"/>
  <c r="AU150" i="14"/>
  <c r="BA150" i="14" s="1"/>
  <c r="BB150" i="14" s="1"/>
  <c r="Z139" i="14"/>
  <c r="AA139" i="14" s="1"/>
  <c r="AZ139" i="14"/>
  <c r="AJ142" i="14"/>
  <c r="AW139" i="14"/>
  <c r="AU136" i="14"/>
  <c r="BA136" i="14" s="1"/>
  <c r="BB136" i="14" s="1"/>
  <c r="AS143" i="14"/>
  <c r="AR146" i="14"/>
  <c r="AS146" i="14" s="1"/>
  <c r="AM143" i="14"/>
  <c r="AL146" i="14"/>
  <c r="AM146" i="14" s="1"/>
  <c r="AG143" i="14"/>
  <c r="AF146" i="14"/>
  <c r="AG146" i="14" s="1"/>
  <c r="AU137" i="14"/>
  <c r="BA137" i="14" s="1"/>
  <c r="BB137" i="14" s="1"/>
  <c r="AV139" i="14"/>
  <c r="AD142" i="14"/>
  <c r="AP142" i="14"/>
  <c r="AX139" i="14"/>
  <c r="AU139" i="14" s="1"/>
  <c r="BA139" i="14" s="1"/>
  <c r="BB139" i="14" s="1"/>
  <c r="AW7" i="14"/>
  <c r="AJ11" i="14"/>
  <c r="AX7" i="14"/>
  <c r="AP11" i="14"/>
  <c r="AV7" i="14"/>
  <c r="AD11" i="14"/>
  <c r="AU7" i="14"/>
  <c r="AU122" i="14"/>
  <c r="BA122" i="14" s="1"/>
  <c r="BB122" i="14" s="1"/>
  <c r="AC13" i="14"/>
  <c r="AF13" i="14"/>
  <c r="AG13" i="14" s="1"/>
  <c r="AO13" i="14"/>
  <c r="AI13" i="14"/>
  <c r="AF115" i="14"/>
  <c r="AG115" i="14" s="1"/>
  <c r="AC117" i="14"/>
  <c r="AF117" i="14" s="1"/>
  <c r="AG117" i="14" s="1"/>
  <c r="AV112" i="14"/>
  <c r="AD115" i="14"/>
  <c r="AW112" i="14"/>
  <c r="AJ115" i="14"/>
  <c r="AX112" i="14"/>
  <c r="AP115" i="14"/>
  <c r="AL115" i="14"/>
  <c r="AM115" i="14" s="1"/>
  <c r="AI117" i="14"/>
  <c r="AL117" i="14" s="1"/>
  <c r="AM117" i="14" s="1"/>
  <c r="AU111" i="14"/>
  <c r="AR126" i="14"/>
  <c r="AS126" i="14" s="1"/>
  <c r="AO128" i="14"/>
  <c r="AY129" i="14"/>
  <c r="AY128" i="14"/>
  <c r="AR125" i="14"/>
  <c r="AS125" i="14" s="1"/>
  <c r="AO127" i="14"/>
  <c r="BC125" i="14"/>
  <c r="AY127" i="14"/>
  <c r="AF124" i="14"/>
  <c r="AG124" i="14" s="1"/>
  <c r="AC126" i="14"/>
  <c r="AC125" i="14"/>
  <c r="AI125" i="14"/>
  <c r="AL124" i="14"/>
  <c r="AM124" i="14" s="1"/>
  <c r="AD124" i="14"/>
  <c r="AV123" i="14"/>
  <c r="AP124" i="14"/>
  <c r="AX123" i="14"/>
  <c r="AJ124" i="14"/>
  <c r="AW123" i="14"/>
  <c r="AP30" i="14"/>
  <c r="AX30" i="14" s="1"/>
  <c r="AP27" i="14"/>
  <c r="AX27" i="14" s="1"/>
  <c r="AV24" i="14"/>
  <c r="AD27" i="14"/>
  <c r="AD97" i="14"/>
  <c r="AD99" i="14" s="1"/>
  <c r="W91" i="14"/>
  <c r="W93" i="14" s="1"/>
  <c r="X93" i="14" s="1"/>
  <c r="AJ93" i="14"/>
  <c r="AJ95" i="14" s="1"/>
  <c r="AJ99" i="14" s="1"/>
  <c r="X80" i="14"/>
  <c r="Z80" i="14" s="1"/>
  <c r="W82" i="14"/>
  <c r="W85" i="14" s="1"/>
  <c r="AX80" i="14"/>
  <c r="AP81" i="14"/>
  <c r="AJ82" i="14"/>
  <c r="AW80" i="14"/>
  <c r="AI85" i="14"/>
  <c r="AL82" i="14"/>
  <c r="AM82" i="14" s="1"/>
  <c r="AO84" i="14"/>
  <c r="AR81" i="14"/>
  <c r="AS81" i="14" s="1"/>
  <c r="AU79" i="14"/>
  <c r="BA79" i="14" s="1"/>
  <c r="BB79" i="14" s="1"/>
  <c r="AI89" i="14"/>
  <c r="AI93" i="14" s="1"/>
  <c r="AL87" i="14"/>
  <c r="AM87" i="14" s="1"/>
  <c r="AC89" i="14"/>
  <c r="AC90" i="14"/>
  <c r="AF88" i="14"/>
  <c r="AG88" i="14" s="1"/>
  <c r="AV80" i="14"/>
  <c r="AD82" i="14"/>
  <c r="AD74" i="14"/>
  <c r="AV67" i="14"/>
  <c r="AW65" i="14"/>
  <c r="AJ67" i="14"/>
  <c r="AR55" i="14"/>
  <c r="AS55" i="14" s="1"/>
  <c r="AR54" i="14"/>
  <c r="AS52" i="14"/>
  <c r="AF55" i="14"/>
  <c r="AG55" i="14" s="1"/>
  <c r="AW55" i="14"/>
  <c r="AD57" i="14"/>
  <c r="AW57" i="14" s="1"/>
  <c r="AY50" i="14"/>
  <c r="AU51" i="14"/>
  <c r="AX51" i="14" s="1"/>
  <c r="AM50" i="14"/>
  <c r="AL52" i="14"/>
  <c r="AX50" i="14"/>
  <c r="AX24" i="14"/>
  <c r="AM49" i="14"/>
  <c r="AL55" i="14"/>
  <c r="AM55" i="14" s="1"/>
  <c r="AP216" i="14"/>
  <c r="AW41" i="14"/>
  <c r="AJ42" i="14"/>
  <c r="AW42" i="14" s="1"/>
  <c r="AU41" i="14"/>
  <c r="AX41" i="14"/>
  <c r="AP42" i="14"/>
  <c r="AX42" i="14" s="1"/>
  <c r="AA24" i="14"/>
  <c r="AA31" i="14" s="1"/>
  <c r="AA27" i="14" s="1"/>
  <c r="Z31" i="14"/>
  <c r="Z27" i="14" s="1"/>
  <c r="AW24" i="14"/>
  <c r="AO24" i="14"/>
  <c r="AI24" i="14"/>
  <c r="AL24" i="14" s="1"/>
  <c r="AM24" i="14" s="1"/>
  <c r="AC30" i="14"/>
  <c r="W32" i="14"/>
  <c r="Z21" i="14"/>
  <c r="X22" i="14"/>
  <c r="X25" i="14" s="1"/>
  <c r="AF21" i="14"/>
  <c r="AF24" i="14" s="1"/>
  <c r="AG24" i="14" s="1"/>
  <c r="AG19" i="14"/>
  <c r="AR21" i="14"/>
  <c r="AR24" i="14" s="1"/>
  <c r="AS19" i="14"/>
  <c r="AL21" i="14"/>
  <c r="AM19" i="14"/>
  <c r="AM21" i="14" s="1"/>
  <c r="AU21" i="14"/>
  <c r="AZ192" i="14"/>
  <c r="BG192" i="14" s="1"/>
  <c r="BF192" i="14"/>
  <c r="BK192" i="14" s="1"/>
  <c r="BL192" i="14" s="1"/>
  <c r="AW5" i="14"/>
  <c r="AV5" i="14"/>
  <c r="AU5" i="14"/>
  <c r="AO216" i="14"/>
  <c r="AF216" i="14"/>
  <c r="AO220" i="14"/>
  <c r="AF220" i="14"/>
  <c r="AL220" i="14"/>
  <c r="AP220" i="14"/>
  <c r="AS253" i="14"/>
  <c r="AS267" i="14"/>
  <c r="AN268" i="14"/>
  <c r="AK271" i="14"/>
  <c r="AM271" i="14" s="1"/>
  <c r="AQ271" i="14" s="1"/>
  <c r="AP273" i="14"/>
  <c r="AP274" i="14" s="1"/>
  <c r="AM269" i="14"/>
  <c r="AQ269" i="14" s="1"/>
  <c r="AR256" i="14"/>
  <c r="AS254" i="14"/>
  <c r="AY181" i="14"/>
  <c r="BC181" i="14" s="1"/>
  <c r="AQ181" i="14"/>
  <c r="AN183" i="14"/>
  <c r="AQ183" i="14" s="1"/>
  <c r="BB181" i="14"/>
  <c r="BB183" i="14" s="1"/>
  <c r="BA183" i="14"/>
  <c r="BH181" i="14"/>
  <c r="BC179" i="14"/>
  <c r="BD179" i="14" s="1"/>
  <c r="BG179" i="14"/>
  <c r="AU112" i="14" l="1"/>
  <c r="AJ163" i="14"/>
  <c r="AW153" i="14"/>
  <c r="AD163" i="14"/>
  <c r="AV153" i="14"/>
  <c r="BC153" i="14"/>
  <c r="AY161" i="14"/>
  <c r="AP163" i="14"/>
  <c r="AX153" i="14"/>
  <c r="AU153" i="14" s="1"/>
  <c r="BA153" i="14" s="1"/>
  <c r="BB153" i="14" s="1"/>
  <c r="AJ145" i="14"/>
  <c r="AW144" i="14" s="1"/>
  <c r="AW141" i="14"/>
  <c r="AP145" i="14"/>
  <c r="AX144" i="14" s="1"/>
  <c r="AU144" i="14" s="1"/>
  <c r="BA144" i="14" s="1"/>
  <c r="AX141" i="14"/>
  <c r="BC139" i="14"/>
  <c r="AY141" i="14"/>
  <c r="W144" i="14"/>
  <c r="X144" i="14" s="1"/>
  <c r="AV141" i="14"/>
  <c r="AX9" i="14"/>
  <c r="AP13" i="14"/>
  <c r="AX12" i="14" s="1"/>
  <c r="AV9" i="14"/>
  <c r="AD13" i="14"/>
  <c r="AV12" i="14" s="1"/>
  <c r="AW9" i="14"/>
  <c r="AJ13" i="14"/>
  <c r="AW12" i="14" s="1"/>
  <c r="AP117" i="14"/>
  <c r="AX116" i="14" s="1"/>
  <c r="AX114" i="14"/>
  <c r="AD117" i="14"/>
  <c r="AV116" i="14" s="1"/>
  <c r="AV114" i="14"/>
  <c r="AJ117" i="14"/>
  <c r="AW116" i="14" s="1"/>
  <c r="AW114" i="14"/>
  <c r="AF126" i="14"/>
  <c r="AG126" i="14" s="1"/>
  <c r="AC128" i="14"/>
  <c r="AY130" i="14"/>
  <c r="AR128" i="14"/>
  <c r="AS128" i="14" s="1"/>
  <c r="AO129" i="14"/>
  <c r="AO130" i="14" s="1"/>
  <c r="AR130" i="14" s="1"/>
  <c r="AS130" i="14" s="1"/>
  <c r="AF125" i="14"/>
  <c r="AG125" i="14" s="1"/>
  <c r="AC127" i="14"/>
  <c r="AR127" i="14"/>
  <c r="AS127" i="14" s="1"/>
  <c r="AR129" i="14"/>
  <c r="AS129" i="14" s="1"/>
  <c r="AI126" i="14"/>
  <c r="AL125" i="14"/>
  <c r="AM125" i="14" s="1"/>
  <c r="AD125" i="14"/>
  <c r="AD127" i="14" s="1"/>
  <c r="AD128" i="14" s="1"/>
  <c r="AV124" i="14"/>
  <c r="AP126" i="14"/>
  <c r="AP125" i="14"/>
  <c r="AX124" i="14"/>
  <c r="AJ125" i="14"/>
  <c r="AW124" i="14"/>
  <c r="AU123" i="14"/>
  <c r="BA123" i="14" s="1"/>
  <c r="BB123" i="14" s="1"/>
  <c r="AD30" i="14"/>
  <c r="AV30" i="14" s="1"/>
  <c r="AV27" i="14"/>
  <c r="AU27" i="14" s="1"/>
  <c r="AJ101" i="14"/>
  <c r="AD101" i="14"/>
  <c r="AL93" i="14"/>
  <c r="AM93" i="14" s="1"/>
  <c r="AI95" i="14"/>
  <c r="W97" i="14"/>
  <c r="AF90" i="14"/>
  <c r="AG90" i="14" s="1"/>
  <c r="AC92" i="14"/>
  <c r="AC94" i="14" s="1"/>
  <c r="AF89" i="14"/>
  <c r="AG89" i="14" s="1"/>
  <c r="AC91" i="14"/>
  <c r="AC93" i="14" s="1"/>
  <c r="AL89" i="14"/>
  <c r="AM89" i="14" s="1"/>
  <c r="AJ85" i="14"/>
  <c r="AW81" i="14"/>
  <c r="AX81" i="14"/>
  <c r="AP84" i="14"/>
  <c r="AA80" i="14"/>
  <c r="AA82" i="14" s="1"/>
  <c r="AA85" i="14" s="1"/>
  <c r="Z82" i="14"/>
  <c r="Z85" i="14" s="1"/>
  <c r="AR84" i="14"/>
  <c r="AS84" i="14" s="1"/>
  <c r="AO87" i="14"/>
  <c r="AU80" i="14"/>
  <c r="BA80" i="14" s="1"/>
  <c r="AD85" i="14"/>
  <c r="AV81" i="14"/>
  <c r="AI88" i="14"/>
  <c r="AL85" i="14"/>
  <c r="AM85" i="14" s="1"/>
  <c r="X82" i="14"/>
  <c r="X85" i="14" s="1"/>
  <c r="AZ80" i="14"/>
  <c r="AJ74" i="14"/>
  <c r="AW74" i="14" s="1"/>
  <c r="AW67" i="14"/>
  <c r="AU67" i="14"/>
  <c r="AV74" i="14"/>
  <c r="AU24" i="14"/>
  <c r="AR56" i="14"/>
  <c r="AS54" i="14"/>
  <c r="AL54" i="14"/>
  <c r="AM52" i="14"/>
  <c r="AY51" i="14"/>
  <c r="AU53" i="14"/>
  <c r="AU55" i="14" s="1"/>
  <c r="AU42" i="14"/>
  <c r="AF30" i="14"/>
  <c r="AC27" i="14"/>
  <c r="AF27" i="14" s="1"/>
  <c r="AG27" i="14" s="1"/>
  <c r="W28" i="14"/>
  <c r="AW30" i="14"/>
  <c r="AG21" i="14"/>
  <c r="AS21" i="14"/>
  <c r="X32" i="14"/>
  <c r="X28" i="14" s="1"/>
  <c r="AA19" i="14"/>
  <c r="AA22" i="14" s="1"/>
  <c r="AA25" i="14" s="1"/>
  <c r="Z22" i="14"/>
  <c r="Z25" i="14" s="1"/>
  <c r="AA21" i="14"/>
  <c r="AS268" i="14"/>
  <c r="AN269" i="14"/>
  <c r="AN270" i="14" s="1"/>
  <c r="AN271" i="14" s="1"/>
  <c r="AO271" i="14"/>
  <c r="AO272" i="14" s="1"/>
  <c r="AO273" i="14" s="1"/>
  <c r="AO274" i="14" s="1"/>
  <c r="AR271" i="14"/>
  <c r="AR272" i="14" s="1"/>
  <c r="AR273" i="14" s="1"/>
  <c r="AR274" i="14" s="1"/>
  <c r="AR257" i="14"/>
  <c r="AR258" i="14" s="1"/>
  <c r="AS258" i="14" s="1"/>
  <c r="AS256" i="14"/>
  <c r="BI181" i="14"/>
  <c r="BI183" i="14" s="1"/>
  <c r="BH183" i="14"/>
  <c r="BD181" i="14"/>
  <c r="BD183" i="14" s="1"/>
  <c r="BC183" i="14"/>
  <c r="AZ181" i="14"/>
  <c r="AY183" i="14"/>
  <c r="BF181" i="14"/>
  <c r="AU12" i="14" l="1"/>
  <c r="BC161" i="14"/>
  <c r="AY164" i="14"/>
  <c r="BC164" i="14" s="1"/>
  <c r="AD166" i="14"/>
  <c r="AV164" i="14" s="1"/>
  <c r="AV161" i="14"/>
  <c r="AP166" i="14"/>
  <c r="AX164" i="14" s="1"/>
  <c r="AX161" i="14"/>
  <c r="AJ166" i="14"/>
  <c r="AW164" i="14" s="1"/>
  <c r="AW161" i="14"/>
  <c r="AY144" i="14"/>
  <c r="BC141" i="14"/>
  <c r="AZ144" i="14"/>
  <c r="Z144" i="14"/>
  <c r="AA144" i="14" s="1"/>
  <c r="AU141" i="14"/>
  <c r="BA141" i="14" s="1"/>
  <c r="BB141" i="14" s="1"/>
  <c r="AU9" i="14"/>
  <c r="AU114" i="14"/>
  <c r="AU116" i="14"/>
  <c r="AX126" i="14"/>
  <c r="AP128" i="14"/>
  <c r="AV128" i="14"/>
  <c r="AD129" i="14"/>
  <c r="AD130" i="14" s="1"/>
  <c r="AV130" i="14" s="1"/>
  <c r="AF128" i="14"/>
  <c r="AG128" i="14" s="1"/>
  <c r="AC129" i="14"/>
  <c r="AC130" i="14" s="1"/>
  <c r="AF130" i="14" s="1"/>
  <c r="AG130" i="14" s="1"/>
  <c r="AX125" i="14"/>
  <c r="AP127" i="14"/>
  <c r="AV127" i="14"/>
  <c r="AV129" i="14"/>
  <c r="AF127" i="14"/>
  <c r="AG127" i="14" s="1"/>
  <c r="AF129" i="14"/>
  <c r="AG129" i="14" s="1"/>
  <c r="AL126" i="14"/>
  <c r="AM126" i="14" s="1"/>
  <c r="AI127" i="14"/>
  <c r="AI128" i="14" s="1"/>
  <c r="AU30" i="14"/>
  <c r="W126" i="14"/>
  <c r="AD126" i="14"/>
  <c r="AV126" i="14" s="1"/>
  <c r="AV125" i="14"/>
  <c r="AJ126" i="14"/>
  <c r="AW125" i="14"/>
  <c r="AU124" i="14"/>
  <c r="BA124" i="14" s="1"/>
  <c r="BB124" i="14" s="1"/>
  <c r="AU74" i="14"/>
  <c r="AL95" i="14"/>
  <c r="AM95" i="14" s="1"/>
  <c r="AI99" i="14"/>
  <c r="X97" i="14"/>
  <c r="AZ97" i="14" s="1"/>
  <c r="W99" i="14"/>
  <c r="X99" i="14" s="1"/>
  <c r="AF93" i="14"/>
  <c r="AG93" i="14" s="1"/>
  <c r="AC95" i="14"/>
  <c r="AF94" i="14"/>
  <c r="AG94" i="14" s="1"/>
  <c r="AC96" i="14"/>
  <c r="AF91" i="14"/>
  <c r="AG91" i="14" s="1"/>
  <c r="AF92" i="14"/>
  <c r="AG92" i="14" s="1"/>
  <c r="AD88" i="14"/>
  <c r="AV84" i="14"/>
  <c r="AU81" i="14"/>
  <c r="BA81" i="14" s="1"/>
  <c r="BB80" i="14"/>
  <c r="AO89" i="14"/>
  <c r="AR87" i="14"/>
  <c r="AS87" i="14" s="1"/>
  <c r="AP87" i="14"/>
  <c r="AX84" i="14"/>
  <c r="AY81" i="14"/>
  <c r="BC80" i="14"/>
  <c r="AL88" i="14"/>
  <c r="AM88" i="14" s="1"/>
  <c r="AI90" i="14"/>
  <c r="AJ88" i="14"/>
  <c r="AW84" i="14"/>
  <c r="AS269" i="14"/>
  <c r="AU57" i="14"/>
  <c r="AX57" i="14" s="1"/>
  <c r="AS56" i="14"/>
  <c r="AL56" i="14"/>
  <c r="AM54" i="14"/>
  <c r="AY55" i="14"/>
  <c r="AX55" i="14"/>
  <c r="AY53" i="14"/>
  <c r="AX53" i="14"/>
  <c r="AG30" i="14"/>
  <c r="AS24" i="14"/>
  <c r="AA32" i="14"/>
  <c r="Z32" i="14"/>
  <c r="AS270" i="14"/>
  <c r="AN272" i="14"/>
  <c r="AS271" i="14"/>
  <c r="AS257" i="14"/>
  <c r="BK181" i="14"/>
  <c r="BL181" i="14" s="1"/>
  <c r="BF183" i="14"/>
  <c r="BK183" i="14" s="1"/>
  <c r="BL183" i="14" s="1"/>
  <c r="BG181" i="14"/>
  <c r="BG183" i="14" s="1"/>
  <c r="AZ183" i="14"/>
  <c r="AU125" i="14" l="1"/>
  <c r="BA125" i="14" s="1"/>
  <c r="BB125" i="14" s="1"/>
  <c r="AU164" i="14"/>
  <c r="BA164" i="14" s="1"/>
  <c r="BB164" i="14" s="1"/>
  <c r="AU161" i="14"/>
  <c r="BA161" i="14" s="1"/>
  <c r="BB161" i="14" s="1"/>
  <c r="BC144" i="14"/>
  <c r="BB144" i="14"/>
  <c r="Z97" i="14"/>
  <c r="AL128" i="14"/>
  <c r="AM128" i="14" s="1"/>
  <c r="AI129" i="14"/>
  <c r="AI130" i="14" s="1"/>
  <c r="AL130" i="14" s="1"/>
  <c r="AM130" i="14" s="1"/>
  <c r="AX128" i="14"/>
  <c r="AP129" i="14"/>
  <c r="AP130" i="14" s="1"/>
  <c r="AX130" i="14" s="1"/>
  <c r="AJ127" i="14"/>
  <c r="AJ128" i="14" s="1"/>
  <c r="AW126" i="14"/>
  <c r="AU126" i="14" s="1"/>
  <c r="BA126" i="14" s="1"/>
  <c r="AL127" i="14"/>
  <c r="AM127" i="14" s="1"/>
  <c r="AL129" i="14"/>
  <c r="AM129" i="14" s="1"/>
  <c r="X126" i="14"/>
  <c r="W127" i="14"/>
  <c r="X127" i="14" s="1"/>
  <c r="Z127" i="14" s="1"/>
  <c r="AA127" i="14" s="1"/>
  <c r="AX127" i="14"/>
  <c r="AX129" i="14"/>
  <c r="Z126" i="14"/>
  <c r="AA126" i="14" s="1"/>
  <c r="AZ126" i="14"/>
  <c r="AA97" i="14"/>
  <c r="AA99" i="14" s="1"/>
  <c r="Z99" i="14"/>
  <c r="AL99" i="14"/>
  <c r="AM99" i="14" s="1"/>
  <c r="AI101" i="14"/>
  <c r="AL101" i="14" s="1"/>
  <c r="AM101" i="14" s="1"/>
  <c r="AC98" i="14"/>
  <c r="AF96" i="14"/>
  <c r="AG96" i="14" s="1"/>
  <c r="AF95" i="14"/>
  <c r="AG95" i="14" s="1"/>
  <c r="AC97" i="14"/>
  <c r="AR89" i="14"/>
  <c r="AS89" i="14" s="1"/>
  <c r="AO91" i="14"/>
  <c r="AL90" i="14"/>
  <c r="AM90" i="14" s="1"/>
  <c r="AI92" i="14"/>
  <c r="AI94" i="14" s="1"/>
  <c r="AP89" i="14"/>
  <c r="AX87" i="14"/>
  <c r="AJ90" i="14"/>
  <c r="AJ92" i="14" s="1"/>
  <c r="AJ94" i="14" s="1"/>
  <c r="AW87" i="14"/>
  <c r="BC81" i="14"/>
  <c r="AY84" i="14"/>
  <c r="AU84" i="14"/>
  <c r="BA84" i="14" s="1"/>
  <c r="BB81" i="14"/>
  <c r="AD90" i="14"/>
  <c r="AV87" i="14"/>
  <c r="AY57" i="14"/>
  <c r="AM56" i="14"/>
  <c r="Z28" i="14"/>
  <c r="AA28" i="14"/>
  <c r="AS272" i="14"/>
  <c r="AN273" i="14"/>
  <c r="AN274" i="14" s="1"/>
  <c r="AS274" i="14" s="1"/>
  <c r="AZ127" i="14" l="1"/>
  <c r="AZ128" i="14" s="1"/>
  <c r="AZ129" i="14" s="1"/>
  <c r="AW128" i="14"/>
  <c r="AJ129" i="14"/>
  <c r="AJ130" i="14" s="1"/>
  <c r="AW130" i="14" s="1"/>
  <c r="AU130" i="14" s="1"/>
  <c r="BA130" i="14" s="1"/>
  <c r="AU128" i="14"/>
  <c r="BA128" i="14" s="1"/>
  <c r="BB128" i="14" s="1"/>
  <c r="BB84" i="14"/>
  <c r="BC127" i="14"/>
  <c r="AW127" i="14"/>
  <c r="AU127" i="14" s="1"/>
  <c r="BA127" i="14" s="1"/>
  <c r="BB127" i="14" s="1"/>
  <c r="AW129" i="14"/>
  <c r="AU129" i="14" s="1"/>
  <c r="BA129" i="14" s="1"/>
  <c r="BC126" i="14"/>
  <c r="BB126" i="14"/>
  <c r="AF97" i="14"/>
  <c r="AG97" i="14" s="1"/>
  <c r="AC99" i="14"/>
  <c r="AF98" i="14"/>
  <c r="AG98" i="14" s="1"/>
  <c r="AC100" i="14"/>
  <c r="AW93" i="14"/>
  <c r="AJ96" i="14"/>
  <c r="AL94" i="14"/>
  <c r="AM94" i="14" s="1"/>
  <c r="AI96" i="14"/>
  <c r="AV89" i="14"/>
  <c r="AD92" i="14"/>
  <c r="AL92" i="14"/>
  <c r="AM92" i="14" s="1"/>
  <c r="AR91" i="14"/>
  <c r="AS91" i="14" s="1"/>
  <c r="AO93" i="14"/>
  <c r="AW89" i="14"/>
  <c r="AX89" i="14"/>
  <c r="AP91" i="14"/>
  <c r="AY87" i="14"/>
  <c r="BC84" i="14"/>
  <c r="AU87" i="14"/>
  <c r="BA87" i="14" s="1"/>
  <c r="AS273" i="14"/>
  <c r="AZ130" i="14" l="1"/>
  <c r="BC129" i="14"/>
  <c r="BB129" i="14"/>
  <c r="BC128" i="14"/>
  <c r="BB130" i="14"/>
  <c r="BC130" i="14"/>
  <c r="AF100" i="14"/>
  <c r="AG100" i="14" s="1"/>
  <c r="AC102" i="14"/>
  <c r="AF102" i="14" s="1"/>
  <c r="AG102" i="14" s="1"/>
  <c r="AF99" i="14"/>
  <c r="AG99" i="14" s="1"/>
  <c r="AC101" i="14"/>
  <c r="AF101" i="14" s="1"/>
  <c r="AG101" i="14" s="1"/>
  <c r="AR93" i="14"/>
  <c r="AS93" i="14" s="1"/>
  <c r="AO95" i="14"/>
  <c r="AJ98" i="14"/>
  <c r="AW95" i="14"/>
  <c r="AI98" i="14"/>
  <c r="AL96" i="14"/>
  <c r="AM96" i="14" s="1"/>
  <c r="AD94" i="14"/>
  <c r="AV91" i="14"/>
  <c r="AX91" i="14"/>
  <c r="AP93" i="14"/>
  <c r="AU89" i="14"/>
  <c r="BA89" i="14" s="1"/>
  <c r="AW91" i="14"/>
  <c r="X91" i="14"/>
  <c r="Z91" i="14" s="1"/>
  <c r="BB87" i="14"/>
  <c r="AY89" i="14"/>
  <c r="BC87" i="14"/>
  <c r="AU91" i="14" l="1"/>
  <c r="BA91" i="14" s="1"/>
  <c r="AL98" i="14"/>
  <c r="AM98" i="14" s="1"/>
  <c r="AI100" i="14"/>
  <c r="AW97" i="14"/>
  <c r="AJ100" i="14"/>
  <c r="AX93" i="14"/>
  <c r="AP95" i="14"/>
  <c r="AV93" i="14"/>
  <c r="AD96" i="14"/>
  <c r="AR95" i="14"/>
  <c r="AS95" i="14" s="1"/>
  <c r="AO97" i="14"/>
  <c r="AA91" i="14"/>
  <c r="AA93" i="14" s="1"/>
  <c r="Z93" i="14"/>
  <c r="BC89" i="14"/>
  <c r="AY91" i="14"/>
  <c r="AY93" i="14" s="1"/>
  <c r="AZ91" i="14"/>
  <c r="BB89" i="14"/>
  <c r="AR97" i="14" l="1"/>
  <c r="AS97" i="14" s="1"/>
  <c r="AO99" i="14"/>
  <c r="AJ102" i="14"/>
  <c r="AW101" i="14" s="1"/>
  <c r="AW99" i="14"/>
  <c r="AL100" i="14"/>
  <c r="AM100" i="14" s="1"/>
  <c r="AI102" i="14"/>
  <c r="AL102" i="14" s="1"/>
  <c r="AM102" i="14" s="1"/>
  <c r="BC93" i="14"/>
  <c r="AY95" i="14"/>
  <c r="AD98" i="14"/>
  <c r="AV95" i="14"/>
  <c r="AX95" i="14"/>
  <c r="AP97" i="14"/>
  <c r="AU93" i="14"/>
  <c r="BA93" i="14" s="1"/>
  <c r="BB93" i="14" s="1"/>
  <c r="BC91" i="14"/>
  <c r="BB91" i="14"/>
  <c r="AU95" i="14" l="1"/>
  <c r="BA95" i="14" s="1"/>
  <c r="BB95" i="14" s="1"/>
  <c r="AX97" i="14"/>
  <c r="AP99" i="14"/>
  <c r="AV97" i="14"/>
  <c r="AD100" i="14"/>
  <c r="AR99" i="14"/>
  <c r="AS99" i="14" s="1"/>
  <c r="AO101" i="14"/>
  <c r="AR101" i="14" s="1"/>
  <c r="AS101" i="14" s="1"/>
  <c r="BC95" i="14"/>
  <c r="AY97" i="14"/>
  <c r="BC97" i="14" l="1"/>
  <c r="AY99" i="14"/>
  <c r="AD102" i="14"/>
  <c r="AV101" i="14" s="1"/>
  <c r="AV99" i="14"/>
  <c r="AX99" i="14"/>
  <c r="AU99" i="14" s="1"/>
  <c r="BA99" i="14" s="1"/>
  <c r="BB99" i="14" s="1"/>
  <c r="AP101" i="14"/>
  <c r="AX101" i="14" s="1"/>
  <c r="AU97" i="14"/>
  <c r="BA97" i="14" s="1"/>
  <c r="BB97" i="14" s="1"/>
  <c r="AU101" i="14" l="1"/>
  <c r="BA101" i="14" s="1"/>
  <c r="BC99" i="14"/>
  <c r="AY101" i="14"/>
  <c r="BC101" i="14" s="1"/>
  <c r="BB101"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F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G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F17"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G17"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I24"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X37"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F37"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G37"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F47"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G47"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F62"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G62"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F78"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G78"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F106"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G106"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F121"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G121"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F135" authorId="0" shapeId="0" xr:uid="{82DF972A-E222-42D8-9172-DD17BEEDDF05}">
      <text>
        <r>
          <rPr>
            <b/>
            <sz val="9"/>
            <color indexed="81"/>
            <rFont val="Tahoma"/>
            <family val="2"/>
          </rPr>
          <t>Marin Sarbulescu:</t>
        </r>
        <r>
          <rPr>
            <sz val="9"/>
            <color indexed="81"/>
            <rFont val="Tahoma"/>
            <family val="2"/>
          </rPr>
          <t xml:space="preserve">
=BuyPrice * (1 + PT_Percent) / (1 - Commission_Percent)</t>
        </r>
      </text>
    </comment>
    <comment ref="AG135" authorId="0" shapeId="0" xr:uid="{EB7EB6F7-9F00-469D-9217-D4D2BD4E7B3D}">
      <text>
        <r>
          <rPr>
            <b/>
            <sz val="9"/>
            <color indexed="81"/>
            <rFont val="Tahoma"/>
            <family val="2"/>
          </rPr>
          <t>Marin Sarbulescu:</t>
        </r>
        <r>
          <rPr>
            <sz val="9"/>
            <color indexed="81"/>
            <rFont val="Tahoma"/>
            <family val="2"/>
          </rPr>
          <t xml:space="preserve">
=(CurrentPrice - PT_Price) / PT_Price</t>
        </r>
      </text>
    </comment>
    <comment ref="AF149" authorId="0" shapeId="0" xr:uid="{2BE45DAD-4820-4206-B58F-36DC246D2BF7}">
      <text>
        <r>
          <rPr>
            <b/>
            <sz val="9"/>
            <color indexed="81"/>
            <rFont val="Tahoma"/>
            <family val="2"/>
          </rPr>
          <t>Marin Sarbulescu:</t>
        </r>
        <r>
          <rPr>
            <sz val="9"/>
            <color indexed="81"/>
            <rFont val="Tahoma"/>
            <family val="2"/>
          </rPr>
          <t xml:space="preserve">
=BuyPrice * (1 + PT_Percent) / (1 - Commission_Percent)</t>
        </r>
      </text>
    </comment>
    <comment ref="AG149" authorId="0" shapeId="0" xr:uid="{FD93BDD3-33E4-4A36-9CD6-1D70D6E2D696}">
      <text>
        <r>
          <rPr>
            <b/>
            <sz val="9"/>
            <color indexed="81"/>
            <rFont val="Tahoma"/>
            <family val="2"/>
          </rPr>
          <t>Marin Sarbulescu:</t>
        </r>
        <r>
          <rPr>
            <sz val="9"/>
            <color indexed="81"/>
            <rFont val="Tahoma"/>
            <family val="2"/>
          </rPr>
          <t xml:space="preserve">
=(CurrentPrice - PT_Price) / PT_Price</t>
        </r>
      </text>
    </comment>
    <comment ref="AS178"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T178"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U178"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V178"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W178"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X178"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F178"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G178"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H178"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I178"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J178" authorId="0" shapeId="0" xr:uid="{44F6E4E3-EEED-4802-956A-284A28EABB1A}">
      <text>
        <r>
          <rPr>
            <b/>
            <sz val="9"/>
            <color indexed="81"/>
            <rFont val="Tahoma"/>
            <family val="2"/>
          </rPr>
          <t>Marin Sarbulescu:</t>
        </r>
        <r>
          <rPr>
            <sz val="9"/>
            <color indexed="81"/>
            <rFont val="Tahoma"/>
            <family val="2"/>
          </rPr>
          <t xml:space="preserve">
SUM(All_Div + All_SLP)</t>
        </r>
      </text>
    </comment>
    <comment ref="BK178"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L178"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Y17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7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79"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7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79"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D17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S192"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T192"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U192"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V192"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W192"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X192"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Y19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9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92"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9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92"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D19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F234"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G237"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G23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<sst xmlns="http://schemas.openxmlformats.org/spreadsheetml/2006/main" count="1892" uniqueCount="296">
  <si>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</si>
  <si>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</si>
  <si>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</si>
  <si>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</si>
  <si>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</si>
  <si>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</si>
  <si>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</si>
  <si>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</si>
  <si>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</si>
  <si>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</si>
  <si>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</si>
  <si>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</si>
  <si>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</si>
  <si>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</si>
  <si>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</si>
  <si>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</si>
  <si>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</si>
  <si>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</si>
  <si>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</si>
  <si>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</si>
  <si>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</si>
  <si>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</si>
  <si>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</si>
  <si>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</si>
  <si>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</si>
  <si>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</si>
  <si>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</si>
  <si>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</si>
  <si>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</si>
  <si>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</si>
  <si>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</si>
  <si>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</si>
  <si>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</si>
  <si>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</si>
  <si>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</si>
  <si>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</si>
  <si>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</si>
  <si>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</si>
  <si>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</si>
  <si>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</si>
  <si>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</si>
  <si>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</si>
  <si>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</si>
  <si>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</si>
  <si>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</si>
  <si>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</si>
  <si>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</si>
  <si>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</si>
  <si>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</si>
  <si>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</si>
  <si>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</si>
  <si>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</si>
  <si>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</si>
  <si>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</si>
  <si>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</si>
  <si>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</si>
  <si>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</si>
  <si>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</si>
  <si>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</si>
  <si>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</si>
  <si>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</si>
  <si>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</si>
  <si>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</si>
  <si>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</si>
  <si>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</si>
  <si>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</si>
  <si>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</si>
  <si>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</si>
  <si>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</si>
  <si>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</si>
  <si>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</si>
  <si>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</si>
  <si>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</si>
  <si>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</si>
  <si>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</si>
  <si>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</si>
  <si>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</si>
  <si>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</si>
  <si>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</si>
  <si>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</si>
  <si>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</si>
  <si>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</si>
  <si>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</si>
  <si>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</si>
  <si>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</si>
  <si>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</si>
  <si>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</si>
  <si>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</si>
  <si>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</si>
  <si>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</si>
  <si>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</si>
  <si>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</si>
  <si>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</si>
  <si>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</si>
  <si>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</si>
  <si>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</si>
  <si>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</si>
  <si>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</si>
  <si>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</si>
  <si>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</si>
  <si>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</si>
  <si>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</si>
  <si>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</si>
  <si>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</si>
  <si>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</si>
  <si>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</si>
  <si>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</si>
  <si>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</si>
  <si>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</si>
  <si>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</si>
  <si>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</si>
  <si>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</si>
  <si>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</si>
  <si>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</si>
  <si>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</si>
  <si>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</si>
  <si>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</si>
  <si>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</si>
  <si>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</si>
  <si>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</si>
  <si>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</si>
  <si>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</si>
  <si>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</si>
  <si>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</si>
  <si>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</si>
  <si>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</si>
  <si>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</si>
  <si>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</si>
  <si>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</si>
  <si>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</si>
  <si>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</si>
  <si>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</si>
  <si>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</si>
  <si>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</si>
  <si>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</si>
  <si>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</si>
  <si>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</si>
  <si>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</si>
  <si>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</si>
  <si>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</si>
  <si>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</si>
  <si>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</si>
  <si>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</si>
  <si>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</si>
  <si>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</si>
  <si>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</si>
  <si>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</si>
  <si>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</si>
  <si>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</si>
  <si>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</si>
  <si>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</si>
  <si>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</si>
  <si>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</si>
  <si>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</si>
  <si>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</si>
  <si>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</si>
  <si>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</si>
  <si>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</si>
  <si>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</si>
  <si>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</si>
  <si>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</si>
  <si>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</si>
  <si>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</si>
  <si>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</si>
  <si>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</si>
  <si>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</si>
  <si>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</si>
  <si>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</si>
  <si>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</si>
  <si>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</si>
  <si>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</si>
  <si>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</si>
  <si>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</si>
  <si>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</si>
  <si>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</si>
  <si>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</si>
  <si>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</si>
  <si>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</si>
  <si>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</si>
  <si>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</si>
  <si>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</si>
  <si>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</si>
  <si>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</si>
  <si>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</si>
  <si>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</si>
  <si>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</si>
  <si>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</si>
  <si>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</si>
  <si>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</si>
  <si>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</si>
  <si>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</si>
  <si>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</si>
  <si>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</si>
  <si>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</si>
  <si>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</si>
  <si>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</si>
  <si>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</si>
  <si>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</si>
  <si>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</si>
  <si>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</si>
  <si>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</si>
  <si>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Input: Action</t>
  </si>
  <si>
    <t>Expected: Transactions table</t>
  </si>
  <si>
    <t>Asset settings</t>
  </si>
  <si>
    <t>Expected: +4% Wallets</t>
  </si>
  <si>
    <t>Expected: Overview</t>
  </si>
  <si>
    <t>Expected: +8% Wallets</t>
  </si>
  <si>
    <t>Expected: +16% Wallets</t>
  </si>
  <si>
    <t>Current Price</t>
  </si>
  <si>
    <t>Buy B</t>
  </si>
  <si>
    <t>Custom</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</si>
  <si>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</si>
  <si>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</si>
  <si>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</si>
  <si>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</si>
  <si>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</si>
  <si>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</si>
  <si>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</si>
  <si>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</si>
  <si>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</si>
  <si>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</si>
  <si>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</si>
  <si>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</si>
  <si>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</si>
  <si>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</si>
  <si>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</si>
  <si>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</si>
  <si>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</si>
  <si>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</si>
  <si>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</si>
  <si>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</si>
  <si>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PriceUpdateA</t>
  </si>
  <si>
    <t>PriceUpdateB</t>
  </si>
  <si>
    <t>UpdateC</t>
  </si>
  <si>
    <t>Mkt Val</t>
  </si>
  <si>
    <t>Bal</t>
  </si>
  <si>
    <t>Available</t>
  </si>
  <si>
    <t>Budget</t>
  </si>
  <si>
    <t>DividendA</t>
  </si>
  <si>
    <t>Div</t>
  </si>
  <si>
    <t>Dividend</t>
  </si>
  <si>
    <t>SLPA</t>
  </si>
  <si>
    <t>SLP</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</si>
  <si>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</si>
  <si>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</si>
  <si>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</si>
  <si>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</si>
  <si>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</si>
  <si>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</si>
  <si>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</si>
  <si>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</si>
  <si>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</si>
  <si>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</si>
  <si>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</si>
  <si>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</si>
  <si>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</si>
  <si>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</si>
  <si>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</si>
  <si>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</si>
  <si>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</si>
  <si>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</si>
  <si>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</si>
  <si>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</si>
  <si>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</si>
  <si>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</si>
  <si>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</si>
  <si>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</si>
  <si>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</si>
  <si>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</si>
  <si>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</si>
  <si>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</si>
  <si>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</si>
  <si>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</si>
  <si>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</si>
  <si>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</si>
  <si>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</si>
  <si>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</si>
  <si>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</si>
  <si>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</si>
  <si>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</si>
  <si>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</si>
  <si>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</si>
  <si>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</si>
  <si>
    <t>Spread</t>
  </si>
  <si>
    <t>Execution Price</t>
  </si>
  <si>
    <t>Sell Fee</t>
  </si>
  <si>
    <t>Buy Fee</t>
  </si>
  <si>
    <t>P/L%</t>
  </si>
  <si>
    <t>Edit BuyB</t>
  </si>
  <si>
    <t>Delete BuyC</t>
  </si>
  <si>
    <t>BuyC at diff price, just 2 PTs</t>
  </si>
  <si>
    <t>portfolio-roi.spec.ts</t>
  </si>
  <si>
    <t>dashboard-fetch-prices.spec.ts</t>
  </si>
  <si>
    <t>What happens if I insert a Split, Buy, Sell post-dated?</t>
  </si>
  <si>
    <t>transaction-cash-crud.spec.ts</t>
  </si>
  <si>
    <t>Create asset with test price $100
Create BuyA at $100
Update price to $110
Create BuyB at $110
Create SellA from PT 8% $100, half the shares
Update to $90
Create BuyC at $90
Create SellB from PT 4% $110, all shares
Create DivA with value $20 and set the datetime of the transaction to be between SellA and BuyC
Check expected values: OOP, Market Value, ROI, Available.
Edit DivA, change value to $10
Check expected values
Create SLPA with value $40 and set the datetime of the transaction to be between between BuyC and SellB
Edit SLPA to value $50
Check expected values: OOP, Market Value, ROI, Available.
Delete DivA
Check expected values: OOP, Market Value, ROI, Available.
Delete SLPA
Check expected values: OOP, Market Value, ROI,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</si>
</sst>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61">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xf numFmtId="49" fontId="10" fillId="0" borderId="0" xfId="0" applyNumberFormat="1" applyFont="1" applyFill="1"/>
    <xf numFmtId="8" fontId="23" fillId="0" borderId="0" xfId="0" applyNumberFormat="1" applyFont="1" applyFill="1"/>
    <xf numFmtId="10" fontId="24" fillId="0" borderId="0" xfId="0" applyNumberFormat="1" applyFont="1" applyFill="1" applyAlignment="1">
      <alignment horizontal="right"/>
    </xf>
    <xf numFmtId="6" fontId="0" fillId="0" borderId="0" xfId="0" applyNumberFormat="1" applyFill="1"/>
    <xf numFmtId="9" fontId="0" fillId="0" borderId="0" xfId="0" applyNumberFormat="1" applyFill="1"/>
    <xf numFmtId="0" fontId="2" fillId="5" borderId="0" xfId="0" applyFont="1" applyFill="1"/>
    <xf numFmtId="164" fontId="3" fillId="3" borderId="0" xfId="0" applyNumberFormat="1" applyFont="1" applyFill="1" applyAlignment="1">
      <alignment horizontal="left"/>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L274"/>
  <sheetViews>
    <sheetView tabSelected="1" topLeftCell="A147" workbookViewId="0">
      <selection activeCell="K169" sqref="K169"/>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9.28515625" customWidth="1"/>
    <col min="8" max="8" width="7.85546875" customWidth="1"/>
    <col min="9" max="9" width="10" customWidth="1"/>
    <col min="10" max="10" width="6.42578125" customWidth="1"/>
    <col min="11" max="11" width="7.5703125" customWidth="1"/>
    <col min="12" max="12" width="11.140625" customWidth="1"/>
    <col min="13" max="13" width="8.7109375" bestFit="1" customWidth="1"/>
    <col min="14" max="14" width="8.140625" bestFit="1" customWidth="1"/>
    <col min="15" max="15" width="8" customWidth="1"/>
    <col min="16" max="16" width="8.28515625" bestFit="1" customWidth="1"/>
    <col min="17" max="17" width="8.7109375" bestFit="1" customWidth="1"/>
    <col min="18" max="18" width="6.42578125" customWidth="1"/>
    <col min="19" max="19" width="11.140625" customWidth="1"/>
    <col min="20" max="20" width="8.7109375" bestFit="1" customWidth="1"/>
    <col min="21" max="21" width="11.42578125" customWidth="1"/>
    <col min="22" max="22" width="8.85546875" customWidth="1"/>
    <col min="23" max="23" width="8.42578125" bestFit="1" customWidth="1"/>
    <col min="24" max="24" width="8.42578125" customWidth="1"/>
    <col min="25" max="25" width="8" customWidth="1"/>
    <col min="26" max="26" width="8.42578125" bestFit="1" customWidth="1"/>
    <col min="27" max="27" width="7.85546875" bestFit="1" customWidth="1"/>
    <col min="28" max="28" width="4.85546875" customWidth="1"/>
    <col min="29" max="29" width="7.28515625" customWidth="1"/>
    <col min="30" max="30" width="8.42578125" customWidth="1"/>
    <col min="31" max="31" width="8.28515625" customWidth="1"/>
    <col min="32" max="32" width="8.42578125" customWidth="1"/>
    <col min="33" max="33" width="9.42578125" bestFit="1" customWidth="1"/>
    <col min="34" max="34" width="6.7109375" bestFit="1" customWidth="1"/>
    <col min="35" max="35" width="7.85546875" customWidth="1"/>
    <col min="36" max="36" width="9" customWidth="1"/>
    <col min="37" max="37" width="7.85546875" customWidth="1"/>
    <col min="38" max="38" width="9.140625" customWidth="1"/>
    <col min="39" max="39" width="7.85546875" customWidth="1"/>
    <col min="40" max="40" width="9.85546875" bestFit="1" customWidth="1"/>
    <col min="41" max="41" width="7.7109375" customWidth="1"/>
    <col min="42" max="42" width="8.42578125" bestFit="1" customWidth="1"/>
    <col min="43" max="43" width="8.140625" customWidth="1"/>
    <col min="44" max="44" width="9.7109375" bestFit="1" customWidth="1"/>
    <col min="45" max="45" width="8.5703125" customWidth="1"/>
    <col min="46" max="46" width="5.42578125" bestFit="1" customWidth="1"/>
    <col min="47" max="47" width="9.140625" bestFit="1" customWidth="1"/>
    <col min="48" max="48" width="8.28515625" customWidth="1"/>
    <col min="49" max="49" width="9.140625" customWidth="1"/>
    <col min="50" max="50" width="8.7109375" bestFit="1" customWidth="1"/>
    <col min="51" max="51" width="9.140625" customWidth="1"/>
    <col min="52" max="52" width="8.28515625" bestFit="1" customWidth="1"/>
    <col min="53" max="53" width="8.140625" bestFit="1" customWidth="1"/>
    <col min="54" max="54" width="9.85546875" customWidth="1"/>
    <col min="55" max="55" width="9.7109375" bestFit="1" customWidth="1"/>
    <col min="56" max="56" width="8.28515625" bestFit="1" customWidth="1"/>
    <col min="57" max="57" width="4.7109375" customWidth="1"/>
    <col min="58" max="58" width="14" bestFit="1" customWidth="1"/>
    <col min="59" max="59" width="8.28515625" bestFit="1" customWidth="1"/>
    <col min="60" max="60" width="8.140625" bestFit="1" customWidth="1"/>
    <col min="61" max="61" width="8.28515625" bestFit="1" customWidth="1"/>
    <col min="62" max="62" width="8.42578125" bestFit="1" customWidth="1"/>
    <col min="63" max="63" width="9.7109375" bestFit="1" customWidth="1"/>
    <col min="64" max="64" width="9.28515625" bestFit="1" customWidth="1"/>
  </cols>
  <sheetData>
    <row r="1" spans="1:50" ht="12.75" x14ac:dyDescent="0.2">
      <c r="A1" s="66" t="s">
        <v>256</v>
      </c>
    </row>
    <row r="2" spans="1:50" ht="12.75" x14ac:dyDescent="0.2">
      <c r="B2" s="45" t="s">
        <v>203</v>
      </c>
      <c r="C2" s="109"/>
      <c r="K2" s="45" t="s">
        <v>201</v>
      </c>
      <c r="S2" s="45" t="s">
        <v>202</v>
      </c>
      <c r="U2" s="12"/>
      <c r="V2" s="12"/>
      <c r="W2" s="12"/>
      <c r="X2" s="12"/>
      <c r="Y2" s="12"/>
      <c r="Z2" s="12"/>
      <c r="AA2" s="12"/>
      <c r="AB2" s="12"/>
      <c r="AC2" s="130" t="s">
        <v>204</v>
      </c>
      <c r="AD2" s="46"/>
      <c r="AE2" s="46"/>
      <c r="AF2" s="46"/>
      <c r="AG2" s="46"/>
      <c r="AH2" s="46"/>
      <c r="AI2" s="130" t="s">
        <v>206</v>
      </c>
      <c r="AJ2" s="46"/>
      <c r="AK2" s="46"/>
      <c r="AL2" s="46"/>
      <c r="AM2" s="46"/>
      <c r="AN2" s="45"/>
      <c r="AO2" s="130" t="s">
        <v>207</v>
      </c>
      <c r="AP2" s="12"/>
      <c r="AQ2" s="12"/>
      <c r="AR2" s="12"/>
      <c r="AS2" s="12"/>
      <c r="AU2" s="130" t="s">
        <v>205</v>
      </c>
    </row>
    <row r="3" spans="1:50" ht="12.75" x14ac:dyDescent="0.2">
      <c r="B3" s="57" t="s">
        <v>208</v>
      </c>
      <c r="C3" s="28" t="s">
        <v>190</v>
      </c>
      <c r="D3" s="57" t="s">
        <v>191</v>
      </c>
      <c r="E3" s="28" t="s">
        <v>192</v>
      </c>
      <c r="F3" s="28" t="s">
        <v>193</v>
      </c>
      <c r="G3" s="28" t="s">
        <v>286</v>
      </c>
      <c r="H3" s="28" t="s">
        <v>285</v>
      </c>
      <c r="I3" s="57"/>
      <c r="J3" s="101"/>
      <c r="K3" s="28" t="s">
        <v>76</v>
      </c>
      <c r="L3" s="28" t="s">
        <v>4</v>
      </c>
      <c r="M3" s="57" t="s">
        <v>0</v>
      </c>
      <c r="N3" s="57" t="s">
        <v>1</v>
      </c>
      <c r="O3" s="28" t="s">
        <v>191</v>
      </c>
      <c r="P3" s="28" t="s">
        <v>192</v>
      </c>
      <c r="Q3" s="28" t="s">
        <v>193</v>
      </c>
      <c r="S3" s="28"/>
      <c r="T3" s="28" t="s">
        <v>76</v>
      </c>
      <c r="U3" s="28" t="s">
        <v>4</v>
      </c>
      <c r="V3" s="57" t="s">
        <v>0</v>
      </c>
      <c r="W3" s="28" t="s">
        <v>62</v>
      </c>
      <c r="X3" s="57" t="s">
        <v>217</v>
      </c>
      <c r="Y3" s="57" t="s">
        <v>190</v>
      </c>
      <c r="Z3" s="57" t="s">
        <v>194</v>
      </c>
      <c r="AA3" s="28" t="s">
        <v>195</v>
      </c>
      <c r="AB3" s="12"/>
      <c r="AC3" s="28" t="s">
        <v>0</v>
      </c>
      <c r="AD3" s="28" t="s">
        <v>196</v>
      </c>
      <c r="AE3" s="57" t="s">
        <v>1</v>
      </c>
      <c r="AF3" s="57" t="s">
        <v>197</v>
      </c>
      <c r="AG3" s="57" t="s">
        <v>198</v>
      </c>
      <c r="AH3" s="60"/>
      <c r="AI3" s="28" t="s">
        <v>0</v>
      </c>
      <c r="AJ3" s="28" t="s">
        <v>196</v>
      </c>
      <c r="AK3" s="57" t="s">
        <v>1</v>
      </c>
      <c r="AL3" s="57" t="s">
        <v>197</v>
      </c>
      <c r="AM3" s="57" t="s">
        <v>198</v>
      </c>
      <c r="AO3" s="28" t="s">
        <v>0</v>
      </c>
      <c r="AP3" s="28" t="s">
        <v>196</v>
      </c>
      <c r="AQ3" s="57" t="s">
        <v>1</v>
      </c>
      <c r="AR3" s="57" t="s">
        <v>197</v>
      </c>
      <c r="AS3" s="57" t="s">
        <v>198</v>
      </c>
      <c r="AU3" s="57" t="s">
        <v>199</v>
      </c>
      <c r="AV3" s="28" t="s">
        <v>191</v>
      </c>
      <c r="AW3" s="28" t="s">
        <v>192</v>
      </c>
      <c r="AX3" s="28" t="s">
        <v>193</v>
      </c>
    </row>
    <row r="4" spans="1:50" ht="12.75" x14ac:dyDescent="0.2">
      <c r="A4" s="45" t="s">
        <v>200</v>
      </c>
      <c r="B4" s="52">
        <v>100</v>
      </c>
      <c r="C4" s="54">
        <v>0.02</v>
      </c>
      <c r="D4" s="124">
        <v>0.04</v>
      </c>
      <c r="E4" s="95">
        <v>0.08</v>
      </c>
      <c r="F4" s="95">
        <v>0.16</v>
      </c>
      <c r="G4" s="95">
        <v>0.01</v>
      </c>
      <c r="H4" s="95">
        <v>0.01</v>
      </c>
      <c r="I4" s="95"/>
      <c r="J4" s="95"/>
      <c r="K4" s="133" t="s">
        <v>75</v>
      </c>
      <c r="L4" s="133" t="s">
        <v>78</v>
      </c>
      <c r="M4" s="52">
        <v>100</v>
      </c>
      <c r="N4" s="52">
        <v>200</v>
      </c>
      <c r="O4" s="124">
        <v>0.5</v>
      </c>
      <c r="P4" s="95">
        <v>0.3</v>
      </c>
      <c r="Q4" s="95">
        <v>0.2</v>
      </c>
      <c r="S4" s="45" t="s">
        <v>212</v>
      </c>
      <c r="T4" s="45" t="s">
        <v>75</v>
      </c>
      <c r="U4" s="131" t="s">
        <v>78</v>
      </c>
      <c r="V4" s="122">
        <f>M4</f>
        <v>100</v>
      </c>
      <c r="W4" s="30">
        <f>X4/V4</f>
        <v>2</v>
      </c>
      <c r="X4" s="122">
        <f>N4</f>
        <v>200</v>
      </c>
      <c r="Y4" s="122">
        <f>(V4/(1+G4))*(1-ABS(C4))</f>
        <v>97.029702970297024</v>
      </c>
      <c r="Z4" s="152" t="s">
        <v>34</v>
      </c>
      <c r="AA4" s="152" t="s">
        <v>34</v>
      </c>
      <c r="AB4" s="12"/>
      <c r="AC4" s="122">
        <f>V4</f>
        <v>100</v>
      </c>
      <c r="AD4" s="30">
        <f>W4*O4</f>
        <v>1</v>
      </c>
      <c r="AE4" s="123">
        <f>X4*O4</f>
        <v>100</v>
      </c>
      <c r="AF4" s="123">
        <f>V4 * (1 + D4) / (1 - H4)</f>
        <v>105.05050505050505</v>
      </c>
      <c r="AG4" s="124">
        <f>(B4 - AF4) / AF4</f>
        <v>-4.8076923076923087E-2</v>
      </c>
      <c r="AH4" s="30"/>
      <c r="AI4" s="122">
        <f>V4</f>
        <v>100</v>
      </c>
      <c r="AJ4" s="30">
        <f>W4*P4</f>
        <v>0.6</v>
      </c>
      <c r="AK4" s="123">
        <f>X4*P4</f>
        <v>60</v>
      </c>
      <c r="AL4" s="123">
        <f>V4 * (1 + E4) / (1 - H4)</f>
        <v>109.09090909090909</v>
      </c>
      <c r="AM4" s="124">
        <f>(B4 - AL4) / AL4</f>
        <v>-8.3333333333333356E-2</v>
      </c>
      <c r="AO4" s="122">
        <f>V4</f>
        <v>100</v>
      </c>
      <c r="AP4" s="30">
        <f>W4*Q4</f>
        <v>0.4</v>
      </c>
      <c r="AQ4" s="123">
        <f>X4*Q4</f>
        <v>40</v>
      </c>
      <c r="AR4" s="123">
        <f>V4 * (1 + F4) / (1 - H4)</f>
        <v>117.17171717171716</v>
      </c>
      <c r="AS4" s="124">
        <f>(B4 - AR4) / AR4</f>
        <v>-0.14655172413793097</v>
      </c>
      <c r="AU4" s="32">
        <f>AD4+AJ4+AP4</f>
        <v>2</v>
      </c>
      <c r="AV4" s="32">
        <f>AD4</f>
        <v>1</v>
      </c>
      <c r="AW4" s="32">
        <f>AJ4</f>
        <v>0.6</v>
      </c>
      <c r="AX4" s="32">
        <f>AP4</f>
        <v>0.4</v>
      </c>
    </row>
    <row r="5" spans="1:50" ht="12.75" x14ac:dyDescent="0.2">
      <c r="A5" s="47" t="s">
        <v>209</v>
      </c>
      <c r="B5" s="40">
        <v>100</v>
      </c>
      <c r="C5" s="55">
        <v>0.02</v>
      </c>
      <c r="D5" s="129">
        <v>0.04</v>
      </c>
      <c r="E5" s="125">
        <v>0.08</v>
      </c>
      <c r="F5" s="125">
        <v>0.16</v>
      </c>
      <c r="G5" s="125">
        <v>0.01</v>
      </c>
      <c r="H5" s="125">
        <v>0.01</v>
      </c>
      <c r="I5" s="125"/>
      <c r="J5" s="125"/>
      <c r="K5" s="134" t="s">
        <v>75</v>
      </c>
      <c r="L5" s="134" t="s">
        <v>210</v>
      </c>
      <c r="M5" s="40">
        <v>100</v>
      </c>
      <c r="N5" s="40">
        <v>300</v>
      </c>
      <c r="O5" s="129">
        <v>0.5</v>
      </c>
      <c r="P5" s="125">
        <v>0.25</v>
      </c>
      <c r="Q5" s="125">
        <v>0.25</v>
      </c>
      <c r="R5" s="35"/>
      <c r="S5" s="47" t="s">
        <v>213</v>
      </c>
      <c r="T5" s="47" t="s">
        <v>75</v>
      </c>
      <c r="U5" s="132" t="s">
        <v>210</v>
      </c>
      <c r="V5" s="126">
        <f>M5</f>
        <v>100</v>
      </c>
      <c r="W5" s="43">
        <f>X5/V5</f>
        <v>3</v>
      </c>
      <c r="X5" s="126">
        <f>N5</f>
        <v>300</v>
      </c>
      <c r="Y5" s="126">
        <f>(V5/(1+G5))*(1-ABS(C5))</f>
        <v>97.029702970297024</v>
      </c>
      <c r="Z5" s="153" t="s">
        <v>34</v>
      </c>
      <c r="AA5" s="153" t="s">
        <v>34</v>
      </c>
      <c r="AB5" s="41"/>
      <c r="AC5" s="126">
        <f>V5</f>
        <v>100</v>
      </c>
      <c r="AD5" s="43">
        <f>AD4+(W5*O5)</f>
        <v>2.5</v>
      </c>
      <c r="AE5" s="128">
        <f>AE4+(X5*O5)</f>
        <v>250</v>
      </c>
      <c r="AF5" s="128">
        <f>V5 * (1 + D5) / (1 - H5)</f>
        <v>105.05050505050505</v>
      </c>
      <c r="AG5" s="129">
        <f>(B5 - AF5) / AF5</f>
        <v>-4.8076923076923087E-2</v>
      </c>
      <c r="AH5" s="43"/>
      <c r="AI5" s="126">
        <f>V5</f>
        <v>100</v>
      </c>
      <c r="AJ5" s="43">
        <f>AJ4+(W5*P5)</f>
        <v>1.35</v>
      </c>
      <c r="AK5" s="128">
        <f>AK4+(X5*P5)</f>
        <v>135</v>
      </c>
      <c r="AL5" s="128">
        <f>V5 * (1 + E5) / (1 - H5)</f>
        <v>109.09090909090909</v>
      </c>
      <c r="AM5" s="129">
        <f>(B5 - AL5) / AL5</f>
        <v>-8.3333333333333356E-2</v>
      </c>
      <c r="AN5" s="35"/>
      <c r="AO5" s="126">
        <f>V5</f>
        <v>100</v>
      </c>
      <c r="AP5" s="43">
        <f>AP4+(W5*Q5)</f>
        <v>1.1499999999999999</v>
      </c>
      <c r="AQ5" s="128">
        <f>AQ4+(X5*Q5)</f>
        <v>115</v>
      </c>
      <c r="AR5" s="128">
        <f>V5 * (1 + F5) / (1 - H5)</f>
        <v>117.17171717171716</v>
      </c>
      <c r="AS5" s="129">
        <f>(B5 - AR5) / AR5</f>
        <v>-0.14655172413793097</v>
      </c>
      <c r="AT5" s="35"/>
      <c r="AU5" s="39">
        <f>AD5+AJ5+AP5</f>
        <v>5</v>
      </c>
      <c r="AV5" s="39">
        <f>AD5</f>
        <v>2.5</v>
      </c>
      <c r="AW5" s="39">
        <f>AJ5</f>
        <v>1.35</v>
      </c>
      <c r="AX5" s="39">
        <f>AP5</f>
        <v>1.1499999999999999</v>
      </c>
    </row>
    <row r="6" spans="1:50" ht="12.75" x14ac:dyDescent="0.2">
      <c r="A6" s="47"/>
      <c r="B6" s="40"/>
      <c r="C6" s="55"/>
      <c r="D6" s="129"/>
      <c r="E6" s="125"/>
      <c r="F6" s="125"/>
      <c r="G6" s="125"/>
      <c r="H6" s="125"/>
      <c r="I6" s="125"/>
      <c r="J6" s="125"/>
      <c r="K6" s="134"/>
      <c r="L6" s="134"/>
      <c r="M6" s="40"/>
      <c r="N6" s="40"/>
      <c r="O6" s="129"/>
      <c r="P6" s="125"/>
      <c r="Q6" s="125"/>
      <c r="R6" s="35"/>
      <c r="S6" s="47" t="s">
        <v>212</v>
      </c>
      <c r="T6" s="47" t="s">
        <v>75</v>
      </c>
      <c r="U6" s="132" t="s">
        <v>78</v>
      </c>
      <c r="V6" s="126">
        <f>V4</f>
        <v>100</v>
      </c>
      <c r="W6" s="43">
        <f>W4</f>
        <v>2</v>
      </c>
      <c r="X6" s="126">
        <f>X4</f>
        <v>200</v>
      </c>
      <c r="Y6" s="126">
        <f>(V6/(1+G5))*(1-ABS(C5))</f>
        <v>97.029702970297024</v>
      </c>
      <c r="Z6" s="153"/>
      <c r="AA6" s="153"/>
      <c r="AB6" s="41"/>
      <c r="AC6" s="126"/>
      <c r="AD6" s="43"/>
      <c r="AE6" s="128"/>
      <c r="AF6" s="128"/>
      <c r="AG6" s="129"/>
      <c r="AH6" s="43"/>
      <c r="AI6" s="126"/>
      <c r="AJ6" s="43"/>
      <c r="AK6" s="128"/>
      <c r="AL6" s="128"/>
      <c r="AM6" s="129"/>
      <c r="AN6" s="35"/>
      <c r="AO6" s="126"/>
      <c r="AP6" s="43"/>
      <c r="AQ6" s="128"/>
      <c r="AR6" s="128"/>
      <c r="AS6" s="129"/>
      <c r="AT6" s="35"/>
      <c r="AU6" s="39"/>
      <c r="AV6" s="39"/>
      <c r="AW6" s="39"/>
      <c r="AX6" s="39"/>
    </row>
    <row r="7" spans="1:50" s="237" customFormat="1" ht="12.75" x14ac:dyDescent="0.2">
      <c r="A7" s="252" t="s">
        <v>288</v>
      </c>
      <c r="B7" s="52">
        <v>100</v>
      </c>
      <c r="C7" s="54">
        <v>0.02</v>
      </c>
      <c r="D7" s="124">
        <v>0.04</v>
      </c>
      <c r="E7" s="95">
        <v>0.08</v>
      </c>
      <c r="F7" s="95">
        <v>0.16</v>
      </c>
      <c r="G7" s="95">
        <v>0.01</v>
      </c>
      <c r="H7" s="95">
        <v>0.01</v>
      </c>
      <c r="I7" s="232"/>
      <c r="J7" s="232"/>
      <c r="K7" s="133" t="s">
        <v>75</v>
      </c>
      <c r="L7" s="133" t="s">
        <v>210</v>
      </c>
      <c r="M7" s="52">
        <v>110</v>
      </c>
      <c r="N7" s="52">
        <v>400</v>
      </c>
      <c r="O7" s="124">
        <v>0.4</v>
      </c>
      <c r="P7" s="95">
        <v>0.4</v>
      </c>
      <c r="Q7" s="95">
        <v>0.2</v>
      </c>
      <c r="S7" s="252" t="s">
        <v>213</v>
      </c>
      <c r="T7" s="252" t="s">
        <v>75</v>
      </c>
      <c r="U7" s="254" t="s">
        <v>210</v>
      </c>
      <c r="V7" s="235">
        <f>M7</f>
        <v>110</v>
      </c>
      <c r="W7" s="236">
        <f>X7/V7</f>
        <v>3.6363636363636362</v>
      </c>
      <c r="X7" s="235">
        <f>N7</f>
        <v>400</v>
      </c>
      <c r="Y7" s="235">
        <f>(V7/(1+G7))*(1-ABS(C7))</f>
        <v>106.73267326732673</v>
      </c>
      <c r="Z7" s="241" t="s">
        <v>34</v>
      </c>
      <c r="AA7" s="241" t="s">
        <v>34</v>
      </c>
      <c r="AB7" s="247"/>
      <c r="AC7" s="235">
        <f>V7</f>
        <v>110</v>
      </c>
      <c r="AD7" s="236">
        <f>AD6+(W7*O7)</f>
        <v>1.4545454545454546</v>
      </c>
      <c r="AE7" s="156">
        <f>X7*O7</f>
        <v>160</v>
      </c>
      <c r="AF7" s="156">
        <f>V7 * (1 + D7) / (1 - H7)</f>
        <v>115.55555555555556</v>
      </c>
      <c r="AG7" s="231">
        <f>(B7 - AF7) / AF7</f>
        <v>-0.13461538461538464</v>
      </c>
      <c r="AH7" s="236"/>
      <c r="AI7" s="235">
        <f>V7</f>
        <v>110</v>
      </c>
      <c r="AJ7" s="236">
        <f>W7*P7</f>
        <v>1.4545454545454546</v>
      </c>
      <c r="AK7" s="156">
        <f>X7*P7</f>
        <v>160</v>
      </c>
      <c r="AL7" s="156">
        <f>V7 * (1 + E7) / (1 - H7)</f>
        <v>120.00000000000001</v>
      </c>
      <c r="AM7" s="231">
        <f>(B7 - AL7) / AL7</f>
        <v>-0.16666666666666677</v>
      </c>
      <c r="AO7" s="235">
        <f>V7</f>
        <v>110</v>
      </c>
      <c r="AP7" s="236">
        <f>W7*Q7</f>
        <v>0.72727272727272729</v>
      </c>
      <c r="AQ7" s="156">
        <f>X7*Q7</f>
        <v>80</v>
      </c>
      <c r="AR7" s="156">
        <f>V7 * (1 + F7) / (1 - H7)</f>
        <v>128.88888888888889</v>
      </c>
      <c r="AS7" s="231">
        <f>(B7 - AR7) / AR7</f>
        <v>-0.22413793103448273</v>
      </c>
      <c r="AU7" s="238">
        <f>AV7+AW7+AX7</f>
        <v>5.6363636363636367</v>
      </c>
      <c r="AV7" s="238">
        <f>AD7+AD8</f>
        <v>2.4545454545454546</v>
      </c>
      <c r="AW7" s="238">
        <f>AJ7+AJ8</f>
        <v>2.0545454545454547</v>
      </c>
      <c r="AX7" s="238">
        <f>AP7+AP8</f>
        <v>1.1272727272727274</v>
      </c>
    </row>
    <row r="8" spans="1:50" s="237" customFormat="1" ht="12.75" x14ac:dyDescent="0.2">
      <c r="A8" s="252"/>
      <c r="B8" s="230"/>
      <c r="C8" s="62"/>
      <c r="D8" s="231"/>
      <c r="E8" s="232"/>
      <c r="F8" s="232"/>
      <c r="G8" s="232"/>
      <c r="H8" s="232"/>
      <c r="I8" s="232"/>
      <c r="J8" s="232"/>
      <c r="K8" s="234"/>
      <c r="L8" s="234"/>
      <c r="M8" s="230"/>
      <c r="N8" s="230"/>
      <c r="O8" s="231"/>
      <c r="P8" s="232"/>
      <c r="Q8" s="232"/>
      <c r="S8" s="252" t="s">
        <v>212</v>
      </c>
      <c r="T8" s="252" t="s">
        <v>75</v>
      </c>
      <c r="U8" s="254" t="s">
        <v>78</v>
      </c>
      <c r="V8" s="235">
        <f>V6</f>
        <v>100</v>
      </c>
      <c r="W8" s="236">
        <f>W6</f>
        <v>2</v>
      </c>
      <c r="X8" s="235">
        <f>X6</f>
        <v>200</v>
      </c>
      <c r="Y8" s="235">
        <f>(V8/(1+G7))*(1-ABS(C7))</f>
        <v>97.029702970297024</v>
      </c>
      <c r="Z8" s="241" t="s">
        <v>34</v>
      </c>
      <c r="AA8" s="241" t="s">
        <v>34</v>
      </c>
      <c r="AB8" s="247"/>
      <c r="AC8" s="235">
        <f>AC4</f>
        <v>100</v>
      </c>
      <c r="AD8" s="236">
        <f>AD4</f>
        <v>1</v>
      </c>
      <c r="AE8" s="156">
        <f>AE4</f>
        <v>100</v>
      </c>
      <c r="AF8" s="156">
        <f>AF4</f>
        <v>105.05050505050505</v>
      </c>
      <c r="AG8" s="231">
        <f>AG4</f>
        <v>-4.8076923076923087E-2</v>
      </c>
      <c r="AH8" s="236"/>
      <c r="AI8" s="235">
        <f>AI4</f>
        <v>100</v>
      </c>
      <c r="AJ8" s="236">
        <f>AJ4</f>
        <v>0.6</v>
      </c>
      <c r="AK8" s="156">
        <f>AK4</f>
        <v>60</v>
      </c>
      <c r="AL8" s="156">
        <f>AL4</f>
        <v>109.09090909090909</v>
      </c>
      <c r="AM8" s="231">
        <f>AM4</f>
        <v>-8.3333333333333356E-2</v>
      </c>
      <c r="AO8" s="235">
        <f>AO4</f>
        <v>100</v>
      </c>
      <c r="AP8" s="236">
        <f>AP4</f>
        <v>0.4</v>
      </c>
      <c r="AQ8" s="156">
        <f>AQ4</f>
        <v>40</v>
      </c>
      <c r="AR8" s="156">
        <f>AR4</f>
        <v>117.17171717171716</v>
      </c>
      <c r="AS8" s="231">
        <f>AS4</f>
        <v>-0.14655172413793097</v>
      </c>
      <c r="AU8" s="238"/>
      <c r="AV8" s="238"/>
      <c r="AW8" s="238"/>
      <c r="AX8" s="238"/>
    </row>
    <row r="9" spans="1:50" ht="12.75" x14ac:dyDescent="0.2">
      <c r="A9" s="47" t="s">
        <v>290</v>
      </c>
      <c r="B9" s="40">
        <v>120</v>
      </c>
      <c r="C9" s="55">
        <v>0.02</v>
      </c>
      <c r="D9" s="129">
        <v>0.04</v>
      </c>
      <c r="E9" s="125">
        <v>0.08</v>
      </c>
      <c r="F9" s="125">
        <v>0.16</v>
      </c>
      <c r="G9" s="125">
        <v>0.01</v>
      </c>
      <c r="H9" s="125">
        <v>0.01</v>
      </c>
      <c r="I9" s="125"/>
      <c r="J9" s="125"/>
      <c r="K9" s="134" t="s">
        <v>75</v>
      </c>
      <c r="L9" s="134" t="s">
        <v>211</v>
      </c>
      <c r="M9" s="40">
        <v>120</v>
      </c>
      <c r="N9" s="40">
        <v>400</v>
      </c>
      <c r="O9" s="129">
        <v>0.5</v>
      </c>
      <c r="P9" s="125">
        <v>0.5</v>
      </c>
      <c r="Q9" s="125">
        <v>0</v>
      </c>
      <c r="R9" s="35"/>
      <c r="S9" s="47" t="s">
        <v>214</v>
      </c>
      <c r="T9" s="47" t="s">
        <v>75</v>
      </c>
      <c r="U9" s="132" t="s">
        <v>211</v>
      </c>
      <c r="V9" s="126">
        <f>M9</f>
        <v>120</v>
      </c>
      <c r="W9" s="43">
        <f>X9/V9</f>
        <v>3.3333333333333335</v>
      </c>
      <c r="X9" s="126">
        <f>N9</f>
        <v>400</v>
      </c>
      <c r="Y9" s="126">
        <f>(V9/(1+G9))*(1-ABS(C9))</f>
        <v>116.43564356435644</v>
      </c>
      <c r="Z9" s="153" t="s">
        <v>34</v>
      </c>
      <c r="AA9" s="153" t="s">
        <v>34</v>
      </c>
      <c r="AB9" s="41"/>
      <c r="AC9" s="126">
        <f>V9</f>
        <v>120</v>
      </c>
      <c r="AD9" s="43">
        <f>W9*O9</f>
        <v>1.6666666666666667</v>
      </c>
      <c r="AE9" s="128">
        <f>X9*O9</f>
        <v>200</v>
      </c>
      <c r="AF9" s="128">
        <f>V9 * (1 + D9) / (1 - H9)</f>
        <v>126.06060606060608</v>
      </c>
      <c r="AG9" s="129">
        <f>(B9 - AF9) / AF9</f>
        <v>-4.8076923076923198E-2</v>
      </c>
      <c r="AH9" s="43"/>
      <c r="AI9" s="126">
        <f>V9</f>
        <v>120</v>
      </c>
      <c r="AJ9" s="43">
        <f>W9*O9</f>
        <v>1.6666666666666667</v>
      </c>
      <c r="AK9" s="128">
        <f>X9*O9</f>
        <v>200</v>
      </c>
      <c r="AL9" s="128">
        <f>V9 * (1 + E9) / (1 - H9)</f>
        <v>130.90909090909093</v>
      </c>
      <c r="AM9" s="129">
        <f>(B9 - AL9) / AL9</f>
        <v>-8.3333333333333509E-2</v>
      </c>
      <c r="AN9" s="35"/>
      <c r="AO9" s="126"/>
      <c r="AP9" s="43"/>
      <c r="AQ9" s="128"/>
      <c r="AR9" s="128"/>
      <c r="AS9" s="129"/>
      <c r="AT9" s="35"/>
      <c r="AU9" s="39">
        <f>AV9+AW9+AX9</f>
        <v>8.9696969696969688</v>
      </c>
      <c r="AV9" s="39">
        <f>AD9+AD10+AD11</f>
        <v>4.1212121212121211</v>
      </c>
      <c r="AW9" s="39">
        <f>AJ9+AJ10+AJ11</f>
        <v>3.7212121212121212</v>
      </c>
      <c r="AX9" s="39">
        <f>AP9+AP10+AP11</f>
        <v>1.1272727272727274</v>
      </c>
    </row>
    <row r="10" spans="1:50" ht="12.75" x14ac:dyDescent="0.2">
      <c r="A10" s="35"/>
      <c r="B10" s="40"/>
      <c r="C10" s="125"/>
      <c r="D10" s="35"/>
      <c r="E10" s="35"/>
      <c r="F10" s="35"/>
      <c r="G10" s="35"/>
      <c r="H10" s="35"/>
      <c r="I10" s="35"/>
      <c r="J10" s="125"/>
      <c r="K10" s="125"/>
      <c r="L10" s="125"/>
      <c r="M10" s="40"/>
      <c r="N10" s="40"/>
      <c r="O10" s="125"/>
      <c r="P10" s="125"/>
      <c r="Q10" s="125"/>
      <c r="R10" s="35"/>
      <c r="S10" s="222" t="s">
        <v>213</v>
      </c>
      <c r="T10" s="222" t="s">
        <v>75</v>
      </c>
      <c r="U10" s="132" t="s">
        <v>210</v>
      </c>
      <c r="V10" s="126">
        <f>V7</f>
        <v>110</v>
      </c>
      <c r="W10" s="43">
        <f>W7</f>
        <v>3.6363636363636362</v>
      </c>
      <c r="X10" s="126">
        <f>X7</f>
        <v>400</v>
      </c>
      <c r="Y10" s="126">
        <f>(V10/(1+G9))*(1-ABS(C9))</f>
        <v>106.73267326732673</v>
      </c>
      <c r="Z10" s="153" t="s">
        <v>34</v>
      </c>
      <c r="AA10" s="153" t="s">
        <v>34</v>
      </c>
      <c r="AB10" s="41"/>
      <c r="AC10" s="126">
        <f>V10</f>
        <v>110</v>
      </c>
      <c r="AD10" s="43">
        <f>AD7</f>
        <v>1.4545454545454546</v>
      </c>
      <c r="AE10" s="128">
        <f>AE7</f>
        <v>160</v>
      </c>
      <c r="AF10" s="128">
        <f>V10 * (1 + D9) / (1 - H9)</f>
        <v>115.55555555555556</v>
      </c>
      <c r="AG10" s="129">
        <f>(B9 - AF10) / AF10</f>
        <v>3.846153846153845E-2</v>
      </c>
      <c r="AH10" s="43"/>
      <c r="AI10" s="126">
        <f>AI7</f>
        <v>110</v>
      </c>
      <c r="AJ10" s="43">
        <f>AJ7</f>
        <v>1.4545454545454546</v>
      </c>
      <c r="AK10" s="128">
        <f>AK7</f>
        <v>160</v>
      </c>
      <c r="AL10" s="128">
        <f>V10 * (1 + E9) / (1 - H9)</f>
        <v>120.00000000000001</v>
      </c>
      <c r="AM10" s="129">
        <f>(B9 - AL10) / AL10</f>
        <v>-1.1842378929335E-16</v>
      </c>
      <c r="AN10" s="35"/>
      <c r="AO10" s="126">
        <f>AO7</f>
        <v>110</v>
      </c>
      <c r="AP10" s="43">
        <f>AP7</f>
        <v>0.72727272727272729</v>
      </c>
      <c r="AQ10" s="128">
        <f>AQ7</f>
        <v>80</v>
      </c>
      <c r="AR10" s="128">
        <f>V10 * (1 + F9) / (1 - H9)</f>
        <v>128.88888888888889</v>
      </c>
      <c r="AS10" s="129">
        <f>(B9 - AR10) / AR10</f>
        <v>-6.8965517241379282E-2</v>
      </c>
      <c r="AT10" s="35"/>
      <c r="AU10" s="35"/>
      <c r="AV10" s="35"/>
      <c r="AW10" s="35"/>
      <c r="AX10" s="35"/>
    </row>
    <row r="11" spans="1:50" ht="12.75" x14ac:dyDescent="0.2">
      <c r="A11" s="35"/>
      <c r="B11" s="40"/>
      <c r="C11" s="125"/>
      <c r="D11" s="37"/>
      <c r="E11" s="51"/>
      <c r="F11" s="35"/>
      <c r="G11" s="35"/>
      <c r="H11" s="51"/>
      <c r="I11" s="51"/>
      <c r="J11" s="51"/>
      <c r="K11" s="51"/>
      <c r="L11" s="51"/>
      <c r="M11" s="40"/>
      <c r="N11" s="40"/>
      <c r="O11" s="51"/>
      <c r="P11" s="51"/>
      <c r="Q11" s="51"/>
      <c r="R11" s="35"/>
      <c r="S11" s="222" t="s">
        <v>212</v>
      </c>
      <c r="T11" s="222" t="s">
        <v>75</v>
      </c>
      <c r="U11" s="132" t="s">
        <v>78</v>
      </c>
      <c r="V11" s="126">
        <f>V8</f>
        <v>100</v>
      </c>
      <c r="W11" s="43">
        <f>W8</f>
        <v>2</v>
      </c>
      <c r="X11" s="126">
        <f>X8</f>
        <v>200</v>
      </c>
      <c r="Y11" s="126">
        <f>(V11/(1+G9))*(1-ABS(C9))</f>
        <v>97.029702970297024</v>
      </c>
      <c r="Z11" s="153" t="s">
        <v>34</v>
      </c>
      <c r="AA11" s="153" t="s">
        <v>34</v>
      </c>
      <c r="AB11" s="41"/>
      <c r="AC11" s="126">
        <f>AC8</f>
        <v>100</v>
      </c>
      <c r="AD11" s="43">
        <f>AD8</f>
        <v>1</v>
      </c>
      <c r="AE11" s="128">
        <f>AE8</f>
        <v>100</v>
      </c>
      <c r="AF11" s="128">
        <f>V11 * (1 + D9) / (1 - H9)</f>
        <v>105.05050505050505</v>
      </c>
      <c r="AG11" s="129">
        <f>(B9 - AF11) / AF11</f>
        <v>0.1423076923076923</v>
      </c>
      <c r="AH11" s="43"/>
      <c r="AI11" s="126">
        <f>AI8</f>
        <v>100</v>
      </c>
      <c r="AJ11" s="43">
        <f>AJ8</f>
        <v>0.6</v>
      </c>
      <c r="AK11" s="128">
        <f>AK8</f>
        <v>60</v>
      </c>
      <c r="AL11" s="128">
        <f>V11 * (1 + E9) / (1 - H9)</f>
        <v>109.09090909090909</v>
      </c>
      <c r="AM11" s="129">
        <f>(B9 - AL11) / AL11</f>
        <v>9.9999999999999978E-2</v>
      </c>
      <c r="AN11" s="35"/>
      <c r="AO11" s="126">
        <f>AO8</f>
        <v>100</v>
      </c>
      <c r="AP11" s="43">
        <f>AP8</f>
        <v>0.4</v>
      </c>
      <c r="AQ11" s="128">
        <f>AQ8</f>
        <v>40</v>
      </c>
      <c r="AR11" s="128">
        <f>V11 * (1 + F9) / (1 - H9)</f>
        <v>117.17171717171716</v>
      </c>
      <c r="AS11" s="129">
        <f>(B9 - AR11) / AR11</f>
        <v>2.4137931034482842E-2</v>
      </c>
      <c r="AT11" s="35"/>
      <c r="AU11" s="35"/>
      <c r="AV11" s="35"/>
      <c r="AW11" s="35"/>
      <c r="AX11" s="35"/>
    </row>
    <row r="12" spans="1:50" s="237" customFormat="1" ht="12.75" x14ac:dyDescent="0.2">
      <c r="A12" s="252" t="s">
        <v>289</v>
      </c>
      <c r="B12" s="230">
        <v>120</v>
      </c>
      <c r="C12" s="62">
        <v>0.02</v>
      </c>
      <c r="D12" s="231">
        <v>0.04</v>
      </c>
      <c r="E12" s="232">
        <v>0.08</v>
      </c>
      <c r="F12" s="232">
        <v>0.16</v>
      </c>
      <c r="G12" s="232">
        <v>0.01</v>
      </c>
      <c r="H12" s="232">
        <v>0.01</v>
      </c>
      <c r="I12" s="232"/>
      <c r="K12" s="242" t="s">
        <v>75</v>
      </c>
      <c r="L12" s="242" t="s">
        <v>211</v>
      </c>
      <c r="M12" s="255">
        <v>120</v>
      </c>
      <c r="N12" s="255">
        <v>400</v>
      </c>
      <c r="O12" s="256">
        <v>0.5</v>
      </c>
      <c r="P12" s="243">
        <v>0.5</v>
      </c>
      <c r="Q12" s="243">
        <v>0</v>
      </c>
      <c r="S12" s="252" t="s">
        <v>213</v>
      </c>
      <c r="T12" s="252" t="s">
        <v>75</v>
      </c>
      <c r="U12" s="254" t="s">
        <v>210</v>
      </c>
      <c r="V12" s="235">
        <f>V7</f>
        <v>110</v>
      </c>
      <c r="W12" s="236">
        <f>X12/V12</f>
        <v>3.6363636363636362</v>
      </c>
      <c r="X12" s="235">
        <f>N12</f>
        <v>400</v>
      </c>
      <c r="Y12" s="235">
        <f>(V12/(1+G12))*(1-ABS(C12))</f>
        <v>106.73267326732673</v>
      </c>
      <c r="Z12" s="241" t="s">
        <v>34</v>
      </c>
      <c r="AA12" s="241" t="s">
        <v>34</v>
      </c>
      <c r="AB12" s="247"/>
      <c r="AC12" s="235">
        <f>V12</f>
        <v>110</v>
      </c>
      <c r="AD12" s="236">
        <f>AD10</f>
        <v>1.4545454545454546</v>
      </c>
      <c r="AE12" s="156">
        <f>AE10</f>
        <v>160</v>
      </c>
      <c r="AF12" s="156">
        <f>V12 * (1 + D12) / (1 - H12)</f>
        <v>115.55555555555556</v>
      </c>
      <c r="AG12" s="231">
        <f>(B12 - AF12) / AF12</f>
        <v>3.846153846153845E-2</v>
      </c>
      <c r="AH12" s="245"/>
      <c r="AI12" s="235">
        <f>V12</f>
        <v>110</v>
      </c>
      <c r="AJ12" s="236">
        <f>AJ10</f>
        <v>1.4545454545454546</v>
      </c>
      <c r="AK12" s="156">
        <f>AK10</f>
        <v>160</v>
      </c>
      <c r="AL12" s="156">
        <f>V12 * (1 + E12) / (1 - H12)</f>
        <v>120.00000000000001</v>
      </c>
      <c r="AM12" s="231">
        <f>(B12 - AL12) / AL12</f>
        <v>-1.1842378929335E-16</v>
      </c>
      <c r="AO12" s="235">
        <f>AO10</f>
        <v>110</v>
      </c>
      <c r="AP12" s="236">
        <f>AP10</f>
        <v>0.72727272727272729</v>
      </c>
      <c r="AQ12" s="156">
        <f>AQ10</f>
        <v>80</v>
      </c>
      <c r="AR12" s="156">
        <f>V12 * (1 + F12) / (1 - H12)</f>
        <v>128.88888888888889</v>
      </c>
      <c r="AS12" s="231">
        <f>(B12 - AR12) / AR12</f>
        <v>-6.8965517241379282E-2</v>
      </c>
      <c r="AU12" s="238">
        <f>AV12+AW12+AX12</f>
        <v>5.6363636363636367</v>
      </c>
      <c r="AV12" s="238">
        <f>AD12+AD13</f>
        <v>2.4545454545454546</v>
      </c>
      <c r="AW12" s="238">
        <f>AJ12+AJ13</f>
        <v>2.0545454545454547</v>
      </c>
      <c r="AX12" s="238">
        <f>AP12+AP13</f>
        <v>1.1272727272727274</v>
      </c>
    </row>
    <row r="13" spans="1:50" s="237" customFormat="1" ht="12.75" x14ac:dyDescent="0.2">
      <c r="A13" s="252"/>
      <c r="B13" s="257"/>
      <c r="C13" s="258"/>
      <c r="D13" s="231"/>
      <c r="E13" s="232"/>
      <c r="F13" s="232"/>
      <c r="G13" s="232"/>
      <c r="H13" s="232"/>
      <c r="I13" s="232"/>
      <c r="M13" s="257"/>
      <c r="N13" s="257"/>
      <c r="O13" s="231"/>
      <c r="P13" s="232"/>
      <c r="Q13" s="232"/>
      <c r="S13" s="252" t="s">
        <v>212</v>
      </c>
      <c r="T13" s="252" t="s">
        <v>75</v>
      </c>
      <c r="U13" s="254" t="s">
        <v>78</v>
      </c>
      <c r="V13" s="235">
        <f>V11</f>
        <v>100</v>
      </c>
      <c r="W13" s="236">
        <f>W11</f>
        <v>2</v>
      </c>
      <c r="X13" s="235">
        <f>X11</f>
        <v>200</v>
      </c>
      <c r="Y13" s="235">
        <f>(V13/(1+G12))*(1-ABS(C12))</f>
        <v>97.029702970297024</v>
      </c>
      <c r="Z13" s="241" t="s">
        <v>34</v>
      </c>
      <c r="AA13" s="241" t="s">
        <v>34</v>
      </c>
      <c r="AB13" s="247"/>
      <c r="AC13" s="235">
        <f>V13</f>
        <v>100</v>
      </c>
      <c r="AD13" s="236">
        <f>AD11</f>
        <v>1</v>
      </c>
      <c r="AE13" s="156">
        <f>AE11</f>
        <v>100</v>
      </c>
      <c r="AF13" s="156">
        <f>V13 * (1 + D12) / (1 - H12)</f>
        <v>105.05050505050505</v>
      </c>
      <c r="AG13" s="231">
        <f>(B12 - AF13) / AF13</f>
        <v>0.1423076923076923</v>
      </c>
      <c r="AH13" s="245"/>
      <c r="AI13" s="233">
        <f>V13</f>
        <v>100</v>
      </c>
      <c r="AJ13" s="238">
        <f>AJ11</f>
        <v>0.6</v>
      </c>
      <c r="AK13" s="233">
        <f>AK11</f>
        <v>60</v>
      </c>
      <c r="AL13" s="156">
        <f>V13 * (1 + E12) / (1 - H12)</f>
        <v>109.09090909090909</v>
      </c>
      <c r="AM13" s="231">
        <f>(B12 - AL13) / AL13</f>
        <v>9.9999999999999978E-2</v>
      </c>
      <c r="AO13" s="235">
        <f>V13</f>
        <v>100</v>
      </c>
      <c r="AP13" s="236">
        <f>AP11</f>
        <v>0.4</v>
      </c>
      <c r="AQ13" s="156">
        <f>AQ11</f>
        <v>40</v>
      </c>
      <c r="AR13" s="156">
        <v>117.17171717171716</v>
      </c>
      <c r="AS13" s="231">
        <f>(B12 - AR13) / AR13</f>
        <v>2.4137931034482842E-2</v>
      </c>
    </row>
    <row r="14" spans="1:50" ht="12.75" x14ac:dyDescent="0.2">
      <c r="A14" s="45"/>
      <c r="B14" s="33"/>
      <c r="C14" s="67"/>
      <c r="D14" s="124"/>
      <c r="E14" s="95"/>
      <c r="F14" s="95"/>
      <c r="G14" s="95"/>
      <c r="H14" s="95"/>
      <c r="I14" s="95"/>
      <c r="M14" s="33"/>
      <c r="N14" s="33"/>
      <c r="O14" s="124"/>
      <c r="P14" s="95"/>
      <c r="Q14" s="95"/>
      <c r="S14" s="12"/>
      <c r="T14" s="12"/>
      <c r="U14" s="12"/>
      <c r="V14" s="137"/>
      <c r="W14" s="138"/>
      <c r="X14" s="137"/>
      <c r="Y14" s="137"/>
      <c r="Z14" s="154"/>
      <c r="AA14" s="154"/>
      <c r="AB14" s="12"/>
      <c r="AC14" s="139"/>
      <c r="AD14" s="139"/>
      <c r="AE14" s="139"/>
      <c r="AF14" s="139"/>
      <c r="AG14" s="140"/>
      <c r="AH14" s="140"/>
      <c r="AI14" s="139"/>
      <c r="AJ14" s="139"/>
      <c r="AK14" s="139"/>
      <c r="AL14" s="139"/>
      <c r="AM14" s="140"/>
      <c r="AO14" s="139"/>
      <c r="AP14" s="139"/>
      <c r="AQ14" s="139"/>
      <c r="AR14" s="139"/>
      <c r="AS14" s="140"/>
    </row>
    <row r="15" spans="1:50" ht="12.75" x14ac:dyDescent="0.2">
      <c r="A15" s="259" t="s">
        <v>257</v>
      </c>
      <c r="B15" s="33"/>
      <c r="C15" s="67"/>
      <c r="D15" s="124"/>
      <c r="E15" s="95"/>
      <c r="F15" s="95"/>
      <c r="G15" s="95"/>
      <c r="H15" s="95"/>
      <c r="I15" s="95"/>
      <c r="M15" s="33"/>
      <c r="N15" s="33"/>
      <c r="O15" s="124"/>
      <c r="P15" s="95"/>
      <c r="Q15" s="95"/>
      <c r="S15" s="12"/>
      <c r="T15" s="12"/>
      <c r="U15" s="12"/>
      <c r="V15" s="137"/>
      <c r="W15" s="138"/>
      <c r="X15" s="137"/>
      <c r="Y15" s="137"/>
      <c r="Z15" s="12"/>
      <c r="AA15" s="12"/>
      <c r="AB15" s="12"/>
      <c r="AC15" s="139"/>
      <c r="AD15" s="139"/>
      <c r="AE15" s="139"/>
      <c r="AF15" s="139"/>
      <c r="AG15" s="140"/>
      <c r="AH15" s="140"/>
      <c r="AI15" s="139"/>
      <c r="AJ15" s="139"/>
      <c r="AK15" s="139"/>
      <c r="AL15" s="139"/>
      <c r="AM15" s="140"/>
      <c r="AO15" s="139"/>
      <c r="AP15" s="139"/>
      <c r="AQ15" s="139"/>
      <c r="AR15" s="139"/>
      <c r="AS15" s="140"/>
    </row>
    <row r="16" spans="1:50" ht="12.75" x14ac:dyDescent="0.2">
      <c r="B16" s="45" t="s">
        <v>203</v>
      </c>
      <c r="C16" s="109"/>
      <c r="K16" s="45" t="s">
        <v>201</v>
      </c>
      <c r="S16" s="45" t="s">
        <v>202</v>
      </c>
      <c r="U16" s="12"/>
      <c r="V16" s="12"/>
      <c r="W16" s="12"/>
      <c r="X16" s="12"/>
      <c r="Y16" s="12"/>
      <c r="Z16" s="12"/>
      <c r="AA16" s="12"/>
      <c r="AB16" s="12"/>
      <c r="AC16" s="130" t="s">
        <v>204</v>
      </c>
      <c r="AD16" s="46"/>
      <c r="AE16" s="46"/>
      <c r="AF16" s="46"/>
      <c r="AG16" s="46"/>
      <c r="AH16" s="46"/>
      <c r="AI16" s="130" t="s">
        <v>206</v>
      </c>
      <c r="AJ16" s="46"/>
      <c r="AK16" s="46"/>
      <c r="AL16" s="46"/>
      <c r="AM16" s="46"/>
      <c r="AN16" s="45"/>
      <c r="AO16" s="130" t="s">
        <v>207</v>
      </c>
      <c r="AP16" s="12"/>
      <c r="AQ16" s="12"/>
      <c r="AR16" s="12"/>
      <c r="AS16" s="12"/>
      <c r="AU16" s="130" t="s">
        <v>205</v>
      </c>
    </row>
    <row r="17" spans="1:50" ht="12.75" x14ac:dyDescent="0.2">
      <c r="B17" s="57" t="s">
        <v>208</v>
      </c>
      <c r="C17" s="28" t="s">
        <v>190</v>
      </c>
      <c r="D17" s="57" t="s">
        <v>191</v>
      </c>
      <c r="E17" s="28" t="s">
        <v>192</v>
      </c>
      <c r="F17" s="28" t="s">
        <v>193</v>
      </c>
      <c r="G17" s="28" t="s">
        <v>286</v>
      </c>
      <c r="H17" s="57" t="s">
        <v>285</v>
      </c>
      <c r="I17" s="57"/>
      <c r="J17" s="101"/>
      <c r="K17" s="28" t="s">
        <v>76</v>
      </c>
      <c r="L17" s="28" t="s">
        <v>4</v>
      </c>
      <c r="M17" s="57" t="s">
        <v>0</v>
      </c>
      <c r="N17" s="57" t="s">
        <v>1</v>
      </c>
      <c r="O17" s="28" t="s">
        <v>191</v>
      </c>
      <c r="P17" s="28" t="s">
        <v>192</v>
      </c>
      <c r="Q17" s="28" t="s">
        <v>193</v>
      </c>
      <c r="S17" s="28"/>
      <c r="T17" s="28" t="s">
        <v>76</v>
      </c>
      <c r="U17" s="28" t="s">
        <v>4</v>
      </c>
      <c r="V17" s="57" t="s">
        <v>0</v>
      </c>
      <c r="W17" s="28" t="s">
        <v>62</v>
      </c>
      <c r="X17" s="57" t="s">
        <v>217</v>
      </c>
      <c r="Y17" s="57" t="s">
        <v>190</v>
      </c>
      <c r="Z17" s="57" t="s">
        <v>194</v>
      </c>
      <c r="AA17" s="28" t="s">
        <v>195</v>
      </c>
      <c r="AB17" s="12"/>
      <c r="AC17" s="28" t="s">
        <v>0</v>
      </c>
      <c r="AD17" s="28" t="s">
        <v>196</v>
      </c>
      <c r="AE17" s="57" t="s">
        <v>1</v>
      </c>
      <c r="AF17" s="57" t="s">
        <v>197</v>
      </c>
      <c r="AG17" s="57" t="s">
        <v>198</v>
      </c>
      <c r="AH17" s="60"/>
      <c r="AI17" s="28" t="s">
        <v>0</v>
      </c>
      <c r="AJ17" s="28" t="s">
        <v>196</v>
      </c>
      <c r="AK17" s="57" t="s">
        <v>1</v>
      </c>
      <c r="AL17" s="57" t="s">
        <v>197</v>
      </c>
      <c r="AM17" s="57" t="s">
        <v>198</v>
      </c>
      <c r="AO17" s="28" t="s">
        <v>0</v>
      </c>
      <c r="AP17" s="28" t="s">
        <v>196</v>
      </c>
      <c r="AQ17" s="57" t="s">
        <v>1</v>
      </c>
      <c r="AR17" s="57" t="s">
        <v>197</v>
      </c>
      <c r="AS17" s="57" t="s">
        <v>198</v>
      </c>
      <c r="AU17" s="57" t="s">
        <v>199</v>
      </c>
      <c r="AV17" s="28" t="s">
        <v>191</v>
      </c>
      <c r="AW17" s="28" t="s">
        <v>192</v>
      </c>
      <c r="AX17" s="28" t="s">
        <v>193</v>
      </c>
    </row>
    <row r="18" spans="1:50" ht="12.75" x14ac:dyDescent="0.2">
      <c r="A18" s="110" t="s">
        <v>212</v>
      </c>
      <c r="B18" s="52">
        <v>100</v>
      </c>
      <c r="C18" s="54">
        <v>0.02</v>
      </c>
      <c r="D18" s="124">
        <v>0.04</v>
      </c>
      <c r="E18" s="95">
        <v>0.08</v>
      </c>
      <c r="F18" s="95">
        <v>0.16</v>
      </c>
      <c r="G18" s="95">
        <v>0.01</v>
      </c>
      <c r="H18" s="95">
        <v>0.01</v>
      </c>
      <c r="I18" s="95"/>
      <c r="J18" s="95"/>
      <c r="K18" s="133" t="s">
        <v>75</v>
      </c>
      <c r="L18" s="133" t="s">
        <v>78</v>
      </c>
      <c r="M18" s="52">
        <v>100</v>
      </c>
      <c r="N18" s="52">
        <v>600</v>
      </c>
      <c r="O18" s="124">
        <v>0.5</v>
      </c>
      <c r="P18" s="95">
        <v>0.3</v>
      </c>
      <c r="Q18" s="95">
        <v>0.2</v>
      </c>
      <c r="S18" s="45" t="s">
        <v>212</v>
      </c>
      <c r="T18" s="45" t="s">
        <v>75</v>
      </c>
      <c r="U18" s="131" t="s">
        <v>78</v>
      </c>
      <c r="V18" s="122">
        <f>M18</f>
        <v>100</v>
      </c>
      <c r="W18" s="30">
        <f>X18/V18</f>
        <v>6</v>
      </c>
      <c r="X18" s="122">
        <f>N18</f>
        <v>600</v>
      </c>
      <c r="Y18" s="122">
        <f>(V18/(1+G18))*(1-ABS(C18))</f>
        <v>97.029702970297024</v>
      </c>
      <c r="Z18" s="152" t="s">
        <v>34</v>
      </c>
      <c r="AA18" s="152" t="s">
        <v>34</v>
      </c>
      <c r="AB18" s="12"/>
      <c r="AC18" s="122">
        <f>V18</f>
        <v>100</v>
      </c>
      <c r="AD18" s="30">
        <f>W18*O18</f>
        <v>3</v>
      </c>
      <c r="AE18" s="123">
        <f>X18*O18</f>
        <v>300</v>
      </c>
      <c r="AF18" s="123">
        <f>AC18 * (1 + D18) / (1 - H18)</f>
        <v>105.05050505050505</v>
      </c>
      <c r="AG18" s="124">
        <f>(B18 - AF18) / AF18</f>
        <v>-4.8076923076923087E-2</v>
      </c>
      <c r="AH18" s="30"/>
      <c r="AI18" s="122">
        <f>V18</f>
        <v>100</v>
      </c>
      <c r="AJ18" s="30">
        <f>W18*P18</f>
        <v>1.7999999999999998</v>
      </c>
      <c r="AK18" s="123">
        <f>X18*P18</f>
        <v>180</v>
      </c>
      <c r="AL18" s="123">
        <f>AI18 * (1 + E18) / (1 - H18)</f>
        <v>109.09090909090909</v>
      </c>
      <c r="AM18" s="124">
        <f>(B18 - AL18) / AL18</f>
        <v>-8.3333333333333356E-2</v>
      </c>
      <c r="AO18" s="122">
        <f>V18</f>
        <v>100</v>
      </c>
      <c r="AP18" s="30">
        <f>W18*Q18</f>
        <v>1.2000000000000002</v>
      </c>
      <c r="AQ18" s="123">
        <f>X18*Q18</f>
        <v>120</v>
      </c>
      <c r="AR18" s="123">
        <f>AO18 * (1 + F18) / (1 - H18)</f>
        <v>117.17171717171716</v>
      </c>
      <c r="AS18" s="124">
        <f>(B18 - AR18) / AR18</f>
        <v>-0.14655172413793097</v>
      </c>
      <c r="AU18" s="32">
        <f>AD18+AJ18+AP18</f>
        <v>6</v>
      </c>
      <c r="AV18" s="32">
        <f>AD18</f>
        <v>3</v>
      </c>
      <c r="AW18" s="32">
        <f>AJ18</f>
        <v>1.7999999999999998</v>
      </c>
      <c r="AX18" s="32">
        <f>AP18</f>
        <v>1.2000000000000002</v>
      </c>
    </row>
    <row r="19" spans="1:50" ht="12.75" x14ac:dyDescent="0.2">
      <c r="A19" s="176" t="s">
        <v>215</v>
      </c>
      <c r="B19" s="40">
        <v>110</v>
      </c>
      <c r="C19" s="55">
        <v>0.02</v>
      </c>
      <c r="D19" s="129">
        <v>0.04</v>
      </c>
      <c r="E19" s="125">
        <v>0.08</v>
      </c>
      <c r="F19" s="125">
        <v>0.16</v>
      </c>
      <c r="G19" s="125">
        <v>0.01</v>
      </c>
      <c r="H19" s="125">
        <v>0.01</v>
      </c>
      <c r="I19" s="125"/>
      <c r="J19" s="125"/>
      <c r="K19" s="134" t="s">
        <v>73</v>
      </c>
      <c r="L19" s="134" t="s">
        <v>216</v>
      </c>
      <c r="M19" s="40">
        <v>110</v>
      </c>
      <c r="N19" s="153" t="s">
        <v>34</v>
      </c>
      <c r="O19" s="129">
        <v>0.5</v>
      </c>
      <c r="P19" s="153" t="s">
        <v>34</v>
      </c>
      <c r="Q19" s="153" t="s">
        <v>34</v>
      </c>
      <c r="R19" s="35"/>
      <c r="S19" s="47" t="s">
        <v>215</v>
      </c>
      <c r="T19" s="47" t="s">
        <v>73</v>
      </c>
      <c r="U19" s="132" t="s">
        <v>216</v>
      </c>
      <c r="V19" s="126">
        <f>M19</f>
        <v>110</v>
      </c>
      <c r="W19" s="43">
        <f>AD18*O19</f>
        <v>1.5</v>
      </c>
      <c r="X19" s="126">
        <f>V19*W19-(V19*W19*H19)</f>
        <v>163.35</v>
      </c>
      <c r="Y19" s="153" t="s">
        <v>34</v>
      </c>
      <c r="Z19" s="127">
        <f>X19-(V18*W19)</f>
        <v>13.349999999999994</v>
      </c>
      <c r="AA19" s="151">
        <f>Z19/(V18*W19)</f>
        <v>8.8999999999999968E-2</v>
      </c>
      <c r="AB19" s="41"/>
      <c r="AC19" s="126">
        <f>V20</f>
        <v>100</v>
      </c>
      <c r="AD19" s="43">
        <f>AD18-W19</f>
        <v>1.5</v>
      </c>
      <c r="AE19" s="128">
        <f>AE18*O19</f>
        <v>150</v>
      </c>
      <c r="AF19" s="128">
        <f>AC19 * (1 + D19) / (1 - H19)</f>
        <v>105.05050505050505</v>
      </c>
      <c r="AG19" s="155">
        <f>(B19 - AF19) / AF19</f>
        <v>4.7115384615384601E-2</v>
      </c>
      <c r="AH19" s="43"/>
      <c r="AI19" s="126">
        <f>V20</f>
        <v>100</v>
      </c>
      <c r="AJ19" s="43">
        <f>AJ18</f>
        <v>1.7999999999999998</v>
      </c>
      <c r="AK19" s="128">
        <f>AK18</f>
        <v>180</v>
      </c>
      <c r="AL19" s="128">
        <f>AI19 * (1 + E19) / (1 - H19)</f>
        <v>109.09090909090909</v>
      </c>
      <c r="AM19" s="155">
        <f>(B19 - AL19) / AL19</f>
        <v>8.3333333333333089E-3</v>
      </c>
      <c r="AN19" s="35"/>
      <c r="AO19" s="126">
        <f>V20</f>
        <v>100</v>
      </c>
      <c r="AP19" s="43">
        <f>AP18</f>
        <v>1.2000000000000002</v>
      </c>
      <c r="AQ19" s="128">
        <f>AQ18</f>
        <v>120</v>
      </c>
      <c r="AR19" s="128">
        <f>AO19 * (1 + F19) / (1 - H19)</f>
        <v>117.17171717171716</v>
      </c>
      <c r="AS19" s="129">
        <f>(B19 - AR19) / AR19</f>
        <v>-6.1206896551724066E-2</v>
      </c>
      <c r="AT19" s="35"/>
      <c r="AU19" s="39">
        <f>AD19+AJ19+AP19</f>
        <v>4.5</v>
      </c>
      <c r="AV19" s="39">
        <f>AD19</f>
        <v>1.5</v>
      </c>
      <c r="AW19" s="39">
        <f>AJ19</f>
        <v>1.7999999999999998</v>
      </c>
      <c r="AX19" s="39">
        <f>AP19</f>
        <v>1.2000000000000002</v>
      </c>
    </row>
    <row r="20" spans="1:50" ht="12.75" x14ac:dyDescent="0.2">
      <c r="A20" s="176"/>
      <c r="B20" s="40"/>
      <c r="C20" s="55"/>
      <c r="D20" s="129"/>
      <c r="E20" s="125"/>
      <c r="F20" s="125"/>
      <c r="G20" s="125"/>
      <c r="H20" s="125"/>
      <c r="I20" s="125"/>
      <c r="J20" s="125"/>
      <c r="K20" s="134"/>
      <c r="L20" s="134"/>
      <c r="M20" s="40"/>
      <c r="N20" s="40"/>
      <c r="O20" s="129"/>
      <c r="P20" s="125"/>
      <c r="Q20" s="125"/>
      <c r="R20" s="35"/>
      <c r="S20" s="47" t="s">
        <v>212</v>
      </c>
      <c r="T20" s="47" t="s">
        <v>75</v>
      </c>
      <c r="U20" s="132" t="s">
        <v>78</v>
      </c>
      <c r="V20" s="126">
        <f>V18</f>
        <v>100</v>
      </c>
      <c r="W20" s="43">
        <f>W18</f>
        <v>6</v>
      </c>
      <c r="X20" s="126">
        <f>X18</f>
        <v>600</v>
      </c>
      <c r="Y20" s="126">
        <f>Y18</f>
        <v>97.029702970297024</v>
      </c>
      <c r="Z20" s="153" t="s">
        <v>34</v>
      </c>
      <c r="AA20" s="153" t="s">
        <v>34</v>
      </c>
      <c r="AB20" s="41"/>
      <c r="AC20" s="126"/>
      <c r="AD20" s="43"/>
      <c r="AE20" s="128"/>
      <c r="AF20" s="128"/>
      <c r="AG20" s="129"/>
      <c r="AH20" s="43"/>
      <c r="AI20" s="126"/>
      <c r="AJ20" s="43"/>
      <c r="AK20" s="128"/>
      <c r="AL20" s="128"/>
      <c r="AM20" s="129"/>
      <c r="AN20" s="35"/>
      <c r="AO20" s="126"/>
      <c r="AP20" s="43"/>
      <c r="AQ20" s="128"/>
      <c r="AR20" s="128"/>
      <c r="AS20" s="129"/>
      <c r="AT20" s="35"/>
      <c r="AU20" s="39"/>
      <c r="AV20" s="39"/>
      <c r="AW20" s="39"/>
      <c r="AX20" s="39"/>
    </row>
    <row r="21" spans="1:50" ht="12.75" x14ac:dyDescent="0.2">
      <c r="A21" s="110" t="s">
        <v>218</v>
      </c>
      <c r="B21" s="52">
        <v>90</v>
      </c>
      <c r="C21" s="54">
        <v>0.02</v>
      </c>
      <c r="D21" s="124">
        <v>0.04</v>
      </c>
      <c r="E21" s="95">
        <v>0.08</v>
      </c>
      <c r="F21" s="95">
        <v>0.16</v>
      </c>
      <c r="G21" s="95">
        <v>0.01</v>
      </c>
      <c r="H21" s="95">
        <v>0.01</v>
      </c>
      <c r="I21" s="95"/>
      <c r="J21" s="95"/>
      <c r="K21" s="133" t="s">
        <v>73</v>
      </c>
      <c r="L21" s="133" t="s">
        <v>216</v>
      </c>
      <c r="M21" s="52">
        <v>90</v>
      </c>
      <c r="N21" s="152" t="s">
        <v>34</v>
      </c>
      <c r="O21" s="152" t="s">
        <v>34</v>
      </c>
      <c r="P21" s="95">
        <v>1</v>
      </c>
      <c r="Q21" s="152" t="s">
        <v>34</v>
      </c>
      <c r="S21" s="45" t="s">
        <v>218</v>
      </c>
      <c r="T21" s="45" t="s">
        <v>73</v>
      </c>
      <c r="U21" s="130" t="s">
        <v>216</v>
      </c>
      <c r="V21" s="122">
        <f>M21</f>
        <v>90</v>
      </c>
      <c r="W21" s="30">
        <f>AJ19*P21</f>
        <v>1.7999999999999998</v>
      </c>
      <c r="X21" s="122">
        <f>V21*W21-(V21*W21*H21)</f>
        <v>160.37999999999997</v>
      </c>
      <c r="Y21" s="152" t="s">
        <v>34</v>
      </c>
      <c r="Z21" s="152">
        <f>X21-(V20*W21)</f>
        <v>-19.620000000000005</v>
      </c>
      <c r="AA21" s="159">
        <f>Z21/(V20*W21)</f>
        <v>-0.10900000000000004</v>
      </c>
      <c r="AB21" s="12"/>
      <c r="AC21" s="122">
        <f>AC19</f>
        <v>100</v>
      </c>
      <c r="AD21" s="30">
        <f>AD19</f>
        <v>1.5</v>
      </c>
      <c r="AE21" s="123">
        <f>AE19</f>
        <v>150</v>
      </c>
      <c r="AF21" s="123">
        <f>AF19</f>
        <v>105.05050505050505</v>
      </c>
      <c r="AG21" s="124">
        <f>(B21 - AF21) / AF21</f>
        <v>-0.14326923076923079</v>
      </c>
      <c r="AH21" s="30"/>
      <c r="AI21" s="161">
        <f>AI19</f>
        <v>100</v>
      </c>
      <c r="AJ21" s="162">
        <f>AJ19</f>
        <v>1.7999999999999998</v>
      </c>
      <c r="AK21" s="163">
        <f>AK19</f>
        <v>180</v>
      </c>
      <c r="AL21" s="163">
        <f>AL19</f>
        <v>109.09090909090909</v>
      </c>
      <c r="AM21" s="148">
        <f>AM19</f>
        <v>8.3333333333333089E-3</v>
      </c>
      <c r="AO21" s="122">
        <f>AO19</f>
        <v>100</v>
      </c>
      <c r="AP21" s="30">
        <f>AP19</f>
        <v>1.2000000000000002</v>
      </c>
      <c r="AQ21" s="123">
        <f>AQ19</f>
        <v>120</v>
      </c>
      <c r="AR21" s="123">
        <f>AR19</f>
        <v>117.17171717171716</v>
      </c>
      <c r="AS21" s="124">
        <f>(B21 - AR21) / AR21</f>
        <v>-0.23189655172413787</v>
      </c>
      <c r="AU21" s="32">
        <f>AV21+AW21+AX21</f>
        <v>2.7</v>
      </c>
      <c r="AV21" s="32">
        <f>AD21</f>
        <v>1.5</v>
      </c>
      <c r="AW21" s="32">
        <v>0</v>
      </c>
      <c r="AX21" s="32">
        <f>AP21</f>
        <v>1.2000000000000002</v>
      </c>
    </row>
    <row r="22" spans="1:50" ht="12.75" x14ac:dyDescent="0.2">
      <c r="A22" s="110"/>
      <c r="B22" s="52"/>
      <c r="C22" s="95"/>
      <c r="J22" s="95"/>
      <c r="K22" s="95"/>
      <c r="L22" s="95"/>
      <c r="M22" s="52"/>
      <c r="N22" s="52"/>
      <c r="O22" s="95"/>
      <c r="P22" s="95"/>
      <c r="Q22" s="95"/>
      <c r="S22" s="46" t="str">
        <f t="shared" ref="S22:T26" si="0">S19</f>
        <v>SellA</v>
      </c>
      <c r="T22" s="46" t="str">
        <f t="shared" si="0"/>
        <v>Sell</v>
      </c>
      <c r="U22" s="130" t="s">
        <v>216</v>
      </c>
      <c r="V22" s="122">
        <f t="shared" ref="V22:X22" si="1">V19</f>
        <v>110</v>
      </c>
      <c r="W22" s="30">
        <f t="shared" si="1"/>
        <v>1.5</v>
      </c>
      <c r="X22" s="122">
        <f t="shared" si="1"/>
        <v>163.35</v>
      </c>
      <c r="Y22" s="152" t="s">
        <v>34</v>
      </c>
      <c r="Z22" s="152">
        <f>Z19</f>
        <v>13.349999999999994</v>
      </c>
      <c r="AA22" s="160">
        <f>AA19</f>
        <v>8.8999999999999968E-2</v>
      </c>
      <c r="AB22" s="12"/>
      <c r="AC22" s="122"/>
      <c r="AD22" s="30"/>
      <c r="AE22" s="156"/>
      <c r="AF22" s="156"/>
      <c r="AG22" s="124"/>
      <c r="AH22" s="30"/>
      <c r="AI22" s="63"/>
      <c r="AJ22" s="32"/>
      <c r="AK22" s="63"/>
      <c r="AL22" s="63"/>
      <c r="AM22" s="62"/>
      <c r="AO22" s="157"/>
      <c r="AP22" s="158"/>
      <c r="AQ22" s="158"/>
      <c r="AR22" s="158"/>
      <c r="AS22" s="158"/>
    </row>
    <row r="23" spans="1:50" ht="12.75" x14ac:dyDescent="0.2">
      <c r="A23" s="110"/>
      <c r="B23" s="52"/>
      <c r="C23" s="95"/>
      <c r="D23" s="29"/>
      <c r="E23" s="50"/>
      <c r="H23" s="50"/>
      <c r="I23" s="50"/>
      <c r="J23" s="50"/>
      <c r="K23" s="50"/>
      <c r="L23" s="50"/>
      <c r="M23" s="52"/>
      <c r="N23" s="52"/>
      <c r="O23" s="50"/>
      <c r="P23" s="50"/>
      <c r="Q23" s="50"/>
      <c r="S23" s="46" t="str">
        <f t="shared" si="0"/>
        <v>BuyA</v>
      </c>
      <c r="T23" s="46" t="str">
        <f t="shared" si="0"/>
        <v>Buy</v>
      </c>
      <c r="U23" s="130" t="s">
        <v>78</v>
      </c>
      <c r="V23" s="122">
        <f>V20</f>
        <v>100</v>
      </c>
      <c r="W23" s="30">
        <f>W20</f>
        <v>6</v>
      </c>
      <c r="X23" s="122">
        <f>X20</f>
        <v>600</v>
      </c>
      <c r="Y23" s="164">
        <f>Y20</f>
        <v>97.029702970297024</v>
      </c>
      <c r="Z23" s="152" t="s">
        <v>34</v>
      </c>
      <c r="AA23" s="152" t="s">
        <v>34</v>
      </c>
      <c r="AB23" s="12"/>
      <c r="AC23" s="63"/>
      <c r="AH23" s="30"/>
      <c r="AI23" s="13"/>
      <c r="AJ23" s="13"/>
      <c r="AK23" s="13"/>
      <c r="AL23" s="13"/>
      <c r="AM23" s="30"/>
      <c r="AO23" s="122"/>
      <c r="AP23" s="13"/>
      <c r="AQ23" s="13"/>
      <c r="AR23" s="13"/>
      <c r="AS23" s="30"/>
    </row>
    <row r="24" spans="1:50" s="35" customFormat="1" ht="12.75" x14ac:dyDescent="0.2">
      <c r="A24" s="176" t="s">
        <v>221</v>
      </c>
      <c r="B24" s="40">
        <v>90</v>
      </c>
      <c r="C24" s="55">
        <v>0.02</v>
      </c>
      <c r="D24" s="129">
        <v>0.04</v>
      </c>
      <c r="E24" s="125">
        <v>0.08</v>
      </c>
      <c r="F24" s="125">
        <v>0.16</v>
      </c>
      <c r="G24" s="125">
        <v>0.01</v>
      </c>
      <c r="H24" s="125">
        <v>0.01</v>
      </c>
      <c r="I24" s="125"/>
      <c r="J24" s="51"/>
      <c r="K24" s="171" t="s">
        <v>222</v>
      </c>
      <c r="L24" s="171" t="s">
        <v>210</v>
      </c>
      <c r="M24" s="40">
        <v>95</v>
      </c>
      <c r="N24" s="153" t="s">
        <v>34</v>
      </c>
      <c r="O24" s="153" t="s">
        <v>34</v>
      </c>
      <c r="P24" s="125">
        <v>0.5</v>
      </c>
      <c r="Q24" s="153" t="s">
        <v>34</v>
      </c>
      <c r="S24" s="47" t="str">
        <f t="shared" si="0"/>
        <v>SellB</v>
      </c>
      <c r="T24" s="47" t="str">
        <f t="shared" si="0"/>
        <v>Sell</v>
      </c>
      <c r="U24" s="132" t="s">
        <v>210</v>
      </c>
      <c r="V24" s="126">
        <f>M24</f>
        <v>95</v>
      </c>
      <c r="W24" s="43">
        <f>AJ19*P24</f>
        <v>0.89999999999999991</v>
      </c>
      <c r="X24" s="126">
        <f>V24*W24-(V24*W24*H24)</f>
        <v>84.644999999999982</v>
      </c>
      <c r="Y24" s="153" t="s">
        <v>34</v>
      </c>
      <c r="Z24" s="127">
        <f>X24-(V23*W24)</f>
        <v>-5.355000000000004</v>
      </c>
      <c r="AA24" s="151">
        <f>Z24/(V23*W24)</f>
        <v>-5.9500000000000053E-2</v>
      </c>
      <c r="AB24" s="41"/>
      <c r="AC24" s="126">
        <f>AC21</f>
        <v>100</v>
      </c>
      <c r="AD24" s="43">
        <f>AD21</f>
        <v>1.5</v>
      </c>
      <c r="AE24" s="128">
        <f>AE21</f>
        <v>150</v>
      </c>
      <c r="AF24" s="128">
        <f>AF21</f>
        <v>105.05050505050505</v>
      </c>
      <c r="AG24" s="175">
        <f>(B24 - AF24) / AF24</f>
        <v>-0.14326923076923079</v>
      </c>
      <c r="AH24" s="43"/>
      <c r="AI24" s="126">
        <f>AI21</f>
        <v>100</v>
      </c>
      <c r="AJ24" s="43">
        <f>AJ21*P24</f>
        <v>0.89999999999999991</v>
      </c>
      <c r="AK24" s="128">
        <f>AK21*P24</f>
        <v>90</v>
      </c>
      <c r="AL24" s="128">
        <f>AI24 * (1 + E24) / (1 - H24)</f>
        <v>109.09090909090909</v>
      </c>
      <c r="AM24" s="175">
        <f>(B24 - AL24) / AL24</f>
        <v>-0.17500000000000002</v>
      </c>
      <c r="AO24" s="126">
        <f>AO21</f>
        <v>100</v>
      </c>
      <c r="AP24" s="43">
        <f>AP21</f>
        <v>1.2000000000000002</v>
      </c>
      <c r="AQ24" s="128">
        <f>AQ21</f>
        <v>120</v>
      </c>
      <c r="AR24" s="128">
        <f>AR21</f>
        <v>117.17171717171716</v>
      </c>
      <c r="AS24" s="129">
        <f>AS21</f>
        <v>-0.23189655172413787</v>
      </c>
      <c r="AU24" s="39">
        <f>AV24+AW24+AX24</f>
        <v>3.6</v>
      </c>
      <c r="AV24" s="39">
        <f>AD24</f>
        <v>1.5</v>
      </c>
      <c r="AW24" s="39">
        <f>AJ24</f>
        <v>0.89999999999999991</v>
      </c>
      <c r="AX24" s="39">
        <f>AP24</f>
        <v>1.2000000000000002</v>
      </c>
    </row>
    <row r="25" spans="1:50" s="35" customFormat="1" ht="12.75" x14ac:dyDescent="0.2">
      <c r="A25" s="176"/>
      <c r="B25" s="40"/>
      <c r="C25" s="125"/>
      <c r="D25" s="37"/>
      <c r="E25" s="51"/>
      <c r="H25" s="51"/>
      <c r="I25" s="51"/>
      <c r="J25" s="51"/>
      <c r="K25" s="51"/>
      <c r="L25" s="51"/>
      <c r="M25" s="40"/>
      <c r="N25" s="40"/>
      <c r="O25" s="51"/>
      <c r="P25" s="51"/>
      <c r="Q25" s="51"/>
      <c r="S25" s="47" t="str">
        <f t="shared" si="0"/>
        <v>SellA</v>
      </c>
      <c r="T25" s="47" t="str">
        <f t="shared" si="0"/>
        <v>Sell</v>
      </c>
      <c r="U25" s="132" t="s">
        <v>216</v>
      </c>
      <c r="V25" s="126">
        <f t="shared" ref="V25:X26" si="2">V22</f>
        <v>110</v>
      </c>
      <c r="W25" s="43">
        <f t="shared" si="2"/>
        <v>1.5</v>
      </c>
      <c r="X25" s="126">
        <f t="shared" si="2"/>
        <v>163.35</v>
      </c>
      <c r="Y25" s="153" t="s">
        <v>34</v>
      </c>
      <c r="Z25" s="127">
        <f>Z22</f>
        <v>13.349999999999994</v>
      </c>
      <c r="AA25" s="151">
        <f>AA22</f>
        <v>8.8999999999999968E-2</v>
      </c>
      <c r="AB25" s="41"/>
      <c r="AC25" s="65"/>
      <c r="AH25" s="43"/>
      <c r="AI25" s="42"/>
      <c r="AJ25" s="42"/>
      <c r="AK25" s="42"/>
      <c r="AL25" s="42"/>
      <c r="AM25" s="43"/>
      <c r="AO25" s="126"/>
      <c r="AP25" s="42"/>
      <c r="AQ25" s="42"/>
      <c r="AR25" s="42"/>
      <c r="AS25" s="43"/>
    </row>
    <row r="26" spans="1:50" s="35" customFormat="1" ht="12.75" x14ac:dyDescent="0.2">
      <c r="A26" s="176"/>
      <c r="B26" s="40"/>
      <c r="C26" s="125"/>
      <c r="D26" s="37"/>
      <c r="E26" s="51"/>
      <c r="H26" s="51"/>
      <c r="I26" s="51"/>
      <c r="J26" s="51"/>
      <c r="K26" s="51"/>
      <c r="L26" s="51"/>
      <c r="M26" s="40"/>
      <c r="N26" s="40"/>
      <c r="O26" s="51"/>
      <c r="P26" s="51"/>
      <c r="Q26" s="51"/>
      <c r="S26" s="47" t="str">
        <f t="shared" si="0"/>
        <v>BuyA</v>
      </c>
      <c r="T26" s="47" t="str">
        <f t="shared" si="0"/>
        <v>Buy</v>
      </c>
      <c r="U26" s="132" t="s">
        <v>78</v>
      </c>
      <c r="V26" s="126">
        <f t="shared" si="2"/>
        <v>100</v>
      </c>
      <c r="W26" s="43">
        <f t="shared" si="2"/>
        <v>6</v>
      </c>
      <c r="X26" s="126">
        <f t="shared" si="2"/>
        <v>600</v>
      </c>
      <c r="Y26" s="170">
        <f>Y23</f>
        <v>97.029702970297024</v>
      </c>
      <c r="Z26" s="153" t="s">
        <v>34</v>
      </c>
      <c r="AA26" s="153" t="s">
        <v>34</v>
      </c>
      <c r="AB26" s="41"/>
      <c r="AC26" s="65"/>
      <c r="AH26" s="43"/>
      <c r="AI26" s="42"/>
      <c r="AJ26" s="42"/>
      <c r="AK26" s="42"/>
      <c r="AL26" s="42"/>
      <c r="AM26" s="43"/>
      <c r="AO26" s="126"/>
      <c r="AP26" s="42"/>
      <c r="AQ26" s="42"/>
      <c r="AR26" s="42"/>
      <c r="AS26" s="43"/>
    </row>
    <row r="27" spans="1:50" ht="12.75" x14ac:dyDescent="0.2">
      <c r="A27" s="45" t="s">
        <v>220</v>
      </c>
      <c r="B27" s="52">
        <v>90</v>
      </c>
      <c r="C27" s="62">
        <v>0.02</v>
      </c>
      <c r="D27" s="124">
        <v>0.04</v>
      </c>
      <c r="E27" s="95">
        <v>0.08</v>
      </c>
      <c r="F27" s="95">
        <v>0.16</v>
      </c>
      <c r="G27" s="95">
        <v>0.01</v>
      </c>
      <c r="H27" s="95">
        <v>0.01</v>
      </c>
      <c r="I27" s="95"/>
      <c r="K27" s="45" t="s">
        <v>219</v>
      </c>
      <c r="L27" s="152" t="s">
        <v>34</v>
      </c>
      <c r="M27" s="152" t="s">
        <v>34</v>
      </c>
      <c r="N27" s="152" t="s">
        <v>34</v>
      </c>
      <c r="O27" s="152" t="s">
        <v>34</v>
      </c>
      <c r="P27" s="152" t="s">
        <v>34</v>
      </c>
      <c r="Q27" s="152" t="s">
        <v>34</v>
      </c>
      <c r="S27" s="146" t="str">
        <f>S31</f>
        <v>SellB</v>
      </c>
      <c r="T27" s="146" t="str">
        <f>T31</f>
        <v>Sell</v>
      </c>
      <c r="U27" s="215" t="s">
        <v>210</v>
      </c>
      <c r="V27" s="161">
        <f>V31</f>
        <v>95</v>
      </c>
      <c r="W27" s="162">
        <f>W31</f>
        <v>0.89999999999999991</v>
      </c>
      <c r="X27" s="161">
        <f>X31</f>
        <v>84.644999999999982</v>
      </c>
      <c r="Y27" s="152" t="s">
        <v>34</v>
      </c>
      <c r="Z27" s="220">
        <f>Z31</f>
        <v>-5.355000000000004</v>
      </c>
      <c r="AA27" s="221">
        <f>AA31</f>
        <v>-5.9500000000000053E-2</v>
      </c>
      <c r="AB27" s="12"/>
      <c r="AC27" s="122">
        <f>AC30</f>
        <v>100</v>
      </c>
      <c r="AD27" s="30">
        <f>AD24</f>
        <v>1.5</v>
      </c>
      <c r="AE27" s="156">
        <f>AE24</f>
        <v>150</v>
      </c>
      <c r="AF27" s="123">
        <f>AC27 * (1 + D27) / (1 - H27)</f>
        <v>105.05050505050505</v>
      </c>
      <c r="AG27" s="124">
        <f>(B27 - AF27) / AF27</f>
        <v>-0.14326923076923079</v>
      </c>
      <c r="AH27" s="140"/>
      <c r="AI27" s="122">
        <f>AI30</f>
        <v>100</v>
      </c>
      <c r="AJ27" s="30">
        <f>AJ21</f>
        <v>1.7999999999999998</v>
      </c>
      <c r="AK27" s="156">
        <f>AK21</f>
        <v>180</v>
      </c>
      <c r="AL27" s="123">
        <f>AI27 * (1 + E27) / (1 - H27)</f>
        <v>109.09090909090909</v>
      </c>
      <c r="AM27" s="124">
        <f>(B27 - AL27) / AL27</f>
        <v>-0.17500000000000002</v>
      </c>
      <c r="AO27" s="122">
        <f>AO30</f>
        <v>100</v>
      </c>
      <c r="AP27" s="30">
        <f>AP24</f>
        <v>1.2000000000000002</v>
      </c>
      <c r="AQ27" s="156">
        <f>AQ24</f>
        <v>120</v>
      </c>
      <c r="AR27" s="123">
        <f>AO27 * (1 + F27) / (1 - H27)</f>
        <v>117.17171717171716</v>
      </c>
      <c r="AS27" s="124">
        <f>(B27 - AR27) / AR27</f>
        <v>-0.23189655172413787</v>
      </c>
      <c r="AU27" s="32">
        <f>AV27+AW27+AX27</f>
        <v>4.5</v>
      </c>
      <c r="AV27" s="32">
        <f>AD27</f>
        <v>1.5</v>
      </c>
      <c r="AW27" s="32">
        <f>AJ27</f>
        <v>1.7999999999999998</v>
      </c>
      <c r="AX27" s="32">
        <f>AP27</f>
        <v>1.2000000000000002</v>
      </c>
    </row>
    <row r="28" spans="1:50" ht="12.75" x14ac:dyDescent="0.2">
      <c r="A28" s="45"/>
      <c r="B28" s="52"/>
      <c r="C28" s="62"/>
      <c r="D28" s="124"/>
      <c r="E28" s="95"/>
      <c r="F28" s="95"/>
      <c r="G28" s="95"/>
      <c r="H28" s="95"/>
      <c r="I28" s="95"/>
      <c r="K28" s="146"/>
      <c r="L28" s="146"/>
      <c r="M28" s="147"/>
      <c r="N28" s="147"/>
      <c r="O28" s="148"/>
      <c r="P28" s="149"/>
      <c r="Q28" s="149"/>
      <c r="S28" s="45" t="str">
        <f>S32</f>
        <v>SellA</v>
      </c>
      <c r="T28" s="45" t="str">
        <f>T32</f>
        <v>Sell</v>
      </c>
      <c r="U28" s="130" t="s">
        <v>216</v>
      </c>
      <c r="V28" s="122">
        <f>V32</f>
        <v>110</v>
      </c>
      <c r="W28" s="30">
        <f>W32</f>
        <v>1.5</v>
      </c>
      <c r="X28" s="122">
        <f>X32</f>
        <v>163.35</v>
      </c>
      <c r="Y28" s="152" t="s">
        <v>34</v>
      </c>
      <c r="Z28" s="157">
        <f>Z32</f>
        <v>13.349999999999994</v>
      </c>
      <c r="AA28" s="210">
        <f>AA32</f>
        <v>8.8999999999999968E-2</v>
      </c>
      <c r="AB28" s="12"/>
      <c r="AC28" s="122"/>
      <c r="AD28" s="30"/>
      <c r="AE28" s="156"/>
      <c r="AF28" s="156"/>
      <c r="AG28" s="124"/>
      <c r="AH28" s="140"/>
      <c r="AI28" s="122"/>
      <c r="AJ28" s="30"/>
      <c r="AK28" s="156"/>
      <c r="AL28" s="156"/>
      <c r="AM28" s="124"/>
      <c r="AO28" s="157"/>
      <c r="AP28" s="158"/>
      <c r="AQ28" s="158"/>
      <c r="AR28" s="158"/>
      <c r="AS28" s="158"/>
      <c r="AU28" s="32"/>
      <c r="AV28" s="32"/>
      <c r="AW28" s="32"/>
      <c r="AX28" s="32"/>
    </row>
    <row r="29" spans="1:50" ht="12.75" x14ac:dyDescent="0.2">
      <c r="A29" s="45"/>
      <c r="B29" s="52"/>
      <c r="C29" s="62"/>
      <c r="D29" s="124"/>
      <c r="E29" s="95"/>
      <c r="F29" s="95"/>
      <c r="G29" s="95"/>
      <c r="H29" s="95"/>
      <c r="I29" s="95"/>
      <c r="K29" s="146"/>
      <c r="L29" s="146"/>
      <c r="M29" s="147"/>
      <c r="N29" s="147"/>
      <c r="O29" s="148"/>
      <c r="P29" s="149"/>
      <c r="Q29" s="149"/>
      <c r="S29" s="45" t="str">
        <f>S26</f>
        <v>BuyA</v>
      </c>
      <c r="T29" s="45" t="str">
        <f>T26</f>
        <v>Buy</v>
      </c>
      <c r="U29" s="130" t="s">
        <v>78</v>
      </c>
      <c r="V29" s="122">
        <f>V26</f>
        <v>100</v>
      </c>
      <c r="W29" s="30">
        <f>W26</f>
        <v>6</v>
      </c>
      <c r="X29" s="122">
        <f>X26</f>
        <v>600</v>
      </c>
      <c r="Y29" s="219">
        <f>Y26</f>
        <v>97.029702970297024</v>
      </c>
      <c r="Z29" s="152" t="s">
        <v>34</v>
      </c>
      <c r="AA29" s="152" t="s">
        <v>34</v>
      </c>
      <c r="AB29" s="12"/>
      <c r="AC29" s="122"/>
      <c r="AD29" s="30"/>
      <c r="AE29" s="156"/>
      <c r="AF29" s="156"/>
      <c r="AG29" s="124"/>
      <c r="AH29" s="140"/>
      <c r="AI29" s="122"/>
      <c r="AJ29" s="30"/>
      <c r="AK29" s="156"/>
      <c r="AL29" s="156"/>
      <c r="AM29" s="124"/>
      <c r="AO29" s="157"/>
      <c r="AP29" s="158"/>
      <c r="AQ29" s="158"/>
      <c r="AR29" s="158"/>
      <c r="AS29" s="158"/>
      <c r="AU29" s="32"/>
      <c r="AV29" s="32"/>
      <c r="AW29" s="32"/>
      <c r="AX29" s="32"/>
    </row>
    <row r="30" spans="1:50" ht="12.75" x14ac:dyDescent="0.2">
      <c r="A30" s="176" t="s">
        <v>213</v>
      </c>
      <c r="B30" s="40">
        <v>100</v>
      </c>
      <c r="C30" s="55">
        <v>0.02</v>
      </c>
      <c r="D30" s="129">
        <v>0.04</v>
      </c>
      <c r="E30" s="125">
        <v>0.08</v>
      </c>
      <c r="F30" s="125">
        <v>0.16</v>
      </c>
      <c r="G30" s="125">
        <v>0.01</v>
      </c>
      <c r="H30" s="125">
        <v>0.01</v>
      </c>
      <c r="I30" s="125"/>
      <c r="J30" s="35"/>
      <c r="K30" s="47" t="s">
        <v>75</v>
      </c>
      <c r="L30" s="47" t="s">
        <v>211</v>
      </c>
      <c r="M30" s="40">
        <v>100</v>
      </c>
      <c r="N30" s="40">
        <v>400</v>
      </c>
      <c r="O30" s="129">
        <v>0.4</v>
      </c>
      <c r="P30" s="125">
        <v>0.4</v>
      </c>
      <c r="Q30" s="125">
        <v>0.2</v>
      </c>
      <c r="R30" s="35"/>
      <c r="S30" s="222" t="s">
        <v>213</v>
      </c>
      <c r="T30" s="222" t="s">
        <v>75</v>
      </c>
      <c r="U30" s="222" t="s">
        <v>211</v>
      </c>
      <c r="V30" s="135">
        <f>M30</f>
        <v>100</v>
      </c>
      <c r="W30" s="136">
        <f>X30/V30</f>
        <v>4</v>
      </c>
      <c r="X30" s="135">
        <f>N30</f>
        <v>400</v>
      </c>
      <c r="Y30" s="126">
        <f>(V30/(1+G30))*(1-ABS(C30))</f>
        <v>97.029702970297024</v>
      </c>
      <c r="Z30" s="153" t="s">
        <v>34</v>
      </c>
      <c r="AA30" s="153" t="s">
        <v>34</v>
      </c>
      <c r="AB30" s="41"/>
      <c r="AC30" s="142">
        <f>AC21</f>
        <v>100</v>
      </c>
      <c r="AD30" s="141">
        <f>AD27+W30*O30</f>
        <v>3.1</v>
      </c>
      <c r="AE30" s="142">
        <f>AE27+(X30*O30)</f>
        <v>310</v>
      </c>
      <c r="AF30" s="142">
        <f>AC30 * (1 + D30) / (1 - H30)</f>
        <v>105.05050505050505</v>
      </c>
      <c r="AG30" s="143">
        <f>(B30 - AF30) / AF30</f>
        <v>-4.8076923076923087E-2</v>
      </c>
      <c r="AH30" s="141"/>
      <c r="AI30" s="142">
        <f>V30</f>
        <v>100</v>
      </c>
      <c r="AJ30" s="141">
        <f>AJ27+(W30*P30)</f>
        <v>3.4</v>
      </c>
      <c r="AK30" s="142">
        <f>AK27+(X30*O30)</f>
        <v>340</v>
      </c>
      <c r="AL30" s="142">
        <f>AI30 * (1 + E30) / (1 - H30)</f>
        <v>109.09090909090909</v>
      </c>
      <c r="AM30" s="143">
        <f>(B30 - AL30) / AL30</f>
        <v>-8.3333333333333356E-2</v>
      </c>
      <c r="AN30" s="47"/>
      <c r="AO30" s="142">
        <f>V30</f>
        <v>100</v>
      </c>
      <c r="AP30" s="141">
        <f>AP24+(W30*Q30)</f>
        <v>2</v>
      </c>
      <c r="AQ30" s="142">
        <f>AQ24+(X30*Q30)</f>
        <v>200</v>
      </c>
      <c r="AR30" s="142">
        <f>AO30 * (1 + F30) / (1 - H30)</f>
        <v>117.17171717171716</v>
      </c>
      <c r="AS30" s="129">
        <f>(B30 - AR30) / AR30</f>
        <v>-0.14655172413793097</v>
      </c>
      <c r="AT30" s="47"/>
      <c r="AU30" s="145">
        <f>AV30+AW30+AX30</f>
        <v>8.5</v>
      </c>
      <c r="AV30" s="145">
        <f>AD30</f>
        <v>3.1</v>
      </c>
      <c r="AW30" s="145">
        <f>AJ30</f>
        <v>3.4</v>
      </c>
      <c r="AX30" s="145">
        <f>AP30</f>
        <v>2</v>
      </c>
    </row>
    <row r="31" spans="1:50" ht="12.75" x14ac:dyDescent="0.2">
      <c r="A31" s="47"/>
      <c r="B31" s="40"/>
      <c r="C31" s="125"/>
      <c r="D31" s="129"/>
      <c r="E31" s="125"/>
      <c r="F31" s="125"/>
      <c r="G31" s="125"/>
      <c r="H31" s="125"/>
      <c r="I31" s="125"/>
      <c r="J31" s="35"/>
      <c r="K31" s="35"/>
      <c r="L31" s="35"/>
      <c r="M31" s="40"/>
      <c r="N31" s="40"/>
      <c r="O31" s="129"/>
      <c r="P31" s="125"/>
      <c r="Q31" s="125"/>
      <c r="R31" s="35"/>
      <c r="S31" s="222" t="s">
        <v>218</v>
      </c>
      <c r="T31" s="222" t="s">
        <v>73</v>
      </c>
      <c r="U31" s="222" t="s">
        <v>210</v>
      </c>
      <c r="V31" s="135">
        <f>V24</f>
        <v>95</v>
      </c>
      <c r="W31" s="136">
        <f>W24</f>
        <v>0.89999999999999991</v>
      </c>
      <c r="X31" s="135">
        <f>X24</f>
        <v>84.644999999999982</v>
      </c>
      <c r="Y31" s="223" t="str">
        <f>Y21</f>
        <v>-</v>
      </c>
      <c r="Z31" s="153">
        <f>Z24</f>
        <v>-5.355000000000004</v>
      </c>
      <c r="AA31" s="198">
        <f>AA24</f>
        <v>-5.9500000000000053E-2</v>
      </c>
      <c r="AB31" s="41"/>
      <c r="AC31" s="142"/>
      <c r="AD31" s="141"/>
      <c r="AE31" s="142"/>
      <c r="AF31" s="128"/>
      <c r="AG31" s="129"/>
      <c r="AH31" s="141"/>
      <c r="AI31" s="142"/>
      <c r="AJ31" s="141"/>
      <c r="AK31" s="142"/>
      <c r="AL31" s="142"/>
      <c r="AM31" s="129"/>
      <c r="AN31" s="47"/>
      <c r="AO31" s="127"/>
      <c r="AP31" s="144"/>
      <c r="AQ31" s="144"/>
      <c r="AR31" s="144"/>
      <c r="AS31" s="144"/>
      <c r="AT31" s="47"/>
      <c r="AU31" s="47"/>
      <c r="AV31" s="145"/>
      <c r="AW31" s="145"/>
      <c r="AX31" s="145"/>
    </row>
    <row r="32" spans="1:50" ht="12.75" x14ac:dyDescent="0.2">
      <c r="A32" s="47"/>
      <c r="B32" s="40"/>
      <c r="C32" s="125"/>
      <c r="D32" s="129"/>
      <c r="E32" s="125"/>
      <c r="F32" s="125"/>
      <c r="G32" s="125"/>
      <c r="H32" s="125"/>
      <c r="I32" s="125"/>
      <c r="J32" s="35"/>
      <c r="K32" s="35"/>
      <c r="L32" s="35"/>
      <c r="M32" s="40"/>
      <c r="N32" s="40"/>
      <c r="O32" s="129"/>
      <c r="P32" s="125"/>
      <c r="Q32" s="125"/>
      <c r="R32" s="35"/>
      <c r="S32" s="222" t="s">
        <v>215</v>
      </c>
      <c r="T32" s="222" t="s">
        <v>73</v>
      </c>
      <c r="U32" s="202" t="str">
        <f>U22</f>
        <v>Profit Target</v>
      </c>
      <c r="V32" s="135">
        <f>V22</f>
        <v>110</v>
      </c>
      <c r="W32" s="136">
        <f>W22</f>
        <v>1.5</v>
      </c>
      <c r="X32" s="135">
        <f>X22</f>
        <v>163.35</v>
      </c>
      <c r="Y32" s="223" t="str">
        <f>Y22</f>
        <v>-</v>
      </c>
      <c r="Z32" s="153">
        <f>Z22</f>
        <v>13.349999999999994</v>
      </c>
      <c r="AA32" s="198">
        <f>AA22</f>
        <v>8.8999999999999968E-2</v>
      </c>
      <c r="AB32" s="41"/>
      <c r="AC32" s="142"/>
      <c r="AD32" s="141"/>
      <c r="AE32" s="142"/>
      <c r="AF32" s="128"/>
      <c r="AG32" s="129"/>
      <c r="AH32" s="141"/>
      <c r="AI32" s="142"/>
      <c r="AJ32" s="141"/>
      <c r="AK32" s="142"/>
      <c r="AL32" s="142"/>
      <c r="AM32" s="55"/>
      <c r="AN32" s="47"/>
      <c r="AO32" s="142"/>
      <c r="AP32" s="141"/>
      <c r="AQ32" s="142"/>
      <c r="AR32" s="142"/>
      <c r="AS32" s="129"/>
      <c r="AT32" s="47"/>
      <c r="AU32" s="47"/>
      <c r="AV32" s="145"/>
      <c r="AW32" s="145"/>
      <c r="AX32" s="145"/>
    </row>
    <row r="33" spans="1:55" ht="12.75" x14ac:dyDescent="0.2">
      <c r="A33" s="47"/>
      <c r="B33" s="40"/>
      <c r="C33" s="55"/>
      <c r="D33" s="129"/>
      <c r="E33" s="125"/>
      <c r="F33" s="125"/>
      <c r="G33" s="125"/>
      <c r="H33" s="125"/>
      <c r="I33" s="125"/>
      <c r="J33" s="35"/>
      <c r="K33" s="165"/>
      <c r="L33" s="165"/>
      <c r="M33" s="166"/>
      <c r="N33" s="166"/>
      <c r="O33" s="167"/>
      <c r="P33" s="168"/>
      <c r="Q33" s="168"/>
      <c r="R33" s="35"/>
      <c r="S33" s="222" t="s">
        <v>212</v>
      </c>
      <c r="T33" s="222" t="s">
        <v>75</v>
      </c>
      <c r="U33" s="202" t="str">
        <f>U23</f>
        <v>Initial</v>
      </c>
      <c r="V33" s="135">
        <f>V23</f>
        <v>100</v>
      </c>
      <c r="W33" s="136">
        <f>W23</f>
        <v>6</v>
      </c>
      <c r="X33" s="135">
        <f>X23</f>
        <v>600</v>
      </c>
      <c r="Y33" s="135">
        <f>Y23</f>
        <v>97.029702970297024</v>
      </c>
      <c r="Z33" s="153" t="str">
        <f>Z23</f>
        <v>-</v>
      </c>
      <c r="AA33" s="153" t="str">
        <f>AA23</f>
        <v>-</v>
      </c>
      <c r="AB33" s="41"/>
      <c r="AC33" s="126"/>
      <c r="AD33" s="43"/>
      <c r="AE33" s="128"/>
      <c r="AF33" s="128"/>
      <c r="AG33" s="129"/>
      <c r="AH33" s="169"/>
      <c r="AI33" s="126"/>
      <c r="AJ33" s="43"/>
      <c r="AK33" s="128"/>
      <c r="AL33" s="128"/>
      <c r="AM33" s="129"/>
      <c r="AN33" s="35"/>
      <c r="AO33" s="127"/>
      <c r="AP33" s="144"/>
      <c r="AQ33" s="144"/>
      <c r="AR33" s="144"/>
      <c r="AS33" s="144"/>
      <c r="AT33" s="35"/>
      <c r="AU33" s="39"/>
      <c r="AV33" s="39"/>
      <c r="AW33" s="39"/>
      <c r="AX33" s="39"/>
    </row>
    <row r="34" spans="1:55" ht="12.75" x14ac:dyDescent="0.2">
      <c r="A34" s="150"/>
      <c r="B34" s="33"/>
      <c r="C34" s="67"/>
      <c r="D34" s="124"/>
      <c r="E34" s="95"/>
      <c r="F34" s="95"/>
      <c r="G34" s="95"/>
      <c r="H34" s="95"/>
      <c r="I34" s="95"/>
      <c r="M34" s="93"/>
      <c r="N34" s="93"/>
      <c r="O34" s="124"/>
      <c r="P34" s="95"/>
      <c r="Q34" s="95"/>
      <c r="S34" s="12"/>
      <c r="T34" s="12"/>
      <c r="U34" s="12"/>
      <c r="V34" s="137"/>
      <c r="W34" s="138"/>
      <c r="X34" s="137"/>
      <c r="Y34" s="137"/>
      <c r="Z34" s="12"/>
      <c r="AA34" s="12"/>
      <c r="AB34" s="12"/>
      <c r="AC34" s="139"/>
      <c r="AD34" s="139"/>
      <c r="AE34" s="139"/>
      <c r="AF34" s="139"/>
      <c r="AG34" s="140"/>
      <c r="AH34" s="140"/>
      <c r="AI34" s="139"/>
      <c r="AJ34" s="139"/>
      <c r="AK34" s="139"/>
      <c r="AL34" s="139"/>
      <c r="AM34" s="140"/>
      <c r="AO34" s="139"/>
      <c r="AP34" s="139"/>
      <c r="AQ34" s="139"/>
      <c r="AR34" s="139"/>
      <c r="AS34" s="140"/>
    </row>
    <row r="35" spans="1:55" ht="25.5" x14ac:dyDescent="0.2">
      <c r="A35" s="194" t="s">
        <v>230</v>
      </c>
      <c r="B35" s="33"/>
      <c r="C35" s="67"/>
      <c r="D35" s="124"/>
      <c r="E35" s="95"/>
      <c r="F35" s="95"/>
      <c r="G35" s="95"/>
      <c r="H35" s="95"/>
      <c r="I35" s="95"/>
      <c r="M35" s="93"/>
      <c r="N35" s="93"/>
      <c r="O35" s="124"/>
      <c r="P35" s="95"/>
      <c r="Q35" s="95"/>
      <c r="S35" s="12"/>
      <c r="T35" s="12"/>
      <c r="U35" s="12"/>
      <c r="V35" s="137"/>
      <c r="W35" s="138"/>
      <c r="X35" s="137"/>
      <c r="Y35" s="137"/>
      <c r="Z35" s="12"/>
      <c r="AA35" s="12"/>
      <c r="AB35" s="12"/>
      <c r="AC35" s="139"/>
      <c r="AD35" s="139"/>
      <c r="AE35" s="139"/>
      <c r="AF35" s="139"/>
      <c r="AG35" s="140"/>
      <c r="AH35" s="140"/>
      <c r="AI35" s="139"/>
      <c r="AJ35" s="139"/>
      <c r="AK35" s="139"/>
      <c r="AL35" s="139"/>
      <c r="AM35" s="140"/>
      <c r="AO35" s="139"/>
      <c r="AP35" s="139"/>
      <c r="AQ35" s="139"/>
      <c r="AR35" s="139"/>
      <c r="AS35" s="140"/>
    </row>
    <row r="36" spans="1:55" ht="12.75" x14ac:dyDescent="0.2">
      <c r="B36" s="45" t="s">
        <v>203</v>
      </c>
      <c r="C36" s="109"/>
      <c r="K36" s="45" t="s">
        <v>201</v>
      </c>
      <c r="S36" s="45" t="s">
        <v>223</v>
      </c>
      <c r="U36" s="12"/>
      <c r="V36" s="12"/>
      <c r="W36" s="12"/>
      <c r="X36" s="12"/>
      <c r="Y36" s="12"/>
      <c r="Z36" s="12"/>
      <c r="AA36" s="12"/>
      <c r="AB36" s="12"/>
      <c r="AC36" s="130" t="s">
        <v>204</v>
      </c>
      <c r="AD36" s="46"/>
      <c r="AE36" s="46"/>
      <c r="AF36" s="46"/>
      <c r="AG36" s="46"/>
      <c r="AH36" s="46"/>
      <c r="AI36" s="130" t="s">
        <v>206</v>
      </c>
      <c r="AJ36" s="46"/>
      <c r="AK36" s="46"/>
      <c r="AL36" s="46"/>
      <c r="AM36" s="46"/>
      <c r="AN36" s="45"/>
      <c r="AO36" s="130" t="s">
        <v>207</v>
      </c>
      <c r="AP36" s="12"/>
      <c r="AQ36" s="12"/>
      <c r="AR36" s="12"/>
      <c r="AS36" s="12"/>
      <c r="AU36" s="130" t="s">
        <v>205</v>
      </c>
    </row>
    <row r="37" spans="1:55" ht="12.75" x14ac:dyDescent="0.2">
      <c r="A37" s="150"/>
      <c r="B37" s="57" t="s">
        <v>208</v>
      </c>
      <c r="C37" s="28" t="s">
        <v>190</v>
      </c>
      <c r="D37" s="57" t="s">
        <v>191</v>
      </c>
      <c r="E37" s="28" t="s">
        <v>192</v>
      </c>
      <c r="F37" s="28" t="s">
        <v>193</v>
      </c>
      <c r="G37" s="28" t="s">
        <v>286</v>
      </c>
      <c r="H37" s="57" t="s">
        <v>285</v>
      </c>
      <c r="I37" s="57"/>
      <c r="J37" s="101"/>
      <c r="K37" s="28" t="s">
        <v>76</v>
      </c>
      <c r="L37" s="28" t="s">
        <v>4</v>
      </c>
      <c r="M37" s="57" t="s">
        <v>0</v>
      </c>
      <c r="N37" s="57" t="s">
        <v>1</v>
      </c>
      <c r="O37" s="28" t="s">
        <v>191</v>
      </c>
      <c r="P37" s="28" t="s">
        <v>192</v>
      </c>
      <c r="Q37" s="28" t="s">
        <v>193</v>
      </c>
      <c r="S37" s="28" t="s">
        <v>229</v>
      </c>
      <c r="T37" s="28" t="s">
        <v>0</v>
      </c>
      <c r="U37" s="28" t="s">
        <v>226</v>
      </c>
      <c r="V37" s="57" t="s">
        <v>227</v>
      </c>
      <c r="W37" s="28" t="s">
        <v>225</v>
      </c>
      <c r="X37" s="57" t="s">
        <v>228</v>
      </c>
      <c r="Y37" s="57"/>
      <c r="Z37" s="57"/>
      <c r="AA37" s="28"/>
      <c r="AB37" s="12"/>
      <c r="AC37" s="28" t="s">
        <v>0</v>
      </c>
      <c r="AD37" s="28" t="s">
        <v>196</v>
      </c>
      <c r="AE37" s="57" t="s">
        <v>1</v>
      </c>
      <c r="AF37" s="57" t="s">
        <v>197</v>
      </c>
      <c r="AG37" s="57" t="s">
        <v>228</v>
      </c>
      <c r="AH37" s="60"/>
      <c r="AI37" s="28" t="s">
        <v>0</v>
      </c>
      <c r="AJ37" s="28" t="s">
        <v>196</v>
      </c>
      <c r="AK37" s="57" t="s">
        <v>1</v>
      </c>
      <c r="AL37" s="57" t="s">
        <v>197</v>
      </c>
      <c r="AM37" s="57" t="s">
        <v>228</v>
      </c>
      <c r="AO37" s="28" t="s">
        <v>0</v>
      </c>
      <c r="AP37" s="28" t="s">
        <v>196</v>
      </c>
      <c r="AQ37" s="57" t="s">
        <v>1</v>
      </c>
      <c r="AR37" s="57" t="s">
        <v>197</v>
      </c>
      <c r="AS37" s="57" t="s">
        <v>228</v>
      </c>
      <c r="AU37" s="57" t="s">
        <v>199</v>
      </c>
      <c r="AV37" s="28" t="s">
        <v>191</v>
      </c>
      <c r="AW37" s="28" t="s">
        <v>192</v>
      </c>
      <c r="AX37" s="28" t="s">
        <v>193</v>
      </c>
    </row>
    <row r="38" spans="1:55" ht="12.75" x14ac:dyDescent="0.2">
      <c r="A38" s="150" t="s">
        <v>212</v>
      </c>
      <c r="B38" s="52">
        <v>100</v>
      </c>
      <c r="C38" s="54">
        <v>0.02</v>
      </c>
      <c r="D38" s="124">
        <v>0.04</v>
      </c>
      <c r="E38" s="95">
        <v>0.08</v>
      </c>
      <c r="F38" s="95">
        <v>0.16</v>
      </c>
      <c r="G38" s="95"/>
      <c r="H38" s="95">
        <v>5.0000000000000001E-3</v>
      </c>
      <c r="I38" s="95"/>
      <c r="J38" s="95"/>
      <c r="K38" s="133" t="s">
        <v>75</v>
      </c>
      <c r="L38" s="133" t="s">
        <v>78</v>
      </c>
      <c r="M38" s="52">
        <v>100</v>
      </c>
      <c r="N38" s="52">
        <v>600</v>
      </c>
      <c r="O38" s="124">
        <v>0.5</v>
      </c>
      <c r="P38" s="95">
        <v>0.3</v>
      </c>
      <c r="Q38" s="95">
        <v>0.2</v>
      </c>
      <c r="S38" s="45" t="s">
        <v>224</v>
      </c>
      <c r="T38" s="179">
        <f>M38</f>
        <v>100</v>
      </c>
      <c r="U38" s="152" t="s">
        <v>34</v>
      </c>
      <c r="V38" s="152" t="s">
        <v>34</v>
      </c>
      <c r="W38" s="180">
        <v>0</v>
      </c>
      <c r="X38" s="189">
        <f>AG38</f>
        <v>-4.3269230769230817E-2</v>
      </c>
      <c r="Y38" s="122"/>
      <c r="Z38" s="152"/>
      <c r="AA38" s="152"/>
      <c r="AB38" s="12"/>
      <c r="AC38" s="122">
        <f>M38</f>
        <v>100</v>
      </c>
      <c r="AD38" s="30">
        <f>N38/M38*O38</f>
        <v>3</v>
      </c>
      <c r="AE38" s="123">
        <f>N38*O38</f>
        <v>300</v>
      </c>
      <c r="AF38" s="123">
        <f>AC38 * (1 + D38) / (1 - H38)</f>
        <v>104.52261306532664</v>
      </c>
      <c r="AG38" s="124">
        <f>(B38 - AF38) / AF38</f>
        <v>-4.3269230769230817E-2</v>
      </c>
      <c r="AH38" s="30"/>
      <c r="AI38" s="122">
        <f>T38</f>
        <v>100</v>
      </c>
      <c r="AJ38" s="30">
        <f>N38/M38*P38</f>
        <v>1.7999999999999998</v>
      </c>
      <c r="AK38" s="123">
        <f>N38*O38</f>
        <v>300</v>
      </c>
      <c r="AL38" s="123">
        <f>AI38 * (1 + E38) / (1 - H38)</f>
        <v>108.5427135678392</v>
      </c>
      <c r="AM38" s="124">
        <f>(B38 - AL38) / AL38</f>
        <v>-7.8703703703703748E-2</v>
      </c>
      <c r="AO38" s="122">
        <f>M38</f>
        <v>100</v>
      </c>
      <c r="AP38" s="30">
        <f>N38/M38*Q38</f>
        <v>1.2000000000000002</v>
      </c>
      <c r="AQ38" s="123">
        <f>N38*Q38</f>
        <v>120</v>
      </c>
      <c r="AR38" s="123">
        <f>AO38 * (1 + F38) / (1 - H38)</f>
        <v>116.58291457286431</v>
      </c>
      <c r="AS38" s="124">
        <f>(B38 - AR38) / AR38</f>
        <v>-0.14224137931034475</v>
      </c>
      <c r="AU38" s="32">
        <f>AD38+AJ38+AP38</f>
        <v>6</v>
      </c>
      <c r="AV38" s="32">
        <f>AD38</f>
        <v>3</v>
      </c>
      <c r="AW38" s="32">
        <f>AJ38</f>
        <v>1.7999999999999998</v>
      </c>
      <c r="AX38" s="32">
        <f>AP38</f>
        <v>1.2000000000000002</v>
      </c>
    </row>
    <row r="39" spans="1:55" ht="12.75" x14ac:dyDescent="0.2">
      <c r="A39" s="181" t="s">
        <v>231</v>
      </c>
      <c r="B39" s="40">
        <v>104</v>
      </c>
      <c r="C39" s="55">
        <v>0.02</v>
      </c>
      <c r="D39" s="129">
        <v>0.04</v>
      </c>
      <c r="E39" s="125">
        <v>0.08</v>
      </c>
      <c r="F39" s="125">
        <v>0.16</v>
      </c>
      <c r="G39" s="125"/>
      <c r="H39" s="125">
        <v>5.0000000000000001E-3</v>
      </c>
      <c r="I39" s="125"/>
      <c r="J39" s="125"/>
      <c r="K39" s="134"/>
      <c r="L39" s="134"/>
      <c r="M39" s="40"/>
      <c r="N39" s="40"/>
      <c r="O39" s="129"/>
      <c r="P39" s="125"/>
      <c r="Q39" s="125"/>
      <c r="R39" s="35"/>
      <c r="S39" s="47" t="s">
        <v>224</v>
      </c>
      <c r="T39" s="182">
        <f>B39</f>
        <v>104</v>
      </c>
      <c r="U39" s="153" t="s">
        <v>34</v>
      </c>
      <c r="V39" s="153" t="s">
        <v>34</v>
      </c>
      <c r="W39" s="183">
        <v>0</v>
      </c>
      <c r="X39" s="188">
        <f>AG39</f>
        <v>-5.0000000000000469E-3</v>
      </c>
      <c r="Y39" s="126"/>
      <c r="Z39" s="153"/>
      <c r="AA39" s="153"/>
      <c r="AB39" s="41"/>
      <c r="AC39" s="126">
        <f t="shared" ref="AC39:AE42" si="3">AC38</f>
        <v>100</v>
      </c>
      <c r="AD39" s="43">
        <f t="shared" si="3"/>
        <v>3</v>
      </c>
      <c r="AE39" s="128">
        <f t="shared" si="3"/>
        <v>300</v>
      </c>
      <c r="AF39" s="128">
        <f>AC39 * (1 + D39) / (1 - H39)</f>
        <v>104.52261306532664</v>
      </c>
      <c r="AG39" s="187">
        <f>(B39 - AF39) / AF39</f>
        <v>-5.0000000000000469E-3</v>
      </c>
      <c r="AH39" s="43"/>
      <c r="AI39" s="126">
        <f t="shared" ref="AI39:AK42" si="4">AI38</f>
        <v>100</v>
      </c>
      <c r="AJ39" s="43">
        <f t="shared" si="4"/>
        <v>1.7999999999999998</v>
      </c>
      <c r="AK39" s="128">
        <f t="shared" si="4"/>
        <v>300</v>
      </c>
      <c r="AL39" s="128">
        <f>AI39 * (1 + E39) / (1 - H39)</f>
        <v>108.5427135678392</v>
      </c>
      <c r="AM39" s="129">
        <f>(B39 - AL39) / AL39</f>
        <v>-4.185185185185189E-2</v>
      </c>
      <c r="AN39" s="35"/>
      <c r="AO39" s="126">
        <f t="shared" ref="AO39:AQ42" si="5">AO38</f>
        <v>100</v>
      </c>
      <c r="AP39" s="43">
        <f t="shared" si="5"/>
        <v>1.2000000000000002</v>
      </c>
      <c r="AQ39" s="128">
        <f t="shared" si="5"/>
        <v>120</v>
      </c>
      <c r="AR39" s="128">
        <f>AO39 * (1 + F39) / (1 - H39)</f>
        <v>116.58291457286431</v>
      </c>
      <c r="AS39" s="129">
        <f>(B39 - AR39) / AR39</f>
        <v>-0.10793103448275854</v>
      </c>
      <c r="AT39" s="35"/>
      <c r="AU39" s="39">
        <f>AD39+AJ39+AP39</f>
        <v>6</v>
      </c>
      <c r="AV39" s="39">
        <f>AD39</f>
        <v>3</v>
      </c>
      <c r="AW39" s="39">
        <f>AJ39</f>
        <v>1.7999999999999998</v>
      </c>
      <c r="AX39" s="39">
        <f>AP39</f>
        <v>1.2000000000000002</v>
      </c>
    </row>
    <row r="40" spans="1:55" ht="12.75" x14ac:dyDescent="0.2">
      <c r="A40" s="150" t="s">
        <v>232</v>
      </c>
      <c r="B40" s="52">
        <v>104.7</v>
      </c>
      <c r="C40" s="54">
        <v>0.02</v>
      </c>
      <c r="D40" s="124">
        <v>0.04</v>
      </c>
      <c r="E40" s="95">
        <v>0.08</v>
      </c>
      <c r="F40" s="95">
        <v>0.16</v>
      </c>
      <c r="G40" s="95"/>
      <c r="H40" s="95">
        <v>5.0000000000000001E-3</v>
      </c>
      <c r="I40" s="95"/>
      <c r="J40" s="95"/>
      <c r="K40" s="133"/>
      <c r="L40" s="133"/>
      <c r="M40" s="52"/>
      <c r="N40" s="52"/>
      <c r="O40" s="124"/>
      <c r="P40" s="95"/>
      <c r="Q40" s="95"/>
      <c r="S40" s="45" t="s">
        <v>224</v>
      </c>
      <c r="T40" s="179">
        <f>B40</f>
        <v>104.7</v>
      </c>
      <c r="U40" s="152" t="s">
        <v>34</v>
      </c>
      <c r="V40" s="152" t="s">
        <v>34</v>
      </c>
      <c r="W40" s="180">
        <v>0</v>
      </c>
      <c r="X40" s="184">
        <f>AG40</f>
        <v>1.6971153846153646E-3</v>
      </c>
      <c r="Y40" s="122"/>
      <c r="Z40" s="152"/>
      <c r="AA40" s="152"/>
      <c r="AB40" s="12"/>
      <c r="AC40" s="122">
        <f t="shared" si="3"/>
        <v>100</v>
      </c>
      <c r="AD40" s="30">
        <f t="shared" si="3"/>
        <v>3</v>
      </c>
      <c r="AE40" s="156">
        <f t="shared" si="3"/>
        <v>300</v>
      </c>
      <c r="AF40" s="156">
        <f>AC40 * (1 + D40) / (1 - H40)</f>
        <v>104.52261306532664</v>
      </c>
      <c r="AG40" s="185">
        <f>(B40 - AF40) / AF40</f>
        <v>1.6971153846153646E-3</v>
      </c>
      <c r="AH40" s="30"/>
      <c r="AI40" s="122">
        <f t="shared" si="4"/>
        <v>100</v>
      </c>
      <c r="AJ40" s="30">
        <f t="shared" si="4"/>
        <v>1.7999999999999998</v>
      </c>
      <c r="AK40" s="156">
        <f t="shared" si="4"/>
        <v>300</v>
      </c>
      <c r="AL40" s="156">
        <f>AI40 * (1 + E40) / (1 - H40)</f>
        <v>108.5427135678392</v>
      </c>
      <c r="AM40" s="124">
        <f>(B40 - AL40) / AL40</f>
        <v>-3.540277777777779E-2</v>
      </c>
      <c r="AO40" s="122">
        <f t="shared" si="5"/>
        <v>100</v>
      </c>
      <c r="AP40" s="30">
        <f t="shared" si="5"/>
        <v>1.2000000000000002</v>
      </c>
      <c r="AQ40" s="156">
        <f t="shared" si="5"/>
        <v>120</v>
      </c>
      <c r="AR40" s="156">
        <f>AO40 * (1 + F40) / (1 - H40)</f>
        <v>116.58291457286431</v>
      </c>
      <c r="AS40" s="124">
        <f>(B40 - AR40) / AR40</f>
        <v>-0.10192672413793093</v>
      </c>
      <c r="AU40" s="32">
        <f>AD40+AJ40+AP40</f>
        <v>6</v>
      </c>
      <c r="AV40" s="32">
        <f>AD40</f>
        <v>3</v>
      </c>
      <c r="AW40" s="32">
        <f>AJ40</f>
        <v>1.7999999999999998</v>
      </c>
      <c r="AX40" s="32">
        <f>AP40</f>
        <v>1.2000000000000002</v>
      </c>
    </row>
    <row r="41" spans="1:55" ht="12.75" x14ac:dyDescent="0.2">
      <c r="A41" s="181" t="s">
        <v>233</v>
      </c>
      <c r="B41" s="40">
        <v>108.5</v>
      </c>
      <c r="C41" s="55">
        <v>0.02</v>
      </c>
      <c r="D41" s="129">
        <v>0.04</v>
      </c>
      <c r="E41" s="125">
        <v>0.08</v>
      </c>
      <c r="F41" s="125">
        <v>0.16</v>
      </c>
      <c r="G41" s="125"/>
      <c r="H41" s="125">
        <v>5.0000000000000001E-3</v>
      </c>
      <c r="I41" s="125"/>
      <c r="J41" s="125"/>
      <c r="K41" s="134"/>
      <c r="L41" s="134"/>
      <c r="M41" s="40"/>
      <c r="N41" s="40"/>
      <c r="O41" s="129"/>
      <c r="P41" s="125"/>
      <c r="Q41" s="125"/>
      <c r="R41" s="35"/>
      <c r="S41" s="47" t="s">
        <v>224</v>
      </c>
      <c r="T41" s="182">
        <f>B41</f>
        <v>108.5</v>
      </c>
      <c r="U41" s="153" t="s">
        <v>34</v>
      </c>
      <c r="V41" s="153" t="s">
        <v>34</v>
      </c>
      <c r="W41" s="183">
        <v>0</v>
      </c>
      <c r="X41" s="186">
        <f>AG41</f>
        <v>3.8052884615384565E-2</v>
      </c>
      <c r="Y41" s="126"/>
      <c r="Z41" s="153"/>
      <c r="AA41" s="153"/>
      <c r="AB41" s="41"/>
      <c r="AC41" s="126">
        <f t="shared" si="3"/>
        <v>100</v>
      </c>
      <c r="AD41" s="43">
        <f t="shared" si="3"/>
        <v>3</v>
      </c>
      <c r="AE41" s="128">
        <f t="shared" si="3"/>
        <v>300</v>
      </c>
      <c r="AF41" s="128">
        <f>AC41 * (1 + D41) / (1 - H41)</f>
        <v>104.52261306532664</v>
      </c>
      <c r="AG41" s="155">
        <f>(B41 - AF41) / AF41</f>
        <v>3.8052884615384565E-2</v>
      </c>
      <c r="AH41" s="43"/>
      <c r="AI41" s="126">
        <f t="shared" si="4"/>
        <v>100</v>
      </c>
      <c r="AJ41" s="43">
        <f t="shared" si="4"/>
        <v>1.7999999999999998</v>
      </c>
      <c r="AK41" s="128">
        <f t="shared" si="4"/>
        <v>300</v>
      </c>
      <c r="AL41" s="128">
        <f>AI41 * (1 + E41) / (1 - H41)</f>
        <v>108.5427135678392</v>
      </c>
      <c r="AM41" s="187">
        <f>(B41 - AL41) / AL41</f>
        <v>-3.9351851851856059E-4</v>
      </c>
      <c r="AN41" s="35"/>
      <c r="AO41" s="126">
        <f t="shared" si="5"/>
        <v>100</v>
      </c>
      <c r="AP41" s="43">
        <f t="shared" si="5"/>
        <v>1.2000000000000002</v>
      </c>
      <c r="AQ41" s="128">
        <f t="shared" si="5"/>
        <v>120</v>
      </c>
      <c r="AR41" s="128">
        <f>AO41 * (1 + F41) / (1 - H41)</f>
        <v>116.58291457286431</v>
      </c>
      <c r="AS41" s="129">
        <f>(B41 - AR41) / AR41</f>
        <v>-6.9331896551724059E-2</v>
      </c>
      <c r="AT41" s="35"/>
      <c r="AU41" s="39">
        <f>AD41+AJ41+AP41</f>
        <v>6</v>
      </c>
      <c r="AV41" s="39">
        <f>AD41</f>
        <v>3</v>
      </c>
      <c r="AW41" s="39">
        <f>AJ41</f>
        <v>1.7999999999999998</v>
      </c>
      <c r="AX41" s="39">
        <f>AP41</f>
        <v>1.2000000000000002</v>
      </c>
    </row>
    <row r="42" spans="1:55" ht="12.75" x14ac:dyDescent="0.2">
      <c r="A42" s="150" t="s">
        <v>215</v>
      </c>
      <c r="B42" s="52">
        <v>108.5</v>
      </c>
      <c r="C42" s="62">
        <v>0.02</v>
      </c>
      <c r="D42" s="124">
        <v>0.04</v>
      </c>
      <c r="E42" s="95">
        <v>0.08</v>
      </c>
      <c r="F42" s="95">
        <v>0.16</v>
      </c>
      <c r="G42" s="95"/>
      <c r="H42" s="95">
        <v>5.0000000000000001E-3</v>
      </c>
      <c r="I42" s="95"/>
      <c r="J42" s="95"/>
      <c r="K42" s="45" t="s">
        <v>73</v>
      </c>
      <c r="L42" s="45" t="s">
        <v>216</v>
      </c>
      <c r="M42" s="52">
        <v>108.5</v>
      </c>
      <c r="N42" s="152" t="s">
        <v>34</v>
      </c>
      <c r="O42" s="124">
        <v>1</v>
      </c>
      <c r="P42" s="152" t="s">
        <v>34</v>
      </c>
      <c r="Q42" s="152" t="s">
        <v>34</v>
      </c>
      <c r="S42" s="45" t="s">
        <v>224</v>
      </c>
      <c r="T42" s="179">
        <f>B42</f>
        <v>108.5</v>
      </c>
      <c r="U42" s="152" t="s">
        <v>34</v>
      </c>
      <c r="V42" s="152" t="s">
        <v>34</v>
      </c>
      <c r="W42" s="180">
        <v>0</v>
      </c>
      <c r="X42" s="191">
        <f>AM42</f>
        <v>-3.9351851851856059E-4</v>
      </c>
      <c r="Y42" s="122"/>
      <c r="Z42" s="152"/>
      <c r="AA42" s="152"/>
      <c r="AB42" s="12"/>
      <c r="AC42" s="161">
        <f t="shared" si="3"/>
        <v>100</v>
      </c>
      <c r="AD42" s="162">
        <f t="shared" si="3"/>
        <v>3</v>
      </c>
      <c r="AE42" s="192">
        <f t="shared" si="3"/>
        <v>300</v>
      </c>
      <c r="AF42" s="192">
        <f>AC42 * (1 + D42) / (1 - H42)</f>
        <v>104.52261306532664</v>
      </c>
      <c r="AG42" s="193">
        <f>(B42 - AF42) / AF42</f>
        <v>3.8052884615384565E-2</v>
      </c>
      <c r="AH42" s="30"/>
      <c r="AI42" s="122">
        <f t="shared" si="4"/>
        <v>100</v>
      </c>
      <c r="AJ42" s="30">
        <f t="shared" si="4"/>
        <v>1.7999999999999998</v>
      </c>
      <c r="AK42" s="156">
        <f t="shared" si="4"/>
        <v>300</v>
      </c>
      <c r="AL42" s="156">
        <f>AI42 * (1 + E42) / (1 - H42)</f>
        <v>108.5427135678392</v>
      </c>
      <c r="AM42" s="190">
        <f>(B42 - AL42) / AL42</f>
        <v>-3.9351851851856059E-4</v>
      </c>
      <c r="AO42" s="122">
        <f t="shared" si="5"/>
        <v>100</v>
      </c>
      <c r="AP42" s="30">
        <f t="shared" si="5"/>
        <v>1.2000000000000002</v>
      </c>
      <c r="AQ42" s="156">
        <f t="shared" si="5"/>
        <v>120</v>
      </c>
      <c r="AR42" s="156">
        <f>AO42 * (1 + F42) / (1 - H42)</f>
        <v>116.58291457286431</v>
      </c>
      <c r="AS42" s="124">
        <f>(B42 - AR42) / AR42</f>
        <v>-6.9331896551724059E-2</v>
      </c>
      <c r="AU42" s="32">
        <f>AV42+AW42+AX42</f>
        <v>3</v>
      </c>
      <c r="AV42" s="32">
        <v>0</v>
      </c>
      <c r="AW42" s="32">
        <f>AJ42</f>
        <v>1.7999999999999998</v>
      </c>
      <c r="AX42" s="32">
        <f>AP42</f>
        <v>1.2000000000000002</v>
      </c>
    </row>
    <row r="43" spans="1:55" ht="12.75" x14ac:dyDescent="0.2">
      <c r="A43" s="150"/>
      <c r="B43" s="52"/>
      <c r="C43" s="54"/>
      <c r="D43" s="124"/>
      <c r="E43" s="95"/>
      <c r="F43" s="95"/>
      <c r="G43" s="95"/>
      <c r="H43" s="95"/>
      <c r="I43" s="95"/>
      <c r="J43" s="95"/>
      <c r="K43" s="133" t="s">
        <v>75</v>
      </c>
      <c r="L43" s="133" t="s">
        <v>78</v>
      </c>
      <c r="M43" s="52">
        <v>100</v>
      </c>
      <c r="N43" s="52">
        <v>600</v>
      </c>
      <c r="O43" s="124">
        <v>0.5</v>
      </c>
      <c r="P43" s="95">
        <v>0.3</v>
      </c>
      <c r="Q43" s="95">
        <v>0.2</v>
      </c>
      <c r="S43" s="45"/>
      <c r="T43" s="45"/>
      <c r="U43" s="131"/>
      <c r="V43" s="122"/>
      <c r="W43" s="30"/>
      <c r="X43" s="122"/>
      <c r="Y43" s="122"/>
      <c r="Z43" s="152"/>
      <c r="AA43" s="152"/>
      <c r="AB43" s="12"/>
      <c r="AC43" s="122"/>
      <c r="AD43" s="30"/>
      <c r="AE43" s="123"/>
      <c r="AF43" s="123"/>
      <c r="AG43" s="124"/>
      <c r="AH43" s="30"/>
      <c r="AI43" s="122"/>
      <c r="AJ43" s="30"/>
      <c r="AK43" s="123"/>
      <c r="AL43" s="123"/>
      <c r="AM43" s="124"/>
      <c r="AO43" s="122"/>
      <c r="AP43" s="30"/>
      <c r="AQ43" s="123"/>
      <c r="AR43" s="123"/>
      <c r="AS43" s="124"/>
      <c r="AU43" s="32"/>
      <c r="AV43" s="32"/>
      <c r="AW43" s="32"/>
      <c r="AX43" s="32"/>
    </row>
    <row r="44" spans="1:55" ht="12.75" x14ac:dyDescent="0.2">
      <c r="A44" s="150"/>
      <c r="B44" s="52"/>
      <c r="C44" s="54"/>
      <c r="D44" s="124"/>
      <c r="E44" s="95"/>
      <c r="F44" s="95"/>
      <c r="G44" s="95"/>
      <c r="H44" s="95"/>
      <c r="I44" s="95"/>
      <c r="J44" s="95"/>
      <c r="K44" s="133"/>
      <c r="L44" s="133"/>
      <c r="M44" s="52"/>
      <c r="N44" s="52"/>
      <c r="O44" s="124"/>
      <c r="P44" s="95"/>
      <c r="Q44" s="95"/>
      <c r="S44" s="45"/>
      <c r="T44" s="45"/>
      <c r="U44" s="131"/>
      <c r="V44" s="122"/>
      <c r="W44" s="30"/>
      <c r="X44" s="122"/>
      <c r="Y44" s="122"/>
      <c r="Z44" s="152"/>
      <c r="AA44" s="152"/>
      <c r="AB44" s="12"/>
      <c r="AC44" s="122"/>
      <c r="AD44" s="30"/>
      <c r="AE44" s="123"/>
      <c r="AF44" s="123"/>
      <c r="AG44" s="124"/>
      <c r="AH44" s="30"/>
      <c r="AI44" s="122"/>
      <c r="AJ44" s="30"/>
      <c r="AK44" s="123"/>
      <c r="AL44" s="123"/>
      <c r="AM44" s="124"/>
      <c r="AO44" s="122"/>
      <c r="AP44" s="30"/>
      <c r="AQ44" s="123"/>
      <c r="AR44" s="123"/>
      <c r="AS44" s="124"/>
      <c r="AU44" s="32"/>
      <c r="AV44" s="32"/>
      <c r="AW44" s="32"/>
      <c r="AX44" s="32"/>
    </row>
    <row r="45" spans="1:55" ht="12.75" x14ac:dyDescent="0.2">
      <c r="A45" s="207"/>
      <c r="B45" s="52"/>
      <c r="C45" s="54"/>
      <c r="D45" s="124"/>
      <c r="E45" s="95"/>
      <c r="F45" s="95"/>
      <c r="G45" s="95"/>
      <c r="H45" s="95"/>
      <c r="I45" s="95"/>
      <c r="J45" s="95"/>
      <c r="K45" s="133"/>
      <c r="L45" s="133"/>
      <c r="M45" s="52"/>
      <c r="N45" s="52"/>
      <c r="O45" s="124"/>
      <c r="P45" s="95"/>
      <c r="Q45" s="95"/>
      <c r="S45" s="45"/>
      <c r="T45" s="45"/>
      <c r="U45" s="131"/>
      <c r="V45" s="122"/>
      <c r="W45" s="30"/>
      <c r="X45" s="122"/>
      <c r="Y45" s="122"/>
      <c r="Z45" s="152"/>
      <c r="AA45" s="152"/>
      <c r="AB45" s="12"/>
      <c r="AC45" s="122"/>
      <c r="AD45" s="30"/>
      <c r="AE45" s="123"/>
      <c r="AF45" s="123"/>
      <c r="AG45" s="124"/>
      <c r="AH45" s="30"/>
      <c r="AI45" s="122"/>
      <c r="AJ45" s="30"/>
      <c r="AK45" s="123"/>
      <c r="AL45" s="123"/>
      <c r="AM45" s="124"/>
      <c r="AO45" s="122"/>
      <c r="AP45" s="30"/>
      <c r="AQ45" s="123"/>
      <c r="AR45" s="123"/>
      <c r="AS45" s="124"/>
      <c r="AU45" s="32"/>
      <c r="AV45" s="32"/>
      <c r="AW45" s="32"/>
      <c r="AX45" s="32"/>
    </row>
    <row r="46" spans="1:55" ht="12.75" x14ac:dyDescent="0.2">
      <c r="A46" s="150"/>
      <c r="B46" s="45" t="s">
        <v>203</v>
      </c>
      <c r="C46" s="109"/>
      <c r="K46" s="45" t="s">
        <v>201</v>
      </c>
      <c r="S46" s="45" t="s">
        <v>202</v>
      </c>
      <c r="U46" s="12"/>
      <c r="V46" s="12"/>
      <c r="W46" s="12"/>
      <c r="X46" s="12"/>
      <c r="Y46" s="12"/>
      <c r="Z46" s="12"/>
      <c r="AA46" s="12"/>
      <c r="AB46" s="12"/>
      <c r="AC46" s="130" t="s">
        <v>204</v>
      </c>
      <c r="AD46" s="46"/>
      <c r="AE46" s="46"/>
      <c r="AF46" s="46"/>
      <c r="AG46" s="46"/>
      <c r="AH46" s="46"/>
      <c r="AI46" s="130" t="s">
        <v>206</v>
      </c>
      <c r="AJ46" s="46"/>
      <c r="AK46" s="46"/>
      <c r="AL46" s="46"/>
      <c r="AM46" s="46"/>
      <c r="AN46" s="45"/>
      <c r="AO46" s="130" t="s">
        <v>207</v>
      </c>
      <c r="AP46" s="12"/>
      <c r="AQ46" s="12"/>
      <c r="AR46" s="12"/>
      <c r="AS46" s="12"/>
      <c r="AT46" s="110"/>
      <c r="AU46" s="45" t="s">
        <v>205</v>
      </c>
      <c r="AW46" s="12"/>
      <c r="AX46" s="12"/>
      <c r="AY46" s="12"/>
      <c r="AZ46" s="12"/>
      <c r="BA46" s="12"/>
      <c r="BB46" s="12"/>
      <c r="BC46" s="12"/>
    </row>
    <row r="47" spans="1:55" ht="12.75" x14ac:dyDescent="0.2">
      <c r="A47" s="150"/>
      <c r="B47" s="57" t="s">
        <v>208</v>
      </c>
      <c r="C47" s="28" t="s">
        <v>190</v>
      </c>
      <c r="D47" s="57" t="s">
        <v>191</v>
      </c>
      <c r="E47" s="57" t="s">
        <v>192</v>
      </c>
      <c r="F47" s="28" t="s">
        <v>193</v>
      </c>
      <c r="G47" s="28" t="s">
        <v>286</v>
      </c>
      <c r="H47" s="57" t="s">
        <v>285</v>
      </c>
      <c r="I47" s="57" t="s">
        <v>237</v>
      </c>
      <c r="J47" s="101"/>
      <c r="K47" s="28" t="s">
        <v>76</v>
      </c>
      <c r="L47" s="28" t="s">
        <v>4</v>
      </c>
      <c r="M47" s="57" t="s">
        <v>0</v>
      </c>
      <c r="N47" s="57" t="s">
        <v>1</v>
      </c>
      <c r="O47" s="28" t="s">
        <v>191</v>
      </c>
      <c r="P47" s="28" t="s">
        <v>192</v>
      </c>
      <c r="Q47" s="28" t="s">
        <v>193</v>
      </c>
      <c r="S47" s="28"/>
      <c r="T47" s="28" t="s">
        <v>76</v>
      </c>
      <c r="U47" s="28" t="s">
        <v>4</v>
      </c>
      <c r="V47" s="57" t="s">
        <v>0</v>
      </c>
      <c r="W47" s="28" t="s">
        <v>62</v>
      </c>
      <c r="X47" s="57" t="s">
        <v>217</v>
      </c>
      <c r="Y47" s="57" t="s">
        <v>190</v>
      </c>
      <c r="Z47" s="57" t="s">
        <v>194</v>
      </c>
      <c r="AA47" s="28" t="s">
        <v>195</v>
      </c>
      <c r="AB47" s="12"/>
      <c r="AC47" s="28" t="s">
        <v>0</v>
      </c>
      <c r="AD47" s="28" t="s">
        <v>196</v>
      </c>
      <c r="AE47" s="57" t="s">
        <v>1</v>
      </c>
      <c r="AF47" s="57" t="s">
        <v>197</v>
      </c>
      <c r="AG47" s="57" t="s">
        <v>228</v>
      </c>
      <c r="AH47" s="60"/>
      <c r="AI47" s="28" t="s">
        <v>0</v>
      </c>
      <c r="AJ47" s="28" t="s">
        <v>196</v>
      </c>
      <c r="AK47" s="57" t="s">
        <v>1</v>
      </c>
      <c r="AL47" s="57" t="s">
        <v>197</v>
      </c>
      <c r="AM47" s="57" t="s">
        <v>228</v>
      </c>
      <c r="AO47" s="28" t="s">
        <v>0</v>
      </c>
      <c r="AP47" s="28" t="s">
        <v>196</v>
      </c>
      <c r="AQ47" s="57" t="s">
        <v>1</v>
      </c>
      <c r="AR47" s="57" t="s">
        <v>197</v>
      </c>
      <c r="AS47" s="57" t="s">
        <v>228</v>
      </c>
      <c r="AU47" s="57" t="s">
        <v>79</v>
      </c>
      <c r="AV47" s="57" t="s">
        <v>235</v>
      </c>
      <c r="AW47" s="57" t="s">
        <v>234</v>
      </c>
      <c r="AX47" s="57" t="s">
        <v>243</v>
      </c>
      <c r="AY47" s="57" t="s">
        <v>236</v>
      </c>
      <c r="AZ47" s="57"/>
      <c r="BA47" s="57"/>
      <c r="BB47" s="57"/>
      <c r="BC47" s="28"/>
    </row>
    <row r="48" spans="1:55" ht="12.75" x14ac:dyDescent="0.2">
      <c r="A48" s="150" t="s">
        <v>212</v>
      </c>
      <c r="B48" s="52">
        <v>100</v>
      </c>
      <c r="C48" s="54">
        <v>0.02</v>
      </c>
      <c r="D48" s="124">
        <v>0.04</v>
      </c>
      <c r="E48" s="95">
        <v>0.08</v>
      </c>
      <c r="F48" s="95">
        <v>0.16</v>
      </c>
      <c r="G48" s="95">
        <v>0.01</v>
      </c>
      <c r="H48" s="95">
        <v>5.0000000000000001E-3</v>
      </c>
      <c r="I48" s="63">
        <v>1200</v>
      </c>
      <c r="J48" s="95"/>
      <c r="K48" s="133" t="s">
        <v>75</v>
      </c>
      <c r="L48" s="133" t="s">
        <v>78</v>
      </c>
      <c r="M48" s="52">
        <v>100</v>
      </c>
      <c r="N48" s="52">
        <v>600</v>
      </c>
      <c r="O48" s="124">
        <v>0.5</v>
      </c>
      <c r="P48" s="95">
        <v>0.3</v>
      </c>
      <c r="Q48" s="95">
        <v>0.2</v>
      </c>
      <c r="S48" s="45" t="s">
        <v>212</v>
      </c>
      <c r="T48" s="45" t="s">
        <v>75</v>
      </c>
      <c r="U48" s="131" t="s">
        <v>78</v>
      </c>
      <c r="V48" s="122">
        <f>M48</f>
        <v>100</v>
      </c>
      <c r="W48" s="30">
        <f>X48/V48</f>
        <v>6</v>
      </c>
      <c r="X48" s="122">
        <f>N48</f>
        <v>600</v>
      </c>
      <c r="Y48" s="122">
        <f>(V48/(1+G48))*(1-ABS(C48))</f>
        <v>97.029702970297024</v>
      </c>
      <c r="Z48" s="152" t="s">
        <v>34</v>
      </c>
      <c r="AA48" s="152" t="s">
        <v>34</v>
      </c>
      <c r="AB48" s="12"/>
      <c r="AC48" s="122">
        <f>M48</f>
        <v>100</v>
      </c>
      <c r="AD48" s="30">
        <f>N48/M48*O48</f>
        <v>3</v>
      </c>
      <c r="AE48" s="123">
        <f>N48*O48</f>
        <v>300</v>
      </c>
      <c r="AF48" s="123">
        <f>B48 * (1 + D48) / (1 - H48)</f>
        <v>104.52261306532664</v>
      </c>
      <c r="AG48" s="124">
        <f>(B48 - AF48) / AF48</f>
        <v>-4.3269230769230817E-2</v>
      </c>
      <c r="AH48" s="30"/>
      <c r="AI48" s="122">
        <f>V48</f>
        <v>100</v>
      </c>
      <c r="AJ48" s="30">
        <f>N48/M48*P48</f>
        <v>1.7999999999999998</v>
      </c>
      <c r="AK48" s="123">
        <f>N48*P48</f>
        <v>180</v>
      </c>
      <c r="AL48" s="123">
        <f>AI48 * (1 + E48) / (1 - H48)</f>
        <v>108.5427135678392</v>
      </c>
      <c r="AM48" s="124">
        <f>(B48 - AL48) / AL48</f>
        <v>-7.8703703703703748E-2</v>
      </c>
      <c r="AO48" s="122">
        <f>M48</f>
        <v>100</v>
      </c>
      <c r="AP48" s="30">
        <f>N48/M48*Q48</f>
        <v>1.2000000000000002</v>
      </c>
      <c r="AQ48" s="123">
        <f>N48*Q48</f>
        <v>120</v>
      </c>
      <c r="AR48" s="123">
        <f>AO48 * (1 + F48) / (1 - H48)</f>
        <v>116.58291457286431</v>
      </c>
      <c r="AS48" s="124">
        <f>(B48 - AR48) / AR48</f>
        <v>-0.14224137931034475</v>
      </c>
      <c r="AU48" s="195">
        <f>X48</f>
        <v>600</v>
      </c>
      <c r="AV48" s="63">
        <v>0</v>
      </c>
      <c r="AW48" s="122">
        <f>W48*B48</f>
        <v>600</v>
      </c>
      <c r="AX48" s="196">
        <f>(AV48+AW48-AU48)/AU48</f>
        <v>0</v>
      </c>
      <c r="AY48" s="63">
        <f>I48-AU48+AV48</f>
        <v>600</v>
      </c>
      <c r="AZ48" s="122"/>
      <c r="BA48" s="122"/>
      <c r="BB48" s="152"/>
      <c r="BC48" s="152"/>
    </row>
    <row r="49" spans="1:55" ht="12.75" x14ac:dyDescent="0.2">
      <c r="A49" s="181" t="s">
        <v>215</v>
      </c>
      <c r="B49" s="40">
        <v>90</v>
      </c>
      <c r="C49" s="55">
        <v>0.02</v>
      </c>
      <c r="D49" s="129">
        <v>0.04</v>
      </c>
      <c r="E49" s="125">
        <v>0.08</v>
      </c>
      <c r="F49" s="125">
        <v>0.16</v>
      </c>
      <c r="G49" s="125">
        <v>0.01</v>
      </c>
      <c r="H49" s="125">
        <v>5.0000000000000001E-3</v>
      </c>
      <c r="I49" s="65">
        <v>1200</v>
      </c>
      <c r="J49" s="125"/>
      <c r="K49" s="134" t="s">
        <v>73</v>
      </c>
      <c r="L49" s="134" t="s">
        <v>80</v>
      </c>
      <c r="M49" s="40">
        <f>B49</f>
        <v>90</v>
      </c>
      <c r="N49" s="153"/>
      <c r="O49" s="129">
        <v>0.5</v>
      </c>
      <c r="P49" s="153"/>
      <c r="Q49" s="153"/>
      <c r="R49" s="35"/>
      <c r="S49" s="197" t="s">
        <v>215</v>
      </c>
      <c r="T49" s="47" t="s">
        <v>73</v>
      </c>
      <c r="U49" s="47" t="s">
        <v>80</v>
      </c>
      <c r="V49" s="126">
        <f>M49</f>
        <v>90</v>
      </c>
      <c r="W49" s="43">
        <f>AD48*O49</f>
        <v>1.5</v>
      </c>
      <c r="X49" s="126">
        <f>V49*W49-(V49*W49*H49)</f>
        <v>134.32499999999999</v>
      </c>
      <c r="Y49" s="153" t="s">
        <v>34</v>
      </c>
      <c r="Z49" s="153">
        <f>X49-(V48*W49)</f>
        <v>-15.675000000000011</v>
      </c>
      <c r="AA49" s="198">
        <f>Z49/(V48*W49)</f>
        <v>-0.10450000000000008</v>
      </c>
      <c r="AB49" s="41"/>
      <c r="AC49" s="65">
        <f>AC48</f>
        <v>100</v>
      </c>
      <c r="AD49" s="39">
        <f>AD48-W49</f>
        <v>1.5</v>
      </c>
      <c r="AE49" s="65">
        <f>AE48*O49</f>
        <v>150</v>
      </c>
      <c r="AF49" s="128">
        <f>AC49 * (1 + D49) / (1 - H49)</f>
        <v>104.52261306532664</v>
      </c>
      <c r="AG49" s="129">
        <f>(B49 - AF49) / AF49</f>
        <v>-0.13894230769230773</v>
      </c>
      <c r="AH49" s="35"/>
      <c r="AI49" s="199">
        <f t="shared" ref="AI49:AK50" si="6">AI48</f>
        <v>100</v>
      </c>
      <c r="AJ49" s="39">
        <f t="shared" si="6"/>
        <v>1.7999999999999998</v>
      </c>
      <c r="AK49" s="65">
        <f t="shared" si="6"/>
        <v>180</v>
      </c>
      <c r="AL49" s="128">
        <f>AI49 * (1 + E49) / (1 - H49)</f>
        <v>108.5427135678392</v>
      </c>
      <c r="AM49" s="129">
        <f>(B49 - AL49) / AL49</f>
        <v>-0.17083333333333336</v>
      </c>
      <c r="AN49" s="35"/>
      <c r="AO49" s="65">
        <f t="shared" ref="AO49:AQ50" si="7">AO48</f>
        <v>100</v>
      </c>
      <c r="AP49" s="39">
        <f t="shared" si="7"/>
        <v>1.2000000000000002</v>
      </c>
      <c r="AQ49" s="65">
        <f t="shared" si="7"/>
        <v>120</v>
      </c>
      <c r="AR49" s="128">
        <f>AO49 * (1 + F49) / (1 - H49)</f>
        <v>116.58291457286431</v>
      </c>
      <c r="AS49" s="129">
        <f>(B49 - AR49) / AR49</f>
        <v>-0.22801724137931029</v>
      </c>
      <c r="AT49" s="35"/>
      <c r="AU49" s="200">
        <f>AU48</f>
        <v>600</v>
      </c>
      <c r="AV49" s="65">
        <f>AV48+X49</f>
        <v>134.32499999999999</v>
      </c>
      <c r="AW49" s="126">
        <f>(AD49+AJ49+AP49)*B49</f>
        <v>405</v>
      </c>
      <c r="AX49" s="201">
        <f>(AV49+AW49-AU49)/AU49</f>
        <v>-0.10112499999999992</v>
      </c>
      <c r="AY49" s="65">
        <f>I49-AU49+AV49</f>
        <v>734.32500000000005</v>
      </c>
      <c r="AZ49" s="122"/>
      <c r="BA49" s="122"/>
      <c r="BB49" s="152"/>
      <c r="BC49" s="152"/>
    </row>
    <row r="50" spans="1:55" ht="12.75" x14ac:dyDescent="0.2">
      <c r="A50" s="150" t="s">
        <v>218</v>
      </c>
      <c r="B50" s="52">
        <v>120</v>
      </c>
      <c r="C50" s="54">
        <v>0.02</v>
      </c>
      <c r="D50" s="124">
        <v>0.04</v>
      </c>
      <c r="E50" s="95">
        <v>0.08</v>
      </c>
      <c r="F50" s="95">
        <v>0.16</v>
      </c>
      <c r="G50" s="95">
        <v>0.01</v>
      </c>
      <c r="H50" s="95">
        <v>5.0000000000000001E-3</v>
      </c>
      <c r="I50" s="63">
        <v>1200</v>
      </c>
      <c r="J50" s="95"/>
      <c r="K50" s="133" t="s">
        <v>73</v>
      </c>
      <c r="L50" s="133" t="s">
        <v>216</v>
      </c>
      <c r="M50" s="52">
        <v>120</v>
      </c>
      <c r="N50" s="52"/>
      <c r="O50" s="124">
        <v>1</v>
      </c>
      <c r="P50" s="95"/>
      <c r="Q50" s="95"/>
      <c r="S50" s="45" t="s">
        <v>218</v>
      </c>
      <c r="T50" s="45" t="s">
        <v>73</v>
      </c>
      <c r="U50" s="130" t="s">
        <v>216</v>
      </c>
      <c r="V50" s="122">
        <f>M50</f>
        <v>120</v>
      </c>
      <c r="W50" s="30">
        <f>AD49+(AJ49*P50)</f>
        <v>1.5</v>
      </c>
      <c r="X50" s="122">
        <f>V50*W50-(V50*W50*H50)</f>
        <v>179.1</v>
      </c>
      <c r="Y50" s="152" t="s">
        <v>34</v>
      </c>
      <c r="Z50" s="152">
        <f>X50-(V48*W50)</f>
        <v>29.099999999999994</v>
      </c>
      <c r="AA50" s="160">
        <f>Z50/(V48*W50)</f>
        <v>0.19399999999999995</v>
      </c>
      <c r="AB50" s="12"/>
      <c r="AC50" s="152"/>
      <c r="AD50" s="152"/>
      <c r="AE50" s="152"/>
      <c r="AF50" s="152"/>
      <c r="AG50" s="152"/>
      <c r="AI50" s="204">
        <f t="shared" si="6"/>
        <v>100</v>
      </c>
      <c r="AJ50" s="32">
        <f t="shared" si="6"/>
        <v>1.7999999999999998</v>
      </c>
      <c r="AK50" s="63">
        <f t="shared" si="6"/>
        <v>180</v>
      </c>
      <c r="AL50" s="156">
        <f>AI50 * (1 + E50) / (1 - H50)</f>
        <v>108.5427135678392</v>
      </c>
      <c r="AM50" s="124">
        <f>(B50 - AL50) / AL50</f>
        <v>0.10555555555555551</v>
      </c>
      <c r="AO50" s="63">
        <f t="shared" si="7"/>
        <v>100</v>
      </c>
      <c r="AP50" s="32">
        <f t="shared" si="7"/>
        <v>1.2000000000000002</v>
      </c>
      <c r="AQ50" s="63">
        <f t="shared" si="7"/>
        <v>120</v>
      </c>
      <c r="AR50" s="156">
        <f>AR49</f>
        <v>116.58291457286431</v>
      </c>
      <c r="AS50" s="124">
        <f>(B50 - AR50) / AR50</f>
        <v>2.9310344827586297E-2</v>
      </c>
      <c r="AU50" s="195">
        <f>AU49</f>
        <v>600</v>
      </c>
      <c r="AV50" s="63">
        <f>AV49+X50</f>
        <v>313.42499999999995</v>
      </c>
      <c r="AW50" s="122">
        <f>(AD50+AJ50+AP50)*B50</f>
        <v>360</v>
      </c>
      <c r="AX50" s="205">
        <f>(AV50+AW50-AU50)/AU50</f>
        <v>0.12237499999999993</v>
      </c>
      <c r="AY50" s="63">
        <f>I50-AU50+AV50</f>
        <v>913.42499999999995</v>
      </c>
    </row>
    <row r="51" spans="1:55" ht="12.75" x14ac:dyDescent="0.2">
      <c r="A51" s="181" t="s">
        <v>213</v>
      </c>
      <c r="B51" s="40">
        <v>115</v>
      </c>
      <c r="C51" s="55">
        <v>0.02</v>
      </c>
      <c r="D51" s="129">
        <v>0.04</v>
      </c>
      <c r="E51" s="125">
        <v>0.08</v>
      </c>
      <c r="F51" s="125">
        <v>0.16</v>
      </c>
      <c r="G51" s="125">
        <v>0.01</v>
      </c>
      <c r="H51" s="125">
        <v>5.0000000000000001E-3</v>
      </c>
      <c r="I51" s="65">
        <v>1200</v>
      </c>
      <c r="J51" s="125"/>
      <c r="K51" s="134" t="s">
        <v>75</v>
      </c>
      <c r="L51" s="134" t="s">
        <v>25</v>
      </c>
      <c r="M51" s="40">
        <v>115</v>
      </c>
      <c r="N51" s="40">
        <v>400</v>
      </c>
      <c r="O51" s="129">
        <v>0.5</v>
      </c>
      <c r="P51" s="125">
        <v>0.3</v>
      </c>
      <c r="Q51" s="125">
        <v>0.2</v>
      </c>
      <c r="R51" s="35"/>
      <c r="S51" s="47" t="s">
        <v>213</v>
      </c>
      <c r="T51" s="47" t="s">
        <v>75</v>
      </c>
      <c r="U51" s="132" t="s">
        <v>25</v>
      </c>
      <c r="V51" s="126">
        <f>M51</f>
        <v>115</v>
      </c>
      <c r="W51" s="43">
        <f>X51/V51</f>
        <v>3.4782608695652173</v>
      </c>
      <c r="X51" s="126">
        <f>N51</f>
        <v>400</v>
      </c>
      <c r="Y51" s="126">
        <f>(V51/(1+G51))*(1-ABS(C51))</f>
        <v>111.58415841584159</v>
      </c>
      <c r="Z51" s="153" t="s">
        <v>34</v>
      </c>
      <c r="AA51" s="153" t="s">
        <v>34</v>
      </c>
      <c r="AB51" s="41"/>
      <c r="AC51" s="65">
        <f>V51</f>
        <v>115</v>
      </c>
      <c r="AD51" s="39">
        <f>W51*O51</f>
        <v>1.7391304347826086</v>
      </c>
      <c r="AE51" s="65">
        <f>X51*O51</f>
        <v>200</v>
      </c>
      <c r="AF51" s="128">
        <f>AC51 * (1 + D51) / (1 - H51)</f>
        <v>120.20100502512564</v>
      </c>
      <c r="AG51" s="129">
        <f>(B51 - AF51) / AF51</f>
        <v>-4.3269230769230851E-2</v>
      </c>
      <c r="AH51" s="35"/>
      <c r="AI51" s="65">
        <f>V51</f>
        <v>115</v>
      </c>
      <c r="AJ51" s="39">
        <f>W51*P51</f>
        <v>1.0434782608695652</v>
      </c>
      <c r="AK51" s="65">
        <f>X51*P51</f>
        <v>120</v>
      </c>
      <c r="AL51" s="128">
        <f>AI51 * (1 + E51) / (1 - H51)</f>
        <v>124.82412060301507</v>
      </c>
      <c r="AM51" s="129">
        <f>(B51 - AL51) / AL51</f>
        <v>-7.8703703703703706E-2</v>
      </c>
      <c r="AN51" s="35"/>
      <c r="AO51" s="65">
        <f>V51</f>
        <v>115</v>
      </c>
      <c r="AP51" s="35">
        <f>W51*Q51</f>
        <v>0.69565217391304346</v>
      </c>
      <c r="AQ51" s="65">
        <f>X51*Q51</f>
        <v>80</v>
      </c>
      <c r="AR51" s="128">
        <f>AO51 * (1 + F51) / (1 - H51)</f>
        <v>134.07035175879395</v>
      </c>
      <c r="AS51" s="129">
        <f>(B51 - AR51) / AR51</f>
        <v>-0.1422413793103447</v>
      </c>
      <c r="AT51" s="35"/>
      <c r="AU51" s="200">
        <f>AU50+X51-AV50</f>
        <v>686.57500000000005</v>
      </c>
      <c r="AV51" s="65">
        <v>0</v>
      </c>
      <c r="AW51" s="126">
        <f>(AD51+AJ51+AJ52+AP51+AP52)*B51</f>
        <v>745</v>
      </c>
      <c r="AX51" s="201">
        <f>(AV51+AW51-AU51)/AU51</f>
        <v>8.5096311400793725E-2</v>
      </c>
      <c r="AY51" s="65">
        <f>I51-AU51+AV51</f>
        <v>513.42499999999995</v>
      </c>
    </row>
    <row r="52" spans="1:55" ht="12.75" x14ac:dyDescent="0.2">
      <c r="A52" s="181"/>
      <c r="B52" s="40"/>
      <c r="C52" s="55"/>
      <c r="D52" s="129"/>
      <c r="E52" s="125"/>
      <c r="F52" s="125"/>
      <c r="G52" s="125"/>
      <c r="H52" s="125"/>
      <c r="I52" s="125"/>
      <c r="J52" s="125"/>
      <c r="K52" s="134"/>
      <c r="L52" s="134"/>
      <c r="M52" s="40"/>
      <c r="N52" s="40"/>
      <c r="O52" s="129"/>
      <c r="P52" s="125"/>
      <c r="Q52" s="125"/>
      <c r="R52" s="35"/>
      <c r="S52" s="47"/>
      <c r="T52" s="47"/>
      <c r="U52" s="202"/>
      <c r="V52" s="126"/>
      <c r="W52" s="43"/>
      <c r="X52" s="126"/>
      <c r="Y52" s="126"/>
      <c r="Z52" s="153"/>
      <c r="AA52" s="153"/>
      <c r="AB52" s="41"/>
      <c r="AC52" s="35"/>
      <c r="AD52" s="35"/>
      <c r="AE52" s="35"/>
      <c r="AF52" s="35"/>
      <c r="AG52" s="35"/>
      <c r="AH52" s="35"/>
      <c r="AI52" s="65">
        <f t="shared" ref="AI52:AL58" si="8">AI50</f>
        <v>100</v>
      </c>
      <c r="AJ52" s="39">
        <f t="shared" si="8"/>
        <v>1.7999999999999998</v>
      </c>
      <c r="AK52" s="65">
        <f t="shared" si="8"/>
        <v>180</v>
      </c>
      <c r="AL52" s="128">
        <f t="shared" si="8"/>
        <v>108.5427135678392</v>
      </c>
      <c r="AM52" s="129">
        <f>(B51 - AL52) / AL52</f>
        <v>5.9490740740740698E-2</v>
      </c>
      <c r="AN52" s="35"/>
      <c r="AO52" s="65">
        <f t="shared" ref="AO52:AR58" si="9">AO50</f>
        <v>100</v>
      </c>
      <c r="AP52" s="39">
        <f t="shared" si="9"/>
        <v>1.2000000000000002</v>
      </c>
      <c r="AQ52" s="65">
        <f t="shared" si="9"/>
        <v>120</v>
      </c>
      <c r="AR52" s="65">
        <f t="shared" si="9"/>
        <v>116.58291457286431</v>
      </c>
      <c r="AS52" s="129">
        <f>(B51 - AR52) / AR52</f>
        <v>-1.3577586206896464E-2</v>
      </c>
      <c r="AT52" s="35"/>
      <c r="AU52" s="35"/>
      <c r="AV52" s="35"/>
      <c r="AW52" s="39"/>
      <c r="AX52" s="39"/>
      <c r="AY52" s="35"/>
    </row>
    <row r="53" spans="1:55" ht="12.75" x14ac:dyDescent="0.2">
      <c r="A53" s="150" t="s">
        <v>238</v>
      </c>
      <c r="B53" s="52">
        <v>90</v>
      </c>
      <c r="C53" s="62">
        <v>0.02</v>
      </c>
      <c r="D53" s="124">
        <v>0.04</v>
      </c>
      <c r="E53" s="95">
        <v>0.08</v>
      </c>
      <c r="F53" s="95">
        <v>0.16</v>
      </c>
      <c r="G53" s="95">
        <v>0.01</v>
      </c>
      <c r="H53" s="95">
        <v>5.0000000000000001E-3</v>
      </c>
      <c r="I53" s="63">
        <v>1200</v>
      </c>
      <c r="J53" s="95"/>
      <c r="K53" s="133" t="s">
        <v>239</v>
      </c>
      <c r="L53" s="152"/>
      <c r="M53" s="52"/>
      <c r="N53" s="152">
        <v>20</v>
      </c>
      <c r="O53" s="124"/>
      <c r="P53" s="152"/>
      <c r="Q53" s="152"/>
      <c r="S53" t="s">
        <v>238</v>
      </c>
      <c r="T53" t="s">
        <v>240</v>
      </c>
      <c r="U53" s="152" t="s">
        <v>34</v>
      </c>
      <c r="V53" s="152" t="s">
        <v>34</v>
      </c>
      <c r="W53" s="152" t="s">
        <v>34</v>
      </c>
      <c r="X53" s="122">
        <f>N53</f>
        <v>20</v>
      </c>
      <c r="Y53" s="152" t="s">
        <v>34</v>
      </c>
      <c r="Z53" s="152" t="s">
        <v>34</v>
      </c>
      <c r="AA53" s="152" t="s">
        <v>34</v>
      </c>
      <c r="AB53" s="12"/>
      <c r="AC53" s="63">
        <f>AC51</f>
        <v>115</v>
      </c>
      <c r="AD53" s="32">
        <f>AD51</f>
        <v>1.7391304347826086</v>
      </c>
      <c r="AE53" s="63">
        <f>AE51</f>
        <v>200</v>
      </c>
      <c r="AF53" s="156">
        <f>AF51</f>
        <v>120.20100502512564</v>
      </c>
      <c r="AG53" s="124">
        <f>(B53 - AF53) / AF53</f>
        <v>-0.25125418060200677</v>
      </c>
      <c r="AI53" s="204">
        <f t="shared" si="8"/>
        <v>115</v>
      </c>
      <c r="AJ53" s="32">
        <f t="shared" si="8"/>
        <v>1.0434782608695652</v>
      </c>
      <c r="AK53" s="63">
        <f t="shared" si="8"/>
        <v>120</v>
      </c>
      <c r="AL53" s="156">
        <f t="shared" si="8"/>
        <v>124.82412060301507</v>
      </c>
      <c r="AM53" s="124">
        <f>(B53 - AL53) / AL53</f>
        <v>-0.27898550724637683</v>
      </c>
      <c r="AO53" s="63">
        <f t="shared" si="9"/>
        <v>115</v>
      </c>
      <c r="AP53" s="32">
        <f t="shared" si="9"/>
        <v>0.69565217391304346</v>
      </c>
      <c r="AQ53" s="63">
        <f t="shared" si="9"/>
        <v>80</v>
      </c>
      <c r="AR53" s="63">
        <f t="shared" si="9"/>
        <v>134.07035175879395</v>
      </c>
      <c r="AS53" s="124">
        <f>(B53 - AR53) / AR53</f>
        <v>-0.32871064467766103</v>
      </c>
      <c r="AU53" s="195">
        <f>AU51</f>
        <v>686.57500000000005</v>
      </c>
      <c r="AV53" s="63">
        <f>AV51+X53</f>
        <v>20</v>
      </c>
      <c r="AW53" s="122">
        <f>(AD53+AJ53+AJ54+AP53+AP54)*B53</f>
        <v>583.04347826086962</v>
      </c>
      <c r="AX53" s="205">
        <f>(AV53+AW53-AU53)/AU53</f>
        <v>-0.12166408875815522</v>
      </c>
      <c r="AY53" s="63">
        <f>I53-AU53+AV53</f>
        <v>533.42499999999995</v>
      </c>
    </row>
    <row r="54" spans="1:55" ht="12.75" x14ac:dyDescent="0.2">
      <c r="B54" s="52"/>
      <c r="C54" s="62"/>
      <c r="D54" s="124"/>
      <c r="E54" s="95"/>
      <c r="F54" s="95"/>
      <c r="G54" s="95"/>
      <c r="H54" s="95"/>
      <c r="I54" s="95"/>
      <c r="J54" s="95"/>
      <c r="K54" s="133"/>
      <c r="L54" s="133"/>
      <c r="M54" s="52"/>
      <c r="N54" s="52"/>
      <c r="O54" s="124"/>
      <c r="P54" s="95"/>
      <c r="Q54" s="95"/>
      <c r="S54" s="203"/>
      <c r="T54" s="45"/>
      <c r="U54" s="45"/>
      <c r="V54" s="122"/>
      <c r="W54" s="30"/>
      <c r="X54" s="122"/>
      <c r="Y54" s="152"/>
      <c r="Z54" s="152"/>
      <c r="AA54" s="160"/>
      <c r="AB54" s="12"/>
      <c r="AI54" s="63">
        <f t="shared" si="8"/>
        <v>100</v>
      </c>
      <c r="AJ54" s="32">
        <f t="shared" si="8"/>
        <v>1.7999999999999998</v>
      </c>
      <c r="AK54" s="63">
        <f t="shared" si="8"/>
        <v>180</v>
      </c>
      <c r="AL54" s="156">
        <f t="shared" si="8"/>
        <v>108.5427135678392</v>
      </c>
      <c r="AM54" s="124">
        <f>(B53 - AL54) / AL54</f>
        <v>-0.17083333333333336</v>
      </c>
      <c r="AO54" s="63">
        <f t="shared" si="9"/>
        <v>100</v>
      </c>
      <c r="AP54" s="32">
        <f t="shared" si="9"/>
        <v>1.2000000000000002</v>
      </c>
      <c r="AQ54" s="63">
        <f t="shared" si="9"/>
        <v>120</v>
      </c>
      <c r="AR54" s="63">
        <f t="shared" si="9"/>
        <v>116.58291457286431</v>
      </c>
      <c r="AS54" s="124">
        <f>(B53 - AR54) / AR54</f>
        <v>-0.22801724137931029</v>
      </c>
      <c r="AW54" s="32"/>
      <c r="AX54" s="32"/>
    </row>
    <row r="55" spans="1:55" ht="12.75" x14ac:dyDescent="0.2">
      <c r="A55" s="181" t="s">
        <v>241</v>
      </c>
      <c r="B55" s="40">
        <v>80</v>
      </c>
      <c r="C55" s="55">
        <v>0.02</v>
      </c>
      <c r="D55" s="129">
        <v>0.04</v>
      </c>
      <c r="E55" s="125">
        <v>0.08</v>
      </c>
      <c r="F55" s="125">
        <v>0.16</v>
      </c>
      <c r="G55" s="125">
        <v>0.01</v>
      </c>
      <c r="H55" s="125">
        <v>5.0000000000000001E-3</v>
      </c>
      <c r="I55" s="65">
        <v>1200</v>
      </c>
      <c r="J55" s="125"/>
      <c r="K55" s="134" t="s">
        <v>242</v>
      </c>
      <c r="L55" s="153"/>
      <c r="M55" s="40"/>
      <c r="N55" s="153">
        <v>40</v>
      </c>
      <c r="O55" s="129"/>
      <c r="P55" s="153"/>
      <c r="Q55" s="153"/>
      <c r="R55" s="35"/>
      <c r="S55" s="35" t="s">
        <v>241</v>
      </c>
      <c r="T55" s="35" t="s">
        <v>242</v>
      </c>
      <c r="U55" s="153" t="s">
        <v>34</v>
      </c>
      <c r="V55" s="153" t="s">
        <v>34</v>
      </c>
      <c r="W55" s="153" t="s">
        <v>34</v>
      </c>
      <c r="X55" s="65">
        <v>40</v>
      </c>
      <c r="Y55" s="153" t="s">
        <v>34</v>
      </c>
      <c r="Z55" s="153" t="s">
        <v>34</v>
      </c>
      <c r="AA55" s="153" t="s">
        <v>34</v>
      </c>
      <c r="AB55" s="41"/>
      <c r="AC55" s="65">
        <f>AC53</f>
        <v>115</v>
      </c>
      <c r="AD55" s="39">
        <f>AD53</f>
        <v>1.7391304347826086</v>
      </c>
      <c r="AE55" s="65">
        <f>AE53</f>
        <v>200</v>
      </c>
      <c r="AF55" s="128">
        <f>AF53</f>
        <v>120.20100502512564</v>
      </c>
      <c r="AG55" s="129">
        <f>(B55 - AF55) / AF55</f>
        <v>-0.33444816053511711</v>
      </c>
      <c r="AH55" s="35"/>
      <c r="AI55" s="199">
        <f t="shared" si="8"/>
        <v>115</v>
      </c>
      <c r="AJ55" s="39">
        <f t="shared" si="8"/>
        <v>1.0434782608695652</v>
      </c>
      <c r="AK55" s="65">
        <f t="shared" si="8"/>
        <v>120</v>
      </c>
      <c r="AL55" s="128">
        <f t="shared" si="8"/>
        <v>124.82412060301507</v>
      </c>
      <c r="AM55" s="129">
        <f>(B55 - AL55) / AL55</f>
        <v>-0.35909822866344604</v>
      </c>
      <c r="AN55" s="35"/>
      <c r="AO55" s="65">
        <f t="shared" si="9"/>
        <v>115</v>
      </c>
      <c r="AP55" s="39">
        <f t="shared" si="9"/>
        <v>0.69565217391304346</v>
      </c>
      <c r="AQ55" s="65">
        <f t="shared" si="9"/>
        <v>80</v>
      </c>
      <c r="AR55" s="65">
        <f t="shared" si="9"/>
        <v>134.07035175879395</v>
      </c>
      <c r="AS55" s="129">
        <f>(B55 - AR55) / AR55</f>
        <v>-0.40329835082458759</v>
      </c>
      <c r="AT55" s="35"/>
      <c r="AU55" s="200">
        <f>AU53</f>
        <v>686.57500000000005</v>
      </c>
      <c r="AV55" s="65">
        <f>AV53+X55</f>
        <v>60</v>
      </c>
      <c r="AW55" s="126">
        <f>(AD55+AJ55+AJ56+AP55+AP56)*B55</f>
        <v>518.26086956521738</v>
      </c>
      <c r="AX55" s="201">
        <f>(AV55+AW55-AU55)/AU55</f>
        <v>-0.15776008511055989</v>
      </c>
      <c r="AY55" s="65">
        <f>I55-AU55+AV55</f>
        <v>573.42499999999995</v>
      </c>
    </row>
    <row r="56" spans="1:55" ht="12.75" x14ac:dyDescent="0.2">
      <c r="A56" s="181"/>
      <c r="B56" s="40"/>
      <c r="C56" s="55"/>
      <c r="D56" s="129"/>
      <c r="E56" s="125"/>
      <c r="F56" s="125"/>
      <c r="G56" s="125"/>
      <c r="H56" s="125"/>
      <c r="I56" s="125"/>
      <c r="J56" s="125"/>
      <c r="K56" s="134"/>
      <c r="L56" s="134"/>
      <c r="M56" s="40"/>
      <c r="N56" s="40"/>
      <c r="O56" s="129"/>
      <c r="P56" s="125"/>
      <c r="Q56" s="125"/>
      <c r="R56" s="35"/>
      <c r="S56" s="35"/>
      <c r="T56" s="35"/>
      <c r="U56" s="153"/>
      <c r="V56" s="153"/>
      <c r="W56" s="153"/>
      <c r="X56" s="126"/>
      <c r="Y56" s="153"/>
      <c r="Z56" s="153"/>
      <c r="AA56" s="153"/>
      <c r="AB56" s="41"/>
      <c r="AC56" s="126"/>
      <c r="AD56" s="43"/>
      <c r="AE56" s="128"/>
      <c r="AF56" s="128"/>
      <c r="AG56" s="129"/>
      <c r="AH56" s="43"/>
      <c r="AI56" s="126">
        <f t="shared" si="8"/>
        <v>100</v>
      </c>
      <c r="AJ56" s="43">
        <f t="shared" si="8"/>
        <v>1.7999999999999998</v>
      </c>
      <c r="AK56" s="128">
        <f t="shared" si="8"/>
        <v>180</v>
      </c>
      <c r="AL56" s="128">
        <f t="shared" si="8"/>
        <v>108.5427135678392</v>
      </c>
      <c r="AM56" s="129">
        <f>(B55 - AL56) / AL56</f>
        <v>-0.26296296296296301</v>
      </c>
      <c r="AN56" s="35"/>
      <c r="AO56" s="126">
        <f t="shared" si="9"/>
        <v>100</v>
      </c>
      <c r="AP56" s="43">
        <f t="shared" si="9"/>
        <v>1.2000000000000002</v>
      </c>
      <c r="AQ56" s="128">
        <f t="shared" si="9"/>
        <v>120</v>
      </c>
      <c r="AR56" s="128">
        <f t="shared" si="9"/>
        <v>116.58291457286431</v>
      </c>
      <c r="AS56" s="129">
        <f>(B55 - AR56) / AR56</f>
        <v>-0.31379310344827582</v>
      </c>
      <c r="AT56" s="35"/>
      <c r="AU56" s="39"/>
      <c r="AV56" s="39"/>
      <c r="AW56" s="39"/>
      <c r="AX56" s="39"/>
      <c r="AY56" s="35"/>
    </row>
    <row r="57" spans="1:55" ht="12.75" x14ac:dyDescent="0.2">
      <c r="A57" s="150" t="s">
        <v>214</v>
      </c>
      <c r="B57" s="52">
        <v>115</v>
      </c>
      <c r="C57" s="62">
        <v>0.02</v>
      </c>
      <c r="D57" s="124">
        <v>0.04</v>
      </c>
      <c r="E57" s="95">
        <v>0.08</v>
      </c>
      <c r="F57" s="95">
        <v>0.16</v>
      </c>
      <c r="G57" s="95">
        <v>0.01</v>
      </c>
      <c r="H57" s="95">
        <v>5.0000000000000001E-3</v>
      </c>
      <c r="I57" s="63">
        <v>1200</v>
      </c>
      <c r="J57" s="95"/>
      <c r="K57" s="133" t="s">
        <v>75</v>
      </c>
      <c r="L57" s="133" t="s">
        <v>210</v>
      </c>
      <c r="M57" s="52">
        <v>115</v>
      </c>
      <c r="N57" s="52">
        <v>700</v>
      </c>
      <c r="O57" s="124">
        <v>0.5</v>
      </c>
      <c r="P57" s="95">
        <v>0.3</v>
      </c>
      <c r="Q57" s="95">
        <v>0.2</v>
      </c>
      <c r="S57" s="45" t="s">
        <v>214</v>
      </c>
      <c r="T57" s="45" t="s">
        <v>75</v>
      </c>
      <c r="U57" s="130" t="s">
        <v>210</v>
      </c>
      <c r="V57" s="122">
        <f>M57</f>
        <v>115</v>
      </c>
      <c r="W57" s="30">
        <f>X57/V57</f>
        <v>6.0869565217391308</v>
      </c>
      <c r="X57" s="122">
        <f>N57</f>
        <v>700</v>
      </c>
      <c r="Y57" s="122">
        <f>(V57/(1+G57))*(1-ABS(C57))</f>
        <v>111.58415841584159</v>
      </c>
      <c r="Z57" s="152" t="s">
        <v>34</v>
      </c>
      <c r="AA57" s="152" t="s">
        <v>34</v>
      </c>
      <c r="AB57" s="12"/>
      <c r="AC57" s="63">
        <f>AC55</f>
        <v>115</v>
      </c>
      <c r="AD57" s="32">
        <f>AD55+(W57*O57)</f>
        <v>4.7826086956521738</v>
      </c>
      <c r="AE57" s="63">
        <f>AE55+(X57*O57)</f>
        <v>550</v>
      </c>
      <c r="AF57" s="123">
        <f>B57 * (1 + D57) / (1 - H57)</f>
        <v>120.20100502512564</v>
      </c>
      <c r="AG57" s="124">
        <f>(B57 - AF57) / AF57</f>
        <v>-4.3269230769230851E-2</v>
      </c>
      <c r="AI57" s="204">
        <f>AI55</f>
        <v>115</v>
      </c>
      <c r="AJ57" s="32">
        <f>AJ55+(W57*P57)</f>
        <v>2.8695652173913047</v>
      </c>
      <c r="AK57" s="63">
        <f>AK55+(X57*P57)</f>
        <v>330</v>
      </c>
      <c r="AL57" s="123">
        <f>AI57 * (1 + E57) / (1 - H57)</f>
        <v>124.82412060301507</v>
      </c>
      <c r="AM57" s="124">
        <f>(B57 - AL57) / AL57</f>
        <v>-7.8703703703703706E-2</v>
      </c>
      <c r="AO57" s="63">
        <f>AO55</f>
        <v>115</v>
      </c>
      <c r="AP57" s="32">
        <f>AP55+(W57*Q57)</f>
        <v>1.9130434782608696</v>
      </c>
      <c r="AQ57" s="63">
        <f>AQ55+(X57*Q57)</f>
        <v>220</v>
      </c>
      <c r="AR57" s="123">
        <f>AO57 * (1 + F57) / (1 - H57)</f>
        <v>134.07035175879395</v>
      </c>
      <c r="AS57" s="124">
        <f>(B57 - AR57) / AR57</f>
        <v>-0.1422413793103447</v>
      </c>
      <c r="AU57" s="195">
        <f>AU55+X57-AV55</f>
        <v>1326.575</v>
      </c>
      <c r="AV57" s="63">
        <v>0</v>
      </c>
      <c r="AW57" s="122">
        <f>(AD57+AJ58+AJ57+AP57+AP58)*B57</f>
        <v>1445</v>
      </c>
      <c r="AX57" s="205">
        <f>(AV57+AW57-AU57)/AU57</f>
        <v>8.9271243616078966E-2</v>
      </c>
      <c r="AY57" s="63">
        <f>I57-AU57+AV57</f>
        <v>-126.57500000000005</v>
      </c>
    </row>
    <row r="58" spans="1:55" ht="12.75" x14ac:dyDescent="0.2">
      <c r="A58" s="150"/>
      <c r="B58" s="52"/>
      <c r="C58" s="62"/>
      <c r="D58" s="124"/>
      <c r="E58" s="95"/>
      <c r="F58" s="95"/>
      <c r="G58" s="95"/>
      <c r="H58" s="95"/>
      <c r="I58" s="63"/>
      <c r="J58" s="95"/>
      <c r="K58" s="133"/>
      <c r="L58" s="133"/>
      <c r="M58" s="52"/>
      <c r="N58" s="52"/>
      <c r="O58" s="124"/>
      <c r="P58" s="95"/>
      <c r="Q58" s="95"/>
      <c r="S58" s="45"/>
      <c r="T58" s="45"/>
      <c r="U58" s="130"/>
      <c r="V58" s="122"/>
      <c r="W58" s="30"/>
      <c r="X58" s="122"/>
      <c r="Y58" s="122"/>
      <c r="Z58" s="152"/>
      <c r="AA58" s="152"/>
      <c r="AB58" s="12"/>
      <c r="AC58" s="63"/>
      <c r="AD58" s="32"/>
      <c r="AE58" s="63"/>
      <c r="AF58" s="123"/>
      <c r="AG58" s="124"/>
      <c r="AI58" s="235">
        <f t="shared" si="8"/>
        <v>100</v>
      </c>
      <c r="AJ58" s="236">
        <f t="shared" si="8"/>
        <v>1.7999999999999998</v>
      </c>
      <c r="AK58" s="156">
        <f t="shared" si="8"/>
        <v>180</v>
      </c>
      <c r="AL58" s="156">
        <f>AI58 * (1 + E57) / (1 - H57)</f>
        <v>108.5427135678392</v>
      </c>
      <c r="AM58" s="231">
        <f>(B57 - AL58) / AL58</f>
        <v>5.9490740740740698E-2</v>
      </c>
      <c r="AN58" s="237"/>
      <c r="AO58" s="235">
        <f t="shared" si="9"/>
        <v>100</v>
      </c>
      <c r="AP58" s="236">
        <f t="shared" si="9"/>
        <v>1.2000000000000002</v>
      </c>
      <c r="AQ58" s="156">
        <f t="shared" si="9"/>
        <v>120</v>
      </c>
      <c r="AR58" s="156">
        <f>AO58 * (1 + F57) / (1 - H57)</f>
        <v>116.58291457286431</v>
      </c>
      <c r="AS58" s="231">
        <f>(B57 - AR58) / AR58</f>
        <v>-1.3577586206896464E-2</v>
      </c>
      <c r="AU58" s="195"/>
      <c r="AV58" s="63"/>
      <c r="AW58" s="122"/>
      <c r="AX58" s="205"/>
      <c r="AY58" s="63"/>
    </row>
    <row r="59" spans="1:55" ht="12.75" x14ac:dyDescent="0.2">
      <c r="A59" s="150"/>
      <c r="B59" s="33"/>
      <c r="C59" s="67"/>
      <c r="D59" s="124"/>
      <c r="E59" s="95"/>
      <c r="F59" s="95"/>
      <c r="G59" s="95"/>
      <c r="H59" s="95"/>
      <c r="I59" s="95"/>
      <c r="M59" s="206"/>
      <c r="N59" s="206"/>
      <c r="O59" s="124"/>
      <c r="P59" s="95"/>
      <c r="Q59" s="95"/>
      <c r="R59" s="45"/>
      <c r="S59" s="45"/>
      <c r="W59" s="30"/>
      <c r="X59" s="122"/>
      <c r="Y59" s="122"/>
      <c r="Z59" s="152"/>
      <c r="AA59" s="152"/>
      <c r="AB59" s="12"/>
      <c r="AC59" s="139"/>
      <c r="AD59" s="139"/>
      <c r="AE59" s="139"/>
      <c r="AF59" s="139"/>
      <c r="AG59" s="140"/>
      <c r="AH59" s="140"/>
      <c r="AI59" s="139"/>
      <c r="AJ59" s="139"/>
      <c r="AK59" s="139"/>
      <c r="AL59" s="139"/>
      <c r="AM59" s="140"/>
      <c r="AO59" s="139"/>
      <c r="AP59" s="139"/>
      <c r="AQ59" s="139"/>
      <c r="AR59" s="139"/>
      <c r="AS59" s="140"/>
    </row>
    <row r="60" spans="1:55" ht="12.75" x14ac:dyDescent="0.2">
      <c r="A60" s="207" t="s">
        <v>249</v>
      </c>
      <c r="B60" s="33"/>
      <c r="C60" s="67"/>
      <c r="D60" s="124"/>
      <c r="E60" s="95"/>
      <c r="F60" s="95"/>
      <c r="G60" s="95"/>
      <c r="H60" s="95"/>
      <c r="I60" s="95"/>
      <c r="M60" s="206"/>
      <c r="N60" s="206"/>
      <c r="O60" s="124"/>
      <c r="P60" s="95"/>
      <c r="Q60" s="95"/>
      <c r="R60" s="45"/>
      <c r="S60" s="45"/>
      <c r="W60" s="30"/>
      <c r="X60" s="122"/>
      <c r="Y60" s="122"/>
      <c r="Z60" s="152"/>
      <c r="AA60" s="152"/>
      <c r="AB60" s="12"/>
      <c r="AC60" s="139"/>
      <c r="AD60" s="139"/>
      <c r="AE60" s="139"/>
      <c r="AF60" s="139"/>
      <c r="AG60" s="140"/>
      <c r="AH60" s="140"/>
      <c r="AI60" s="139"/>
      <c r="AJ60" s="139"/>
      <c r="AK60" s="139"/>
      <c r="AL60" s="139"/>
      <c r="AM60" s="140"/>
      <c r="AO60" s="139"/>
      <c r="AP60" s="139"/>
      <c r="AQ60" s="139"/>
      <c r="AR60" s="139"/>
      <c r="AS60" s="140"/>
    </row>
    <row r="61" spans="1:55" ht="12.75" x14ac:dyDescent="0.2">
      <c r="B61" s="45" t="s">
        <v>203</v>
      </c>
      <c r="C61" s="109"/>
      <c r="K61" s="45" t="s">
        <v>201</v>
      </c>
      <c r="S61" s="45" t="s">
        <v>202</v>
      </c>
      <c r="U61" s="12"/>
      <c r="V61" s="12"/>
      <c r="W61" s="12"/>
      <c r="X61" s="12"/>
      <c r="Y61" s="12"/>
      <c r="Z61" s="12"/>
      <c r="AA61" s="12"/>
      <c r="AB61" s="12"/>
      <c r="AC61" s="130" t="s">
        <v>204</v>
      </c>
      <c r="AD61" s="46"/>
      <c r="AE61" s="46"/>
      <c r="AF61" s="46"/>
      <c r="AG61" s="46"/>
      <c r="AH61" s="46"/>
      <c r="AI61" s="130" t="s">
        <v>206</v>
      </c>
      <c r="AJ61" s="46"/>
      <c r="AK61" s="46"/>
      <c r="AL61" s="46"/>
      <c r="AM61" s="46"/>
      <c r="AN61" s="45"/>
      <c r="AO61" s="130" t="s">
        <v>207</v>
      </c>
      <c r="AP61" s="12"/>
      <c r="AQ61" s="12"/>
      <c r="AR61" s="12"/>
      <c r="AS61" s="12"/>
      <c r="AU61" s="130" t="s">
        <v>205</v>
      </c>
    </row>
    <row r="62" spans="1:55" ht="12.75" x14ac:dyDescent="0.2">
      <c r="B62" s="57" t="s">
        <v>208</v>
      </c>
      <c r="C62" s="28" t="s">
        <v>190</v>
      </c>
      <c r="D62" s="57" t="s">
        <v>191</v>
      </c>
      <c r="E62" s="28" t="s">
        <v>192</v>
      </c>
      <c r="F62" s="28" t="s">
        <v>193</v>
      </c>
      <c r="G62" s="28" t="s">
        <v>286</v>
      </c>
      <c r="H62" s="57" t="s">
        <v>285</v>
      </c>
      <c r="I62" s="57"/>
      <c r="J62" s="101"/>
      <c r="K62" s="28" t="s">
        <v>76</v>
      </c>
      <c r="L62" s="28" t="s">
        <v>4</v>
      </c>
      <c r="M62" s="57" t="s">
        <v>0</v>
      </c>
      <c r="N62" s="57" t="s">
        <v>1</v>
      </c>
      <c r="O62" s="28" t="s">
        <v>191</v>
      </c>
      <c r="P62" s="28" t="s">
        <v>192</v>
      </c>
      <c r="Q62" s="28" t="s">
        <v>193</v>
      </c>
      <c r="S62" s="28"/>
      <c r="T62" s="28" t="s">
        <v>76</v>
      </c>
      <c r="U62" s="28" t="s">
        <v>4</v>
      </c>
      <c r="V62" s="57" t="s">
        <v>0</v>
      </c>
      <c r="W62" s="28" t="s">
        <v>62</v>
      </c>
      <c r="X62" s="57" t="s">
        <v>217</v>
      </c>
      <c r="Y62" s="57" t="s">
        <v>190</v>
      </c>
      <c r="Z62" s="57" t="s">
        <v>194</v>
      </c>
      <c r="AA62" s="28" t="s">
        <v>195</v>
      </c>
      <c r="AB62" s="12"/>
      <c r="AC62" s="28" t="s">
        <v>0</v>
      </c>
      <c r="AD62" s="28" t="s">
        <v>196</v>
      </c>
      <c r="AE62" s="57" t="s">
        <v>1</v>
      </c>
      <c r="AF62" s="57" t="s">
        <v>197</v>
      </c>
      <c r="AG62" s="57" t="s">
        <v>198</v>
      </c>
      <c r="AH62" s="60"/>
      <c r="AI62" s="28" t="s">
        <v>0</v>
      </c>
      <c r="AJ62" s="28" t="s">
        <v>196</v>
      </c>
      <c r="AK62" s="57" t="s">
        <v>1</v>
      </c>
      <c r="AL62" s="57" t="s">
        <v>197</v>
      </c>
      <c r="AM62" s="57" t="s">
        <v>198</v>
      </c>
      <c r="AO62" s="28" t="s">
        <v>0</v>
      </c>
      <c r="AP62" s="28" t="s">
        <v>196</v>
      </c>
      <c r="AQ62" s="57" t="s">
        <v>1</v>
      </c>
      <c r="AR62" s="57" t="s">
        <v>197</v>
      </c>
      <c r="AS62" s="57" t="s">
        <v>198</v>
      </c>
      <c r="AU62" s="57" t="s">
        <v>199</v>
      </c>
      <c r="AV62" s="28" t="s">
        <v>191</v>
      </c>
      <c r="AW62" s="28" t="s">
        <v>192</v>
      </c>
      <c r="AX62" s="28" t="s">
        <v>193</v>
      </c>
    </row>
    <row r="63" spans="1:55" ht="12.75" x14ac:dyDescent="0.2">
      <c r="A63" s="110" t="s">
        <v>212</v>
      </c>
      <c r="B63" s="52">
        <v>100</v>
      </c>
      <c r="C63" s="54">
        <v>0.04</v>
      </c>
      <c r="D63" s="124">
        <v>0.04</v>
      </c>
      <c r="E63" s="95">
        <v>0.08</v>
      </c>
      <c r="F63" s="95">
        <v>0.16</v>
      </c>
      <c r="G63" s="95"/>
      <c r="H63" s="95">
        <v>0.01</v>
      </c>
      <c r="I63" s="95"/>
      <c r="J63" s="95"/>
      <c r="K63" s="133" t="s">
        <v>75</v>
      </c>
      <c r="L63" s="133" t="s">
        <v>78</v>
      </c>
      <c r="M63" s="52">
        <v>100</v>
      </c>
      <c r="N63" s="52">
        <v>100</v>
      </c>
      <c r="O63" s="124">
        <v>0.5</v>
      </c>
      <c r="P63" s="95">
        <v>0.3</v>
      </c>
      <c r="Q63" s="95">
        <v>0.2</v>
      </c>
      <c r="S63" s="45" t="s">
        <v>212</v>
      </c>
      <c r="T63" s="45" t="s">
        <v>75</v>
      </c>
      <c r="U63" s="131" t="s">
        <v>78</v>
      </c>
      <c r="V63" s="122">
        <f>M63</f>
        <v>100</v>
      </c>
      <c r="W63" s="30">
        <f>X63/V63</f>
        <v>1</v>
      </c>
      <c r="X63" s="122">
        <f>N63</f>
        <v>100</v>
      </c>
      <c r="Y63" s="122">
        <f>V63 * (1 - ABS(C63))</f>
        <v>96</v>
      </c>
      <c r="Z63" s="152" t="s">
        <v>34</v>
      </c>
      <c r="AA63" s="152" t="s">
        <v>34</v>
      </c>
      <c r="AB63" s="12"/>
      <c r="AC63" s="122">
        <f>V63</f>
        <v>100</v>
      </c>
      <c r="AD63" s="30">
        <f>W63*O63</f>
        <v>0.5</v>
      </c>
      <c r="AE63" s="123">
        <f>X63*O63</f>
        <v>50</v>
      </c>
      <c r="AF63" s="123">
        <f>AC63 * (1 + D63) / (1 - H63)</f>
        <v>105.05050505050505</v>
      </c>
      <c r="AG63" s="124">
        <f>(B63 - AF63) / AF63</f>
        <v>-4.8076923076923087E-2</v>
      </c>
      <c r="AH63" s="30"/>
      <c r="AI63" s="122">
        <f>V63</f>
        <v>100</v>
      </c>
      <c r="AJ63" s="30">
        <f>W63*P63</f>
        <v>0.3</v>
      </c>
      <c r="AK63" s="123">
        <f>X63*P63</f>
        <v>30</v>
      </c>
      <c r="AL63" s="123">
        <f>AI63 * (1 + E63) / (1 - H63)</f>
        <v>109.09090909090909</v>
      </c>
      <c r="AM63" s="124">
        <f>(B63 - AL63) / AL63</f>
        <v>-8.3333333333333356E-2</v>
      </c>
      <c r="AO63" s="122">
        <f>V63</f>
        <v>100</v>
      </c>
      <c r="AP63" s="30">
        <f>W63*Q63</f>
        <v>0.2</v>
      </c>
      <c r="AQ63" s="123">
        <f>X63*Q63</f>
        <v>20</v>
      </c>
      <c r="AR63" s="123">
        <f>AO63 * (1 + F63) / (1 - H63)</f>
        <v>117.17171717171716</v>
      </c>
      <c r="AS63" s="124">
        <f>(B63 - AR63) / AR63</f>
        <v>-0.14655172413793097</v>
      </c>
      <c r="AU63" s="32">
        <f>AD63+AJ63+AP63</f>
        <v>1</v>
      </c>
      <c r="AV63" s="32">
        <f>AD63</f>
        <v>0.5</v>
      </c>
      <c r="AW63" s="32">
        <f>AJ63</f>
        <v>0.3</v>
      </c>
      <c r="AX63" s="32">
        <f>AP63</f>
        <v>0.2</v>
      </c>
    </row>
    <row r="64" spans="1:55" ht="12.75" x14ac:dyDescent="0.2">
      <c r="A64" s="181" t="s">
        <v>251</v>
      </c>
      <c r="B64" s="36"/>
      <c r="C64" s="208"/>
      <c r="D64" s="129"/>
      <c r="E64" s="125"/>
      <c r="F64" s="125"/>
      <c r="G64" s="125"/>
      <c r="H64" s="125"/>
      <c r="I64" s="125"/>
      <c r="J64" s="35"/>
      <c r="K64" s="35"/>
      <c r="L64" s="35"/>
      <c r="M64" s="209"/>
      <c r="N64" s="209"/>
      <c r="O64" s="129"/>
      <c r="P64" s="125"/>
      <c r="Q64" s="125"/>
      <c r="R64" s="47"/>
      <c r="S64" s="47"/>
      <c r="T64" s="35"/>
      <c r="U64" s="35"/>
      <c r="V64" s="35"/>
      <c r="W64" s="43"/>
      <c r="X64" s="126"/>
      <c r="Y64" s="126"/>
      <c r="Z64" s="153"/>
      <c r="AA64" s="153"/>
      <c r="AB64" s="41"/>
      <c r="AC64" s="211"/>
      <c r="AD64" s="211"/>
      <c r="AE64" s="211"/>
      <c r="AF64" s="211"/>
      <c r="AG64" s="169"/>
      <c r="AH64" s="169"/>
      <c r="AI64" s="211"/>
      <c r="AJ64" s="211"/>
      <c r="AK64" s="211"/>
      <c r="AL64" s="211"/>
      <c r="AM64" s="169"/>
      <c r="AN64" s="35"/>
      <c r="AO64" s="211"/>
      <c r="AP64" s="211"/>
      <c r="AQ64" s="211"/>
      <c r="AR64" s="211"/>
      <c r="AS64" s="169"/>
      <c r="AT64" s="35"/>
      <c r="AU64" s="35"/>
      <c r="AV64" s="35"/>
      <c r="AW64" s="35"/>
      <c r="AX64" s="35"/>
    </row>
    <row r="65" spans="1:55" ht="12.75" x14ac:dyDescent="0.2">
      <c r="A65" s="150" t="s">
        <v>215</v>
      </c>
      <c r="B65" s="52">
        <v>100</v>
      </c>
      <c r="C65" s="54">
        <v>0.04</v>
      </c>
      <c r="D65" s="124">
        <v>0.04</v>
      </c>
      <c r="E65" s="95">
        <v>0.08</v>
      </c>
      <c r="F65" s="95">
        <v>0.16</v>
      </c>
      <c r="G65" s="95"/>
      <c r="H65" s="95">
        <v>0.01</v>
      </c>
      <c r="I65" s="95"/>
      <c r="K65" s="133" t="s">
        <v>73</v>
      </c>
      <c r="L65" s="130" t="s">
        <v>210</v>
      </c>
      <c r="M65" s="52">
        <v>100</v>
      </c>
      <c r="N65" s="152" t="s">
        <v>34</v>
      </c>
      <c r="O65" s="152" t="s">
        <v>34</v>
      </c>
      <c r="P65" s="152" t="s">
        <v>34</v>
      </c>
      <c r="Q65" s="95">
        <v>1</v>
      </c>
      <c r="S65" s="45" t="s">
        <v>215</v>
      </c>
      <c r="T65" s="45" t="s">
        <v>73</v>
      </c>
      <c r="U65" s="130" t="s">
        <v>210</v>
      </c>
      <c r="V65" s="122">
        <f>M65</f>
        <v>100</v>
      </c>
      <c r="W65" s="30">
        <f>AP63*Q65</f>
        <v>0.2</v>
      </c>
      <c r="X65" s="122">
        <f>V65*W65-(V65*W65*H65)</f>
        <v>19.8</v>
      </c>
      <c r="Y65" s="152" t="s">
        <v>34</v>
      </c>
      <c r="Z65" s="157">
        <f>X65-(V63*W65)</f>
        <v>-0.19999999999999929</v>
      </c>
      <c r="AA65" s="210">
        <f>Z65/(V63*W65)</f>
        <v>-9.9999999999999638E-3</v>
      </c>
      <c r="AB65" s="12"/>
      <c r="AC65" s="122">
        <f>V65</f>
        <v>100</v>
      </c>
      <c r="AD65" s="30">
        <f>AD63</f>
        <v>0.5</v>
      </c>
      <c r="AE65" s="123">
        <f>AE63</f>
        <v>50</v>
      </c>
      <c r="AF65" s="123">
        <f>AF63</f>
        <v>105.05050505050505</v>
      </c>
      <c r="AG65" s="124">
        <f>AG63</f>
        <v>-4.8076923076923087E-2</v>
      </c>
      <c r="AH65" s="30"/>
      <c r="AI65" s="122">
        <f>AI63</f>
        <v>100</v>
      </c>
      <c r="AJ65" s="30">
        <f>AJ63</f>
        <v>0.3</v>
      </c>
      <c r="AK65" s="123">
        <f>AK63</f>
        <v>30</v>
      </c>
      <c r="AL65" s="123">
        <f>AL63</f>
        <v>109.09090909090909</v>
      </c>
      <c r="AM65" s="124">
        <f>AM63</f>
        <v>-8.3333333333333356E-2</v>
      </c>
      <c r="AO65" s="161"/>
      <c r="AP65" s="162"/>
      <c r="AQ65" s="163"/>
      <c r="AR65" s="163"/>
      <c r="AS65" s="148"/>
      <c r="AU65" s="32">
        <f>AD65+AJ65+AP65</f>
        <v>0.8</v>
      </c>
      <c r="AV65" s="32">
        <f>AD65</f>
        <v>0.5</v>
      </c>
      <c r="AW65" s="32">
        <f>AJ65</f>
        <v>0.3</v>
      </c>
      <c r="AX65" s="32">
        <f>AP65</f>
        <v>0</v>
      </c>
    </row>
    <row r="66" spans="1:55" ht="12.75" x14ac:dyDescent="0.2">
      <c r="A66" s="181" t="s">
        <v>250</v>
      </c>
      <c r="B66" s="36"/>
      <c r="C66" s="208"/>
      <c r="D66" s="129"/>
      <c r="E66" s="125"/>
      <c r="F66" s="125"/>
      <c r="G66" s="125"/>
      <c r="H66" s="125"/>
      <c r="I66" s="125"/>
      <c r="J66" s="35"/>
      <c r="K66" s="35"/>
      <c r="L66" s="35"/>
      <c r="M66" s="209"/>
      <c r="N66" s="209"/>
      <c r="O66" s="129"/>
      <c r="P66" s="125"/>
      <c r="Q66" s="125"/>
      <c r="R66" s="47"/>
      <c r="S66" s="47"/>
      <c r="T66" s="35"/>
      <c r="U66" s="35"/>
      <c r="V66" s="35"/>
      <c r="W66" s="43"/>
      <c r="X66" s="126"/>
      <c r="Y66" s="126"/>
      <c r="Z66" s="153"/>
      <c r="AA66" s="153"/>
      <c r="AB66" s="41"/>
      <c r="AC66" s="211"/>
      <c r="AD66" s="211"/>
      <c r="AE66" s="211"/>
      <c r="AF66" s="211"/>
      <c r="AG66" s="169"/>
      <c r="AH66" s="169"/>
      <c r="AI66" s="211"/>
      <c r="AJ66" s="211"/>
      <c r="AK66" s="211"/>
      <c r="AL66" s="211"/>
      <c r="AM66" s="169"/>
      <c r="AN66" s="35"/>
      <c r="AO66" s="211"/>
      <c r="AP66" s="211"/>
      <c r="AQ66" s="211"/>
      <c r="AR66" s="211"/>
      <c r="AS66" s="169"/>
      <c r="AT66" s="35"/>
      <c r="AU66" s="35"/>
      <c r="AV66" s="35"/>
      <c r="AW66" s="35"/>
      <c r="AX66" s="35"/>
    </row>
    <row r="67" spans="1:55" ht="12.75" x14ac:dyDescent="0.2">
      <c r="A67" s="150" t="s">
        <v>252</v>
      </c>
      <c r="B67" s="52">
        <v>100</v>
      </c>
      <c r="C67" s="54">
        <v>0.04</v>
      </c>
      <c r="D67" s="124">
        <v>0.04</v>
      </c>
      <c r="E67" s="95">
        <v>0.08</v>
      </c>
      <c r="F67" s="95"/>
      <c r="G67" s="95"/>
      <c r="H67" s="95">
        <v>0.01</v>
      </c>
      <c r="I67" s="95"/>
      <c r="K67" s="133"/>
      <c r="L67" s="130"/>
      <c r="M67" s="52"/>
      <c r="N67" s="152"/>
      <c r="O67" s="152"/>
      <c r="P67" s="152"/>
      <c r="Q67" s="95"/>
      <c r="S67" s="45"/>
      <c r="T67" s="45"/>
      <c r="U67" s="130"/>
      <c r="V67" s="122"/>
      <c r="W67" s="30"/>
      <c r="X67" s="122"/>
      <c r="Y67" s="152"/>
      <c r="Z67" s="157"/>
      <c r="AA67" s="210"/>
      <c r="AB67" s="12"/>
      <c r="AC67" s="122">
        <f>AC65</f>
        <v>100</v>
      </c>
      <c r="AD67" s="30">
        <f>AD65</f>
        <v>0.5</v>
      </c>
      <c r="AE67" s="123">
        <f>AE65</f>
        <v>50</v>
      </c>
      <c r="AF67" s="123">
        <f>AF65</f>
        <v>105.05050505050505</v>
      </c>
      <c r="AG67" s="124">
        <f>AG65</f>
        <v>-4.8076923076923087E-2</v>
      </c>
      <c r="AH67" s="30"/>
      <c r="AI67" s="122">
        <f>AI65</f>
        <v>100</v>
      </c>
      <c r="AJ67" s="30">
        <f>AJ65</f>
        <v>0.3</v>
      </c>
      <c r="AK67" s="123">
        <f>AK65</f>
        <v>30</v>
      </c>
      <c r="AL67" s="123">
        <f>AL65</f>
        <v>109.09090909090909</v>
      </c>
      <c r="AM67" s="124">
        <f>AM65</f>
        <v>-8.3333333333333356E-2</v>
      </c>
      <c r="AO67" s="203" t="s">
        <v>253</v>
      </c>
      <c r="AP67" s="162"/>
      <c r="AQ67" s="163"/>
      <c r="AR67" s="163"/>
      <c r="AS67" s="148"/>
      <c r="AU67" s="32">
        <f>AD67+AJ67+AP67</f>
        <v>0.8</v>
      </c>
      <c r="AV67" s="32">
        <f>AD67</f>
        <v>0.5</v>
      </c>
      <c r="AW67" s="32">
        <f>AJ67</f>
        <v>0.3</v>
      </c>
      <c r="AX67" s="32"/>
    </row>
    <row r="68" spans="1:55" ht="25.5" x14ac:dyDescent="0.2">
      <c r="A68" s="150" t="s">
        <v>254</v>
      </c>
      <c r="B68" s="33"/>
      <c r="C68" s="67"/>
      <c r="D68" s="124"/>
      <c r="E68" s="95"/>
      <c r="F68" s="95"/>
      <c r="G68" s="95"/>
      <c r="H68" s="95"/>
      <c r="I68" s="95"/>
      <c r="M68" s="206"/>
      <c r="N68" s="206"/>
      <c r="O68" s="124"/>
      <c r="P68" s="95"/>
      <c r="Q68" s="95"/>
      <c r="R68" s="45"/>
      <c r="S68" s="45"/>
      <c r="W68" s="30"/>
      <c r="X68" s="122"/>
      <c r="Y68" s="122"/>
      <c r="Z68" s="152"/>
      <c r="AA68" s="152"/>
      <c r="AB68" s="12"/>
      <c r="AC68" s="139"/>
      <c r="AD68" s="139"/>
      <c r="AE68" s="139"/>
      <c r="AF68" s="139"/>
      <c r="AG68" s="140"/>
      <c r="AH68" s="140"/>
      <c r="AI68" s="139"/>
      <c r="AJ68" s="139"/>
      <c r="AK68" s="139"/>
      <c r="AL68" s="139"/>
      <c r="AM68" s="140"/>
      <c r="AO68" s="139"/>
      <c r="AP68" s="139"/>
      <c r="AQ68" s="139"/>
      <c r="AR68" s="139"/>
      <c r="AS68" s="140"/>
    </row>
    <row r="69" spans="1:55" ht="12.75" x14ac:dyDescent="0.2">
      <c r="A69" t="s">
        <v>246</v>
      </c>
      <c r="C69" s="67"/>
      <c r="D69" s="124"/>
      <c r="E69" s="95"/>
      <c r="F69" s="95"/>
      <c r="G69" s="95"/>
      <c r="H69" s="95"/>
      <c r="I69" s="95"/>
      <c r="M69" s="206"/>
      <c r="N69" s="206"/>
      <c r="O69" s="124"/>
      <c r="P69" s="95"/>
      <c r="Q69" s="95"/>
      <c r="R69" s="45"/>
      <c r="S69" s="45"/>
      <c r="W69" s="30"/>
      <c r="X69" s="122"/>
      <c r="Y69" s="122"/>
      <c r="Z69" s="152"/>
      <c r="AA69" s="152"/>
      <c r="AB69" s="12"/>
      <c r="AC69" s="139"/>
      <c r="AD69" s="139"/>
      <c r="AE69" s="139"/>
      <c r="AF69" s="139"/>
      <c r="AG69" s="140"/>
      <c r="AH69" s="140"/>
      <c r="AI69" s="139"/>
      <c r="AJ69" s="139"/>
      <c r="AK69" s="139"/>
      <c r="AL69" s="139"/>
      <c r="AM69" s="140"/>
      <c r="AO69" s="139"/>
      <c r="AP69" s="139"/>
      <c r="AQ69" s="139"/>
      <c r="AR69" s="139"/>
      <c r="AS69" s="140"/>
    </row>
    <row r="70" spans="1:55" ht="12.75" x14ac:dyDescent="0.2">
      <c r="A70" t="s">
        <v>247</v>
      </c>
      <c r="C70" s="67"/>
      <c r="D70" s="124"/>
      <c r="E70" s="95"/>
      <c r="F70" s="95"/>
      <c r="G70" s="95"/>
      <c r="H70" s="95"/>
      <c r="I70" s="95"/>
      <c r="M70" s="206"/>
      <c r="N70" s="206"/>
      <c r="O70" s="124"/>
      <c r="P70" s="95"/>
      <c r="Q70" s="95"/>
      <c r="R70" s="45"/>
      <c r="S70" s="45"/>
      <c r="W70" s="30"/>
      <c r="X70" s="122"/>
      <c r="Y70" s="122"/>
      <c r="Z70" s="152"/>
      <c r="AA70" s="152"/>
      <c r="AB70" s="12"/>
      <c r="AC70" s="139"/>
      <c r="AD70" s="139"/>
      <c r="AE70" s="139"/>
      <c r="AF70" s="139"/>
      <c r="AG70" s="140"/>
      <c r="AH70" s="140"/>
      <c r="AI70" s="139"/>
      <c r="AJ70" s="139"/>
      <c r="AK70" s="139"/>
      <c r="AL70" s="139"/>
      <c r="AM70" s="140"/>
      <c r="AO70" s="139"/>
      <c r="AP70" s="139"/>
      <c r="AQ70" s="139"/>
      <c r="AR70" s="139"/>
      <c r="AS70" s="140"/>
    </row>
    <row r="71" spans="1:55" ht="12.75" x14ac:dyDescent="0.2">
      <c r="A71" t="s">
        <v>244</v>
      </c>
      <c r="C71" s="67"/>
      <c r="D71" s="124"/>
      <c r="E71" s="95"/>
      <c r="F71" s="95"/>
      <c r="G71" s="95"/>
      <c r="H71" s="95"/>
      <c r="I71" s="95"/>
      <c r="M71" s="206"/>
      <c r="N71" s="206"/>
      <c r="O71" s="124"/>
      <c r="P71" s="95"/>
      <c r="Q71" s="95"/>
      <c r="R71" s="45"/>
      <c r="S71" s="45"/>
      <c r="W71" s="30"/>
      <c r="X71" s="122"/>
      <c r="Y71" s="122"/>
      <c r="Z71" s="152"/>
      <c r="AA71" s="152"/>
      <c r="AB71" s="12"/>
      <c r="AC71" s="139"/>
      <c r="AD71" s="139"/>
      <c r="AE71" s="139"/>
      <c r="AF71" s="139"/>
      <c r="AG71" s="140"/>
      <c r="AH71" s="140"/>
      <c r="AI71" s="139"/>
      <c r="AJ71" s="139"/>
      <c r="AK71" s="139"/>
      <c r="AL71" s="139"/>
      <c r="AM71" s="140"/>
      <c r="AO71" s="139"/>
      <c r="AP71" s="139"/>
      <c r="AQ71" s="139"/>
      <c r="AR71" s="139"/>
      <c r="AS71" s="140"/>
    </row>
    <row r="72" spans="1:55" ht="12.75" x14ac:dyDescent="0.2">
      <c r="A72" t="s">
        <v>245</v>
      </c>
      <c r="C72" s="67"/>
      <c r="D72" s="124"/>
      <c r="E72" s="95"/>
      <c r="F72" s="95"/>
      <c r="G72" s="95"/>
      <c r="H72" s="95"/>
      <c r="I72" s="95"/>
      <c r="M72" s="206"/>
      <c r="N72" s="206"/>
      <c r="O72" s="124"/>
      <c r="P72" s="95"/>
      <c r="Q72" s="95"/>
      <c r="R72" s="45"/>
      <c r="S72" s="45"/>
      <c r="W72" s="30"/>
      <c r="X72" s="122"/>
      <c r="Y72" s="122"/>
      <c r="Z72" s="152"/>
      <c r="AA72" s="152"/>
      <c r="AB72" s="12"/>
      <c r="AC72" s="139"/>
      <c r="AD72" s="139"/>
      <c r="AE72" s="139"/>
      <c r="AF72" s="139"/>
      <c r="AG72" s="140"/>
      <c r="AH72" s="140"/>
      <c r="AI72" s="139"/>
      <c r="AJ72" s="139"/>
      <c r="AK72" s="139"/>
      <c r="AL72" s="139"/>
      <c r="AM72" s="140"/>
      <c r="AO72" s="139"/>
      <c r="AP72" s="139"/>
      <c r="AQ72" s="139"/>
      <c r="AR72" s="139"/>
      <c r="AS72" s="140"/>
    </row>
    <row r="73" spans="1:55" ht="12.75" x14ac:dyDescent="0.2">
      <c r="A73" t="s">
        <v>248</v>
      </c>
      <c r="C73" s="67"/>
      <c r="D73" s="124"/>
      <c r="E73" s="95"/>
      <c r="F73" s="95"/>
      <c r="G73" s="95"/>
      <c r="H73" s="95"/>
      <c r="I73" s="95"/>
      <c r="M73" s="206"/>
      <c r="N73" s="206"/>
      <c r="O73" s="124"/>
      <c r="P73" s="95"/>
      <c r="Q73" s="95"/>
      <c r="R73" s="45"/>
      <c r="S73" s="45"/>
      <c r="W73" s="30"/>
      <c r="X73" s="122"/>
      <c r="Y73" s="122"/>
      <c r="Z73" s="152"/>
      <c r="AA73" s="152"/>
      <c r="AB73" s="12"/>
      <c r="AC73" s="139"/>
      <c r="AD73" s="139"/>
      <c r="AE73" s="139"/>
      <c r="AF73" s="139"/>
      <c r="AG73" s="140"/>
      <c r="AH73" s="140"/>
      <c r="AI73" s="139"/>
      <c r="AJ73" s="139"/>
      <c r="AK73" s="139"/>
      <c r="AL73" s="139"/>
      <c r="AM73" s="140"/>
      <c r="AO73" s="139"/>
      <c r="AP73" s="139"/>
      <c r="AQ73" s="139"/>
      <c r="AR73" s="139"/>
      <c r="AS73" s="140"/>
    </row>
    <row r="74" spans="1:55" ht="12.75" x14ac:dyDescent="0.2">
      <c r="A74" s="181" t="s">
        <v>255</v>
      </c>
      <c r="B74" s="40">
        <v>100</v>
      </c>
      <c r="C74" s="55">
        <v>0.04</v>
      </c>
      <c r="D74" s="129">
        <v>0.05</v>
      </c>
      <c r="E74" s="125">
        <v>0.08</v>
      </c>
      <c r="F74" s="125"/>
      <c r="G74" s="125"/>
      <c r="H74" s="125">
        <v>0.01</v>
      </c>
      <c r="I74" s="125"/>
      <c r="J74" s="35"/>
      <c r="K74" s="35"/>
      <c r="L74" s="35"/>
      <c r="M74" s="209"/>
      <c r="N74" s="209"/>
      <c r="O74" s="129"/>
      <c r="P74" s="125"/>
      <c r="Q74" s="125"/>
      <c r="R74" s="47"/>
      <c r="S74" s="47"/>
      <c r="T74" s="35"/>
      <c r="U74" s="35"/>
      <c r="V74" s="35"/>
      <c r="W74" s="43"/>
      <c r="X74" s="126"/>
      <c r="Y74" s="126"/>
      <c r="Z74" s="153"/>
      <c r="AA74" s="153"/>
      <c r="AB74" s="41"/>
      <c r="AC74" s="126">
        <f>AC67</f>
        <v>100</v>
      </c>
      <c r="AD74" s="43">
        <f>AD67</f>
        <v>0.5</v>
      </c>
      <c r="AE74" s="128">
        <f>AE67</f>
        <v>50</v>
      </c>
      <c r="AF74" s="128">
        <f>AC74 * (1 + D74) / (1 - H74)</f>
        <v>106.06060606060606</v>
      </c>
      <c r="AG74" s="129">
        <f>(B74 - AF74) / AF74</f>
        <v>-5.7142857142857155E-2</v>
      </c>
      <c r="AH74" s="43"/>
      <c r="AI74" s="126">
        <f>AI67</f>
        <v>100</v>
      </c>
      <c r="AJ74" s="43">
        <f>AJ67</f>
        <v>0.3</v>
      </c>
      <c r="AK74" s="128">
        <f>AK67</f>
        <v>30</v>
      </c>
      <c r="AL74" s="128">
        <f>AL67</f>
        <v>109.09090909090909</v>
      </c>
      <c r="AM74" s="129">
        <f>AM67</f>
        <v>-8.3333333333333356E-2</v>
      </c>
      <c r="AN74" s="35"/>
      <c r="AO74" s="211"/>
      <c r="AP74" s="211"/>
      <c r="AQ74" s="211"/>
      <c r="AR74" s="211"/>
      <c r="AS74" s="169"/>
      <c r="AT74" s="35"/>
      <c r="AU74" s="39">
        <f>AD74+AJ74+AP74</f>
        <v>0.8</v>
      </c>
      <c r="AV74" s="39">
        <f>AD74</f>
        <v>0.5</v>
      </c>
      <c r="AW74" s="39">
        <f>AJ74</f>
        <v>0.3</v>
      </c>
      <c r="AX74" s="35"/>
    </row>
    <row r="75" spans="1:55" ht="12.75" x14ac:dyDescent="0.2">
      <c r="A75" s="150"/>
      <c r="B75" s="33"/>
      <c r="C75" s="67"/>
      <c r="D75" s="124"/>
      <c r="E75" s="95"/>
      <c r="F75" s="95"/>
      <c r="G75" s="95"/>
      <c r="H75" s="95"/>
      <c r="I75" s="95"/>
      <c r="M75" s="206"/>
      <c r="N75" s="206"/>
      <c r="O75" s="124"/>
      <c r="P75" s="95"/>
      <c r="Q75" s="95"/>
      <c r="R75" s="45"/>
      <c r="S75" s="45"/>
      <c r="W75" s="30"/>
      <c r="X75" s="122"/>
      <c r="Y75" s="122"/>
      <c r="Z75" s="152"/>
      <c r="AA75" s="152"/>
      <c r="AB75" s="12"/>
      <c r="AC75" s="139"/>
      <c r="AD75" s="139"/>
      <c r="AE75" s="139"/>
      <c r="AF75" s="139"/>
      <c r="AG75" s="140"/>
      <c r="AH75" s="140"/>
      <c r="AI75" s="139"/>
      <c r="AJ75" s="139"/>
      <c r="AK75" s="139"/>
      <c r="AL75" s="139"/>
      <c r="AM75" s="140"/>
      <c r="AO75" s="139"/>
      <c r="AP75" s="139"/>
      <c r="AQ75" s="139"/>
      <c r="AR75" s="139"/>
      <c r="AS75" s="140"/>
    </row>
    <row r="76" spans="1:55" ht="12.75" x14ac:dyDescent="0.2">
      <c r="A76" s="207" t="s">
        <v>258</v>
      </c>
      <c r="B76" s="33"/>
      <c r="C76" s="67"/>
      <c r="D76" s="124"/>
      <c r="E76" s="95"/>
      <c r="F76" s="95"/>
      <c r="G76" s="95"/>
      <c r="H76" s="95"/>
      <c r="I76" s="95"/>
      <c r="M76" s="206"/>
      <c r="N76" s="206"/>
      <c r="O76" s="124"/>
      <c r="P76" s="95"/>
      <c r="Q76" s="95"/>
      <c r="R76" s="45"/>
      <c r="S76" s="45"/>
      <c r="W76" s="30"/>
      <c r="X76" s="122"/>
      <c r="Y76" s="122"/>
      <c r="Z76" s="152"/>
      <c r="AA76" s="152"/>
      <c r="AB76" s="12"/>
      <c r="AC76" s="139"/>
      <c r="AD76" s="139"/>
      <c r="AE76" s="139"/>
      <c r="AF76" s="139"/>
      <c r="AG76" s="140"/>
      <c r="AH76" s="140"/>
      <c r="AI76" s="139"/>
      <c r="AJ76" s="139"/>
      <c r="AK76" s="139"/>
      <c r="AL76" s="139"/>
      <c r="AM76" s="140"/>
      <c r="AO76" s="139"/>
      <c r="AP76" s="139"/>
      <c r="AQ76" s="139"/>
      <c r="AR76" s="139"/>
      <c r="AS76" s="140"/>
    </row>
    <row r="77" spans="1:55" ht="12.75" x14ac:dyDescent="0.2">
      <c r="B77" s="45" t="s">
        <v>203</v>
      </c>
      <c r="C77" s="109"/>
      <c r="K77" s="45" t="s">
        <v>201</v>
      </c>
      <c r="S77" s="45" t="s">
        <v>202</v>
      </c>
      <c r="U77" s="12"/>
      <c r="V77" s="12"/>
      <c r="W77" s="12"/>
      <c r="X77" s="12"/>
      <c r="Y77" s="12"/>
      <c r="Z77" s="12"/>
      <c r="AA77" s="12"/>
      <c r="AB77" s="12"/>
      <c r="AC77" s="130" t="s">
        <v>204</v>
      </c>
      <c r="AD77" s="46"/>
      <c r="AE77" s="46"/>
      <c r="AF77" s="46"/>
      <c r="AG77" s="46"/>
      <c r="AH77" s="46"/>
      <c r="AI77" s="130" t="s">
        <v>206</v>
      </c>
      <c r="AJ77" s="46"/>
      <c r="AK77" s="46"/>
      <c r="AL77" s="46"/>
      <c r="AM77" s="46"/>
      <c r="AN77" s="45"/>
      <c r="AO77" s="130" t="s">
        <v>207</v>
      </c>
      <c r="AP77" s="12"/>
      <c r="AQ77" s="12"/>
      <c r="AR77" s="12"/>
      <c r="AS77" s="12"/>
      <c r="AU77" s="130" t="s">
        <v>205</v>
      </c>
    </row>
    <row r="78" spans="1:55" ht="12.75" x14ac:dyDescent="0.2">
      <c r="B78" s="57" t="s">
        <v>208</v>
      </c>
      <c r="C78" s="28" t="s">
        <v>190</v>
      </c>
      <c r="D78" s="57" t="s">
        <v>191</v>
      </c>
      <c r="E78" s="28" t="s">
        <v>192</v>
      </c>
      <c r="F78" s="28" t="s">
        <v>193</v>
      </c>
      <c r="G78" s="28" t="s">
        <v>286</v>
      </c>
      <c r="H78" s="57" t="s">
        <v>285</v>
      </c>
      <c r="I78" s="57" t="s">
        <v>237</v>
      </c>
      <c r="J78" s="101"/>
      <c r="K78" s="28" t="s">
        <v>76</v>
      </c>
      <c r="L78" s="28" t="s">
        <v>4</v>
      </c>
      <c r="M78" s="57" t="s">
        <v>0</v>
      </c>
      <c r="N78" s="57" t="s">
        <v>1</v>
      </c>
      <c r="O78" s="28" t="s">
        <v>191</v>
      </c>
      <c r="P78" s="28" t="s">
        <v>192</v>
      </c>
      <c r="Q78" s="28" t="s">
        <v>193</v>
      </c>
      <c r="S78" s="28"/>
      <c r="T78" s="28" t="s">
        <v>76</v>
      </c>
      <c r="U78" s="28" t="s">
        <v>4</v>
      </c>
      <c r="V78" s="57" t="s">
        <v>0</v>
      </c>
      <c r="W78" s="28" t="s">
        <v>62</v>
      </c>
      <c r="X78" s="57" t="s">
        <v>217</v>
      </c>
      <c r="Y78" s="57" t="s">
        <v>190</v>
      </c>
      <c r="Z78" s="57" t="s">
        <v>194</v>
      </c>
      <c r="AA78" s="28" t="s">
        <v>195</v>
      </c>
      <c r="AB78" s="12"/>
      <c r="AC78" s="28" t="s">
        <v>0</v>
      </c>
      <c r="AD78" s="28" t="s">
        <v>196</v>
      </c>
      <c r="AE78" s="57" t="s">
        <v>1</v>
      </c>
      <c r="AF78" s="57" t="s">
        <v>197</v>
      </c>
      <c r="AG78" s="57" t="s">
        <v>198</v>
      </c>
      <c r="AH78" s="60"/>
      <c r="AI78" s="28" t="s">
        <v>0</v>
      </c>
      <c r="AJ78" s="28" t="s">
        <v>196</v>
      </c>
      <c r="AK78" s="57" t="s">
        <v>1</v>
      </c>
      <c r="AL78" s="57" t="s">
        <v>197</v>
      </c>
      <c r="AM78" s="57" t="s">
        <v>198</v>
      </c>
      <c r="AO78" s="28" t="s">
        <v>0</v>
      </c>
      <c r="AP78" s="28" t="s">
        <v>196</v>
      </c>
      <c r="AQ78" s="57" t="s">
        <v>1</v>
      </c>
      <c r="AR78" s="57" t="s">
        <v>197</v>
      </c>
      <c r="AS78" s="57" t="s">
        <v>198</v>
      </c>
      <c r="AU78" s="57" t="s">
        <v>199</v>
      </c>
      <c r="AV78" s="28" t="s">
        <v>191</v>
      </c>
      <c r="AW78" s="28" t="s">
        <v>192</v>
      </c>
      <c r="AX78" s="28" t="s">
        <v>193</v>
      </c>
      <c r="AY78" s="57" t="s">
        <v>79</v>
      </c>
      <c r="AZ78" s="57" t="s">
        <v>235</v>
      </c>
      <c r="BA78" s="57" t="s">
        <v>234</v>
      </c>
      <c r="BB78" s="57" t="s">
        <v>243</v>
      </c>
      <c r="BC78" s="57" t="s">
        <v>236</v>
      </c>
    </row>
    <row r="79" spans="1:55" ht="12.75" x14ac:dyDescent="0.2">
      <c r="A79" s="110" t="s">
        <v>212</v>
      </c>
      <c r="B79" s="52">
        <v>100</v>
      </c>
      <c r="C79" s="54">
        <v>0.02</v>
      </c>
      <c r="D79" s="124">
        <v>0.04</v>
      </c>
      <c r="E79" s="95">
        <v>0.08</v>
      </c>
      <c r="F79" s="95">
        <v>0.16</v>
      </c>
      <c r="G79" s="95"/>
      <c r="H79" s="95">
        <v>5.0000000000000001E-3</v>
      </c>
      <c r="I79" s="63">
        <v>1200</v>
      </c>
      <c r="J79" s="95"/>
      <c r="K79" s="133" t="s">
        <v>75</v>
      </c>
      <c r="L79" s="133" t="s">
        <v>78</v>
      </c>
      <c r="M79" s="52">
        <v>100</v>
      </c>
      <c r="N79" s="52">
        <v>300</v>
      </c>
      <c r="O79" s="124">
        <v>0.5</v>
      </c>
      <c r="P79" s="95">
        <v>0.3</v>
      </c>
      <c r="Q79" s="95">
        <v>0.2</v>
      </c>
      <c r="S79" s="45" t="s">
        <v>212</v>
      </c>
      <c r="T79" s="45" t="s">
        <v>75</v>
      </c>
      <c r="U79" s="131" t="s">
        <v>78</v>
      </c>
      <c r="V79" s="122">
        <f>M79</f>
        <v>100</v>
      </c>
      <c r="W79" s="30">
        <f>X79/V79</f>
        <v>3</v>
      </c>
      <c r="X79" s="122">
        <f>N79</f>
        <v>300</v>
      </c>
      <c r="Y79" s="122">
        <f>V79 * (1 - ABS(C79))</f>
        <v>98</v>
      </c>
      <c r="Z79" s="152" t="s">
        <v>34</v>
      </c>
      <c r="AA79" s="152" t="s">
        <v>34</v>
      </c>
      <c r="AB79" s="12"/>
      <c r="AC79" s="122">
        <f>V79</f>
        <v>100</v>
      </c>
      <c r="AD79" s="30">
        <f>W79*O79</f>
        <v>1.5</v>
      </c>
      <c r="AE79" s="123">
        <f>X79*O79</f>
        <v>150</v>
      </c>
      <c r="AF79" s="123">
        <f>AC79 * (1 + D79) / (1 - H79)</f>
        <v>104.52261306532664</v>
      </c>
      <c r="AG79" s="124">
        <f>(B79 - AF79) / AF79</f>
        <v>-4.3269230769230817E-2</v>
      </c>
      <c r="AH79" s="30"/>
      <c r="AI79" s="122">
        <f>V79</f>
        <v>100</v>
      </c>
      <c r="AJ79" s="30">
        <f>W79*P79</f>
        <v>0.89999999999999991</v>
      </c>
      <c r="AK79" s="123">
        <f>X79*P79</f>
        <v>90</v>
      </c>
      <c r="AL79" s="123">
        <f>AI79 * (1 + E79) / (1 - H79)</f>
        <v>108.5427135678392</v>
      </c>
      <c r="AM79" s="124">
        <f>(B79 - AL79) / AL79</f>
        <v>-7.8703703703703748E-2</v>
      </c>
      <c r="AO79" s="122">
        <f>V79</f>
        <v>100</v>
      </c>
      <c r="AP79" s="30">
        <f>W79*Q79</f>
        <v>0.60000000000000009</v>
      </c>
      <c r="AQ79" s="123">
        <f>X79*Q79</f>
        <v>60</v>
      </c>
      <c r="AR79" s="123">
        <f>AO79 * (1 + F79) / (1 - H79)</f>
        <v>116.58291457286431</v>
      </c>
      <c r="AS79" s="124">
        <f>(B79 - AR79) / AR79</f>
        <v>-0.14224137931034475</v>
      </c>
      <c r="AU79" s="32">
        <f>AX79+AW79+AV79</f>
        <v>3</v>
      </c>
      <c r="AV79" s="32">
        <f>AD79</f>
        <v>1.5</v>
      </c>
      <c r="AW79" s="32">
        <f>AJ79</f>
        <v>0.89999999999999991</v>
      </c>
      <c r="AX79" s="32">
        <f>AP79</f>
        <v>0.60000000000000009</v>
      </c>
      <c r="AY79" s="195">
        <f>N79</f>
        <v>300</v>
      </c>
      <c r="AZ79" s="63">
        <v>0</v>
      </c>
      <c r="BA79" s="122">
        <f>AU79*B79</f>
        <v>300</v>
      </c>
      <c r="BB79" s="196">
        <f>(AZ79+BA79-AY79)/AY79</f>
        <v>0</v>
      </c>
      <c r="BC79" s="63">
        <f>I79-AY79+AZ79</f>
        <v>900</v>
      </c>
    </row>
    <row r="80" spans="1:55" ht="12.75" x14ac:dyDescent="0.2">
      <c r="A80" s="181" t="s">
        <v>215</v>
      </c>
      <c r="B80" s="40">
        <v>110</v>
      </c>
      <c r="C80" s="55">
        <v>0.02</v>
      </c>
      <c r="D80" s="129">
        <v>0.04</v>
      </c>
      <c r="E80" s="125">
        <v>0.08</v>
      </c>
      <c r="F80" s="125">
        <v>0.16</v>
      </c>
      <c r="G80" s="125"/>
      <c r="H80" s="125">
        <v>5.0000000000000001E-3</v>
      </c>
      <c r="I80" s="65">
        <v>1200</v>
      </c>
      <c r="J80" s="125"/>
      <c r="K80" s="134" t="s">
        <v>73</v>
      </c>
      <c r="L80" s="134" t="s">
        <v>216</v>
      </c>
      <c r="M80" s="40">
        <v>110</v>
      </c>
      <c r="N80" s="153" t="s">
        <v>34</v>
      </c>
      <c r="O80" s="129">
        <v>0.5</v>
      </c>
      <c r="P80" s="153" t="s">
        <v>34</v>
      </c>
      <c r="Q80" s="153" t="s">
        <v>34</v>
      </c>
      <c r="R80" s="35"/>
      <c r="S80" s="47" t="s">
        <v>215</v>
      </c>
      <c r="T80" s="47" t="s">
        <v>73</v>
      </c>
      <c r="U80" s="202" t="s">
        <v>216</v>
      </c>
      <c r="V80" s="126">
        <f>M80</f>
        <v>110</v>
      </c>
      <c r="W80" s="43">
        <f>AD79*O80</f>
        <v>0.75</v>
      </c>
      <c r="X80" s="126">
        <f>V80*W80-(V80*W80*H80)</f>
        <v>82.087500000000006</v>
      </c>
      <c r="Y80" s="153" t="s">
        <v>34</v>
      </c>
      <c r="Z80" s="153">
        <f>X80-(V79*W80)</f>
        <v>7.0875000000000057</v>
      </c>
      <c r="AA80" s="198">
        <f>Z80/(V79*W80)</f>
        <v>9.450000000000007E-2</v>
      </c>
      <c r="AB80" s="41"/>
      <c r="AC80" s="126">
        <f>AC79</f>
        <v>100</v>
      </c>
      <c r="AD80" s="43">
        <f>AD79-W80</f>
        <v>0.75</v>
      </c>
      <c r="AE80" s="128">
        <f>AE79*O80</f>
        <v>75</v>
      </c>
      <c r="AF80" s="128">
        <f>AC80 * (1 + D80) / (1 - H80)</f>
        <v>104.52261306532664</v>
      </c>
      <c r="AG80" s="129">
        <f>(B80 - AF80) / AF80</f>
        <v>5.2403846153846106E-2</v>
      </c>
      <c r="AH80" s="43"/>
      <c r="AI80" s="126">
        <f>AI79</f>
        <v>100</v>
      </c>
      <c r="AJ80" s="43">
        <f>AJ79</f>
        <v>0.89999999999999991</v>
      </c>
      <c r="AK80" s="128">
        <f>AK79</f>
        <v>90</v>
      </c>
      <c r="AL80" s="128">
        <f>AI80 * (1 + E80) / (1 - H80)</f>
        <v>108.5427135678392</v>
      </c>
      <c r="AM80" s="129">
        <f>(B80 - AL80) / AL80</f>
        <v>1.3425925925925883E-2</v>
      </c>
      <c r="AN80" s="35"/>
      <c r="AO80" s="126">
        <f t="shared" ref="AO80:AQ81" si="10">AO79</f>
        <v>100</v>
      </c>
      <c r="AP80" s="43">
        <f t="shared" si="10"/>
        <v>0.60000000000000009</v>
      </c>
      <c r="AQ80" s="128">
        <f t="shared" si="10"/>
        <v>60</v>
      </c>
      <c r="AR80" s="128">
        <f>AO80 * (1 + F80) / (1 - H80)</f>
        <v>116.58291457286431</v>
      </c>
      <c r="AS80" s="129">
        <f>(B80 - AR80) / AR80</f>
        <v>-5.6465517241379229E-2</v>
      </c>
      <c r="AT80" s="35"/>
      <c r="AU80" s="39">
        <f>AX80+AW80+AV80</f>
        <v>2.25</v>
      </c>
      <c r="AV80" s="39">
        <f>AD80</f>
        <v>0.75</v>
      </c>
      <c r="AW80" s="39">
        <f>AJ80</f>
        <v>0.89999999999999991</v>
      </c>
      <c r="AX80" s="39">
        <f>AP80</f>
        <v>0.60000000000000009</v>
      </c>
      <c r="AY80" s="200">
        <f>AY79</f>
        <v>300</v>
      </c>
      <c r="AZ80" s="65">
        <f>X80</f>
        <v>82.087500000000006</v>
      </c>
      <c r="BA80" s="126">
        <f>AU80*B80</f>
        <v>247.5</v>
      </c>
      <c r="BB80" s="201">
        <f>(AZ80+BA80-AY80)/AY80</f>
        <v>9.8624999999999921E-2</v>
      </c>
      <c r="BC80" s="65">
        <f>I80-AY80+AZ80</f>
        <v>982.08749999999998</v>
      </c>
    </row>
    <row r="81" spans="1:55" ht="12.75" x14ac:dyDescent="0.2">
      <c r="A81" s="150" t="s">
        <v>213</v>
      </c>
      <c r="B81" s="52">
        <v>90</v>
      </c>
      <c r="C81" s="54">
        <v>0.02</v>
      </c>
      <c r="D81" s="124">
        <v>0.04</v>
      </c>
      <c r="E81" s="95">
        <v>0.08</v>
      </c>
      <c r="F81" s="95">
        <v>0.16</v>
      </c>
      <c r="G81" s="95"/>
      <c r="H81" s="95">
        <v>5.0000000000000001E-3</v>
      </c>
      <c r="I81" s="63">
        <v>1200</v>
      </c>
      <c r="J81" s="95"/>
      <c r="K81" s="133" t="s">
        <v>75</v>
      </c>
      <c r="L81" s="133" t="s">
        <v>211</v>
      </c>
      <c r="M81" s="52">
        <v>90</v>
      </c>
      <c r="N81" s="52">
        <v>200</v>
      </c>
      <c r="O81" s="124">
        <v>0.5</v>
      </c>
      <c r="P81" s="95">
        <v>0.5</v>
      </c>
      <c r="Q81" s="95">
        <v>0</v>
      </c>
      <c r="S81" s="45" t="s">
        <v>213</v>
      </c>
      <c r="T81" s="45" t="s">
        <v>75</v>
      </c>
      <c r="U81" s="131" t="s">
        <v>211</v>
      </c>
      <c r="V81" s="122">
        <f>M81</f>
        <v>90</v>
      </c>
      <c r="W81" s="30">
        <f>X81/V81</f>
        <v>2.2222222222222223</v>
      </c>
      <c r="X81" s="122">
        <f>N81</f>
        <v>200</v>
      </c>
      <c r="Y81" s="122">
        <f>V81 * (1 - ABS(C81))</f>
        <v>88.2</v>
      </c>
      <c r="Z81" s="152" t="s">
        <v>34</v>
      </c>
      <c r="AA81" s="152" t="s">
        <v>34</v>
      </c>
      <c r="AB81" s="12"/>
      <c r="AC81" s="122">
        <f>V81</f>
        <v>90</v>
      </c>
      <c r="AD81" s="30">
        <f>W81*O81</f>
        <v>1.1111111111111112</v>
      </c>
      <c r="AE81" s="123">
        <f>X81*O81</f>
        <v>100</v>
      </c>
      <c r="AF81" s="123">
        <f>AC81 * (1 + D81) / (1 - H81)</f>
        <v>94.070351758793976</v>
      </c>
      <c r="AG81" s="124">
        <f>(B81 - AF81) / AF81</f>
        <v>-4.3269230769230831E-2</v>
      </c>
      <c r="AH81" s="30"/>
      <c r="AI81" s="122">
        <f>V81</f>
        <v>90</v>
      </c>
      <c r="AJ81" s="30">
        <f>W81*P81</f>
        <v>1.1111111111111112</v>
      </c>
      <c r="AK81" s="123">
        <f>X81*P81</f>
        <v>100</v>
      </c>
      <c r="AL81" s="123">
        <f>AI81 * (1 + E81) / (1 - H81)</f>
        <v>97.688442211055275</v>
      </c>
      <c r="AM81" s="124">
        <f>(B81 - AL81) / AL81</f>
        <v>-7.8703703703703692E-2</v>
      </c>
      <c r="AO81" s="122">
        <f t="shared" si="10"/>
        <v>100</v>
      </c>
      <c r="AP81" s="30">
        <f t="shared" si="10"/>
        <v>0.60000000000000009</v>
      </c>
      <c r="AQ81" s="123">
        <f t="shared" si="10"/>
        <v>60</v>
      </c>
      <c r="AR81" s="123">
        <f>AO81 * (1 + F81) / (1 - H81)</f>
        <v>116.58291457286431</v>
      </c>
      <c r="AS81" s="124">
        <f>(B81 - AR81) / AR81</f>
        <v>-0.22801724137931029</v>
      </c>
      <c r="AU81" s="32">
        <f>AX81+AW81+AV81</f>
        <v>4.4722222222222223</v>
      </c>
      <c r="AV81" s="32">
        <f>AD81+AD82</f>
        <v>1.8611111111111112</v>
      </c>
      <c r="AW81" s="32">
        <f>AJ81+AJ82</f>
        <v>2.0111111111111111</v>
      </c>
      <c r="AX81" s="32">
        <f>AP81</f>
        <v>0.60000000000000009</v>
      </c>
      <c r="AY81" s="195">
        <f>AY80+N81-AZ80</f>
        <v>417.91250000000002</v>
      </c>
      <c r="AZ81" s="63">
        <v>0</v>
      </c>
      <c r="BA81" s="122">
        <f>AU81*B81</f>
        <v>402.5</v>
      </c>
      <c r="BB81" s="196">
        <f>(AZ81+BA81-AY81)/AY81</f>
        <v>-3.6879729608470725E-2</v>
      </c>
      <c r="BC81" s="63">
        <f>I81-AY81+AZ81</f>
        <v>782.08749999999998</v>
      </c>
    </row>
    <row r="82" spans="1:55" ht="12.75" x14ac:dyDescent="0.2">
      <c r="A82" s="150"/>
      <c r="B82" s="33"/>
      <c r="C82" s="67"/>
      <c r="D82" s="124"/>
      <c r="E82" s="95"/>
      <c r="F82" s="95"/>
      <c r="G82" s="95"/>
      <c r="H82" s="95"/>
      <c r="I82" s="95"/>
      <c r="M82" s="206"/>
      <c r="O82" s="152"/>
      <c r="P82" s="95"/>
      <c r="Q82" s="95"/>
      <c r="R82" s="45"/>
      <c r="S82" s="45" t="s">
        <v>215</v>
      </c>
      <c r="T82" s="45" t="s">
        <v>73</v>
      </c>
      <c r="U82" s="131" t="s">
        <v>216</v>
      </c>
      <c r="V82" s="122">
        <f>V80</f>
        <v>110</v>
      </c>
      <c r="W82" s="30">
        <f>W80</f>
        <v>0.75</v>
      </c>
      <c r="X82" s="122">
        <f>X80</f>
        <v>82.087500000000006</v>
      </c>
      <c r="Y82" s="152" t="s">
        <v>34</v>
      </c>
      <c r="Z82" s="152">
        <f>Z80</f>
        <v>7.0875000000000057</v>
      </c>
      <c r="AA82" s="160">
        <f>AA80</f>
        <v>9.450000000000007E-2</v>
      </c>
      <c r="AB82" s="12"/>
      <c r="AC82" s="122">
        <f>AC80</f>
        <v>100</v>
      </c>
      <c r="AD82" s="30">
        <f>AD80</f>
        <v>0.75</v>
      </c>
      <c r="AE82" s="156">
        <f>AE80</f>
        <v>75</v>
      </c>
      <c r="AF82" s="156">
        <f>AC82 * (1 + D81) / (1 - H81)</f>
        <v>104.52261306532664</v>
      </c>
      <c r="AG82" s="124">
        <f>(B81 - AF82) / AF82</f>
        <v>-0.13894230769230773</v>
      </c>
      <c r="AH82" s="30"/>
      <c r="AI82" s="122">
        <f>AI80</f>
        <v>100</v>
      </c>
      <c r="AJ82" s="30">
        <f>AJ80</f>
        <v>0.89999999999999991</v>
      </c>
      <c r="AK82" s="156">
        <f>AK80</f>
        <v>90</v>
      </c>
      <c r="AL82" s="156">
        <f>AI82 * (1 + E81) / (1 - H81)</f>
        <v>108.5427135678392</v>
      </c>
      <c r="AM82" s="124">
        <f>(B81 - AL82) / AL82</f>
        <v>-0.17083333333333336</v>
      </c>
      <c r="AO82" s="122"/>
      <c r="AP82" s="30"/>
      <c r="AQ82" s="156"/>
      <c r="AR82" s="156"/>
      <c r="AS82" s="124"/>
    </row>
    <row r="83" spans="1:55" ht="12.75" x14ac:dyDescent="0.2">
      <c r="A83" s="150"/>
      <c r="B83" s="33"/>
      <c r="C83" s="67"/>
      <c r="D83" s="124"/>
      <c r="E83" s="95"/>
      <c r="F83" s="95"/>
      <c r="G83" s="95"/>
      <c r="H83" s="95"/>
      <c r="I83" s="95"/>
      <c r="M83" s="206"/>
      <c r="N83" s="206"/>
      <c r="O83" s="124"/>
      <c r="P83" s="95"/>
      <c r="Q83" s="95"/>
      <c r="R83" s="45"/>
      <c r="S83" s="45" t="s">
        <v>212</v>
      </c>
      <c r="T83" s="45" t="s">
        <v>75</v>
      </c>
      <c r="U83" s="131" t="s">
        <v>78</v>
      </c>
      <c r="V83" s="122">
        <f>V79</f>
        <v>100</v>
      </c>
      <c r="W83" s="30">
        <f>W79</f>
        <v>3</v>
      </c>
      <c r="X83" s="122">
        <f>X79</f>
        <v>300</v>
      </c>
      <c r="Y83" s="122">
        <f>Y79</f>
        <v>98</v>
      </c>
      <c r="Z83" s="152" t="s">
        <v>34</v>
      </c>
      <c r="AA83" s="152" t="s">
        <v>34</v>
      </c>
      <c r="AB83" s="12"/>
      <c r="AC83" s="139"/>
      <c r="AD83" s="139"/>
      <c r="AE83" s="139"/>
      <c r="AF83" s="139"/>
      <c r="AG83" s="140"/>
      <c r="AH83" s="140"/>
      <c r="AI83" s="139"/>
      <c r="AJ83" s="139"/>
      <c r="AK83" s="139"/>
      <c r="AL83" s="139"/>
      <c r="AM83" s="140"/>
      <c r="AO83" s="139"/>
      <c r="AP83" s="139"/>
      <c r="AQ83" s="139"/>
      <c r="AR83" s="139"/>
      <c r="AS83" s="140"/>
    </row>
    <row r="84" spans="1:55" ht="12.75" x14ac:dyDescent="0.2">
      <c r="A84" s="181" t="s">
        <v>85</v>
      </c>
      <c r="B84" s="40">
        <v>45</v>
      </c>
      <c r="C84" s="55">
        <v>0.02</v>
      </c>
      <c r="D84" s="129">
        <v>0.04</v>
      </c>
      <c r="E84" s="125">
        <v>0.08</v>
      </c>
      <c r="F84" s="125">
        <v>0.16</v>
      </c>
      <c r="G84" s="125"/>
      <c r="H84" s="125">
        <v>5.0000000000000001E-3</v>
      </c>
      <c r="I84" s="65">
        <v>1200</v>
      </c>
      <c r="J84" s="125"/>
      <c r="K84" s="134" t="s">
        <v>70</v>
      </c>
      <c r="L84" s="213">
        <v>2</v>
      </c>
      <c r="M84" s="40"/>
      <c r="N84" s="40"/>
      <c r="O84" s="129"/>
      <c r="P84" s="125"/>
      <c r="Q84" s="125"/>
      <c r="R84" s="35"/>
      <c r="S84" s="47" t="s">
        <v>213</v>
      </c>
      <c r="T84" s="47" t="s">
        <v>75</v>
      </c>
      <c r="U84" s="202" t="s">
        <v>211</v>
      </c>
      <c r="V84" s="126">
        <f>V81</f>
        <v>90</v>
      </c>
      <c r="W84" s="43">
        <f>W81</f>
        <v>2.2222222222222223</v>
      </c>
      <c r="X84" s="126">
        <f>X81</f>
        <v>200</v>
      </c>
      <c r="Y84" s="126">
        <f>Y81</f>
        <v>88.2</v>
      </c>
      <c r="Z84" s="153" t="s">
        <v>34</v>
      </c>
      <c r="AA84" s="153" t="s">
        <v>34</v>
      </c>
      <c r="AB84" s="41"/>
      <c r="AC84" s="126">
        <f>AC81/L84</f>
        <v>45</v>
      </c>
      <c r="AD84" s="43">
        <f>AD81*L84</f>
        <v>2.2222222222222223</v>
      </c>
      <c r="AE84" s="128">
        <f>AE81</f>
        <v>100</v>
      </c>
      <c r="AF84" s="128">
        <f>AC84 * (1 + D84) / (1 - H84)</f>
        <v>47.035175879396988</v>
      </c>
      <c r="AG84" s="129">
        <f>AG81</f>
        <v>-4.3269230769230831E-2</v>
      </c>
      <c r="AH84" s="43"/>
      <c r="AI84" s="126">
        <f>AI81/L84</f>
        <v>45</v>
      </c>
      <c r="AJ84" s="43">
        <f>AJ81*L84</f>
        <v>2.2222222222222223</v>
      </c>
      <c r="AK84" s="128">
        <f>AK81</f>
        <v>100</v>
      </c>
      <c r="AL84" s="128">
        <f>AI84 * (1 + E84) / (1 - H84)</f>
        <v>48.844221105527637</v>
      </c>
      <c r="AM84" s="129">
        <f>(B84 - AL84) / AL84</f>
        <v>-7.8703703703703692E-2</v>
      </c>
      <c r="AN84" s="35"/>
      <c r="AO84" s="126">
        <f>AO81/L84</f>
        <v>50</v>
      </c>
      <c r="AP84" s="43">
        <f>AP81*L84</f>
        <v>1.2000000000000002</v>
      </c>
      <c r="AQ84" s="128">
        <f>AQ81</f>
        <v>60</v>
      </c>
      <c r="AR84" s="128">
        <f>AO84 * (1 + F84) / (1 - H84)</f>
        <v>58.291457286432156</v>
      </c>
      <c r="AS84" s="129">
        <f>(B84 - AR84) / AR84</f>
        <v>-0.22801724137931029</v>
      </c>
      <c r="AT84" s="35"/>
      <c r="AU84" s="39">
        <f>AX84+AW84+AV84</f>
        <v>8.9444444444444446</v>
      </c>
      <c r="AV84" s="39">
        <f>AD84+AD85</f>
        <v>3.7222222222222223</v>
      </c>
      <c r="AW84" s="39">
        <f>AJ84+AJ85</f>
        <v>4.0222222222222221</v>
      </c>
      <c r="AX84" s="39">
        <f>AP84</f>
        <v>1.2000000000000002</v>
      </c>
      <c r="AY84" s="200">
        <f>AY81</f>
        <v>417.91250000000002</v>
      </c>
      <c r="AZ84" s="65">
        <f>AZ81</f>
        <v>0</v>
      </c>
      <c r="BA84" s="126">
        <f>AU84*B84</f>
        <v>402.5</v>
      </c>
      <c r="BB84" s="201">
        <f>(AZ84+BA84-AY84)/AY84</f>
        <v>-3.6879729608470725E-2</v>
      </c>
      <c r="BC84" s="65">
        <f>I84-AY84+AZ84</f>
        <v>782.08749999999998</v>
      </c>
    </row>
    <row r="85" spans="1:55" ht="15.75" customHeight="1" x14ac:dyDescent="0.2">
      <c r="A85" s="35"/>
      <c r="B85" s="36"/>
      <c r="C85" s="208"/>
      <c r="D85" s="129"/>
      <c r="E85" s="125"/>
      <c r="F85" s="125"/>
      <c r="G85" s="125"/>
      <c r="H85" s="125"/>
      <c r="I85" s="125"/>
      <c r="J85" s="35"/>
      <c r="K85" s="35"/>
      <c r="L85" s="35"/>
      <c r="M85" s="209"/>
      <c r="N85" s="35"/>
      <c r="O85" s="153"/>
      <c r="P85" s="125"/>
      <c r="Q85" s="125"/>
      <c r="R85" s="47"/>
      <c r="S85" s="47" t="s">
        <v>215</v>
      </c>
      <c r="T85" s="47" t="s">
        <v>73</v>
      </c>
      <c r="U85" s="202" t="s">
        <v>216</v>
      </c>
      <c r="V85" s="126">
        <f t="shared" ref="V85:X86" si="11">V82</f>
        <v>110</v>
      </c>
      <c r="W85" s="43">
        <f t="shared" si="11"/>
        <v>0.75</v>
      </c>
      <c r="X85" s="126">
        <f t="shared" si="11"/>
        <v>82.087500000000006</v>
      </c>
      <c r="Y85" s="153" t="s">
        <v>34</v>
      </c>
      <c r="Z85" s="153">
        <f>Z82</f>
        <v>7.0875000000000057</v>
      </c>
      <c r="AA85" s="198">
        <f>AA82</f>
        <v>9.450000000000007E-2</v>
      </c>
      <c r="AB85" s="41"/>
      <c r="AC85" s="126">
        <f>AC82/L84</f>
        <v>50</v>
      </c>
      <c r="AD85" s="43">
        <f>AD82*L84</f>
        <v>1.5</v>
      </c>
      <c r="AE85" s="128">
        <f>AE82</f>
        <v>75</v>
      </c>
      <c r="AF85" s="128">
        <f>AC85 * (1 + D84) / (1 - H84)</f>
        <v>52.261306532663319</v>
      </c>
      <c r="AG85" s="129">
        <f>AG82</f>
        <v>-0.13894230769230773</v>
      </c>
      <c r="AH85" s="43"/>
      <c r="AI85" s="126">
        <f>AI82/L84</f>
        <v>50</v>
      </c>
      <c r="AJ85" s="43">
        <f>AJ82*L84</f>
        <v>1.7999999999999998</v>
      </c>
      <c r="AK85" s="128">
        <f>AK82</f>
        <v>90</v>
      </c>
      <c r="AL85" s="128">
        <f>AI85 * (1 + E84) / (1 - H84)</f>
        <v>54.2713567839196</v>
      </c>
      <c r="AM85" s="129">
        <f>(B84 - AL85) / AL85</f>
        <v>-0.17083333333333336</v>
      </c>
      <c r="AN85" s="35"/>
      <c r="AO85" s="126"/>
      <c r="AP85" s="43"/>
      <c r="AQ85" s="128"/>
      <c r="AR85" s="128"/>
      <c r="AS85" s="129"/>
      <c r="AT85" s="35"/>
      <c r="AU85" s="35"/>
      <c r="AV85" s="35"/>
      <c r="AW85" s="35"/>
      <c r="AX85" s="35"/>
      <c r="AY85" s="35"/>
      <c r="AZ85" s="35"/>
      <c r="BA85" s="35"/>
      <c r="BB85" s="35"/>
      <c r="BC85" s="35"/>
    </row>
    <row r="86" spans="1:55" ht="12.75" x14ac:dyDescent="0.2">
      <c r="A86" s="181"/>
      <c r="B86" s="36"/>
      <c r="C86" s="208"/>
      <c r="D86" s="129"/>
      <c r="E86" s="125"/>
      <c r="F86" s="125"/>
      <c r="G86" s="125"/>
      <c r="H86" s="125"/>
      <c r="I86" s="125"/>
      <c r="J86" s="35"/>
      <c r="K86" s="35"/>
      <c r="L86" s="35"/>
      <c r="M86" s="209"/>
      <c r="N86" s="209"/>
      <c r="O86" s="129"/>
      <c r="P86" s="125"/>
      <c r="Q86" s="125"/>
      <c r="R86" s="47"/>
      <c r="S86" s="47" t="s">
        <v>212</v>
      </c>
      <c r="T86" s="47" t="s">
        <v>75</v>
      </c>
      <c r="U86" s="202" t="s">
        <v>78</v>
      </c>
      <c r="V86" s="126">
        <f t="shared" si="11"/>
        <v>100</v>
      </c>
      <c r="W86" s="43">
        <f t="shared" si="11"/>
        <v>3</v>
      </c>
      <c r="X86" s="126">
        <f t="shared" si="11"/>
        <v>300</v>
      </c>
      <c r="Y86" s="126" t="str">
        <f>Y82</f>
        <v>-</v>
      </c>
      <c r="Z86" s="153" t="s">
        <v>34</v>
      </c>
      <c r="AA86" s="153" t="s">
        <v>34</v>
      </c>
      <c r="AB86" s="41"/>
      <c r="AC86" s="211"/>
      <c r="AD86" s="211"/>
      <c r="AE86" s="211"/>
      <c r="AF86" s="211"/>
      <c r="AG86" s="169"/>
      <c r="AH86" s="169"/>
      <c r="AI86" s="211"/>
      <c r="AJ86" s="211"/>
      <c r="AK86" s="211"/>
      <c r="AL86" s="211"/>
      <c r="AM86" s="169"/>
      <c r="AN86" s="35"/>
      <c r="AO86" s="211"/>
      <c r="AP86" s="211"/>
      <c r="AQ86" s="211"/>
      <c r="AR86" s="211"/>
      <c r="AS86" s="169"/>
      <c r="AT86" s="35"/>
      <c r="AU86" s="35"/>
      <c r="AV86" s="35"/>
      <c r="AW86" s="35"/>
      <c r="AX86" s="35"/>
      <c r="AY86" s="35"/>
      <c r="AZ86" s="35"/>
      <c r="BA86" s="35"/>
      <c r="BB86" s="35"/>
      <c r="BC86" s="35"/>
    </row>
    <row r="87" spans="1:55" ht="12.75" x14ac:dyDescent="0.2">
      <c r="A87" s="110" t="s">
        <v>214</v>
      </c>
      <c r="B87" s="52">
        <v>50</v>
      </c>
      <c r="C87" s="54">
        <v>0.02</v>
      </c>
      <c r="D87" s="124">
        <v>0.04</v>
      </c>
      <c r="E87" s="95">
        <v>0.08</v>
      </c>
      <c r="F87" s="95">
        <v>0.16</v>
      </c>
      <c r="G87" s="95"/>
      <c r="H87" s="95">
        <v>5.0000000000000001E-3</v>
      </c>
      <c r="I87" s="63">
        <v>1200</v>
      </c>
      <c r="J87" s="95"/>
      <c r="K87" s="133" t="s">
        <v>75</v>
      </c>
      <c r="L87" s="133" t="s">
        <v>210</v>
      </c>
      <c r="M87" s="52">
        <v>50</v>
      </c>
      <c r="N87" s="52">
        <v>300</v>
      </c>
      <c r="O87" s="124">
        <v>0.5</v>
      </c>
      <c r="P87" s="95">
        <v>0.3</v>
      </c>
      <c r="Q87" s="95">
        <v>0.2</v>
      </c>
      <c r="S87" s="45" t="s">
        <v>214</v>
      </c>
      <c r="T87" s="45" t="s">
        <v>75</v>
      </c>
      <c r="U87" s="131" t="s">
        <v>210</v>
      </c>
      <c r="V87" s="122">
        <f>M87</f>
        <v>50</v>
      </c>
      <c r="W87" s="30">
        <f>X87/V87</f>
        <v>6</v>
      </c>
      <c r="X87" s="122">
        <f>N87</f>
        <v>300</v>
      </c>
      <c r="Y87" s="122">
        <f>V87 * (1 - ABS(C87))</f>
        <v>49</v>
      </c>
      <c r="Z87" s="152" t="s">
        <v>34</v>
      </c>
      <c r="AA87" s="152" t="s">
        <v>34</v>
      </c>
      <c r="AB87" s="12"/>
      <c r="AC87" s="122">
        <f>AC84</f>
        <v>45</v>
      </c>
      <c r="AD87" s="30">
        <f>AD84</f>
        <v>2.2222222222222223</v>
      </c>
      <c r="AE87" s="123">
        <f>AE84</f>
        <v>100</v>
      </c>
      <c r="AF87" s="123">
        <f>AC87 * (1 + D87) / (1 - H87)</f>
        <v>47.035175879396988</v>
      </c>
      <c r="AG87" s="124">
        <f>(B87 - AF87) / AF87</f>
        <v>6.3034188034187963E-2</v>
      </c>
      <c r="AH87" s="30"/>
      <c r="AI87" s="122">
        <f>AI84</f>
        <v>45</v>
      </c>
      <c r="AJ87" s="30">
        <f>AJ84</f>
        <v>2.2222222222222223</v>
      </c>
      <c r="AK87" s="123">
        <f>AK84</f>
        <v>100</v>
      </c>
      <c r="AL87" s="123">
        <f>AI87 * (1 + E87) / (1 - H87)</f>
        <v>48.844221105527637</v>
      </c>
      <c r="AM87" s="124">
        <f>(B87 - AL87) / AL87</f>
        <v>2.3662551440329235E-2</v>
      </c>
      <c r="AO87" s="122">
        <f>AO84</f>
        <v>50</v>
      </c>
      <c r="AP87" s="30">
        <f>AP84+W87*Q87</f>
        <v>2.4000000000000004</v>
      </c>
      <c r="AQ87" s="123">
        <f>AQ84+X87*Q87</f>
        <v>120</v>
      </c>
      <c r="AR87" s="123">
        <f>AO87 * (1 + F87) / (1 - H87)</f>
        <v>58.291457286432156</v>
      </c>
      <c r="AS87" s="124">
        <f>(B87 - AR87) / AR87</f>
        <v>-0.14224137931034475</v>
      </c>
      <c r="AU87" s="32">
        <f>AX87+AW87+AV87</f>
        <v>14.944444444444443</v>
      </c>
      <c r="AV87" s="32">
        <f>AD87+AD88</f>
        <v>6.7222222222222223</v>
      </c>
      <c r="AW87" s="32">
        <f>AJ87+AJ88</f>
        <v>5.822222222222222</v>
      </c>
      <c r="AX87" s="32">
        <f>AP87</f>
        <v>2.4000000000000004</v>
      </c>
      <c r="AY87" s="195">
        <f>AY84+X87</f>
        <v>717.91250000000002</v>
      </c>
      <c r="AZ87" s="63">
        <v>0</v>
      </c>
      <c r="BA87" s="122">
        <f>AU87*B87</f>
        <v>747.22222222222217</v>
      </c>
      <c r="BB87" s="196">
        <f>(AZ87+BA87-AY87)/AY87</f>
        <v>4.0826315494189261E-2</v>
      </c>
      <c r="BC87" s="63">
        <f>I87-AY87+AZ87</f>
        <v>482.08749999999998</v>
      </c>
    </row>
    <row r="88" spans="1:55" ht="12.75" x14ac:dyDescent="0.2">
      <c r="A88" s="150"/>
      <c r="B88" s="33"/>
      <c r="C88" s="67"/>
      <c r="D88" s="124"/>
      <c r="E88" s="95"/>
      <c r="F88" s="95"/>
      <c r="G88" s="95"/>
      <c r="H88" s="95"/>
      <c r="I88" s="95"/>
      <c r="M88" s="206"/>
      <c r="N88" s="206"/>
      <c r="O88" s="124"/>
      <c r="P88" s="95"/>
      <c r="Q88" s="95"/>
      <c r="R88" s="45"/>
      <c r="S88" s="45"/>
      <c r="W88" s="30"/>
      <c r="X88" s="122"/>
      <c r="Y88" s="122"/>
      <c r="Z88" s="152"/>
      <c r="AA88" s="152"/>
      <c r="AB88" s="12"/>
      <c r="AC88" s="122">
        <f>AC85</f>
        <v>50</v>
      </c>
      <c r="AD88" s="30">
        <f>AD85+W87*O87</f>
        <v>4.5</v>
      </c>
      <c r="AE88" s="156">
        <f>AE85+X87*O87</f>
        <v>225</v>
      </c>
      <c r="AF88" s="156">
        <f>AC88 * (1 + D87) / (1 - H87)</f>
        <v>52.261306532663319</v>
      </c>
      <c r="AG88" s="124">
        <f>(B87 - AF88) / AF88</f>
        <v>-4.3269230769230817E-2</v>
      </c>
      <c r="AH88" s="30"/>
      <c r="AI88" s="122">
        <f>AI85</f>
        <v>50</v>
      </c>
      <c r="AJ88" s="30">
        <f>AJ85+W87*P87</f>
        <v>3.5999999999999996</v>
      </c>
      <c r="AK88" s="156">
        <f>AK85+X87*P87</f>
        <v>180</v>
      </c>
      <c r="AL88" s="156">
        <f>AI88 * (1 + E87) / (1 - H87)</f>
        <v>54.2713567839196</v>
      </c>
      <c r="AM88" s="124">
        <f>(B87 - AL88) / AL88</f>
        <v>-7.8703703703703748E-2</v>
      </c>
    </row>
    <row r="89" spans="1:55" ht="12.75" x14ac:dyDescent="0.2">
      <c r="A89" s="181" t="s">
        <v>87</v>
      </c>
      <c r="B89" s="40">
        <v>16.66667</v>
      </c>
      <c r="C89" s="55">
        <v>0.02</v>
      </c>
      <c r="D89" s="129">
        <v>0.04</v>
      </c>
      <c r="E89" s="125">
        <v>0.08</v>
      </c>
      <c r="F89" s="125">
        <v>0.16</v>
      </c>
      <c r="G89" s="125"/>
      <c r="H89" s="125">
        <v>5.0000000000000001E-3</v>
      </c>
      <c r="I89" s="65">
        <v>1200</v>
      </c>
      <c r="J89" s="35"/>
      <c r="K89" s="35" t="s">
        <v>70</v>
      </c>
      <c r="L89" s="35">
        <v>3</v>
      </c>
      <c r="M89" s="209"/>
      <c r="N89" s="209"/>
      <c r="O89" s="129"/>
      <c r="P89" s="125"/>
      <c r="Q89" s="125"/>
      <c r="R89" s="47"/>
      <c r="S89" s="47"/>
      <c r="T89" s="35"/>
      <c r="U89" s="35"/>
      <c r="V89" s="35"/>
      <c r="W89" s="43"/>
      <c r="X89" s="126"/>
      <c r="Y89" s="126"/>
      <c r="Z89" s="153"/>
      <c r="AA89" s="153"/>
      <c r="AB89" s="41"/>
      <c r="AC89" s="126">
        <f>AC87/L89</f>
        <v>15</v>
      </c>
      <c r="AD89" s="43">
        <f>AD87*L89</f>
        <v>6.666666666666667</v>
      </c>
      <c r="AE89" s="128">
        <f t="shared" ref="AE89:AE102" si="12">AE87</f>
        <v>100</v>
      </c>
      <c r="AF89" s="128">
        <f>AC89 * (1 + D89) / (1 - H89)</f>
        <v>15.678391959798997</v>
      </c>
      <c r="AG89" s="129">
        <f>(B89 - AF89) / AF89</f>
        <v>6.3034400641025487E-2</v>
      </c>
      <c r="AH89" s="43"/>
      <c r="AI89" s="126">
        <f>AI87/L89</f>
        <v>15</v>
      </c>
      <c r="AJ89" s="43">
        <f>AJ87*L89</f>
        <v>6.666666666666667</v>
      </c>
      <c r="AK89" s="128">
        <f>AK87</f>
        <v>100</v>
      </c>
      <c r="AL89" s="128">
        <f>AI89 * (1 + E89) / (1 - H89)</f>
        <v>16.281407035175882</v>
      </c>
      <c r="AM89" s="129">
        <f>(B89 - AL89) / AL89</f>
        <v>2.3662756172839364E-2</v>
      </c>
      <c r="AN89" s="35"/>
      <c r="AO89" s="126">
        <f>AO87/L89</f>
        <v>16.666666666666668</v>
      </c>
      <c r="AP89" s="43">
        <f>AP87*L89</f>
        <v>7.2000000000000011</v>
      </c>
      <c r="AQ89" s="128">
        <f>AQ87</f>
        <v>120</v>
      </c>
      <c r="AR89" s="128">
        <f>AO89 * (1 + F89) / (1 - H89)</f>
        <v>19.430485762144052</v>
      </c>
      <c r="AS89" s="129">
        <f>(B89 - AR89) / AR89</f>
        <v>-0.14224120775862062</v>
      </c>
      <c r="AT89" s="35"/>
      <c r="AU89" s="39">
        <f>AX89+AW89+AV89</f>
        <v>44.833333333333329</v>
      </c>
      <c r="AV89" s="39">
        <f>AD89+AD90</f>
        <v>20.166666666666668</v>
      </c>
      <c r="AW89" s="39">
        <f>AJ89+AJ90</f>
        <v>17.466666666666665</v>
      </c>
      <c r="AX89" s="39">
        <f>AP89</f>
        <v>7.2000000000000011</v>
      </c>
      <c r="AY89" s="200">
        <f>AY87</f>
        <v>717.91250000000002</v>
      </c>
      <c r="AZ89" s="65">
        <v>0</v>
      </c>
      <c r="BA89" s="126">
        <f>AU89*B89</f>
        <v>747.22237166666662</v>
      </c>
      <c r="BB89" s="201">
        <f>(AZ89+BA89-AY89)/AY89</f>
        <v>4.0826523659452364E-2</v>
      </c>
      <c r="BC89" s="65">
        <f>I89-AY89+AZ89</f>
        <v>482.08749999999998</v>
      </c>
    </row>
    <row r="90" spans="1:55" ht="12.75" x14ac:dyDescent="0.2">
      <c r="A90" s="181"/>
      <c r="B90" s="36"/>
      <c r="C90" s="208"/>
      <c r="D90" s="129"/>
      <c r="E90" s="125"/>
      <c r="F90" s="125"/>
      <c r="G90" s="125"/>
      <c r="H90" s="125"/>
      <c r="I90" s="125"/>
      <c r="J90" s="35"/>
      <c r="K90" s="35"/>
      <c r="L90" s="35"/>
      <c r="M90" s="209"/>
      <c r="N90" s="209"/>
      <c r="O90" s="129"/>
      <c r="P90" s="125"/>
      <c r="Q90" s="125"/>
      <c r="R90" s="47"/>
      <c r="S90" s="47"/>
      <c r="T90" s="35"/>
      <c r="U90" s="35"/>
      <c r="V90" s="35"/>
      <c r="W90" s="43"/>
      <c r="X90" s="126"/>
      <c r="Y90" s="126"/>
      <c r="Z90" s="153"/>
      <c r="AA90" s="153"/>
      <c r="AB90" s="41"/>
      <c r="AC90" s="126">
        <f>AC88/L89</f>
        <v>16.666666666666668</v>
      </c>
      <c r="AD90" s="43">
        <f>AD88*L89</f>
        <v>13.5</v>
      </c>
      <c r="AE90" s="128">
        <f t="shared" si="12"/>
        <v>225</v>
      </c>
      <c r="AF90" s="128">
        <f>AC90 * (1 + D89) / (1 - H89)</f>
        <v>17.420435510887774</v>
      </c>
      <c r="AG90" s="129">
        <f>(B89 - AF90) / AF90</f>
        <v>-4.3269039423077041E-2</v>
      </c>
      <c r="AH90" s="43"/>
      <c r="AI90" s="126">
        <f>AI88/L89</f>
        <v>16.666666666666668</v>
      </c>
      <c r="AJ90" s="43">
        <f>AJ88*L89</f>
        <v>10.799999999999999</v>
      </c>
      <c r="AK90" s="128">
        <f>AK88</f>
        <v>180</v>
      </c>
      <c r="AL90" s="128">
        <f>AI90 * (1 + E89) / (1 - H89)</f>
        <v>18.090452261306535</v>
      </c>
      <c r="AM90" s="129">
        <f>(B89 - AL90) / AL90</f>
        <v>-7.870351944444455E-2</v>
      </c>
      <c r="AN90" s="35"/>
      <c r="AO90" s="35"/>
      <c r="AP90" s="35"/>
      <c r="AQ90" s="35"/>
      <c r="AR90" s="35"/>
      <c r="AS90" s="35"/>
      <c r="AT90" s="35"/>
      <c r="AU90" s="35"/>
      <c r="AV90" s="35"/>
      <c r="AW90" s="35"/>
      <c r="AX90" s="35"/>
      <c r="AY90" s="35"/>
      <c r="AZ90" s="35"/>
      <c r="BA90" s="35"/>
      <c r="BB90" s="35"/>
      <c r="BC90" s="35"/>
    </row>
    <row r="91" spans="1:55" ht="12.75" x14ac:dyDescent="0.2">
      <c r="A91" s="150" t="s">
        <v>259</v>
      </c>
      <c r="B91" s="52">
        <v>20</v>
      </c>
      <c r="C91" s="62">
        <v>0.02</v>
      </c>
      <c r="D91" s="124">
        <v>0.04</v>
      </c>
      <c r="E91" s="95">
        <v>0.08</v>
      </c>
      <c r="F91" s="95">
        <v>0.16</v>
      </c>
      <c r="G91" s="95"/>
      <c r="H91" s="95">
        <v>5.0000000000000001E-3</v>
      </c>
      <c r="I91" s="63">
        <v>1200</v>
      </c>
      <c r="J91" s="95"/>
      <c r="K91" s="133" t="s">
        <v>73</v>
      </c>
      <c r="L91" s="133" t="s">
        <v>210</v>
      </c>
      <c r="M91" s="52">
        <v>20</v>
      </c>
      <c r="N91" s="152" t="s">
        <v>34</v>
      </c>
      <c r="O91" s="152" t="s">
        <v>34</v>
      </c>
      <c r="P91" s="95">
        <v>1</v>
      </c>
      <c r="Q91" s="152" t="s">
        <v>34</v>
      </c>
      <c r="S91" s="45" t="s">
        <v>259</v>
      </c>
      <c r="T91" s="45" t="s">
        <v>73</v>
      </c>
      <c r="U91" s="131" t="s">
        <v>210</v>
      </c>
      <c r="V91" s="122">
        <f>M91</f>
        <v>20</v>
      </c>
      <c r="W91" s="30">
        <f>AJ89*P91</f>
        <v>6.666666666666667</v>
      </c>
      <c r="X91" s="122">
        <f>V91*W91-(V91*W91*H91)</f>
        <v>132.66666666666669</v>
      </c>
      <c r="Y91" s="152" t="s">
        <v>34</v>
      </c>
      <c r="Z91" s="152">
        <f>X91-(AI89*W91)</f>
        <v>32.666666666666686</v>
      </c>
      <c r="AA91" s="160">
        <f>Z91/(AI89*W91)</f>
        <v>0.32666666666666688</v>
      </c>
      <c r="AB91" s="12"/>
      <c r="AC91" s="122">
        <f t="shared" ref="AC91:AD94" si="13">AC89</f>
        <v>15</v>
      </c>
      <c r="AD91" s="30">
        <f t="shared" si="13"/>
        <v>6.666666666666667</v>
      </c>
      <c r="AE91" s="156">
        <f t="shared" si="12"/>
        <v>100</v>
      </c>
      <c r="AF91" s="156">
        <f>AC91 * (1 + D91) / (1 - H91)</f>
        <v>15.678391959798997</v>
      </c>
      <c r="AG91" s="124">
        <f>(B91 - AF91) / AF91</f>
        <v>0.27564102564102544</v>
      </c>
      <c r="AH91" s="30"/>
      <c r="AI91" s="122"/>
      <c r="AJ91" s="30"/>
      <c r="AK91" s="156"/>
      <c r="AL91" s="156"/>
      <c r="AM91" s="124"/>
      <c r="AO91" s="122">
        <f>AO89</f>
        <v>16.666666666666668</v>
      </c>
      <c r="AP91" s="30">
        <f>AP89</f>
        <v>7.2000000000000011</v>
      </c>
      <c r="AQ91" s="156">
        <f>AQ89</f>
        <v>120</v>
      </c>
      <c r="AR91" s="156">
        <f>AO91 * (1 + F91) / (1 - H91)</f>
        <v>19.430485762144052</v>
      </c>
      <c r="AS91" s="124">
        <f>(B91 - AR91) / AR91</f>
        <v>2.9310344827586297E-2</v>
      </c>
      <c r="AU91" s="32">
        <f>AX91+AW91+AV91</f>
        <v>38.166666666666671</v>
      </c>
      <c r="AV91" s="32">
        <f>AD91+AD92</f>
        <v>20.166666666666668</v>
      </c>
      <c r="AW91" s="32">
        <f>AJ91+AJ92</f>
        <v>10.799999999999999</v>
      </c>
      <c r="AX91" s="32">
        <f>AP91</f>
        <v>7.2000000000000011</v>
      </c>
      <c r="AY91" s="195">
        <f>AY89</f>
        <v>717.91250000000002</v>
      </c>
      <c r="AZ91" s="63">
        <f>X91</f>
        <v>132.66666666666669</v>
      </c>
      <c r="BA91" s="122">
        <f>AU91*B91</f>
        <v>763.33333333333348</v>
      </c>
      <c r="BB91" s="205">
        <f>(AZ91+BA91-AY91)/AY91</f>
        <v>0.24806296031898065</v>
      </c>
      <c r="BC91" s="63">
        <f>I91-AY91+AZ91</f>
        <v>614.75416666666661</v>
      </c>
    </row>
    <row r="92" spans="1:55" ht="12.75" x14ac:dyDescent="0.2">
      <c r="AB92" s="12"/>
      <c r="AC92" s="122">
        <f t="shared" si="13"/>
        <v>16.666666666666668</v>
      </c>
      <c r="AD92" s="30">
        <f t="shared" si="13"/>
        <v>13.5</v>
      </c>
      <c r="AE92" s="156">
        <f t="shared" si="12"/>
        <v>225</v>
      </c>
      <c r="AF92" s="156">
        <f>AC92 * (1 + D91) / (1 - H91)</f>
        <v>17.420435510887774</v>
      </c>
      <c r="AG92" s="124">
        <f>(B91 - AF92) / AF92</f>
        <v>0.14807692307692294</v>
      </c>
      <c r="AH92" s="30"/>
      <c r="AI92" s="122">
        <f>AI90</f>
        <v>16.666666666666668</v>
      </c>
      <c r="AJ92" s="30">
        <f>AJ90</f>
        <v>10.799999999999999</v>
      </c>
      <c r="AK92" s="156">
        <f>AK90</f>
        <v>180</v>
      </c>
      <c r="AL92" s="156">
        <f>AI92 * (1 + E91) / (1 - H91)</f>
        <v>18.090452261306535</v>
      </c>
      <c r="AM92" s="124">
        <f>(B91 - AL92) / AL92</f>
        <v>0.10555555555555543</v>
      </c>
    </row>
    <row r="93" spans="1:55" ht="12.75" x14ac:dyDescent="0.2">
      <c r="A93" s="181" t="s">
        <v>261</v>
      </c>
      <c r="B93" s="40">
        <v>20</v>
      </c>
      <c r="C93" s="55">
        <v>0.02</v>
      </c>
      <c r="D93" s="129">
        <v>0.04</v>
      </c>
      <c r="E93" s="125">
        <v>0.08</v>
      </c>
      <c r="F93" s="125">
        <v>0.16</v>
      </c>
      <c r="G93" s="125"/>
      <c r="H93" s="125">
        <v>5.0000000000000001E-3</v>
      </c>
      <c r="I93" s="65">
        <v>1200</v>
      </c>
      <c r="J93" s="35"/>
      <c r="K93" s="35" t="s">
        <v>262</v>
      </c>
      <c r="L93" s="35"/>
      <c r="M93" s="209"/>
      <c r="N93" s="209"/>
      <c r="O93" s="129"/>
      <c r="P93" s="125"/>
      <c r="Q93" s="125"/>
      <c r="R93" s="35"/>
      <c r="S93" s="165" t="s">
        <v>259</v>
      </c>
      <c r="T93" s="165" t="s">
        <v>73</v>
      </c>
      <c r="U93" s="172" t="s">
        <v>210</v>
      </c>
      <c r="V93" s="173">
        <f>V91</f>
        <v>20</v>
      </c>
      <c r="W93" s="174">
        <f>W91</f>
        <v>6.666666666666667</v>
      </c>
      <c r="X93" s="173">
        <f>V93*W93-(V93*W93*H93)</f>
        <v>132.66666666666669</v>
      </c>
      <c r="Y93" s="217" t="s">
        <v>34</v>
      </c>
      <c r="Z93" s="217">
        <f>Z91</f>
        <v>32.666666666666686</v>
      </c>
      <c r="AA93" s="218">
        <f>AA91</f>
        <v>0.32666666666666688</v>
      </c>
      <c r="AB93" s="41"/>
      <c r="AC93" s="126">
        <f t="shared" si="13"/>
        <v>15</v>
      </c>
      <c r="AD93" s="43">
        <f t="shared" si="13"/>
        <v>6.666666666666667</v>
      </c>
      <c r="AE93" s="128">
        <f t="shared" si="12"/>
        <v>100</v>
      </c>
      <c r="AF93" s="128">
        <f>AC93 * (1 + D93) / (1 - H93)</f>
        <v>15.678391959798997</v>
      </c>
      <c r="AG93" s="129">
        <f>(B93 - AF93) / AF93</f>
        <v>0.27564102564102544</v>
      </c>
      <c r="AH93" s="43"/>
      <c r="AI93" s="126">
        <f>AI89</f>
        <v>15</v>
      </c>
      <c r="AJ93" s="43">
        <f>AJ89</f>
        <v>6.666666666666667</v>
      </c>
      <c r="AK93" s="128">
        <f>AK89</f>
        <v>100</v>
      </c>
      <c r="AL93" s="128">
        <f>AI93 * (1 + E93) / (1 - H93)</f>
        <v>16.281407035175882</v>
      </c>
      <c r="AM93" s="129">
        <f>(B93 - AL93) / AL93</f>
        <v>0.22839506172839491</v>
      </c>
      <c r="AN93" s="35"/>
      <c r="AO93" s="126">
        <f>AO91</f>
        <v>16.666666666666668</v>
      </c>
      <c r="AP93" s="43">
        <f>AP91</f>
        <v>7.2000000000000011</v>
      </c>
      <c r="AQ93" s="128">
        <f>AQ91</f>
        <v>120</v>
      </c>
      <c r="AR93" s="128">
        <f>AO93 * (1 + F93) / (1 - H93)</f>
        <v>19.430485762144052</v>
      </c>
      <c r="AS93" s="129">
        <f>(B93 - AR93) / AR93</f>
        <v>2.9310344827586297E-2</v>
      </c>
      <c r="AT93" s="35"/>
      <c r="AU93" s="39">
        <f>AX93+AW93+AV93</f>
        <v>44.833333333333329</v>
      </c>
      <c r="AV93" s="39">
        <f>AD93+AD94</f>
        <v>20.166666666666668</v>
      </c>
      <c r="AW93" s="39">
        <f>AJ93+AJ94</f>
        <v>17.466666666666665</v>
      </c>
      <c r="AX93" s="39">
        <f>AP93</f>
        <v>7.2000000000000011</v>
      </c>
      <c r="AY93" s="200">
        <f>AY91</f>
        <v>717.91250000000002</v>
      </c>
      <c r="AZ93" s="65">
        <v>0</v>
      </c>
      <c r="BA93" s="126">
        <f>AU93*B93</f>
        <v>896.66666666666652</v>
      </c>
      <c r="BB93" s="201">
        <f>(AZ93+BA93-AY93)/AY93</f>
        <v>0.24899157859302698</v>
      </c>
      <c r="BC93" s="65">
        <f>I93-AY93+AZ93</f>
        <v>482.08749999999998</v>
      </c>
    </row>
    <row r="94" spans="1:55" ht="12.75" x14ac:dyDescent="0.2">
      <c r="A94" s="181"/>
      <c r="B94" s="40"/>
      <c r="C94" s="55"/>
      <c r="D94" s="129"/>
      <c r="E94" s="125"/>
      <c r="F94" s="125"/>
      <c r="G94" s="125"/>
      <c r="H94" s="125"/>
      <c r="I94" s="65"/>
      <c r="J94" s="35"/>
      <c r="K94" s="35"/>
      <c r="L94" s="35"/>
      <c r="M94" s="209"/>
      <c r="N94" s="209"/>
      <c r="O94" s="129"/>
      <c r="P94" s="125"/>
      <c r="Q94" s="125"/>
      <c r="R94" s="35"/>
      <c r="S94" s="165"/>
      <c r="T94" s="165"/>
      <c r="U94" s="172"/>
      <c r="V94" s="173"/>
      <c r="W94" s="174"/>
      <c r="X94" s="173"/>
      <c r="Y94" s="217"/>
      <c r="Z94" s="217"/>
      <c r="AA94" s="218"/>
      <c r="AB94" s="41"/>
      <c r="AC94" s="126">
        <f t="shared" si="13"/>
        <v>16.666666666666668</v>
      </c>
      <c r="AD94" s="43">
        <f t="shared" si="13"/>
        <v>13.5</v>
      </c>
      <c r="AE94" s="128">
        <f t="shared" si="12"/>
        <v>225</v>
      </c>
      <c r="AF94" s="128">
        <f>AC94 * (1 + D93) / (1 - H93)</f>
        <v>17.420435510887774</v>
      </c>
      <c r="AG94" s="129">
        <f>(B93 - AF94) / AF94</f>
        <v>0.14807692307692294</v>
      </c>
      <c r="AH94" s="43"/>
      <c r="AI94" s="126">
        <f>AI92</f>
        <v>16.666666666666668</v>
      </c>
      <c r="AJ94" s="43">
        <f>AJ92</f>
        <v>10.799999999999999</v>
      </c>
      <c r="AK94" s="128">
        <f>AK92</f>
        <v>180</v>
      </c>
      <c r="AL94" s="128">
        <f>AI94 * (1 + E93) / (1 - H93)</f>
        <v>18.090452261306535</v>
      </c>
      <c r="AM94" s="129">
        <f>(B93 - AL94) / AL94</f>
        <v>0.10555555555555543</v>
      </c>
      <c r="AN94" s="35"/>
      <c r="AO94" s="126"/>
      <c r="AP94" s="43"/>
      <c r="AQ94" s="128"/>
      <c r="AR94" s="128"/>
      <c r="AS94" s="129"/>
      <c r="AT94" s="35"/>
      <c r="AU94" s="39"/>
      <c r="AV94" s="39"/>
      <c r="AW94" s="39"/>
      <c r="AX94" s="39"/>
      <c r="AY94" s="200"/>
      <c r="AZ94" s="65"/>
      <c r="BA94" s="126"/>
      <c r="BB94" s="201"/>
      <c r="BC94" s="65"/>
    </row>
    <row r="95" spans="1:55" ht="12.75" x14ac:dyDescent="0.2">
      <c r="A95" s="150" t="s">
        <v>260</v>
      </c>
      <c r="B95" s="52">
        <v>25</v>
      </c>
      <c r="C95" s="62">
        <v>0.02</v>
      </c>
      <c r="D95" s="124">
        <v>0.04</v>
      </c>
      <c r="E95" s="95">
        <v>0.08</v>
      </c>
      <c r="F95" s="95">
        <v>0.16</v>
      </c>
      <c r="G95" s="95"/>
      <c r="H95" s="95">
        <v>5.0000000000000001E-3</v>
      </c>
      <c r="I95" s="63">
        <v>1200</v>
      </c>
      <c r="K95" s="45" t="s">
        <v>267</v>
      </c>
      <c r="L95">
        <v>2</v>
      </c>
      <c r="M95" s="206"/>
      <c r="N95" s="206"/>
      <c r="O95" s="124"/>
      <c r="P95" s="95"/>
      <c r="Q95" s="95"/>
      <c r="S95" s="45"/>
      <c r="T95" s="45"/>
      <c r="U95" s="131"/>
      <c r="V95" s="122"/>
      <c r="W95" s="30"/>
      <c r="X95" s="122"/>
      <c r="Y95" s="122"/>
      <c r="Z95" s="152"/>
      <c r="AA95" s="152"/>
      <c r="AB95" s="12"/>
      <c r="AC95" s="122">
        <f>AC93*L89/L95</f>
        <v>22.5</v>
      </c>
      <c r="AD95" s="30">
        <f>AD93*L95/L89</f>
        <v>4.4444444444444446</v>
      </c>
      <c r="AE95" s="156">
        <f t="shared" si="12"/>
        <v>100</v>
      </c>
      <c r="AF95" s="156">
        <f>AC95 * (1 + D95) / (1 - H95)</f>
        <v>23.517587939698494</v>
      </c>
      <c r="AG95" s="124">
        <f>(B95 - AF95) / AF95</f>
        <v>6.3034188034187963E-2</v>
      </c>
      <c r="AH95" s="30"/>
      <c r="AI95" s="122">
        <f>AI93*L89/L95</f>
        <v>22.5</v>
      </c>
      <c r="AJ95" s="30">
        <f>AJ93*L95/L89</f>
        <v>4.4444444444444446</v>
      </c>
      <c r="AK95" s="156">
        <f>AK93</f>
        <v>100</v>
      </c>
      <c r="AL95" s="156">
        <f>AI95 * (1 + E95) / (1 - H95)</f>
        <v>24.422110552763819</v>
      </c>
      <c r="AM95" s="124">
        <f>(B95 - AL95) / AL95</f>
        <v>2.3662551440329235E-2</v>
      </c>
      <c r="AO95" s="122">
        <f>AO93*L89/L95</f>
        <v>25</v>
      </c>
      <c r="AP95" s="30">
        <f>AP93*L95/L89</f>
        <v>4.8000000000000007</v>
      </c>
      <c r="AQ95" s="156">
        <f>AQ93</f>
        <v>120</v>
      </c>
      <c r="AR95" s="156">
        <f>AO95 * (1 + F95) / (1 - H95)</f>
        <v>29.145728643216078</v>
      </c>
      <c r="AS95" s="124">
        <f>(B95 - AR95) / AR95</f>
        <v>-0.14224137931034475</v>
      </c>
      <c r="AU95" s="32">
        <f>AX95+AW95+AV95</f>
        <v>29.888888888888886</v>
      </c>
      <c r="AV95" s="32">
        <f>AD95+AD96</f>
        <v>13.444444444444445</v>
      </c>
      <c r="AW95" s="32">
        <f>AJ95+AJ96</f>
        <v>11.644444444444444</v>
      </c>
      <c r="AX95" s="32">
        <f>AP95</f>
        <v>4.8000000000000007</v>
      </c>
      <c r="AY95" s="195">
        <f>AY93</f>
        <v>717.91250000000002</v>
      </c>
      <c r="AZ95" s="63">
        <v>0</v>
      </c>
      <c r="BA95" s="122">
        <f>AU95*B95</f>
        <v>747.22222222222217</v>
      </c>
      <c r="BB95" s="205">
        <f>(AZ95+BA95-AY95)/AY95</f>
        <v>4.0826315494189261E-2</v>
      </c>
      <c r="BC95" s="63">
        <f>I95-AY95+AZ95</f>
        <v>482.08749999999998</v>
      </c>
    </row>
    <row r="96" spans="1:55" ht="12.75" x14ac:dyDescent="0.2">
      <c r="A96" s="150"/>
      <c r="B96" s="33"/>
      <c r="C96" s="67"/>
      <c r="D96" s="124"/>
      <c r="E96" s="95"/>
      <c r="F96" s="95"/>
      <c r="G96" s="95"/>
      <c r="H96" s="95"/>
      <c r="I96" s="95"/>
      <c r="M96" s="206"/>
      <c r="N96" s="206"/>
      <c r="O96" s="124"/>
      <c r="P96" s="95"/>
      <c r="Q96" s="95"/>
      <c r="S96" s="45"/>
      <c r="T96" s="45"/>
      <c r="U96" s="131"/>
      <c r="V96" s="122"/>
      <c r="W96" s="30"/>
      <c r="X96" s="122"/>
      <c r="Y96" s="122"/>
      <c r="Z96" s="152"/>
      <c r="AA96" s="152"/>
      <c r="AB96" s="12"/>
      <c r="AC96" s="122">
        <f>AC94*L89/L95</f>
        <v>25</v>
      </c>
      <c r="AD96" s="30">
        <f>AD94*L95/L89</f>
        <v>9</v>
      </c>
      <c r="AE96" s="156">
        <f t="shared" si="12"/>
        <v>225</v>
      </c>
      <c r="AF96" s="156">
        <f>AC96 * (1 + D95) / (1 - H95)</f>
        <v>26.13065326633166</v>
      </c>
      <c r="AG96" s="124">
        <f>(B95 - AF96) / AF96</f>
        <v>-4.3269230769230817E-2</v>
      </c>
      <c r="AH96" s="30"/>
      <c r="AI96" s="122">
        <f>AI94*L89/L95</f>
        <v>25</v>
      </c>
      <c r="AJ96" s="30">
        <f>AJ94*L95/L89</f>
        <v>7.1999999999999993</v>
      </c>
      <c r="AK96" s="156">
        <f>AK94</f>
        <v>180</v>
      </c>
      <c r="AL96" s="156">
        <f>AI96 * (1 + E95) / (1 - H95)</f>
        <v>27.1356783919598</v>
      </c>
      <c r="AM96" s="124">
        <f>(B95 - AL96) / AL96</f>
        <v>-7.8703703703703748E-2</v>
      </c>
      <c r="AO96" s="122"/>
      <c r="AP96" s="30"/>
      <c r="AQ96" s="156"/>
      <c r="AR96" s="156"/>
      <c r="AS96" s="124"/>
      <c r="AU96" s="32"/>
      <c r="AV96" s="32"/>
      <c r="AW96" s="32"/>
      <c r="AX96" s="32"/>
      <c r="AY96" s="195"/>
      <c r="AZ96" s="63"/>
      <c r="BA96" s="122"/>
      <c r="BB96" s="205"/>
      <c r="BC96" s="63"/>
    </row>
    <row r="97" spans="1:55" ht="12.75" x14ac:dyDescent="0.2">
      <c r="A97" s="181" t="s">
        <v>263</v>
      </c>
      <c r="B97" s="40">
        <v>25</v>
      </c>
      <c r="C97" s="55">
        <v>0.02</v>
      </c>
      <c r="D97" s="129">
        <v>0.04</v>
      </c>
      <c r="E97" s="125">
        <v>0.08</v>
      </c>
      <c r="F97" s="125">
        <v>0.16</v>
      </c>
      <c r="G97" s="125"/>
      <c r="H97" s="125">
        <v>5.0000000000000001E-3</v>
      </c>
      <c r="I97" s="65">
        <v>1200</v>
      </c>
      <c r="J97" s="125"/>
      <c r="K97" s="134" t="s">
        <v>73</v>
      </c>
      <c r="L97" s="134" t="s">
        <v>210</v>
      </c>
      <c r="M97" s="40">
        <v>20</v>
      </c>
      <c r="N97" s="153" t="s">
        <v>34</v>
      </c>
      <c r="O97" s="153" t="s">
        <v>34</v>
      </c>
      <c r="P97" s="125">
        <v>1</v>
      </c>
      <c r="Q97" s="153" t="s">
        <v>34</v>
      </c>
      <c r="R97" s="35"/>
      <c r="S97" s="47" t="s">
        <v>263</v>
      </c>
      <c r="T97" s="47" t="s">
        <v>73</v>
      </c>
      <c r="U97" s="202" t="s">
        <v>210</v>
      </c>
      <c r="V97" s="126">
        <v>25</v>
      </c>
      <c r="W97" s="43">
        <f>AJ95*P97</f>
        <v>4.4444444444444446</v>
      </c>
      <c r="X97" s="126">
        <f>V97*W97-(V97*W97*H97)</f>
        <v>110.55555555555556</v>
      </c>
      <c r="Y97" s="153" t="s">
        <v>34</v>
      </c>
      <c r="Z97" s="153">
        <f>X97-(AI95*W97)</f>
        <v>10.555555555555557</v>
      </c>
      <c r="AA97" s="198">
        <f>Z97/(AI95*W97)</f>
        <v>0.10555555555555557</v>
      </c>
      <c r="AB97" s="41"/>
      <c r="AC97" s="126">
        <f t="shared" ref="AC97:AD100" si="14">AC95</f>
        <v>22.5</v>
      </c>
      <c r="AD97" s="43">
        <f t="shared" si="14"/>
        <v>4.4444444444444446</v>
      </c>
      <c r="AE97" s="128">
        <f t="shared" si="12"/>
        <v>100</v>
      </c>
      <c r="AF97" s="128">
        <f>AC97 * (1 + D97) / (1 - H97)</f>
        <v>23.517587939698494</v>
      </c>
      <c r="AG97" s="129">
        <f>(B97 - AF97) / AF97</f>
        <v>6.3034188034187963E-2</v>
      </c>
      <c r="AH97" s="43"/>
      <c r="AI97" s="126"/>
      <c r="AJ97" s="43"/>
      <c r="AK97" s="128"/>
      <c r="AL97" s="128"/>
      <c r="AM97" s="129"/>
      <c r="AN97" s="35"/>
      <c r="AO97" s="126">
        <f>AO95</f>
        <v>25</v>
      </c>
      <c r="AP97" s="43">
        <f>AP95</f>
        <v>4.8000000000000007</v>
      </c>
      <c r="AQ97" s="128">
        <f>AQ95</f>
        <v>120</v>
      </c>
      <c r="AR97" s="128">
        <f>AO97 * (1 + F97) / (1 - H97)</f>
        <v>29.145728643216078</v>
      </c>
      <c r="AS97" s="129">
        <f>(B97 - AR97) / AR97</f>
        <v>-0.14224137931034475</v>
      </c>
      <c r="AT97" s="35"/>
      <c r="AU97" s="39">
        <f>AX97+AW97+AV97</f>
        <v>25.444444444444443</v>
      </c>
      <c r="AV97" s="39">
        <f>AD97+AD98</f>
        <v>13.444444444444445</v>
      </c>
      <c r="AW97" s="39">
        <f>AJ97+AJ98</f>
        <v>7.1999999999999993</v>
      </c>
      <c r="AX97" s="39">
        <f>AP97</f>
        <v>4.8000000000000007</v>
      </c>
      <c r="AY97" s="200">
        <f>AY95</f>
        <v>717.91250000000002</v>
      </c>
      <c r="AZ97" s="65">
        <f>X97</f>
        <v>110.55555555555556</v>
      </c>
      <c r="BA97" s="126">
        <f>AU97*B97</f>
        <v>636.11111111111109</v>
      </c>
      <c r="BB97" s="201">
        <f>(AZ97+BA97-AY97)/AY97</f>
        <v>4.0052466932483564E-2</v>
      </c>
      <c r="BC97" s="65">
        <f>I97-AY97+AZ97</f>
        <v>592.64305555555552</v>
      </c>
    </row>
    <row r="98" spans="1:55" ht="12.75"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41"/>
      <c r="AC98" s="126">
        <f t="shared" si="14"/>
        <v>25</v>
      </c>
      <c r="AD98" s="43">
        <f t="shared" si="14"/>
        <v>9</v>
      </c>
      <c r="AE98" s="128">
        <f t="shared" si="12"/>
        <v>225</v>
      </c>
      <c r="AF98" s="128">
        <f>AC98 * (1 + D97) / (1 - H97)</f>
        <v>26.13065326633166</v>
      </c>
      <c r="AG98" s="129">
        <f>(B97 - AF98) / AF98</f>
        <v>-4.3269230769230817E-2</v>
      </c>
      <c r="AH98" s="43"/>
      <c r="AI98" s="126">
        <f>AI96</f>
        <v>25</v>
      </c>
      <c r="AJ98" s="43">
        <f>AJ96</f>
        <v>7.1999999999999993</v>
      </c>
      <c r="AK98" s="128">
        <f>AK96</f>
        <v>180</v>
      </c>
      <c r="AL98" s="128">
        <f>AI98 * (1 + E97) / (1 - H97)</f>
        <v>27.1356783919598</v>
      </c>
      <c r="AM98" s="129">
        <f>(B97 - AL98) / AL98</f>
        <v>-7.8703703703703748E-2</v>
      </c>
      <c r="AN98" s="35"/>
      <c r="AO98" s="35"/>
      <c r="AP98" s="35"/>
      <c r="AQ98" s="35"/>
      <c r="AR98" s="35"/>
      <c r="AS98" s="35"/>
      <c r="AT98" s="35"/>
      <c r="AU98" s="35"/>
      <c r="AV98" s="35"/>
      <c r="AW98" s="35"/>
      <c r="AX98" s="35"/>
      <c r="AY98" s="35"/>
      <c r="AZ98" s="35"/>
      <c r="BA98" s="35"/>
      <c r="BB98" s="35"/>
      <c r="BC98" s="35"/>
    </row>
    <row r="99" spans="1:55" ht="12.75" x14ac:dyDescent="0.2">
      <c r="A99" s="150" t="s">
        <v>264</v>
      </c>
      <c r="B99" s="52">
        <v>25</v>
      </c>
      <c r="C99" s="62">
        <v>0.02</v>
      </c>
      <c r="D99" s="124">
        <v>0.04</v>
      </c>
      <c r="E99" s="95">
        <v>0.08</v>
      </c>
      <c r="F99" s="95">
        <v>0.16</v>
      </c>
      <c r="G99" s="95"/>
      <c r="H99" s="95">
        <v>5.0000000000000001E-3</v>
      </c>
      <c r="I99" s="63">
        <v>1200</v>
      </c>
      <c r="K99" s="45" t="s">
        <v>265</v>
      </c>
      <c r="M99" s="206"/>
      <c r="N99" s="206"/>
      <c r="O99" s="124"/>
      <c r="P99" s="95"/>
      <c r="Q99" s="95"/>
      <c r="S99" s="146" t="s">
        <v>263</v>
      </c>
      <c r="T99" s="146" t="s">
        <v>73</v>
      </c>
      <c r="U99" s="215" t="s">
        <v>210</v>
      </c>
      <c r="V99" s="161">
        <f>V97</f>
        <v>25</v>
      </c>
      <c r="W99" s="162">
        <f>W97</f>
        <v>4.4444444444444446</v>
      </c>
      <c r="X99" s="161">
        <f>V99*W99-(V99*W99*H99)</f>
        <v>110.55555555555556</v>
      </c>
      <c r="Y99" s="216" t="s">
        <v>34</v>
      </c>
      <c r="Z99" s="216">
        <f>Z97</f>
        <v>10.555555555555557</v>
      </c>
      <c r="AA99" s="214">
        <f>AA97</f>
        <v>0.10555555555555557</v>
      </c>
      <c r="AB99" s="12"/>
      <c r="AC99" s="122">
        <f t="shared" si="14"/>
        <v>22.5</v>
      </c>
      <c r="AD99" s="30">
        <f t="shared" si="14"/>
        <v>4.4444444444444446</v>
      </c>
      <c r="AE99" s="156">
        <f t="shared" si="12"/>
        <v>100</v>
      </c>
      <c r="AF99" s="156">
        <f>AC99 * (1 + D99) / (1 - H99)</f>
        <v>23.517587939698494</v>
      </c>
      <c r="AG99" s="124">
        <f>(B99 - AF99) / AF99</f>
        <v>6.3034188034187963E-2</v>
      </c>
      <c r="AH99" s="30"/>
      <c r="AI99" s="122">
        <f>AI95</f>
        <v>22.5</v>
      </c>
      <c r="AJ99" s="30">
        <f>AJ95</f>
        <v>4.4444444444444446</v>
      </c>
      <c r="AK99" s="156">
        <f>AK95</f>
        <v>100</v>
      </c>
      <c r="AL99" s="156">
        <f>AI99 * (1 + E99) / (1 - H99)</f>
        <v>24.422110552763819</v>
      </c>
      <c r="AM99" s="124">
        <f>(B99 - AL99) / AL99</f>
        <v>2.3662551440329235E-2</v>
      </c>
      <c r="AO99" s="122">
        <f>AO97</f>
        <v>25</v>
      </c>
      <c r="AP99" s="30">
        <f>AP97</f>
        <v>4.8000000000000007</v>
      </c>
      <c r="AQ99" s="156">
        <f>AQ97</f>
        <v>120</v>
      </c>
      <c r="AR99" s="156">
        <f>AO99 * (1 + F99) / (1 - H99)</f>
        <v>29.145728643216078</v>
      </c>
      <c r="AS99" s="124">
        <f>(B99 - AR99) / AR99</f>
        <v>-0.14224137931034475</v>
      </c>
      <c r="AU99" s="32">
        <f>AX99+AW99+AV99</f>
        <v>29.888888888888886</v>
      </c>
      <c r="AV99" s="32">
        <f>AD99+AD100</f>
        <v>13.444444444444445</v>
      </c>
      <c r="AW99" s="32">
        <f>AJ99+AJ100</f>
        <v>11.644444444444444</v>
      </c>
      <c r="AX99" s="32">
        <f>AP99</f>
        <v>4.8000000000000007</v>
      </c>
      <c r="AY99" s="195">
        <f>AY97</f>
        <v>717.91250000000002</v>
      </c>
      <c r="AZ99" s="63">
        <v>0</v>
      </c>
      <c r="BA99" s="122">
        <f>AU99*B99</f>
        <v>747.22222222222217</v>
      </c>
      <c r="BB99" s="205">
        <f>(AZ99+BA99-AY99)/AY99</f>
        <v>4.0826315494189261E-2</v>
      </c>
      <c r="BC99" s="63">
        <f>I99-AY99+AZ99</f>
        <v>482.08749999999998</v>
      </c>
    </row>
    <row r="100" spans="1:55" ht="12.75" x14ac:dyDescent="0.2">
      <c r="A100" s="150"/>
      <c r="B100" s="52"/>
      <c r="C100" s="62"/>
      <c r="D100" s="124"/>
      <c r="E100" s="95"/>
      <c r="F100" s="95"/>
      <c r="G100" s="95"/>
      <c r="H100" s="95"/>
      <c r="I100" s="63"/>
      <c r="M100" s="206"/>
      <c r="N100" s="206"/>
      <c r="O100" s="124"/>
      <c r="P100" s="95"/>
      <c r="Q100" s="95"/>
      <c r="S100" s="146"/>
      <c r="T100" s="146"/>
      <c r="U100" s="215"/>
      <c r="V100" s="161"/>
      <c r="W100" s="162"/>
      <c r="X100" s="161"/>
      <c r="Y100" s="216"/>
      <c r="Z100" s="216"/>
      <c r="AA100" s="214"/>
      <c r="AB100" s="12"/>
      <c r="AC100" s="122">
        <f t="shared" si="14"/>
        <v>25</v>
      </c>
      <c r="AD100" s="30">
        <f t="shared" si="14"/>
        <v>9</v>
      </c>
      <c r="AE100" s="156">
        <f t="shared" si="12"/>
        <v>225</v>
      </c>
      <c r="AF100" s="156">
        <f>AC100 * (1 + D99) / (1 - H99)</f>
        <v>26.13065326633166</v>
      </c>
      <c r="AG100" s="124">
        <f>(B99 - AF100) / AF100</f>
        <v>-4.3269230769230817E-2</v>
      </c>
      <c r="AH100" s="30"/>
      <c r="AI100" s="122">
        <f>AI98</f>
        <v>25</v>
      </c>
      <c r="AJ100" s="30">
        <f>AJ98</f>
        <v>7.1999999999999993</v>
      </c>
      <c r="AK100" s="156">
        <f>AK98</f>
        <v>180</v>
      </c>
      <c r="AL100" s="156">
        <f>AI100 * (1 + E99) / (1 - H99)</f>
        <v>27.1356783919598</v>
      </c>
      <c r="AM100" s="124">
        <f>(B99 - AL100) / AL100</f>
        <v>-7.8703703703703748E-2</v>
      </c>
      <c r="AO100" s="122"/>
      <c r="AP100" s="30"/>
      <c r="AQ100" s="156"/>
      <c r="AR100" s="156"/>
      <c r="AS100" s="124"/>
      <c r="AU100" s="32"/>
      <c r="AV100" s="32"/>
      <c r="AW100" s="32"/>
      <c r="AX100" s="32"/>
      <c r="AY100" s="195"/>
      <c r="AZ100" s="63"/>
      <c r="BA100" s="122"/>
      <c r="BB100" s="205"/>
      <c r="BC100" s="63"/>
    </row>
    <row r="101" spans="1:55" ht="12.75" x14ac:dyDescent="0.2">
      <c r="A101" s="181" t="s">
        <v>266</v>
      </c>
      <c r="B101" s="40">
        <v>25</v>
      </c>
      <c r="C101" s="55">
        <v>0.02</v>
      </c>
      <c r="D101" s="129">
        <v>0.04</v>
      </c>
      <c r="E101" s="125">
        <v>0.08</v>
      </c>
      <c r="F101" s="125">
        <v>0.16</v>
      </c>
      <c r="G101" s="125"/>
      <c r="H101" s="125">
        <v>5.0000000000000001E-3</v>
      </c>
      <c r="I101" s="65">
        <v>1200</v>
      </c>
      <c r="J101" s="35"/>
      <c r="K101" s="47" t="s">
        <v>266</v>
      </c>
      <c r="L101" s="35"/>
      <c r="M101" s="209"/>
      <c r="N101" s="209"/>
      <c r="O101" s="129"/>
      <c r="P101" s="125"/>
      <c r="Q101" s="125"/>
      <c r="R101" s="35"/>
      <c r="S101" s="47"/>
      <c r="T101" s="47"/>
      <c r="U101" s="202"/>
      <c r="V101" s="126"/>
      <c r="W101" s="43"/>
      <c r="X101" s="126"/>
      <c r="Y101" s="126"/>
      <c r="Z101" s="153"/>
      <c r="AA101" s="153"/>
      <c r="AB101" s="41"/>
      <c r="AC101" s="126">
        <f>AC99*L95</f>
        <v>45</v>
      </c>
      <c r="AD101" s="43">
        <f>AD99/L95</f>
        <v>2.2222222222222223</v>
      </c>
      <c r="AE101" s="128">
        <f t="shared" si="12"/>
        <v>100</v>
      </c>
      <c r="AF101" s="128">
        <f>AC101 * (1 + D101) / (1 - H101)</f>
        <v>47.035175879396988</v>
      </c>
      <c r="AG101" s="129">
        <f>(B101 - AF101) / AF101</f>
        <v>-0.46848290598290604</v>
      </c>
      <c r="AH101" s="43"/>
      <c r="AI101" s="126">
        <f>AI99*L95</f>
        <v>45</v>
      </c>
      <c r="AJ101" s="43">
        <f>AJ99/L95</f>
        <v>2.2222222222222223</v>
      </c>
      <c r="AK101" s="128">
        <f>AK99</f>
        <v>100</v>
      </c>
      <c r="AL101" s="128">
        <f>AI101 * (1 + E101) / (1 - H101)</f>
        <v>48.844221105527637</v>
      </c>
      <c r="AM101" s="129">
        <f>(B101 - AL101) / AL101</f>
        <v>-0.48816872427983538</v>
      </c>
      <c r="AN101" s="35"/>
      <c r="AO101" s="126">
        <f>AO99*L95</f>
        <v>50</v>
      </c>
      <c r="AP101" s="43">
        <f>AP99/L95</f>
        <v>2.4000000000000004</v>
      </c>
      <c r="AQ101" s="128">
        <f>AQ99</f>
        <v>120</v>
      </c>
      <c r="AR101" s="128">
        <f>AO101 * (1 + F101) / (1 - H101)</f>
        <v>58.291457286432156</v>
      </c>
      <c r="AS101" s="129">
        <f>(B101 - AR101) / AR101</f>
        <v>-0.57112068965517238</v>
      </c>
      <c r="AT101" s="35"/>
      <c r="AU101" s="39">
        <f>AX101+AW101+AV101</f>
        <v>14.944444444444443</v>
      </c>
      <c r="AV101" s="39">
        <f>AD101+AD102</f>
        <v>6.7222222222222223</v>
      </c>
      <c r="AW101" s="39">
        <f>AJ101+AJ102</f>
        <v>5.822222222222222</v>
      </c>
      <c r="AX101" s="39">
        <f>AP101</f>
        <v>2.4000000000000004</v>
      </c>
      <c r="AY101" s="200">
        <f>AY99</f>
        <v>717.91250000000002</v>
      </c>
      <c r="AZ101" s="65">
        <v>0</v>
      </c>
      <c r="BA101" s="126">
        <f>AU101*B101</f>
        <v>373.61111111111109</v>
      </c>
      <c r="BB101" s="201">
        <f>(AZ101+BA101-AY101)/AY101</f>
        <v>-0.47958684225290538</v>
      </c>
      <c r="BC101" s="65">
        <f>I101-AY101+AZ101</f>
        <v>482.08749999999998</v>
      </c>
    </row>
    <row r="102" spans="1:55" ht="12.75" x14ac:dyDescent="0.2">
      <c r="A102" s="181"/>
      <c r="B102" s="36"/>
      <c r="C102" s="208"/>
      <c r="D102" s="129"/>
      <c r="E102" s="125"/>
      <c r="F102" s="125"/>
      <c r="G102" s="125"/>
      <c r="H102" s="125"/>
      <c r="I102" s="125"/>
      <c r="J102" s="35"/>
      <c r="K102" s="35"/>
      <c r="L102" s="35"/>
      <c r="M102" s="209"/>
      <c r="N102" s="209"/>
      <c r="O102" s="129"/>
      <c r="P102" s="125"/>
      <c r="Q102" s="125"/>
      <c r="R102" s="35"/>
      <c r="S102" s="47"/>
      <c r="T102" s="47"/>
      <c r="U102" s="202"/>
      <c r="V102" s="126"/>
      <c r="W102" s="43"/>
      <c r="X102" s="126"/>
      <c r="Y102" s="126"/>
      <c r="Z102" s="153"/>
      <c r="AA102" s="153"/>
      <c r="AB102" s="41"/>
      <c r="AC102" s="126">
        <f>AC100*L95</f>
        <v>50</v>
      </c>
      <c r="AD102" s="43">
        <f>AD100/L95</f>
        <v>4.5</v>
      </c>
      <c r="AE102" s="128">
        <f t="shared" si="12"/>
        <v>225</v>
      </c>
      <c r="AF102" s="128">
        <f>AC102 * (1 + D101) / (1 - H101)</f>
        <v>52.261306532663319</v>
      </c>
      <c r="AG102" s="129">
        <f>(B101 - AF102) / AF102</f>
        <v>-0.52163461538461542</v>
      </c>
      <c r="AH102" s="43"/>
      <c r="AI102" s="126">
        <f>AI100*L95</f>
        <v>50</v>
      </c>
      <c r="AJ102" s="43">
        <f>AJ100/L95</f>
        <v>3.5999999999999996</v>
      </c>
      <c r="AK102" s="128">
        <f>AK100</f>
        <v>180</v>
      </c>
      <c r="AL102" s="128">
        <f>AI102 * (1 + E101) / (1 - H101)</f>
        <v>54.2713567839196</v>
      </c>
      <c r="AM102" s="129">
        <f>(B101 - AL102) / AL102</f>
        <v>-0.53935185185185186</v>
      </c>
      <c r="AN102" s="35"/>
      <c r="AO102" s="126"/>
      <c r="AP102" s="43"/>
      <c r="AQ102" s="128"/>
      <c r="AR102" s="128"/>
      <c r="AS102" s="129"/>
      <c r="AT102" s="35"/>
      <c r="AU102" s="39"/>
      <c r="AV102" s="39"/>
      <c r="AW102" s="39"/>
      <c r="AX102" s="39"/>
      <c r="AY102" s="200"/>
      <c r="AZ102" s="65"/>
      <c r="BA102" s="126"/>
      <c r="BB102" s="201"/>
      <c r="BC102" s="65"/>
    </row>
    <row r="103" spans="1:55" ht="12.75" x14ac:dyDescent="0.2">
      <c r="A103" s="150"/>
      <c r="B103" s="52"/>
      <c r="C103" s="62"/>
      <c r="D103" s="124"/>
      <c r="E103" s="95"/>
      <c r="F103" s="95"/>
      <c r="G103" s="95"/>
      <c r="H103" s="95"/>
      <c r="I103" s="63"/>
      <c r="M103" s="206"/>
      <c r="N103" s="206"/>
      <c r="O103" s="124"/>
      <c r="P103" s="95"/>
      <c r="Q103" s="95"/>
      <c r="S103" s="45"/>
      <c r="T103" s="45"/>
      <c r="U103" s="131"/>
      <c r="V103" s="122"/>
      <c r="W103" s="30"/>
      <c r="X103" s="122"/>
      <c r="Y103" s="122"/>
      <c r="Z103" s="152"/>
      <c r="AA103" s="152"/>
      <c r="AB103" s="12"/>
      <c r="AC103" s="122"/>
      <c r="AD103" s="30"/>
      <c r="AE103" s="156"/>
      <c r="AF103" s="156"/>
      <c r="AG103" s="124"/>
      <c r="AH103" s="30"/>
      <c r="AI103" s="122"/>
      <c r="AJ103" s="30"/>
      <c r="AK103" s="156"/>
      <c r="AL103" s="156"/>
      <c r="AM103" s="124"/>
    </row>
    <row r="104" spans="1:55" ht="12.75" x14ac:dyDescent="0.2">
      <c r="A104" s="207" t="s">
        <v>268</v>
      </c>
      <c r="B104" s="33"/>
      <c r="C104" s="67"/>
      <c r="D104" s="124"/>
      <c r="E104" s="95"/>
      <c r="F104" s="95"/>
      <c r="G104" s="95"/>
      <c r="H104" s="95"/>
      <c r="I104" s="95"/>
      <c r="M104" s="206"/>
      <c r="N104" s="206"/>
      <c r="O104" s="124"/>
      <c r="P104" s="95"/>
      <c r="Q104" s="95"/>
      <c r="S104" s="45"/>
      <c r="T104" s="45"/>
      <c r="U104" s="131"/>
      <c r="V104" s="122"/>
      <c r="W104" s="30"/>
      <c r="X104" s="122"/>
      <c r="Y104" s="122"/>
      <c r="Z104" s="152"/>
      <c r="AA104" s="152"/>
      <c r="AB104" s="12"/>
      <c r="AC104" s="122"/>
      <c r="AD104" s="30"/>
      <c r="AE104" s="156"/>
      <c r="AF104" s="156"/>
      <c r="AG104" s="124"/>
      <c r="AH104" s="30"/>
      <c r="AI104" s="122"/>
      <c r="AJ104" s="30"/>
      <c r="AK104" s="156"/>
      <c r="AL104" s="156"/>
      <c r="AM104" s="124"/>
    </row>
    <row r="105" spans="1:55" ht="12.75" x14ac:dyDescent="0.2">
      <c r="B105" s="45" t="s">
        <v>203</v>
      </c>
      <c r="C105" s="109"/>
      <c r="K105" s="45" t="s">
        <v>201</v>
      </c>
      <c r="S105" s="45" t="s">
        <v>202</v>
      </c>
      <c r="U105" s="12"/>
      <c r="V105" s="12"/>
      <c r="W105" s="12"/>
      <c r="X105" s="12"/>
      <c r="Y105" s="12"/>
      <c r="Z105" s="12"/>
      <c r="AA105" s="12"/>
      <c r="AB105" s="12"/>
      <c r="AC105" s="130" t="s">
        <v>204</v>
      </c>
      <c r="AD105" s="46"/>
      <c r="AE105" s="46"/>
      <c r="AF105" s="46"/>
      <c r="AG105" s="46"/>
      <c r="AH105" s="46"/>
      <c r="AI105" s="130" t="s">
        <v>206</v>
      </c>
      <c r="AJ105" s="46"/>
      <c r="AK105" s="46"/>
      <c r="AL105" s="46"/>
      <c r="AM105" s="46"/>
      <c r="AN105" s="45"/>
      <c r="AO105" s="130" t="s">
        <v>207</v>
      </c>
      <c r="AP105" s="12"/>
      <c r="AQ105" s="12"/>
      <c r="AR105" s="12"/>
      <c r="AS105" s="12"/>
      <c r="AU105" s="130" t="s">
        <v>205</v>
      </c>
    </row>
    <row r="106" spans="1:55" ht="12.75" x14ac:dyDescent="0.2">
      <c r="B106" s="57" t="s">
        <v>208</v>
      </c>
      <c r="C106" s="28" t="s">
        <v>190</v>
      </c>
      <c r="D106" s="57" t="s">
        <v>191</v>
      </c>
      <c r="E106" s="28" t="s">
        <v>192</v>
      </c>
      <c r="F106" s="28" t="s">
        <v>193</v>
      </c>
      <c r="G106" s="28" t="s">
        <v>286</v>
      </c>
      <c r="H106" s="57" t="s">
        <v>285</v>
      </c>
      <c r="I106" s="57" t="s">
        <v>237</v>
      </c>
      <c r="J106" s="101"/>
      <c r="K106" s="28" t="s">
        <v>76</v>
      </c>
      <c r="L106" s="28" t="s">
        <v>4</v>
      </c>
      <c r="M106" s="57" t="s">
        <v>0</v>
      </c>
      <c r="N106" s="57" t="s">
        <v>1</v>
      </c>
      <c r="O106" s="28" t="s">
        <v>191</v>
      </c>
      <c r="P106" s="28" t="s">
        <v>192</v>
      </c>
      <c r="Q106" s="28" t="s">
        <v>193</v>
      </c>
      <c r="S106" s="28"/>
      <c r="T106" s="28" t="s">
        <v>76</v>
      </c>
      <c r="U106" s="28" t="s">
        <v>4</v>
      </c>
      <c r="V106" s="57" t="s">
        <v>0</v>
      </c>
      <c r="W106" s="28" t="s">
        <v>62</v>
      </c>
      <c r="X106" s="57" t="s">
        <v>217</v>
      </c>
      <c r="Y106" s="57" t="s">
        <v>190</v>
      </c>
      <c r="Z106" s="57" t="s">
        <v>194</v>
      </c>
      <c r="AA106" s="28" t="s">
        <v>195</v>
      </c>
      <c r="AB106" s="12"/>
      <c r="AC106" s="28" t="s">
        <v>0</v>
      </c>
      <c r="AD106" s="28" t="s">
        <v>196</v>
      </c>
      <c r="AE106" s="57" t="s">
        <v>1</v>
      </c>
      <c r="AF106" s="57" t="s">
        <v>197</v>
      </c>
      <c r="AG106" s="57" t="s">
        <v>198</v>
      </c>
      <c r="AH106" s="60"/>
      <c r="AI106" s="28" t="s">
        <v>0</v>
      </c>
      <c r="AJ106" s="28" t="s">
        <v>196</v>
      </c>
      <c r="AK106" s="57" t="s">
        <v>1</v>
      </c>
      <c r="AL106" s="57" t="s">
        <v>197</v>
      </c>
      <c r="AM106" s="57" t="s">
        <v>198</v>
      </c>
      <c r="AO106" s="28" t="s">
        <v>0</v>
      </c>
      <c r="AP106" s="28" t="s">
        <v>196</v>
      </c>
      <c r="AQ106" s="57" t="s">
        <v>1</v>
      </c>
      <c r="AR106" s="57" t="s">
        <v>197</v>
      </c>
      <c r="AS106" s="57" t="s">
        <v>198</v>
      </c>
      <c r="AU106" s="57" t="s">
        <v>199</v>
      </c>
      <c r="AV106" s="28" t="s">
        <v>191</v>
      </c>
      <c r="AW106" s="28" t="s">
        <v>192</v>
      </c>
      <c r="AX106" s="28" t="s">
        <v>193</v>
      </c>
      <c r="AY106" s="249"/>
      <c r="AZ106" s="249"/>
      <c r="BA106" s="249"/>
      <c r="BB106" s="249"/>
      <c r="BC106" s="249"/>
    </row>
    <row r="107" spans="1:55" s="250" customFormat="1" ht="12.75" x14ac:dyDescent="0.2">
      <c r="A107" s="250" t="s">
        <v>280</v>
      </c>
      <c r="B107" s="251"/>
      <c r="C107" s="251"/>
      <c r="D107" s="251"/>
      <c r="E107" s="251"/>
      <c r="F107" s="251"/>
      <c r="G107" s="251"/>
      <c r="H107" s="251"/>
      <c r="I107" s="251"/>
      <c r="J107" s="251"/>
      <c r="K107" s="251"/>
      <c r="L107" s="251"/>
      <c r="M107" s="251"/>
      <c r="N107" s="251"/>
      <c r="O107" s="251"/>
      <c r="P107" s="251"/>
      <c r="Q107" s="251"/>
      <c r="S107" s="251"/>
      <c r="T107" s="251"/>
      <c r="U107" s="251"/>
      <c r="V107" s="251"/>
      <c r="W107" s="251"/>
      <c r="X107" s="251"/>
      <c r="Y107" s="251"/>
      <c r="Z107" s="251"/>
      <c r="AA107" s="251"/>
      <c r="AB107" s="251"/>
      <c r="AC107" s="251"/>
      <c r="AD107" s="251"/>
      <c r="AE107" s="251"/>
      <c r="AF107" s="251"/>
      <c r="AG107" s="251"/>
      <c r="AH107" s="251"/>
      <c r="AI107" s="251"/>
      <c r="AJ107" s="251"/>
      <c r="AK107" s="251"/>
      <c r="AL107" s="251"/>
      <c r="AM107" s="251"/>
      <c r="AO107" s="251"/>
      <c r="AP107" s="251"/>
      <c r="AQ107" s="251"/>
      <c r="AR107" s="251"/>
      <c r="AS107" s="251"/>
      <c r="AU107" s="251"/>
      <c r="AV107" s="251"/>
      <c r="AW107" s="251"/>
      <c r="AX107" s="251"/>
      <c r="AY107" s="251"/>
      <c r="AZ107" s="251"/>
      <c r="BA107" s="251"/>
      <c r="BB107" s="251"/>
      <c r="BC107" s="251"/>
    </row>
    <row r="108" spans="1:55" ht="12.75" x14ac:dyDescent="0.2">
      <c r="A108" s="110" t="s">
        <v>279</v>
      </c>
      <c r="B108" s="52"/>
      <c r="C108" s="54"/>
      <c r="D108" s="124"/>
      <c r="E108" s="95"/>
      <c r="F108" s="95"/>
      <c r="G108" s="95"/>
      <c r="H108" s="95"/>
      <c r="I108" s="63"/>
      <c r="J108" s="95"/>
      <c r="K108" s="133"/>
      <c r="L108" s="133"/>
      <c r="M108" s="52"/>
      <c r="N108" s="52"/>
      <c r="O108" s="124"/>
      <c r="P108" s="95"/>
      <c r="Q108" s="95"/>
      <c r="S108" s="45"/>
      <c r="T108" s="45"/>
      <c r="U108" s="131"/>
      <c r="V108" s="122"/>
      <c r="W108" s="30"/>
      <c r="X108" s="122"/>
      <c r="Y108" s="122"/>
      <c r="Z108" s="152"/>
      <c r="AA108" s="152"/>
      <c r="AB108" s="12"/>
      <c r="AC108" s="122"/>
      <c r="AD108" s="30"/>
      <c r="AE108" s="123"/>
      <c r="AF108" s="123"/>
      <c r="AG108" s="124"/>
      <c r="AH108" s="30"/>
      <c r="AI108" s="122"/>
      <c r="AJ108" s="30"/>
      <c r="AK108" s="123"/>
      <c r="AL108" s="123"/>
      <c r="AM108" s="124"/>
      <c r="AO108" s="122"/>
      <c r="AP108" s="30"/>
      <c r="AQ108" s="123"/>
      <c r="AR108" s="123"/>
      <c r="AS108" s="124"/>
      <c r="AU108" s="32"/>
      <c r="AV108" s="32"/>
      <c r="AW108" s="32"/>
      <c r="AX108" s="32"/>
      <c r="AY108" s="239"/>
      <c r="AZ108" s="233"/>
      <c r="BA108" s="235"/>
      <c r="BB108" s="205"/>
      <c r="BC108" s="233"/>
    </row>
    <row r="109" spans="1:55" ht="12.75" x14ac:dyDescent="0.2">
      <c r="A109" s="110" t="s">
        <v>281</v>
      </c>
      <c r="B109" s="52"/>
      <c r="C109" s="54"/>
      <c r="D109" s="124"/>
      <c r="E109" s="95"/>
      <c r="F109" s="95"/>
      <c r="G109" s="95"/>
      <c r="H109" s="95"/>
      <c r="I109" s="63"/>
      <c r="J109" s="95"/>
      <c r="K109" s="133"/>
      <c r="L109" s="133"/>
      <c r="M109" s="52"/>
      <c r="N109" s="52"/>
      <c r="O109" s="124"/>
      <c r="P109" s="95"/>
      <c r="Q109" s="95"/>
      <c r="S109" s="45"/>
      <c r="T109" s="45"/>
      <c r="U109" s="131"/>
      <c r="V109" s="122"/>
      <c r="W109" s="30"/>
      <c r="X109" s="122"/>
      <c r="Y109" s="122"/>
      <c r="Z109" s="152"/>
      <c r="AA109" s="152"/>
      <c r="AB109" s="12"/>
      <c r="AC109" s="122"/>
      <c r="AD109" s="30"/>
      <c r="AE109" s="123"/>
      <c r="AF109" s="123"/>
      <c r="AG109" s="124"/>
      <c r="AH109" s="30"/>
      <c r="AI109" s="122"/>
      <c r="AJ109" s="30"/>
      <c r="AK109" s="123"/>
      <c r="AL109" s="123"/>
      <c r="AM109" s="124"/>
      <c r="AO109" s="122"/>
      <c r="AP109" s="30"/>
      <c r="AQ109" s="123"/>
      <c r="AR109" s="123"/>
      <c r="AS109" s="124"/>
      <c r="AU109" s="32"/>
      <c r="AV109" s="32"/>
      <c r="AW109" s="32"/>
      <c r="AX109" s="32"/>
      <c r="AY109" s="239"/>
      <c r="AZ109" s="233"/>
      <c r="BA109" s="235"/>
      <c r="BB109" s="205"/>
      <c r="BC109" s="233"/>
    </row>
    <row r="110" spans="1:55" ht="12.75" x14ac:dyDescent="0.2">
      <c r="A110" s="110" t="s">
        <v>280</v>
      </c>
      <c r="B110" s="52"/>
      <c r="C110" s="54"/>
      <c r="D110" s="124"/>
      <c r="E110" s="95"/>
      <c r="F110" s="95"/>
      <c r="G110" s="95"/>
      <c r="H110" s="95"/>
      <c r="I110" s="63"/>
      <c r="J110" s="95"/>
      <c r="K110" s="133"/>
      <c r="L110" s="133"/>
      <c r="M110" s="52"/>
      <c r="N110" s="52"/>
      <c r="O110" s="124"/>
      <c r="P110" s="95"/>
      <c r="Q110" s="95"/>
      <c r="S110" s="45"/>
      <c r="T110" s="45"/>
      <c r="U110" s="131"/>
      <c r="V110" s="122"/>
      <c r="W110" s="30"/>
      <c r="X110" s="122"/>
      <c r="Y110" s="122"/>
      <c r="Z110" s="152"/>
      <c r="AA110" s="152"/>
      <c r="AB110" s="12"/>
      <c r="AC110" s="122"/>
      <c r="AD110" s="30"/>
      <c r="AE110" s="123"/>
      <c r="AF110" s="123"/>
      <c r="AG110" s="124"/>
      <c r="AH110" s="30"/>
      <c r="AI110" s="122"/>
      <c r="AJ110" s="30"/>
      <c r="AK110" s="123"/>
      <c r="AL110" s="123"/>
      <c r="AM110" s="124"/>
      <c r="AO110" s="122"/>
      <c r="AP110" s="30"/>
      <c r="AQ110" s="123"/>
      <c r="AR110" s="123"/>
      <c r="AS110" s="124"/>
      <c r="AU110" s="32"/>
      <c r="AV110" s="32"/>
      <c r="AW110" s="32"/>
      <c r="AX110" s="32"/>
      <c r="AY110" s="239"/>
      <c r="AZ110" s="233"/>
      <c r="BA110" s="235"/>
      <c r="BB110" s="205"/>
      <c r="BC110" s="233"/>
    </row>
    <row r="111" spans="1:55" ht="12.75" x14ac:dyDescent="0.2">
      <c r="A111" s="110" t="s">
        <v>272</v>
      </c>
      <c r="B111" s="52">
        <v>100</v>
      </c>
      <c r="C111" s="54">
        <v>0.02</v>
      </c>
      <c r="D111" s="124">
        <v>0.04</v>
      </c>
      <c r="E111" s="95">
        <v>0.08</v>
      </c>
      <c r="F111" s="95">
        <v>0.16</v>
      </c>
      <c r="G111" s="95"/>
      <c r="H111" s="95">
        <v>0.01</v>
      </c>
      <c r="I111" s="63">
        <v>1200</v>
      </c>
      <c r="J111" s="95"/>
      <c r="K111" s="133" t="s">
        <v>75</v>
      </c>
      <c r="L111" s="133" t="s">
        <v>78</v>
      </c>
      <c r="M111" s="52">
        <v>100</v>
      </c>
      <c r="N111" s="52">
        <v>200</v>
      </c>
      <c r="O111" s="124">
        <v>0.5</v>
      </c>
      <c r="P111" s="95">
        <v>0.3</v>
      </c>
      <c r="Q111" s="95">
        <v>0.2</v>
      </c>
      <c r="S111" s="45" t="s">
        <v>212</v>
      </c>
      <c r="T111" s="45" t="s">
        <v>75</v>
      </c>
      <c r="U111" s="131" t="s">
        <v>78</v>
      </c>
      <c r="V111" s="122">
        <f>M111</f>
        <v>100</v>
      </c>
      <c r="W111" s="30">
        <f>X111/V111</f>
        <v>2</v>
      </c>
      <c r="X111" s="122">
        <f>N111</f>
        <v>200</v>
      </c>
      <c r="Y111" s="122">
        <f>V111 * (1 - ABS(C111))</f>
        <v>98</v>
      </c>
      <c r="Z111" s="152" t="s">
        <v>34</v>
      </c>
      <c r="AA111" s="152" t="s">
        <v>34</v>
      </c>
      <c r="AB111" s="12"/>
      <c r="AC111" s="122">
        <f>V111</f>
        <v>100</v>
      </c>
      <c r="AD111" s="30">
        <f>W111*O111</f>
        <v>1</v>
      </c>
      <c r="AE111" s="123">
        <f>X111*O111</f>
        <v>100</v>
      </c>
      <c r="AF111" s="123">
        <f>AC111 * (1 + D111) / (1 - H111)</f>
        <v>105.05050505050505</v>
      </c>
      <c r="AG111" s="124">
        <f>(B111 - AF111) / AF111</f>
        <v>-4.8076923076923087E-2</v>
      </c>
      <c r="AH111" s="30"/>
      <c r="AI111" s="122">
        <f>V111</f>
        <v>100</v>
      </c>
      <c r="AJ111" s="30">
        <f>W111*P111</f>
        <v>0.6</v>
      </c>
      <c r="AK111" s="123">
        <f>X111*P111</f>
        <v>60</v>
      </c>
      <c r="AL111" s="123">
        <f>AI111 * (1 + E111) / (1 - H111)</f>
        <v>109.09090909090909</v>
      </c>
      <c r="AM111" s="124">
        <f>(B111 - AL111) / AL111</f>
        <v>-8.3333333333333356E-2</v>
      </c>
      <c r="AO111" s="122">
        <f>V111</f>
        <v>100</v>
      </c>
      <c r="AP111" s="30">
        <f>W111*Q111</f>
        <v>0.4</v>
      </c>
      <c r="AQ111" s="123">
        <f>X111*Q111</f>
        <v>40</v>
      </c>
      <c r="AR111" s="123">
        <f>AO111 * (1 + F111) / (1 - H111)</f>
        <v>117.17171717171716</v>
      </c>
      <c r="AS111" s="124">
        <f>(B111 - AR111) / AR111</f>
        <v>-0.14655172413793097</v>
      </c>
      <c r="AU111" s="32">
        <f>AX111+AW111+AV111</f>
        <v>2</v>
      </c>
      <c r="AV111" s="32">
        <f>AD111</f>
        <v>1</v>
      </c>
      <c r="AW111" s="32">
        <f>AJ111</f>
        <v>0.6</v>
      </c>
      <c r="AX111" s="32">
        <f>AP111</f>
        <v>0.4</v>
      </c>
      <c r="AY111" s="239"/>
      <c r="AZ111" s="233"/>
      <c r="BA111" s="235"/>
      <c r="BB111" s="205"/>
      <c r="BC111" s="233"/>
    </row>
    <row r="112" spans="1:55" ht="12.75" x14ac:dyDescent="0.2">
      <c r="A112" s="176" t="s">
        <v>271</v>
      </c>
      <c r="B112" s="40">
        <v>110</v>
      </c>
      <c r="C112" s="55">
        <v>0.02</v>
      </c>
      <c r="D112" s="129">
        <v>0.04</v>
      </c>
      <c r="E112" s="125">
        <v>0.08</v>
      </c>
      <c r="F112" s="125">
        <v>0.16</v>
      </c>
      <c r="G112" s="125"/>
      <c r="H112" s="125">
        <v>0.01</v>
      </c>
      <c r="I112" s="65">
        <v>1200</v>
      </c>
      <c r="J112" s="125"/>
      <c r="K112" s="134" t="s">
        <v>75</v>
      </c>
      <c r="L112" s="134" t="s">
        <v>210</v>
      </c>
      <c r="M112" s="40">
        <v>110</v>
      </c>
      <c r="N112" s="40">
        <v>300</v>
      </c>
      <c r="O112" s="129">
        <v>0.5</v>
      </c>
      <c r="P112" s="125">
        <v>0.3</v>
      </c>
      <c r="Q112" s="125">
        <v>0.2</v>
      </c>
      <c r="R112" s="35"/>
      <c r="S112" s="47" t="s">
        <v>213</v>
      </c>
      <c r="T112" s="47" t="s">
        <v>75</v>
      </c>
      <c r="U112" s="134" t="s">
        <v>210</v>
      </c>
      <c r="V112" s="126">
        <f>M112</f>
        <v>110</v>
      </c>
      <c r="W112" s="43">
        <f>X112/V112</f>
        <v>2.7272727272727271</v>
      </c>
      <c r="X112" s="126">
        <f>N112</f>
        <v>300</v>
      </c>
      <c r="Y112" s="126">
        <f>V112 * (1 - ABS(C112))</f>
        <v>107.8</v>
      </c>
      <c r="Z112" s="153" t="s">
        <v>34</v>
      </c>
      <c r="AA112" s="153" t="s">
        <v>34</v>
      </c>
      <c r="AB112" s="41"/>
      <c r="AC112" s="126">
        <f>V112</f>
        <v>110</v>
      </c>
      <c r="AD112" s="43">
        <f>W112*O112</f>
        <v>1.3636363636363635</v>
      </c>
      <c r="AE112" s="128">
        <f>X112*O112</f>
        <v>150</v>
      </c>
      <c r="AF112" s="128">
        <f>AC112 * (1 + D112) / (1 - H112)</f>
        <v>115.55555555555556</v>
      </c>
      <c r="AG112" s="129">
        <f>(B112 - AF112) / AF112</f>
        <v>-4.8076923076923087E-2</v>
      </c>
      <c r="AH112" s="43"/>
      <c r="AI112" s="126">
        <f>V112</f>
        <v>110</v>
      </c>
      <c r="AJ112" s="43">
        <f>W112*P112</f>
        <v>0.81818181818181812</v>
      </c>
      <c r="AK112" s="128">
        <f>X112*P112</f>
        <v>90</v>
      </c>
      <c r="AL112" s="128">
        <f>AI112 * (1 + E112) / (1 - H112)</f>
        <v>120.00000000000001</v>
      </c>
      <c r="AM112" s="129">
        <f>(B112 - AL112) / AL112</f>
        <v>-8.333333333333344E-2</v>
      </c>
      <c r="AN112" s="35"/>
      <c r="AO112" s="126">
        <f>V112</f>
        <v>110</v>
      </c>
      <c r="AP112" s="43">
        <f>W112*Q112</f>
        <v>0.54545454545454541</v>
      </c>
      <c r="AQ112" s="128">
        <f>X112*Q112</f>
        <v>60</v>
      </c>
      <c r="AR112" s="128">
        <f>AO112 * (1 + F112) / (1 - H112)</f>
        <v>128.88888888888889</v>
      </c>
      <c r="AS112" s="129">
        <f>(B112 - AR112) / AR112</f>
        <v>-0.14655172413793102</v>
      </c>
      <c r="AT112" s="35"/>
      <c r="AU112" s="39">
        <f>AX112+AW112+AV112</f>
        <v>4.7272727272727266</v>
      </c>
      <c r="AV112" s="39">
        <f>AD112+AD113</f>
        <v>2.3636363636363633</v>
      </c>
      <c r="AW112" s="39">
        <f>AJ112+AJ113</f>
        <v>1.418181818181818</v>
      </c>
      <c r="AX112" s="39">
        <f>AP112+AP113</f>
        <v>0.94545454545454544</v>
      </c>
      <c r="AY112" s="195"/>
      <c r="AZ112" s="63"/>
      <c r="BA112" s="122"/>
      <c r="BB112" s="196"/>
      <c r="BC112" s="63"/>
    </row>
    <row r="113" spans="1:55" ht="12.75" x14ac:dyDescent="0.2">
      <c r="A113" s="35"/>
      <c r="B113" s="40"/>
      <c r="C113" s="55"/>
      <c r="D113" s="129"/>
      <c r="E113" s="125"/>
      <c r="F113" s="125"/>
      <c r="G113" s="125"/>
      <c r="H113" s="125"/>
      <c r="I113" s="65"/>
      <c r="J113" s="125"/>
      <c r="K113" s="134"/>
      <c r="L113" s="134"/>
      <c r="M113" s="40"/>
      <c r="N113" s="40"/>
      <c r="O113" s="129"/>
      <c r="P113" s="125"/>
      <c r="Q113" s="125"/>
      <c r="R113" s="35"/>
      <c r="S113" s="47"/>
      <c r="T113" s="47"/>
      <c r="U113" s="202"/>
      <c r="V113" s="126"/>
      <c r="W113" s="43"/>
      <c r="X113" s="126"/>
      <c r="Y113" s="126"/>
      <c r="Z113" s="153"/>
      <c r="AA113" s="153"/>
      <c r="AB113" s="41"/>
      <c r="AC113" s="126">
        <f>AC111</f>
        <v>100</v>
      </c>
      <c r="AD113" s="43">
        <f>AD111</f>
        <v>1</v>
      </c>
      <c r="AE113" s="128">
        <f>AE111</f>
        <v>100</v>
      </c>
      <c r="AF113" s="128">
        <f>AC113 * (1 + D112) / (1 - H112)</f>
        <v>105.05050505050505</v>
      </c>
      <c r="AG113" s="129">
        <f>(B112 - AF113) / AF113</f>
        <v>4.7115384615384601E-2</v>
      </c>
      <c r="AH113" s="43"/>
      <c r="AI113" s="126">
        <f>AI111</f>
        <v>100</v>
      </c>
      <c r="AJ113" s="43">
        <f>AJ111</f>
        <v>0.6</v>
      </c>
      <c r="AK113" s="128">
        <f>AK111</f>
        <v>60</v>
      </c>
      <c r="AL113" s="128">
        <f>AI113 * (1 + E112) / (1 - H112)</f>
        <v>109.09090909090909</v>
      </c>
      <c r="AM113" s="129">
        <f>(B112 - AL113) / AL113</f>
        <v>8.3333333333333089E-3</v>
      </c>
      <c r="AN113" s="35"/>
      <c r="AO113" s="126">
        <f>AO111</f>
        <v>100</v>
      </c>
      <c r="AP113" s="43">
        <f>AP111</f>
        <v>0.4</v>
      </c>
      <c r="AQ113" s="128">
        <f>AQ111</f>
        <v>40</v>
      </c>
      <c r="AR113" s="128">
        <f>AO113 * (1 + F112) / (1 - H112)</f>
        <v>117.17171717171716</v>
      </c>
      <c r="AS113" s="129">
        <f>(B112 - AR113) / AR113</f>
        <v>-6.1206896551724066E-2</v>
      </c>
      <c r="AT113" s="35"/>
      <c r="AU113" s="39"/>
      <c r="AV113" s="39"/>
      <c r="AW113" s="39"/>
      <c r="AX113" s="39"/>
      <c r="AY113" s="195"/>
      <c r="AZ113" s="63"/>
      <c r="BA113" s="122"/>
      <c r="BB113" s="196"/>
      <c r="BC113" s="63"/>
    </row>
    <row r="114" spans="1:55" s="237" customFormat="1" ht="12.75" x14ac:dyDescent="0.2">
      <c r="A114" s="250" t="s">
        <v>231</v>
      </c>
      <c r="B114" s="230">
        <v>90</v>
      </c>
      <c r="C114" s="62">
        <v>0.02</v>
      </c>
      <c r="D114" s="231">
        <v>0.04</v>
      </c>
      <c r="E114" s="232">
        <v>0.08</v>
      </c>
      <c r="F114" s="232">
        <v>0.16</v>
      </c>
      <c r="G114" s="232"/>
      <c r="H114" s="232">
        <v>0.01</v>
      </c>
      <c r="I114" s="233">
        <v>1200</v>
      </c>
      <c r="J114" s="232"/>
      <c r="K114" s="234"/>
      <c r="L114" s="234"/>
      <c r="M114" s="230"/>
      <c r="N114" s="230"/>
      <c r="O114" s="231"/>
      <c r="P114" s="232"/>
      <c r="Q114" s="232"/>
      <c r="S114" s="252"/>
      <c r="T114" s="252"/>
      <c r="U114" s="234"/>
      <c r="V114" s="235"/>
      <c r="W114" s="236"/>
      <c r="X114" s="235"/>
      <c r="Y114" s="235"/>
      <c r="Z114" s="241"/>
      <c r="AA114" s="241"/>
      <c r="AB114" s="247"/>
      <c r="AC114" s="235">
        <f>AC112</f>
        <v>110</v>
      </c>
      <c r="AD114" s="236">
        <f>AD112</f>
        <v>1.3636363636363635</v>
      </c>
      <c r="AE114" s="156">
        <f>AE112</f>
        <v>150</v>
      </c>
      <c r="AF114" s="156">
        <f>AC114 * (1 + D114) / (1 - H114)</f>
        <v>115.55555555555556</v>
      </c>
      <c r="AG114" s="231">
        <f>(B114 - AF114) / AF114</f>
        <v>-0.22115384615384617</v>
      </c>
      <c r="AH114" s="236"/>
      <c r="AI114" s="235">
        <f>AI112</f>
        <v>110</v>
      </c>
      <c r="AJ114" s="236">
        <f>AJ112</f>
        <v>0.81818181818181812</v>
      </c>
      <c r="AK114" s="156">
        <f>AK112</f>
        <v>90</v>
      </c>
      <c r="AL114" s="156">
        <f>AI114 * (1 + E114) / (1 - H114)</f>
        <v>120.00000000000001</v>
      </c>
      <c r="AM114" s="231">
        <f>(B114 - AL114) / AL114</f>
        <v>-0.25000000000000011</v>
      </c>
      <c r="AO114" s="235">
        <f>AO112</f>
        <v>110</v>
      </c>
      <c r="AP114" s="236">
        <f>AP112</f>
        <v>0.54545454545454541</v>
      </c>
      <c r="AQ114" s="156">
        <f>AQ112</f>
        <v>60</v>
      </c>
      <c r="AR114" s="156">
        <f>AO114 * (1 + F114) / (1 - H114)</f>
        <v>128.88888888888889</v>
      </c>
      <c r="AS114" s="231">
        <f>(B114 - AR114) / AR114</f>
        <v>-0.30172413793103448</v>
      </c>
      <c r="AU114" s="238">
        <f>AX114+AW114+AV114</f>
        <v>4.7272727272727266</v>
      </c>
      <c r="AV114" s="238">
        <f>AD114+AD115</f>
        <v>2.3636363636363633</v>
      </c>
      <c r="AW114" s="238">
        <f>AJ114+AJ115</f>
        <v>1.418181818181818</v>
      </c>
      <c r="AX114" s="238">
        <f>AP114+AP115</f>
        <v>0.94545454545454544</v>
      </c>
      <c r="AY114" s="239"/>
      <c r="AZ114" s="233"/>
      <c r="BA114" s="235"/>
      <c r="BB114" s="205"/>
      <c r="BC114" s="233"/>
    </row>
    <row r="115" spans="1:55" s="237" customFormat="1" ht="12.75" x14ac:dyDescent="0.2">
      <c r="B115" s="230"/>
      <c r="C115" s="62"/>
      <c r="D115" s="231"/>
      <c r="E115" s="232"/>
      <c r="F115" s="232"/>
      <c r="G115" s="232"/>
      <c r="H115" s="232"/>
      <c r="I115" s="233"/>
      <c r="J115" s="232"/>
      <c r="K115" s="234"/>
      <c r="L115" s="234"/>
      <c r="M115" s="230"/>
      <c r="N115" s="230"/>
      <c r="O115" s="231"/>
      <c r="P115" s="232"/>
      <c r="Q115" s="232"/>
      <c r="S115" s="252"/>
      <c r="T115" s="252"/>
      <c r="U115" s="253"/>
      <c r="V115" s="235"/>
      <c r="W115" s="236"/>
      <c r="X115" s="235"/>
      <c r="Y115" s="235"/>
      <c r="Z115" s="241"/>
      <c r="AA115" s="241"/>
      <c r="AB115" s="247"/>
      <c r="AC115" s="235">
        <f>AC113</f>
        <v>100</v>
      </c>
      <c r="AD115" s="236">
        <f>AD113</f>
        <v>1</v>
      </c>
      <c r="AE115" s="156">
        <f>AE113</f>
        <v>100</v>
      </c>
      <c r="AF115" s="156">
        <f>AC115 * (1 + D114) / (1 - H114)</f>
        <v>105.05050505050505</v>
      </c>
      <c r="AG115" s="231">
        <f>(B114 - AF115) / AF115</f>
        <v>-0.14326923076923079</v>
      </c>
      <c r="AH115" s="236"/>
      <c r="AI115" s="235">
        <f>AI113</f>
        <v>100</v>
      </c>
      <c r="AJ115" s="236">
        <f>AJ113</f>
        <v>0.6</v>
      </c>
      <c r="AK115" s="156">
        <f>AK113</f>
        <v>60</v>
      </c>
      <c r="AL115" s="156">
        <f>AI115 * (1 + E114) / (1 - H114)</f>
        <v>109.09090909090909</v>
      </c>
      <c r="AM115" s="231">
        <f>(B114 - AL115) / AL115</f>
        <v>-0.17500000000000002</v>
      </c>
      <c r="AO115" s="235">
        <f>AO113</f>
        <v>100</v>
      </c>
      <c r="AP115" s="236">
        <f>AP113</f>
        <v>0.4</v>
      </c>
      <c r="AQ115" s="156">
        <f>AQ113</f>
        <v>40</v>
      </c>
      <c r="AR115" s="156">
        <f>AO115 * (1 + F114) / (1 - H114)</f>
        <v>117.17171717171716</v>
      </c>
      <c r="AS115" s="231">
        <f>(B114 - AR115) / AR115</f>
        <v>-0.23189655172413787</v>
      </c>
      <c r="AU115" s="238"/>
      <c r="AV115" s="238"/>
      <c r="AW115" s="238"/>
      <c r="AX115" s="238"/>
      <c r="AY115" s="239"/>
      <c r="AZ115" s="233"/>
      <c r="BA115" s="235"/>
      <c r="BB115" s="205"/>
      <c r="BC115" s="233"/>
    </row>
    <row r="116" spans="1:55" s="237" customFormat="1" ht="12.75" x14ac:dyDescent="0.2">
      <c r="A116" s="47" t="s">
        <v>282</v>
      </c>
      <c r="B116" s="40">
        <v>90</v>
      </c>
      <c r="C116" s="55">
        <v>0.04</v>
      </c>
      <c r="D116" s="129">
        <v>0.04</v>
      </c>
      <c r="E116" s="125">
        <v>0.08</v>
      </c>
      <c r="F116" s="125">
        <v>0.16</v>
      </c>
      <c r="G116" s="125"/>
      <c r="H116" s="125">
        <v>0.01</v>
      </c>
      <c r="I116" s="65">
        <v>1200</v>
      </c>
      <c r="J116" s="125"/>
      <c r="K116" s="134"/>
      <c r="L116" s="134"/>
      <c r="M116" s="40"/>
      <c r="N116" s="40"/>
      <c r="O116" s="129"/>
      <c r="P116" s="125"/>
      <c r="Q116" s="125"/>
      <c r="R116" s="35"/>
      <c r="S116" s="47" t="s">
        <v>212</v>
      </c>
      <c r="T116" s="47" t="s">
        <v>75</v>
      </c>
      <c r="U116" s="202" t="s">
        <v>78</v>
      </c>
      <c r="V116" s="126">
        <f>V111</f>
        <v>100</v>
      </c>
      <c r="W116" s="43">
        <f>W111</f>
        <v>2</v>
      </c>
      <c r="X116" s="126">
        <f>X111</f>
        <v>200</v>
      </c>
      <c r="Y116" s="126">
        <f>V116 * (1 - ABS(C116))</f>
        <v>96</v>
      </c>
      <c r="Z116" s="153" t="s">
        <v>34</v>
      </c>
      <c r="AA116" s="153" t="s">
        <v>34</v>
      </c>
      <c r="AB116" s="41"/>
      <c r="AC116" s="126">
        <f>AC114</f>
        <v>110</v>
      </c>
      <c r="AD116" s="43">
        <f>AD114</f>
        <v>1.3636363636363635</v>
      </c>
      <c r="AE116" s="128">
        <f>AE114</f>
        <v>150</v>
      </c>
      <c r="AF116" s="128">
        <f>AC116 * (1 + D116) / (1 - H116)</f>
        <v>115.55555555555556</v>
      </c>
      <c r="AG116" s="129">
        <f>(B116 - AF116) / AF116</f>
        <v>-0.22115384615384617</v>
      </c>
      <c r="AH116" s="43"/>
      <c r="AI116" s="126">
        <f>AI114</f>
        <v>110</v>
      </c>
      <c r="AJ116" s="43">
        <f>AJ114</f>
        <v>0.81818181818181812</v>
      </c>
      <c r="AK116" s="128">
        <f>AK114</f>
        <v>90</v>
      </c>
      <c r="AL116" s="128">
        <f>AI116 * (1 + E116) / (1 - H116)</f>
        <v>120.00000000000001</v>
      </c>
      <c r="AM116" s="129">
        <f>(B116 - AL116) / AL116</f>
        <v>-0.25000000000000011</v>
      </c>
      <c r="AN116" s="35"/>
      <c r="AO116" s="126">
        <f>AO114</f>
        <v>110</v>
      </c>
      <c r="AP116" s="43">
        <f>AP114</f>
        <v>0.54545454545454541</v>
      </c>
      <c r="AQ116" s="128">
        <f>AQ114</f>
        <v>60</v>
      </c>
      <c r="AR116" s="128">
        <f>AO116 * (1 + F116) / (1 - H116)</f>
        <v>128.88888888888889</v>
      </c>
      <c r="AS116" s="129">
        <f>(B116 - AR116) / AR116</f>
        <v>-0.30172413793103448</v>
      </c>
      <c r="AT116" s="35"/>
      <c r="AU116" s="39">
        <f>AX116+AW116+AV116</f>
        <v>4.7272727272727266</v>
      </c>
      <c r="AV116" s="39">
        <f>AD116+AD117</f>
        <v>2.3636363636363633</v>
      </c>
      <c r="AW116" s="39">
        <f>AJ116+AJ117</f>
        <v>1.418181818181818</v>
      </c>
      <c r="AX116" s="39">
        <f>AP116+AP117</f>
        <v>0.94545454545454544</v>
      </c>
      <c r="AY116" s="239"/>
      <c r="AZ116" s="233"/>
      <c r="BA116" s="235"/>
      <c r="BB116" s="205"/>
      <c r="BC116" s="233"/>
    </row>
    <row r="117" spans="1:55" s="237" customFormat="1" ht="12.75" x14ac:dyDescent="0.2">
      <c r="A117" s="35"/>
      <c r="B117" s="40"/>
      <c r="C117" s="55"/>
      <c r="D117" s="129"/>
      <c r="E117" s="125"/>
      <c r="F117" s="125"/>
      <c r="G117" s="125"/>
      <c r="H117" s="125"/>
      <c r="I117" s="65"/>
      <c r="J117" s="125"/>
      <c r="K117" s="134"/>
      <c r="L117" s="134"/>
      <c r="M117" s="40"/>
      <c r="N117" s="40"/>
      <c r="O117" s="129"/>
      <c r="P117" s="125"/>
      <c r="Q117" s="125"/>
      <c r="R117" s="35"/>
      <c r="S117" s="47" t="s">
        <v>213</v>
      </c>
      <c r="T117" s="47" t="s">
        <v>75</v>
      </c>
      <c r="U117" s="134" t="s">
        <v>210</v>
      </c>
      <c r="V117" s="126">
        <f>V112</f>
        <v>110</v>
      </c>
      <c r="W117" s="43">
        <f>W112</f>
        <v>2.7272727272727271</v>
      </c>
      <c r="X117" s="126">
        <f>X112</f>
        <v>300</v>
      </c>
      <c r="Y117" s="126">
        <f>V117 * (1 - ABS(C116))</f>
        <v>105.6</v>
      </c>
      <c r="Z117" s="153" t="s">
        <v>34</v>
      </c>
      <c r="AA117" s="153" t="s">
        <v>34</v>
      </c>
      <c r="AB117" s="41"/>
      <c r="AC117" s="126">
        <f>AC115</f>
        <v>100</v>
      </c>
      <c r="AD117" s="43">
        <f>AD115</f>
        <v>1</v>
      </c>
      <c r="AE117" s="128">
        <f>AE115</f>
        <v>100</v>
      </c>
      <c r="AF117" s="128">
        <f>AC117 * (1 + D116) / (1 - H116)</f>
        <v>105.05050505050505</v>
      </c>
      <c r="AG117" s="129">
        <f>(B116 - AF117) / AF117</f>
        <v>-0.14326923076923079</v>
      </c>
      <c r="AH117" s="43"/>
      <c r="AI117" s="126">
        <f>AI115</f>
        <v>100</v>
      </c>
      <c r="AJ117" s="43">
        <f>AJ115</f>
        <v>0.6</v>
      </c>
      <c r="AK117" s="128">
        <f>AK115</f>
        <v>60</v>
      </c>
      <c r="AL117" s="128">
        <f>AI117 * (1 + E116) / (1 - H116)</f>
        <v>109.09090909090909</v>
      </c>
      <c r="AM117" s="129">
        <f>(B116 - AL117) / AL117</f>
        <v>-0.17500000000000002</v>
      </c>
      <c r="AN117" s="35"/>
      <c r="AO117" s="126">
        <f>AO115</f>
        <v>100</v>
      </c>
      <c r="AP117" s="43">
        <f>AP115</f>
        <v>0.4</v>
      </c>
      <c r="AQ117" s="128">
        <f>AQ115</f>
        <v>40</v>
      </c>
      <c r="AR117" s="128">
        <f>AO117 * (1 + F116) / (1 - H116)</f>
        <v>117.17171717171716</v>
      </c>
      <c r="AS117" s="129">
        <f>(B116 - AR117) / AR117</f>
        <v>-0.23189655172413787</v>
      </c>
      <c r="AT117" s="35"/>
      <c r="AU117" s="39"/>
      <c r="AV117" s="39"/>
      <c r="AW117" s="39"/>
      <c r="AX117" s="39"/>
      <c r="AY117" s="239"/>
      <c r="AZ117" s="233"/>
      <c r="BA117" s="235"/>
      <c r="BB117" s="205"/>
      <c r="BC117" s="233"/>
    </row>
    <row r="118" spans="1:55" ht="12.75" x14ac:dyDescent="0.2">
      <c r="A118" s="150"/>
      <c r="B118" s="33"/>
      <c r="C118" s="67"/>
      <c r="D118" s="124"/>
      <c r="E118" s="95"/>
      <c r="F118" s="95"/>
      <c r="G118" s="95"/>
      <c r="H118" s="95"/>
      <c r="I118" s="95"/>
      <c r="M118" s="206"/>
      <c r="N118" s="206"/>
      <c r="O118" s="124"/>
      <c r="P118" s="95"/>
      <c r="Q118" s="95"/>
      <c r="S118" s="45"/>
      <c r="T118" s="45"/>
      <c r="U118" s="131"/>
      <c r="V118" s="122"/>
      <c r="W118" s="30"/>
      <c r="X118" s="122"/>
      <c r="Y118" s="122"/>
      <c r="Z118" s="152"/>
      <c r="AA118" s="152"/>
      <c r="AB118" s="12"/>
      <c r="AC118" s="122"/>
      <c r="AD118" s="30"/>
      <c r="AE118" s="156"/>
      <c r="AF118" s="156"/>
      <c r="AG118" s="124"/>
      <c r="AH118" s="30"/>
      <c r="AI118" s="122"/>
      <c r="AJ118" s="30"/>
      <c r="AK118" s="156"/>
      <c r="AL118" s="156"/>
      <c r="AM118" s="124"/>
    </row>
    <row r="119" spans="1:55" ht="25.5" x14ac:dyDescent="0.2">
      <c r="A119" s="207" t="s">
        <v>269</v>
      </c>
      <c r="B119" s="33"/>
      <c r="C119" s="67"/>
      <c r="D119" s="124"/>
      <c r="E119" s="95"/>
      <c r="F119" s="95"/>
      <c r="G119" s="95"/>
      <c r="H119" s="95"/>
      <c r="I119" s="95"/>
      <c r="M119" s="206"/>
      <c r="N119" s="206"/>
      <c r="O119" s="124"/>
      <c r="P119" s="95"/>
      <c r="Q119" s="95"/>
      <c r="S119" s="45"/>
      <c r="T119" s="45"/>
      <c r="U119" s="131"/>
      <c r="V119" s="122"/>
      <c r="W119" s="30"/>
      <c r="X119" s="122"/>
      <c r="Y119" s="122"/>
      <c r="Z119" s="152"/>
      <c r="AA119" s="152"/>
      <c r="AB119" s="12"/>
      <c r="AC119" s="122"/>
      <c r="AD119" s="30"/>
      <c r="AE119" s="156"/>
      <c r="AF119" s="156"/>
      <c r="AG119" s="124"/>
      <c r="AH119" s="30"/>
      <c r="AI119" s="122"/>
      <c r="AJ119" s="30"/>
      <c r="AK119" s="156"/>
      <c r="AL119" s="156"/>
      <c r="AM119" s="124"/>
    </row>
    <row r="120" spans="1:55" ht="12.75" x14ac:dyDescent="0.2">
      <c r="B120" s="45" t="s">
        <v>203</v>
      </c>
      <c r="C120" s="109"/>
      <c r="K120" s="45" t="s">
        <v>201</v>
      </c>
      <c r="S120" s="45" t="s">
        <v>202</v>
      </c>
      <c r="U120" s="12"/>
      <c r="V120" s="12"/>
      <c r="W120" s="12"/>
      <c r="X120" s="12"/>
      <c r="Y120" s="12"/>
      <c r="Z120" s="12"/>
      <c r="AA120" s="12"/>
      <c r="AB120" s="12"/>
      <c r="AC120" s="130" t="s">
        <v>204</v>
      </c>
      <c r="AD120" s="46"/>
      <c r="AE120" s="46"/>
      <c r="AF120" s="46"/>
      <c r="AG120" s="46"/>
      <c r="AH120" s="46"/>
      <c r="AI120" s="130" t="s">
        <v>206</v>
      </c>
      <c r="AJ120" s="46"/>
      <c r="AK120" s="46"/>
      <c r="AL120" s="46"/>
      <c r="AM120" s="46"/>
      <c r="AN120" s="45"/>
      <c r="AO120" s="130" t="s">
        <v>207</v>
      </c>
      <c r="AP120" s="12"/>
      <c r="AQ120" s="12"/>
      <c r="AR120" s="12"/>
      <c r="AS120" s="12"/>
      <c r="AU120" s="130" t="s">
        <v>205</v>
      </c>
    </row>
    <row r="121" spans="1:55" ht="12.75" x14ac:dyDescent="0.2">
      <c r="B121" s="57" t="s">
        <v>208</v>
      </c>
      <c r="C121" s="28" t="s">
        <v>190</v>
      </c>
      <c r="D121" s="57" t="s">
        <v>191</v>
      </c>
      <c r="E121" s="28" t="s">
        <v>192</v>
      </c>
      <c r="F121" s="28" t="s">
        <v>193</v>
      </c>
      <c r="G121" s="28" t="s">
        <v>286</v>
      </c>
      <c r="H121" s="57" t="s">
        <v>285</v>
      </c>
      <c r="I121" s="57" t="s">
        <v>237</v>
      </c>
      <c r="J121" s="101"/>
      <c r="K121" s="28" t="s">
        <v>76</v>
      </c>
      <c r="L121" s="28" t="s">
        <v>4</v>
      </c>
      <c r="M121" s="57" t="s">
        <v>0</v>
      </c>
      <c r="N121" s="57" t="s">
        <v>1</v>
      </c>
      <c r="O121" s="28" t="s">
        <v>191</v>
      </c>
      <c r="P121" s="28" t="s">
        <v>192</v>
      </c>
      <c r="Q121" s="28" t="s">
        <v>193</v>
      </c>
      <c r="S121" s="28"/>
      <c r="T121" s="28" t="s">
        <v>76</v>
      </c>
      <c r="U121" s="28" t="s">
        <v>4</v>
      </c>
      <c r="V121" s="57" t="s">
        <v>0</v>
      </c>
      <c r="W121" s="28" t="s">
        <v>62</v>
      </c>
      <c r="X121" s="57" t="s">
        <v>217</v>
      </c>
      <c r="Y121" s="57" t="s">
        <v>190</v>
      </c>
      <c r="Z121" s="57" t="s">
        <v>194</v>
      </c>
      <c r="AA121" s="28" t="s">
        <v>195</v>
      </c>
      <c r="AB121" s="12"/>
      <c r="AC121" s="28" t="s">
        <v>0</v>
      </c>
      <c r="AD121" s="28" t="s">
        <v>196</v>
      </c>
      <c r="AE121" s="57" t="s">
        <v>1</v>
      </c>
      <c r="AF121" s="57" t="s">
        <v>197</v>
      </c>
      <c r="AG121" s="57" t="s">
        <v>198</v>
      </c>
      <c r="AH121" s="60"/>
      <c r="AI121" s="28" t="s">
        <v>0</v>
      </c>
      <c r="AJ121" s="28" t="s">
        <v>196</v>
      </c>
      <c r="AK121" s="57" t="s">
        <v>1</v>
      </c>
      <c r="AL121" s="57" t="s">
        <v>197</v>
      </c>
      <c r="AM121" s="57" t="s">
        <v>198</v>
      </c>
      <c r="AO121" s="28" t="s">
        <v>0</v>
      </c>
      <c r="AP121" s="28" t="s">
        <v>196</v>
      </c>
      <c r="AQ121" s="57" t="s">
        <v>1</v>
      </c>
      <c r="AR121" s="57" t="s">
        <v>197</v>
      </c>
      <c r="AS121" s="57" t="s">
        <v>198</v>
      </c>
      <c r="AU121" s="57" t="s">
        <v>199</v>
      </c>
      <c r="AV121" s="28" t="s">
        <v>191</v>
      </c>
      <c r="AW121" s="28" t="s">
        <v>192</v>
      </c>
      <c r="AX121" s="28" t="s">
        <v>193</v>
      </c>
      <c r="AY121" s="57" t="s">
        <v>79</v>
      </c>
      <c r="AZ121" s="57" t="s">
        <v>235</v>
      </c>
      <c r="BA121" s="57" t="s">
        <v>234</v>
      </c>
      <c r="BB121" s="57" t="s">
        <v>243</v>
      </c>
      <c r="BC121" s="57" t="s">
        <v>236</v>
      </c>
    </row>
    <row r="122" spans="1:55" ht="12.75" x14ac:dyDescent="0.2">
      <c r="A122" s="110" t="s">
        <v>212</v>
      </c>
      <c r="B122" s="52">
        <v>100</v>
      </c>
      <c r="C122" s="54">
        <v>0.02</v>
      </c>
      <c r="D122" s="124">
        <v>0.04</v>
      </c>
      <c r="E122" s="95">
        <v>0.08</v>
      </c>
      <c r="F122" s="95">
        <v>0.16</v>
      </c>
      <c r="G122" s="95"/>
      <c r="H122" s="95">
        <v>5.0000000000000001E-3</v>
      </c>
      <c r="I122" s="63">
        <v>1200</v>
      </c>
      <c r="J122" s="95"/>
      <c r="K122" s="133" t="s">
        <v>75</v>
      </c>
      <c r="L122" s="133" t="s">
        <v>78</v>
      </c>
      <c r="M122" s="52">
        <v>100</v>
      </c>
      <c r="N122" s="52">
        <v>300</v>
      </c>
      <c r="O122" s="124">
        <v>0.5</v>
      </c>
      <c r="P122" s="95">
        <v>0.3</v>
      </c>
      <c r="Q122" s="95">
        <v>0.2</v>
      </c>
      <c r="S122" s="45" t="s">
        <v>212</v>
      </c>
      <c r="T122" s="45" t="s">
        <v>75</v>
      </c>
      <c r="U122" s="131" t="s">
        <v>78</v>
      </c>
      <c r="V122" s="122">
        <f>M122</f>
        <v>100</v>
      </c>
      <c r="W122" s="30">
        <f>X122/V122</f>
        <v>3</v>
      </c>
      <c r="X122" s="122">
        <f>N122</f>
        <v>300</v>
      </c>
      <c r="Y122" s="122">
        <f>V122 * (1 - ABS(C122))</f>
        <v>98</v>
      </c>
      <c r="Z122" s="152" t="s">
        <v>34</v>
      </c>
      <c r="AA122" s="152" t="s">
        <v>34</v>
      </c>
      <c r="AB122" s="12"/>
      <c r="AC122" s="122">
        <f>V122</f>
        <v>100</v>
      </c>
      <c r="AD122" s="30">
        <f>W122*O122</f>
        <v>1.5</v>
      </c>
      <c r="AE122" s="123">
        <f>X122*O122</f>
        <v>150</v>
      </c>
      <c r="AF122" s="123">
        <f>AC122 * (1 + D122) / (1 - H122)</f>
        <v>104.52261306532664</v>
      </c>
      <c r="AG122" s="231">
        <f>(B122 - AF122) / AF122</f>
        <v>-4.3269230769230817E-2</v>
      </c>
      <c r="AH122" s="30"/>
      <c r="AI122" s="122">
        <f>V122</f>
        <v>100</v>
      </c>
      <c r="AJ122" s="30">
        <f>W122*P122</f>
        <v>0.89999999999999991</v>
      </c>
      <c r="AK122" s="123">
        <f>X122*P122</f>
        <v>90</v>
      </c>
      <c r="AL122" s="123">
        <f>AI122 * (1 + E122) / (1 - H122)</f>
        <v>108.5427135678392</v>
      </c>
      <c r="AM122" s="124">
        <f>(B122 - AL122) / AL122</f>
        <v>-7.8703703703703748E-2</v>
      </c>
      <c r="AO122" s="122">
        <f>V122</f>
        <v>100</v>
      </c>
      <c r="AP122" s="30">
        <f>W122*Q122</f>
        <v>0.60000000000000009</v>
      </c>
      <c r="AQ122" s="123">
        <f>X122*Q122</f>
        <v>60</v>
      </c>
      <c r="AR122" s="123">
        <f>AO122 * (1 + F122) / (1 - H122)</f>
        <v>116.58291457286431</v>
      </c>
      <c r="AS122" s="124">
        <f>(B122 - AR122) / AR122</f>
        <v>-0.14224137931034475</v>
      </c>
      <c r="AU122" s="32">
        <f>AX122+AW122+AV122</f>
        <v>3</v>
      </c>
      <c r="AV122" s="32">
        <f>AD122</f>
        <v>1.5</v>
      </c>
      <c r="AW122" s="32">
        <f>AJ122</f>
        <v>0.89999999999999991</v>
      </c>
      <c r="AX122" s="32">
        <f>AP122</f>
        <v>0.60000000000000009</v>
      </c>
      <c r="AY122" s="195">
        <f>N122</f>
        <v>300</v>
      </c>
      <c r="AZ122" s="63">
        <v>0</v>
      </c>
      <c r="BA122" s="122">
        <f>AU122*B122</f>
        <v>300</v>
      </c>
      <c r="BB122" s="196">
        <f>(AZ122+BA122-AY122)/AY122</f>
        <v>0</v>
      </c>
      <c r="BC122" s="63">
        <f>I122-AY122+AZ122</f>
        <v>900</v>
      </c>
    </row>
    <row r="123" spans="1:55" ht="12.75" x14ac:dyDescent="0.2">
      <c r="A123" s="181" t="s">
        <v>270</v>
      </c>
      <c r="B123" s="40">
        <v>100</v>
      </c>
      <c r="C123" s="55">
        <v>0.02</v>
      </c>
      <c r="D123" s="129">
        <v>0.04</v>
      </c>
      <c r="E123" s="125">
        <v>0.08</v>
      </c>
      <c r="F123" s="125">
        <v>0.16</v>
      </c>
      <c r="G123" s="125"/>
      <c r="H123" s="125">
        <v>5.0000000000000001E-3</v>
      </c>
      <c r="I123" s="65">
        <v>1200</v>
      </c>
      <c r="J123" s="125"/>
      <c r="K123" s="134" t="s">
        <v>239</v>
      </c>
      <c r="L123" s="153"/>
      <c r="M123" s="153"/>
      <c r="N123" s="40">
        <v>20</v>
      </c>
      <c r="O123" s="153"/>
      <c r="P123" s="153"/>
      <c r="Q123" s="153"/>
      <c r="R123" s="35"/>
      <c r="S123" s="47" t="s">
        <v>270</v>
      </c>
      <c r="T123" s="47" t="s">
        <v>239</v>
      </c>
      <c r="U123" s="153" t="s">
        <v>34</v>
      </c>
      <c r="V123" s="153" t="s">
        <v>34</v>
      </c>
      <c r="W123" s="153" t="s">
        <v>34</v>
      </c>
      <c r="X123" s="126">
        <f>N123</f>
        <v>20</v>
      </c>
      <c r="Y123" s="153" t="s">
        <v>34</v>
      </c>
      <c r="Z123" s="153" t="s">
        <v>34</v>
      </c>
      <c r="AA123" s="153" t="s">
        <v>34</v>
      </c>
      <c r="AB123" s="41"/>
      <c r="AC123" s="126">
        <f>AC122</f>
        <v>100</v>
      </c>
      <c r="AD123" s="43">
        <f>AD122</f>
        <v>1.5</v>
      </c>
      <c r="AE123" s="128">
        <f>AE122</f>
        <v>150</v>
      </c>
      <c r="AF123" s="128">
        <f>AC123 * (1 + D123) / (1 - H123)</f>
        <v>104.52261306532664</v>
      </c>
      <c r="AG123" s="129">
        <f>(B123 - AF123) / AF123</f>
        <v>-4.3269230769230817E-2</v>
      </c>
      <c r="AH123" s="43"/>
      <c r="AI123" s="126">
        <f>AI122</f>
        <v>100</v>
      </c>
      <c r="AJ123" s="43">
        <f>AJ122</f>
        <v>0.89999999999999991</v>
      </c>
      <c r="AK123" s="128">
        <f>AK122</f>
        <v>90</v>
      </c>
      <c r="AL123" s="128">
        <f>AI123 * (1 + E123) / (1 - H123)</f>
        <v>108.5427135678392</v>
      </c>
      <c r="AM123" s="129">
        <f>(B123 - AL123) / AL123</f>
        <v>-7.8703703703703748E-2</v>
      </c>
      <c r="AN123" s="35"/>
      <c r="AO123" s="126">
        <f>AO122</f>
        <v>100</v>
      </c>
      <c r="AP123" s="43">
        <f>AP122</f>
        <v>0.60000000000000009</v>
      </c>
      <c r="AQ123" s="128">
        <f>AQ122</f>
        <v>60</v>
      </c>
      <c r="AR123" s="128">
        <f>AO123 * (1 + F123) / (1 - H123)</f>
        <v>116.58291457286431</v>
      </c>
      <c r="AS123" s="129">
        <f>(B123 - AR123) / AR123</f>
        <v>-0.14224137931034475</v>
      </c>
      <c r="AT123" s="35"/>
      <c r="AU123" s="39">
        <f>AX123+AW123+AV123</f>
        <v>3</v>
      </c>
      <c r="AV123" s="39">
        <f>AD123</f>
        <v>1.5</v>
      </c>
      <c r="AW123" s="39">
        <f>AJ123</f>
        <v>0.89999999999999991</v>
      </c>
      <c r="AX123" s="39">
        <f>AP123</f>
        <v>0.60000000000000009</v>
      </c>
      <c r="AY123" s="200">
        <f>AY122</f>
        <v>300</v>
      </c>
      <c r="AZ123" s="65">
        <f>AZ122+X123</f>
        <v>20</v>
      </c>
      <c r="BA123" s="126">
        <f>AU123*B123</f>
        <v>300</v>
      </c>
      <c r="BB123" s="201">
        <f>(AZ123+BA123-AY123)/AY123</f>
        <v>6.6666666666666666E-2</v>
      </c>
      <c r="BC123" s="65">
        <f>I123-AY123+AZ123</f>
        <v>920</v>
      </c>
    </row>
    <row r="124" spans="1:55" ht="12.75" x14ac:dyDescent="0.2">
      <c r="A124" s="150" t="s">
        <v>85</v>
      </c>
      <c r="B124" s="52">
        <v>100</v>
      </c>
      <c r="C124" s="54">
        <v>0.02</v>
      </c>
      <c r="D124" s="124">
        <v>0.04</v>
      </c>
      <c r="E124" s="95">
        <v>0.08</v>
      </c>
      <c r="F124" s="95">
        <v>0.16</v>
      </c>
      <c r="G124" s="95"/>
      <c r="H124" s="95">
        <v>5.0000000000000001E-3</v>
      </c>
      <c r="I124" s="63">
        <v>1200</v>
      </c>
      <c r="K124" s="45" t="s">
        <v>70</v>
      </c>
      <c r="M124" s="206"/>
      <c r="N124" s="206"/>
      <c r="O124" s="124"/>
      <c r="P124" s="95"/>
      <c r="Q124" s="95"/>
      <c r="S124" s="45" t="s">
        <v>85</v>
      </c>
      <c r="T124" s="45" t="s">
        <v>70</v>
      </c>
      <c r="U124" s="152" t="s">
        <v>34</v>
      </c>
      <c r="V124" s="152" t="s">
        <v>34</v>
      </c>
      <c r="W124" s="152" t="s">
        <v>34</v>
      </c>
      <c r="X124" s="225">
        <v>2</v>
      </c>
      <c r="Y124" s="152" t="s">
        <v>34</v>
      </c>
      <c r="Z124" s="152" t="s">
        <v>34</v>
      </c>
      <c r="AA124" s="152" t="s">
        <v>34</v>
      </c>
      <c r="AB124" s="224"/>
      <c r="AC124" s="122">
        <f>AC123/X124</f>
        <v>50</v>
      </c>
      <c r="AD124" s="30">
        <f>AD123*X124</f>
        <v>3</v>
      </c>
      <c r="AE124" s="123">
        <f>AE123</f>
        <v>150</v>
      </c>
      <c r="AF124" s="123">
        <f>AC124 * (1 + D124) / (1 - H124)</f>
        <v>52.261306532663319</v>
      </c>
      <c r="AG124" s="124">
        <f>(B124 - AF124) / AF124</f>
        <v>0.91346153846153832</v>
      </c>
      <c r="AH124" s="30"/>
      <c r="AI124" s="122">
        <f>AI123/X124</f>
        <v>50</v>
      </c>
      <c r="AJ124" s="30">
        <f>AJ123*X124</f>
        <v>1.7999999999999998</v>
      </c>
      <c r="AK124" s="123">
        <f>AK123</f>
        <v>90</v>
      </c>
      <c r="AL124" s="123">
        <f>AI124 * (1 + E124) / (1 - H124)</f>
        <v>54.2713567839196</v>
      </c>
      <c r="AM124" s="124">
        <f>(B124 - AL124) / AL124</f>
        <v>0.84259259259259256</v>
      </c>
      <c r="AO124" s="122">
        <f>AO123/X124</f>
        <v>50</v>
      </c>
      <c r="AP124" s="30">
        <f>AP123*X124</f>
        <v>1.2000000000000002</v>
      </c>
      <c r="AQ124" s="123">
        <f>AQ123</f>
        <v>60</v>
      </c>
      <c r="AR124" s="123">
        <f>AO124 * (1 + F124) / (1 - H124)</f>
        <v>58.291457286432156</v>
      </c>
      <c r="AS124" s="124">
        <f>(B124 - AR124) / AR124</f>
        <v>0.7155172413793105</v>
      </c>
      <c r="AU124" s="32">
        <f>AX124+AW124+AV124</f>
        <v>6</v>
      </c>
      <c r="AV124" s="32">
        <f>AD124</f>
        <v>3</v>
      </c>
      <c r="AW124" s="32">
        <f>AJ124</f>
        <v>1.7999999999999998</v>
      </c>
      <c r="AX124" s="32">
        <f>AP124</f>
        <v>1.2000000000000002</v>
      </c>
      <c r="AY124" s="195">
        <f>AY123</f>
        <v>300</v>
      </c>
      <c r="AZ124" s="63">
        <f>AZ123</f>
        <v>20</v>
      </c>
      <c r="BA124" s="122">
        <f>AU124*B124</f>
        <v>600</v>
      </c>
      <c r="BB124" s="196">
        <f>(AZ124+BA124-AY124)/AY124</f>
        <v>1.0666666666666667</v>
      </c>
      <c r="BC124" s="63">
        <f>I124-AY124+AZ124</f>
        <v>920</v>
      </c>
    </row>
    <row r="125" spans="1:55" ht="12.75" x14ac:dyDescent="0.2">
      <c r="A125" s="181" t="s">
        <v>241</v>
      </c>
      <c r="B125" s="40">
        <v>100</v>
      </c>
      <c r="C125" s="55">
        <v>0.02</v>
      </c>
      <c r="D125" s="129">
        <v>0.04</v>
      </c>
      <c r="E125" s="125">
        <v>0.08</v>
      </c>
      <c r="F125" s="125">
        <v>0.16</v>
      </c>
      <c r="G125" s="125"/>
      <c r="H125" s="125">
        <v>5.0000000000000001E-3</v>
      </c>
      <c r="I125" s="65">
        <v>1200</v>
      </c>
      <c r="J125" s="125"/>
      <c r="K125" s="134" t="s">
        <v>242</v>
      </c>
      <c r="L125" s="153"/>
      <c r="M125" s="153"/>
      <c r="N125" s="40">
        <v>10</v>
      </c>
      <c r="O125" s="153"/>
      <c r="P125" s="153"/>
      <c r="Q125" s="153"/>
      <c r="R125" s="35"/>
      <c r="S125" s="47" t="s">
        <v>241</v>
      </c>
      <c r="T125" s="47" t="s">
        <v>242</v>
      </c>
      <c r="U125" s="153" t="s">
        <v>34</v>
      </c>
      <c r="V125" s="153" t="s">
        <v>34</v>
      </c>
      <c r="W125" s="153" t="s">
        <v>34</v>
      </c>
      <c r="X125" s="126">
        <f>N125</f>
        <v>10</v>
      </c>
      <c r="Y125" s="153" t="s">
        <v>34</v>
      </c>
      <c r="Z125" s="153" t="s">
        <v>34</v>
      </c>
      <c r="AA125" s="153" t="s">
        <v>34</v>
      </c>
      <c r="AB125" s="41"/>
      <c r="AC125" s="126">
        <f>AC124</f>
        <v>50</v>
      </c>
      <c r="AD125" s="43">
        <f>AD124</f>
        <v>3</v>
      </c>
      <c r="AE125" s="128">
        <f>AE124</f>
        <v>150</v>
      </c>
      <c r="AF125" s="128">
        <f>AC125 * (1 + D125) / (1 - H125)</f>
        <v>52.261306532663319</v>
      </c>
      <c r="AG125" s="129">
        <f>(B125 - AF125) / AF125</f>
        <v>0.91346153846153832</v>
      </c>
      <c r="AH125" s="43"/>
      <c r="AI125" s="126">
        <f>AI124</f>
        <v>50</v>
      </c>
      <c r="AJ125" s="43">
        <f>AJ124</f>
        <v>1.7999999999999998</v>
      </c>
      <c r="AK125" s="128">
        <f>AK124</f>
        <v>90</v>
      </c>
      <c r="AL125" s="128">
        <f>AI125 * (1 + E125) / (1 - H125)</f>
        <v>54.2713567839196</v>
      </c>
      <c r="AM125" s="129">
        <f>(B125 - AL125) / AL125</f>
        <v>0.84259259259259256</v>
      </c>
      <c r="AN125" s="35"/>
      <c r="AO125" s="126">
        <f>AO124</f>
        <v>50</v>
      </c>
      <c r="AP125" s="43">
        <f>AP124</f>
        <v>1.2000000000000002</v>
      </c>
      <c r="AQ125" s="128">
        <f>AQ124</f>
        <v>60</v>
      </c>
      <c r="AR125" s="128">
        <f>AO125 * (1 + F125) / (1 - H125)</f>
        <v>58.291457286432156</v>
      </c>
      <c r="AS125" s="129">
        <f>(B125 - AR125) / AR125</f>
        <v>0.7155172413793105</v>
      </c>
      <c r="AT125" s="35"/>
      <c r="AU125" s="39">
        <f>AX125+AW125+AV125</f>
        <v>6</v>
      </c>
      <c r="AV125" s="39">
        <f>AD125</f>
        <v>3</v>
      </c>
      <c r="AW125" s="39">
        <f>AJ125</f>
        <v>1.7999999999999998</v>
      </c>
      <c r="AX125" s="39">
        <f>AP125</f>
        <v>1.2000000000000002</v>
      </c>
      <c r="AY125" s="200">
        <f>AY124</f>
        <v>300</v>
      </c>
      <c r="AZ125" s="65">
        <f>AZ124+X125</f>
        <v>30</v>
      </c>
      <c r="BA125" s="126">
        <f>AU125*B125</f>
        <v>600</v>
      </c>
      <c r="BB125" s="201">
        <f>(AZ125+BA125-AY125)/AY125</f>
        <v>1.1000000000000001</v>
      </c>
      <c r="BC125" s="65">
        <f>I125-AY125+AZ125</f>
        <v>930</v>
      </c>
    </row>
    <row r="126" spans="1:55" ht="12.75" x14ac:dyDescent="0.2">
      <c r="A126" s="150" t="s">
        <v>215</v>
      </c>
      <c r="B126" s="52">
        <v>100</v>
      </c>
      <c r="C126" s="62">
        <v>0.02</v>
      </c>
      <c r="D126" s="124">
        <v>0.04</v>
      </c>
      <c r="E126" s="95">
        <v>0.08</v>
      </c>
      <c r="F126" s="95">
        <v>0.16</v>
      </c>
      <c r="G126" s="95"/>
      <c r="H126" s="95">
        <v>5.0000000000000001E-3</v>
      </c>
      <c r="I126" s="63">
        <v>1200</v>
      </c>
      <c r="J126" s="95"/>
      <c r="K126" s="133" t="s">
        <v>73</v>
      </c>
      <c r="L126" s="133" t="s">
        <v>216</v>
      </c>
      <c r="M126" s="52">
        <v>100</v>
      </c>
      <c r="N126" s="152" t="s">
        <v>34</v>
      </c>
      <c r="O126" s="124">
        <v>0.5</v>
      </c>
      <c r="P126" s="152" t="s">
        <v>34</v>
      </c>
      <c r="Q126" s="152" t="s">
        <v>34</v>
      </c>
      <c r="S126" s="45" t="s">
        <v>215</v>
      </c>
      <c r="T126" s="45" t="s">
        <v>73</v>
      </c>
      <c r="U126" s="133" t="s">
        <v>216</v>
      </c>
      <c r="V126" s="122">
        <f>M126</f>
        <v>100</v>
      </c>
      <c r="W126" s="30">
        <f>O126*AD125</f>
        <v>1.5</v>
      </c>
      <c r="X126" s="122">
        <f>V126*W126-(V126*W126*H126)</f>
        <v>149.25</v>
      </c>
      <c r="Y126" s="152" t="s">
        <v>34</v>
      </c>
      <c r="Z126" s="152">
        <f>X126-(AI124*W126)</f>
        <v>74.25</v>
      </c>
      <c r="AA126" s="160">
        <f>Z126/(AI124*W126)</f>
        <v>0.99</v>
      </c>
      <c r="AB126" s="12"/>
      <c r="AC126" s="122">
        <f>AC124</f>
        <v>50</v>
      </c>
      <c r="AD126" s="30">
        <f>AD125*O126</f>
        <v>1.5</v>
      </c>
      <c r="AE126" s="156">
        <f>AE125*O126</f>
        <v>75</v>
      </c>
      <c r="AF126" s="156">
        <f>AC126 * (1 + D126) / (1 - H126)</f>
        <v>52.261306532663319</v>
      </c>
      <c r="AG126" s="124">
        <f>(B126 - AF126) / AF126</f>
        <v>0.91346153846153832</v>
      </c>
      <c r="AH126" s="30"/>
      <c r="AI126" s="122">
        <f>AI125</f>
        <v>50</v>
      </c>
      <c r="AJ126" s="30">
        <f>AJ125</f>
        <v>1.7999999999999998</v>
      </c>
      <c r="AK126" s="123">
        <f>AK125</f>
        <v>90</v>
      </c>
      <c r="AL126" s="123">
        <f>AI126 * (1 + E126) / (1 - H126)</f>
        <v>54.2713567839196</v>
      </c>
      <c r="AM126" s="124">
        <f>(B126 - AL126) / AL126</f>
        <v>0.84259259259259256</v>
      </c>
      <c r="AO126" s="122">
        <f>AO124</f>
        <v>50</v>
      </c>
      <c r="AP126" s="30">
        <f>AP124</f>
        <v>1.2000000000000002</v>
      </c>
      <c r="AQ126" s="156">
        <f>AQ124</f>
        <v>60</v>
      </c>
      <c r="AR126" s="156">
        <f>AO126 * (1 + F126) / (1 - H126)</f>
        <v>58.291457286432156</v>
      </c>
      <c r="AS126" s="124">
        <f>(B126 - AR126) / AR126</f>
        <v>0.7155172413793105</v>
      </c>
      <c r="AU126" s="32">
        <f>AX126+AW126+AV126</f>
        <v>4.5</v>
      </c>
      <c r="AV126" s="32">
        <f>AD126</f>
        <v>1.5</v>
      </c>
      <c r="AW126" s="32">
        <f>AJ126</f>
        <v>1.7999999999999998</v>
      </c>
      <c r="AX126" s="32">
        <f>AP126</f>
        <v>1.2000000000000002</v>
      </c>
      <c r="AY126" s="195">
        <f>AY124</f>
        <v>300</v>
      </c>
      <c r="AZ126" s="63">
        <f>AZ125+X126</f>
        <v>179.25</v>
      </c>
      <c r="BA126" s="122">
        <f>AU126*B126</f>
        <v>450</v>
      </c>
      <c r="BB126" s="205">
        <f>(AZ126+BA126-AY126)/AY126</f>
        <v>1.0974999999999999</v>
      </c>
      <c r="BC126" s="63">
        <f>I126-AY126+AZ126</f>
        <v>1079.25</v>
      </c>
    </row>
    <row r="127" spans="1:55" ht="12.75" x14ac:dyDescent="0.2">
      <c r="A127" s="181" t="s">
        <v>273</v>
      </c>
      <c r="B127" s="40">
        <v>100</v>
      </c>
      <c r="C127" s="55">
        <v>0.02</v>
      </c>
      <c r="D127" s="129">
        <v>0.04</v>
      </c>
      <c r="E127" s="125">
        <v>0.08</v>
      </c>
      <c r="F127" s="125">
        <v>0.16</v>
      </c>
      <c r="G127" s="125"/>
      <c r="H127" s="125">
        <v>5.0000000000000001E-3</v>
      </c>
      <c r="I127" s="65">
        <v>1200</v>
      </c>
      <c r="J127" s="125"/>
      <c r="K127" s="134" t="s">
        <v>273</v>
      </c>
      <c r="L127" s="134"/>
      <c r="M127" s="40"/>
      <c r="N127" s="153"/>
      <c r="O127" s="129"/>
      <c r="P127" s="153"/>
      <c r="Q127" s="153"/>
      <c r="R127" s="35"/>
      <c r="S127" s="47" t="s">
        <v>215</v>
      </c>
      <c r="T127" s="165" t="s">
        <v>73</v>
      </c>
      <c r="U127" s="168" t="s">
        <v>216</v>
      </c>
      <c r="V127" s="227">
        <f>V126</f>
        <v>100</v>
      </c>
      <c r="W127" s="169">
        <f>W126</f>
        <v>1.5</v>
      </c>
      <c r="X127" s="227">
        <f>V127*W127-(V127*W127*H127)</f>
        <v>149.25</v>
      </c>
      <c r="Y127" s="228" t="s">
        <v>34</v>
      </c>
      <c r="Z127" s="228">
        <f>X127-(AI125*W127)</f>
        <v>74.25</v>
      </c>
      <c r="AA127" s="229">
        <f>Z127/(AI125*W127)</f>
        <v>0.99</v>
      </c>
      <c r="AB127" s="41"/>
      <c r="AC127" s="126">
        <f>AC125</f>
        <v>50</v>
      </c>
      <c r="AD127" s="43">
        <f>AD125</f>
        <v>3</v>
      </c>
      <c r="AE127" s="128">
        <f>AE125</f>
        <v>150</v>
      </c>
      <c r="AF127" s="128">
        <f>AC127 * (1 + D127) / (1 - H127)</f>
        <v>52.261306532663319</v>
      </c>
      <c r="AG127" s="129">
        <f>(B127 - AF127) / AF127</f>
        <v>0.91346153846153832</v>
      </c>
      <c r="AH127" s="43"/>
      <c r="AI127" s="126">
        <f>AI126</f>
        <v>50</v>
      </c>
      <c r="AJ127" s="43">
        <f>AJ126</f>
        <v>1.7999999999999998</v>
      </c>
      <c r="AK127" s="128">
        <f>AK126</f>
        <v>90</v>
      </c>
      <c r="AL127" s="128">
        <f>AI127 * (1 + E127) / (1 - H127)</f>
        <v>54.2713567839196</v>
      </c>
      <c r="AM127" s="129">
        <f>(B127 - AL127) / AL127</f>
        <v>0.84259259259259256</v>
      </c>
      <c r="AN127" s="35"/>
      <c r="AO127" s="126">
        <f>AO125</f>
        <v>50</v>
      </c>
      <c r="AP127" s="43">
        <f>AP125</f>
        <v>1.2000000000000002</v>
      </c>
      <c r="AQ127" s="128">
        <f>AQ125</f>
        <v>60</v>
      </c>
      <c r="AR127" s="128">
        <f>AO127 * (1 + F127) / (1 - H127)</f>
        <v>58.291457286432156</v>
      </c>
      <c r="AS127" s="129">
        <f>(B127 - AR127) / AR127</f>
        <v>0.7155172413793105</v>
      </c>
      <c r="AT127" s="35"/>
      <c r="AU127" s="39">
        <f>AX127+AW127+AV127</f>
        <v>6</v>
      </c>
      <c r="AV127" s="39">
        <f>AD127</f>
        <v>3</v>
      </c>
      <c r="AW127" s="39">
        <f>AJ127</f>
        <v>1.7999999999999998</v>
      </c>
      <c r="AX127" s="39">
        <f>AP127</f>
        <v>1.2000000000000002</v>
      </c>
      <c r="AY127" s="200">
        <f>AY125</f>
        <v>300</v>
      </c>
      <c r="AZ127" s="65">
        <f>AZ126-X127</f>
        <v>30</v>
      </c>
      <c r="BA127" s="126">
        <f>AU127*B127</f>
        <v>600</v>
      </c>
      <c r="BB127" s="201">
        <f>(AZ127+BA127-AY127)/AY127</f>
        <v>1.1000000000000001</v>
      </c>
      <c r="BC127" s="65">
        <f>I127-AY127+AZ127</f>
        <v>930</v>
      </c>
    </row>
    <row r="128" spans="1:55" s="237" customFormat="1" ht="12.75" x14ac:dyDescent="0.2">
      <c r="A128" s="240" t="s">
        <v>275</v>
      </c>
      <c r="B128" s="52">
        <v>100</v>
      </c>
      <c r="C128" s="62">
        <v>0.02</v>
      </c>
      <c r="D128" s="124">
        <v>0.04</v>
      </c>
      <c r="E128" s="95">
        <v>0.08</v>
      </c>
      <c r="F128" s="95">
        <v>0.16</v>
      </c>
      <c r="G128" s="95"/>
      <c r="H128" s="95">
        <v>5.0000000000000001E-3</v>
      </c>
      <c r="I128" s="63">
        <v>1200</v>
      </c>
      <c r="J128" s="232"/>
      <c r="K128" s="234" t="s">
        <v>276</v>
      </c>
      <c r="L128" s="234"/>
      <c r="M128" s="230"/>
      <c r="N128" s="241">
        <v>10</v>
      </c>
      <c r="O128" s="231"/>
      <c r="P128" s="241"/>
      <c r="Q128" s="241"/>
      <c r="S128" s="234" t="s">
        <v>276</v>
      </c>
      <c r="T128" s="242" t="s">
        <v>242</v>
      </c>
      <c r="U128" s="243"/>
      <c r="V128" s="244"/>
      <c r="W128" s="245"/>
      <c r="X128" s="241">
        <v>10</v>
      </c>
      <c r="Y128" s="246"/>
      <c r="Z128" s="246"/>
      <c r="AA128" s="226"/>
      <c r="AB128" s="247"/>
      <c r="AC128" s="235">
        <f>AC126</f>
        <v>50</v>
      </c>
      <c r="AD128" s="236">
        <f>AD127</f>
        <v>3</v>
      </c>
      <c r="AE128" s="156">
        <f>AE127</f>
        <v>150</v>
      </c>
      <c r="AF128" s="156">
        <f>AC128 * (1 + D128) / (1 - H128)</f>
        <v>52.261306532663319</v>
      </c>
      <c r="AG128" s="231">
        <f>(B128 - AF128) / AF128</f>
        <v>0.91346153846153832</v>
      </c>
      <c r="AH128" s="236"/>
      <c r="AI128" s="235">
        <f>AI127</f>
        <v>50</v>
      </c>
      <c r="AJ128" s="236">
        <f>AJ127</f>
        <v>1.7999999999999998</v>
      </c>
      <c r="AK128" s="156">
        <f>AK127</f>
        <v>90</v>
      </c>
      <c r="AL128" s="156">
        <f>AI128 * (1 + E128) / (1 - H128)</f>
        <v>54.2713567839196</v>
      </c>
      <c r="AM128" s="231">
        <f>(B128 - AL128) / AL128</f>
        <v>0.84259259259259256</v>
      </c>
      <c r="AO128" s="235">
        <f>AO126</f>
        <v>50</v>
      </c>
      <c r="AP128" s="236">
        <f>AP126</f>
        <v>1.2000000000000002</v>
      </c>
      <c r="AQ128" s="156">
        <f>AQ126</f>
        <v>60</v>
      </c>
      <c r="AR128" s="156">
        <f>AO128 * (1 + F128) / (1 - H128)</f>
        <v>58.291457286432156</v>
      </c>
      <c r="AS128" s="231">
        <f>(B128 - AR128) / AR128</f>
        <v>0.7155172413793105</v>
      </c>
      <c r="AU128" s="238">
        <f>AX128+AW128+AV128</f>
        <v>6</v>
      </c>
      <c r="AV128" s="238">
        <f>AD128</f>
        <v>3</v>
      </c>
      <c r="AW128" s="238">
        <f>AJ128</f>
        <v>1.7999999999999998</v>
      </c>
      <c r="AX128" s="238">
        <f>AP128</f>
        <v>1.2000000000000002</v>
      </c>
      <c r="AY128" s="239">
        <f>AY126</f>
        <v>300</v>
      </c>
      <c r="AZ128" s="233">
        <f>AZ127-X128</f>
        <v>20</v>
      </c>
      <c r="BA128" s="235">
        <f>AU128*B128</f>
        <v>600</v>
      </c>
      <c r="BB128" s="205">
        <f>(AZ128+BA128-AY128)/AY128</f>
        <v>1.0666666666666667</v>
      </c>
      <c r="BC128" s="233">
        <f>I128-AY128+AZ128</f>
        <v>920</v>
      </c>
    </row>
    <row r="129" spans="1:55" ht="12.75" x14ac:dyDescent="0.2">
      <c r="A129" s="181" t="s">
        <v>274</v>
      </c>
      <c r="B129" s="40">
        <v>100</v>
      </c>
      <c r="C129" s="55">
        <v>0.02</v>
      </c>
      <c r="D129" s="129">
        <v>0.04</v>
      </c>
      <c r="E129" s="125">
        <v>0.08</v>
      </c>
      <c r="F129" s="125">
        <v>0.16</v>
      </c>
      <c r="G129" s="125"/>
      <c r="H129" s="125">
        <v>5.0000000000000001E-3</v>
      </c>
      <c r="I129" s="65">
        <v>1200</v>
      </c>
      <c r="J129" s="35"/>
      <c r="K129" s="134" t="s">
        <v>274</v>
      </c>
      <c r="L129" s="35"/>
      <c r="M129" s="209"/>
      <c r="N129" s="209"/>
      <c r="O129" s="129"/>
      <c r="P129" s="125"/>
      <c r="Q129" s="125"/>
      <c r="R129" s="35"/>
      <c r="S129" s="134" t="s">
        <v>274</v>
      </c>
      <c r="T129" s="165" t="s">
        <v>70</v>
      </c>
      <c r="U129" s="202"/>
      <c r="V129" s="126"/>
      <c r="W129" s="43"/>
      <c r="X129" s="126"/>
      <c r="Y129" s="126"/>
      <c r="Z129" s="153"/>
      <c r="AA129" s="153"/>
      <c r="AB129" s="41"/>
      <c r="AC129" s="126">
        <f>AC128*X124</f>
        <v>100</v>
      </c>
      <c r="AD129" s="43">
        <f>AD128/X124</f>
        <v>1.5</v>
      </c>
      <c r="AE129" s="128">
        <f>AE127</f>
        <v>150</v>
      </c>
      <c r="AF129" s="128">
        <f>AC129 * (1 + D129) / (1 - H129)</f>
        <v>104.52261306532664</v>
      </c>
      <c r="AG129" s="129">
        <f>(B129 - AF129) / AF129</f>
        <v>-4.3269230769230817E-2</v>
      </c>
      <c r="AH129" s="43"/>
      <c r="AI129" s="126">
        <f>AI128*X124</f>
        <v>100</v>
      </c>
      <c r="AJ129" s="43">
        <f>AJ128/X124</f>
        <v>0.89999999999999991</v>
      </c>
      <c r="AK129" s="128">
        <f>AK127</f>
        <v>90</v>
      </c>
      <c r="AL129" s="128">
        <f>AI129 * (1 + E129) / (1 - H129)</f>
        <v>108.5427135678392</v>
      </c>
      <c r="AM129" s="129">
        <f>(B129 - AL129) / AL129</f>
        <v>-7.8703703703703748E-2</v>
      </c>
      <c r="AN129" s="35"/>
      <c r="AO129" s="126">
        <f>AO128*X124</f>
        <v>100</v>
      </c>
      <c r="AP129" s="43">
        <f>AP128/X124</f>
        <v>0.60000000000000009</v>
      </c>
      <c r="AQ129" s="128">
        <f>AQ126</f>
        <v>60</v>
      </c>
      <c r="AR129" s="128">
        <f>AO129 * (1 + F129) / (1 - H129)</f>
        <v>116.58291457286431</v>
      </c>
      <c r="AS129" s="129">
        <f>(B129 - AR129) / AR129</f>
        <v>-0.14224137931034475</v>
      </c>
      <c r="AT129" s="35"/>
      <c r="AU129" s="39">
        <f>AX129+AW129+AV129</f>
        <v>5.4</v>
      </c>
      <c r="AV129" s="39">
        <f>AD129+AD130</f>
        <v>3</v>
      </c>
      <c r="AW129" s="39">
        <f>AJ129+AJ130</f>
        <v>1.7999999999999998</v>
      </c>
      <c r="AX129" s="39">
        <f>AP129</f>
        <v>0.60000000000000009</v>
      </c>
      <c r="AY129" s="200">
        <f>AY126</f>
        <v>300</v>
      </c>
      <c r="AZ129" s="65">
        <f>AZ128</f>
        <v>20</v>
      </c>
      <c r="BA129" s="126">
        <f>AU129*B129</f>
        <v>540</v>
      </c>
      <c r="BB129" s="201">
        <f>(AZ129+BA129-AY129)/AY129</f>
        <v>0.8666666666666667</v>
      </c>
      <c r="BC129" s="65">
        <f>I129-AY129+AZ129</f>
        <v>920</v>
      </c>
    </row>
    <row r="130" spans="1:55" ht="12.75" x14ac:dyDescent="0.2">
      <c r="A130" s="240" t="s">
        <v>277</v>
      </c>
      <c r="B130" s="52">
        <v>100</v>
      </c>
      <c r="C130" s="62">
        <v>0.02</v>
      </c>
      <c r="D130" s="124">
        <v>0.04</v>
      </c>
      <c r="E130" s="95">
        <v>0.08</v>
      </c>
      <c r="F130" s="95">
        <v>0.16</v>
      </c>
      <c r="G130" s="95"/>
      <c r="H130" s="95">
        <v>5.0000000000000001E-3</v>
      </c>
      <c r="I130" s="63">
        <v>1200</v>
      </c>
      <c r="J130" s="232"/>
      <c r="K130" s="240" t="s">
        <v>277</v>
      </c>
      <c r="L130" s="234"/>
      <c r="M130" s="230"/>
      <c r="N130" s="241">
        <f>N123</f>
        <v>20</v>
      </c>
      <c r="O130" s="231"/>
      <c r="P130" s="241"/>
      <c r="Q130" s="241"/>
      <c r="R130" s="237"/>
      <c r="S130" s="240" t="s">
        <v>277</v>
      </c>
      <c r="T130" s="242" t="s">
        <v>239</v>
      </c>
      <c r="U130" s="243"/>
      <c r="V130" s="244"/>
      <c r="W130" s="245"/>
      <c r="X130" s="246">
        <v>20</v>
      </c>
      <c r="Y130" s="246"/>
      <c r="Z130" s="246"/>
      <c r="AA130" s="226"/>
      <c r="AB130" s="247"/>
      <c r="AC130" s="235">
        <f>AC129</f>
        <v>100</v>
      </c>
      <c r="AD130" s="236">
        <f>AD129</f>
        <v>1.5</v>
      </c>
      <c r="AE130" s="156">
        <f>AE129</f>
        <v>150</v>
      </c>
      <c r="AF130" s="156">
        <f>AC130 * (1 + D130) / (1 - H130)</f>
        <v>104.52261306532664</v>
      </c>
      <c r="AG130" s="231">
        <f>(B130 - AF130) / AF130</f>
        <v>-4.3269230769230817E-2</v>
      </c>
      <c r="AH130" s="236"/>
      <c r="AI130" s="235">
        <f>AI129</f>
        <v>100</v>
      </c>
      <c r="AJ130" s="236">
        <f>AJ129</f>
        <v>0.89999999999999991</v>
      </c>
      <c r="AK130" s="156">
        <f>AK129</f>
        <v>90</v>
      </c>
      <c r="AL130" s="156">
        <f>AI130 * (1 + E130) / (1 - H130)</f>
        <v>108.5427135678392</v>
      </c>
      <c r="AM130" s="231">
        <f>(B130 - AL130) / AL130</f>
        <v>-7.8703703703703748E-2</v>
      </c>
      <c r="AN130" s="237"/>
      <c r="AO130" s="235">
        <f>AO129</f>
        <v>100</v>
      </c>
      <c r="AP130" s="236">
        <f>AP129</f>
        <v>0.60000000000000009</v>
      </c>
      <c r="AQ130" s="156">
        <f>AQ128</f>
        <v>60</v>
      </c>
      <c r="AR130" s="156">
        <f>AO130 * (1 + F130) / (1 - H130)</f>
        <v>116.58291457286431</v>
      </c>
      <c r="AS130" s="231">
        <f>(B130 - AR130) / AR130</f>
        <v>-0.14224137931034475</v>
      </c>
      <c r="AT130" s="237"/>
      <c r="AU130" s="238">
        <f>AX130+AW130+AV130</f>
        <v>3</v>
      </c>
      <c r="AV130" s="238">
        <f>AD130</f>
        <v>1.5</v>
      </c>
      <c r="AW130" s="238">
        <f>AJ130</f>
        <v>0.89999999999999991</v>
      </c>
      <c r="AX130" s="238">
        <f>AP130</f>
        <v>0.60000000000000009</v>
      </c>
      <c r="AY130" s="239">
        <f>AY128</f>
        <v>300</v>
      </c>
      <c r="AZ130" s="233">
        <f>AZ129-X130</f>
        <v>0</v>
      </c>
      <c r="BA130" s="235">
        <f>AU130*B130</f>
        <v>300</v>
      </c>
      <c r="BB130" s="205">
        <f>(AZ130+BA130-AY130)/AY130</f>
        <v>0</v>
      </c>
      <c r="BC130" s="233">
        <f>I130-AY130+AZ130</f>
        <v>900</v>
      </c>
    </row>
    <row r="131" spans="1:55" ht="12.75" x14ac:dyDescent="0.2">
      <c r="A131" s="181" t="s">
        <v>278</v>
      </c>
      <c r="B131" s="40">
        <v>100</v>
      </c>
      <c r="C131" s="55">
        <v>0.02</v>
      </c>
      <c r="D131" s="129">
        <v>0.04</v>
      </c>
      <c r="E131" s="125">
        <v>0.08</v>
      </c>
      <c r="F131" s="125">
        <v>0.16</v>
      </c>
      <c r="G131" s="125"/>
      <c r="H131" s="125">
        <v>5.0000000000000001E-3</v>
      </c>
      <c r="I131" s="65">
        <v>1200</v>
      </c>
      <c r="J131" s="35"/>
      <c r="K131" s="47" t="s">
        <v>278</v>
      </c>
      <c r="L131" s="35"/>
      <c r="M131" s="209"/>
      <c r="N131" s="209"/>
      <c r="O131" s="129"/>
      <c r="P131" s="125"/>
      <c r="Q131" s="125"/>
      <c r="R131" s="35"/>
      <c r="S131" s="47" t="s">
        <v>212</v>
      </c>
      <c r="T131" s="165" t="s">
        <v>75</v>
      </c>
      <c r="U131" s="248" t="s">
        <v>78</v>
      </c>
      <c r="V131" s="227">
        <f>V122</f>
        <v>100</v>
      </c>
      <c r="W131" s="169">
        <f>W122</f>
        <v>3</v>
      </c>
      <c r="X131" s="227">
        <f>X122</f>
        <v>300</v>
      </c>
      <c r="Y131" s="227">
        <f>V131 * (1 - ABS(C131))</f>
        <v>98</v>
      </c>
      <c r="Z131" s="228" t="s">
        <v>34</v>
      </c>
      <c r="AA131" s="228" t="s">
        <v>34</v>
      </c>
      <c r="AB131" s="41"/>
      <c r="AC131" s="211"/>
      <c r="AD131" s="211"/>
      <c r="AE131" s="211"/>
      <c r="AF131" s="211"/>
      <c r="AG131" s="169"/>
      <c r="AH131" s="169"/>
      <c r="AI131" s="211"/>
      <c r="AJ131" s="211"/>
      <c r="AK131" s="211"/>
      <c r="AL131" s="211"/>
      <c r="AM131" s="169"/>
      <c r="AN131" s="35"/>
      <c r="AO131" s="211"/>
      <c r="AP131" s="211"/>
      <c r="AQ131" s="211"/>
      <c r="AR131" s="211"/>
      <c r="AS131" s="169"/>
      <c r="AT131" s="35"/>
      <c r="AU131" s="39">
        <f>AX131+AW131+AV131</f>
        <v>0</v>
      </c>
      <c r="AV131" s="39">
        <f>AD131</f>
        <v>0</v>
      </c>
      <c r="AW131" s="39">
        <f>AJ131</f>
        <v>0</v>
      </c>
      <c r="AX131" s="39">
        <f>AP131</f>
        <v>0</v>
      </c>
      <c r="AY131" s="200">
        <v>0</v>
      </c>
      <c r="AZ131" s="65">
        <v>0</v>
      </c>
      <c r="BA131" s="126">
        <f>AU131*B131</f>
        <v>0</v>
      </c>
      <c r="BB131" s="201">
        <v>0</v>
      </c>
      <c r="BC131" s="65">
        <f>I131-AY131+AZ131</f>
        <v>1200</v>
      </c>
    </row>
    <row r="132" spans="1:55" ht="12.75" x14ac:dyDescent="0.2">
      <c r="A132" s="150"/>
      <c r="B132" s="33"/>
      <c r="C132" s="67"/>
      <c r="D132" s="124"/>
      <c r="E132" s="95"/>
      <c r="F132" s="95"/>
      <c r="G132" s="95"/>
      <c r="H132" s="95"/>
      <c r="I132" s="95"/>
      <c r="M132" s="206"/>
      <c r="N132" s="206"/>
      <c r="O132" s="124"/>
      <c r="P132" s="95"/>
      <c r="Q132" s="95"/>
      <c r="S132" s="45"/>
      <c r="T132" s="45"/>
      <c r="U132" s="131"/>
      <c r="V132" s="122"/>
      <c r="W132" s="30"/>
      <c r="X132" s="122"/>
      <c r="Y132" s="122"/>
      <c r="Z132" s="152"/>
      <c r="AA132" s="152"/>
      <c r="AB132" s="12"/>
      <c r="AC132" s="139"/>
      <c r="AD132" s="139"/>
      <c r="AE132" s="139"/>
      <c r="AF132" s="139"/>
      <c r="AG132" s="140"/>
      <c r="AH132" s="140"/>
      <c r="AI132" s="139"/>
      <c r="AJ132" s="139"/>
      <c r="AK132" s="139"/>
      <c r="AL132" s="139"/>
      <c r="AM132" s="140"/>
      <c r="AO132" s="139"/>
      <c r="AP132" s="139"/>
      <c r="AQ132" s="139"/>
      <c r="AR132" s="139"/>
      <c r="AS132" s="140"/>
    </row>
    <row r="133" spans="1:55" ht="25.5" x14ac:dyDescent="0.2">
      <c r="A133" s="212" t="s">
        <v>294</v>
      </c>
      <c r="B133" s="33"/>
      <c r="C133" s="67"/>
      <c r="D133" s="124"/>
      <c r="E133" s="95"/>
      <c r="F133" s="95"/>
      <c r="G133" s="95"/>
      <c r="H133" s="95"/>
      <c r="I133" s="95"/>
      <c r="M133" s="206"/>
      <c r="N133" s="206"/>
      <c r="O133" s="124"/>
      <c r="P133" s="95"/>
      <c r="Q133" s="95"/>
      <c r="S133" s="45"/>
      <c r="T133" s="45"/>
      <c r="U133" s="131"/>
      <c r="V133" s="122"/>
      <c r="W133" s="30"/>
      <c r="X133" s="122"/>
      <c r="Y133" s="122"/>
      <c r="Z133" s="152"/>
      <c r="AA133" s="152"/>
      <c r="AB133" s="12"/>
      <c r="AC133" s="139"/>
      <c r="AD133" s="139"/>
      <c r="AE133" s="139"/>
      <c r="AF133" s="139"/>
      <c r="AG133" s="140"/>
      <c r="AH133" s="140"/>
      <c r="AI133" s="139"/>
      <c r="AJ133" s="139"/>
      <c r="AK133" s="139"/>
      <c r="AL133" s="139"/>
      <c r="AM133" s="140"/>
      <c r="AO133" s="139"/>
      <c r="AP133" s="139"/>
      <c r="AQ133" s="139"/>
      <c r="AR133" s="139"/>
      <c r="AS133" s="140"/>
    </row>
    <row r="134" spans="1:55" ht="12.75" x14ac:dyDescent="0.2">
      <c r="B134" s="45" t="s">
        <v>203</v>
      </c>
      <c r="C134" s="109"/>
      <c r="K134" s="45" t="s">
        <v>201</v>
      </c>
      <c r="S134" s="45" t="s">
        <v>202</v>
      </c>
      <c r="U134" s="12"/>
      <c r="V134" s="12"/>
      <c r="W134" s="12"/>
      <c r="X134" s="12"/>
      <c r="Y134" s="12"/>
      <c r="Z134" s="12"/>
      <c r="AA134" s="12"/>
      <c r="AB134" s="12"/>
      <c r="AC134" s="130" t="s">
        <v>204</v>
      </c>
      <c r="AD134" s="46"/>
      <c r="AE134" s="46"/>
      <c r="AF134" s="46"/>
      <c r="AG134" s="46"/>
      <c r="AH134" s="46"/>
      <c r="AI134" s="130" t="s">
        <v>206</v>
      </c>
      <c r="AJ134" s="46"/>
      <c r="AK134" s="46"/>
      <c r="AL134" s="46"/>
      <c r="AM134" s="46"/>
      <c r="AN134" s="45"/>
      <c r="AO134" s="130" t="s">
        <v>207</v>
      </c>
      <c r="AP134" s="12"/>
      <c r="AQ134" s="12"/>
      <c r="AR134" s="12"/>
      <c r="AS134" s="12"/>
      <c r="AU134" s="130" t="s">
        <v>205</v>
      </c>
    </row>
    <row r="135" spans="1:55" ht="12.75" x14ac:dyDescent="0.2">
      <c r="B135" s="57" t="s">
        <v>208</v>
      </c>
      <c r="C135" s="28" t="s">
        <v>190</v>
      </c>
      <c r="D135" s="57" t="s">
        <v>191</v>
      </c>
      <c r="E135" s="28" t="s">
        <v>192</v>
      </c>
      <c r="F135" s="28" t="s">
        <v>193</v>
      </c>
      <c r="G135" s="28" t="s">
        <v>286</v>
      </c>
      <c r="H135" s="57" t="s">
        <v>285</v>
      </c>
      <c r="I135" s="57" t="s">
        <v>237</v>
      </c>
      <c r="J135" s="101"/>
      <c r="K135" s="28" t="s">
        <v>76</v>
      </c>
      <c r="L135" s="28" t="s">
        <v>4</v>
      </c>
      <c r="M135" s="57" t="s">
        <v>0</v>
      </c>
      <c r="N135" s="57" t="s">
        <v>1</v>
      </c>
      <c r="O135" s="28" t="s">
        <v>191</v>
      </c>
      <c r="P135" s="28" t="s">
        <v>192</v>
      </c>
      <c r="Q135" s="28" t="s">
        <v>193</v>
      </c>
      <c r="S135" s="28"/>
      <c r="T135" s="28" t="s">
        <v>76</v>
      </c>
      <c r="U135" s="28" t="s">
        <v>4</v>
      </c>
      <c r="V135" s="57" t="s">
        <v>0</v>
      </c>
      <c r="W135" s="28" t="s">
        <v>62</v>
      </c>
      <c r="X135" s="57" t="s">
        <v>217</v>
      </c>
      <c r="Y135" s="57" t="s">
        <v>190</v>
      </c>
      <c r="Z135" s="57" t="s">
        <v>194</v>
      </c>
      <c r="AA135" s="28" t="s">
        <v>195</v>
      </c>
      <c r="AB135" s="12"/>
      <c r="AC135" s="28" t="s">
        <v>0</v>
      </c>
      <c r="AD135" s="28" t="s">
        <v>196</v>
      </c>
      <c r="AE135" s="57" t="s">
        <v>1</v>
      </c>
      <c r="AF135" s="57" t="s">
        <v>197</v>
      </c>
      <c r="AG135" s="57" t="s">
        <v>198</v>
      </c>
      <c r="AH135" s="60"/>
      <c r="AI135" s="28" t="s">
        <v>0</v>
      </c>
      <c r="AJ135" s="28" t="s">
        <v>196</v>
      </c>
      <c r="AK135" s="57" t="s">
        <v>1</v>
      </c>
      <c r="AL135" s="57" t="s">
        <v>197</v>
      </c>
      <c r="AM135" s="57" t="s">
        <v>198</v>
      </c>
      <c r="AO135" s="28" t="s">
        <v>0</v>
      </c>
      <c r="AP135" s="28" t="s">
        <v>196</v>
      </c>
      <c r="AQ135" s="57" t="s">
        <v>1</v>
      </c>
      <c r="AR135" s="57" t="s">
        <v>197</v>
      </c>
      <c r="AS135" s="57" t="s">
        <v>198</v>
      </c>
      <c r="AU135" s="57" t="s">
        <v>199</v>
      </c>
      <c r="AV135" s="28" t="s">
        <v>191</v>
      </c>
      <c r="AW135" s="28" t="s">
        <v>192</v>
      </c>
      <c r="AX135" s="28" t="s">
        <v>193</v>
      </c>
      <c r="AY135" s="57" t="s">
        <v>79</v>
      </c>
      <c r="AZ135" s="57" t="s">
        <v>235</v>
      </c>
      <c r="BA135" s="57" t="s">
        <v>234</v>
      </c>
      <c r="BB135" s="57" t="s">
        <v>243</v>
      </c>
      <c r="BC135" s="57" t="s">
        <v>236</v>
      </c>
    </row>
    <row r="136" spans="1:55" ht="12.75" x14ac:dyDescent="0.2">
      <c r="A136" s="45" t="s">
        <v>212</v>
      </c>
      <c r="B136" s="52">
        <v>100</v>
      </c>
      <c r="C136" s="54">
        <v>0.02</v>
      </c>
      <c r="D136" s="124">
        <v>0.04</v>
      </c>
      <c r="E136" s="95">
        <v>0.08</v>
      </c>
      <c r="F136" s="95">
        <v>0.16</v>
      </c>
      <c r="G136" s="95">
        <v>0.01</v>
      </c>
      <c r="H136" s="95">
        <v>5.0000000000000001E-3</v>
      </c>
      <c r="I136" s="93">
        <v>1200</v>
      </c>
      <c r="J136" s="95"/>
      <c r="K136" s="133" t="s">
        <v>75</v>
      </c>
      <c r="L136" s="133" t="s">
        <v>78</v>
      </c>
      <c r="M136" s="52">
        <v>100</v>
      </c>
      <c r="N136" s="52">
        <v>200</v>
      </c>
      <c r="O136" s="124">
        <v>0.5</v>
      </c>
      <c r="P136" s="95">
        <v>0.3</v>
      </c>
      <c r="Q136" s="95">
        <v>0.2</v>
      </c>
      <c r="S136" s="45" t="s">
        <v>212</v>
      </c>
      <c r="T136" s="45" t="s">
        <v>75</v>
      </c>
      <c r="U136" s="131" t="s">
        <v>78</v>
      </c>
      <c r="V136" s="122">
        <f>M136</f>
        <v>100</v>
      </c>
      <c r="W136" s="30">
        <f>X136/V136</f>
        <v>2</v>
      </c>
      <c r="X136" s="122">
        <f>N136</f>
        <v>200</v>
      </c>
      <c r="Y136" s="122">
        <f>(V136/(1+G136))*(1-ABS(C136))</f>
        <v>97.029702970297024</v>
      </c>
      <c r="Z136" s="152" t="s">
        <v>34</v>
      </c>
      <c r="AA136" s="152" t="s">
        <v>34</v>
      </c>
      <c r="AB136" s="12"/>
      <c r="AC136" s="122">
        <f>V136</f>
        <v>100</v>
      </c>
      <c r="AD136" s="30">
        <f>W136*O136</f>
        <v>1</v>
      </c>
      <c r="AE136" s="123">
        <f>X136*O136</f>
        <v>100</v>
      </c>
      <c r="AF136" s="123">
        <f>V136 * (1 + D136) / (1 - H136)</f>
        <v>104.52261306532664</v>
      </c>
      <c r="AG136" s="124">
        <f>(B136 - AF136) / AF136</f>
        <v>-4.3269230769230817E-2</v>
      </c>
      <c r="AH136" s="30"/>
      <c r="AI136" s="122">
        <f>V136</f>
        <v>100</v>
      </c>
      <c r="AJ136" s="30">
        <f>W136*P136</f>
        <v>0.6</v>
      </c>
      <c r="AK136" s="123">
        <f>X136*P136</f>
        <v>60</v>
      </c>
      <c r="AL136" s="123">
        <f>V136 * (1 + E136) / (1 - H136)</f>
        <v>108.5427135678392</v>
      </c>
      <c r="AM136" s="124">
        <f>(B136 - AL136) / AL136</f>
        <v>-7.8703703703703748E-2</v>
      </c>
      <c r="AO136" s="122">
        <f>V136</f>
        <v>100</v>
      </c>
      <c r="AP136" s="30">
        <f>W136*Q136</f>
        <v>0.4</v>
      </c>
      <c r="AQ136" s="123">
        <f>X136*Q136</f>
        <v>40</v>
      </c>
      <c r="AR136" s="123">
        <f>V136 * (1 + F136) / (1 - H136)</f>
        <v>116.58291457286431</v>
      </c>
      <c r="AS136" s="124">
        <f>(B136 - AR136) / AR136</f>
        <v>-0.14224137931034475</v>
      </c>
      <c r="AU136" s="32">
        <f>AX136+AW136+AV136</f>
        <v>2</v>
      </c>
      <c r="AV136" s="32">
        <f>AD136</f>
        <v>1</v>
      </c>
      <c r="AW136" s="32">
        <f>AJ136</f>
        <v>0.6</v>
      </c>
      <c r="AX136" s="32">
        <f>AP136</f>
        <v>0.4</v>
      </c>
      <c r="AY136" s="195">
        <f>N136</f>
        <v>200</v>
      </c>
      <c r="AZ136" s="63">
        <v>0</v>
      </c>
      <c r="BA136" s="235">
        <f>AU136*B136</f>
        <v>200</v>
      </c>
      <c r="BB136" s="196">
        <f>(AZ136+BA136-AY136)/AY136</f>
        <v>0</v>
      </c>
      <c r="BC136" s="63">
        <f>I136-AY136+AZ136</f>
        <v>1000</v>
      </c>
    </row>
    <row r="137" spans="1:55" ht="12.75" x14ac:dyDescent="0.2">
      <c r="A137" s="47" t="s">
        <v>213</v>
      </c>
      <c r="B137" s="40">
        <v>110</v>
      </c>
      <c r="C137" s="55">
        <v>0.02</v>
      </c>
      <c r="D137" s="129">
        <v>0.04</v>
      </c>
      <c r="E137" s="125">
        <v>0.08</v>
      </c>
      <c r="F137" s="125">
        <v>0.16</v>
      </c>
      <c r="G137" s="125">
        <v>0.01</v>
      </c>
      <c r="H137" s="125">
        <v>5.0000000000000001E-3</v>
      </c>
      <c r="I137" s="209">
        <v>1200</v>
      </c>
      <c r="J137" s="125"/>
      <c r="K137" s="134" t="s">
        <v>75</v>
      </c>
      <c r="L137" s="134" t="s">
        <v>78</v>
      </c>
      <c r="M137" s="40">
        <v>110</v>
      </c>
      <c r="N137" s="40">
        <v>300</v>
      </c>
      <c r="O137" s="129">
        <v>0.5</v>
      </c>
      <c r="P137" s="125">
        <v>0.3</v>
      </c>
      <c r="Q137" s="125">
        <v>0.2</v>
      </c>
      <c r="R137" s="35"/>
      <c r="S137" s="47" t="s">
        <v>213</v>
      </c>
      <c r="T137" s="47" t="s">
        <v>75</v>
      </c>
      <c r="U137" s="202" t="s">
        <v>210</v>
      </c>
      <c r="V137" s="126">
        <f>M137</f>
        <v>110</v>
      </c>
      <c r="W137" s="43">
        <f>X137/V137</f>
        <v>2.7272727272727271</v>
      </c>
      <c r="X137" s="126">
        <f>N137</f>
        <v>300</v>
      </c>
      <c r="Y137" s="126">
        <f>(V137/(1+G137))*(1-ABS(C137))</f>
        <v>106.73267326732673</v>
      </c>
      <c r="Z137" s="153" t="s">
        <v>34</v>
      </c>
      <c r="AA137" s="153" t="s">
        <v>34</v>
      </c>
      <c r="AB137" s="41"/>
      <c r="AC137" s="126">
        <f>V137</f>
        <v>110</v>
      </c>
      <c r="AD137" s="43">
        <f>W137*O137</f>
        <v>1.3636363636363635</v>
      </c>
      <c r="AE137" s="128">
        <f>X137*O137</f>
        <v>150</v>
      </c>
      <c r="AF137" s="128">
        <f>V137 * (1 + D137) / (1 - H137)</f>
        <v>114.9748743718593</v>
      </c>
      <c r="AG137" s="129">
        <f>(B137 - AF137) / AF137</f>
        <v>-4.3269230769230803E-2</v>
      </c>
      <c r="AH137" s="43"/>
      <c r="AI137" s="126">
        <f>V137</f>
        <v>110</v>
      </c>
      <c r="AJ137" s="43">
        <f>W137*P137</f>
        <v>0.81818181818181812</v>
      </c>
      <c r="AK137" s="128">
        <f>X137*P137</f>
        <v>90</v>
      </c>
      <c r="AL137" s="128">
        <f>V137 * (1 + E137) / (1 - H137)</f>
        <v>119.39698492462313</v>
      </c>
      <c r="AM137" s="129">
        <f>(B137 - AL137) / AL137</f>
        <v>-7.870370370370379E-2</v>
      </c>
      <c r="AN137" s="35"/>
      <c r="AO137" s="126">
        <f>V137</f>
        <v>110</v>
      </c>
      <c r="AP137" s="43">
        <f>W137*Q137</f>
        <v>0.54545454545454541</v>
      </c>
      <c r="AQ137" s="128">
        <f>X137*Q137</f>
        <v>60</v>
      </c>
      <c r="AR137" s="128">
        <f>V137 * (1 + F137) / (1 - H137)</f>
        <v>128.24120603015075</v>
      </c>
      <c r="AS137" s="129">
        <f>(B137 - AR137) / AR137</f>
        <v>-0.14224137931034481</v>
      </c>
      <c r="AT137" s="35"/>
      <c r="AU137" s="39">
        <f>AX137+AW137+AV137</f>
        <v>4.7272727272727266</v>
      </c>
      <c r="AV137" s="39">
        <f>AD137+AD138</f>
        <v>2.3636363636363633</v>
      </c>
      <c r="AW137" s="39">
        <f>AJ137+AJ138</f>
        <v>1.418181818181818</v>
      </c>
      <c r="AX137" s="39">
        <f>AP137+AP138</f>
        <v>0.94545454545454544</v>
      </c>
      <c r="AY137" s="200">
        <f>AY136+X137</f>
        <v>500</v>
      </c>
      <c r="AZ137" s="65">
        <v>0</v>
      </c>
      <c r="BA137" s="126">
        <f>AU137*B137</f>
        <v>519.99999999999989</v>
      </c>
      <c r="BB137" s="201">
        <f>(AZ137+BA137-AY137)/AY137</f>
        <v>3.9999999999999772E-2</v>
      </c>
      <c r="BC137" s="65">
        <f>I137-AY137+AZ137</f>
        <v>700</v>
      </c>
    </row>
    <row r="138" spans="1:55" ht="12.75" x14ac:dyDescent="0.2">
      <c r="A138" s="47"/>
      <c r="B138" s="40"/>
      <c r="C138" s="55"/>
      <c r="D138" s="129"/>
      <c r="E138" s="125"/>
      <c r="F138" s="125"/>
      <c r="G138" s="125"/>
      <c r="H138" s="125"/>
      <c r="I138" s="209"/>
      <c r="J138" s="125"/>
      <c r="K138" s="134"/>
      <c r="L138" s="134"/>
      <c r="M138" s="40"/>
      <c r="N138" s="40"/>
      <c r="O138" s="129"/>
      <c r="P138" s="125"/>
      <c r="Q138" s="125"/>
      <c r="R138" s="35"/>
      <c r="S138" s="47" t="s">
        <v>212</v>
      </c>
      <c r="T138" s="47" t="s">
        <v>75</v>
      </c>
      <c r="U138" s="202" t="s">
        <v>78</v>
      </c>
      <c r="V138" s="126">
        <f>V136</f>
        <v>100</v>
      </c>
      <c r="W138" s="43">
        <f>W136</f>
        <v>2</v>
      </c>
      <c r="X138" s="126">
        <f>X136</f>
        <v>200</v>
      </c>
      <c r="Y138" s="126">
        <f>Y136</f>
        <v>97.029702970297024</v>
      </c>
      <c r="Z138" s="153" t="s">
        <v>34</v>
      </c>
      <c r="AA138" s="153" t="s">
        <v>34</v>
      </c>
      <c r="AB138" s="41"/>
      <c r="AC138" s="126">
        <f>AC136</f>
        <v>100</v>
      </c>
      <c r="AD138" s="43">
        <f>AD136</f>
        <v>1</v>
      </c>
      <c r="AE138" s="128">
        <f>AE136</f>
        <v>100</v>
      </c>
      <c r="AF138" s="128">
        <f>V138 * (1 + D137) / (1 - H137)</f>
        <v>104.52261306532664</v>
      </c>
      <c r="AG138" s="129">
        <f>(B137 - AF138) / AF138</f>
        <v>5.2403846153846106E-2</v>
      </c>
      <c r="AH138" s="43"/>
      <c r="AI138" s="126">
        <f>AI136</f>
        <v>100</v>
      </c>
      <c r="AJ138" s="43">
        <f>AJ136</f>
        <v>0.6</v>
      </c>
      <c r="AK138" s="128">
        <f>AK136</f>
        <v>60</v>
      </c>
      <c r="AL138" s="128">
        <f>V138 * (1 + E137) / (1 - H137)</f>
        <v>108.5427135678392</v>
      </c>
      <c r="AM138" s="129">
        <f>(B137 - AL138) / AL138</f>
        <v>1.3425925925925883E-2</v>
      </c>
      <c r="AN138" s="35"/>
      <c r="AO138" s="126">
        <f>AO136</f>
        <v>100</v>
      </c>
      <c r="AP138" s="43">
        <f>AP136</f>
        <v>0.4</v>
      </c>
      <c r="AQ138" s="128">
        <f>AQ136</f>
        <v>40</v>
      </c>
      <c r="AR138" s="128">
        <f>V138 * (1 + F137) / (1 - H137)</f>
        <v>116.58291457286431</v>
      </c>
      <c r="AS138" s="129">
        <f>(B137 - AR138) / AR138</f>
        <v>-5.6465517241379229E-2</v>
      </c>
      <c r="AT138" s="35"/>
      <c r="AU138" s="39"/>
      <c r="AV138" s="39"/>
      <c r="AW138" s="39"/>
      <c r="AX138" s="39"/>
      <c r="AY138" s="200"/>
      <c r="AZ138" s="65"/>
      <c r="BA138" s="126"/>
      <c r="BB138" s="201"/>
      <c r="BC138" s="65"/>
    </row>
    <row r="139" spans="1:55" ht="12.75" x14ac:dyDescent="0.2">
      <c r="A139" s="110" t="s">
        <v>215</v>
      </c>
      <c r="B139" s="52">
        <v>110</v>
      </c>
      <c r="C139" s="54">
        <v>0.02</v>
      </c>
      <c r="D139" s="124">
        <v>0.04</v>
      </c>
      <c r="E139" s="95">
        <v>0.08</v>
      </c>
      <c r="F139" s="95">
        <v>0.16</v>
      </c>
      <c r="G139" s="95">
        <v>0.01</v>
      </c>
      <c r="H139" s="95">
        <v>5.0000000000000001E-3</v>
      </c>
      <c r="I139" s="93">
        <v>1200</v>
      </c>
      <c r="J139" s="95"/>
      <c r="K139" s="133" t="s">
        <v>73</v>
      </c>
      <c r="L139" s="133" t="s">
        <v>210</v>
      </c>
      <c r="M139" s="52">
        <v>110</v>
      </c>
      <c r="N139" s="152" t="s">
        <v>34</v>
      </c>
      <c r="O139" s="152" t="s">
        <v>34</v>
      </c>
      <c r="P139" s="95">
        <v>0.5</v>
      </c>
      <c r="Q139" s="152" t="s">
        <v>34</v>
      </c>
      <c r="S139" s="45" t="s">
        <v>218</v>
      </c>
      <c r="T139" s="45" t="s">
        <v>73</v>
      </c>
      <c r="U139" s="130" t="s">
        <v>216</v>
      </c>
      <c r="V139" s="122">
        <v>110</v>
      </c>
      <c r="W139" s="30">
        <f>AJ136*P139</f>
        <v>0.3</v>
      </c>
      <c r="X139" s="122">
        <f>V139*W139-(V139*W139*H139)</f>
        <v>32.835000000000001</v>
      </c>
      <c r="Y139" s="152" t="s">
        <v>34</v>
      </c>
      <c r="Z139" s="152">
        <f>X139-(V136*W139)</f>
        <v>2.8350000000000009</v>
      </c>
      <c r="AA139" s="159">
        <f>Z139/(V136*W139)</f>
        <v>9.4500000000000028E-2</v>
      </c>
      <c r="AB139" s="12"/>
      <c r="AC139" s="235">
        <f>AC137</f>
        <v>110</v>
      </c>
      <c r="AD139" s="236">
        <f>AD137</f>
        <v>1.3636363636363635</v>
      </c>
      <c r="AE139" s="156">
        <f>AE137</f>
        <v>150</v>
      </c>
      <c r="AF139" s="156">
        <f>V139 * (1 + D139) / (1 - H139)</f>
        <v>114.9748743718593</v>
      </c>
      <c r="AG139" s="231">
        <f>(B139 - AF139) / AF139</f>
        <v>-4.3269230769230803E-2</v>
      </c>
      <c r="AH139" s="236"/>
      <c r="AI139" s="235">
        <f>AI137</f>
        <v>110</v>
      </c>
      <c r="AJ139" s="236">
        <f>AJ137</f>
        <v>0.81818181818181812</v>
      </c>
      <c r="AK139" s="156">
        <f>AK137</f>
        <v>90</v>
      </c>
      <c r="AL139" s="156">
        <f>V139 * (1 + E139) / (1 - H139)</f>
        <v>119.39698492462313</v>
      </c>
      <c r="AM139" s="231">
        <f>(B139 - AL139) / AL139</f>
        <v>-7.870370370370379E-2</v>
      </c>
      <c r="AN139" s="237"/>
      <c r="AO139" s="235">
        <f>AO137</f>
        <v>110</v>
      </c>
      <c r="AP139" s="236">
        <f>AP137</f>
        <v>0.54545454545454541</v>
      </c>
      <c r="AQ139" s="156">
        <f>AQ137</f>
        <v>60</v>
      </c>
      <c r="AR139" s="156">
        <f>V139 * (1 + F139) / (1 - H139)</f>
        <v>128.24120603015075</v>
      </c>
      <c r="AS139" s="231">
        <f>(B139 - AR139) / AR139</f>
        <v>-0.14224137931034481</v>
      </c>
      <c r="AT139" s="237"/>
      <c r="AU139" s="238">
        <f>AX139+AW139+AV139</f>
        <v>4.4272727272727268</v>
      </c>
      <c r="AV139" s="238">
        <f>AD139+AD140</f>
        <v>2.3636363636363633</v>
      </c>
      <c r="AW139" s="238">
        <f>AJ139+AJ140</f>
        <v>1.1181818181818182</v>
      </c>
      <c r="AX139" s="238">
        <f>AP139+AP140</f>
        <v>0.94545454545454544</v>
      </c>
      <c r="AY139" s="239">
        <f>AY137</f>
        <v>500</v>
      </c>
      <c r="AZ139" s="233">
        <f>X139</f>
        <v>32.835000000000001</v>
      </c>
      <c r="BA139" s="235">
        <f>AU139*B139</f>
        <v>486.99999999999994</v>
      </c>
      <c r="BB139" s="205">
        <f>(AZ139+BA139-AY139)/AY139</f>
        <v>3.9669999999999844E-2</v>
      </c>
      <c r="BC139" s="233">
        <f>I139-AY139+AZ139</f>
        <v>732.83500000000004</v>
      </c>
    </row>
    <row r="140" spans="1:55" ht="12.75" x14ac:dyDescent="0.2">
      <c r="A140" s="150"/>
      <c r="B140" s="33"/>
      <c r="C140" s="67"/>
      <c r="D140" s="124"/>
      <c r="E140" s="95"/>
      <c r="F140" s="95"/>
      <c r="G140" s="95"/>
      <c r="H140" s="95"/>
      <c r="I140" s="93"/>
      <c r="M140" s="206"/>
      <c r="N140" s="206"/>
      <c r="O140" s="124"/>
      <c r="P140" s="95"/>
      <c r="Q140" s="95"/>
      <c r="S140" s="45"/>
      <c r="T140" s="45"/>
      <c r="U140" s="131"/>
      <c r="V140" s="122"/>
      <c r="W140" s="30"/>
      <c r="X140" s="122"/>
      <c r="Y140" s="122"/>
      <c r="Z140" s="152"/>
      <c r="AA140" s="152"/>
      <c r="AB140" s="12"/>
      <c r="AC140" s="235">
        <f>AC138</f>
        <v>100</v>
      </c>
      <c r="AD140" s="236">
        <f>AD138</f>
        <v>1</v>
      </c>
      <c r="AE140" s="156">
        <f>AE138</f>
        <v>100</v>
      </c>
      <c r="AF140" s="156">
        <f>AF138</f>
        <v>104.52261306532664</v>
      </c>
      <c r="AG140" s="231">
        <f>(B139 - AF140) / AF140</f>
        <v>5.2403846153846106E-2</v>
      </c>
      <c r="AH140" s="236"/>
      <c r="AI140" s="235">
        <f>AI138</f>
        <v>100</v>
      </c>
      <c r="AJ140" s="236">
        <f>AJ138*P139</f>
        <v>0.3</v>
      </c>
      <c r="AK140" s="156">
        <f>AK138*P139</f>
        <v>30</v>
      </c>
      <c r="AL140" s="156">
        <f>AL138</f>
        <v>108.5427135678392</v>
      </c>
      <c r="AM140" s="231">
        <f>(B139 - AL140) / AL140</f>
        <v>1.3425925925925883E-2</v>
      </c>
      <c r="AN140" s="237"/>
      <c r="AO140" s="235">
        <f>AO138</f>
        <v>100</v>
      </c>
      <c r="AP140" s="236">
        <f>AP138</f>
        <v>0.4</v>
      </c>
      <c r="AQ140" s="156">
        <f>AQ138</f>
        <v>40</v>
      </c>
      <c r="AR140" s="156">
        <f>AR138</f>
        <v>116.58291457286431</v>
      </c>
      <c r="AS140" s="231">
        <f>(B139 - AR140) / AR140</f>
        <v>-5.6465517241379229E-2</v>
      </c>
      <c r="AT140" s="237"/>
      <c r="AU140" s="238"/>
      <c r="AV140" s="238"/>
      <c r="AW140" s="238"/>
      <c r="AX140" s="238"/>
      <c r="AY140" s="239"/>
      <c r="AZ140" s="233"/>
      <c r="BA140" s="235"/>
      <c r="BB140" s="205"/>
      <c r="BC140" s="233"/>
    </row>
    <row r="141" spans="1:55" ht="12.75" x14ac:dyDescent="0.2">
      <c r="A141" s="47" t="s">
        <v>214</v>
      </c>
      <c r="B141" s="40">
        <v>90</v>
      </c>
      <c r="C141" s="55">
        <v>0.02</v>
      </c>
      <c r="D141" s="129">
        <v>0.04</v>
      </c>
      <c r="E141" s="125">
        <v>0.08</v>
      </c>
      <c r="F141" s="125">
        <v>0.16</v>
      </c>
      <c r="G141" s="125">
        <v>0.01</v>
      </c>
      <c r="H141" s="125">
        <v>5.0000000000000001E-3</v>
      </c>
      <c r="I141" s="209">
        <v>1200</v>
      </c>
      <c r="J141" s="125"/>
      <c r="K141" s="134" t="s">
        <v>75</v>
      </c>
      <c r="L141" s="134" t="s">
        <v>211</v>
      </c>
      <c r="M141" s="40">
        <v>90</v>
      </c>
      <c r="N141" s="40">
        <v>400</v>
      </c>
      <c r="O141" s="129">
        <v>0.5</v>
      </c>
      <c r="P141" s="125">
        <v>0.3</v>
      </c>
      <c r="Q141" s="125">
        <v>0.2</v>
      </c>
      <c r="R141" s="35"/>
      <c r="S141" s="47" t="s">
        <v>214</v>
      </c>
      <c r="T141" s="47" t="s">
        <v>75</v>
      </c>
      <c r="U141" s="260" t="str">
        <f>L141</f>
        <v>Entry Target</v>
      </c>
      <c r="V141" s="126">
        <f>M141</f>
        <v>90</v>
      </c>
      <c r="W141" s="43">
        <f>X141/V141</f>
        <v>4.4444444444444446</v>
      </c>
      <c r="X141" s="126">
        <f>N141</f>
        <v>400</v>
      </c>
      <c r="Y141" s="126">
        <f>(V141/(1+G141))*(1-ABS(C141))</f>
        <v>87.32673267326733</v>
      </c>
      <c r="Z141" s="153" t="s">
        <v>34</v>
      </c>
      <c r="AA141" s="153" t="s">
        <v>34</v>
      </c>
      <c r="AB141" s="41"/>
      <c r="AC141" s="126">
        <f>V141</f>
        <v>90</v>
      </c>
      <c r="AD141" s="43">
        <f>W141*O141</f>
        <v>2.2222222222222223</v>
      </c>
      <c r="AE141" s="128">
        <f>X141*O141</f>
        <v>200</v>
      </c>
      <c r="AF141" s="128">
        <f>V141 * (1 + D141) / (1 - H141)</f>
        <v>94.070351758793976</v>
      </c>
      <c r="AG141" s="129">
        <f>(B141 - AF141) / AF141</f>
        <v>-4.3269230769230831E-2</v>
      </c>
      <c r="AH141" s="43"/>
      <c r="AI141" s="126">
        <f>V141</f>
        <v>90</v>
      </c>
      <c r="AJ141" s="43">
        <f>W141*P141</f>
        <v>1.3333333333333333</v>
      </c>
      <c r="AK141" s="128">
        <f>X141*P141</f>
        <v>120</v>
      </c>
      <c r="AL141" s="128">
        <f>V141 * (1 + E141) / (1 - H141)</f>
        <v>97.688442211055275</v>
      </c>
      <c r="AM141" s="129">
        <f>(B141 - AL141) / AL141</f>
        <v>-7.8703703703703692E-2</v>
      </c>
      <c r="AN141" s="35"/>
      <c r="AO141" s="126">
        <f>V141</f>
        <v>90</v>
      </c>
      <c r="AP141" s="43">
        <f>W141*Q141</f>
        <v>0.88888888888888895</v>
      </c>
      <c r="AQ141" s="128">
        <f>X141*Q141</f>
        <v>80</v>
      </c>
      <c r="AR141" s="128">
        <f>V141 * (1 + F141) / (1 - H141)</f>
        <v>104.92462311557789</v>
      </c>
      <c r="AS141" s="129">
        <f>(B141 - AR141) / AR141</f>
        <v>-0.14224137931034481</v>
      </c>
      <c r="AT141" s="35"/>
      <c r="AU141" s="39">
        <f>AX141+AW141+AV141</f>
        <v>8.8717171717171723</v>
      </c>
      <c r="AV141" s="39">
        <f>AD141+AD142+AD143</f>
        <v>4.5858585858585856</v>
      </c>
      <c r="AW141" s="39">
        <f>AJ141+AJ142+AJ143</f>
        <v>2.4515151515151512</v>
      </c>
      <c r="AX141" s="39">
        <f>AP141+AP142+AP143</f>
        <v>1.8343434343434342</v>
      </c>
      <c r="AY141" s="200">
        <f>AY139+N141-AZ139</f>
        <v>867.16499999999996</v>
      </c>
      <c r="AZ141" s="65">
        <v>0</v>
      </c>
      <c r="BA141" s="126">
        <f>AU141*B141</f>
        <v>798.4545454545455</v>
      </c>
      <c r="BB141" s="201">
        <f>(AZ141+BA141-AY141)/AY141</f>
        <v>-7.9235733159726776E-2</v>
      </c>
      <c r="BC141" s="65">
        <f>I141-AY141+AZ141</f>
        <v>332.83500000000004</v>
      </c>
    </row>
    <row r="142" spans="1:55" ht="12.75" x14ac:dyDescent="0.2">
      <c r="A142" s="47"/>
      <c r="B142" s="40"/>
      <c r="C142" s="55"/>
      <c r="D142" s="129"/>
      <c r="E142" s="125"/>
      <c r="F142" s="125"/>
      <c r="G142" s="125"/>
      <c r="H142" s="125"/>
      <c r="I142" s="209"/>
      <c r="J142" s="125"/>
      <c r="K142" s="134"/>
      <c r="L142" s="134"/>
      <c r="M142" s="40"/>
      <c r="N142" s="40"/>
      <c r="O142" s="129"/>
      <c r="P142" s="125"/>
      <c r="Q142" s="125"/>
      <c r="R142" s="35"/>
      <c r="S142" s="47" t="s">
        <v>213</v>
      </c>
      <c r="T142" s="47" t="s">
        <v>75</v>
      </c>
      <c r="U142" s="202" t="s">
        <v>210</v>
      </c>
      <c r="V142" s="126">
        <f>V137</f>
        <v>110</v>
      </c>
      <c r="W142" s="43">
        <f>W137</f>
        <v>2.7272727272727271</v>
      </c>
      <c r="X142" s="126">
        <f>X137</f>
        <v>300</v>
      </c>
      <c r="Y142" s="126">
        <f>Y137</f>
        <v>106.73267326732673</v>
      </c>
      <c r="Z142" s="153" t="s">
        <v>34</v>
      </c>
      <c r="AA142" s="153" t="s">
        <v>34</v>
      </c>
      <c r="AB142" s="41"/>
      <c r="AC142" s="126">
        <f>AC139</f>
        <v>110</v>
      </c>
      <c r="AD142" s="43">
        <f>AD139</f>
        <v>1.3636363636363635</v>
      </c>
      <c r="AE142" s="128">
        <f>AE139</f>
        <v>150</v>
      </c>
      <c r="AF142" s="128">
        <f>V142 * (1 + D141) / (1 - H141)</f>
        <v>114.9748743718593</v>
      </c>
      <c r="AG142" s="129">
        <f>(B141 - AF142) / AF142</f>
        <v>-0.21722027972027974</v>
      </c>
      <c r="AH142" s="43"/>
      <c r="AI142" s="126">
        <f>AI139</f>
        <v>110</v>
      </c>
      <c r="AJ142" s="43">
        <f>AJ139</f>
        <v>0.81818181818181812</v>
      </c>
      <c r="AK142" s="128">
        <f>AK139</f>
        <v>90</v>
      </c>
      <c r="AL142" s="128">
        <f>V142 * (1 + E141) / (1 - H141)</f>
        <v>119.39698492462313</v>
      </c>
      <c r="AM142" s="129">
        <f>(B141 - AL142) / AL142</f>
        <v>-0.24621212121212127</v>
      </c>
      <c r="AN142" s="35"/>
      <c r="AO142" s="126">
        <f>AO139</f>
        <v>110</v>
      </c>
      <c r="AP142" s="43">
        <f>AP139</f>
        <v>0.54545454545454541</v>
      </c>
      <c r="AQ142" s="128">
        <f>AQ139</f>
        <v>60</v>
      </c>
      <c r="AR142" s="128">
        <f>V142 * (1 + F141) / (1 - H141)</f>
        <v>128.24120603015075</v>
      </c>
      <c r="AS142" s="129">
        <f>(B141 - AR142) / AR142</f>
        <v>-0.29819749216300939</v>
      </c>
      <c r="AT142" s="35"/>
      <c r="AU142" s="35"/>
      <c r="AV142" s="35"/>
      <c r="AW142" s="35"/>
      <c r="AX142" s="35"/>
      <c r="AY142" s="35"/>
      <c r="AZ142" s="35"/>
      <c r="BA142" s="35"/>
      <c r="BB142" s="35"/>
      <c r="BC142" s="35"/>
    </row>
    <row r="143" spans="1:55" ht="12.75" x14ac:dyDescent="0.2">
      <c r="A143" s="181"/>
      <c r="B143" s="36"/>
      <c r="C143" s="208"/>
      <c r="D143" s="129"/>
      <c r="E143" s="125"/>
      <c r="F143" s="125"/>
      <c r="G143" s="125"/>
      <c r="H143" s="125"/>
      <c r="I143" s="209"/>
      <c r="J143" s="35"/>
      <c r="K143" s="35"/>
      <c r="L143" s="35"/>
      <c r="M143" s="209"/>
      <c r="N143" s="209"/>
      <c r="O143" s="129"/>
      <c r="P143" s="125"/>
      <c r="Q143" s="125"/>
      <c r="R143" s="35"/>
      <c r="S143" s="47" t="s">
        <v>212</v>
      </c>
      <c r="T143" s="47" t="s">
        <v>75</v>
      </c>
      <c r="U143" s="202" t="s">
        <v>78</v>
      </c>
      <c r="V143" s="126">
        <f>V138</f>
        <v>100</v>
      </c>
      <c r="W143" s="43">
        <f>W138</f>
        <v>2</v>
      </c>
      <c r="X143" s="126">
        <f>X138</f>
        <v>200</v>
      </c>
      <c r="Y143" s="126">
        <f>Y138</f>
        <v>97.029702970297024</v>
      </c>
      <c r="Z143" s="153" t="s">
        <v>34</v>
      </c>
      <c r="AA143" s="153" t="s">
        <v>34</v>
      </c>
      <c r="AB143" s="41"/>
      <c r="AC143" s="126">
        <f>AC140</f>
        <v>100</v>
      </c>
      <c r="AD143" s="43">
        <f>AD140</f>
        <v>1</v>
      </c>
      <c r="AE143" s="128">
        <f>AE140</f>
        <v>100</v>
      </c>
      <c r="AF143" s="128">
        <f>V143 * (1 + D141) / (1 - H141)</f>
        <v>104.52261306532664</v>
      </c>
      <c r="AG143" s="129">
        <f>(B141 - AF143) / AF143</f>
        <v>-0.13894230769230773</v>
      </c>
      <c r="AH143" s="43"/>
      <c r="AI143" s="126">
        <f>AI140</f>
        <v>100</v>
      </c>
      <c r="AJ143" s="43">
        <f>AJ140</f>
        <v>0.3</v>
      </c>
      <c r="AK143" s="128">
        <f>AK140</f>
        <v>30</v>
      </c>
      <c r="AL143" s="128">
        <f>V143 * (1 + E141) / (1 - H141)</f>
        <v>108.5427135678392</v>
      </c>
      <c r="AM143" s="129">
        <f>(B141 - AL143) / AL143</f>
        <v>-0.17083333333333336</v>
      </c>
      <c r="AN143" s="35"/>
      <c r="AO143" s="126">
        <f>AO140</f>
        <v>100</v>
      </c>
      <c r="AP143" s="43">
        <f>AP140</f>
        <v>0.4</v>
      </c>
      <c r="AQ143" s="128">
        <f>AQ140</f>
        <v>40</v>
      </c>
      <c r="AR143" s="128">
        <f>V143 * (1 + F141) / (1 - H141)</f>
        <v>116.58291457286431</v>
      </c>
      <c r="AS143" s="129">
        <f>(B141 - AR143) / AR143</f>
        <v>-0.22801724137931029</v>
      </c>
      <c r="AT143" s="35"/>
      <c r="AU143" s="35"/>
      <c r="AV143" s="35"/>
      <c r="AW143" s="35"/>
      <c r="AX143" s="35"/>
      <c r="AY143" s="35"/>
      <c r="AZ143" s="35"/>
      <c r="BA143" s="35"/>
      <c r="BB143" s="35"/>
      <c r="BC143" s="35"/>
    </row>
    <row r="144" spans="1:55" ht="12.75" x14ac:dyDescent="0.2">
      <c r="A144" s="110" t="s">
        <v>218</v>
      </c>
      <c r="B144" s="52">
        <v>90</v>
      </c>
      <c r="C144" s="54">
        <v>0.02</v>
      </c>
      <c r="D144" s="124">
        <v>0.04</v>
      </c>
      <c r="E144" s="95">
        <v>0.08</v>
      </c>
      <c r="F144" s="95">
        <v>0.16</v>
      </c>
      <c r="G144" s="95">
        <v>0.01</v>
      </c>
      <c r="H144" s="95">
        <v>5.0000000000000001E-3</v>
      </c>
      <c r="I144" s="93">
        <v>1200</v>
      </c>
      <c r="J144" s="95"/>
      <c r="K144" s="133" t="s">
        <v>73</v>
      </c>
      <c r="L144" s="133" t="s">
        <v>210</v>
      </c>
      <c r="M144" s="52">
        <v>90</v>
      </c>
      <c r="N144" s="152" t="s">
        <v>34</v>
      </c>
      <c r="O144" s="124">
        <v>1</v>
      </c>
      <c r="P144" s="152" t="s">
        <v>34</v>
      </c>
      <c r="Q144" s="152" t="s">
        <v>34</v>
      </c>
      <c r="S144" s="45" t="s">
        <v>218</v>
      </c>
      <c r="T144" s="45" t="s">
        <v>73</v>
      </c>
      <c r="U144" s="131" t="s">
        <v>210</v>
      </c>
      <c r="V144" s="122">
        <f>M144</f>
        <v>90</v>
      </c>
      <c r="W144" s="30">
        <f>AD142*O144</f>
        <v>1.3636363636363635</v>
      </c>
      <c r="X144" s="122">
        <f>V144*W144-(V144*W144*H144)</f>
        <v>122.11363636363636</v>
      </c>
      <c r="Y144" s="152" t="s">
        <v>34</v>
      </c>
      <c r="Z144" s="152">
        <f>X144-(AC142*W144)</f>
        <v>-27.88636363636364</v>
      </c>
      <c r="AA144" s="159">
        <f>Z144/(AC142*W144)</f>
        <v>-0.18590909090909094</v>
      </c>
      <c r="AB144" s="12"/>
      <c r="AC144" s="235">
        <f>AC141</f>
        <v>90</v>
      </c>
      <c r="AD144" s="236">
        <f>AD141</f>
        <v>2.2222222222222223</v>
      </c>
      <c r="AE144" s="156">
        <f>AE141</f>
        <v>200</v>
      </c>
      <c r="AF144" s="156">
        <f>V144 * (1 + D144) / (1 - H144)</f>
        <v>94.070351758793976</v>
      </c>
      <c r="AG144" s="231">
        <f>(B144 - AF144) / AF144</f>
        <v>-4.3269230769230831E-2</v>
      </c>
      <c r="AH144" s="236"/>
      <c r="AI144" s="235">
        <f>AI141</f>
        <v>90</v>
      </c>
      <c r="AJ144" s="236">
        <f>AJ141</f>
        <v>1.3333333333333333</v>
      </c>
      <c r="AK144" s="156">
        <f>AK141</f>
        <v>120</v>
      </c>
      <c r="AL144" s="156">
        <f>V144 * (1 + E144) / (1 - H144)</f>
        <v>97.688442211055275</v>
      </c>
      <c r="AM144" s="231">
        <f>(B144 - AL144) / AL144</f>
        <v>-7.8703703703703692E-2</v>
      </c>
      <c r="AN144" s="237"/>
      <c r="AO144" s="235">
        <f>V144</f>
        <v>90</v>
      </c>
      <c r="AP144" s="236">
        <f>AP141</f>
        <v>0.88888888888888895</v>
      </c>
      <c r="AQ144" s="156">
        <f>AQ141</f>
        <v>80</v>
      </c>
      <c r="AR144" s="156">
        <f>V144 * (1 + F144) / (1 - H144)</f>
        <v>104.92462311557789</v>
      </c>
      <c r="AS144" s="231">
        <f>(B144 - AR144) / AR144</f>
        <v>-0.14224137931034481</v>
      </c>
      <c r="AT144" s="237"/>
      <c r="AU144" s="238">
        <f>AX144+AW144+AV144</f>
        <v>7.5080808080808081</v>
      </c>
      <c r="AV144" s="238">
        <f>AD144+AD145+AD146</f>
        <v>3.2222222222222223</v>
      </c>
      <c r="AW144" s="238">
        <f>AJ144+AJ145+AJ146</f>
        <v>2.4515151515151512</v>
      </c>
      <c r="AX144" s="238">
        <f>AP144+AP145+AP146</f>
        <v>1.8343434343434342</v>
      </c>
      <c r="AY144" s="239">
        <f>AY141</f>
        <v>867.16499999999996</v>
      </c>
      <c r="AZ144" s="233">
        <f>X144</f>
        <v>122.11363636363636</v>
      </c>
      <c r="BA144" s="235">
        <f>AU144*B144</f>
        <v>675.72727272727275</v>
      </c>
      <c r="BB144" s="205">
        <f>(AZ144+BA144-AY144)/AY144</f>
        <v>-7.9943368227604714E-2</v>
      </c>
      <c r="BC144" s="233">
        <f>I144-AY144+AZ144</f>
        <v>454.94863636363641</v>
      </c>
    </row>
    <row r="145" spans="1:55" ht="12.75" x14ac:dyDescent="0.2">
      <c r="AB145" s="12"/>
      <c r="AC145" s="235"/>
      <c r="AD145" s="236"/>
      <c r="AE145" s="156"/>
      <c r="AF145" s="156"/>
      <c r="AG145" s="231"/>
      <c r="AH145" s="236"/>
      <c r="AI145" s="235">
        <f>AI142</f>
        <v>110</v>
      </c>
      <c r="AJ145" s="236">
        <f>AJ142</f>
        <v>0.81818181818181812</v>
      </c>
      <c r="AK145" s="156">
        <f>AK142</f>
        <v>90</v>
      </c>
      <c r="AL145" s="156">
        <f>AL142</f>
        <v>119.39698492462313</v>
      </c>
      <c r="AM145" s="231">
        <f>AM142</f>
        <v>-0.24621212121212127</v>
      </c>
      <c r="AN145" s="237"/>
      <c r="AO145" s="235">
        <f>AO142</f>
        <v>110</v>
      </c>
      <c r="AP145" s="236">
        <f>AP142</f>
        <v>0.54545454545454541</v>
      </c>
      <c r="AQ145" s="156">
        <f>AQ142</f>
        <v>60</v>
      </c>
      <c r="AR145" s="156">
        <f>AR142</f>
        <v>128.24120603015075</v>
      </c>
      <c r="AS145" s="231">
        <f>(B144 - AR145) / AR145</f>
        <v>-0.29819749216300939</v>
      </c>
      <c r="AT145" s="237"/>
      <c r="AU145" s="237"/>
      <c r="AV145" s="237"/>
      <c r="AW145" s="237"/>
      <c r="AX145" s="237"/>
      <c r="AY145" s="237"/>
      <c r="AZ145" s="237"/>
      <c r="BA145" s="237"/>
      <c r="BB145" s="237"/>
      <c r="BC145" s="237"/>
    </row>
    <row r="146" spans="1:55" ht="12.75" x14ac:dyDescent="0.2">
      <c r="A146" s="150"/>
      <c r="B146" s="33"/>
      <c r="C146" s="67"/>
      <c r="D146" s="124"/>
      <c r="E146" s="95"/>
      <c r="F146" s="95"/>
      <c r="G146" s="95"/>
      <c r="H146" s="95"/>
      <c r="I146" s="93"/>
      <c r="M146" s="206"/>
      <c r="N146" s="206"/>
      <c r="O146" s="124"/>
      <c r="P146" s="95"/>
      <c r="Q146" s="95"/>
      <c r="AB146" s="12"/>
      <c r="AC146" s="235">
        <f>AC143</f>
        <v>100</v>
      </c>
      <c r="AD146" s="236">
        <f>AD143</f>
        <v>1</v>
      </c>
      <c r="AE146" s="156">
        <f>AE143</f>
        <v>100</v>
      </c>
      <c r="AF146" s="156">
        <f>AF143</f>
        <v>104.52261306532664</v>
      </c>
      <c r="AG146" s="231">
        <f>(B144 - AF146) / AF146</f>
        <v>-0.13894230769230773</v>
      </c>
      <c r="AH146" s="236"/>
      <c r="AI146" s="235">
        <f>AI143</f>
        <v>100</v>
      </c>
      <c r="AJ146" s="236">
        <f>AJ143</f>
        <v>0.3</v>
      </c>
      <c r="AK146" s="156">
        <f>AK143</f>
        <v>30</v>
      </c>
      <c r="AL146" s="156">
        <f>AL143</f>
        <v>108.5427135678392</v>
      </c>
      <c r="AM146" s="231">
        <f>(B144 - AL146) / AL146</f>
        <v>-0.17083333333333336</v>
      </c>
      <c r="AN146" s="237"/>
      <c r="AO146" s="235">
        <f>AO143</f>
        <v>100</v>
      </c>
      <c r="AP146" s="236">
        <f>AP143</f>
        <v>0.4</v>
      </c>
      <c r="AQ146" s="156">
        <f>AQ143</f>
        <v>40</v>
      </c>
      <c r="AR146" s="156">
        <f>AR143</f>
        <v>116.58291457286431</v>
      </c>
      <c r="AS146" s="231">
        <f>(B144 - AR146) / AR146</f>
        <v>-0.22801724137931029</v>
      </c>
      <c r="AT146" s="237"/>
      <c r="AU146" s="237"/>
      <c r="AV146" s="237"/>
      <c r="AW146" s="237"/>
      <c r="AX146" s="237"/>
      <c r="AY146" s="237"/>
      <c r="AZ146" s="237"/>
      <c r="BA146" s="237"/>
      <c r="BB146" s="237"/>
      <c r="BC146" s="237"/>
    </row>
    <row r="147" spans="1:55" ht="12.75" x14ac:dyDescent="0.2">
      <c r="A147" s="150"/>
      <c r="B147" s="33"/>
      <c r="C147" s="67"/>
      <c r="D147" s="124"/>
      <c r="E147" s="95"/>
      <c r="F147" s="95"/>
      <c r="G147" s="95"/>
      <c r="H147" s="95"/>
      <c r="I147" s="93"/>
      <c r="M147" s="206"/>
      <c r="N147" s="206"/>
      <c r="O147" s="124"/>
      <c r="P147" s="95"/>
      <c r="Q147" s="95"/>
      <c r="S147" s="45"/>
      <c r="T147" s="45"/>
      <c r="U147" s="131"/>
      <c r="V147" s="122"/>
      <c r="W147" s="30"/>
      <c r="X147" s="122"/>
      <c r="Y147" s="122"/>
      <c r="Z147" s="152"/>
      <c r="AA147" s="152"/>
      <c r="AB147" s="12"/>
      <c r="AC147" s="139"/>
      <c r="AD147" s="139"/>
      <c r="AE147" s="139"/>
      <c r="AF147" s="139"/>
      <c r="AG147" s="140"/>
      <c r="AH147" s="140"/>
      <c r="AI147" s="139"/>
      <c r="AJ147" s="139"/>
      <c r="AK147" s="139"/>
      <c r="AL147" s="139"/>
      <c r="AM147" s="140"/>
      <c r="AO147" s="139"/>
      <c r="AP147" s="139"/>
      <c r="AQ147" s="139"/>
      <c r="AR147" s="139"/>
      <c r="AS147" s="140"/>
    </row>
    <row r="148" spans="1:55" ht="12.75" x14ac:dyDescent="0.2">
      <c r="B148" s="45" t="s">
        <v>203</v>
      </c>
      <c r="C148" s="109"/>
      <c r="K148" s="45" t="s">
        <v>201</v>
      </c>
      <c r="S148" s="45" t="s">
        <v>202</v>
      </c>
      <c r="U148" s="12"/>
      <c r="V148" s="12"/>
      <c r="W148" s="12"/>
      <c r="X148" s="12"/>
      <c r="Y148" s="12"/>
      <c r="Z148" s="12"/>
      <c r="AA148" s="12"/>
      <c r="AB148" s="12"/>
      <c r="AC148" s="130" t="s">
        <v>204</v>
      </c>
      <c r="AD148" s="46"/>
      <c r="AE148" s="46"/>
      <c r="AF148" s="46"/>
      <c r="AG148" s="46"/>
      <c r="AH148" s="46"/>
      <c r="AI148" s="130" t="s">
        <v>206</v>
      </c>
      <c r="AJ148" s="46"/>
      <c r="AK148" s="46"/>
      <c r="AL148" s="46"/>
      <c r="AM148" s="46"/>
      <c r="AN148" s="45"/>
      <c r="AO148" s="130" t="s">
        <v>207</v>
      </c>
      <c r="AP148" s="12"/>
      <c r="AQ148" s="12"/>
      <c r="AR148" s="12"/>
      <c r="AS148" s="12"/>
      <c r="AU148" s="130" t="s">
        <v>205</v>
      </c>
    </row>
    <row r="149" spans="1:55" ht="12.75" x14ac:dyDescent="0.2">
      <c r="B149" s="57" t="s">
        <v>208</v>
      </c>
      <c r="C149" s="28" t="s">
        <v>190</v>
      </c>
      <c r="D149" s="57" t="s">
        <v>191</v>
      </c>
      <c r="E149" s="28" t="s">
        <v>192</v>
      </c>
      <c r="F149" s="28" t="s">
        <v>193</v>
      </c>
      <c r="G149" s="28" t="s">
        <v>286</v>
      </c>
      <c r="H149" s="57" t="s">
        <v>285</v>
      </c>
      <c r="I149" s="57" t="s">
        <v>237</v>
      </c>
      <c r="J149" s="101"/>
      <c r="K149" s="28" t="s">
        <v>76</v>
      </c>
      <c r="L149" s="28" t="s">
        <v>4</v>
      </c>
      <c r="M149" s="57" t="s">
        <v>0</v>
      </c>
      <c r="N149" s="57" t="s">
        <v>1</v>
      </c>
      <c r="O149" s="28" t="s">
        <v>191</v>
      </c>
      <c r="P149" s="28" t="s">
        <v>192</v>
      </c>
      <c r="Q149" s="28" t="s">
        <v>193</v>
      </c>
      <c r="S149" s="28"/>
      <c r="T149" s="28" t="s">
        <v>76</v>
      </c>
      <c r="U149" s="28" t="s">
        <v>4</v>
      </c>
      <c r="V149" s="57" t="s">
        <v>0</v>
      </c>
      <c r="W149" s="28" t="s">
        <v>62</v>
      </c>
      <c r="X149" s="57" t="s">
        <v>217</v>
      </c>
      <c r="Y149" s="57" t="s">
        <v>190</v>
      </c>
      <c r="Z149" s="57" t="s">
        <v>194</v>
      </c>
      <c r="AA149" s="28" t="s">
        <v>195</v>
      </c>
      <c r="AB149" s="12"/>
      <c r="AC149" s="28" t="s">
        <v>0</v>
      </c>
      <c r="AD149" s="28" t="s">
        <v>196</v>
      </c>
      <c r="AE149" s="57" t="s">
        <v>1</v>
      </c>
      <c r="AF149" s="57" t="s">
        <v>197</v>
      </c>
      <c r="AG149" s="57" t="s">
        <v>198</v>
      </c>
      <c r="AH149" s="60"/>
      <c r="AI149" s="28" t="s">
        <v>0</v>
      </c>
      <c r="AJ149" s="28" t="s">
        <v>196</v>
      </c>
      <c r="AK149" s="57" t="s">
        <v>1</v>
      </c>
      <c r="AL149" s="57" t="s">
        <v>197</v>
      </c>
      <c r="AM149" s="57" t="s">
        <v>198</v>
      </c>
      <c r="AO149" s="28" t="s">
        <v>0</v>
      </c>
      <c r="AP149" s="28" t="s">
        <v>196</v>
      </c>
      <c r="AQ149" s="57" t="s">
        <v>1</v>
      </c>
      <c r="AR149" s="57" t="s">
        <v>197</v>
      </c>
      <c r="AS149" s="57" t="s">
        <v>198</v>
      </c>
      <c r="AU149" s="57" t="s">
        <v>199</v>
      </c>
      <c r="AV149" s="28" t="s">
        <v>191</v>
      </c>
      <c r="AW149" s="28" t="s">
        <v>192</v>
      </c>
      <c r="AX149" s="28" t="s">
        <v>193</v>
      </c>
      <c r="AY149" s="57" t="s">
        <v>79</v>
      </c>
      <c r="AZ149" s="57" t="s">
        <v>235</v>
      </c>
      <c r="BA149" s="57" t="s">
        <v>234</v>
      </c>
      <c r="BB149" s="57" t="s">
        <v>243</v>
      </c>
      <c r="BC149" s="57" t="s">
        <v>236</v>
      </c>
    </row>
    <row r="150" spans="1:55" ht="12.75" x14ac:dyDescent="0.2">
      <c r="A150" s="45" t="s">
        <v>212</v>
      </c>
      <c r="B150" s="52">
        <v>100</v>
      </c>
      <c r="C150" s="54">
        <v>0.02</v>
      </c>
      <c r="D150" s="124">
        <v>0.04</v>
      </c>
      <c r="E150" s="95">
        <v>0.08</v>
      </c>
      <c r="F150" s="95">
        <v>0.16</v>
      </c>
      <c r="G150" s="95">
        <v>0.01</v>
      </c>
      <c r="H150" s="95">
        <v>5.0000000000000001E-3</v>
      </c>
      <c r="I150" s="93">
        <v>1200</v>
      </c>
      <c r="J150" s="95"/>
      <c r="K150" s="133" t="s">
        <v>75</v>
      </c>
      <c r="L150" s="133" t="s">
        <v>78</v>
      </c>
      <c r="M150" s="52">
        <v>100</v>
      </c>
      <c r="N150" s="52">
        <v>200</v>
      </c>
      <c r="O150" s="124">
        <v>0.5</v>
      </c>
      <c r="P150" s="95">
        <v>0.3</v>
      </c>
      <c r="Q150" s="95">
        <v>0.2</v>
      </c>
      <c r="S150" s="45" t="s">
        <v>212</v>
      </c>
      <c r="T150" s="45" t="s">
        <v>75</v>
      </c>
      <c r="U150" s="131" t="s">
        <v>78</v>
      </c>
      <c r="V150" s="122">
        <f>M150</f>
        <v>100</v>
      </c>
      <c r="W150" s="30">
        <f>X150/V150</f>
        <v>2</v>
      </c>
      <c r="X150" s="122">
        <f>N150</f>
        <v>200</v>
      </c>
      <c r="Y150" s="122">
        <f>(V150/(1+G150))*(1-ABS(C150))</f>
        <v>97.029702970297024</v>
      </c>
      <c r="Z150" s="152" t="s">
        <v>34</v>
      </c>
      <c r="AA150" s="152" t="s">
        <v>34</v>
      </c>
      <c r="AB150" s="12"/>
      <c r="AC150" s="122">
        <f>V150</f>
        <v>100</v>
      </c>
      <c r="AD150" s="30">
        <f>W150*O150</f>
        <v>1</v>
      </c>
      <c r="AE150" s="123">
        <f>X150*O150</f>
        <v>100</v>
      </c>
      <c r="AF150" s="123">
        <f>V150 * (1 + D150) / (1 - H150)</f>
        <v>104.52261306532664</v>
      </c>
      <c r="AG150" s="124">
        <f>(B150 - AF150) / AF150</f>
        <v>-4.3269230769230817E-2</v>
      </c>
      <c r="AH150" s="30"/>
      <c r="AI150" s="122">
        <f>V150</f>
        <v>100</v>
      </c>
      <c r="AJ150" s="30">
        <f>W150*P150</f>
        <v>0.6</v>
      </c>
      <c r="AK150" s="123">
        <f>X150*P150</f>
        <v>60</v>
      </c>
      <c r="AL150" s="123">
        <f>V150 * (1 + E150) / (1 - H150)</f>
        <v>108.5427135678392</v>
      </c>
      <c r="AM150" s="124">
        <f>(B150 - AL150) / AL150</f>
        <v>-7.8703703703703748E-2</v>
      </c>
      <c r="AO150" s="122">
        <f>V150</f>
        <v>100</v>
      </c>
      <c r="AP150" s="30">
        <f>W150*Q150</f>
        <v>0.4</v>
      </c>
      <c r="AQ150" s="123">
        <f>X150*Q150</f>
        <v>40</v>
      </c>
      <c r="AR150" s="123">
        <f>V150 * (1 + F150) / (1 - H150)</f>
        <v>116.58291457286431</v>
      </c>
      <c r="AS150" s="124">
        <f>(B150 - AR150) / AR150</f>
        <v>-0.14224137931034475</v>
      </c>
      <c r="AU150" s="32">
        <f>AX150+AW150+AV150</f>
        <v>2</v>
      </c>
      <c r="AV150" s="32">
        <f>AD150</f>
        <v>1</v>
      </c>
      <c r="AW150" s="32">
        <f>AJ150</f>
        <v>0.6</v>
      </c>
      <c r="AX150" s="32">
        <f>AP150</f>
        <v>0.4</v>
      </c>
      <c r="AY150" s="195">
        <f>N150</f>
        <v>200</v>
      </c>
      <c r="AZ150" s="63">
        <v>0</v>
      </c>
      <c r="BA150" s="235">
        <f>AU150*B150</f>
        <v>200</v>
      </c>
      <c r="BB150" s="196">
        <f>(AZ150+BA150-AY150)/AY150</f>
        <v>0</v>
      </c>
      <c r="BC150" s="63">
        <f>I150-AY150+AZ150</f>
        <v>1000</v>
      </c>
    </row>
    <row r="151" spans="1:55" ht="12.75" x14ac:dyDescent="0.2">
      <c r="A151" s="47" t="s">
        <v>213</v>
      </c>
      <c r="B151" s="40">
        <v>110</v>
      </c>
      <c r="C151" s="55">
        <v>0.02</v>
      </c>
      <c r="D151" s="129">
        <v>0.04</v>
      </c>
      <c r="E151" s="125">
        <v>0.08</v>
      </c>
      <c r="F151" s="125">
        <v>0.16</v>
      </c>
      <c r="G151" s="125">
        <v>0.01</v>
      </c>
      <c r="H151" s="125">
        <v>5.0000000000000001E-3</v>
      </c>
      <c r="I151" s="209">
        <v>1200</v>
      </c>
      <c r="J151" s="125"/>
      <c r="K151" s="134" t="s">
        <v>75</v>
      </c>
      <c r="L151" s="134" t="s">
        <v>78</v>
      </c>
      <c r="M151" s="40">
        <v>110</v>
      </c>
      <c r="N151" s="40">
        <v>300</v>
      </c>
      <c r="O151" s="129">
        <v>0.5</v>
      </c>
      <c r="P151" s="125">
        <v>0.3</v>
      </c>
      <c r="Q151" s="125">
        <v>0.2</v>
      </c>
      <c r="R151" s="35"/>
      <c r="S151" s="47" t="s">
        <v>213</v>
      </c>
      <c r="T151" s="47" t="s">
        <v>75</v>
      </c>
      <c r="U151" s="202" t="s">
        <v>210</v>
      </c>
      <c r="V151" s="126">
        <f>M151</f>
        <v>110</v>
      </c>
      <c r="W151" s="43">
        <f>X151/V151</f>
        <v>2.7272727272727271</v>
      </c>
      <c r="X151" s="126">
        <f>N151</f>
        <v>300</v>
      </c>
      <c r="Y151" s="126">
        <f>(V151/(1+G151))*(1-ABS(C151))</f>
        <v>106.73267326732673</v>
      </c>
      <c r="Z151" s="153" t="s">
        <v>34</v>
      </c>
      <c r="AA151" s="153" t="s">
        <v>34</v>
      </c>
      <c r="AB151" s="41"/>
      <c r="AC151" s="126">
        <f>V151</f>
        <v>110</v>
      </c>
      <c r="AD151" s="43">
        <f>W151*O151</f>
        <v>1.3636363636363635</v>
      </c>
      <c r="AE151" s="128">
        <f>X151*O151</f>
        <v>150</v>
      </c>
      <c r="AF151" s="128">
        <f>V151 * (1 + D151) / (1 - H151)</f>
        <v>114.9748743718593</v>
      </c>
      <c r="AG151" s="129">
        <f>(B151 - AF151) / AF151</f>
        <v>-4.3269230769230803E-2</v>
      </c>
      <c r="AH151" s="43"/>
      <c r="AI151" s="126">
        <f>V151</f>
        <v>110</v>
      </c>
      <c r="AJ151" s="43">
        <f>W151*P151</f>
        <v>0.81818181818181812</v>
      </c>
      <c r="AK151" s="128">
        <f>X151*P151</f>
        <v>90</v>
      </c>
      <c r="AL151" s="128">
        <f>V151 * (1 + E151) / (1 - H151)</f>
        <v>119.39698492462313</v>
      </c>
      <c r="AM151" s="129">
        <f>(B151 - AL151) / AL151</f>
        <v>-7.870370370370379E-2</v>
      </c>
      <c r="AN151" s="35"/>
      <c r="AO151" s="126">
        <f>V151</f>
        <v>110</v>
      </c>
      <c r="AP151" s="43">
        <f>W151*Q151</f>
        <v>0.54545454545454541</v>
      </c>
      <c r="AQ151" s="128">
        <f>X151*Q151</f>
        <v>60</v>
      </c>
      <c r="AR151" s="128">
        <f>V151 * (1 + F151) / (1 - H151)</f>
        <v>128.24120603015075</v>
      </c>
      <c r="AS151" s="129">
        <f>(B151 - AR151) / AR151</f>
        <v>-0.14224137931034481</v>
      </c>
      <c r="AT151" s="35"/>
      <c r="AU151" s="39">
        <f>AX151+AW151+AV151</f>
        <v>4.7272727272727266</v>
      </c>
      <c r="AV151" s="39">
        <f>AD151+AD152</f>
        <v>2.3636363636363633</v>
      </c>
      <c r="AW151" s="39">
        <f>AJ151+AJ152</f>
        <v>1.418181818181818</v>
      </c>
      <c r="AX151" s="39">
        <f>AP151+AP152</f>
        <v>0.94545454545454544</v>
      </c>
      <c r="AY151" s="200">
        <f>AY150+X151</f>
        <v>500</v>
      </c>
      <c r="AZ151" s="65">
        <v>0</v>
      </c>
      <c r="BA151" s="126">
        <f>AU151*B151</f>
        <v>519.99999999999989</v>
      </c>
      <c r="BB151" s="201">
        <f>(AZ151+BA151-AY151)/AY151</f>
        <v>3.9999999999999772E-2</v>
      </c>
      <c r="BC151" s="65">
        <f>I151-AY151+AZ151</f>
        <v>700</v>
      </c>
    </row>
    <row r="152" spans="1:55" ht="12.75" x14ac:dyDescent="0.2">
      <c r="A152" s="47"/>
      <c r="B152" s="40"/>
      <c r="C152" s="55"/>
      <c r="D152" s="129"/>
      <c r="E152" s="125"/>
      <c r="F152" s="125"/>
      <c r="G152" s="125"/>
      <c r="H152" s="125"/>
      <c r="I152" s="209"/>
      <c r="J152" s="125"/>
      <c r="K152" s="134"/>
      <c r="L152" s="134"/>
      <c r="M152" s="40"/>
      <c r="N152" s="40"/>
      <c r="O152" s="129"/>
      <c r="P152" s="125"/>
      <c r="Q152" s="125"/>
      <c r="R152" s="35"/>
      <c r="S152" s="47" t="s">
        <v>212</v>
      </c>
      <c r="T152" s="47" t="s">
        <v>75</v>
      </c>
      <c r="U152" s="202" t="s">
        <v>78</v>
      </c>
      <c r="V152" s="126">
        <f>V150</f>
        <v>100</v>
      </c>
      <c r="W152" s="43">
        <f>W150</f>
        <v>2</v>
      </c>
      <c r="X152" s="126">
        <f>X150</f>
        <v>200</v>
      </c>
      <c r="Y152" s="126">
        <f>Y150</f>
        <v>97.029702970297024</v>
      </c>
      <c r="Z152" s="153" t="s">
        <v>34</v>
      </c>
      <c r="AA152" s="153" t="s">
        <v>34</v>
      </c>
      <c r="AB152" s="41"/>
      <c r="AC152" s="126">
        <f>AC150</f>
        <v>100</v>
      </c>
      <c r="AD152" s="43">
        <f>AD150</f>
        <v>1</v>
      </c>
      <c r="AE152" s="128">
        <f>AE150</f>
        <v>100</v>
      </c>
      <c r="AF152" s="128">
        <f>V152 * (1 + D151) / (1 - H151)</f>
        <v>104.52261306532664</v>
      </c>
      <c r="AG152" s="129">
        <f>(B151 - AF152) / AF152</f>
        <v>5.2403846153846106E-2</v>
      </c>
      <c r="AH152" s="43"/>
      <c r="AI152" s="126">
        <f>AI150</f>
        <v>100</v>
      </c>
      <c r="AJ152" s="43">
        <f>AJ150</f>
        <v>0.6</v>
      </c>
      <c r="AK152" s="128">
        <f>AK150</f>
        <v>60</v>
      </c>
      <c r="AL152" s="128">
        <f>V152 * (1 + E151) / (1 - H151)</f>
        <v>108.5427135678392</v>
      </c>
      <c r="AM152" s="129">
        <f>(B151 - AL152) / AL152</f>
        <v>1.3425925925925883E-2</v>
      </c>
      <c r="AN152" s="35"/>
      <c r="AO152" s="126">
        <f>AO150</f>
        <v>100</v>
      </c>
      <c r="AP152" s="43">
        <f>AP150</f>
        <v>0.4</v>
      </c>
      <c r="AQ152" s="128">
        <f>AQ150</f>
        <v>40</v>
      </c>
      <c r="AR152" s="128">
        <f>V152 * (1 + F151) / (1 - H151)</f>
        <v>116.58291457286431</v>
      </c>
      <c r="AS152" s="129">
        <f>(B151 - AR152) / AR152</f>
        <v>-5.6465517241379229E-2</v>
      </c>
      <c r="AT152" s="35"/>
      <c r="AU152" s="39"/>
      <c r="AV152" s="39"/>
      <c r="AW152" s="39"/>
      <c r="AX152" s="39"/>
      <c r="AY152" s="200"/>
      <c r="AZ152" s="65"/>
      <c r="BA152" s="126"/>
      <c r="BB152" s="201"/>
      <c r="BC152" s="65"/>
    </row>
    <row r="153" spans="1:55" ht="12.75" x14ac:dyDescent="0.2">
      <c r="A153" s="110" t="s">
        <v>215</v>
      </c>
      <c r="B153" s="52">
        <v>110</v>
      </c>
      <c r="C153" s="54">
        <v>0.02</v>
      </c>
      <c r="D153" s="124">
        <v>0.04</v>
      </c>
      <c r="E153" s="95">
        <v>0.08</v>
      </c>
      <c r="F153" s="95">
        <v>0.16</v>
      </c>
      <c r="G153" s="95">
        <v>0.01</v>
      </c>
      <c r="H153" s="95">
        <v>5.0000000000000001E-3</v>
      </c>
      <c r="I153" s="93">
        <v>1200</v>
      </c>
      <c r="J153" s="95"/>
      <c r="K153" s="133" t="s">
        <v>73</v>
      </c>
      <c r="L153" s="133" t="s">
        <v>210</v>
      </c>
      <c r="M153" s="52">
        <v>110</v>
      </c>
      <c r="N153" s="152" t="s">
        <v>34</v>
      </c>
      <c r="O153" s="152" t="s">
        <v>34</v>
      </c>
      <c r="P153" s="95">
        <v>0.5</v>
      </c>
      <c r="Q153" s="152" t="s">
        <v>34</v>
      </c>
      <c r="S153" s="45" t="s">
        <v>218</v>
      </c>
      <c r="T153" s="45" t="s">
        <v>73</v>
      </c>
      <c r="U153" s="130" t="s">
        <v>216</v>
      </c>
      <c r="V153" s="122">
        <v>110</v>
      </c>
      <c r="W153" s="30">
        <f>AJ150*P153</f>
        <v>0.3</v>
      </c>
      <c r="X153" s="122">
        <f>V153*W153-(V153*W153*H153)</f>
        <v>32.835000000000001</v>
      </c>
      <c r="Y153" s="152" t="s">
        <v>34</v>
      </c>
      <c r="Z153" s="152">
        <f>X153-(V150*W153)</f>
        <v>2.8350000000000009</v>
      </c>
      <c r="AA153" s="159">
        <f>Z153/(V150*W153)</f>
        <v>9.4500000000000028E-2</v>
      </c>
      <c r="AB153" s="12"/>
      <c r="AC153" s="235">
        <f>AC151</f>
        <v>110</v>
      </c>
      <c r="AD153" s="236">
        <f>AD151</f>
        <v>1.3636363636363635</v>
      </c>
      <c r="AE153" s="156">
        <f>AE151</f>
        <v>150</v>
      </c>
      <c r="AF153" s="156">
        <f>V153 * (1 + D153) / (1 - H153)</f>
        <v>114.9748743718593</v>
      </c>
      <c r="AG153" s="231">
        <f>(B153 - AF153) / AF153</f>
        <v>-4.3269230769230803E-2</v>
      </c>
      <c r="AH153" s="236"/>
      <c r="AI153" s="235">
        <f>AI151</f>
        <v>110</v>
      </c>
      <c r="AJ153" s="236">
        <f>AJ151</f>
        <v>0.81818181818181812</v>
      </c>
      <c r="AK153" s="156">
        <f>AK151</f>
        <v>90</v>
      </c>
      <c r="AL153" s="156">
        <f>V153 * (1 + E153) / (1 - H153)</f>
        <v>119.39698492462313</v>
      </c>
      <c r="AM153" s="231">
        <f>(B153 - AL153) / AL153</f>
        <v>-7.870370370370379E-2</v>
      </c>
      <c r="AN153" s="237"/>
      <c r="AO153" s="235">
        <f>AO151</f>
        <v>110</v>
      </c>
      <c r="AP153" s="236">
        <f>AP151</f>
        <v>0.54545454545454541</v>
      </c>
      <c r="AQ153" s="156">
        <f>AQ151</f>
        <v>60</v>
      </c>
      <c r="AR153" s="156">
        <f>V153 * (1 + F153) / (1 - H153)</f>
        <v>128.24120603015075</v>
      </c>
      <c r="AS153" s="231">
        <f>(B153 - AR153) / AR153</f>
        <v>-0.14224137931034481</v>
      </c>
      <c r="AT153" s="237"/>
      <c r="AU153" s="238">
        <f>AX153+AW153+AV153</f>
        <v>4.4272727272727268</v>
      </c>
      <c r="AV153" s="238">
        <f>AD153+AD154</f>
        <v>2.3636363636363633</v>
      </c>
      <c r="AW153" s="238">
        <f>AJ153+AJ154</f>
        <v>1.1181818181818182</v>
      </c>
      <c r="AX153" s="238">
        <f>AP153+AP154</f>
        <v>0.94545454545454544</v>
      </c>
      <c r="AY153" s="239">
        <f>AY151</f>
        <v>500</v>
      </c>
      <c r="AZ153" s="233">
        <f>X153</f>
        <v>32.835000000000001</v>
      </c>
      <c r="BA153" s="235">
        <f>AU153*B153</f>
        <v>486.99999999999994</v>
      </c>
      <c r="BB153" s="205">
        <f>(AZ153+BA153-AY153)/AY153</f>
        <v>3.9669999999999844E-2</v>
      </c>
      <c r="BC153" s="233">
        <f>I153-AY153+AZ153</f>
        <v>732.83500000000004</v>
      </c>
    </row>
    <row r="154" spans="1:55" ht="12.75" x14ac:dyDescent="0.2">
      <c r="A154" s="150"/>
      <c r="B154" s="33"/>
      <c r="C154" s="67"/>
      <c r="D154" s="124"/>
      <c r="E154" s="95"/>
      <c r="F154" s="95"/>
      <c r="G154" s="95"/>
      <c r="H154" s="95"/>
      <c r="I154" s="93"/>
      <c r="M154" s="206"/>
      <c r="N154" s="206"/>
      <c r="O154" s="124"/>
      <c r="P154" s="95"/>
      <c r="Q154" s="95"/>
      <c r="S154" s="45"/>
      <c r="T154" s="45"/>
      <c r="U154" s="131"/>
      <c r="V154" s="122"/>
      <c r="W154" s="30"/>
      <c r="X154" s="122"/>
      <c r="Y154" s="122"/>
      <c r="Z154" s="152"/>
      <c r="AA154" s="152"/>
      <c r="AB154" s="12"/>
      <c r="AC154" s="235">
        <f>AC152</f>
        <v>100</v>
      </c>
      <c r="AD154" s="236">
        <f>AD152</f>
        <v>1</v>
      </c>
      <c r="AE154" s="156">
        <f>AE152</f>
        <v>100</v>
      </c>
      <c r="AF154" s="156">
        <f>AF152</f>
        <v>104.52261306532664</v>
      </c>
      <c r="AG154" s="231">
        <f>(B153 - AF154) / AF154</f>
        <v>5.2403846153846106E-2</v>
      </c>
      <c r="AH154" s="236"/>
      <c r="AI154" s="235">
        <f>AI152</f>
        <v>100</v>
      </c>
      <c r="AJ154" s="236">
        <f>AJ152*P153</f>
        <v>0.3</v>
      </c>
      <c r="AK154" s="156">
        <f>AK152*P153</f>
        <v>30</v>
      </c>
      <c r="AL154" s="156">
        <f>AL152</f>
        <v>108.5427135678392</v>
      </c>
      <c r="AM154" s="231">
        <f>(B153 - AL154) / AL154</f>
        <v>1.3425925925925883E-2</v>
      </c>
      <c r="AN154" s="237"/>
      <c r="AO154" s="235">
        <f>AO152</f>
        <v>100</v>
      </c>
      <c r="AP154" s="236">
        <f>AP152</f>
        <v>0.4</v>
      </c>
      <c r="AQ154" s="156">
        <f>AQ152</f>
        <v>40</v>
      </c>
      <c r="AR154" s="156">
        <f>AR152</f>
        <v>116.58291457286431</v>
      </c>
      <c r="AS154" s="231">
        <f>(B153 - AR154) / AR154</f>
        <v>-5.6465517241379229E-2</v>
      </c>
      <c r="AT154" s="237"/>
      <c r="AU154" s="238"/>
      <c r="AV154" s="238"/>
      <c r="AW154" s="238"/>
      <c r="AX154" s="238"/>
      <c r="AY154" s="239"/>
      <c r="AZ154" s="233"/>
      <c r="BA154" s="235"/>
      <c r="BB154" s="205"/>
      <c r="BC154" s="233"/>
    </row>
    <row r="155" spans="1:55" ht="12.75" x14ac:dyDescent="0.2">
      <c r="A155" s="150"/>
      <c r="B155" s="33"/>
      <c r="C155" s="67"/>
      <c r="D155" s="124"/>
      <c r="E155" s="95"/>
      <c r="F155" s="95"/>
      <c r="G155" s="95"/>
      <c r="H155" s="95"/>
      <c r="I155" s="93"/>
      <c r="M155" s="206"/>
      <c r="N155" s="206"/>
      <c r="O155" s="124"/>
      <c r="P155" s="95"/>
      <c r="Q155" s="95"/>
      <c r="S155" s="45"/>
      <c r="T155" s="45"/>
      <c r="U155" s="131"/>
      <c r="V155" s="122"/>
      <c r="W155" s="30"/>
      <c r="X155" s="122"/>
      <c r="Y155" s="122"/>
      <c r="Z155" s="152"/>
      <c r="AA155" s="152"/>
      <c r="AB155" s="12"/>
      <c r="AC155" s="235"/>
      <c r="AD155" s="236"/>
      <c r="AE155" s="156"/>
      <c r="AF155" s="156"/>
      <c r="AG155" s="231"/>
      <c r="AH155" s="236"/>
      <c r="AI155" s="235"/>
      <c r="AJ155" s="236"/>
      <c r="AK155" s="156"/>
      <c r="AL155" s="156"/>
      <c r="AM155" s="231"/>
      <c r="AN155" s="237"/>
      <c r="AO155" s="235"/>
      <c r="AP155" s="236"/>
      <c r="AQ155" s="156"/>
      <c r="AR155" s="156"/>
      <c r="AS155" s="231"/>
      <c r="AT155" s="237"/>
      <c r="AU155" s="238"/>
      <c r="AV155" s="238"/>
      <c r="AW155" s="238"/>
      <c r="AX155" s="238"/>
      <c r="AY155" s="239"/>
      <c r="AZ155" s="233"/>
      <c r="BA155" s="235"/>
      <c r="BB155" s="205"/>
      <c r="BC155" s="233"/>
    </row>
    <row r="156" spans="1:55" ht="12.75" x14ac:dyDescent="0.2">
      <c r="A156" s="150"/>
      <c r="B156" s="33"/>
      <c r="C156" s="67"/>
      <c r="D156" s="124"/>
      <c r="E156" s="95"/>
      <c r="F156" s="95"/>
      <c r="G156" s="95"/>
      <c r="H156" s="95"/>
      <c r="I156" s="93"/>
      <c r="M156" s="206"/>
      <c r="N156" s="206"/>
      <c r="O156" s="124"/>
      <c r="P156" s="95"/>
      <c r="Q156" s="95"/>
      <c r="S156" s="45"/>
      <c r="T156" s="45"/>
      <c r="U156" s="131"/>
      <c r="V156" s="122"/>
      <c r="W156" s="30"/>
      <c r="X156" s="122"/>
      <c r="Y156" s="122"/>
      <c r="Z156" s="152"/>
      <c r="AA156" s="152"/>
      <c r="AB156" s="12"/>
      <c r="AC156" s="235"/>
      <c r="AD156" s="236"/>
      <c r="AE156" s="156"/>
      <c r="AF156" s="156"/>
      <c r="AG156" s="231"/>
      <c r="AH156" s="236"/>
      <c r="AI156" s="235"/>
      <c r="AJ156" s="236"/>
      <c r="AK156" s="156"/>
      <c r="AL156" s="156"/>
      <c r="AM156" s="231"/>
      <c r="AN156" s="237"/>
      <c r="AO156" s="235"/>
      <c r="AP156" s="236"/>
      <c r="AQ156" s="156"/>
      <c r="AR156" s="156"/>
      <c r="AS156" s="231"/>
      <c r="AT156" s="237"/>
      <c r="AU156" s="238"/>
      <c r="AV156" s="238"/>
      <c r="AW156" s="238"/>
      <c r="AX156" s="238"/>
      <c r="AY156" s="239"/>
      <c r="AZ156" s="233"/>
      <c r="BA156" s="235"/>
      <c r="BB156" s="205"/>
      <c r="BC156" s="233"/>
    </row>
    <row r="157" spans="1:55" ht="12.75" x14ac:dyDescent="0.2">
      <c r="A157" s="150"/>
      <c r="B157" s="33"/>
      <c r="C157" s="67"/>
      <c r="D157" s="124"/>
      <c r="E157" s="95"/>
      <c r="F157" s="95"/>
      <c r="G157" s="95"/>
      <c r="H157" s="95"/>
      <c r="I157" s="93"/>
      <c r="M157" s="206"/>
      <c r="N157" s="206"/>
      <c r="O157" s="124"/>
      <c r="P157" s="95"/>
      <c r="Q157" s="95"/>
      <c r="S157" s="45"/>
      <c r="T157" s="45"/>
      <c r="U157" s="131"/>
      <c r="V157" s="122"/>
      <c r="W157" s="30"/>
      <c r="X157" s="122"/>
      <c r="Y157" s="122"/>
      <c r="Z157" s="152"/>
      <c r="AA157" s="152"/>
      <c r="AB157" s="12"/>
      <c r="AC157" s="235"/>
      <c r="AD157" s="236"/>
      <c r="AE157" s="156"/>
      <c r="AF157" s="156"/>
      <c r="AG157" s="231"/>
      <c r="AH157" s="236"/>
      <c r="AI157" s="235"/>
      <c r="AJ157" s="236"/>
      <c r="AK157" s="156"/>
      <c r="AL157" s="156"/>
      <c r="AM157" s="231"/>
      <c r="AN157" s="237"/>
      <c r="AO157" s="235"/>
      <c r="AP157" s="236"/>
      <c r="AQ157" s="156"/>
      <c r="AR157" s="156"/>
      <c r="AS157" s="231"/>
      <c r="AT157" s="237"/>
      <c r="AU157" s="238"/>
      <c r="AV157" s="238"/>
      <c r="AW157" s="238"/>
      <c r="AX157" s="238"/>
      <c r="AY157" s="239"/>
      <c r="AZ157" s="233"/>
      <c r="BA157" s="235"/>
      <c r="BB157" s="205"/>
      <c r="BC157" s="233"/>
    </row>
    <row r="158" spans="1:55" ht="12.75" x14ac:dyDescent="0.2">
      <c r="A158" s="150"/>
      <c r="B158" s="33"/>
      <c r="C158" s="67"/>
      <c r="D158" s="124"/>
      <c r="E158" s="95"/>
      <c r="F158" s="95"/>
      <c r="G158" s="95"/>
      <c r="H158" s="95"/>
      <c r="I158" s="93"/>
      <c r="M158" s="206"/>
      <c r="N158" s="206"/>
      <c r="O158" s="124"/>
      <c r="P158" s="95"/>
      <c r="Q158" s="95"/>
      <c r="S158" s="45"/>
      <c r="T158" s="45"/>
      <c r="U158" s="131"/>
      <c r="V158" s="122"/>
      <c r="W158" s="30"/>
      <c r="X158" s="122"/>
      <c r="Y158" s="122"/>
      <c r="Z158" s="152"/>
      <c r="AA158" s="152"/>
      <c r="AB158" s="12"/>
      <c r="AC158" s="235"/>
      <c r="AD158" s="236"/>
      <c r="AE158" s="156"/>
      <c r="AF158" s="156"/>
      <c r="AG158" s="231"/>
      <c r="AH158" s="236"/>
      <c r="AI158" s="235"/>
      <c r="AJ158" s="236"/>
      <c r="AK158" s="156"/>
      <c r="AL158" s="156"/>
      <c r="AM158" s="231"/>
      <c r="AN158" s="237"/>
      <c r="AO158" s="235"/>
      <c r="AP158" s="236"/>
      <c r="AQ158" s="156"/>
      <c r="AR158" s="156"/>
      <c r="AS158" s="231"/>
      <c r="AT158" s="237"/>
      <c r="AU158" s="238"/>
      <c r="AV158" s="238"/>
      <c r="AW158" s="238"/>
      <c r="AX158" s="238"/>
      <c r="AY158" s="239"/>
      <c r="AZ158" s="233"/>
      <c r="BA158" s="235"/>
      <c r="BB158" s="205"/>
      <c r="BC158" s="233"/>
    </row>
    <row r="159" spans="1:55" ht="12.75" x14ac:dyDescent="0.2">
      <c r="A159" s="150"/>
      <c r="B159" s="33"/>
      <c r="C159" s="67"/>
      <c r="D159" s="124"/>
      <c r="E159" s="95"/>
      <c r="F159" s="95"/>
      <c r="G159" s="95"/>
      <c r="H159" s="95"/>
      <c r="I159" s="93"/>
      <c r="M159" s="206"/>
      <c r="N159" s="206"/>
      <c r="O159" s="124"/>
      <c r="P159" s="95"/>
      <c r="Q159" s="95"/>
      <c r="S159" s="45"/>
      <c r="T159" s="45"/>
      <c r="U159" s="131"/>
      <c r="V159" s="122"/>
      <c r="W159" s="30"/>
      <c r="X159" s="122"/>
      <c r="Y159" s="122"/>
      <c r="Z159" s="152"/>
      <c r="AA159" s="152"/>
      <c r="AB159" s="12"/>
      <c r="AC159" s="235"/>
      <c r="AD159" s="236"/>
      <c r="AE159" s="156"/>
      <c r="AF159" s="156"/>
      <c r="AG159" s="231"/>
      <c r="AH159" s="236"/>
      <c r="AI159" s="235"/>
      <c r="AJ159" s="236"/>
      <c r="AK159" s="156"/>
      <c r="AL159" s="156"/>
      <c r="AM159" s="231"/>
      <c r="AN159" s="237"/>
      <c r="AO159" s="235"/>
      <c r="AP159" s="236"/>
      <c r="AQ159" s="156"/>
      <c r="AR159" s="156"/>
      <c r="AS159" s="231"/>
      <c r="AT159" s="237"/>
      <c r="AU159" s="238"/>
      <c r="AV159" s="238"/>
      <c r="AW159" s="238"/>
      <c r="AX159" s="238"/>
      <c r="AY159" s="239"/>
      <c r="AZ159" s="233"/>
      <c r="BA159" s="235"/>
      <c r="BB159" s="205"/>
      <c r="BC159" s="233"/>
    </row>
    <row r="160" spans="1:55" ht="12.75" x14ac:dyDescent="0.2">
      <c r="A160" s="150"/>
      <c r="B160" s="33"/>
      <c r="C160" s="67"/>
      <c r="D160" s="124"/>
      <c r="E160" s="95"/>
      <c r="F160" s="95"/>
      <c r="G160" s="95"/>
      <c r="H160" s="95"/>
      <c r="I160" s="93"/>
      <c r="M160" s="206"/>
      <c r="N160" s="206"/>
      <c r="O160" s="124"/>
      <c r="P160" s="95"/>
      <c r="Q160" s="95"/>
      <c r="S160" s="45"/>
      <c r="T160" s="45"/>
      <c r="U160" s="131"/>
      <c r="V160" s="122"/>
      <c r="W160" s="30"/>
      <c r="X160" s="122"/>
      <c r="Y160" s="122"/>
      <c r="Z160" s="152"/>
      <c r="AA160" s="152"/>
      <c r="AB160" s="12"/>
      <c r="AC160" s="235"/>
      <c r="AD160" s="236"/>
      <c r="AE160" s="156"/>
      <c r="AF160" s="156"/>
      <c r="AG160" s="231"/>
      <c r="AH160" s="236"/>
      <c r="AI160" s="235"/>
      <c r="AJ160" s="236"/>
      <c r="AK160" s="156"/>
      <c r="AL160" s="156"/>
      <c r="AM160" s="231"/>
      <c r="AN160" s="237"/>
      <c r="AO160" s="235"/>
      <c r="AP160" s="236"/>
      <c r="AQ160" s="156"/>
      <c r="AR160" s="156"/>
      <c r="AS160" s="231"/>
      <c r="AT160" s="237"/>
      <c r="AU160" s="238"/>
      <c r="AV160" s="238"/>
      <c r="AW160" s="238"/>
      <c r="AX160" s="238"/>
      <c r="AY160" s="239"/>
      <c r="AZ160" s="233"/>
      <c r="BA160" s="235"/>
      <c r="BB160" s="205"/>
      <c r="BC160" s="233"/>
    </row>
    <row r="161" spans="1:64" ht="12.75" x14ac:dyDescent="0.2">
      <c r="A161" s="47" t="s">
        <v>214</v>
      </c>
      <c r="B161" s="40">
        <v>90</v>
      </c>
      <c r="C161" s="55">
        <v>0.02</v>
      </c>
      <c r="D161" s="129">
        <v>0.04</v>
      </c>
      <c r="E161" s="125">
        <v>0.08</v>
      </c>
      <c r="F161" s="125">
        <v>0.16</v>
      </c>
      <c r="G161" s="125">
        <v>0.01</v>
      </c>
      <c r="H161" s="125">
        <v>5.0000000000000001E-3</v>
      </c>
      <c r="I161" s="209">
        <v>1200</v>
      </c>
      <c r="J161" s="125"/>
      <c r="K161" s="134" t="s">
        <v>75</v>
      </c>
      <c r="L161" s="134" t="s">
        <v>211</v>
      </c>
      <c r="M161" s="40">
        <v>90</v>
      </c>
      <c r="N161" s="40">
        <v>400</v>
      </c>
      <c r="O161" s="129">
        <v>0.5</v>
      </c>
      <c r="P161" s="125">
        <v>0.3</v>
      </c>
      <c r="Q161" s="125">
        <v>0.2</v>
      </c>
      <c r="R161" s="35"/>
      <c r="S161" s="47" t="s">
        <v>214</v>
      </c>
      <c r="T161" s="47" t="s">
        <v>75</v>
      </c>
      <c r="U161" s="260" t="str">
        <f>L161</f>
        <v>Entry Target</v>
      </c>
      <c r="V161" s="126">
        <f>M161</f>
        <v>90</v>
      </c>
      <c r="W161" s="43">
        <f>X161/V161</f>
        <v>4.4444444444444446</v>
      </c>
      <c r="X161" s="126">
        <f>N161</f>
        <v>400</v>
      </c>
      <c r="Y161" s="126">
        <f>(V161/(1+G161))*(1-ABS(C161))</f>
        <v>87.32673267326733</v>
      </c>
      <c r="Z161" s="153" t="s">
        <v>34</v>
      </c>
      <c r="AA161" s="153" t="s">
        <v>34</v>
      </c>
      <c r="AB161" s="41"/>
      <c r="AC161" s="126">
        <f>V161</f>
        <v>90</v>
      </c>
      <c r="AD161" s="43">
        <f>W161*O161</f>
        <v>2.2222222222222223</v>
      </c>
      <c r="AE161" s="128">
        <f>X161*O161</f>
        <v>200</v>
      </c>
      <c r="AF161" s="128">
        <f>V161 * (1 + D161) / (1 - H161)</f>
        <v>94.070351758793976</v>
      </c>
      <c r="AG161" s="129">
        <f>(B161 - AF161) / AF161</f>
        <v>-4.3269230769230831E-2</v>
      </c>
      <c r="AH161" s="43"/>
      <c r="AI161" s="126">
        <f>V161</f>
        <v>90</v>
      </c>
      <c r="AJ161" s="43">
        <f>W161*P161</f>
        <v>1.3333333333333333</v>
      </c>
      <c r="AK161" s="128">
        <f>X161*P161</f>
        <v>120</v>
      </c>
      <c r="AL161" s="128">
        <f>V161 * (1 + E161) / (1 - H161)</f>
        <v>97.688442211055275</v>
      </c>
      <c r="AM161" s="129">
        <f>(B161 - AL161) / AL161</f>
        <v>-7.8703703703703692E-2</v>
      </c>
      <c r="AN161" s="35"/>
      <c r="AO161" s="126">
        <f>V161</f>
        <v>90</v>
      </c>
      <c r="AP161" s="43">
        <f>W161*Q161</f>
        <v>0.88888888888888895</v>
      </c>
      <c r="AQ161" s="128">
        <f>X161*Q161</f>
        <v>80</v>
      </c>
      <c r="AR161" s="128">
        <f>V161 * (1 + F161) / (1 - H161)</f>
        <v>104.92462311557789</v>
      </c>
      <c r="AS161" s="129">
        <f>(B161 - AR161) / AR161</f>
        <v>-0.14224137931034481</v>
      </c>
      <c r="AT161" s="35"/>
      <c r="AU161" s="39">
        <f>AX161+AW161+AV161</f>
        <v>8.8717171717171723</v>
      </c>
      <c r="AV161" s="39">
        <f>AD161+AD162+AD163</f>
        <v>4.5858585858585856</v>
      </c>
      <c r="AW161" s="39">
        <f>AJ161+AJ162+AJ163</f>
        <v>2.4515151515151512</v>
      </c>
      <c r="AX161" s="39">
        <f>AP161+AP162+AP163</f>
        <v>1.8343434343434342</v>
      </c>
      <c r="AY161" s="200">
        <f>AY153+N161-AZ153</f>
        <v>867.16499999999996</v>
      </c>
      <c r="AZ161" s="65">
        <v>0</v>
      </c>
      <c r="BA161" s="126">
        <f>AU161*B161</f>
        <v>798.4545454545455</v>
      </c>
      <c r="BB161" s="201">
        <f>(AZ161+BA161-AY161)/AY161</f>
        <v>-7.9235733159726776E-2</v>
      </c>
      <c r="BC161" s="65">
        <f>I161-AY161+AZ161</f>
        <v>332.83500000000004</v>
      </c>
    </row>
    <row r="162" spans="1:64" ht="12.75" x14ac:dyDescent="0.2">
      <c r="A162" s="47"/>
      <c r="B162" s="40"/>
      <c r="C162" s="55"/>
      <c r="D162" s="129"/>
      <c r="E162" s="125"/>
      <c r="F162" s="125"/>
      <c r="G162" s="125"/>
      <c r="H162" s="125"/>
      <c r="I162" s="209"/>
      <c r="J162" s="125"/>
      <c r="K162" s="134"/>
      <c r="L162" s="134"/>
      <c r="M162" s="40"/>
      <c r="N162" s="40"/>
      <c r="O162" s="129"/>
      <c r="P162" s="125"/>
      <c r="Q162" s="125"/>
      <c r="R162" s="35"/>
      <c r="S162" s="47" t="s">
        <v>213</v>
      </c>
      <c r="T162" s="47" t="s">
        <v>75</v>
      </c>
      <c r="U162" s="202" t="s">
        <v>210</v>
      </c>
      <c r="V162" s="126">
        <f>V151</f>
        <v>110</v>
      </c>
      <c r="W162" s="43">
        <f>W151</f>
        <v>2.7272727272727271</v>
      </c>
      <c r="X162" s="126">
        <f>X151</f>
        <v>300</v>
      </c>
      <c r="Y162" s="126">
        <f>Y151</f>
        <v>106.73267326732673</v>
      </c>
      <c r="Z162" s="153" t="s">
        <v>34</v>
      </c>
      <c r="AA162" s="153" t="s">
        <v>34</v>
      </c>
      <c r="AB162" s="41"/>
      <c r="AC162" s="126">
        <f>AC153</f>
        <v>110</v>
      </c>
      <c r="AD162" s="43">
        <f>AD153</f>
        <v>1.3636363636363635</v>
      </c>
      <c r="AE162" s="128">
        <f>AE153</f>
        <v>150</v>
      </c>
      <c r="AF162" s="128">
        <f>V162 * (1 + D161) / (1 - H161)</f>
        <v>114.9748743718593</v>
      </c>
      <c r="AG162" s="129">
        <f>(B161 - AF162) / AF162</f>
        <v>-0.21722027972027974</v>
      </c>
      <c r="AH162" s="43"/>
      <c r="AI162" s="126">
        <f>AI153</f>
        <v>110</v>
      </c>
      <c r="AJ162" s="43">
        <f>AJ153</f>
        <v>0.81818181818181812</v>
      </c>
      <c r="AK162" s="128">
        <f>AK153</f>
        <v>90</v>
      </c>
      <c r="AL162" s="128">
        <f>V162 * (1 + E161) / (1 - H161)</f>
        <v>119.39698492462313</v>
      </c>
      <c r="AM162" s="129">
        <f>(B161 - AL162) / AL162</f>
        <v>-0.24621212121212127</v>
      </c>
      <c r="AN162" s="35"/>
      <c r="AO162" s="126">
        <f>AO153</f>
        <v>110</v>
      </c>
      <c r="AP162" s="43">
        <f>AP153</f>
        <v>0.54545454545454541</v>
      </c>
      <c r="AQ162" s="128">
        <f>AQ153</f>
        <v>60</v>
      </c>
      <c r="AR162" s="128">
        <f>V162 * (1 + F161) / (1 - H161)</f>
        <v>128.24120603015075</v>
      </c>
      <c r="AS162" s="129">
        <f>(B161 - AR162) / AR162</f>
        <v>-0.29819749216300939</v>
      </c>
      <c r="AT162" s="35"/>
      <c r="AU162" s="35"/>
      <c r="AV162" s="35"/>
      <c r="AW162" s="35"/>
      <c r="AX162" s="35"/>
      <c r="AY162" s="35"/>
      <c r="AZ162" s="35"/>
      <c r="BA162" s="35"/>
      <c r="BB162" s="35"/>
      <c r="BC162" s="35"/>
    </row>
    <row r="163" spans="1:64" ht="12.75" x14ac:dyDescent="0.2">
      <c r="A163" s="181"/>
      <c r="B163" s="36"/>
      <c r="C163" s="208"/>
      <c r="D163" s="129"/>
      <c r="E163" s="125"/>
      <c r="F163" s="125"/>
      <c r="G163" s="125"/>
      <c r="H163" s="125"/>
      <c r="I163" s="209"/>
      <c r="J163" s="35"/>
      <c r="K163" s="35"/>
      <c r="L163" s="35"/>
      <c r="M163" s="209"/>
      <c r="N163" s="209"/>
      <c r="O163" s="129"/>
      <c r="P163" s="125"/>
      <c r="Q163" s="125"/>
      <c r="R163" s="35"/>
      <c r="S163" s="47" t="s">
        <v>212</v>
      </c>
      <c r="T163" s="47" t="s">
        <v>75</v>
      </c>
      <c r="U163" s="202" t="s">
        <v>78</v>
      </c>
      <c r="V163" s="126">
        <f>V152</f>
        <v>100</v>
      </c>
      <c r="W163" s="43">
        <f>W152</f>
        <v>2</v>
      </c>
      <c r="X163" s="126">
        <f>X152</f>
        <v>200</v>
      </c>
      <c r="Y163" s="126">
        <f>Y152</f>
        <v>97.029702970297024</v>
      </c>
      <c r="Z163" s="153" t="s">
        <v>34</v>
      </c>
      <c r="AA163" s="153" t="s">
        <v>34</v>
      </c>
      <c r="AB163" s="41"/>
      <c r="AC163" s="126">
        <f>AC154</f>
        <v>100</v>
      </c>
      <c r="AD163" s="43">
        <f>AD154</f>
        <v>1</v>
      </c>
      <c r="AE163" s="128">
        <f>AE154</f>
        <v>100</v>
      </c>
      <c r="AF163" s="128">
        <f>V163 * (1 + D161) / (1 - H161)</f>
        <v>104.52261306532664</v>
      </c>
      <c r="AG163" s="129">
        <f>(B161 - AF163) / AF163</f>
        <v>-0.13894230769230773</v>
      </c>
      <c r="AH163" s="43"/>
      <c r="AI163" s="126">
        <f>AI154</f>
        <v>100</v>
      </c>
      <c r="AJ163" s="43">
        <f>AJ154</f>
        <v>0.3</v>
      </c>
      <c r="AK163" s="128">
        <f>AK154</f>
        <v>30</v>
      </c>
      <c r="AL163" s="128">
        <f>V163 * (1 + E161) / (1 - H161)</f>
        <v>108.5427135678392</v>
      </c>
      <c r="AM163" s="129">
        <f>(B161 - AL163) / AL163</f>
        <v>-0.17083333333333336</v>
      </c>
      <c r="AN163" s="35"/>
      <c r="AO163" s="126">
        <f>AO154</f>
        <v>100</v>
      </c>
      <c r="AP163" s="43">
        <f>AP154</f>
        <v>0.4</v>
      </c>
      <c r="AQ163" s="128">
        <f>AQ154</f>
        <v>40</v>
      </c>
      <c r="AR163" s="128">
        <f>V163 * (1 + F161) / (1 - H161)</f>
        <v>116.58291457286431</v>
      </c>
      <c r="AS163" s="129">
        <f>(B161 - AR163) / AR163</f>
        <v>-0.22801724137931029</v>
      </c>
      <c r="AT163" s="35"/>
      <c r="AU163" s="35"/>
      <c r="AV163" s="35"/>
      <c r="AW163" s="35"/>
      <c r="AX163" s="35"/>
      <c r="AY163" s="35"/>
      <c r="AZ163" s="35"/>
      <c r="BA163" s="35"/>
      <c r="BB163" s="35"/>
      <c r="BC163" s="35"/>
    </row>
    <row r="164" spans="1:64" ht="12.75" x14ac:dyDescent="0.2">
      <c r="A164" s="110" t="s">
        <v>218</v>
      </c>
      <c r="B164" s="52">
        <v>90</v>
      </c>
      <c r="C164" s="54">
        <v>0.02</v>
      </c>
      <c r="D164" s="124">
        <v>0.04</v>
      </c>
      <c r="E164" s="95">
        <v>0.08</v>
      </c>
      <c r="F164" s="95">
        <v>0.16</v>
      </c>
      <c r="G164" s="95">
        <v>0.01</v>
      </c>
      <c r="H164" s="95">
        <v>5.0000000000000001E-3</v>
      </c>
      <c r="I164" s="93">
        <v>1200</v>
      </c>
      <c r="J164" s="95"/>
      <c r="K164" s="133" t="s">
        <v>73</v>
      </c>
      <c r="L164" s="133" t="s">
        <v>210</v>
      </c>
      <c r="M164" s="52">
        <v>90</v>
      </c>
      <c r="N164" s="152" t="s">
        <v>34</v>
      </c>
      <c r="O164" s="124">
        <v>1</v>
      </c>
      <c r="P164" s="152" t="s">
        <v>34</v>
      </c>
      <c r="Q164" s="152" t="s">
        <v>34</v>
      </c>
      <c r="S164" s="45" t="s">
        <v>218</v>
      </c>
      <c r="T164" s="45" t="s">
        <v>73</v>
      </c>
      <c r="U164" s="131" t="s">
        <v>210</v>
      </c>
      <c r="V164" s="122">
        <f>M164</f>
        <v>90</v>
      </c>
      <c r="W164" s="30">
        <f>AD162*O164</f>
        <v>1.3636363636363635</v>
      </c>
      <c r="X164" s="122">
        <f>V164*W164-(V164*W164*H164)</f>
        <v>122.11363636363636</v>
      </c>
      <c r="Y164" s="152" t="s">
        <v>34</v>
      </c>
      <c r="Z164" s="152">
        <f>X164-(AC162*W164)</f>
        <v>-27.88636363636364</v>
      </c>
      <c r="AA164" s="159">
        <f>Z164/(AC162*W164)</f>
        <v>-0.18590909090909094</v>
      </c>
      <c r="AB164" s="12"/>
      <c r="AC164" s="235">
        <f>AC161</f>
        <v>90</v>
      </c>
      <c r="AD164" s="236">
        <f>AD161</f>
        <v>2.2222222222222223</v>
      </c>
      <c r="AE164" s="156">
        <f>AE161</f>
        <v>200</v>
      </c>
      <c r="AF164" s="156">
        <f>V164 * (1 + D164) / (1 - H164)</f>
        <v>94.070351758793976</v>
      </c>
      <c r="AG164" s="231">
        <f>(B164 - AF164) / AF164</f>
        <v>-4.3269230769230831E-2</v>
      </c>
      <c r="AH164" s="236"/>
      <c r="AI164" s="235">
        <f>AI161</f>
        <v>90</v>
      </c>
      <c r="AJ164" s="236">
        <f>AJ161</f>
        <v>1.3333333333333333</v>
      </c>
      <c r="AK164" s="156">
        <f>AK161</f>
        <v>120</v>
      </c>
      <c r="AL164" s="156">
        <f>V164 * (1 + E164) / (1 - H164)</f>
        <v>97.688442211055275</v>
      </c>
      <c r="AM164" s="231">
        <f>(B164 - AL164) / AL164</f>
        <v>-7.8703703703703692E-2</v>
      </c>
      <c r="AN164" s="237"/>
      <c r="AO164" s="235">
        <f>V164</f>
        <v>90</v>
      </c>
      <c r="AP164" s="236">
        <f>AP161</f>
        <v>0.88888888888888895</v>
      </c>
      <c r="AQ164" s="156">
        <f>AQ161</f>
        <v>80</v>
      </c>
      <c r="AR164" s="156">
        <f>V164 * (1 + F164) / (1 - H164)</f>
        <v>104.92462311557789</v>
      </c>
      <c r="AS164" s="231">
        <f>(B164 - AR164) / AR164</f>
        <v>-0.14224137931034481</v>
      </c>
      <c r="AT164" s="237"/>
      <c r="AU164" s="238">
        <f>AX164+AW164+AV164</f>
        <v>7.5080808080808081</v>
      </c>
      <c r="AV164" s="238">
        <f>AD164+AD165+AD166</f>
        <v>3.2222222222222223</v>
      </c>
      <c r="AW164" s="238">
        <f>AJ164+AJ165+AJ166</f>
        <v>2.4515151515151512</v>
      </c>
      <c r="AX164" s="238">
        <f>AP164+AP165+AP166</f>
        <v>1.8343434343434342</v>
      </c>
      <c r="AY164" s="239">
        <f>AY161</f>
        <v>867.16499999999996</v>
      </c>
      <c r="AZ164" s="233">
        <f>X164</f>
        <v>122.11363636363636</v>
      </c>
      <c r="BA164" s="235">
        <f>AU164*B164</f>
        <v>675.72727272727275</v>
      </c>
      <c r="BB164" s="205">
        <f>(AZ164+BA164-AY164)/AY164</f>
        <v>-7.9943368227604714E-2</v>
      </c>
      <c r="BC164" s="233">
        <f>I164-AY164+AZ164</f>
        <v>454.94863636363641</v>
      </c>
    </row>
    <row r="165" spans="1:64" ht="12.75" x14ac:dyDescent="0.2">
      <c r="AB165" s="12"/>
      <c r="AC165" s="235"/>
      <c r="AD165" s="236"/>
      <c r="AE165" s="156"/>
      <c r="AF165" s="156"/>
      <c r="AG165" s="231"/>
      <c r="AH165" s="236"/>
      <c r="AI165" s="235">
        <f>AI162</f>
        <v>110</v>
      </c>
      <c r="AJ165" s="236">
        <f>AJ162</f>
        <v>0.81818181818181812</v>
      </c>
      <c r="AK165" s="156">
        <f>AK162</f>
        <v>90</v>
      </c>
      <c r="AL165" s="156">
        <f>AL162</f>
        <v>119.39698492462313</v>
      </c>
      <c r="AM165" s="231">
        <f>AM162</f>
        <v>-0.24621212121212127</v>
      </c>
      <c r="AN165" s="237"/>
      <c r="AO165" s="235">
        <f>AO162</f>
        <v>110</v>
      </c>
      <c r="AP165" s="236">
        <f>AP162</f>
        <v>0.54545454545454541</v>
      </c>
      <c r="AQ165" s="156">
        <f>AQ162</f>
        <v>60</v>
      </c>
      <c r="AR165" s="156">
        <f>AR162</f>
        <v>128.24120603015075</v>
      </c>
      <c r="AS165" s="231">
        <f>(B164 - AR165) / AR165</f>
        <v>-0.29819749216300939</v>
      </c>
      <c r="AT165" s="237"/>
      <c r="AU165" s="237"/>
      <c r="AV165" s="237"/>
      <c r="AW165" s="237"/>
      <c r="AX165" s="237"/>
      <c r="AY165" s="237"/>
      <c r="AZ165" s="237"/>
      <c r="BA165" s="237"/>
      <c r="BB165" s="237"/>
      <c r="BC165" s="237"/>
    </row>
    <row r="166" spans="1:64" ht="12.75" x14ac:dyDescent="0.2">
      <c r="A166" s="150"/>
      <c r="B166" s="33"/>
      <c r="C166" s="67"/>
      <c r="D166" s="124"/>
      <c r="E166" s="95"/>
      <c r="F166" s="95"/>
      <c r="G166" s="95"/>
      <c r="H166" s="95"/>
      <c r="I166" s="93"/>
      <c r="M166" s="206"/>
      <c r="N166" s="206"/>
      <c r="O166" s="124"/>
      <c r="P166" s="95"/>
      <c r="Q166" s="95"/>
      <c r="AB166" s="12"/>
      <c r="AC166" s="235">
        <f>AC163</f>
        <v>100</v>
      </c>
      <c r="AD166" s="236">
        <f>AD163</f>
        <v>1</v>
      </c>
      <c r="AE166" s="156">
        <f>AE163</f>
        <v>100</v>
      </c>
      <c r="AF166" s="156">
        <f>AF163</f>
        <v>104.52261306532664</v>
      </c>
      <c r="AG166" s="231">
        <f>(B164 - AF166) / AF166</f>
        <v>-0.13894230769230773</v>
      </c>
      <c r="AH166" s="236"/>
      <c r="AI166" s="235">
        <f>AI163</f>
        <v>100</v>
      </c>
      <c r="AJ166" s="236">
        <f>AJ163</f>
        <v>0.3</v>
      </c>
      <c r="AK166" s="156">
        <f>AK163</f>
        <v>30</v>
      </c>
      <c r="AL166" s="156">
        <f>AL163</f>
        <v>108.5427135678392</v>
      </c>
      <c r="AM166" s="231">
        <f>(B164 - AL166) / AL166</f>
        <v>-0.17083333333333336</v>
      </c>
      <c r="AN166" s="237"/>
      <c r="AO166" s="235">
        <f>AO163</f>
        <v>100</v>
      </c>
      <c r="AP166" s="236">
        <f>AP163</f>
        <v>0.4</v>
      </c>
      <c r="AQ166" s="156">
        <f>AQ163</f>
        <v>40</v>
      </c>
      <c r="AR166" s="156">
        <f>AR163</f>
        <v>116.58291457286431</v>
      </c>
      <c r="AS166" s="231">
        <f>(B164 - AR166) / AR166</f>
        <v>-0.22801724137931029</v>
      </c>
      <c r="AT166" s="237"/>
      <c r="AU166" s="237"/>
      <c r="AV166" s="237"/>
      <c r="AW166" s="237"/>
      <c r="AX166" s="237"/>
      <c r="AY166" s="237"/>
      <c r="AZ166" s="237"/>
      <c r="BA166" s="237"/>
      <c r="BB166" s="237"/>
      <c r="BC166" s="237"/>
    </row>
    <row r="167" spans="1:64" ht="12.75" x14ac:dyDescent="0.2">
      <c r="A167" s="150"/>
      <c r="B167" s="33"/>
      <c r="C167" s="67"/>
      <c r="D167" s="124"/>
      <c r="E167" s="95"/>
      <c r="F167" s="95"/>
      <c r="G167" s="95"/>
      <c r="H167" s="95"/>
      <c r="I167" s="95"/>
      <c r="M167" s="206"/>
      <c r="N167" s="206"/>
      <c r="O167" s="124"/>
      <c r="P167" s="95"/>
      <c r="Q167" s="95"/>
      <c r="S167" s="45"/>
      <c r="T167" s="45"/>
      <c r="U167" s="131"/>
      <c r="V167" s="122"/>
      <c r="W167" s="30"/>
      <c r="X167" s="122"/>
      <c r="Y167" s="122"/>
      <c r="Z167" s="152"/>
      <c r="AA167" s="152"/>
      <c r="AB167" s="12"/>
      <c r="AC167" s="139"/>
      <c r="AD167" s="139"/>
      <c r="AE167" s="139"/>
      <c r="AF167" s="139"/>
      <c r="AG167" s="140"/>
      <c r="AH167" s="140"/>
      <c r="AI167" s="139"/>
      <c r="AJ167" s="139"/>
      <c r="AK167" s="139"/>
      <c r="AL167" s="139"/>
      <c r="AM167" s="140"/>
      <c r="AO167" s="139"/>
      <c r="AP167" s="139"/>
      <c r="AQ167" s="139"/>
      <c r="AR167" s="139"/>
      <c r="AS167" s="140"/>
    </row>
    <row r="168" spans="1:64" ht="12.75" x14ac:dyDescent="0.2">
      <c r="A168" s="150"/>
      <c r="B168" s="33"/>
      <c r="C168" s="67"/>
      <c r="D168" s="124"/>
      <c r="E168" s="95"/>
      <c r="F168" s="95"/>
      <c r="G168" s="95"/>
      <c r="H168" s="95"/>
      <c r="I168" s="95"/>
      <c r="M168" s="206"/>
      <c r="N168" s="206"/>
      <c r="O168" s="124"/>
      <c r="P168" s="95"/>
      <c r="Q168" s="95"/>
      <c r="S168" s="45"/>
      <c r="T168" s="45"/>
      <c r="U168" s="131"/>
      <c r="V168" s="122"/>
      <c r="W168" s="30"/>
      <c r="X168" s="122"/>
      <c r="Y168" s="122"/>
      <c r="Z168" s="152"/>
      <c r="AA168" s="152"/>
      <c r="AB168" s="12"/>
      <c r="AC168" s="139"/>
      <c r="AD168" s="139"/>
      <c r="AE168" s="139"/>
      <c r="AF168" s="139"/>
      <c r="AG168" s="140"/>
      <c r="AH168" s="140"/>
      <c r="AI168" s="139"/>
      <c r="AJ168" s="139"/>
      <c r="AK168" s="139"/>
      <c r="AL168" s="139"/>
      <c r="AM168" s="140"/>
      <c r="AO168" s="139"/>
      <c r="AP168" s="139"/>
      <c r="AQ168" s="139"/>
      <c r="AR168" s="139"/>
      <c r="AS168" s="140"/>
    </row>
    <row r="169" spans="1:64" ht="409.5" x14ac:dyDescent="0.2">
      <c r="A169" s="150" t="s">
        <v>295</v>
      </c>
      <c r="B169" s="33"/>
      <c r="C169" s="67"/>
      <c r="D169" s="124"/>
      <c r="E169" s="95"/>
      <c r="F169" s="95"/>
      <c r="G169" s="95"/>
      <c r="H169" s="95"/>
      <c r="I169" s="95"/>
      <c r="M169" s="206"/>
      <c r="N169" s="206"/>
      <c r="O169" s="124"/>
      <c r="P169" s="95"/>
      <c r="Q169" s="95"/>
      <c r="S169" s="45"/>
      <c r="T169" s="45"/>
      <c r="U169" s="131"/>
      <c r="V169" s="122"/>
      <c r="W169" s="30"/>
      <c r="X169" s="122"/>
      <c r="Y169" s="122"/>
      <c r="Z169" s="152"/>
      <c r="AA169" s="152"/>
      <c r="AB169" s="12"/>
      <c r="AC169" s="139"/>
      <c r="AD169" s="139"/>
      <c r="AE169" s="139"/>
      <c r="AF169" s="139"/>
      <c r="AG169" s="140"/>
      <c r="AH169" s="140"/>
      <c r="AI169" s="139"/>
      <c r="AJ169" s="139"/>
      <c r="AK169" s="139"/>
      <c r="AL169" s="139"/>
      <c r="AM169" s="140"/>
      <c r="AO169" s="139"/>
      <c r="AP169" s="139"/>
      <c r="AQ169" s="139"/>
      <c r="AR169" s="139"/>
      <c r="AS169" s="140"/>
    </row>
    <row r="170" spans="1:64" ht="12.75" x14ac:dyDescent="0.2">
      <c r="A170" s="212" t="s">
        <v>291</v>
      </c>
      <c r="B170" s="33"/>
      <c r="C170" s="67"/>
      <c r="D170" s="124"/>
      <c r="E170" s="95"/>
      <c r="F170" s="95"/>
      <c r="G170" s="95"/>
      <c r="H170" s="95"/>
      <c r="I170" s="95"/>
      <c r="M170" s="206"/>
      <c r="N170" s="206"/>
      <c r="O170" s="124"/>
      <c r="P170" s="95"/>
      <c r="Q170" s="95"/>
      <c r="S170" s="45"/>
      <c r="T170" s="45"/>
      <c r="U170" s="131"/>
      <c r="V170" s="122"/>
      <c r="W170" s="30"/>
      <c r="X170" s="122"/>
      <c r="Y170" s="122"/>
      <c r="Z170" s="152"/>
      <c r="AA170" s="152"/>
      <c r="AB170" s="12"/>
      <c r="AC170" s="139"/>
      <c r="AD170" s="139"/>
      <c r="AE170" s="139"/>
      <c r="AF170" s="139"/>
      <c r="AG170" s="140"/>
      <c r="AH170" s="140"/>
      <c r="AI170" s="139"/>
      <c r="AJ170" s="139"/>
      <c r="AK170" s="139"/>
      <c r="AL170" s="139"/>
      <c r="AM170" s="140"/>
      <c r="AO170" s="139"/>
      <c r="AP170" s="139"/>
      <c r="AQ170" s="139"/>
      <c r="AR170" s="139"/>
      <c r="AS170" s="140"/>
    </row>
    <row r="171" spans="1:64" ht="38.25" x14ac:dyDescent="0.2">
      <c r="A171" s="150" t="s">
        <v>293</v>
      </c>
      <c r="B171" s="33"/>
      <c r="C171" s="67"/>
      <c r="D171" s="124"/>
      <c r="E171" s="95"/>
      <c r="F171" s="95"/>
      <c r="G171" s="95"/>
      <c r="H171" s="95"/>
      <c r="I171" s="95"/>
      <c r="M171" s="93"/>
      <c r="N171" s="93"/>
      <c r="O171" s="124"/>
      <c r="P171" s="95"/>
      <c r="Q171" s="95"/>
      <c r="S171" s="12"/>
      <c r="T171" s="12"/>
      <c r="U171" s="12"/>
      <c r="V171" s="137"/>
      <c r="W171" s="138"/>
      <c r="X171" s="137"/>
      <c r="Y171" s="137"/>
      <c r="Z171" s="12"/>
      <c r="AA171" s="12"/>
      <c r="AB171" s="12"/>
      <c r="AC171" s="139"/>
      <c r="AD171" s="139"/>
      <c r="AE171" s="139"/>
      <c r="AF171" s="139"/>
      <c r="AG171" s="140"/>
      <c r="AH171" s="140"/>
      <c r="AI171" s="139"/>
      <c r="AJ171" s="139"/>
      <c r="AK171" s="139"/>
      <c r="AL171" s="139"/>
      <c r="AM171" s="140"/>
      <c r="AO171" s="139"/>
      <c r="AP171" s="139"/>
      <c r="AQ171" s="139"/>
      <c r="AR171" s="139"/>
      <c r="AS171" s="140"/>
    </row>
    <row r="172" spans="1:64" ht="12.75" x14ac:dyDescent="0.2">
      <c r="A172" s="45"/>
      <c r="S172" s="12"/>
      <c r="T172" s="12"/>
      <c r="U172" s="12"/>
      <c r="V172" s="12"/>
      <c r="W172" s="12"/>
      <c r="X172" s="12"/>
      <c r="Y172" s="12"/>
      <c r="Z172" s="12"/>
      <c r="AA172" s="12"/>
      <c r="AB172" s="12"/>
      <c r="AC172" s="13"/>
      <c r="AD172" s="13"/>
      <c r="AE172" s="13"/>
      <c r="AF172" s="13"/>
      <c r="AG172" s="30"/>
      <c r="AH172" s="30"/>
      <c r="AI172" s="13"/>
      <c r="AJ172" s="13"/>
      <c r="AK172" s="13"/>
      <c r="AL172" s="13"/>
      <c r="AM172" s="30"/>
      <c r="AO172" s="13"/>
      <c r="AP172" s="13"/>
      <c r="AQ172" s="13"/>
      <c r="AR172" s="13"/>
      <c r="AS172" s="30"/>
    </row>
    <row r="173" spans="1:64" ht="12.75" x14ac:dyDescent="0.2">
      <c r="A173" s="45" t="s">
        <v>292</v>
      </c>
      <c r="S173" s="12"/>
      <c r="T173" s="12"/>
      <c r="U173" s="12"/>
      <c r="V173" s="12"/>
      <c r="W173" s="12"/>
      <c r="X173" s="12"/>
      <c r="Y173" s="12"/>
      <c r="Z173" s="12"/>
      <c r="AA173" s="12"/>
      <c r="AB173" s="12"/>
      <c r="AC173" s="13"/>
      <c r="AD173" s="13"/>
      <c r="AE173" s="13"/>
      <c r="AF173" s="13"/>
      <c r="AG173" s="30"/>
      <c r="AH173" s="30"/>
      <c r="AI173" s="13"/>
      <c r="AJ173" s="13"/>
      <c r="AK173" s="13"/>
      <c r="AL173" s="13"/>
      <c r="AM173" s="30"/>
      <c r="AO173" s="13"/>
      <c r="AP173" s="13"/>
      <c r="AQ173" s="13"/>
      <c r="AR173" s="13"/>
      <c r="AS173" s="30"/>
    </row>
    <row r="174" spans="1:64" ht="15.75" customHeight="1" x14ac:dyDescent="0.2">
      <c r="A174" s="45"/>
    </row>
    <row r="175" spans="1:64" ht="15.75" customHeight="1" x14ac:dyDescent="0.2">
      <c r="B175" s="177" t="s">
        <v>31</v>
      </c>
      <c r="C175" s="34"/>
      <c r="AC175" s="56" t="s">
        <v>27</v>
      </c>
      <c r="AD175" s="12"/>
      <c r="AE175" s="12"/>
      <c r="AF175" s="12"/>
      <c r="AG175" s="12"/>
      <c r="AH175" s="12"/>
      <c r="AI175" s="56" t="s">
        <v>28</v>
      </c>
      <c r="AJ175" s="12"/>
      <c r="AK175" s="12"/>
      <c r="AL175" s="12"/>
      <c r="AM175" s="12"/>
      <c r="AS175" s="34" t="s">
        <v>52</v>
      </c>
      <c r="AY175" s="34" t="s">
        <v>53</v>
      </c>
      <c r="BF175" s="34" t="s">
        <v>65</v>
      </c>
    </row>
    <row r="176" spans="1:64" ht="15.75" customHeight="1" x14ac:dyDescent="0.2">
      <c r="B176" s="28" t="s">
        <v>61</v>
      </c>
      <c r="C176" s="28"/>
      <c r="D176" s="28" t="s">
        <v>29</v>
      </c>
      <c r="E176" s="57" t="s">
        <v>63</v>
      </c>
      <c r="F176" s="57" t="s">
        <v>72</v>
      </c>
      <c r="G176" s="57"/>
      <c r="H176" s="57"/>
      <c r="I176" s="57"/>
      <c r="J176" s="101"/>
      <c r="K176" s="101"/>
      <c r="L176" s="101"/>
      <c r="M176" s="101"/>
      <c r="N176" s="101"/>
      <c r="O176" s="101"/>
      <c r="P176" s="101"/>
      <c r="Q176" s="101"/>
      <c r="S176" s="28" t="s">
        <v>3</v>
      </c>
      <c r="T176" s="28"/>
      <c r="U176" s="57" t="s">
        <v>50</v>
      </c>
      <c r="V176" s="57" t="s">
        <v>70</v>
      </c>
      <c r="W176" s="28" t="s">
        <v>1</v>
      </c>
      <c r="X176" s="57" t="s">
        <v>62</v>
      </c>
      <c r="Y176" s="57" t="s">
        <v>9</v>
      </c>
      <c r="Z176" s="57"/>
      <c r="AC176" s="28" t="s">
        <v>30</v>
      </c>
      <c r="AD176" s="28" t="s">
        <v>1</v>
      </c>
      <c r="AE176" s="57" t="s">
        <v>10</v>
      </c>
      <c r="AF176" s="57"/>
      <c r="AG176" s="57" t="s">
        <v>64</v>
      </c>
      <c r="AH176" s="60"/>
      <c r="AI176" s="28" t="s">
        <v>30</v>
      </c>
      <c r="AJ176" s="28" t="s">
        <v>1</v>
      </c>
      <c r="AK176" s="57" t="s">
        <v>10</v>
      </c>
      <c r="AL176" s="57"/>
      <c r="AM176" s="57" t="s">
        <v>64</v>
      </c>
      <c r="AN176" s="28" t="s">
        <v>58</v>
      </c>
      <c r="AO176" s="28"/>
      <c r="AP176" s="28" t="s">
        <v>59</v>
      </c>
      <c r="AQ176" s="28" t="s">
        <v>60</v>
      </c>
      <c r="AS176" s="61" t="s">
        <v>54</v>
      </c>
      <c r="AT176" s="61" t="s">
        <v>57</v>
      </c>
      <c r="AU176" s="61" t="s">
        <v>55</v>
      </c>
      <c r="AV176" s="61" t="s">
        <v>57</v>
      </c>
      <c r="AW176" s="61" t="s">
        <v>56</v>
      </c>
      <c r="AX176" s="61" t="s">
        <v>57</v>
      </c>
      <c r="AY176" s="28" t="s">
        <v>54</v>
      </c>
      <c r="AZ176" s="28" t="s">
        <v>57</v>
      </c>
      <c r="BA176" s="28" t="s">
        <v>55</v>
      </c>
      <c r="BB176" s="28" t="s">
        <v>57</v>
      </c>
      <c r="BC176" s="28" t="s">
        <v>56</v>
      </c>
      <c r="BD176" s="28" t="s">
        <v>57</v>
      </c>
      <c r="BE176" s="60"/>
      <c r="BF176" s="61" t="s">
        <v>54</v>
      </c>
      <c r="BG176" s="61" t="s">
        <v>57</v>
      </c>
      <c r="BH176" s="61" t="s">
        <v>55</v>
      </c>
      <c r="BI176" s="61" t="s">
        <v>57</v>
      </c>
      <c r="BJ176" s="61" t="s">
        <v>66</v>
      </c>
      <c r="BK176" s="61" t="s">
        <v>56</v>
      </c>
      <c r="BL176" s="61" t="s">
        <v>57</v>
      </c>
    </row>
    <row r="177" spans="2:64" ht="15.75" customHeight="1" x14ac:dyDescent="0.2">
      <c r="B177" s="33">
        <v>100</v>
      </c>
      <c r="C177" s="33"/>
      <c r="D177" s="29">
        <v>0.7</v>
      </c>
      <c r="E177" s="50">
        <v>5</v>
      </c>
      <c r="F177">
        <v>10</v>
      </c>
      <c r="S177" s="12" t="s">
        <v>32</v>
      </c>
      <c r="T177" s="12"/>
      <c r="U177" s="13"/>
      <c r="V177" s="13"/>
      <c r="W177" s="13">
        <v>200</v>
      </c>
      <c r="X177" s="58" t="e">
        <f>W177/#REF!</f>
        <v>#REF!</v>
      </c>
      <c r="Y177" s="58"/>
      <c r="Z177" s="58"/>
      <c r="AC177" s="31" t="e">
        <f>#REF!</f>
        <v>#REF!</v>
      </c>
      <c r="AD177" s="31">
        <f>W177*D177</f>
        <v>140</v>
      </c>
      <c r="AE177" s="63" t="e">
        <f>(#REF!+(#REF!*(F177/100)))/(1-#REF!/100)</f>
        <v>#REF!</v>
      </c>
      <c r="AF177" s="63"/>
      <c r="AG177" s="32" t="e">
        <f>AD177/AC177</f>
        <v>#REF!</v>
      </c>
      <c r="AH177" s="32"/>
      <c r="AI177" s="31" t="e">
        <f>#REF!</f>
        <v>#REF!</v>
      </c>
      <c r="AJ177" s="31">
        <f>W177*(1-D177)</f>
        <v>60.000000000000007</v>
      </c>
      <c r="AK177" s="63" t="e">
        <f>(#REF!+(#REF!*(F177/100)))/(1-#REF!/100)</f>
        <v>#REF!</v>
      </c>
      <c r="AL177" s="63"/>
      <c r="AM177" s="32" t="e">
        <f>AJ177/AI177</f>
        <v>#REF!</v>
      </c>
      <c r="AN177" s="32" t="e">
        <f>AG177</f>
        <v>#REF!</v>
      </c>
      <c r="AO177" s="32"/>
      <c r="AP177" s="32" t="e">
        <f>AM177</f>
        <v>#REF!</v>
      </c>
      <c r="AQ177" s="32" t="e">
        <f>AN177+AP177</f>
        <v>#REF!</v>
      </c>
      <c r="AS177" s="52">
        <v>0</v>
      </c>
      <c r="AT177" s="50">
        <v>0</v>
      </c>
      <c r="AU177" s="52">
        <v>0</v>
      </c>
      <c r="AV177" s="50">
        <v>0</v>
      </c>
      <c r="AW177" s="52">
        <v>0</v>
      </c>
      <c r="AX177" s="54">
        <v>0</v>
      </c>
      <c r="AY177" s="52">
        <v>0</v>
      </c>
      <c r="AZ177" s="50">
        <v>0</v>
      </c>
      <c r="BA177" s="52">
        <v>0</v>
      </c>
      <c r="BB177" s="50">
        <v>0</v>
      </c>
      <c r="BC177" s="52">
        <v>0</v>
      </c>
      <c r="BD177" s="50">
        <v>0</v>
      </c>
      <c r="BE177" s="50"/>
      <c r="BF177" s="52">
        <v>0</v>
      </c>
      <c r="BG177" s="50">
        <v>0</v>
      </c>
      <c r="BH177" s="52">
        <v>0</v>
      </c>
      <c r="BI177" s="50">
        <v>0</v>
      </c>
      <c r="BJ177" s="52">
        <v>0</v>
      </c>
      <c r="BK177" s="52">
        <v>0</v>
      </c>
      <c r="BL177" s="50">
        <v>0</v>
      </c>
    </row>
    <row r="178" spans="2:64" ht="15.75" customHeight="1" x14ac:dyDescent="0.2">
      <c r="B178" s="36">
        <v>100</v>
      </c>
      <c r="C178" s="36"/>
      <c r="D178" s="37">
        <v>0.7</v>
      </c>
      <c r="E178" s="51">
        <v>5</v>
      </c>
      <c r="F178" s="35">
        <v>10</v>
      </c>
      <c r="G178" s="35"/>
      <c r="H178" s="35"/>
      <c r="I178" s="35"/>
      <c r="S178" s="41" t="s">
        <v>51</v>
      </c>
      <c r="T178" s="41"/>
      <c r="U178" s="42">
        <v>20</v>
      </c>
      <c r="V178" s="42"/>
      <c r="W178" s="42"/>
      <c r="X178" s="59"/>
      <c r="Y178" s="59"/>
      <c r="Z178" s="59"/>
      <c r="AC178" s="38"/>
      <c r="AD178" s="38"/>
      <c r="AE178" s="65"/>
      <c r="AF178" s="65"/>
      <c r="AG178" s="39"/>
      <c r="AH178" s="32"/>
      <c r="AI178" s="38"/>
      <c r="AJ178" s="38"/>
      <c r="AK178" s="38"/>
      <c r="AL178" s="38"/>
      <c r="AM178" s="39"/>
      <c r="AN178" s="39" t="e">
        <f t="shared" ref="AN178:AQ178" si="15">AN177</f>
        <v>#REF!</v>
      </c>
      <c r="AO178" s="39"/>
      <c r="AP178" s="39" t="e">
        <f t="shared" si="15"/>
        <v>#REF!</v>
      </c>
      <c r="AQ178" s="39" t="e">
        <f t="shared" si="15"/>
        <v>#REF!</v>
      </c>
      <c r="AS178" s="40">
        <f>AS177</f>
        <v>0</v>
      </c>
      <c r="AT178" s="51">
        <f t="shared" ref="AT178:AV178" si="16">AT177</f>
        <v>0</v>
      </c>
      <c r="AU178" s="40">
        <f t="shared" si="16"/>
        <v>0</v>
      </c>
      <c r="AV178" s="51">
        <f t="shared" si="16"/>
        <v>0</v>
      </c>
      <c r="AW178" s="40">
        <f>AW177</f>
        <v>0</v>
      </c>
      <c r="AX178" s="55">
        <f>AW178/W177</f>
        <v>0</v>
      </c>
      <c r="AY178" s="40">
        <f>AY177</f>
        <v>0</v>
      </c>
      <c r="AZ178" s="51">
        <f t="shared" ref="AZ178" si="17">AZ177</f>
        <v>0</v>
      </c>
      <c r="BA178" s="40">
        <f t="shared" ref="BA178" si="18">BA177</f>
        <v>0</v>
      </c>
      <c r="BB178" s="51">
        <f t="shared" ref="BB178" si="19">BB177</f>
        <v>0</v>
      </c>
      <c r="BC178" s="40">
        <f>BC177</f>
        <v>0</v>
      </c>
      <c r="BD178" s="51">
        <f t="shared" ref="BD178" si="20">BD177</f>
        <v>0</v>
      </c>
      <c r="BE178" s="50"/>
      <c r="BF178" s="40">
        <f>AS178+AY178</f>
        <v>0</v>
      </c>
      <c r="BG178" s="51">
        <f t="shared" ref="BG178" si="21">BG177</f>
        <v>0</v>
      </c>
      <c r="BH178" s="40">
        <f t="shared" ref="BH178" si="22">BH177</f>
        <v>0</v>
      </c>
      <c r="BI178" s="51">
        <f t="shared" ref="BI178" si="23">BI177</f>
        <v>0</v>
      </c>
      <c r="BJ178" s="65">
        <f>U178</f>
        <v>20</v>
      </c>
      <c r="BK178" s="65">
        <f>BF178+BH178+BJ178</f>
        <v>20</v>
      </c>
      <c r="BL178" s="55">
        <f>BK178/(AD177+AJ177)</f>
        <v>0.1</v>
      </c>
    </row>
    <row r="179" spans="2:64" ht="15.75" customHeight="1" x14ac:dyDescent="0.2">
      <c r="B179" s="33">
        <v>300</v>
      </c>
      <c r="C179" s="33"/>
      <c r="D179" s="29">
        <v>0.7</v>
      </c>
      <c r="E179" s="50">
        <v>5</v>
      </c>
      <c r="F179">
        <v>10</v>
      </c>
      <c r="S179" t="s">
        <v>33</v>
      </c>
      <c r="U179" s="33"/>
      <c r="V179" s="33"/>
      <c r="W179" s="33">
        <v>400</v>
      </c>
      <c r="X179" s="50" t="e">
        <f>W179/#REF!</f>
        <v>#REF!</v>
      </c>
      <c r="Y179" s="50"/>
      <c r="Z179" s="50"/>
      <c r="AC179" s="31" t="e">
        <f>AC177</f>
        <v>#REF!</v>
      </c>
      <c r="AD179" s="31">
        <v>140</v>
      </c>
      <c r="AE179" s="63" t="e">
        <f>(#REF!+(#REF!*(F177/100)))/(1-#REF!/100)</f>
        <v>#REF!</v>
      </c>
      <c r="AF179" s="63"/>
      <c r="AG179" s="32">
        <v>1.4</v>
      </c>
      <c r="AH179" s="32"/>
      <c r="AI179" s="31">
        <v>100</v>
      </c>
      <c r="AJ179" s="31">
        <v>60.000000000000007</v>
      </c>
      <c r="AK179" s="63" t="e">
        <f>(#REF!+(#REF!*(F177/100)))/(1-#REF!/100)</f>
        <v>#REF!</v>
      </c>
      <c r="AL179" s="63"/>
      <c r="AM179" s="32">
        <v>0.60000000000000009</v>
      </c>
      <c r="AN179" s="32" t="e">
        <f>AN178+AG180</f>
        <v>#REF!</v>
      </c>
      <c r="AO179" s="32"/>
      <c r="AP179" s="32" t="e">
        <f>AP178</f>
        <v>#REF!</v>
      </c>
      <c r="AQ179" s="32" t="e">
        <f>AN179+AP179</f>
        <v>#REF!</v>
      </c>
      <c r="AS179" s="52">
        <f>AS178</f>
        <v>0</v>
      </c>
      <c r="AT179" s="50">
        <f>AT178</f>
        <v>0</v>
      </c>
      <c r="AU179" s="52">
        <f>AU178</f>
        <v>0</v>
      </c>
      <c r="AV179" s="50">
        <f>AV178</f>
        <v>0</v>
      </c>
      <c r="AW179" s="52">
        <f>AW178</f>
        <v>0</v>
      </c>
      <c r="AX179" s="64">
        <f>AW179 / (W177+W179)</f>
        <v>0</v>
      </c>
      <c r="AY179" s="52" t="e">
        <f>(B179*AN179)-(AD179+AD180)</f>
        <v>#REF!</v>
      </c>
      <c r="AZ179" s="54" t="e">
        <f>AY179/(AD179+AD180)</f>
        <v>#REF!</v>
      </c>
      <c r="BA179" s="52" t="e">
        <f>(AP179*B179)-AJ179</f>
        <v>#REF!</v>
      </c>
      <c r="BB179" s="53" t="e">
        <f>BA179/(AI179*AM179)</f>
        <v>#REF!</v>
      </c>
      <c r="BC179" s="52" t="e">
        <f>AY179+BA179</f>
        <v>#REF!</v>
      </c>
      <c r="BD179" s="62" t="e">
        <f>BC179/(AD179+AD180+AJ179)</f>
        <v>#REF!</v>
      </c>
      <c r="BE179" s="62"/>
      <c r="BF179" s="52" t="e">
        <f>AS179+AY179</f>
        <v>#REF!</v>
      </c>
      <c r="BG179" s="54" t="e">
        <f>AZ179</f>
        <v>#REF!</v>
      </c>
      <c r="BH179" s="52" t="e">
        <f>AU179+BA179</f>
        <v>#REF!</v>
      </c>
      <c r="BI179" s="53" t="e">
        <f>BH179/AJ179</f>
        <v>#REF!</v>
      </c>
      <c r="BJ179" s="63">
        <f>BJ178</f>
        <v>20</v>
      </c>
      <c r="BK179" s="52" t="e">
        <f>BF179+BH179+BJ179</f>
        <v>#REF!</v>
      </c>
      <c r="BL179" s="54" t="e">
        <f>BK179/(AD179+AD180+AJ179)</f>
        <v>#REF!</v>
      </c>
    </row>
    <row r="180" spans="2:64" ht="15.75" customHeight="1" x14ac:dyDescent="0.2">
      <c r="E180" s="50"/>
      <c r="X180" s="50"/>
      <c r="Y180" s="50"/>
      <c r="Z180" s="50"/>
      <c r="AC180" s="31" t="e">
        <f>#REF!</f>
        <v>#REF!</v>
      </c>
      <c r="AD180" s="31">
        <f>W179</f>
        <v>400</v>
      </c>
      <c r="AE180" s="63" t="e">
        <f>(#REF!+(#REF!*(F179/100)))/(1-#REF!/100)</f>
        <v>#REF!</v>
      </c>
      <c r="AF180" s="63"/>
      <c r="AG180" s="32" t="e">
        <f>AD180/AC180</f>
        <v>#REF!</v>
      </c>
      <c r="AH180" s="32"/>
      <c r="AI180" s="49" t="s">
        <v>34</v>
      </c>
      <c r="AJ180" s="49" t="s">
        <v>34</v>
      </c>
      <c r="AK180" s="49" t="s">
        <v>34</v>
      </c>
      <c r="AL180" s="49"/>
      <c r="AM180" s="49" t="s">
        <v>34</v>
      </c>
      <c r="AT180" s="50"/>
      <c r="AV180" s="50"/>
      <c r="AX180" s="54"/>
      <c r="AY180" s="31"/>
      <c r="AZ180" s="54"/>
      <c r="BB180" s="50"/>
      <c r="BD180" s="50"/>
      <c r="BE180" s="50"/>
      <c r="BG180" s="50"/>
      <c r="BI180" s="50"/>
      <c r="BJ180" s="63"/>
      <c r="BL180" s="50"/>
    </row>
    <row r="181" spans="2:64" ht="15.75" customHeight="1" x14ac:dyDescent="0.2">
      <c r="B181" s="36">
        <v>910</v>
      </c>
      <c r="C181" s="36"/>
      <c r="D181" s="37">
        <v>0.7</v>
      </c>
      <c r="E181" s="51">
        <v>5</v>
      </c>
      <c r="F181" s="35">
        <v>10</v>
      </c>
      <c r="G181" s="35"/>
      <c r="H181" s="35"/>
      <c r="I181" s="35"/>
      <c r="S181" s="35" t="s">
        <v>35</v>
      </c>
      <c r="T181" s="35"/>
      <c r="U181" s="36"/>
      <c r="V181" s="36"/>
      <c r="W181" s="36">
        <v>350</v>
      </c>
      <c r="X181" s="51" t="e">
        <f>W181/#REF!</f>
        <v>#REF!</v>
      </c>
      <c r="Y181" s="51"/>
      <c r="Z181" s="51"/>
      <c r="AC181" s="38" t="e">
        <f>AC179</f>
        <v>#REF!</v>
      </c>
      <c r="AD181" s="38">
        <v>140</v>
      </c>
      <c r="AE181" s="65" t="e">
        <f>AE179</f>
        <v>#REF!</v>
      </c>
      <c r="AF181" s="65"/>
      <c r="AG181" s="39">
        <v>1.4</v>
      </c>
      <c r="AH181" s="32"/>
      <c r="AI181" s="38">
        <v>100</v>
      </c>
      <c r="AJ181" s="38">
        <v>60.000000000000007</v>
      </c>
      <c r="AK181" s="65" t="e">
        <f>AK179</f>
        <v>#REF!</v>
      </c>
      <c r="AL181" s="65"/>
      <c r="AM181" s="39">
        <v>0.60000000000000009</v>
      </c>
      <c r="AN181" s="39" t="e">
        <f>AN179</f>
        <v>#REF!</v>
      </c>
      <c r="AO181" s="39"/>
      <c r="AP181" s="39" t="e">
        <f>AP179+AM182</f>
        <v>#REF!</v>
      </c>
      <c r="AQ181" s="39" t="e">
        <f>AN181+AP181</f>
        <v>#REF!</v>
      </c>
      <c r="AS181" s="40">
        <f t="shared" ref="AS181:AX181" si="24">AS179</f>
        <v>0</v>
      </c>
      <c r="AT181" s="51">
        <f t="shared" si="24"/>
        <v>0</v>
      </c>
      <c r="AU181" s="40">
        <f t="shared" si="24"/>
        <v>0</v>
      </c>
      <c r="AV181" s="51">
        <f t="shared" si="24"/>
        <v>0</v>
      </c>
      <c r="AW181" s="40">
        <f t="shared" si="24"/>
        <v>0</v>
      </c>
      <c r="AX181" s="55">
        <f t="shared" si="24"/>
        <v>0</v>
      </c>
      <c r="AY181" s="40" t="e">
        <f>(B181*AN181)-(AD181+AD182)</f>
        <v>#REF!</v>
      </c>
      <c r="AZ181" s="55" t="e">
        <f>AY181/(AD181+AD182)</f>
        <v>#REF!</v>
      </c>
      <c r="BA181" s="40" t="e">
        <f>(AP181*B181)-(AJ181+AJ182)</f>
        <v>#REF!</v>
      </c>
      <c r="BB181" s="55" t="e">
        <f>BA181/(AJ181+AJ182)</f>
        <v>#REF!</v>
      </c>
      <c r="BC181" s="40" t="e">
        <f>AY181+BA181</f>
        <v>#REF!</v>
      </c>
      <c r="BD181" s="55" t="e">
        <f>BC181/(AD181+AD182+AJ181+AJ182)</f>
        <v>#REF!</v>
      </c>
      <c r="BE181" s="50"/>
      <c r="BF181" s="40" t="e">
        <f>AS181+AY181</f>
        <v>#REF!</v>
      </c>
      <c r="BG181" s="55" t="e">
        <f>AZ181</f>
        <v>#REF!</v>
      </c>
      <c r="BH181" s="40" t="e">
        <f>AU181+BA181</f>
        <v>#REF!</v>
      </c>
      <c r="BI181" s="55" t="e">
        <f>BH181/(AJ181+AJ182)</f>
        <v>#REF!</v>
      </c>
      <c r="BJ181" s="65">
        <f>BJ179</f>
        <v>20</v>
      </c>
      <c r="BK181" s="40" t="e">
        <f>BF181+BH181+BJ181</f>
        <v>#REF!</v>
      </c>
      <c r="BL181" s="55" t="e">
        <f>BK181/(AD181+AD182+AJ181+AJ182)</f>
        <v>#REF!</v>
      </c>
    </row>
    <row r="182" spans="2:64" ht="15.75" customHeight="1" x14ac:dyDescent="0.2">
      <c r="B182" s="35"/>
      <c r="C182" s="35"/>
      <c r="D182" s="35"/>
      <c r="E182" s="51"/>
      <c r="F182" s="35"/>
      <c r="G182" s="35"/>
      <c r="H182" s="35"/>
      <c r="I182" s="35"/>
      <c r="S182" s="35"/>
      <c r="T182" s="35"/>
      <c r="U182" s="35"/>
      <c r="V182" s="35"/>
      <c r="W182" s="35"/>
      <c r="X182" s="51"/>
      <c r="Y182" s="51"/>
      <c r="Z182" s="51"/>
      <c r="AC182" s="38" t="e">
        <f>AC180</f>
        <v>#REF!</v>
      </c>
      <c r="AD182" s="38">
        <v>400</v>
      </c>
      <c r="AE182" s="65" t="e">
        <f>AE180</f>
        <v>#REF!</v>
      </c>
      <c r="AF182" s="65"/>
      <c r="AG182" s="39">
        <v>1.6</v>
      </c>
      <c r="AH182" s="32"/>
      <c r="AI182" s="36" t="e">
        <f>#REF!</f>
        <v>#REF!</v>
      </c>
      <c r="AJ182" s="36">
        <f>W181</f>
        <v>350</v>
      </c>
      <c r="AK182" s="65" t="e">
        <f>(#REF!+(#REF!*(F181/100)))/(1-#REF!/100)</f>
        <v>#REF!</v>
      </c>
      <c r="AL182" s="65"/>
      <c r="AM182" s="39" t="e">
        <f>AJ182/AI182</f>
        <v>#REF!</v>
      </c>
      <c r="AT182" s="50"/>
      <c r="AV182" s="50"/>
      <c r="AX182" s="50"/>
      <c r="AZ182" s="50"/>
      <c r="BB182" s="50"/>
      <c r="BD182" s="50"/>
      <c r="BE182" s="50"/>
      <c r="BG182" s="50"/>
      <c r="BI182" s="50"/>
      <c r="BJ182" s="63"/>
      <c r="BL182" s="50"/>
    </row>
    <row r="183" spans="2:64" ht="15.75" customHeight="1" x14ac:dyDescent="0.2">
      <c r="B183" s="33">
        <v>910</v>
      </c>
      <c r="C183" s="33"/>
      <c r="D183" s="29">
        <v>0.7</v>
      </c>
      <c r="E183" s="50">
        <v>5</v>
      </c>
      <c r="F183">
        <v>10</v>
      </c>
      <c r="S183" t="s">
        <v>49</v>
      </c>
      <c r="U183" s="33">
        <v>10</v>
      </c>
      <c r="V183" s="33"/>
      <c r="X183" s="50"/>
      <c r="Y183" s="50"/>
      <c r="Z183" s="50"/>
      <c r="AC183" s="31"/>
      <c r="AD183" s="31"/>
      <c r="AE183" s="31"/>
      <c r="AF183" s="31"/>
      <c r="AG183" s="31"/>
      <c r="AH183" s="31"/>
      <c r="AI183" s="33"/>
      <c r="AJ183" s="33"/>
      <c r="AK183" s="31"/>
      <c r="AL183" s="31"/>
      <c r="AM183" s="32"/>
      <c r="AN183" s="32" t="e">
        <f>AN181</f>
        <v>#REF!</v>
      </c>
      <c r="AO183" s="32"/>
      <c r="AP183" s="32" t="e">
        <f>AP181+AM184</f>
        <v>#REF!</v>
      </c>
      <c r="AQ183" s="32" t="e">
        <f>AN183+AP183</f>
        <v>#REF!</v>
      </c>
      <c r="AS183" s="52">
        <f t="shared" ref="AS183:AX184" si="25">AS181</f>
        <v>0</v>
      </c>
      <c r="AT183" s="50">
        <f t="shared" si="25"/>
        <v>0</v>
      </c>
      <c r="AU183" s="52">
        <f t="shared" si="25"/>
        <v>0</v>
      </c>
      <c r="AV183" s="50">
        <f t="shared" si="25"/>
        <v>0</v>
      </c>
      <c r="AW183" s="52">
        <f t="shared" si="25"/>
        <v>0</v>
      </c>
      <c r="AX183" s="62">
        <f t="shared" si="25"/>
        <v>0</v>
      </c>
      <c r="AY183" s="52" t="e">
        <f t="shared" ref="AY183:BD183" si="26">AY181</f>
        <v>#REF!</v>
      </c>
      <c r="AZ183" s="62" t="e">
        <f t="shared" si="26"/>
        <v>#REF!</v>
      </c>
      <c r="BA183" s="52" t="e">
        <f t="shared" si="26"/>
        <v>#REF!</v>
      </c>
      <c r="BB183" s="62" t="e">
        <f t="shared" si="26"/>
        <v>#REF!</v>
      </c>
      <c r="BC183" s="52" t="e">
        <f t="shared" si="26"/>
        <v>#REF!</v>
      </c>
      <c r="BD183" s="62" t="e">
        <f t="shared" si="26"/>
        <v>#REF!</v>
      </c>
      <c r="BE183" s="50"/>
      <c r="BF183" s="52" t="e">
        <f>BF181</f>
        <v>#REF!</v>
      </c>
      <c r="BG183" s="62" t="e">
        <f>BG181</f>
        <v>#REF!</v>
      </c>
      <c r="BH183" s="52" t="e">
        <f>BH181</f>
        <v>#REF!</v>
      </c>
      <c r="BI183" s="62" t="e">
        <f>BI181</f>
        <v>#REF!</v>
      </c>
      <c r="BJ183" s="63">
        <f>BJ181+U183</f>
        <v>30</v>
      </c>
      <c r="BK183" s="52" t="e">
        <f>BF183+BH183+BJ183</f>
        <v>#REF!</v>
      </c>
      <c r="BL183" s="62" t="e">
        <f>BK183/(AD181+AD182+AJ181+AJ182)</f>
        <v>#REF!</v>
      </c>
    </row>
    <row r="184" spans="2:64" ht="15.75" customHeight="1" x14ac:dyDescent="0.2">
      <c r="B184" s="36">
        <v>510</v>
      </c>
      <c r="C184" s="36"/>
      <c r="D184" s="37">
        <v>0.7</v>
      </c>
      <c r="E184" s="51">
        <v>5</v>
      </c>
      <c r="F184" s="35">
        <v>10</v>
      </c>
      <c r="G184" s="35"/>
      <c r="H184" s="35"/>
      <c r="I184" s="35"/>
      <c r="S184" s="35" t="s">
        <v>36</v>
      </c>
      <c r="T184" s="35"/>
      <c r="U184" s="40"/>
      <c r="V184" s="40"/>
      <c r="W184" s="36">
        <v>100</v>
      </c>
      <c r="X184" s="51" t="e">
        <f>W184/#REF!</f>
        <v>#REF!</v>
      </c>
      <c r="Y184" s="51"/>
      <c r="Z184" s="51"/>
      <c r="AC184" s="38">
        <v>100</v>
      </c>
      <c r="AD184" s="38">
        <v>140</v>
      </c>
      <c r="AE184" s="38" t="e">
        <f>AE181</f>
        <v>#REF!</v>
      </c>
      <c r="AF184" s="38"/>
      <c r="AG184" s="39">
        <v>1.4</v>
      </c>
      <c r="AH184" s="32"/>
      <c r="AI184" s="38">
        <v>100</v>
      </c>
      <c r="AJ184" s="38">
        <v>60.000000000000007</v>
      </c>
      <c r="AK184" s="38" t="e">
        <f>AK181</f>
        <v>#REF!</v>
      </c>
      <c r="AL184" s="38"/>
      <c r="AM184" s="39">
        <v>0.60000000000000009</v>
      </c>
      <c r="AN184" s="39" t="e">
        <f>AG184+AG185+AG186</f>
        <v>#REF!</v>
      </c>
      <c r="AO184" s="39"/>
      <c r="AP184" s="39" t="e">
        <f>AM184+AM185+AM186</f>
        <v>#REF!</v>
      </c>
      <c r="AQ184" s="39" t="e">
        <f>AN184+AP184</f>
        <v>#REF!</v>
      </c>
      <c r="AS184" s="40">
        <f t="shared" si="25"/>
        <v>0</v>
      </c>
      <c r="AT184" s="51">
        <f t="shared" si="25"/>
        <v>0</v>
      </c>
      <c r="AU184" s="40">
        <f t="shared" si="25"/>
        <v>0</v>
      </c>
      <c r="AV184" s="51">
        <f t="shared" si="25"/>
        <v>0</v>
      </c>
      <c r="AW184" s="40">
        <f t="shared" si="25"/>
        <v>0</v>
      </c>
      <c r="AX184" s="55">
        <f t="shared" si="25"/>
        <v>0</v>
      </c>
      <c r="AY184" s="40" t="e">
        <f>(B184*AN184)-(AD184+AD185+AD186)</f>
        <v>#REF!</v>
      </c>
      <c r="AZ184" s="55" t="e">
        <f>AY184/(AD184+AD185+AD186)</f>
        <v>#REF!</v>
      </c>
      <c r="BA184" s="40" t="e">
        <f>(AP184*B184)-(AJ184+AJ185+AJ186)</f>
        <v>#REF!</v>
      </c>
      <c r="BB184" s="55" t="e">
        <f>BA184/(AJ184+AJ185+AJ186)</f>
        <v>#REF!</v>
      </c>
      <c r="BC184" s="40" t="e">
        <f>AY184+BA184</f>
        <v>#REF!</v>
      </c>
      <c r="BD184" s="55" t="e">
        <f>BC184/(AD184+AD185+AD186+AJ184+AJ185+AJ186)</f>
        <v>#REF!</v>
      </c>
      <c r="BE184" s="50"/>
      <c r="BF184" s="40" t="e">
        <f>AS184+AY184</f>
        <v>#REF!</v>
      </c>
      <c r="BG184" s="55" t="e">
        <f>AZ184</f>
        <v>#REF!</v>
      </c>
      <c r="BH184" s="40" t="e">
        <f>AU184+BA184</f>
        <v>#REF!</v>
      </c>
      <c r="BI184" s="55" t="e">
        <f>BH184/(AJ184+AJ185+AJ186)</f>
        <v>#REF!</v>
      </c>
      <c r="BJ184" s="65">
        <f>BJ183</f>
        <v>30</v>
      </c>
      <c r="BK184" s="40" t="e">
        <f>BF184+BH184+BJ184</f>
        <v>#REF!</v>
      </c>
      <c r="BL184" s="55" t="e">
        <f>BK184/(AD184+AD185+AD186+AJ184+AJ185+AJ186)</f>
        <v>#REF!</v>
      </c>
    </row>
    <row r="185" spans="2:64" ht="15.75" customHeight="1" x14ac:dyDescent="0.2">
      <c r="B185" s="35"/>
      <c r="C185" s="35"/>
      <c r="D185" s="35"/>
      <c r="E185" s="51"/>
      <c r="F185" s="35"/>
      <c r="G185" s="35"/>
      <c r="H185" s="35"/>
      <c r="I185" s="35"/>
      <c r="S185" s="35"/>
      <c r="T185" s="35"/>
      <c r="U185" s="35"/>
      <c r="V185" s="35"/>
      <c r="W185" s="35"/>
      <c r="X185" s="51"/>
      <c r="Y185" s="51"/>
      <c r="Z185" s="51"/>
      <c r="AC185" s="38">
        <v>250</v>
      </c>
      <c r="AD185" s="38">
        <v>400</v>
      </c>
      <c r="AE185" s="38" t="e">
        <f>AE182</f>
        <v>#REF!</v>
      </c>
      <c r="AF185" s="38"/>
      <c r="AG185" s="39">
        <v>1.6</v>
      </c>
      <c r="AH185" s="32"/>
      <c r="AI185" s="36">
        <v>900</v>
      </c>
      <c r="AJ185" s="36">
        <v>350</v>
      </c>
      <c r="AK185" s="38" t="e">
        <f>AK182</f>
        <v>#REF!</v>
      </c>
      <c r="AL185" s="38"/>
      <c r="AM185" s="39">
        <v>0.3888888888888889</v>
      </c>
      <c r="AN185" s="35"/>
      <c r="AO185" s="35"/>
      <c r="AP185" s="35"/>
      <c r="AQ185" s="35"/>
      <c r="AS185" s="35"/>
      <c r="AT185" s="51"/>
      <c r="AU185" s="35"/>
      <c r="AV185" s="51"/>
      <c r="AW185" s="35"/>
      <c r="AX185" s="51"/>
      <c r="AY185" s="35"/>
      <c r="AZ185" s="51"/>
      <c r="BA185" s="35"/>
      <c r="BB185" s="51"/>
      <c r="BC185" s="35"/>
      <c r="BD185" s="51"/>
      <c r="BE185" s="50"/>
      <c r="BF185" s="35"/>
      <c r="BG185" s="51"/>
      <c r="BH185" s="35"/>
      <c r="BI185" s="51"/>
      <c r="BJ185" s="35"/>
      <c r="BK185" s="35"/>
      <c r="BL185" s="51"/>
    </row>
    <row r="186" spans="2:64" ht="15.75" customHeight="1" x14ac:dyDescent="0.2">
      <c r="B186" s="35"/>
      <c r="C186" s="35"/>
      <c r="D186" s="35"/>
      <c r="E186" s="51"/>
      <c r="F186" s="35"/>
      <c r="G186" s="35"/>
      <c r="H186" s="35"/>
      <c r="I186" s="35"/>
      <c r="S186" s="35"/>
      <c r="T186" s="35"/>
      <c r="U186" s="35"/>
      <c r="V186" s="35"/>
      <c r="W186" s="35"/>
      <c r="X186" s="51"/>
      <c r="Y186" s="51"/>
      <c r="Z186" s="51"/>
      <c r="AC186" s="40" t="e">
        <f>#REF!</f>
        <v>#REF!</v>
      </c>
      <c r="AD186" s="36">
        <f>W184*D184</f>
        <v>70</v>
      </c>
      <c r="AE186" s="65" t="e">
        <f>(#REF!+(#REF!*(F184/100)))/(1-#REF!/100)</f>
        <v>#REF!</v>
      </c>
      <c r="AF186" s="65"/>
      <c r="AG186" s="39" t="e">
        <f>AD186/AC186</f>
        <v>#REF!</v>
      </c>
      <c r="AH186" s="31"/>
      <c r="AI186" s="40" t="e">
        <f>#REF!</f>
        <v>#REF!</v>
      </c>
      <c r="AJ186" s="36">
        <f>W184*(1-D184)</f>
        <v>30.000000000000004</v>
      </c>
      <c r="AK186" s="65" t="e">
        <f>(#REF!+(#REF!*(F184/100)))/(1-#REF!/100)</f>
        <v>#REF!</v>
      </c>
      <c r="AL186" s="65"/>
      <c r="AM186" s="39" t="e">
        <f>AJ186/AI186</f>
        <v>#REF!</v>
      </c>
      <c r="AN186" s="35"/>
      <c r="AO186" s="35"/>
      <c r="AP186" s="35"/>
      <c r="AQ186" s="35"/>
      <c r="AS186" s="35"/>
      <c r="AT186" s="51"/>
      <c r="AU186" s="35"/>
      <c r="AV186" s="51"/>
      <c r="AW186" s="35"/>
      <c r="AX186" s="51"/>
      <c r="AY186" s="35"/>
      <c r="AZ186" s="51"/>
      <c r="BA186" s="35"/>
      <c r="BB186" s="51"/>
      <c r="BC186" s="35"/>
      <c r="BD186" s="51"/>
      <c r="BE186" s="50"/>
      <c r="BF186" s="35"/>
      <c r="BG186" s="51"/>
      <c r="BH186" s="35"/>
      <c r="BI186" s="51"/>
      <c r="BJ186" s="35"/>
      <c r="BK186" s="35"/>
      <c r="BL186" s="51"/>
    </row>
    <row r="187" spans="2:64" ht="15.75" customHeight="1" x14ac:dyDescent="0.2">
      <c r="E187" s="50"/>
      <c r="X187" s="50"/>
      <c r="Y187" s="50"/>
      <c r="Z187" s="50"/>
      <c r="AC187" s="52"/>
      <c r="AD187" s="33"/>
      <c r="AE187" s="33"/>
      <c r="AF187" s="33"/>
      <c r="AG187" s="32"/>
      <c r="AH187" s="31"/>
      <c r="AI187" s="52"/>
      <c r="AJ187" s="33"/>
      <c r="AK187" s="33"/>
      <c r="AL187" s="33"/>
      <c r="AM187" s="32"/>
      <c r="AT187" s="50"/>
      <c r="AV187" s="50"/>
      <c r="AX187" s="50"/>
      <c r="AZ187" s="50"/>
      <c r="BB187" s="50"/>
      <c r="BD187" s="50"/>
      <c r="BE187" s="50"/>
      <c r="BG187" s="50"/>
      <c r="BI187" s="50"/>
      <c r="BL187" s="50"/>
    </row>
    <row r="188" spans="2:64" ht="15.75" customHeight="1" x14ac:dyDescent="0.2">
      <c r="B188" s="177" t="s">
        <v>67</v>
      </c>
      <c r="C188" s="34"/>
      <c r="AC188" s="56" t="s">
        <v>27</v>
      </c>
      <c r="AD188" s="12"/>
      <c r="AE188" s="12"/>
      <c r="AF188" s="12"/>
      <c r="AG188" s="12"/>
      <c r="AH188" s="12"/>
      <c r="AI188" s="56" t="s">
        <v>28</v>
      </c>
      <c r="AJ188" s="12"/>
      <c r="AK188" s="12"/>
      <c r="AL188" s="12"/>
      <c r="AM188" s="12"/>
      <c r="AS188" s="34" t="s">
        <v>52</v>
      </c>
      <c r="AY188" s="34" t="s">
        <v>53</v>
      </c>
      <c r="BF188" s="34" t="s">
        <v>65</v>
      </c>
    </row>
    <row r="189" spans="2:64" ht="15.75" customHeight="1" x14ac:dyDescent="0.2">
      <c r="B189" s="28" t="s">
        <v>61</v>
      </c>
      <c r="C189" s="28"/>
      <c r="D189" s="28" t="s">
        <v>29</v>
      </c>
      <c r="E189" s="57" t="s">
        <v>63</v>
      </c>
      <c r="F189" s="57" t="s">
        <v>72</v>
      </c>
      <c r="G189" s="57"/>
      <c r="H189" s="57"/>
      <c r="I189" s="57"/>
      <c r="J189" s="101"/>
      <c r="K189" s="101"/>
      <c r="L189" s="101"/>
      <c r="M189" s="101"/>
      <c r="N189" s="101"/>
      <c r="O189" s="101"/>
      <c r="P189" s="101"/>
      <c r="Q189" s="101"/>
      <c r="S189" s="28" t="s">
        <v>3</v>
      </c>
      <c r="T189" s="28"/>
      <c r="U189" s="57" t="s">
        <v>50</v>
      </c>
      <c r="V189" s="57" t="s">
        <v>70</v>
      </c>
      <c r="W189" s="28" t="s">
        <v>1</v>
      </c>
      <c r="X189" s="57" t="s">
        <v>62</v>
      </c>
      <c r="Y189" s="57" t="s">
        <v>9</v>
      </c>
      <c r="Z189" s="57"/>
      <c r="AC189" s="28" t="s">
        <v>30</v>
      </c>
      <c r="AD189" s="28" t="s">
        <v>1</v>
      </c>
      <c r="AE189" s="57" t="s">
        <v>10</v>
      </c>
      <c r="AF189" s="57"/>
      <c r="AG189" s="57" t="s">
        <v>64</v>
      </c>
      <c r="AH189" s="60"/>
      <c r="AI189" s="28" t="s">
        <v>30</v>
      </c>
      <c r="AJ189" s="28" t="s">
        <v>1</v>
      </c>
      <c r="AK189" s="57" t="s">
        <v>10</v>
      </c>
      <c r="AL189" s="57"/>
      <c r="AM189" s="57" t="s">
        <v>64</v>
      </c>
      <c r="AN189" s="28" t="s">
        <v>58</v>
      </c>
      <c r="AO189" s="28"/>
      <c r="AP189" s="28" t="s">
        <v>59</v>
      </c>
      <c r="AQ189" s="28" t="s">
        <v>60</v>
      </c>
      <c r="AS189" s="61" t="s">
        <v>54</v>
      </c>
      <c r="AT189" s="61" t="s">
        <v>57</v>
      </c>
      <c r="AU189" s="61" t="s">
        <v>55</v>
      </c>
      <c r="AV189" s="61" t="s">
        <v>57</v>
      </c>
      <c r="AW189" s="61" t="s">
        <v>56</v>
      </c>
      <c r="AX189" s="61" t="s">
        <v>57</v>
      </c>
      <c r="AY189" s="28" t="s">
        <v>54</v>
      </c>
      <c r="AZ189" s="28" t="s">
        <v>57</v>
      </c>
      <c r="BA189" s="28" t="s">
        <v>55</v>
      </c>
      <c r="BB189" s="28" t="s">
        <v>57</v>
      </c>
      <c r="BC189" s="28" t="s">
        <v>56</v>
      </c>
      <c r="BD189" s="28" t="s">
        <v>57</v>
      </c>
      <c r="BE189" s="60"/>
      <c r="BF189" s="61" t="s">
        <v>54</v>
      </c>
      <c r="BG189" s="61" t="s">
        <v>57</v>
      </c>
      <c r="BH189" s="61" t="s">
        <v>55</v>
      </c>
      <c r="BI189" s="61" t="s">
        <v>57</v>
      </c>
      <c r="BJ189" s="61" t="s">
        <v>66</v>
      </c>
      <c r="BK189" s="61" t="s">
        <v>56</v>
      </c>
      <c r="BL189" s="61" t="s">
        <v>57</v>
      </c>
    </row>
    <row r="190" spans="2:64" ht="15.75" customHeight="1" x14ac:dyDescent="0.2">
      <c r="B190" s="33">
        <v>200</v>
      </c>
      <c r="C190" s="33"/>
      <c r="D190" s="29">
        <v>0.6</v>
      </c>
      <c r="E190" s="50">
        <v>5</v>
      </c>
      <c r="F190">
        <v>10</v>
      </c>
      <c r="S190" s="12" t="s">
        <v>68</v>
      </c>
      <c r="T190" s="12"/>
      <c r="U190" s="13"/>
      <c r="V190" s="13"/>
      <c r="W190" s="13">
        <v>400</v>
      </c>
      <c r="X190" s="58" t="e">
        <f>W190/#REF!</f>
        <v>#REF!</v>
      </c>
      <c r="Y190" s="58"/>
      <c r="Z190" s="58"/>
      <c r="AC190" s="31" t="e">
        <f>#REF!</f>
        <v>#REF!</v>
      </c>
      <c r="AD190" s="31">
        <f>W190*D190</f>
        <v>240</v>
      </c>
      <c r="AE190" s="63" t="e">
        <f>(#REF!+(#REF!*(F190/100)))/(1-#REF!/100)</f>
        <v>#REF!</v>
      </c>
      <c r="AF190" s="63"/>
      <c r="AG190" s="32" t="e">
        <f>AD190/AC190</f>
        <v>#REF!</v>
      </c>
      <c r="AH190" s="32"/>
      <c r="AI190" s="31" t="e">
        <f>#REF!</f>
        <v>#REF!</v>
      </c>
      <c r="AJ190" s="31">
        <f>W190*(1-D190)</f>
        <v>160</v>
      </c>
      <c r="AK190" s="63" t="e">
        <f>(#REF!+(#REF!*(F190/100)))/(1-#REF!/100)</f>
        <v>#REF!</v>
      </c>
      <c r="AL190" s="63"/>
      <c r="AM190" s="32" t="e">
        <f>AJ190/AI190</f>
        <v>#REF!</v>
      </c>
      <c r="AN190" s="32" t="e">
        <f>AG190</f>
        <v>#REF!</v>
      </c>
      <c r="AO190" s="32"/>
      <c r="AP190" s="32" t="e">
        <f>AM190</f>
        <v>#REF!</v>
      </c>
      <c r="AQ190" s="32" t="e">
        <f>AN190+AP190</f>
        <v>#REF!</v>
      </c>
      <c r="AS190" s="52">
        <v>0</v>
      </c>
      <c r="AT190" s="50">
        <v>0</v>
      </c>
      <c r="AU190" s="52">
        <v>0</v>
      </c>
      <c r="AV190" s="50">
        <v>0</v>
      </c>
      <c r="AW190" s="52">
        <v>0</v>
      </c>
      <c r="AX190" s="54">
        <v>0</v>
      </c>
      <c r="AY190" s="52">
        <v>0</v>
      </c>
      <c r="AZ190" s="50">
        <v>0</v>
      </c>
      <c r="BA190" s="52">
        <v>0</v>
      </c>
      <c r="BB190" s="50">
        <v>0</v>
      </c>
      <c r="BC190" s="52">
        <v>0</v>
      </c>
      <c r="BD190" s="50">
        <v>0</v>
      </c>
      <c r="BE190" s="50"/>
      <c r="BF190" s="52">
        <v>0</v>
      </c>
      <c r="BG190" s="50">
        <v>0</v>
      </c>
      <c r="BH190" s="52">
        <v>0</v>
      </c>
      <c r="BI190" s="50">
        <v>0</v>
      </c>
      <c r="BJ190" s="52">
        <v>0</v>
      </c>
      <c r="BK190" s="52">
        <v>0</v>
      </c>
      <c r="BL190" s="50">
        <v>0</v>
      </c>
    </row>
    <row r="191" spans="2:64" ht="15.75" customHeight="1" x14ac:dyDescent="0.2">
      <c r="B191" s="36">
        <v>100</v>
      </c>
      <c r="C191" s="36"/>
      <c r="D191" s="37">
        <v>0.6</v>
      </c>
      <c r="E191" s="51">
        <v>5</v>
      </c>
      <c r="F191" s="35">
        <v>10</v>
      </c>
      <c r="G191" s="35"/>
      <c r="H191" s="35"/>
      <c r="I191" s="35"/>
      <c r="S191" s="41" t="s">
        <v>69</v>
      </c>
      <c r="T191" s="41"/>
      <c r="U191" s="35"/>
      <c r="V191" s="59">
        <v>2</v>
      </c>
      <c r="W191" s="42"/>
      <c r="X191" s="59"/>
      <c r="Y191" s="59"/>
      <c r="Z191" s="59"/>
      <c r="AC191" s="38" t="e">
        <f>AC190/V191</f>
        <v>#REF!</v>
      </c>
      <c r="AD191" s="38">
        <f>AD190</f>
        <v>240</v>
      </c>
      <c r="AE191" s="65" t="e">
        <f>AE190/V191</f>
        <v>#REF!</v>
      </c>
      <c r="AF191" s="65"/>
      <c r="AG191" s="39" t="e">
        <f>AG190*V191</f>
        <v>#REF!</v>
      </c>
      <c r="AH191" s="32"/>
      <c r="AI191" s="38" t="e">
        <f>AI190/V191</f>
        <v>#REF!</v>
      </c>
      <c r="AJ191" s="38">
        <f>AJ190</f>
        <v>160</v>
      </c>
      <c r="AK191" s="65" t="e">
        <f>AK190/V191</f>
        <v>#REF!</v>
      </c>
      <c r="AL191" s="65"/>
      <c r="AM191" s="39" t="e">
        <f>AM190*V191</f>
        <v>#REF!</v>
      </c>
      <c r="AN191" s="39" t="e">
        <f>AN190*V191</f>
        <v>#REF!</v>
      </c>
      <c r="AO191" s="39"/>
      <c r="AP191" s="39" t="e">
        <f>AP190*V191</f>
        <v>#REF!</v>
      </c>
      <c r="AQ191" s="39" t="e">
        <f>AN191+AP191</f>
        <v>#REF!</v>
      </c>
      <c r="AS191" s="40">
        <f t="shared" ref="AS191:AX191" si="27">AS190</f>
        <v>0</v>
      </c>
      <c r="AT191" s="51">
        <f t="shared" si="27"/>
        <v>0</v>
      </c>
      <c r="AU191" s="40">
        <f t="shared" si="27"/>
        <v>0</v>
      </c>
      <c r="AV191" s="51">
        <f t="shared" si="27"/>
        <v>0</v>
      </c>
      <c r="AW191" s="40">
        <f t="shared" si="27"/>
        <v>0</v>
      </c>
      <c r="AX191" s="55">
        <f t="shared" si="27"/>
        <v>0</v>
      </c>
      <c r="AY191" s="40">
        <f t="shared" ref="AY191:BD191" si="28">AY190</f>
        <v>0</v>
      </c>
      <c r="AZ191" s="51">
        <f t="shared" si="28"/>
        <v>0</v>
      </c>
      <c r="BA191" s="40">
        <f t="shared" si="28"/>
        <v>0</v>
      </c>
      <c r="BB191" s="51">
        <f t="shared" si="28"/>
        <v>0</v>
      </c>
      <c r="BC191" s="40">
        <f t="shared" si="28"/>
        <v>0</v>
      </c>
      <c r="BD191" s="51">
        <f t="shared" si="28"/>
        <v>0</v>
      </c>
      <c r="BE191" s="50"/>
      <c r="BF191" s="40">
        <f t="shared" ref="BF191:BL191" si="29">BF190</f>
        <v>0</v>
      </c>
      <c r="BG191" s="51">
        <f t="shared" si="29"/>
        <v>0</v>
      </c>
      <c r="BH191" s="40">
        <f t="shared" si="29"/>
        <v>0</v>
      </c>
      <c r="BI191" s="51">
        <f t="shared" si="29"/>
        <v>0</v>
      </c>
      <c r="BJ191" s="40">
        <f t="shared" si="29"/>
        <v>0</v>
      </c>
      <c r="BK191" s="40">
        <f t="shared" si="29"/>
        <v>0</v>
      </c>
      <c r="BL191" s="51">
        <f t="shared" si="29"/>
        <v>0</v>
      </c>
    </row>
    <row r="192" spans="2:64" ht="15.75" customHeight="1" x14ac:dyDescent="0.2">
      <c r="B192" s="33">
        <v>100</v>
      </c>
      <c r="C192" s="33"/>
      <c r="D192" s="29">
        <v>0.6</v>
      </c>
      <c r="E192" s="50">
        <v>5</v>
      </c>
      <c r="F192">
        <v>10</v>
      </c>
      <c r="S192" s="12" t="s">
        <v>71</v>
      </c>
      <c r="T192" s="12"/>
      <c r="U192" s="13"/>
      <c r="V192" s="13"/>
      <c r="W192" s="13">
        <v>300</v>
      </c>
      <c r="X192" s="58" t="e">
        <f>W192/#REF!</f>
        <v>#REF!</v>
      </c>
      <c r="Y192" s="58"/>
      <c r="Z192" s="58"/>
      <c r="AC192" s="31" t="e">
        <f>#REF!</f>
        <v>#REF!</v>
      </c>
      <c r="AD192" s="31">
        <f>W192*D192</f>
        <v>180</v>
      </c>
      <c r="AE192" s="63" t="e">
        <f>(#REF!+(#REF!*(F192/100)))/(1-#REF!/100)</f>
        <v>#REF!</v>
      </c>
      <c r="AF192" s="63"/>
      <c r="AG192" s="32" t="e">
        <f>AD192/AC192</f>
        <v>#REF!</v>
      </c>
      <c r="AH192" s="32"/>
      <c r="AI192" s="31" t="e">
        <f>#REF!</f>
        <v>#REF!</v>
      </c>
      <c r="AJ192" s="31">
        <f>W192*(1-D192)</f>
        <v>120</v>
      </c>
      <c r="AK192" s="63" t="e">
        <f>(#REF!+(#REF!*(F192/100)))/(1-#REF!/100)</f>
        <v>#REF!</v>
      </c>
      <c r="AL192" s="63"/>
      <c r="AM192" s="32" t="e">
        <f>AJ192/AI192</f>
        <v>#REF!</v>
      </c>
      <c r="AN192" s="32" t="e">
        <f>AG192+AG193</f>
        <v>#REF!</v>
      </c>
      <c r="AO192" s="32"/>
      <c r="AP192" s="32" t="e">
        <f>AM192+AM193</f>
        <v>#REF!</v>
      </c>
      <c r="AQ192" s="32" t="e">
        <f>AN192+AP192</f>
        <v>#REF!</v>
      </c>
      <c r="AS192" s="52">
        <f>AS190</f>
        <v>0</v>
      </c>
      <c r="AT192" s="50">
        <f t="shared" ref="AT192:AV192" si="30">AT190</f>
        <v>0</v>
      </c>
      <c r="AU192" s="52">
        <f t="shared" si="30"/>
        <v>0</v>
      </c>
      <c r="AV192" s="50">
        <f t="shared" si="30"/>
        <v>0</v>
      </c>
      <c r="AW192" s="52">
        <f>AW190</f>
        <v>0</v>
      </c>
      <c r="AX192" s="62">
        <f>AW192/W190</f>
        <v>0</v>
      </c>
      <c r="AY192" s="63" t="e">
        <f>(B192*AN192)-(AD192+AD193)</f>
        <v>#REF!</v>
      </c>
      <c r="AZ192" s="62" t="e">
        <f>AY192/(AD192+AD193)</f>
        <v>#REF!</v>
      </c>
      <c r="BA192" s="63" t="e">
        <f>(AP192*B192)-(AJ192+AJ193)</f>
        <v>#REF!</v>
      </c>
      <c r="BB192" s="62" t="e">
        <f>BA192/(AJ192+AJ193)</f>
        <v>#REF!</v>
      </c>
      <c r="BC192" s="63" t="e">
        <f>AY192+BA192</f>
        <v>#REF!</v>
      </c>
      <c r="BD192" s="62" t="e">
        <f>BC192/(AD192+AD193+AJ192+AJ193)</f>
        <v>#REF!</v>
      </c>
      <c r="BE192" s="50"/>
      <c r="BF192" s="63" t="e">
        <f>AS192+AY192</f>
        <v>#REF!</v>
      </c>
      <c r="BG192" s="62" t="e">
        <f>AZ192</f>
        <v>#REF!</v>
      </c>
      <c r="BH192" s="63" t="e">
        <f>AU192+BA192</f>
        <v>#REF!</v>
      </c>
      <c r="BI192" s="62" t="e">
        <f>BH192/(AJ192+AJ193)</f>
        <v>#REF!</v>
      </c>
      <c r="BJ192" s="63">
        <f>BJ190</f>
        <v>0</v>
      </c>
      <c r="BK192" s="63" t="e">
        <f>BF192+BH192+BJ192</f>
        <v>#REF!</v>
      </c>
      <c r="BL192" s="62" t="e">
        <f>BK192/(AD192+AD193+AJ192+AJ193)</f>
        <v>#REF!</v>
      </c>
    </row>
    <row r="193" spans="2:64" ht="15.75" customHeight="1" x14ac:dyDescent="0.2">
      <c r="B193" s="33"/>
      <c r="C193" s="33"/>
      <c r="D193" s="29"/>
      <c r="E193" s="50"/>
      <c r="S193" s="12"/>
      <c r="T193" s="12"/>
      <c r="U193" s="13"/>
      <c r="V193" s="13"/>
      <c r="W193" s="13"/>
      <c r="X193" s="58"/>
      <c r="Y193" s="58"/>
      <c r="Z193" s="58"/>
      <c r="AC193" s="31" t="e">
        <f>AC191</f>
        <v>#REF!</v>
      </c>
      <c r="AD193" s="31">
        <f>AD191</f>
        <v>240</v>
      </c>
      <c r="AE193" s="63" t="e">
        <f>AE191</f>
        <v>#REF!</v>
      </c>
      <c r="AF193" s="63"/>
      <c r="AG193" s="32" t="e">
        <f>AG191</f>
        <v>#REF!</v>
      </c>
      <c r="AH193" s="32"/>
      <c r="AI193" s="31" t="e">
        <f>AI191</f>
        <v>#REF!</v>
      </c>
      <c r="AJ193" s="31">
        <f>AJ191</f>
        <v>160</v>
      </c>
      <c r="AK193" s="63" t="e">
        <f>AK191</f>
        <v>#REF!</v>
      </c>
      <c r="AL193" s="63"/>
      <c r="AM193" s="32" t="e">
        <f>AM191</f>
        <v>#REF!</v>
      </c>
      <c r="AN193" s="32"/>
      <c r="AO193" s="32"/>
      <c r="AP193" s="32"/>
      <c r="AQ193" s="32"/>
      <c r="AS193" s="52"/>
      <c r="AT193" s="50"/>
      <c r="AU193" s="52"/>
      <c r="AV193" s="50"/>
      <c r="AW193" s="52"/>
      <c r="AX193" s="62"/>
      <c r="AY193" s="52"/>
      <c r="AZ193" s="50"/>
      <c r="BA193" s="52"/>
      <c r="BB193" s="50"/>
      <c r="BC193" s="52"/>
      <c r="BD193" s="50"/>
      <c r="BE193" s="50"/>
      <c r="BF193" s="52"/>
      <c r="BG193" s="50"/>
      <c r="BH193" s="52"/>
      <c r="BI193" s="50"/>
      <c r="BJ193" s="63"/>
      <c r="BK193" s="63"/>
      <c r="BL193" s="62"/>
    </row>
    <row r="194" spans="2:64" ht="15.75" customHeight="1" x14ac:dyDescent="0.2">
      <c r="B194" s="33"/>
      <c r="C194" s="33"/>
      <c r="D194" s="29"/>
      <c r="E194" s="50"/>
      <c r="S194" s="12"/>
      <c r="T194" s="12"/>
      <c r="U194" s="13"/>
      <c r="V194" s="13"/>
      <c r="W194" s="13"/>
      <c r="X194" s="58"/>
      <c r="Y194" s="58"/>
      <c r="Z194" s="58"/>
      <c r="AC194" s="31"/>
      <c r="AD194" s="31"/>
      <c r="AE194" s="63"/>
      <c r="AF194" s="63"/>
      <c r="AG194" s="32"/>
      <c r="AH194" s="32"/>
      <c r="AI194" s="31"/>
      <c r="AJ194" s="31"/>
      <c r="AK194" s="63"/>
      <c r="AL194" s="63"/>
      <c r="AM194" s="32"/>
      <c r="AN194" s="32"/>
      <c r="AO194" s="32"/>
      <c r="AP194" s="32"/>
      <c r="AQ194" s="32"/>
      <c r="AS194" s="52"/>
      <c r="AT194" s="50"/>
      <c r="AU194" s="52"/>
      <c r="AV194" s="50"/>
      <c r="AW194" s="52"/>
      <c r="AX194" s="62"/>
      <c r="AY194" s="52"/>
      <c r="AZ194" s="50"/>
      <c r="BA194" s="52"/>
      <c r="BB194" s="50"/>
      <c r="BC194" s="52"/>
      <c r="BD194" s="50"/>
      <c r="BE194" s="50"/>
      <c r="BF194" s="52"/>
      <c r="BG194" s="50"/>
      <c r="BH194" s="52"/>
      <c r="BI194" s="50"/>
      <c r="BJ194" s="63"/>
      <c r="BK194" s="63"/>
      <c r="BL194" s="62"/>
    </row>
    <row r="195" spans="2:64" ht="15.75" customHeight="1" x14ac:dyDescent="0.2">
      <c r="B195" s="178" t="s">
        <v>37</v>
      </c>
      <c r="C195" s="109"/>
      <c r="U195" s="12"/>
      <c r="V195" s="12"/>
      <c r="W195" s="12"/>
      <c r="X195" s="12"/>
      <c r="Y195" s="12"/>
      <c r="Z195" s="12"/>
      <c r="AA195" s="12"/>
      <c r="AB195" s="12"/>
      <c r="AC195" s="56" t="s">
        <v>27</v>
      </c>
      <c r="AD195" s="12"/>
      <c r="AE195" s="12"/>
      <c r="AF195" s="12"/>
      <c r="AG195" s="12"/>
      <c r="AH195" s="12"/>
      <c r="AI195" s="56" t="s">
        <v>28</v>
      </c>
      <c r="AJ195" s="12"/>
      <c r="AK195" s="12"/>
      <c r="AL195" s="12"/>
      <c r="AM195" s="12"/>
      <c r="AT195" s="33"/>
      <c r="AY195" s="63"/>
    </row>
    <row r="196" spans="2:64" ht="15.75" customHeight="1" x14ac:dyDescent="0.2">
      <c r="B196" s="28" t="s">
        <v>61</v>
      </c>
      <c r="C196" s="28"/>
      <c r="D196" s="28" t="s">
        <v>29</v>
      </c>
      <c r="E196" s="57" t="s">
        <v>63</v>
      </c>
      <c r="F196" s="57" t="s">
        <v>72</v>
      </c>
      <c r="G196" s="57"/>
      <c r="H196" s="57"/>
      <c r="I196" s="57"/>
      <c r="J196" s="101"/>
      <c r="K196" s="101"/>
      <c r="L196" s="101"/>
      <c r="M196" s="101"/>
      <c r="N196" s="101"/>
      <c r="O196" s="101"/>
      <c r="P196" s="101"/>
      <c r="Q196" s="101"/>
      <c r="S196" s="28" t="s">
        <v>3</v>
      </c>
      <c r="T196" s="28"/>
      <c r="U196" s="57" t="s">
        <v>50</v>
      </c>
      <c r="V196" s="57" t="s">
        <v>70</v>
      </c>
      <c r="W196" s="28" t="s">
        <v>1</v>
      </c>
      <c r="X196" s="57" t="s">
        <v>62</v>
      </c>
      <c r="Y196" s="57" t="s">
        <v>9</v>
      </c>
      <c r="Z196" s="57"/>
      <c r="AA196" s="60"/>
      <c r="AB196" s="12"/>
      <c r="AC196" s="28" t="s">
        <v>30</v>
      </c>
      <c r="AD196" s="28" t="s">
        <v>1</v>
      </c>
      <c r="AE196" s="57" t="s">
        <v>10</v>
      </c>
      <c r="AF196" s="57"/>
      <c r="AG196" s="57" t="s">
        <v>64</v>
      </c>
      <c r="AH196" s="60"/>
      <c r="AI196" s="28" t="s">
        <v>30</v>
      </c>
      <c r="AJ196" s="28" t="s">
        <v>1</v>
      </c>
      <c r="AK196" s="57" t="s">
        <v>10</v>
      </c>
      <c r="AL196" s="57"/>
      <c r="AM196" s="57" t="s">
        <v>64</v>
      </c>
      <c r="AT196" s="33"/>
    </row>
    <row r="197" spans="2:64" ht="15.75" customHeight="1" x14ac:dyDescent="0.2">
      <c r="B197" s="33">
        <v>100</v>
      </c>
      <c r="C197" s="33"/>
      <c r="D197" s="29">
        <v>0.6</v>
      </c>
      <c r="E197" s="50">
        <v>5</v>
      </c>
      <c r="F197">
        <v>10</v>
      </c>
      <c r="S197" t="s">
        <v>38</v>
      </c>
      <c r="U197" s="33"/>
      <c r="V197" s="33"/>
      <c r="W197" s="33">
        <v>200</v>
      </c>
      <c r="X197" s="33"/>
      <c r="Y197" s="33"/>
      <c r="Z197" s="33"/>
      <c r="AA197" s="67"/>
      <c r="AC197" s="33" t="e">
        <f>#REF!</f>
        <v>#REF!</v>
      </c>
      <c r="AD197" s="33">
        <f>W197*D197</f>
        <v>120</v>
      </c>
      <c r="AE197" s="33"/>
      <c r="AF197" s="33"/>
      <c r="AG197" s="44" t="e">
        <f>AD197/AC197</f>
        <v>#REF!</v>
      </c>
      <c r="AH197" s="44"/>
      <c r="AI197" s="33" t="e">
        <f>#REF!</f>
        <v>#REF!</v>
      </c>
      <c r="AJ197" s="31">
        <f>W197*(1-D197)</f>
        <v>80</v>
      </c>
      <c r="AK197" s="33"/>
      <c r="AL197" s="33"/>
      <c r="AM197" s="32" t="e">
        <f>AJ197/AI197</f>
        <v>#REF!</v>
      </c>
    </row>
    <row r="198" spans="2:64" ht="15.75" customHeight="1" x14ac:dyDescent="0.2">
      <c r="B198" s="36">
        <v>100</v>
      </c>
      <c r="C198" s="36"/>
      <c r="D198" s="37">
        <v>0.6</v>
      </c>
      <c r="E198" s="51">
        <v>5</v>
      </c>
      <c r="F198" s="35">
        <v>10</v>
      </c>
      <c r="G198" s="35"/>
      <c r="H198" s="35"/>
      <c r="I198" s="35"/>
      <c r="S198" s="35" t="s">
        <v>39</v>
      </c>
      <c r="T198" s="35"/>
      <c r="U198" s="35"/>
      <c r="V198" s="35"/>
      <c r="W198" s="35"/>
      <c r="X198" s="35"/>
      <c r="Y198" s="35"/>
      <c r="Z198" s="35"/>
      <c r="AC198" s="38" t="s">
        <v>34</v>
      </c>
      <c r="AD198" s="38" t="s">
        <v>34</v>
      </c>
      <c r="AE198" s="38"/>
      <c r="AF198" s="38"/>
      <c r="AG198" s="38" t="s">
        <v>34</v>
      </c>
      <c r="AH198" s="31"/>
      <c r="AI198" s="38" t="s">
        <v>34</v>
      </c>
      <c r="AJ198" s="38" t="s">
        <v>34</v>
      </c>
      <c r="AK198" s="38"/>
      <c r="AL198" s="38"/>
      <c r="AM198" s="38" t="s">
        <v>34</v>
      </c>
    </row>
    <row r="199" spans="2:64" ht="15.75" customHeight="1" x14ac:dyDescent="0.2">
      <c r="B199" s="33">
        <v>100</v>
      </c>
      <c r="C199" s="33"/>
      <c r="D199" s="29">
        <v>0.6</v>
      </c>
      <c r="E199" s="50">
        <v>5</v>
      </c>
      <c r="F199">
        <v>10</v>
      </c>
      <c r="S199" t="s">
        <v>40</v>
      </c>
      <c r="U199" s="33"/>
      <c r="V199" s="33"/>
      <c r="W199" s="33">
        <v>500</v>
      </c>
      <c r="X199" s="33"/>
      <c r="Y199" s="33"/>
      <c r="Z199" s="33"/>
      <c r="AA199" s="67"/>
      <c r="AC199" s="33" t="e">
        <f>#REF!</f>
        <v>#REF!</v>
      </c>
      <c r="AD199" s="33">
        <f>W199</f>
        <v>500</v>
      </c>
      <c r="AE199" s="33"/>
      <c r="AF199" s="33"/>
      <c r="AG199" s="44" t="e">
        <f>AD199/AC199</f>
        <v>#REF!</v>
      </c>
      <c r="AH199" s="44"/>
      <c r="AI199" s="31" t="s">
        <v>34</v>
      </c>
      <c r="AJ199" s="31" t="s">
        <v>34</v>
      </c>
      <c r="AK199" s="33"/>
      <c r="AL199" s="33"/>
      <c r="AM199" s="31" t="s">
        <v>34</v>
      </c>
    </row>
    <row r="200" spans="2:64" ht="15.75" customHeight="1" x14ac:dyDescent="0.2">
      <c r="B200" s="36">
        <v>100</v>
      </c>
      <c r="C200" s="36"/>
      <c r="D200" s="37">
        <v>0.6</v>
      </c>
      <c r="E200" s="51">
        <v>5</v>
      </c>
      <c r="F200" s="35">
        <v>10</v>
      </c>
      <c r="G200" s="35"/>
      <c r="H200" s="35"/>
      <c r="I200" s="35"/>
      <c r="S200" s="35" t="s">
        <v>41</v>
      </c>
      <c r="T200" s="35"/>
      <c r="U200" s="35"/>
      <c r="V200" s="35"/>
      <c r="W200" s="35"/>
      <c r="X200" s="35"/>
      <c r="Y200" s="35"/>
      <c r="Z200" s="35"/>
      <c r="AC200" s="38" t="s">
        <v>34</v>
      </c>
      <c r="AD200" s="38" t="s">
        <v>34</v>
      </c>
      <c r="AE200" s="38"/>
      <c r="AF200" s="38"/>
      <c r="AG200" s="38" t="s">
        <v>34</v>
      </c>
      <c r="AH200" s="31"/>
      <c r="AI200" s="38" t="s">
        <v>34</v>
      </c>
      <c r="AJ200" s="38" t="s">
        <v>34</v>
      </c>
      <c r="AK200" s="38"/>
      <c r="AL200" s="38"/>
      <c r="AM200" s="38" t="s">
        <v>34</v>
      </c>
    </row>
    <row r="201" spans="2:64" ht="15.75" customHeight="1" x14ac:dyDescent="0.2">
      <c r="B201" s="33">
        <v>100</v>
      </c>
      <c r="C201" s="33"/>
      <c r="D201" s="29">
        <v>0.6</v>
      </c>
      <c r="E201" s="50">
        <v>5</v>
      </c>
      <c r="F201">
        <v>10</v>
      </c>
      <c r="S201" t="s">
        <v>42</v>
      </c>
      <c r="U201" s="33"/>
      <c r="V201" s="33"/>
      <c r="W201" s="33">
        <v>350</v>
      </c>
      <c r="X201" s="33"/>
      <c r="Y201" s="33"/>
      <c r="Z201" s="33"/>
      <c r="AA201" s="67"/>
      <c r="AC201" s="31" t="s">
        <v>34</v>
      </c>
      <c r="AD201" s="31" t="s">
        <v>34</v>
      </c>
      <c r="AE201" s="31"/>
      <c r="AF201" s="31"/>
      <c r="AG201" s="31" t="s">
        <v>34</v>
      </c>
      <c r="AH201" s="31"/>
      <c r="AI201" s="33" t="e">
        <f>#REF!</f>
        <v>#REF!</v>
      </c>
      <c r="AJ201" s="31">
        <f>W201*(1-D201)</f>
        <v>140</v>
      </c>
      <c r="AK201" s="31"/>
      <c r="AL201" s="31"/>
      <c r="AM201" s="32" t="e">
        <f>AJ201/AI201</f>
        <v>#REF!</v>
      </c>
    </row>
    <row r="202" spans="2:64" ht="15.75" customHeight="1" x14ac:dyDescent="0.2">
      <c r="B202" s="36">
        <v>100</v>
      </c>
      <c r="C202" s="36"/>
      <c r="D202" s="37">
        <v>0.6</v>
      </c>
      <c r="E202" s="51">
        <v>5</v>
      </c>
      <c r="F202" s="35">
        <v>10</v>
      </c>
      <c r="G202" s="35"/>
      <c r="H202" s="35"/>
      <c r="I202" s="35"/>
      <c r="S202" s="35" t="s">
        <v>43</v>
      </c>
      <c r="T202" s="35"/>
      <c r="U202" s="35"/>
      <c r="V202" s="35"/>
      <c r="W202" s="35"/>
      <c r="X202" s="35"/>
      <c r="Y202" s="35"/>
      <c r="Z202" s="35"/>
      <c r="AC202" s="38" t="s">
        <v>34</v>
      </c>
      <c r="AD202" s="38" t="s">
        <v>34</v>
      </c>
      <c r="AE202" s="38"/>
      <c r="AF202" s="38"/>
      <c r="AG202" s="38" t="s">
        <v>34</v>
      </c>
      <c r="AH202" s="31"/>
      <c r="AI202" s="38" t="s">
        <v>34</v>
      </c>
      <c r="AJ202" s="38" t="s">
        <v>34</v>
      </c>
      <c r="AK202" s="38"/>
      <c r="AL202" s="38"/>
      <c r="AM202" s="38" t="s">
        <v>34</v>
      </c>
    </row>
    <row r="204" spans="2:64" ht="15.75" customHeight="1" x14ac:dyDescent="0.2">
      <c r="B204" s="177" t="s">
        <v>44</v>
      </c>
      <c r="C204" s="34"/>
      <c r="AC204" s="56" t="s">
        <v>27</v>
      </c>
      <c r="AD204" s="12"/>
      <c r="AE204" s="12"/>
      <c r="AF204" s="12"/>
      <c r="AG204" s="12"/>
      <c r="AH204" s="12"/>
      <c r="AI204" s="56" t="s">
        <v>28</v>
      </c>
      <c r="AK204" s="12"/>
      <c r="AL204" s="12"/>
    </row>
    <row r="205" spans="2:64" ht="15.75" customHeight="1" x14ac:dyDescent="0.2">
      <c r="B205" s="28" t="s">
        <v>61</v>
      </c>
      <c r="C205" s="28"/>
      <c r="D205" s="28" t="s">
        <v>29</v>
      </c>
      <c r="E205" s="57" t="s">
        <v>63</v>
      </c>
      <c r="F205" s="57" t="s">
        <v>72</v>
      </c>
      <c r="G205" s="57"/>
      <c r="H205" s="57"/>
      <c r="I205" s="57"/>
      <c r="J205" s="101"/>
      <c r="K205" s="101"/>
      <c r="L205" s="101"/>
      <c r="M205" s="101"/>
      <c r="N205" s="101"/>
      <c r="O205" s="101"/>
      <c r="P205" s="101"/>
      <c r="Q205" s="101"/>
      <c r="S205" s="28" t="s">
        <v>3</v>
      </c>
      <c r="T205" s="28"/>
      <c r="U205" s="57" t="s">
        <v>50</v>
      </c>
      <c r="V205" s="57" t="s">
        <v>70</v>
      </c>
      <c r="W205" s="28" t="s">
        <v>1</v>
      </c>
      <c r="X205" s="57" t="s">
        <v>62</v>
      </c>
      <c r="Y205" s="57" t="s">
        <v>9</v>
      </c>
      <c r="Z205" s="57"/>
      <c r="AA205" s="60"/>
      <c r="AB205" s="12"/>
      <c r="AC205" s="28" t="s">
        <v>30</v>
      </c>
      <c r="AD205" s="28" t="s">
        <v>1</v>
      </c>
      <c r="AE205" s="57" t="s">
        <v>10</v>
      </c>
      <c r="AF205" s="57"/>
      <c r="AG205" s="57" t="s">
        <v>64</v>
      </c>
      <c r="AH205" s="60"/>
      <c r="AI205" s="28" t="s">
        <v>30</v>
      </c>
      <c r="AJ205" s="28" t="s">
        <v>1</v>
      </c>
      <c r="AK205" s="57" t="s">
        <v>10</v>
      </c>
      <c r="AL205" s="57"/>
      <c r="AM205" s="57" t="s">
        <v>64</v>
      </c>
    </row>
    <row r="206" spans="2:64" ht="15.75" customHeight="1" x14ac:dyDescent="0.2">
      <c r="B206" s="33">
        <v>100</v>
      </c>
      <c r="C206" s="33"/>
      <c r="D206" s="29">
        <v>0.3</v>
      </c>
      <c r="E206" s="50">
        <v>5</v>
      </c>
      <c r="F206">
        <v>10</v>
      </c>
      <c r="S206" s="45" t="s">
        <v>47</v>
      </c>
      <c r="T206" s="45"/>
      <c r="U206" s="33"/>
      <c r="V206" s="33"/>
      <c r="W206" s="33">
        <v>200</v>
      </c>
      <c r="X206" s="33"/>
      <c r="Y206" s="33"/>
      <c r="Z206" s="33"/>
      <c r="AA206" s="67"/>
      <c r="AC206" s="33" t="e">
        <f>#REF!</f>
        <v>#REF!</v>
      </c>
      <c r="AD206" s="33">
        <f>W206*D206</f>
        <v>60</v>
      </c>
      <c r="AE206" s="33"/>
      <c r="AF206" s="33"/>
      <c r="AG206" s="44" t="e">
        <f>AD206/AC206</f>
        <v>#REF!</v>
      </c>
      <c r="AH206" s="44"/>
      <c r="AI206" s="33" t="e">
        <f>#REF!</f>
        <v>#REF!</v>
      </c>
      <c r="AJ206" s="31">
        <f>W206*(1-D206)</f>
        <v>140</v>
      </c>
      <c r="AK206" s="33"/>
      <c r="AL206" s="33"/>
      <c r="AM206" s="32" t="e">
        <f>AJ206/AI206</f>
        <v>#REF!</v>
      </c>
    </row>
    <row r="207" spans="2:64" ht="15.75" customHeight="1" x14ac:dyDescent="0.2">
      <c r="B207" s="36">
        <v>100</v>
      </c>
      <c r="C207" s="36"/>
      <c r="D207" s="37">
        <v>0.3</v>
      </c>
      <c r="E207" s="51">
        <v>5</v>
      </c>
      <c r="F207" s="35">
        <v>10</v>
      </c>
      <c r="G207" s="35"/>
      <c r="H207" s="35"/>
      <c r="I207" s="35"/>
      <c r="S207" s="47" t="s">
        <v>45</v>
      </c>
      <c r="T207" s="47"/>
      <c r="U207" s="36"/>
      <c r="V207" s="36"/>
      <c r="W207" s="36">
        <v>300</v>
      </c>
      <c r="X207" s="36"/>
      <c r="Y207" s="36"/>
      <c r="Z207" s="36"/>
      <c r="AA207" s="67"/>
      <c r="AC207" s="36" t="e">
        <f>#REF!</f>
        <v>#REF!</v>
      </c>
      <c r="AD207" s="36">
        <f>W207+AD206</f>
        <v>360</v>
      </c>
      <c r="AE207" s="36"/>
      <c r="AF207" s="36"/>
      <c r="AG207" s="48" t="e">
        <f>AD207/AC207</f>
        <v>#REF!</v>
      </c>
      <c r="AH207" s="44"/>
      <c r="AI207" s="36">
        <v>100</v>
      </c>
      <c r="AJ207" s="38">
        <f>AJ206</f>
        <v>140</v>
      </c>
      <c r="AK207" s="36"/>
      <c r="AL207" s="36"/>
      <c r="AM207" s="39">
        <v>1.4</v>
      </c>
    </row>
    <row r="208" spans="2:64" ht="15.75" customHeight="1" x14ac:dyDescent="0.2">
      <c r="B208" s="33">
        <v>100</v>
      </c>
      <c r="C208" s="33"/>
      <c r="D208" s="29">
        <v>0.3</v>
      </c>
      <c r="E208" s="50">
        <v>5</v>
      </c>
      <c r="F208">
        <v>10</v>
      </c>
      <c r="S208" s="45" t="s">
        <v>46</v>
      </c>
      <c r="T208" s="45"/>
      <c r="U208" s="33"/>
      <c r="V208" s="33"/>
      <c r="W208" s="33">
        <v>400</v>
      </c>
      <c r="X208" s="33"/>
      <c r="Y208" s="33"/>
      <c r="Z208" s="33"/>
      <c r="AC208" s="33">
        <v>100</v>
      </c>
      <c r="AD208" s="33">
        <f>AD207</f>
        <v>360</v>
      </c>
      <c r="AE208" s="33"/>
      <c r="AF208" s="33"/>
      <c r="AG208" s="44">
        <v>3.6</v>
      </c>
      <c r="AH208" s="44"/>
      <c r="AI208" s="33" t="e">
        <f>#REF!</f>
        <v>#REF!</v>
      </c>
      <c r="AJ208" s="33">
        <f>W208+AJ207</f>
        <v>540</v>
      </c>
      <c r="AK208" s="33"/>
      <c r="AL208" s="33"/>
      <c r="AM208" s="32" t="e">
        <f>AJ208/AI208</f>
        <v>#REF!</v>
      </c>
    </row>
    <row r="209" spans="2:44" ht="15.75" customHeight="1" x14ac:dyDescent="0.2">
      <c r="B209" s="36">
        <v>100</v>
      </c>
      <c r="C209" s="36"/>
      <c r="D209" s="37">
        <v>0.3</v>
      </c>
      <c r="E209" s="51">
        <v>5</v>
      </c>
      <c r="F209" s="35">
        <v>10</v>
      </c>
      <c r="G209" s="35"/>
      <c r="H209" s="35"/>
      <c r="I209" s="35"/>
      <c r="S209" s="47" t="s">
        <v>48</v>
      </c>
      <c r="T209" s="47"/>
      <c r="U209" s="36"/>
      <c r="V209" s="36"/>
      <c r="W209" s="36">
        <v>500</v>
      </c>
      <c r="X209" s="36"/>
      <c r="Y209" s="36"/>
      <c r="Z209" s="36"/>
      <c r="AA209" s="67"/>
      <c r="AC209" s="36" t="e">
        <f>#REF!</f>
        <v>#REF!</v>
      </c>
      <c r="AD209" s="36">
        <f>AD208+(W209*D209)</f>
        <v>510</v>
      </c>
      <c r="AE209" s="36"/>
      <c r="AF209" s="36"/>
      <c r="AG209" s="48" t="e">
        <f>AD209/AC209</f>
        <v>#REF!</v>
      </c>
      <c r="AH209" s="44"/>
      <c r="AI209" s="36" t="e">
        <f>#REF!</f>
        <v>#REF!</v>
      </c>
      <c r="AJ209" s="36">
        <f>AJ208+(W209*(1-D209))</f>
        <v>890</v>
      </c>
      <c r="AK209" s="36"/>
      <c r="AL209" s="36"/>
      <c r="AM209" s="39" t="e">
        <f>AJ209/AI209</f>
        <v>#REF!</v>
      </c>
    </row>
    <row r="211" spans="2:44" ht="15.75" customHeight="1" x14ac:dyDescent="0.2">
      <c r="B211" s="177" t="s">
        <v>98</v>
      </c>
      <c r="C211" s="34"/>
      <c r="AC211" s="56" t="s">
        <v>27</v>
      </c>
      <c r="AD211" s="12"/>
      <c r="AE211" s="12"/>
      <c r="AF211" s="12"/>
      <c r="AG211" s="12"/>
      <c r="AH211" s="12"/>
      <c r="AI211" s="56" t="s">
        <v>28</v>
      </c>
      <c r="AK211" s="12"/>
      <c r="AL211" s="12"/>
      <c r="AO211" s="34" t="s">
        <v>179</v>
      </c>
    </row>
    <row r="212" spans="2:44" ht="15.75" customHeight="1" x14ac:dyDescent="0.2">
      <c r="B212" s="28" t="s">
        <v>61</v>
      </c>
      <c r="C212" s="28"/>
      <c r="D212" s="28" t="s">
        <v>29</v>
      </c>
      <c r="E212" s="57" t="s">
        <v>63</v>
      </c>
      <c r="F212" s="57" t="s">
        <v>72</v>
      </c>
      <c r="G212" s="57"/>
      <c r="H212" s="57" t="s">
        <v>99</v>
      </c>
      <c r="I212" s="57"/>
      <c r="J212" s="101"/>
      <c r="K212" s="101"/>
      <c r="L212" s="101"/>
      <c r="M212" s="101"/>
      <c r="N212" s="101"/>
      <c r="O212" s="101"/>
      <c r="P212" s="101"/>
      <c r="Q212" s="101"/>
      <c r="S212" s="28" t="s">
        <v>3</v>
      </c>
      <c r="T212" s="28"/>
      <c r="U212" s="57" t="s">
        <v>50</v>
      </c>
      <c r="V212" s="57" t="s">
        <v>70</v>
      </c>
      <c r="W212" s="28" t="s">
        <v>1</v>
      </c>
      <c r="X212" s="57" t="s">
        <v>62</v>
      </c>
      <c r="Y212" s="57" t="s">
        <v>9</v>
      </c>
      <c r="Z212" s="57"/>
      <c r="AA212" s="60"/>
      <c r="AB212" s="12"/>
      <c r="AC212" s="28" t="s">
        <v>30</v>
      </c>
      <c r="AD212" s="28" t="s">
        <v>1</v>
      </c>
      <c r="AE212" s="57" t="s">
        <v>72</v>
      </c>
      <c r="AF212" s="57" t="s">
        <v>100</v>
      </c>
      <c r="AG212" s="57" t="s">
        <v>64</v>
      </c>
      <c r="AH212" s="60"/>
      <c r="AI212" s="28" t="s">
        <v>30</v>
      </c>
      <c r="AJ212" s="28" t="s">
        <v>1</v>
      </c>
      <c r="AK212" s="57" t="s">
        <v>99</v>
      </c>
      <c r="AL212" s="57" t="s">
        <v>101</v>
      </c>
      <c r="AM212" s="57" t="s">
        <v>64</v>
      </c>
      <c r="AO212" s="28" t="s">
        <v>100</v>
      </c>
      <c r="AP212" s="57" t="s">
        <v>101</v>
      </c>
      <c r="AQ212" s="101"/>
      <c r="AR212" s="101"/>
    </row>
    <row r="213" spans="2:44" ht="15.75" customHeight="1" x14ac:dyDescent="0.2">
      <c r="B213" s="33">
        <v>100</v>
      </c>
      <c r="C213" s="33" t="s">
        <v>187</v>
      </c>
      <c r="D213" s="29">
        <v>0.5</v>
      </c>
      <c r="E213" s="50">
        <v>5</v>
      </c>
      <c r="F213">
        <v>10</v>
      </c>
      <c r="H213">
        <v>20</v>
      </c>
      <c r="S213" s="45" t="s">
        <v>102</v>
      </c>
      <c r="T213" s="45"/>
      <c r="U213" s="33"/>
      <c r="V213" s="33"/>
      <c r="W213" s="33">
        <v>200</v>
      </c>
      <c r="X213" s="50" t="e">
        <f>W213/#REF!</f>
        <v>#REF!</v>
      </c>
      <c r="Y213" s="33"/>
      <c r="Z213" s="33"/>
      <c r="AA213" s="67"/>
      <c r="AC213" s="33" t="e">
        <f>#REF!</f>
        <v>#REF!</v>
      </c>
      <c r="AD213" s="33">
        <f>W213*D213</f>
        <v>100</v>
      </c>
      <c r="AE213" s="52" t="e">
        <f>AC213*(1+F213/100)/(1-#REF!/100)</f>
        <v>#REF!</v>
      </c>
      <c r="AF213" s="95" t="e">
        <f t="shared" ref="AF213:AF221" si="31">(B213-AE213)/AE213</f>
        <v>#REF!</v>
      </c>
      <c r="AG213" s="44" t="e">
        <f>AD213/AC213</f>
        <v>#REF!</v>
      </c>
      <c r="AH213" s="44"/>
      <c r="AI213" s="33" t="e">
        <f>#REF!</f>
        <v>#REF!</v>
      </c>
      <c r="AJ213" s="31">
        <f>W213*(1-D213)</f>
        <v>100</v>
      </c>
      <c r="AK213" s="52" t="e">
        <f>AI213*(1+H213/100)/(1-#REF!/100)</f>
        <v>#REF!</v>
      </c>
      <c r="AL213" s="54" t="e">
        <f t="shared" ref="AL213:AL221" si="32">(B213-AK213)/AK213</f>
        <v>#REF!</v>
      </c>
      <c r="AM213" s="32" t="e">
        <f>AJ213/AI213</f>
        <v>#REF!</v>
      </c>
      <c r="AO213" s="54" t="e">
        <f t="shared" ref="AO213:AO221" si="33">(B213-AE213)/AE213</f>
        <v>#REF!</v>
      </c>
      <c r="AP213" s="54" t="e">
        <f t="shared" ref="AP213:AP221" si="34">(B213-AK213)/AK213</f>
        <v>#REF!</v>
      </c>
    </row>
    <row r="214" spans="2:44" ht="15.75" customHeight="1" x14ac:dyDescent="0.2">
      <c r="B214" s="36">
        <v>109</v>
      </c>
      <c r="C214" s="36" t="s">
        <v>187</v>
      </c>
      <c r="D214" s="37">
        <v>0.5</v>
      </c>
      <c r="E214" s="51">
        <v>5</v>
      </c>
      <c r="F214" s="35">
        <v>10</v>
      </c>
      <c r="G214" s="35"/>
      <c r="H214" s="35">
        <v>20</v>
      </c>
      <c r="I214" s="35"/>
      <c r="S214" s="47"/>
      <c r="T214" s="47"/>
      <c r="U214" s="36"/>
      <c r="V214" s="36"/>
      <c r="W214" s="36"/>
      <c r="X214" s="51"/>
      <c r="Y214" s="36"/>
      <c r="Z214" s="36"/>
      <c r="AA214" s="67"/>
      <c r="AC214" s="36" t="e">
        <f t="shared" ref="AC214:AE216" si="35">AC213</f>
        <v>#REF!</v>
      </c>
      <c r="AD214" s="36">
        <f t="shared" si="35"/>
        <v>100</v>
      </c>
      <c r="AE214" s="40" t="e">
        <f t="shared" si="35"/>
        <v>#REF!</v>
      </c>
      <c r="AF214" s="116" t="e">
        <f t="shared" si="31"/>
        <v>#REF!</v>
      </c>
      <c r="AG214" s="48" t="e">
        <f>AG213</f>
        <v>#REF!</v>
      </c>
      <c r="AH214" s="44"/>
      <c r="AI214" s="36">
        <v>100</v>
      </c>
      <c r="AJ214" s="38">
        <f t="shared" ref="AJ214:AK216" si="36">AJ213</f>
        <v>100</v>
      </c>
      <c r="AK214" s="40" t="e">
        <f t="shared" si="36"/>
        <v>#REF!</v>
      </c>
      <c r="AL214" s="55" t="e">
        <f t="shared" si="32"/>
        <v>#REF!</v>
      </c>
      <c r="AM214" s="39" t="e">
        <f>AM213</f>
        <v>#REF!</v>
      </c>
      <c r="AO214" s="115" t="e">
        <f t="shared" si="33"/>
        <v>#REF!</v>
      </c>
      <c r="AP214" s="55" t="e">
        <f t="shared" si="34"/>
        <v>#REF!</v>
      </c>
    </row>
    <row r="215" spans="2:44" ht="15.75" customHeight="1" x14ac:dyDescent="0.2">
      <c r="B215" s="33">
        <v>115</v>
      </c>
      <c r="C215" s="33" t="s">
        <v>187</v>
      </c>
      <c r="D215" s="29">
        <v>0.5</v>
      </c>
      <c r="E215" s="50">
        <v>5</v>
      </c>
      <c r="F215">
        <v>10</v>
      </c>
      <c r="H215">
        <v>20</v>
      </c>
      <c r="S215" s="45"/>
      <c r="T215" s="45"/>
      <c r="U215" s="33"/>
      <c r="V215" s="33"/>
      <c r="W215" s="33"/>
      <c r="X215" s="50"/>
      <c r="Y215" s="33"/>
      <c r="Z215" s="33"/>
      <c r="AC215" s="33" t="e">
        <f t="shared" si="35"/>
        <v>#REF!</v>
      </c>
      <c r="AD215" s="33">
        <f t="shared" si="35"/>
        <v>100</v>
      </c>
      <c r="AE215" s="118" t="e">
        <f t="shared" si="35"/>
        <v>#REF!</v>
      </c>
      <c r="AF215" s="113" t="e">
        <f t="shared" si="31"/>
        <v>#REF!</v>
      </c>
      <c r="AG215" s="44" t="e">
        <f>AG214</f>
        <v>#REF!</v>
      </c>
      <c r="AH215" s="44"/>
      <c r="AI215" s="33">
        <v>100</v>
      </c>
      <c r="AJ215" s="31">
        <f t="shared" si="36"/>
        <v>100</v>
      </c>
      <c r="AK215" s="52" t="e">
        <f t="shared" si="36"/>
        <v>#REF!</v>
      </c>
      <c r="AL215" s="62" t="e">
        <f t="shared" si="32"/>
        <v>#REF!</v>
      </c>
      <c r="AM215" s="32" t="e">
        <f>AM214</f>
        <v>#REF!</v>
      </c>
      <c r="AO215" s="117" t="e">
        <f t="shared" si="33"/>
        <v>#REF!</v>
      </c>
      <c r="AP215" s="54" t="e">
        <f t="shared" si="34"/>
        <v>#REF!</v>
      </c>
    </row>
    <row r="216" spans="2:44" ht="15.75" customHeight="1" x14ac:dyDescent="0.2">
      <c r="B216" s="36">
        <v>122</v>
      </c>
      <c r="C216" s="36" t="s">
        <v>187</v>
      </c>
      <c r="D216" s="37">
        <v>0.5</v>
      </c>
      <c r="E216" s="51">
        <v>5</v>
      </c>
      <c r="F216" s="35">
        <v>10</v>
      </c>
      <c r="G216" s="35"/>
      <c r="H216" s="35">
        <v>20</v>
      </c>
      <c r="I216" s="35"/>
      <c r="S216" s="47"/>
      <c r="T216" s="47"/>
      <c r="U216" s="36"/>
      <c r="V216" s="36"/>
      <c r="W216" s="36"/>
      <c r="X216" s="51"/>
      <c r="Y216" s="36"/>
      <c r="Z216" s="36"/>
      <c r="AA216" s="67"/>
      <c r="AC216" s="36" t="e">
        <f t="shared" si="35"/>
        <v>#REF!</v>
      </c>
      <c r="AD216" s="36">
        <f t="shared" si="35"/>
        <v>100</v>
      </c>
      <c r="AE216" s="119" t="e">
        <f t="shared" si="35"/>
        <v>#REF!</v>
      </c>
      <c r="AF216" s="114" t="e">
        <f t="shared" si="31"/>
        <v>#REF!</v>
      </c>
      <c r="AG216" s="48" t="e">
        <f>AG215</f>
        <v>#REF!</v>
      </c>
      <c r="AH216" s="44"/>
      <c r="AI216" s="36">
        <v>100</v>
      </c>
      <c r="AJ216" s="38">
        <f t="shared" si="36"/>
        <v>100</v>
      </c>
      <c r="AK216" s="119" t="e">
        <f t="shared" si="36"/>
        <v>#REF!</v>
      </c>
      <c r="AL216" s="114" t="e">
        <f t="shared" si="32"/>
        <v>#REF!</v>
      </c>
      <c r="AM216" s="39" t="e">
        <f>AM215</f>
        <v>#REF!</v>
      </c>
      <c r="AO216" s="114" t="e">
        <f t="shared" si="33"/>
        <v>#REF!</v>
      </c>
      <c r="AP216" s="114" t="e">
        <f t="shared" si="34"/>
        <v>#REF!</v>
      </c>
    </row>
    <row r="217" spans="2:44" ht="15.75" customHeight="1" x14ac:dyDescent="0.2">
      <c r="B217" s="33">
        <v>100</v>
      </c>
      <c r="C217" s="33" t="s">
        <v>188</v>
      </c>
      <c r="D217" s="29">
        <v>0.5</v>
      </c>
      <c r="E217" s="50">
        <v>5</v>
      </c>
      <c r="F217">
        <v>10</v>
      </c>
      <c r="H217">
        <v>20</v>
      </c>
      <c r="S217" s="45" t="s">
        <v>102</v>
      </c>
      <c r="T217" s="45"/>
      <c r="U217" s="33"/>
      <c r="V217" s="33"/>
      <c r="W217" s="33">
        <v>200</v>
      </c>
      <c r="X217" s="50" t="e">
        <f>W217/#REF!</f>
        <v>#REF!</v>
      </c>
      <c r="Y217" s="33"/>
      <c r="Z217" s="33"/>
      <c r="AA217" s="67"/>
      <c r="AC217" s="33" t="e">
        <f>#REF!</f>
        <v>#REF!</v>
      </c>
      <c r="AD217" s="33">
        <f>W217*D217</f>
        <v>100</v>
      </c>
      <c r="AE217" s="52" t="e">
        <f>AC217*(1+F217/100)/(1-#REF!/100)</f>
        <v>#REF!</v>
      </c>
      <c r="AF217" s="95" t="e">
        <f t="shared" si="31"/>
        <v>#REF!</v>
      </c>
      <c r="AG217" s="44" t="e">
        <f>AD217/AC217</f>
        <v>#REF!</v>
      </c>
      <c r="AH217" s="44"/>
      <c r="AI217" s="33" t="e">
        <f>#REF!</f>
        <v>#REF!</v>
      </c>
      <c r="AJ217" s="31">
        <f>W217*(1-D217)</f>
        <v>100</v>
      </c>
      <c r="AK217" s="52" t="e">
        <f>AI217*(1+H217/100)/(1-#REF!/100)</f>
        <v>#REF!</v>
      </c>
      <c r="AL217" s="54" t="e">
        <f t="shared" si="32"/>
        <v>#REF!</v>
      </c>
      <c r="AM217" s="32" t="e">
        <f>AJ217/AI217</f>
        <v>#REF!</v>
      </c>
      <c r="AO217" s="54" t="e">
        <f t="shared" si="33"/>
        <v>#REF!</v>
      </c>
      <c r="AP217" s="54" t="e">
        <f t="shared" si="34"/>
        <v>#REF!</v>
      </c>
    </row>
    <row r="218" spans="2:44" ht="15.75" customHeight="1" x14ac:dyDescent="0.2">
      <c r="B218" s="36">
        <v>109</v>
      </c>
      <c r="C218" s="36" t="s">
        <v>188</v>
      </c>
      <c r="D218" s="37">
        <v>0.5</v>
      </c>
      <c r="E218" s="51">
        <v>5</v>
      </c>
      <c r="F218" s="35">
        <v>10</v>
      </c>
      <c r="G218" s="35"/>
      <c r="H218" s="35">
        <v>20</v>
      </c>
      <c r="I218" s="35"/>
      <c r="S218" s="47"/>
      <c r="T218" s="47"/>
      <c r="U218" s="36"/>
      <c r="V218" s="36"/>
      <c r="W218" s="36"/>
      <c r="X218" s="51"/>
      <c r="Y218" s="36"/>
      <c r="Z218" s="36"/>
      <c r="AA218" s="67"/>
      <c r="AC218" s="36" t="e">
        <f t="shared" ref="AC218:AE218" si="37">AC217</f>
        <v>#REF!</v>
      </c>
      <c r="AD218" s="36">
        <f t="shared" si="37"/>
        <v>100</v>
      </c>
      <c r="AE218" s="40" t="e">
        <f t="shared" si="37"/>
        <v>#REF!</v>
      </c>
      <c r="AF218" s="55" t="e">
        <f t="shared" si="31"/>
        <v>#REF!</v>
      </c>
      <c r="AG218" s="48" t="e">
        <f>AG217</f>
        <v>#REF!</v>
      </c>
      <c r="AH218" s="44"/>
      <c r="AI218" s="36">
        <v>100</v>
      </c>
      <c r="AJ218" s="38">
        <f t="shared" ref="AJ218:AK218" si="38">AJ217</f>
        <v>100</v>
      </c>
      <c r="AK218" s="40" t="e">
        <f t="shared" si="38"/>
        <v>#REF!</v>
      </c>
      <c r="AL218" s="55" t="e">
        <f t="shared" si="32"/>
        <v>#REF!</v>
      </c>
      <c r="AM218" s="39" t="e">
        <f>AM217</f>
        <v>#REF!</v>
      </c>
      <c r="AO218" s="55" t="e">
        <f t="shared" si="33"/>
        <v>#REF!</v>
      </c>
      <c r="AP218" s="55" t="e">
        <f t="shared" si="34"/>
        <v>#REF!</v>
      </c>
    </row>
    <row r="219" spans="2:44" ht="15.75" customHeight="1" x14ac:dyDescent="0.2">
      <c r="B219" s="33">
        <v>115</v>
      </c>
      <c r="C219" s="33" t="s">
        <v>188</v>
      </c>
      <c r="D219" s="29">
        <v>0.5</v>
      </c>
      <c r="E219" s="50">
        <v>5</v>
      </c>
      <c r="F219">
        <v>10</v>
      </c>
      <c r="H219">
        <v>20</v>
      </c>
      <c r="S219" s="45"/>
      <c r="T219" s="45"/>
      <c r="U219" s="33"/>
      <c r="V219" s="33"/>
      <c r="W219" s="33"/>
      <c r="X219" s="50"/>
      <c r="Y219" s="33"/>
      <c r="Z219" s="33"/>
      <c r="AA219" s="67"/>
      <c r="AC219" s="33" t="e">
        <f t="shared" ref="AC219:AE219" si="39">AC218</f>
        <v>#REF!</v>
      </c>
      <c r="AD219" s="33">
        <f t="shared" si="39"/>
        <v>100</v>
      </c>
      <c r="AE219" s="118" t="e">
        <f t="shared" si="39"/>
        <v>#REF!</v>
      </c>
      <c r="AF219" s="113" t="e">
        <f t="shared" si="31"/>
        <v>#REF!</v>
      </c>
      <c r="AG219" s="44" t="e">
        <f>AG218</f>
        <v>#REF!</v>
      </c>
      <c r="AH219" s="44"/>
      <c r="AI219" s="33">
        <v>100</v>
      </c>
      <c r="AJ219" s="31">
        <f t="shared" ref="AJ219:AK219" si="40">AJ218</f>
        <v>100</v>
      </c>
      <c r="AK219" s="52" t="e">
        <f t="shared" si="40"/>
        <v>#REF!</v>
      </c>
      <c r="AL219" s="62" t="e">
        <f t="shared" si="32"/>
        <v>#REF!</v>
      </c>
      <c r="AM219" s="32" t="e">
        <f>AM218</f>
        <v>#REF!</v>
      </c>
      <c r="AO219" s="117" t="e">
        <f t="shared" si="33"/>
        <v>#REF!</v>
      </c>
      <c r="AP219" s="54" t="e">
        <f t="shared" si="34"/>
        <v>#REF!</v>
      </c>
    </row>
    <row r="220" spans="2:44" ht="15.75" customHeight="1" x14ac:dyDescent="0.2">
      <c r="B220" s="36">
        <v>122</v>
      </c>
      <c r="C220" s="121" t="s">
        <v>188</v>
      </c>
      <c r="D220" s="37">
        <v>0.5</v>
      </c>
      <c r="E220" s="51">
        <v>5</v>
      </c>
      <c r="F220" s="35">
        <v>10</v>
      </c>
      <c r="G220" s="35"/>
      <c r="H220" s="35">
        <v>20</v>
      </c>
      <c r="I220" s="35"/>
      <c r="S220" s="47"/>
      <c r="T220" s="47"/>
      <c r="U220" s="36"/>
      <c r="V220" s="36"/>
      <c r="W220" s="36"/>
      <c r="X220" s="51"/>
      <c r="Y220" s="36"/>
      <c r="Z220" s="36"/>
      <c r="AA220" s="67"/>
      <c r="AC220" s="36" t="e">
        <f t="shared" ref="AC220:AE220" si="41">AC219</f>
        <v>#REF!</v>
      </c>
      <c r="AD220" s="36">
        <f t="shared" si="41"/>
        <v>100</v>
      </c>
      <c r="AE220" s="119" t="e">
        <f t="shared" si="41"/>
        <v>#REF!</v>
      </c>
      <c r="AF220" s="114" t="e">
        <f t="shared" si="31"/>
        <v>#REF!</v>
      </c>
      <c r="AG220" s="48" t="e">
        <f>AG219</f>
        <v>#REF!</v>
      </c>
      <c r="AH220" s="44"/>
      <c r="AI220" s="36">
        <v>100</v>
      </c>
      <c r="AJ220" s="38">
        <f t="shared" ref="AJ220:AK220" si="42">AJ219</f>
        <v>100</v>
      </c>
      <c r="AK220" s="119" t="e">
        <f t="shared" si="42"/>
        <v>#REF!</v>
      </c>
      <c r="AL220" s="114" t="e">
        <f t="shared" si="32"/>
        <v>#REF!</v>
      </c>
      <c r="AM220" s="39" t="e">
        <f>AM219</f>
        <v>#REF!</v>
      </c>
      <c r="AO220" s="114" t="e">
        <f t="shared" si="33"/>
        <v>#REF!</v>
      </c>
      <c r="AP220" s="114" t="e">
        <f t="shared" si="34"/>
        <v>#REF!</v>
      </c>
    </row>
    <row r="221" spans="2:44" ht="15.75" customHeight="1" x14ac:dyDescent="0.2">
      <c r="B221" s="33">
        <v>122</v>
      </c>
      <c r="C221" s="33" t="s">
        <v>188</v>
      </c>
      <c r="D221" s="29">
        <v>0.5</v>
      </c>
      <c r="E221" s="50">
        <v>5</v>
      </c>
      <c r="F221">
        <v>10</v>
      </c>
      <c r="H221">
        <v>20</v>
      </c>
      <c r="S221" s="45" t="s">
        <v>189</v>
      </c>
      <c r="T221" s="45"/>
      <c r="U221" s="33"/>
      <c r="V221" s="33"/>
      <c r="W221" s="33">
        <v>200</v>
      </c>
      <c r="X221" s="50" t="e">
        <f>W221/#REF!</f>
        <v>#REF!</v>
      </c>
      <c r="Y221" s="33"/>
      <c r="Z221" s="33"/>
      <c r="AA221" s="67"/>
      <c r="AC221" s="33" t="e">
        <f>#REF!</f>
        <v>#REF!</v>
      </c>
      <c r="AD221" s="33">
        <f>W221*D221</f>
        <v>100</v>
      </c>
      <c r="AE221" s="118" t="e">
        <f>AC221*(1+F221/100)/(1-#REF!/100)</f>
        <v>#REF!</v>
      </c>
      <c r="AF221" s="113" t="e">
        <f t="shared" si="31"/>
        <v>#REF!</v>
      </c>
      <c r="AG221" s="44" t="e">
        <f>AG220</f>
        <v>#REF!</v>
      </c>
      <c r="AH221" s="44"/>
      <c r="AI221" s="33" t="e">
        <f>#REF!</f>
        <v>#REF!</v>
      </c>
      <c r="AJ221" s="31">
        <f>W221*(1-D221)</f>
        <v>100</v>
      </c>
      <c r="AK221" s="52" t="e">
        <f>AI221*(1+H221/100)/(1-#REF!/100)</f>
        <v>#REF!</v>
      </c>
      <c r="AL221" s="54" t="e">
        <f t="shared" si="32"/>
        <v>#REF!</v>
      </c>
      <c r="AM221" s="32" t="e">
        <f>AJ221/AI221</f>
        <v>#REF!</v>
      </c>
      <c r="AO221" s="117" t="e">
        <f t="shared" si="33"/>
        <v>#REF!</v>
      </c>
      <c r="AP221" s="54" t="e">
        <f t="shared" si="34"/>
        <v>#REF!</v>
      </c>
    </row>
    <row r="222" spans="2:44" ht="15.75" customHeight="1" x14ac:dyDescent="0.2">
      <c r="B222" s="33"/>
      <c r="C222" s="33"/>
      <c r="D222" s="29"/>
      <c r="E222" s="50"/>
      <c r="S222" s="45"/>
      <c r="T222" s="45"/>
      <c r="U222" s="33"/>
      <c r="V222" s="33"/>
      <c r="W222" s="33"/>
      <c r="X222" s="50"/>
      <c r="Y222" s="33"/>
      <c r="Z222" s="33"/>
      <c r="AA222" s="67"/>
      <c r="AC222" s="33"/>
      <c r="AD222" s="33"/>
      <c r="AE222" s="52"/>
      <c r="AF222" s="62"/>
      <c r="AG222" s="44"/>
      <c r="AH222" s="44"/>
      <c r="AI222" s="33"/>
      <c r="AJ222" s="31"/>
      <c r="AK222" s="33"/>
      <c r="AL222" s="62"/>
      <c r="AM222" s="32"/>
    </row>
    <row r="223" spans="2:44" ht="15.75" customHeight="1" x14ac:dyDescent="0.2">
      <c r="AC223" s="110"/>
      <c r="AD223" s="110"/>
      <c r="AE223" s="110"/>
      <c r="AF223" s="110"/>
      <c r="AG223" s="110"/>
      <c r="AH223" s="110"/>
      <c r="AI223" s="110"/>
      <c r="AJ223" s="110"/>
      <c r="AK223" s="110"/>
      <c r="AL223" s="110"/>
      <c r="AM223" s="110"/>
      <c r="AN223" s="110"/>
    </row>
    <row r="224" spans="2:44" ht="15.75" customHeight="1" x14ac:dyDescent="0.2">
      <c r="B224" s="177" t="s">
        <v>103</v>
      </c>
      <c r="C224" s="34"/>
      <c r="AC224" s="110"/>
      <c r="AD224" s="110"/>
      <c r="AE224" s="111"/>
      <c r="AF224" s="110"/>
      <c r="AG224" s="110"/>
      <c r="AH224" s="110"/>
      <c r="AI224" s="110"/>
      <c r="AJ224" s="110"/>
      <c r="AK224" s="110"/>
      <c r="AL224" s="110"/>
      <c r="AM224" s="110"/>
      <c r="AN224" s="110"/>
    </row>
    <row r="225" spans="2:40" ht="15.75" customHeight="1" x14ac:dyDescent="0.2">
      <c r="B225" s="28" t="s">
        <v>61</v>
      </c>
      <c r="C225" s="28"/>
      <c r="D225" s="28" t="s">
        <v>29</v>
      </c>
      <c r="E225" s="57" t="s">
        <v>63</v>
      </c>
      <c r="F225" s="57" t="s">
        <v>72</v>
      </c>
      <c r="G225" s="57"/>
      <c r="H225" s="57" t="s">
        <v>99</v>
      </c>
      <c r="I225" s="57"/>
      <c r="J225" s="101"/>
      <c r="K225" s="101"/>
      <c r="L225" s="101"/>
      <c r="M225" s="101"/>
      <c r="N225" s="101"/>
      <c r="O225" s="101"/>
      <c r="P225" s="101"/>
      <c r="Q225" s="101"/>
      <c r="AC225" s="110"/>
      <c r="AD225" s="110"/>
      <c r="AE225" s="112"/>
      <c r="AF225" s="110"/>
      <c r="AG225" s="110"/>
      <c r="AH225" s="110"/>
      <c r="AI225" s="110"/>
      <c r="AJ225" s="110"/>
      <c r="AK225" s="110"/>
      <c r="AL225" s="110"/>
      <c r="AM225" s="110"/>
      <c r="AN225" s="110"/>
    </row>
    <row r="226" spans="2:40" ht="15.75" customHeight="1" x14ac:dyDescent="0.2">
      <c r="B226" s="33">
        <v>100</v>
      </c>
      <c r="C226" s="33"/>
      <c r="D226" s="29">
        <v>0.5</v>
      </c>
      <c r="E226" s="50">
        <v>5</v>
      </c>
      <c r="F226">
        <v>10</v>
      </c>
      <c r="H226">
        <v>20</v>
      </c>
      <c r="AC226" s="110"/>
      <c r="AD226" s="110"/>
      <c r="AE226" s="110"/>
      <c r="AF226" s="110"/>
      <c r="AG226" s="110"/>
      <c r="AH226" s="110"/>
      <c r="AI226" s="110"/>
      <c r="AJ226" s="110"/>
      <c r="AK226" s="110"/>
      <c r="AL226" s="110"/>
      <c r="AM226" s="110"/>
      <c r="AN226" s="110"/>
    </row>
    <row r="227" spans="2:40" ht="15.75" customHeight="1" x14ac:dyDescent="0.2">
      <c r="B227" s="36">
        <v>109</v>
      </c>
      <c r="C227" s="36"/>
      <c r="D227" s="37">
        <v>0.5</v>
      </c>
      <c r="E227" s="51">
        <v>5</v>
      </c>
      <c r="F227" s="35">
        <v>10</v>
      </c>
      <c r="G227" s="35"/>
      <c r="H227" s="35">
        <v>20</v>
      </c>
      <c r="I227" s="35"/>
      <c r="AC227" s="110"/>
      <c r="AD227" s="110"/>
      <c r="AE227" s="110"/>
      <c r="AF227" s="110"/>
      <c r="AG227" s="110"/>
      <c r="AH227" s="110"/>
      <c r="AI227" s="110"/>
      <c r="AJ227" s="110"/>
      <c r="AK227" s="110"/>
      <c r="AL227" s="110"/>
      <c r="AM227" s="110"/>
      <c r="AN227" s="110"/>
    </row>
    <row r="228" spans="2:40" ht="15.75" customHeight="1" x14ac:dyDescent="0.2">
      <c r="B228" s="33">
        <v>115</v>
      </c>
      <c r="C228" s="33"/>
      <c r="D228" s="29">
        <v>0.5</v>
      </c>
      <c r="E228" s="50">
        <v>5</v>
      </c>
      <c r="F228">
        <v>10</v>
      </c>
      <c r="H228">
        <v>20</v>
      </c>
      <c r="AC228" s="110"/>
      <c r="AD228" s="110"/>
      <c r="AE228" s="110"/>
      <c r="AF228" s="110"/>
      <c r="AG228" s="110"/>
      <c r="AH228" s="110"/>
      <c r="AI228" s="110"/>
      <c r="AJ228" s="110"/>
      <c r="AK228" s="110"/>
      <c r="AL228" s="110"/>
      <c r="AM228" s="110"/>
      <c r="AN228" s="110"/>
    </row>
    <row r="229" spans="2:40" ht="15.75" customHeight="1" x14ac:dyDescent="0.2">
      <c r="B229" s="36">
        <v>122</v>
      </c>
      <c r="C229" s="36"/>
      <c r="D229" s="37">
        <v>0.5</v>
      </c>
      <c r="E229" s="51">
        <v>5</v>
      </c>
      <c r="F229" s="35">
        <v>10</v>
      </c>
      <c r="G229" s="35"/>
      <c r="H229" s="35">
        <v>20</v>
      </c>
      <c r="I229" s="35"/>
      <c r="AC229" s="110"/>
      <c r="AD229" s="110"/>
      <c r="AE229" s="110"/>
      <c r="AF229" s="110"/>
      <c r="AG229" s="110"/>
      <c r="AH229" s="110"/>
      <c r="AI229" s="110"/>
      <c r="AJ229" s="110"/>
      <c r="AK229" s="110"/>
      <c r="AL229" s="110"/>
      <c r="AM229" s="110"/>
      <c r="AN229" s="110"/>
    </row>
    <row r="230" spans="2:40" ht="15.75" customHeight="1" x14ac:dyDescent="0.2">
      <c r="AN230" s="120"/>
    </row>
    <row r="231" spans="2:40" ht="15.75" customHeight="1" x14ac:dyDescent="0.2">
      <c r="B231" s="177" t="s">
        <v>175</v>
      </c>
      <c r="C231" s="34"/>
      <c r="AC231" s="56" t="s">
        <v>186</v>
      </c>
      <c r="AD231" s="12"/>
      <c r="AE231" s="12"/>
      <c r="AF231" s="34" t="s">
        <v>179</v>
      </c>
      <c r="AI231" s="46"/>
      <c r="AJ231" s="45"/>
      <c r="AK231" s="46"/>
      <c r="AL231" s="46"/>
      <c r="AM231" s="45"/>
    </row>
    <row r="232" spans="2:40" ht="15.75" customHeight="1" x14ac:dyDescent="0.2">
      <c r="B232" s="28" t="s">
        <v>110</v>
      </c>
      <c r="C232" s="28" t="s">
        <v>114</v>
      </c>
      <c r="D232" s="28" t="s">
        <v>29</v>
      </c>
      <c r="E232" s="57" t="s">
        <v>63</v>
      </c>
      <c r="F232" s="57" t="s">
        <v>72</v>
      </c>
      <c r="G232" s="57"/>
      <c r="H232" s="57" t="s">
        <v>99</v>
      </c>
      <c r="I232" s="57"/>
      <c r="J232" s="101"/>
      <c r="K232" s="101"/>
      <c r="L232" s="101"/>
      <c r="M232" s="101"/>
      <c r="N232" s="101"/>
      <c r="O232" s="101"/>
      <c r="P232" s="101"/>
      <c r="Q232" s="101"/>
      <c r="S232" s="28" t="s">
        <v>3</v>
      </c>
      <c r="T232" s="28"/>
      <c r="U232" s="28"/>
      <c r="V232" s="57" t="s">
        <v>70</v>
      </c>
      <c r="W232" s="28" t="s">
        <v>1</v>
      </c>
      <c r="X232" s="57" t="s">
        <v>62</v>
      </c>
      <c r="Y232" s="101"/>
      <c r="Z232" s="101"/>
      <c r="AC232" s="57" t="s">
        <v>0</v>
      </c>
      <c r="AD232" s="57" t="s">
        <v>9</v>
      </c>
      <c r="AE232" s="101"/>
      <c r="AF232" s="57" t="s">
        <v>182</v>
      </c>
      <c r="AG232" s="57" t="s">
        <v>183</v>
      </c>
      <c r="AH232" s="57" t="s">
        <v>181</v>
      </c>
      <c r="AI232" s="101"/>
      <c r="AJ232" s="101"/>
      <c r="AK232" s="101"/>
      <c r="AL232" s="101"/>
      <c r="AM232" s="101"/>
    </row>
    <row r="233" spans="2:40" ht="15.75" customHeight="1" x14ac:dyDescent="0.2">
      <c r="B233" s="33">
        <v>100</v>
      </c>
      <c r="C233" s="99" t="s">
        <v>176</v>
      </c>
      <c r="D233" s="29">
        <v>0.5</v>
      </c>
      <c r="E233" s="50">
        <v>5</v>
      </c>
      <c r="F233">
        <v>10</v>
      </c>
      <c r="H233">
        <v>20</v>
      </c>
      <c r="S233" s="45" t="s">
        <v>75</v>
      </c>
      <c r="T233" s="45"/>
      <c r="U233" s="33"/>
      <c r="V233" s="33"/>
      <c r="W233" s="33">
        <v>500</v>
      </c>
      <c r="X233" s="50" t="e">
        <f>W233/#REF!</f>
        <v>#REF!</v>
      </c>
      <c r="Y233" s="52"/>
      <c r="Z233" s="52"/>
      <c r="AC233" s="33"/>
      <c r="AD233" s="33"/>
      <c r="AE233" s="33"/>
      <c r="AF233" s="100" t="e">
        <f>IF(
      OR(
        (B233*(1+#REF!/100)/C240-1)*100 &lt;= -E233,
        (B233*(1+#REF!/100)/C241-1)*100 &lt;= -E233,
        (B233*(1+#REF!/100)/C242-1)*100 &lt;= -E233,
        (B233*(1+#REF!/100)/C243-1)*100 &lt;= -E233,
        (B233*(1+#REF!/100)/C244-1)*100 &lt;= -E233
      ),
      MIN(
        IF((B233*(1+#REF!/100)/C240-1)*100 &lt;= -E233, (B233*(1+#REF!/100)/C240-1)*100, 0),
        IF((B233*(1+#REF!/100)/C241-1)*100 &lt;= -E233, (B233*(1+#REF!/100)/C241-1)*100, 0),
        IF((B233*(1+#REF!/100)/C242-1)*100 &lt;= -E233, (B233*(1+#REF!/100)/C242-1)*100, 0),
        IF((B233*(1+#REF!/100)/C243-1)*100 &lt;= -E233, (B233*(1+#REF!/100)/C243-1)*100, 0),
        IF((B233*(1+#REF!/100)/C244-1)*100 &lt;= -E233, (B233*(1+#REF!/100)/C244-1)*100, 0)
      )/100,
      ""
    )</f>
        <v>#REF!</v>
      </c>
      <c r="AG233" s="92" t="s">
        <v>34</v>
      </c>
      <c r="AH233" t="s">
        <v>184</v>
      </c>
      <c r="AI233" s="99"/>
      <c r="AJ233" s="102"/>
      <c r="AK233" s="99"/>
      <c r="AL233" s="103"/>
      <c r="AM233" s="104"/>
    </row>
    <row r="234" spans="2:40" ht="15.75" customHeight="1" x14ac:dyDescent="0.2">
      <c r="B234" s="36"/>
      <c r="C234" s="36"/>
      <c r="D234" s="37"/>
      <c r="E234" s="51"/>
      <c r="F234" s="35"/>
      <c r="G234" s="35"/>
      <c r="H234" s="35"/>
      <c r="I234" s="35"/>
      <c r="S234" s="47" t="s">
        <v>75</v>
      </c>
      <c r="T234" s="47"/>
      <c r="U234" s="36"/>
      <c r="V234" s="36"/>
      <c r="W234" s="36">
        <v>200</v>
      </c>
      <c r="X234" s="51" t="e">
        <f>W234/#REF!</f>
        <v>#REF!</v>
      </c>
      <c r="Y234" s="52"/>
      <c r="Z234" s="52"/>
      <c r="AC234" s="36"/>
      <c r="AD234" s="36"/>
      <c r="AE234" s="33"/>
      <c r="AF234" s="107" t="e">
        <f>IF(
      OR(
        (B233*(1+#REF!/100)/C240-1)*100 &lt;= -E233,
        (B233*(1+#REF!/100)/C241-1)*100 &lt;= -E233,
        (B233*(1+#REF!/100)/C242-1)*100 &lt;= -E233,
        (B233*(1+#REF!/100)/C243-1)*100 &lt;= -E233,
        (B233*(1+#REF!/100)/C244-1)*100 &lt;= -E233
      ),
      MIN(
        IF((B233*(1+#REF!/100)/C240-1)*100 &lt;= -E233, (B233*(1+#REF!/100)/C240-1)*100, 0),
        IF((B233*(1+#REF!/100)/C241-1)*100 &lt;= -E233, (B233*(1+#REF!/100)/C241-1)*100, 0),
        IF((B233*(1+#REF!/100)/C242-1)*100 &lt;= -E233, (B233*(1+#REF!/100)/C242-1)*100, 0),
        IF((B233*(1+#REF!/100)/C243-1)*100 &lt;= -E233, (B233*(1+#REF!/100)/C243-1)*100, 0),
        IF((B233*(1+#REF!/100)/C244-1)*100 &lt;= -E233, (B233*(1+#REF!/100)/C244-1)*100, 0)
      )/100,
      ""
    )</f>
        <v>#REF!</v>
      </c>
      <c r="AG234" s="105" t="s">
        <v>34</v>
      </c>
      <c r="AH234" s="35" t="e">
        <f>#REF!</f>
        <v>#REF!</v>
      </c>
      <c r="AI234" s="99"/>
      <c r="AJ234" s="102"/>
      <c r="AK234" s="99"/>
      <c r="AL234" s="103"/>
      <c r="AM234" s="104"/>
    </row>
    <row r="235" spans="2:40" ht="15.75" customHeight="1" x14ac:dyDescent="0.2">
      <c r="B235" s="33">
        <v>50</v>
      </c>
      <c r="C235" s="99" t="s">
        <v>185</v>
      </c>
      <c r="D235" s="29">
        <v>0.5</v>
      </c>
      <c r="E235" s="50">
        <v>8</v>
      </c>
      <c r="F235">
        <v>10</v>
      </c>
      <c r="H235">
        <v>20</v>
      </c>
      <c r="S235" s="45" t="s">
        <v>75</v>
      </c>
      <c r="T235" s="45"/>
      <c r="U235" s="33"/>
      <c r="V235" s="33"/>
      <c r="W235" s="33">
        <v>600</v>
      </c>
      <c r="X235" s="50" t="e">
        <f>W235/#REF!</f>
        <v>#REF!</v>
      </c>
      <c r="Y235" s="52"/>
      <c r="Z235" s="52"/>
      <c r="AC235" s="33" t="e">
        <f>#REF!</f>
        <v>#REF!</v>
      </c>
      <c r="AD235" s="52" t="e">
        <f>AC235 * (1 - $E$235%)</f>
        <v>#REF!</v>
      </c>
      <c r="AE235" s="33"/>
      <c r="AG235" s="54" t="e">
        <f>($B$235 -#REF!) /#REF!</f>
        <v>#REF!</v>
      </c>
      <c r="AH235" t="e">
        <f>#REF!</f>
        <v>#REF!</v>
      </c>
      <c r="AI235" s="99"/>
      <c r="AJ235" s="102"/>
      <c r="AK235" s="99"/>
      <c r="AL235" s="103"/>
      <c r="AM235" s="104"/>
    </row>
    <row r="236" spans="2:40" ht="15.75" customHeight="1" x14ac:dyDescent="0.2">
      <c r="B236" s="36"/>
      <c r="C236" s="36"/>
      <c r="D236" s="37"/>
      <c r="E236" s="51"/>
      <c r="F236" s="35"/>
      <c r="G236" s="35"/>
      <c r="H236" s="35"/>
      <c r="I236" s="35"/>
      <c r="S236" s="47" t="s">
        <v>75</v>
      </c>
      <c r="T236" s="47"/>
      <c r="U236" s="36"/>
      <c r="V236" s="36"/>
      <c r="W236" s="36">
        <v>520</v>
      </c>
      <c r="X236" s="51" t="e">
        <f>W236/#REF!</f>
        <v>#REF!</v>
      </c>
      <c r="Y236" s="52"/>
      <c r="Z236" s="52"/>
      <c r="AC236" s="36" t="e">
        <f>#REF!</f>
        <v>#REF!</v>
      </c>
      <c r="AD236" s="40" t="e">
        <f t="shared" ref="AD236:AD237" si="43">AC236 * (1 - $E$235%)</f>
        <v>#REF!</v>
      </c>
      <c r="AE236" s="33"/>
      <c r="AF236" s="35"/>
      <c r="AG236" s="55" t="e">
        <f>($B$235 -#REF!) /#REF!</f>
        <v>#REF!</v>
      </c>
      <c r="AH236" s="35" t="e">
        <f>#REF!</f>
        <v>#REF!</v>
      </c>
      <c r="AI236" s="99"/>
      <c r="AJ236" s="102"/>
      <c r="AK236" s="99"/>
      <c r="AL236" s="103"/>
      <c r="AM236" s="104"/>
    </row>
    <row r="237" spans="2:40" ht="15.75" customHeight="1" x14ac:dyDescent="0.2">
      <c r="B237" s="33"/>
      <c r="C237" s="33"/>
      <c r="D237" s="29"/>
      <c r="E237" s="50"/>
      <c r="S237" t="s">
        <v>75</v>
      </c>
      <c r="W237" s="33">
        <v>700</v>
      </c>
      <c r="X237" s="50" t="e">
        <f>W237/#REF!</f>
        <v>#REF!</v>
      </c>
      <c r="Y237" s="52"/>
      <c r="Z237" s="52"/>
      <c r="AC237" s="33" t="e">
        <f>#REF!</f>
        <v>#REF!</v>
      </c>
      <c r="AD237" s="52" t="e">
        <f t="shared" si="43"/>
        <v>#REF!</v>
      </c>
      <c r="AG237" s="54" t="e">
        <f>($B$235 -#REF!) /#REF!</f>
        <v>#REF!</v>
      </c>
      <c r="AH237" t="e">
        <f>#REF!</f>
        <v>#REF!</v>
      </c>
      <c r="AI237" s="45"/>
      <c r="AJ237" s="45"/>
      <c r="AK237" s="45"/>
      <c r="AL237" s="45"/>
      <c r="AM237" s="45"/>
    </row>
    <row r="238" spans="2:40" ht="15.75" customHeight="1" x14ac:dyDescent="0.2">
      <c r="B238" s="99" t="s">
        <v>177</v>
      </c>
      <c r="C238" s="33"/>
      <c r="D238" s="29"/>
      <c r="E238" s="50"/>
      <c r="S238" s="47" t="s">
        <v>75</v>
      </c>
      <c r="T238" s="47"/>
      <c r="U238" s="35"/>
      <c r="V238" s="35"/>
      <c r="W238" s="36">
        <v>255</v>
      </c>
      <c r="X238" s="51" t="e">
        <f>W238/#REF!</f>
        <v>#REF!</v>
      </c>
      <c r="AC238" s="36" t="e">
        <f>#REF!</f>
        <v>#REF!</v>
      </c>
      <c r="AD238" s="40" t="e">
        <f>(AC238 * (1 - $E$235%)) / (1 +#REF! %)</f>
        <v>#REF!</v>
      </c>
      <c r="AF238" s="35"/>
      <c r="AG238" s="106" t="e">
        <f>($B$235 -#REF!) /#REF!</f>
        <v>#REF!</v>
      </c>
      <c r="AH238" s="35" t="e">
        <f>#REF!</f>
        <v>#REF!</v>
      </c>
    </row>
    <row r="239" spans="2:40" ht="15.75" customHeight="1" x14ac:dyDescent="0.2">
      <c r="B239" s="57" t="s">
        <v>2</v>
      </c>
      <c r="C239" s="57" t="s">
        <v>178</v>
      </c>
      <c r="D239" s="57" t="s">
        <v>180</v>
      </c>
      <c r="S239" s="45" t="s">
        <v>75</v>
      </c>
      <c r="T239" s="45"/>
      <c r="W239" s="33">
        <v>1100</v>
      </c>
      <c r="X239" s="50" t="e">
        <f>W239/#REF!</f>
        <v>#REF!</v>
      </c>
      <c r="AC239" s="33" t="e">
        <f>#REF!</f>
        <v>#REF!</v>
      </c>
      <c r="AF239" s="100" t="e">
        <f>IF(
      OR(
        (B233*(1+#REF!/100)/C240-1)*100 &lt;= -E233,
        (B233*(1+#REF!/100)/C241-1)*100 &lt;= -E233,
        (B233*(1+#REF!/100)/C242-1)*100 &lt;= -E233,
        (B233*(1+#REF!/100)/C243-1)*100 &lt;= -E233,
        (B233*(1+#REF!/100)/C244-1)*100 &lt;= -E233
      ),
      MIN(
        IF((B233*(1+#REF!/100)/C240-1)*100 &lt;= -E233, (B233*(1+#REF!/100)/C240-1)*100, 0),
        IF((B233*(1+#REF!/100)/C241-1)*100 &lt;= -E233, (B233*(1+#REF!/100)/C241-1)*100, 0),
        IF((B233*(1+#REF!/100)/C242-1)*100 &lt;= -E233, (B233*(1+#REF!/100)/C242-1)*100, 0),
        IF((B233*(1+#REF!/100)/C243-1)*100 &lt;= -E233, (B233*(1+#REF!/100)/C243-1)*100, 0),
        IF((B233*(1+#REF!/100)/C244-1)*100 &lt;= -E233, (B233*(1+#REF!/100)/C244-1)*100, 0)
      )/100,
      ""
    )</f>
        <v>#REF!</v>
      </c>
      <c r="AG239" s="108" t="e">
        <f>($B$233 -#REF!) /#REF!</f>
        <v>#REF!</v>
      </c>
      <c r="AH239" t="e">
        <f>#REF!</f>
        <v>#REF!</v>
      </c>
    </row>
    <row r="240" spans="2:40" ht="15.75" customHeight="1" x14ac:dyDescent="0.2">
      <c r="B240" s="98">
        <v>45924</v>
      </c>
      <c r="C240" s="97">
        <v>106</v>
      </c>
    </row>
    <row r="241" spans="2:45" ht="15.75" customHeight="1" x14ac:dyDescent="0.2">
      <c r="B241" s="98">
        <v>45923</v>
      </c>
      <c r="C241" s="97">
        <v>105</v>
      </c>
    </row>
    <row r="242" spans="2:45" ht="15.75" customHeight="1" x14ac:dyDescent="0.2">
      <c r="B242" s="98">
        <v>45922</v>
      </c>
      <c r="C242" s="97">
        <v>108</v>
      </c>
    </row>
    <row r="243" spans="2:45" ht="15.75" customHeight="1" x14ac:dyDescent="0.2">
      <c r="B243" s="98">
        <v>45921</v>
      </c>
      <c r="C243" s="97">
        <v>107</v>
      </c>
    </row>
    <row r="244" spans="2:45" ht="15.75" customHeight="1" x14ac:dyDescent="0.2">
      <c r="B244" s="98">
        <v>45920</v>
      </c>
      <c r="C244" s="97">
        <v>104</v>
      </c>
      <c r="R244" s="45"/>
      <c r="AD244" s="68"/>
    </row>
    <row r="245" spans="2:45" ht="15.75" customHeight="1" x14ac:dyDescent="0.2">
      <c r="R245" s="45"/>
    </row>
    <row r="246" spans="2:45" ht="15.75" customHeight="1" x14ac:dyDescent="0.2">
      <c r="R246" s="45"/>
    </row>
    <row r="247" spans="2:45" ht="15.75" customHeight="1" x14ac:dyDescent="0.2">
      <c r="R247" s="92"/>
      <c r="AD247" s="45" t="s">
        <v>74</v>
      </c>
      <c r="AN247" s="45" t="s">
        <v>94</v>
      </c>
    </row>
    <row r="248" spans="2:45" ht="15.75" customHeight="1" x14ac:dyDescent="0.2">
      <c r="AD248" s="69" t="s">
        <v>2</v>
      </c>
      <c r="AE248" s="70" t="s">
        <v>3</v>
      </c>
      <c r="AF248" s="70"/>
      <c r="AG248" s="70" t="s">
        <v>76</v>
      </c>
      <c r="AH248" s="70" t="s">
        <v>4</v>
      </c>
      <c r="AI248" s="70" t="s">
        <v>0</v>
      </c>
      <c r="AJ248" s="70" t="s">
        <v>1</v>
      </c>
      <c r="AK248" s="70" t="s">
        <v>62</v>
      </c>
      <c r="AL248" s="70"/>
      <c r="AM248" s="70" t="s">
        <v>77</v>
      </c>
      <c r="AN248" s="70" t="s">
        <v>84</v>
      </c>
      <c r="AO248" s="70" t="s">
        <v>83</v>
      </c>
      <c r="AP248" s="70" t="s">
        <v>7</v>
      </c>
      <c r="AQ248" s="70" t="s">
        <v>81</v>
      </c>
      <c r="AR248" s="70" t="s">
        <v>79</v>
      </c>
      <c r="AS248" s="70" t="s">
        <v>82</v>
      </c>
    </row>
    <row r="249" spans="2:45" ht="15.75" customHeight="1" x14ac:dyDescent="0.2">
      <c r="AD249" s="78">
        <v>45658</v>
      </c>
      <c r="AE249" s="79" t="s">
        <v>75</v>
      </c>
      <c r="AF249" s="79"/>
      <c r="AG249" s="80" t="s">
        <v>85</v>
      </c>
      <c r="AH249" s="79" t="s">
        <v>78</v>
      </c>
      <c r="AI249" s="81">
        <v>200</v>
      </c>
      <c r="AJ249" s="81">
        <v>200</v>
      </c>
      <c r="AK249" s="82">
        <f>AJ249/AI249</f>
        <v>1</v>
      </c>
      <c r="AL249" s="82"/>
      <c r="AM249" s="79"/>
      <c r="AN249" s="82">
        <v>1</v>
      </c>
      <c r="AO249" s="82">
        <f>AN249/2</f>
        <v>0.5</v>
      </c>
      <c r="AP249" s="83">
        <f>AN249/2</f>
        <v>0.5</v>
      </c>
      <c r="AQ249" s="81">
        <v>0</v>
      </c>
      <c r="AR249" s="84">
        <f>ABS(AQ249-AJ249)</f>
        <v>200</v>
      </c>
      <c r="AS249" s="85">
        <f>((AQ249+(AK249*AI249)-AR249)/AR249)</f>
        <v>0</v>
      </c>
    </row>
    <row r="250" spans="2:45" ht="15.75" customHeight="1" x14ac:dyDescent="0.2">
      <c r="AD250" s="71">
        <v>45659</v>
      </c>
      <c r="AE250" s="72" t="s">
        <v>73</v>
      </c>
      <c r="AF250" s="72"/>
      <c r="AG250" s="74" t="s">
        <v>86</v>
      </c>
      <c r="AH250" s="72" t="s">
        <v>10</v>
      </c>
      <c r="AI250" s="73">
        <v>220</v>
      </c>
      <c r="AJ250" s="72"/>
      <c r="AK250" s="75">
        <f>AO249</f>
        <v>0.5</v>
      </c>
      <c r="AL250" s="75"/>
      <c r="AM250" s="73">
        <f>AI250*AK250</f>
        <v>110</v>
      </c>
      <c r="AN250" s="75">
        <v>0.5</v>
      </c>
      <c r="AO250" s="75">
        <v>0</v>
      </c>
      <c r="AP250" s="75">
        <v>0.5</v>
      </c>
      <c r="AQ250" s="73">
        <f>AM250+AQ249</f>
        <v>110</v>
      </c>
      <c r="AR250" s="73">
        <f>AR249</f>
        <v>200</v>
      </c>
      <c r="AS250" s="77">
        <f t="shared" ref="AS250:AS258" si="44">((AQ250+(AN250*AI250)-AR250)/AR250)</f>
        <v>0.1</v>
      </c>
    </row>
    <row r="251" spans="2:45" ht="15.75" customHeight="1" x14ac:dyDescent="0.2">
      <c r="AD251" s="78">
        <v>45660</v>
      </c>
      <c r="AE251" s="79" t="s">
        <v>75</v>
      </c>
      <c r="AF251" s="79"/>
      <c r="AG251" s="80" t="s">
        <v>87</v>
      </c>
      <c r="AH251" s="79" t="s">
        <v>80</v>
      </c>
      <c r="AI251" s="81">
        <v>220</v>
      </c>
      <c r="AJ251" s="81">
        <v>220</v>
      </c>
      <c r="AK251" s="82">
        <f>AJ251/AI251</f>
        <v>1</v>
      </c>
      <c r="AL251" s="82"/>
      <c r="AM251" s="79"/>
      <c r="AN251" s="82">
        <f>AK251+AN250</f>
        <v>1.5</v>
      </c>
      <c r="AO251" s="82">
        <f>AO250+(AK251/2)</f>
        <v>0.5</v>
      </c>
      <c r="AP251" s="82">
        <f>AP250+(AK251/2)</f>
        <v>1</v>
      </c>
      <c r="AQ251" s="81">
        <v>0</v>
      </c>
      <c r="AR251" s="81">
        <f>AR250+(AJ251-AQ250)</f>
        <v>310</v>
      </c>
      <c r="AS251" s="85">
        <f t="shared" si="44"/>
        <v>6.4516129032258063E-2</v>
      </c>
    </row>
    <row r="252" spans="2:45" ht="15.75" customHeight="1" x14ac:dyDescent="0.2">
      <c r="AD252" s="71">
        <v>45661</v>
      </c>
      <c r="AE252" s="72" t="s">
        <v>73</v>
      </c>
      <c r="AF252" s="72"/>
      <c r="AG252" s="74" t="s">
        <v>88</v>
      </c>
      <c r="AH252" s="72" t="s">
        <v>80</v>
      </c>
      <c r="AI252" s="73">
        <v>190</v>
      </c>
      <c r="AJ252" s="72"/>
      <c r="AK252" s="75">
        <v>0.5</v>
      </c>
      <c r="AL252" s="75"/>
      <c r="AM252" s="73">
        <f>AI252*AK252</f>
        <v>95</v>
      </c>
      <c r="AN252" s="75">
        <f>AN251-AK252</f>
        <v>1</v>
      </c>
      <c r="AO252" s="75">
        <f>AO251</f>
        <v>0.5</v>
      </c>
      <c r="AP252" s="75">
        <f>AP251-AK252</f>
        <v>0.5</v>
      </c>
      <c r="AQ252" s="73">
        <f>AQ251+AM252</f>
        <v>95</v>
      </c>
      <c r="AR252" s="73">
        <f>AR251</f>
        <v>310</v>
      </c>
      <c r="AS252" s="77">
        <f t="shared" si="44"/>
        <v>-8.0645161290322578E-2</v>
      </c>
    </row>
    <row r="253" spans="2:45" ht="15.75" customHeight="1" x14ac:dyDescent="0.2">
      <c r="AD253" s="78">
        <v>45662</v>
      </c>
      <c r="AE253" s="79" t="s">
        <v>75</v>
      </c>
      <c r="AF253" s="79"/>
      <c r="AG253" s="80" t="s">
        <v>89</v>
      </c>
      <c r="AH253" s="79" t="s">
        <v>80</v>
      </c>
      <c r="AI253" s="81">
        <v>200</v>
      </c>
      <c r="AJ253" s="81">
        <v>200</v>
      </c>
      <c r="AK253" s="82">
        <f>AJ253/AI253</f>
        <v>1</v>
      </c>
      <c r="AL253" s="82"/>
      <c r="AM253" s="79"/>
      <c r="AN253" s="82">
        <f>AN252+AK253</f>
        <v>2</v>
      </c>
      <c r="AO253" s="82">
        <f>AO252+(AK253/2)</f>
        <v>1</v>
      </c>
      <c r="AP253" s="82">
        <f>AP252+(AK253/2)</f>
        <v>1</v>
      </c>
      <c r="AQ253" s="81">
        <v>0</v>
      </c>
      <c r="AR253" s="81">
        <f>AR252+(AJ253-AQ252)</f>
        <v>415</v>
      </c>
      <c r="AS253" s="85">
        <f t="shared" si="44"/>
        <v>-3.614457831325301E-2</v>
      </c>
    </row>
    <row r="254" spans="2:45" ht="15.75" customHeight="1" x14ac:dyDescent="0.2">
      <c r="AD254" s="71">
        <v>45663</v>
      </c>
      <c r="AE254" s="72" t="s">
        <v>73</v>
      </c>
      <c r="AF254" s="72"/>
      <c r="AG254" s="74" t="s">
        <v>90</v>
      </c>
      <c r="AH254" s="72" t="s">
        <v>80</v>
      </c>
      <c r="AI254" s="73">
        <v>210</v>
      </c>
      <c r="AJ254" s="72"/>
      <c r="AK254" s="75">
        <v>0.5</v>
      </c>
      <c r="AL254" s="75"/>
      <c r="AM254" s="73">
        <f>AI254*AK254</f>
        <v>105</v>
      </c>
      <c r="AN254" s="75">
        <f>AN253-AK254</f>
        <v>1.5</v>
      </c>
      <c r="AO254" s="75">
        <f>AO253-AK254</f>
        <v>0.5</v>
      </c>
      <c r="AP254" s="75">
        <f>AP253</f>
        <v>1</v>
      </c>
      <c r="AQ254" s="73">
        <f>AQ253+AM254</f>
        <v>105</v>
      </c>
      <c r="AR254" s="73">
        <f>AR253</f>
        <v>415</v>
      </c>
      <c r="AS254" s="77">
        <f t="shared" si="44"/>
        <v>1.2048192771084338E-2</v>
      </c>
    </row>
    <row r="255" spans="2:45" ht="15.75" customHeight="1" x14ac:dyDescent="0.2">
      <c r="AD255" s="71">
        <v>45664</v>
      </c>
      <c r="AE255" s="72" t="s">
        <v>73</v>
      </c>
      <c r="AF255" s="72"/>
      <c r="AG255" s="74" t="s">
        <v>91</v>
      </c>
      <c r="AH255" s="72" t="s">
        <v>80</v>
      </c>
      <c r="AI255" s="73">
        <v>210</v>
      </c>
      <c r="AJ255" s="72"/>
      <c r="AK255" s="75">
        <v>0.5</v>
      </c>
      <c r="AL255" s="75"/>
      <c r="AM255" s="73">
        <f>AI255/2</f>
        <v>105</v>
      </c>
      <c r="AN255" s="75">
        <f>AN254-AK255</f>
        <v>1</v>
      </c>
      <c r="AO255" s="75">
        <f>AO254</f>
        <v>0.5</v>
      </c>
      <c r="AP255" s="75">
        <f>AP254-AK255</f>
        <v>0.5</v>
      </c>
      <c r="AQ255" s="73">
        <f>AM255+AQ254</f>
        <v>210</v>
      </c>
      <c r="AR255" s="73">
        <f>AR254</f>
        <v>415</v>
      </c>
      <c r="AS255" s="77">
        <f t="shared" si="44"/>
        <v>1.2048192771084338E-2</v>
      </c>
    </row>
    <row r="256" spans="2:45" ht="15.75" customHeight="1" x14ac:dyDescent="0.2">
      <c r="AA256" s="92"/>
      <c r="AD256" s="78">
        <v>45665</v>
      </c>
      <c r="AE256" s="80" t="s">
        <v>75</v>
      </c>
      <c r="AF256" s="80"/>
      <c r="AG256" s="80" t="s">
        <v>92</v>
      </c>
      <c r="AH256" s="80" t="s">
        <v>80</v>
      </c>
      <c r="AI256" s="81">
        <v>200</v>
      </c>
      <c r="AJ256" s="81">
        <v>200</v>
      </c>
      <c r="AK256" s="82">
        <v>1</v>
      </c>
      <c r="AL256" s="82"/>
      <c r="AM256" s="79"/>
      <c r="AN256" s="82">
        <f>AN255+AK256</f>
        <v>2</v>
      </c>
      <c r="AO256" s="82">
        <f>AK256+AO255</f>
        <v>1.5</v>
      </c>
      <c r="AP256" s="83">
        <f>AP255</f>
        <v>0.5</v>
      </c>
      <c r="AQ256" s="81">
        <f>AQ255-AJ256</f>
        <v>10</v>
      </c>
      <c r="AR256" s="81">
        <f>AR254</f>
        <v>415</v>
      </c>
      <c r="AS256" s="85">
        <f t="shared" si="44"/>
        <v>-1.2048192771084338E-2</v>
      </c>
    </row>
    <row r="257" spans="27:45" ht="15.75" customHeight="1" x14ac:dyDescent="0.2">
      <c r="AA257" s="93"/>
      <c r="AD257" s="71">
        <v>45666</v>
      </c>
      <c r="AE257" s="74" t="s">
        <v>73</v>
      </c>
      <c r="AF257" s="74"/>
      <c r="AG257" s="74" t="s">
        <v>92</v>
      </c>
      <c r="AH257" s="74" t="s">
        <v>80</v>
      </c>
      <c r="AI257" s="73">
        <v>230</v>
      </c>
      <c r="AJ257" s="72"/>
      <c r="AK257" s="75">
        <v>0.5</v>
      </c>
      <c r="AL257" s="75"/>
      <c r="AM257" s="73">
        <f>AI257/2</f>
        <v>115</v>
      </c>
      <c r="AN257" s="75">
        <f>AN256-AK257</f>
        <v>1.5</v>
      </c>
      <c r="AO257" s="75">
        <f>AO256-AK257</f>
        <v>1</v>
      </c>
      <c r="AP257" s="75">
        <f>AP256</f>
        <v>0.5</v>
      </c>
      <c r="AQ257" s="73">
        <f>AQ256+AM257</f>
        <v>125</v>
      </c>
      <c r="AR257" s="73">
        <f>AR256</f>
        <v>415</v>
      </c>
      <c r="AS257" s="77">
        <f t="shared" si="44"/>
        <v>0.13253012048192772</v>
      </c>
    </row>
    <row r="258" spans="27:45" ht="15.75" customHeight="1" x14ac:dyDescent="0.2">
      <c r="AA258" s="93"/>
      <c r="AD258" s="78">
        <v>45667</v>
      </c>
      <c r="AE258" s="80" t="s">
        <v>75</v>
      </c>
      <c r="AF258" s="80"/>
      <c r="AG258" s="80" t="s">
        <v>93</v>
      </c>
      <c r="AH258" s="80" t="s">
        <v>80</v>
      </c>
      <c r="AI258" s="81">
        <v>230</v>
      </c>
      <c r="AJ258" s="81">
        <v>230</v>
      </c>
      <c r="AK258" s="82">
        <v>1</v>
      </c>
      <c r="AL258" s="82"/>
      <c r="AM258" s="79"/>
      <c r="AN258" s="82">
        <f>AN257+AK258</f>
        <v>2.5</v>
      </c>
      <c r="AO258" s="82">
        <f>AO257</f>
        <v>1</v>
      </c>
      <c r="AP258" s="82">
        <f>AP257+AK258</f>
        <v>1.5</v>
      </c>
      <c r="AQ258" s="81">
        <v>0</v>
      </c>
      <c r="AR258" s="81">
        <f>AR257+(AJ258-AQ257)</f>
        <v>520</v>
      </c>
      <c r="AS258" s="85">
        <f t="shared" si="44"/>
        <v>0.10576923076923077</v>
      </c>
    </row>
    <row r="259" spans="27:45" ht="15.75" customHeight="1" x14ac:dyDescent="0.2">
      <c r="AA259" s="93"/>
    </row>
    <row r="260" spans="27:45" ht="15.75" customHeight="1" x14ac:dyDescent="0.2">
      <c r="AA260" s="93"/>
    </row>
    <row r="261" spans="27:45" ht="12.75" x14ac:dyDescent="0.2">
      <c r="AD261" s="45" t="s">
        <v>74</v>
      </c>
      <c r="AN261" s="45" t="s">
        <v>94</v>
      </c>
    </row>
    <row r="262" spans="27:45" ht="15.75" customHeight="1" x14ac:dyDescent="0.2">
      <c r="AA262" s="54"/>
      <c r="AD262" s="69" t="s">
        <v>2</v>
      </c>
      <c r="AE262" s="70" t="s">
        <v>3</v>
      </c>
      <c r="AF262" s="70"/>
      <c r="AG262" s="70" t="s">
        <v>76</v>
      </c>
      <c r="AH262" s="70" t="s">
        <v>4</v>
      </c>
      <c r="AI262" s="70" t="s">
        <v>0</v>
      </c>
      <c r="AJ262" s="70" t="s">
        <v>1</v>
      </c>
      <c r="AK262" s="70" t="s">
        <v>62</v>
      </c>
      <c r="AL262" s="70"/>
      <c r="AM262" s="70" t="s">
        <v>77</v>
      </c>
      <c r="AN262" s="70" t="s">
        <v>84</v>
      </c>
      <c r="AO262" s="70" t="s">
        <v>83</v>
      </c>
      <c r="AP262" s="70" t="s">
        <v>7</v>
      </c>
      <c r="AQ262" s="70" t="s">
        <v>81</v>
      </c>
      <c r="AR262" s="70" t="s">
        <v>79</v>
      </c>
      <c r="AS262" s="70" t="s">
        <v>82</v>
      </c>
    </row>
    <row r="263" spans="27:45" ht="15.75" customHeight="1" x14ac:dyDescent="0.2">
      <c r="AA263" s="94"/>
      <c r="AD263" s="78"/>
      <c r="AE263" s="79" t="s">
        <v>75</v>
      </c>
      <c r="AF263" s="79"/>
      <c r="AG263" s="80" t="s">
        <v>70</v>
      </c>
      <c r="AH263" s="79" t="s">
        <v>78</v>
      </c>
      <c r="AI263" s="89">
        <v>232.37</v>
      </c>
      <c r="AJ263" s="81">
        <v>1000</v>
      </c>
      <c r="AK263" s="86">
        <f t="shared" ref="AK263:AK268" si="45">AJ263/AI263</f>
        <v>4.3034815165468867</v>
      </c>
      <c r="AL263" s="86"/>
      <c r="AM263" s="89"/>
      <c r="AN263" s="86">
        <f>AK263</f>
        <v>4.3034815165468867</v>
      </c>
      <c r="AO263" s="86">
        <f>AN263/2</f>
        <v>2.1517407582734434</v>
      </c>
      <c r="AP263" s="88">
        <f>AN263/2</f>
        <v>2.1517407582734434</v>
      </c>
      <c r="AQ263" s="89">
        <v>0</v>
      </c>
      <c r="AR263" s="91">
        <f>ABS(AQ263-AJ263)</f>
        <v>1000</v>
      </c>
      <c r="AS263" s="85">
        <f>((AQ263+(AK263*AI263)-AR263)/AR263)</f>
        <v>1.1368683772161603E-16</v>
      </c>
    </row>
    <row r="264" spans="27:45" ht="15.75" customHeight="1" x14ac:dyDescent="0.2">
      <c r="AD264" s="78"/>
      <c r="AE264" s="79" t="s">
        <v>75</v>
      </c>
      <c r="AF264" s="79"/>
      <c r="AG264" s="80" t="s">
        <v>70</v>
      </c>
      <c r="AH264" s="79" t="s">
        <v>80</v>
      </c>
      <c r="AI264" s="89">
        <v>205.6</v>
      </c>
      <c r="AJ264" s="81">
        <v>500</v>
      </c>
      <c r="AK264" s="86">
        <f t="shared" si="45"/>
        <v>2.4319066147859925</v>
      </c>
      <c r="AL264" s="86"/>
      <c r="AM264" s="89"/>
      <c r="AN264" s="86">
        <f>AK264+AN263</f>
        <v>6.7353881313328792</v>
      </c>
      <c r="AO264" s="86">
        <f>AO263+(AK264/2)</f>
        <v>3.3676940656664396</v>
      </c>
      <c r="AP264" s="86">
        <f>AP263+(AK264/2)</f>
        <v>3.3676940656664396</v>
      </c>
      <c r="AQ264" s="89">
        <v>0</v>
      </c>
      <c r="AR264" s="89">
        <f>AR263+(AJ264-AQ263)</f>
        <v>1500</v>
      </c>
      <c r="AS264" s="85">
        <f t="shared" ref="AS264:AS274" si="46">((AQ264+(AN264*AI264)-AR264)/AR264)</f>
        <v>-7.6802800131973381E-2</v>
      </c>
    </row>
    <row r="265" spans="27:45" ht="15.75" customHeight="1" x14ac:dyDescent="0.2">
      <c r="AD265" s="78"/>
      <c r="AE265" s="79" t="s">
        <v>75</v>
      </c>
      <c r="AF265" s="79"/>
      <c r="AG265" s="80" t="s">
        <v>70</v>
      </c>
      <c r="AH265" s="79" t="s">
        <v>80</v>
      </c>
      <c r="AI265" s="89">
        <v>199.37</v>
      </c>
      <c r="AJ265" s="81">
        <v>500</v>
      </c>
      <c r="AK265" s="86">
        <f t="shared" si="45"/>
        <v>2.5078998846366054</v>
      </c>
      <c r="AL265" s="86"/>
      <c r="AM265" s="89"/>
      <c r="AN265" s="86">
        <f>AK265+AN264</f>
        <v>9.243288015969485</v>
      </c>
      <c r="AO265" s="86">
        <f>AO264+(AK265/2)</f>
        <v>4.6216440079847425</v>
      </c>
      <c r="AP265" s="86">
        <f>AP264+(AK265/2)</f>
        <v>4.6216440079847425</v>
      </c>
      <c r="AQ265" s="89">
        <v>0</v>
      </c>
      <c r="AR265" s="89">
        <f>AR264+(AJ265-AQ264)</f>
        <v>2000</v>
      </c>
      <c r="AS265" s="85">
        <f t="shared" si="46"/>
        <v>-7.858283412808191E-2</v>
      </c>
    </row>
    <row r="266" spans="27:45" ht="15.75" customHeight="1" x14ac:dyDescent="0.2">
      <c r="AD266" s="78"/>
      <c r="AE266" s="79" t="s">
        <v>75</v>
      </c>
      <c r="AF266" s="79"/>
      <c r="AG266" s="80" t="s">
        <v>70</v>
      </c>
      <c r="AH266" s="79" t="s">
        <v>80</v>
      </c>
      <c r="AI266" s="89">
        <v>196.54</v>
      </c>
      <c r="AJ266" s="81">
        <v>500</v>
      </c>
      <c r="AK266" s="86">
        <f t="shared" si="45"/>
        <v>2.5440113971710594</v>
      </c>
      <c r="AL266" s="86"/>
      <c r="AM266" s="89"/>
      <c r="AN266" s="86">
        <f>AK266+AN265</f>
        <v>11.787299413140545</v>
      </c>
      <c r="AO266" s="86">
        <f>AO265+(AK266/2)</f>
        <v>5.8936497065702724</v>
      </c>
      <c r="AP266" s="86">
        <f>AP265+(AK266/2)</f>
        <v>5.8936497065702724</v>
      </c>
      <c r="AQ266" s="89">
        <v>0</v>
      </c>
      <c r="AR266" s="89">
        <f>AR265+(AJ266-AQ265)</f>
        <v>2500</v>
      </c>
      <c r="AS266" s="85">
        <f t="shared" si="46"/>
        <v>-7.3329669336542974E-2</v>
      </c>
    </row>
    <row r="267" spans="27:45" ht="15.75" customHeight="1" x14ac:dyDescent="0.2">
      <c r="AD267" s="78"/>
      <c r="AE267" s="79" t="s">
        <v>75</v>
      </c>
      <c r="AF267" s="79"/>
      <c r="AG267" s="80" t="s">
        <v>70</v>
      </c>
      <c r="AH267" s="79" t="s">
        <v>80</v>
      </c>
      <c r="AI267" s="89">
        <v>184.88</v>
      </c>
      <c r="AJ267" s="81">
        <v>50</v>
      </c>
      <c r="AK267" s="86">
        <f t="shared" si="45"/>
        <v>0.27044569450454348</v>
      </c>
      <c r="AL267" s="86"/>
      <c r="AM267" s="89"/>
      <c r="AN267" s="86">
        <f>AK267+AN266</f>
        <v>12.057745107645088</v>
      </c>
      <c r="AO267" s="86">
        <f>AO266+(AK267/2)</f>
        <v>6.0288725538225441</v>
      </c>
      <c r="AP267" s="86">
        <f>AP266+(AK267/2)</f>
        <v>6.0288725538225441</v>
      </c>
      <c r="AQ267" s="89">
        <v>0</v>
      </c>
      <c r="AR267" s="89">
        <f>AR266+(AJ267-AQ266)</f>
        <v>2550</v>
      </c>
      <c r="AS267" s="85">
        <f t="shared" si="46"/>
        <v>-0.12578983705826521</v>
      </c>
    </row>
    <row r="268" spans="27:45" ht="15.75" customHeight="1" x14ac:dyDescent="0.2">
      <c r="AD268" s="78"/>
      <c r="AE268" s="79" t="s">
        <v>75</v>
      </c>
      <c r="AF268" s="79"/>
      <c r="AG268" s="80" t="s">
        <v>70</v>
      </c>
      <c r="AH268" s="79" t="s">
        <v>80</v>
      </c>
      <c r="AI268" s="89">
        <v>180.62</v>
      </c>
      <c r="AJ268" s="81">
        <v>50</v>
      </c>
      <c r="AK268" s="86">
        <f t="shared" si="45"/>
        <v>0.27682427195216475</v>
      </c>
      <c r="AL268" s="86"/>
      <c r="AM268" s="89"/>
      <c r="AN268" s="86">
        <f>AK268+AN267</f>
        <v>12.334569379597253</v>
      </c>
      <c r="AO268" s="86">
        <f>AO267+(AK268/2)</f>
        <v>6.1672846897986267</v>
      </c>
      <c r="AP268" s="86">
        <f>AP267+(AK268/2)</f>
        <v>6.1672846897986267</v>
      </c>
      <c r="AQ268" s="89">
        <v>0</v>
      </c>
      <c r="AR268" s="89">
        <f>AR267+(AJ268-AQ267)</f>
        <v>2600</v>
      </c>
      <c r="AS268" s="85">
        <f t="shared" si="46"/>
        <v>-0.14312695332967085</v>
      </c>
    </row>
    <row r="269" spans="27:45" ht="15.75" customHeight="1" x14ac:dyDescent="0.2">
      <c r="AD269" s="71"/>
      <c r="AE269" s="72" t="s">
        <v>73</v>
      </c>
      <c r="AF269" s="72"/>
      <c r="AG269" s="74" t="s">
        <v>27</v>
      </c>
      <c r="AH269" s="72" t="s">
        <v>10</v>
      </c>
      <c r="AI269" s="90">
        <v>208.59</v>
      </c>
      <c r="AJ269" s="72"/>
      <c r="AK269" s="87">
        <v>0.13841000000000001</v>
      </c>
      <c r="AL269" s="87"/>
      <c r="AM269" s="90">
        <f>AI269*AK269</f>
        <v>28.870941900000002</v>
      </c>
      <c r="AN269" s="87">
        <f>AN268-AK269</f>
        <v>12.196159379597253</v>
      </c>
      <c r="AO269" s="87">
        <f>AO268-AK269</f>
        <v>6.0288746897986263</v>
      </c>
      <c r="AP269" s="87">
        <f>AP268</f>
        <v>6.1672846897986267</v>
      </c>
      <c r="AQ269" s="90">
        <f>AM269+AQ263</f>
        <v>28.870941900000002</v>
      </c>
      <c r="AR269" s="90">
        <f>AR268</f>
        <v>2600</v>
      </c>
      <c r="AS269" s="77">
        <f t="shared" si="46"/>
        <v>-1.0435451196080277E-2</v>
      </c>
    </row>
    <row r="270" spans="27:45" ht="15.75" customHeight="1" x14ac:dyDescent="0.2">
      <c r="AD270" s="78"/>
      <c r="AE270" s="72" t="s">
        <v>73</v>
      </c>
      <c r="AF270" s="72"/>
      <c r="AG270" s="74" t="s">
        <v>27</v>
      </c>
      <c r="AH270" s="72" t="s">
        <v>10</v>
      </c>
      <c r="AI270" s="90">
        <v>208.54</v>
      </c>
      <c r="AJ270" s="72"/>
      <c r="AK270" s="87">
        <v>0.13522000000000001</v>
      </c>
      <c r="AL270" s="87"/>
      <c r="AM270" s="90">
        <f>AI270*AK270</f>
        <v>28.198778799999999</v>
      </c>
      <c r="AN270" s="87">
        <f>AN269-AK270</f>
        <v>12.060939379597253</v>
      </c>
      <c r="AO270" s="87">
        <f>AO269-AK270</f>
        <v>5.8936546897986259</v>
      </c>
      <c r="AP270" s="87">
        <f>AP269</f>
        <v>6.1672846897986267</v>
      </c>
      <c r="AQ270" s="90">
        <f>AM270+AQ264</f>
        <v>28.198778799999999</v>
      </c>
      <c r="AR270" s="90">
        <f>AR269</f>
        <v>2600</v>
      </c>
      <c r="AS270" s="85">
        <f t="shared" si="46"/>
        <v>-2.1774201145688038E-2</v>
      </c>
    </row>
    <row r="271" spans="27:45" ht="15.75" customHeight="1" x14ac:dyDescent="0.2">
      <c r="AD271" s="71"/>
      <c r="AE271" s="72" t="s">
        <v>73</v>
      </c>
      <c r="AF271" s="72"/>
      <c r="AG271" s="74" t="s">
        <v>95</v>
      </c>
      <c r="AH271" s="72" t="s">
        <v>80</v>
      </c>
      <c r="AI271" s="90">
        <v>28.25</v>
      </c>
      <c r="AJ271" s="72"/>
      <c r="AK271" s="87">
        <f>AO270</f>
        <v>5.8936546897986259</v>
      </c>
      <c r="AL271" s="87"/>
      <c r="AM271" s="90">
        <f>AI271*AK271</f>
        <v>166.49574498681119</v>
      </c>
      <c r="AN271" s="87">
        <f>AN270-AK271</f>
        <v>6.1672846897986267</v>
      </c>
      <c r="AO271" s="87">
        <f>AO270-AK271</f>
        <v>0</v>
      </c>
      <c r="AP271" s="87">
        <f>AP270</f>
        <v>6.1672846897986267</v>
      </c>
      <c r="AQ271" s="90">
        <f>AQ270+AM271</f>
        <v>194.6945237868112</v>
      </c>
      <c r="AR271" s="90">
        <f>AR270</f>
        <v>2600</v>
      </c>
      <c r="AS271" s="77">
        <f t="shared" si="46"/>
        <v>-0.85810757066399135</v>
      </c>
    </row>
    <row r="272" spans="27:45" ht="15.75" customHeight="1" x14ac:dyDescent="0.2">
      <c r="AD272" s="78"/>
      <c r="AE272" s="79" t="s">
        <v>75</v>
      </c>
      <c r="AF272" s="79"/>
      <c r="AG272" s="80" t="s">
        <v>89</v>
      </c>
      <c r="AH272" s="79" t="s">
        <v>80</v>
      </c>
      <c r="AI272" s="89">
        <v>28.39</v>
      </c>
      <c r="AJ272" s="81">
        <v>200</v>
      </c>
      <c r="AK272" s="86">
        <f>AJ272/AI272</f>
        <v>7.0447340612891862</v>
      </c>
      <c r="AL272" s="86"/>
      <c r="AM272" s="89"/>
      <c r="AN272" s="86">
        <f>AN271+AK272</f>
        <v>13.212018751087813</v>
      </c>
      <c r="AO272" s="86">
        <f>AO271+(AK272/2)</f>
        <v>3.5223670306445931</v>
      </c>
      <c r="AP272" s="86">
        <f>AP271+(AK272/2)</f>
        <v>9.6896517204432193</v>
      </c>
      <c r="AQ272" s="89">
        <v>0</v>
      </c>
      <c r="AR272" s="89">
        <f>AR271+(AJ272-AQ271)</f>
        <v>2605.3054762131887</v>
      </c>
      <c r="AS272" s="85">
        <f t="shared" si="46"/>
        <v>-0.85602870152156774</v>
      </c>
    </row>
    <row r="273" spans="30:45" ht="15.75" customHeight="1" x14ac:dyDescent="0.2">
      <c r="AD273" s="78"/>
      <c r="AE273" s="80" t="s">
        <v>75</v>
      </c>
      <c r="AF273" s="80"/>
      <c r="AG273" s="80" t="s">
        <v>96</v>
      </c>
      <c r="AH273" s="80" t="s">
        <v>80</v>
      </c>
      <c r="AI273" s="89">
        <v>27.28</v>
      </c>
      <c r="AJ273" s="81">
        <v>200</v>
      </c>
      <c r="AK273" s="86">
        <f>AJ273/AI273</f>
        <v>7.3313782991202343</v>
      </c>
      <c r="AL273" s="86"/>
      <c r="AM273" s="89"/>
      <c r="AN273" s="86">
        <f>AN272+AK273</f>
        <v>20.543397050208046</v>
      </c>
      <c r="AO273" s="86">
        <f>AO272+(AK273/2)</f>
        <v>7.1880561802047103</v>
      </c>
      <c r="AP273" s="86">
        <f>AP272+(AK273/2)</f>
        <v>13.355340870003337</v>
      </c>
      <c r="AQ273" s="89">
        <v>0</v>
      </c>
      <c r="AR273" s="89">
        <f>AR272+(AJ273-AQ272)</f>
        <v>2805.3054762131887</v>
      </c>
      <c r="AS273" s="85">
        <f t="shared" si="46"/>
        <v>-0.80022714949169182</v>
      </c>
    </row>
    <row r="274" spans="30:45" ht="15.75" customHeight="1" x14ac:dyDescent="0.2">
      <c r="AD274" s="78"/>
      <c r="AE274" s="80" t="s">
        <v>75</v>
      </c>
      <c r="AF274" s="80"/>
      <c r="AG274" s="80" t="s">
        <v>97</v>
      </c>
      <c r="AH274" s="80" t="s">
        <v>80</v>
      </c>
      <c r="AI274" s="89">
        <v>27.38</v>
      </c>
      <c r="AJ274" s="81">
        <v>200</v>
      </c>
      <c r="AK274" s="86">
        <f>AJ274/AI274</f>
        <v>7.3046018991964941</v>
      </c>
      <c r="AL274" s="86"/>
      <c r="AM274" s="89"/>
      <c r="AN274" s="86">
        <f>AN273+AK274</f>
        <v>27.847998949404541</v>
      </c>
      <c r="AO274" s="86">
        <f>AO273+(AK274/2)</f>
        <v>10.840357129802957</v>
      </c>
      <c r="AP274" s="86">
        <f>AP273+(AK274/2)</f>
        <v>17.007641819601584</v>
      </c>
      <c r="AQ274" s="89">
        <v>0</v>
      </c>
      <c r="AR274" s="89">
        <f>AR273+(AJ274-AQ273)</f>
        <v>3005.3054762131887</v>
      </c>
      <c r="AS274" s="85">
        <f t="shared" si="46"/>
        <v>-0.74628928164884878</v>
      </c>
    </row>
  </sheetData>
  <pageMargins left="0.7" right="0.7" top="0.75" bottom="0.75" header="0.3" footer="0.3"/>
  <pageSetup orientation="portrait" horizontalDpi="300" verticalDpi="300" r:id="rId1"/>
  <ignoredErrors>
    <ignoredError sqref="AN179 AC180 AP181 AQ178 BG179 BG181 BG184 AM191 AG191 BG192 AC191:AE191 AI191:AK191 AF214:AF21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Q50"/>
  <sheetViews>
    <sheetView topLeftCell="A31" workbookViewId="0">
      <selection activeCell="T43" sqref="T43"/>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7.85546875" bestFit="1" customWidth="1"/>
    <col min="11" max="11" width="11.7109375" bestFit="1" customWidth="1"/>
    <col min="12" max="12" width="6.85546875" bestFit="1" customWidth="1"/>
    <col min="13" max="13" width="13.7109375" bestFit="1" customWidth="1"/>
    <col min="14" max="14" width="11.5703125" customWidth="1"/>
    <col min="15" max="15" width="11.7109375" bestFit="1" customWidth="1"/>
    <col min="16" max="16" width="9.710937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17" x14ac:dyDescent="0.2">
      <c r="B33" s="70" t="s">
        <v>107</v>
      </c>
      <c r="C33" s="70" t="s">
        <v>109</v>
      </c>
      <c r="D33" s="70" t="s">
        <v>79</v>
      </c>
      <c r="E33" s="70" t="s">
        <v>126</v>
      </c>
      <c r="F33" s="70" t="s">
        <v>127</v>
      </c>
      <c r="G33" s="70" t="s">
        <v>82</v>
      </c>
    </row>
    <row r="34" spans="2:17" x14ac:dyDescent="0.2">
      <c r="B34" s="45" t="s">
        <v>128</v>
      </c>
      <c r="C34" s="97">
        <f>I16+I21+I22+I27</f>
        <v>5800</v>
      </c>
      <c r="D34" s="96" t="s">
        <v>34</v>
      </c>
      <c r="E34" s="96" t="s">
        <v>34</v>
      </c>
      <c r="F34" s="96" t="s">
        <v>34</v>
      </c>
      <c r="G34" s="96" t="s">
        <v>34</v>
      </c>
    </row>
    <row r="35" spans="2:17" x14ac:dyDescent="0.2">
      <c r="B35" s="45" t="s">
        <v>129</v>
      </c>
      <c r="C35" s="97">
        <f>I18+I26+I28</f>
        <v>4100</v>
      </c>
      <c r="D35" s="96" t="s">
        <v>34</v>
      </c>
      <c r="E35" s="96" t="s">
        <v>34</v>
      </c>
      <c r="F35" s="96" t="s">
        <v>34</v>
      </c>
      <c r="G35" s="96" t="s">
        <v>34</v>
      </c>
    </row>
    <row r="36" spans="2:17" x14ac:dyDescent="0.2">
      <c r="B36" s="45" t="s">
        <v>130</v>
      </c>
      <c r="C36" s="97">
        <f>I17+I19+I23+I24+I29</f>
        <v>6900</v>
      </c>
      <c r="D36" s="96" t="s">
        <v>34</v>
      </c>
      <c r="E36" s="96" t="s">
        <v>34</v>
      </c>
      <c r="F36" s="96" t="s">
        <v>34</v>
      </c>
      <c r="G36" s="96" t="s">
        <v>34</v>
      </c>
    </row>
    <row r="37" spans="2:17" x14ac:dyDescent="0.2">
      <c r="B37" s="45" t="s">
        <v>115</v>
      </c>
      <c r="C37" s="97">
        <f>I4+I20+I25</f>
        <v>3600</v>
      </c>
      <c r="D37" s="96" t="s">
        <v>34</v>
      </c>
      <c r="E37" s="96" t="s">
        <v>34</v>
      </c>
      <c r="F37" s="96" t="s">
        <v>34</v>
      </c>
      <c r="G37" s="96" t="s">
        <v>34</v>
      </c>
      <c r="J37" s="133" t="s">
        <v>285</v>
      </c>
      <c r="K37" s="67">
        <v>0.01</v>
      </c>
    </row>
    <row r="38" spans="2:17" x14ac:dyDescent="0.2">
      <c r="J38" s="45" t="s">
        <v>286</v>
      </c>
      <c r="K38" s="67">
        <v>0.01</v>
      </c>
    </row>
    <row r="39" spans="2:17" x14ac:dyDescent="0.2">
      <c r="B39" s="45" t="s">
        <v>174</v>
      </c>
    </row>
    <row r="40" spans="2:17" x14ac:dyDescent="0.2">
      <c r="B40" s="70" t="s">
        <v>107</v>
      </c>
      <c r="C40" s="70" t="s">
        <v>109</v>
      </c>
      <c r="D40" s="70" t="s">
        <v>79</v>
      </c>
      <c r="E40" s="70" t="s">
        <v>126</v>
      </c>
      <c r="F40" s="70" t="s">
        <v>127</v>
      </c>
      <c r="G40" s="70" t="s">
        <v>82</v>
      </c>
    </row>
    <row r="41" spans="2:17" x14ac:dyDescent="0.2">
      <c r="B41" s="45" t="s">
        <v>134</v>
      </c>
      <c r="C41" s="63">
        <f>I16+I27</f>
        <v>3500</v>
      </c>
      <c r="D41" s="96" t="s">
        <v>34</v>
      </c>
      <c r="E41" s="96" t="s">
        <v>34</v>
      </c>
      <c r="F41" s="96" t="s">
        <v>34</v>
      </c>
      <c r="G41" s="96" t="s">
        <v>34</v>
      </c>
      <c r="N41" s="67">
        <v>0.02</v>
      </c>
      <c r="O41" s="67">
        <v>0.04</v>
      </c>
    </row>
    <row r="42" spans="2:17" x14ac:dyDescent="0.2">
      <c r="B42" s="45" t="s">
        <v>154</v>
      </c>
      <c r="C42" s="63">
        <f>I22</f>
        <v>1300</v>
      </c>
      <c r="D42" s="96" t="s">
        <v>34</v>
      </c>
      <c r="E42" s="96" t="s">
        <v>34</v>
      </c>
      <c r="F42" s="96" t="s">
        <v>34</v>
      </c>
      <c r="G42" s="96" t="s">
        <v>34</v>
      </c>
      <c r="J42" s="45" t="s">
        <v>3</v>
      </c>
      <c r="K42" s="124" t="s">
        <v>0</v>
      </c>
      <c r="L42" s="133" t="s">
        <v>283</v>
      </c>
      <c r="M42" s="133" t="s">
        <v>284</v>
      </c>
      <c r="N42" s="133" t="s">
        <v>190</v>
      </c>
      <c r="O42" s="133" t="s">
        <v>197</v>
      </c>
      <c r="P42" s="133" t="s">
        <v>194</v>
      </c>
      <c r="Q42" s="133" t="s">
        <v>287</v>
      </c>
    </row>
    <row r="43" spans="2:17" x14ac:dyDescent="0.2">
      <c r="B43" s="45" t="s">
        <v>137</v>
      </c>
      <c r="C43" s="63">
        <f>I19+I21</f>
        <v>1500</v>
      </c>
      <c r="D43" s="96" t="s">
        <v>34</v>
      </c>
      <c r="E43" s="96" t="s">
        <v>34</v>
      </c>
      <c r="F43" s="96" t="s">
        <v>34</v>
      </c>
      <c r="G43" s="96" t="s">
        <v>34</v>
      </c>
      <c r="J43" s="45" t="s">
        <v>75</v>
      </c>
      <c r="K43" s="33">
        <v>100000</v>
      </c>
      <c r="L43" s="95">
        <v>0.01</v>
      </c>
      <c r="M43" s="52">
        <f>K43+(K43*L43)</f>
        <v>101000</v>
      </c>
      <c r="N43" s="52">
        <f xml:space="preserve"> (M43 / (1 + K37)) * (1 - N41)</f>
        <v>98000</v>
      </c>
      <c r="O43" s="52">
        <f>M43 * (1 + O41) / (1 - K37)</f>
        <v>106101.01010101011</v>
      </c>
    </row>
    <row r="44" spans="2:17" x14ac:dyDescent="0.2">
      <c r="B44" s="45" t="s">
        <v>160</v>
      </c>
      <c r="C44" s="63">
        <f>I17+I24</f>
        <v>4600</v>
      </c>
      <c r="D44" s="96" t="s">
        <v>34</v>
      </c>
      <c r="E44" s="96" t="s">
        <v>34</v>
      </c>
      <c r="F44" s="96" t="s">
        <v>34</v>
      </c>
      <c r="G44" s="96" t="s">
        <v>34</v>
      </c>
      <c r="J44" s="45" t="s">
        <v>73</v>
      </c>
      <c r="K44" s="52">
        <f>O43</f>
        <v>106101.01010101011</v>
      </c>
      <c r="L44" s="95">
        <v>0.01</v>
      </c>
      <c r="M44" s="52">
        <f>K44-(K44*L44)</f>
        <v>105040</v>
      </c>
      <c r="P44" s="52">
        <f>M44-M43</f>
        <v>4040</v>
      </c>
      <c r="Q44" s="54">
        <f>P44/M43</f>
        <v>0.04</v>
      </c>
    </row>
    <row r="45" spans="2:17" x14ac:dyDescent="0.2">
      <c r="B45" s="45" t="s">
        <v>136</v>
      </c>
      <c r="C45" s="63">
        <v>0</v>
      </c>
      <c r="D45" s="96" t="s">
        <v>34</v>
      </c>
      <c r="E45" s="96" t="s">
        <v>34</v>
      </c>
      <c r="F45" s="96" t="s">
        <v>34</v>
      </c>
      <c r="G45" s="96" t="s">
        <v>34</v>
      </c>
    </row>
    <row r="46" spans="2:17" x14ac:dyDescent="0.2">
      <c r="B46" s="45" t="s">
        <v>157</v>
      </c>
      <c r="C46" s="63">
        <f>I23+I29</f>
        <v>1800</v>
      </c>
      <c r="D46" s="96" t="s">
        <v>34</v>
      </c>
      <c r="E46" s="96" t="s">
        <v>34</v>
      </c>
      <c r="F46" s="96" t="s">
        <v>34</v>
      </c>
      <c r="G46" s="96" t="s">
        <v>34</v>
      </c>
    </row>
    <row r="47" spans="2:17" x14ac:dyDescent="0.2">
      <c r="B47" s="45" t="s">
        <v>166</v>
      </c>
      <c r="C47" s="63">
        <f>I26+I28</f>
        <v>2600</v>
      </c>
      <c r="D47" s="96" t="s">
        <v>34</v>
      </c>
      <c r="E47" s="96" t="s">
        <v>34</v>
      </c>
      <c r="F47" s="96" t="s">
        <v>34</v>
      </c>
      <c r="G47" s="96" t="s">
        <v>34</v>
      </c>
    </row>
    <row r="48" spans="2:1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2026-01-11T17:49:20Z</dcterms:modified>
</cp:coreProperties>
</file>