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Development\stock-portfolio-tracker\e2e\"/>
    </mc:Choice>
  </mc:AlternateContent>
  <xr:revisionPtr revIDLastSave="0" documentId="13_ncr:1_{70B9DF6D-FE65-48EF-ACEC-C238A0B0B61D}" xr6:coauthVersionLast="47" xr6:coauthVersionMax="47" xr10:uidLastSave="{00000000-0000-0000-0000-000000000000}"/>
  <bookViews>
    <workbookView xWindow="4965" yWindow="90" windowWidth="53265" windowHeight="10245" firstSheet="8" activeTab="8" xr2:uid="{00000000-000D-0000-FFFF-FFFF00000000}"/>
  </bookViews>
  <sheets>
    <sheet name="AMD" sheetId="5" state="hidden" r:id="rId1"/>
    <sheet name="AMZN" sheetId="6" state="hidden" r:id="rId2"/>
    <sheet name="BA" sheetId="7" state="hidden" r:id="rId3"/>
    <sheet name="COST" sheetId="8" state="hidden" r:id="rId4"/>
    <sheet name="GOOG" sheetId="9" state="hidden" r:id="rId5"/>
    <sheet name="NVDA" sheetId="10" state="hidden" r:id="rId6"/>
    <sheet name="RDDT" sheetId="11" state="hidden" r:id="rId7"/>
    <sheet name="WMT" sheetId="12" state="hidden" r:id="rId8"/>
    <sheet name="Tests" sheetId="14" r:id="rId9"/>
    <sheet name="Sheet1" sheetId="15"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44" i="15" l="1"/>
  <c r="P44" i="15"/>
  <c r="N43" i="15"/>
  <c r="M43" i="15"/>
  <c r="O43" i="15" s="1"/>
  <c r="K44" i="15" s="1"/>
  <c r="X113" i="14"/>
  <c r="AK113" i="14" s="1"/>
  <c r="AK115" i="14" s="1"/>
  <c r="AK117" i="14" s="1"/>
  <c r="V113" i="14"/>
  <c r="AI113" i="14" s="1"/>
  <c r="AL113" i="14" s="1"/>
  <c r="AM113" i="14" s="1"/>
  <c r="X112" i="14"/>
  <c r="AQ112" i="14" s="1"/>
  <c r="AQ114" i="14" s="1"/>
  <c r="AQ116" i="14" s="1"/>
  <c r="AQ118" i="14" s="1"/>
  <c r="V112" i="14"/>
  <c r="AO112" i="14" s="1"/>
  <c r="AR112" i="14" s="1"/>
  <c r="AS112" i="14" s="1"/>
  <c r="BC133" i="14"/>
  <c r="AX133" i="14"/>
  <c r="AW133" i="14"/>
  <c r="AV133" i="14"/>
  <c r="N132" i="14"/>
  <c r="V128" i="14"/>
  <c r="V129" i="14" s="1"/>
  <c r="X127" i="14"/>
  <c r="X125" i="14"/>
  <c r="AZ125" i="14" s="1"/>
  <c r="AZ126" i="14" s="1"/>
  <c r="AY124" i="14"/>
  <c r="X124" i="14"/>
  <c r="AE124" i="14" s="1"/>
  <c r="AE125" i="14" s="1"/>
  <c r="AE126" i="14" s="1"/>
  <c r="AE127" i="14" s="1"/>
  <c r="AE128" i="14" s="1"/>
  <c r="V124" i="14"/>
  <c r="AO124" i="14" s="1"/>
  <c r="V100" i="14"/>
  <c r="V92" i="14"/>
  <c r="V94" i="14" s="1"/>
  <c r="X88" i="14"/>
  <c r="V88" i="14"/>
  <c r="Y88" i="14" s="1"/>
  <c r="AZ85" i="14"/>
  <c r="Y87" i="14"/>
  <c r="X82" i="14"/>
  <c r="AK82" i="14" s="1"/>
  <c r="AK85" i="14" s="1"/>
  <c r="AK88" i="14" s="1"/>
  <c r="AK90" i="14" s="1"/>
  <c r="AK94" i="14" s="1"/>
  <c r="AK96" i="14" s="1"/>
  <c r="AK100" i="14" s="1"/>
  <c r="AK102" i="14" s="1"/>
  <c r="V82" i="14"/>
  <c r="V85" i="14" s="1"/>
  <c r="AY80" i="14"/>
  <c r="BC80" i="14" s="1"/>
  <c r="V81" i="14"/>
  <c r="V83" i="14" s="1"/>
  <c r="V86" i="14" s="1"/>
  <c r="X80" i="14"/>
  <c r="AE80" i="14" s="1"/>
  <c r="AE81" i="14" s="1"/>
  <c r="AE83" i="14" s="1"/>
  <c r="AE86" i="14" s="1"/>
  <c r="V80" i="14"/>
  <c r="AC80" i="14" s="1"/>
  <c r="AF80" i="14" s="1"/>
  <c r="AG80" i="14" s="1"/>
  <c r="AX66" i="14"/>
  <c r="V66" i="14"/>
  <c r="AC66" i="14" s="1"/>
  <c r="AC68" i="14" s="1"/>
  <c r="AC75" i="14" s="1"/>
  <c r="AF75" i="14" s="1"/>
  <c r="AG75" i="14" s="1"/>
  <c r="X64" i="14"/>
  <c r="AQ64" i="14" s="1"/>
  <c r="V64" i="14"/>
  <c r="AI64" i="14" s="1"/>
  <c r="AL64" i="14" s="1"/>
  <c r="AM64" i="14" s="1"/>
  <c r="AM66" i="14" s="1"/>
  <c r="AM68" i="14" s="1"/>
  <c r="AM75" i="14" s="1"/>
  <c r="AF59" i="14"/>
  <c r="AG59" i="14" s="1"/>
  <c r="X59" i="14"/>
  <c r="V59" i="14"/>
  <c r="Y59" i="14" s="1"/>
  <c r="X53" i="14"/>
  <c r="AQ53" i="14" s="1"/>
  <c r="AQ55" i="14" s="1"/>
  <c r="V53" i="14"/>
  <c r="Y53" i="14" s="1"/>
  <c r="V52" i="14"/>
  <c r="AF50" i="14"/>
  <c r="X55" i="14"/>
  <c r="AK50" i="14"/>
  <c r="AK51" i="14" s="1"/>
  <c r="AQ50" i="14"/>
  <c r="AQ51" i="14" s="1"/>
  <c r="AP50" i="14"/>
  <c r="AP51" i="14" s="1"/>
  <c r="AO50" i="14"/>
  <c r="AR50" i="14" s="1"/>
  <c r="AJ50" i="14"/>
  <c r="AJ51" i="14" s="1"/>
  <c r="AE50" i="14"/>
  <c r="AE51" i="14" s="1"/>
  <c r="AD50" i="14"/>
  <c r="W51" i="14" s="1"/>
  <c r="AC50" i="14"/>
  <c r="X50" i="14"/>
  <c r="V50" i="14"/>
  <c r="Y50" i="14" s="1"/>
  <c r="M51" i="14"/>
  <c r="V51" i="14" s="1"/>
  <c r="T44" i="14"/>
  <c r="T43" i="14"/>
  <c r="T42" i="14"/>
  <c r="AQ40" i="14"/>
  <c r="AQ41" i="14" s="1"/>
  <c r="AQ42" i="14" s="1"/>
  <c r="AQ43" i="14" s="1"/>
  <c r="AQ44" i="14" s="1"/>
  <c r="AP40" i="14"/>
  <c r="AX40" i="14" s="1"/>
  <c r="AO40" i="14"/>
  <c r="AO41" i="14" s="1"/>
  <c r="AK40" i="14"/>
  <c r="AK41" i="14" s="1"/>
  <c r="AK42" i="14" s="1"/>
  <c r="AK43" i="14" s="1"/>
  <c r="AK44" i="14" s="1"/>
  <c r="AJ40" i="14"/>
  <c r="AW40" i="14" s="1"/>
  <c r="AE40" i="14"/>
  <c r="AE41" i="14" s="1"/>
  <c r="AE42" i="14" s="1"/>
  <c r="AE43" i="14" s="1"/>
  <c r="AE44" i="14" s="1"/>
  <c r="AD40" i="14"/>
  <c r="AD41" i="14" s="1"/>
  <c r="AC40" i="14"/>
  <c r="AC41" i="14" s="1"/>
  <c r="T41" i="14"/>
  <c r="T40" i="14"/>
  <c r="AI40" i="14" s="1"/>
  <c r="T28" i="14"/>
  <c r="S28" i="14"/>
  <c r="T29" i="14"/>
  <c r="S29" i="14"/>
  <c r="T30" i="14"/>
  <c r="S30" i="14"/>
  <c r="T25" i="14"/>
  <c r="S25" i="14"/>
  <c r="V25" i="14"/>
  <c r="V33" i="14" s="1"/>
  <c r="V29" i="14" s="1"/>
  <c r="AA35" i="14"/>
  <c r="Z35" i="14"/>
  <c r="U35" i="14"/>
  <c r="Y34" i="14"/>
  <c r="U34" i="14"/>
  <c r="Y33" i="14"/>
  <c r="X32" i="14"/>
  <c r="X28" i="14" s="1"/>
  <c r="V32" i="14"/>
  <c r="T24" i="14"/>
  <c r="S24" i="14"/>
  <c r="T23" i="14"/>
  <c r="S23" i="14"/>
  <c r="V22" i="14"/>
  <c r="V20" i="14"/>
  <c r="V23" i="14" s="1"/>
  <c r="V34" i="14" s="1"/>
  <c r="X19" i="14"/>
  <c r="V19" i="14"/>
  <c r="AS14" i="14"/>
  <c r="U14" i="14"/>
  <c r="T14" i="14"/>
  <c r="U13" i="14"/>
  <c r="X12" i="14"/>
  <c r="AE10" i="14" s="1"/>
  <c r="V12" i="14"/>
  <c r="AC10" i="14" s="1"/>
  <c r="X7" i="14"/>
  <c r="X10" i="14" s="1"/>
  <c r="X13" i="14" s="1"/>
  <c r="AK13" i="14" s="1"/>
  <c r="V7" i="14"/>
  <c r="AF7" i="14" s="1"/>
  <c r="AG7" i="14" s="1"/>
  <c r="AG11" i="14" s="1"/>
  <c r="X5" i="14"/>
  <c r="X8" i="14" s="1"/>
  <c r="V5" i="14"/>
  <c r="AC5" i="14" s="1"/>
  <c r="AC8" i="14" s="1"/>
  <c r="X4" i="14"/>
  <c r="AK4" i="14" s="1"/>
  <c r="V4" i="14"/>
  <c r="AI4" i="14" s="1"/>
  <c r="AS7" i="14"/>
  <c r="AX7" i="14"/>
  <c r="AJ195" i="14"/>
  <c r="AI195" i="14"/>
  <c r="AK195" i="14" s="1"/>
  <c r="AD195" i="14"/>
  <c r="AC195" i="14"/>
  <c r="AE195" i="14" s="1"/>
  <c r="AO195" i="14" s="1"/>
  <c r="X195" i="14"/>
  <c r="AJ191" i="14"/>
  <c r="AJ192" i="14" s="1"/>
  <c r="AJ193" i="14" s="1"/>
  <c r="AJ194" i="14" s="1"/>
  <c r="AI191" i="14"/>
  <c r="AK191" i="14" s="1"/>
  <c r="AP191" i="14" s="1"/>
  <c r="AD191" i="14"/>
  <c r="AD192" i="14" s="1"/>
  <c r="AD193" i="14" s="1"/>
  <c r="AD194" i="14" s="1"/>
  <c r="AC191" i="14"/>
  <c r="AE191" i="14" s="1"/>
  <c r="X191" i="14"/>
  <c r="AC212" i="14"/>
  <c r="AD212" i="14" s="1"/>
  <c r="AG213" i="14"/>
  <c r="AF213" i="14"/>
  <c r="X213" i="14"/>
  <c r="AC213" i="14"/>
  <c r="AH213" i="14"/>
  <c r="AH209" i="14"/>
  <c r="AH210" i="14"/>
  <c r="AH212" i="14"/>
  <c r="AG212" i="14"/>
  <c r="X212" i="14"/>
  <c r="AC211" i="14"/>
  <c r="AD211" i="14" s="1"/>
  <c r="AC210" i="14"/>
  <c r="AD210" i="14" s="1"/>
  <c r="AC209" i="14"/>
  <c r="AD209" i="14" s="1"/>
  <c r="AH211" i="14"/>
  <c r="AG210" i="14"/>
  <c r="AG211" i="14"/>
  <c r="AG209" i="14"/>
  <c r="X211" i="14"/>
  <c r="X210" i="14"/>
  <c r="X209" i="14"/>
  <c r="AH208" i="14"/>
  <c r="AF208" i="14"/>
  <c r="AF207" i="14"/>
  <c r="X208" i="14"/>
  <c r="X207" i="14"/>
  <c r="C50" i="15"/>
  <c r="C49" i="15"/>
  <c r="C48" i="15"/>
  <c r="C47" i="15"/>
  <c r="C46" i="15"/>
  <c r="C44" i="15"/>
  <c r="C43" i="15"/>
  <c r="C42" i="15"/>
  <c r="C41" i="15"/>
  <c r="C37" i="15"/>
  <c r="C36" i="15"/>
  <c r="C35" i="15"/>
  <c r="C34" i="15"/>
  <c r="X187" i="14"/>
  <c r="AJ187" i="14"/>
  <c r="AJ188" i="14" s="1"/>
  <c r="AJ189" i="14" s="1"/>
  <c r="AJ190" i="14" s="1"/>
  <c r="AI187" i="14"/>
  <c r="AK187" i="14" s="1"/>
  <c r="AP187" i="14" s="1"/>
  <c r="AD187" i="14"/>
  <c r="AD188" i="14" s="1"/>
  <c r="AD189" i="14" s="1"/>
  <c r="AD190" i="14" s="1"/>
  <c r="AC187" i="14"/>
  <c r="AC188" i="14" s="1"/>
  <c r="AC189" i="14" s="1"/>
  <c r="AC190" i="14" s="1"/>
  <c r="AM244" i="14"/>
  <c r="AQ244" i="14" s="1"/>
  <c r="AK242" i="14"/>
  <c r="AK241" i="14"/>
  <c r="AK240" i="14"/>
  <c r="AK239" i="14"/>
  <c r="AK238" i="14"/>
  <c r="AK248" i="14"/>
  <c r="AK247" i="14"/>
  <c r="AK246" i="14"/>
  <c r="AR237" i="14"/>
  <c r="AK237" i="14"/>
  <c r="AM231" i="14"/>
  <c r="AM229" i="14"/>
  <c r="AP223" i="14"/>
  <c r="AO223" i="14"/>
  <c r="AK224" i="14" s="1"/>
  <c r="AM224" i="14" s="1"/>
  <c r="AQ224" i="14" s="1"/>
  <c r="AR223" i="14"/>
  <c r="AM228" i="14"/>
  <c r="AQ228" i="14" s="1"/>
  <c r="AK227" i="14"/>
  <c r="AM226" i="14"/>
  <c r="AQ226" i="14" s="1"/>
  <c r="AK225" i="14"/>
  <c r="AN225" i="14" s="1"/>
  <c r="AN226" i="14" s="1"/>
  <c r="AK223" i="14"/>
  <c r="AJ180" i="14"/>
  <c r="AJ181" i="14" s="1"/>
  <c r="AJ182" i="14" s="1"/>
  <c r="AJ183" i="14" s="1"/>
  <c r="AD180" i="14"/>
  <c r="AD181" i="14" s="1"/>
  <c r="AD182" i="14" s="1"/>
  <c r="AD183" i="14" s="1"/>
  <c r="AD173" i="14"/>
  <c r="AJ175" i="14"/>
  <c r="AJ171" i="14"/>
  <c r="AD171" i="14"/>
  <c r="AK166" i="14"/>
  <c r="AK164" i="14"/>
  <c r="AK165" i="14" s="1"/>
  <c r="AK167" i="14" s="1"/>
  <c r="AE166" i="14"/>
  <c r="AE164" i="14"/>
  <c r="AK160" i="14"/>
  <c r="AK156" i="14"/>
  <c r="AK159" i="14" s="1"/>
  <c r="AE160" i="14"/>
  <c r="AK153" i="14"/>
  <c r="AK155" i="14" s="1"/>
  <c r="AK158" i="14" s="1"/>
  <c r="AK151" i="14"/>
  <c r="AE154" i="14"/>
  <c r="AE156" i="14" s="1"/>
  <c r="AE159" i="14" s="1"/>
  <c r="AE153" i="14"/>
  <c r="AE155" i="14" s="1"/>
  <c r="AE158" i="14" s="1"/>
  <c r="AE151" i="14"/>
  <c r="BJ166" i="14"/>
  <c r="AI166" i="14"/>
  <c r="AD166" i="14"/>
  <c r="AC166" i="14"/>
  <c r="AJ166" i="14"/>
  <c r="X166" i="14"/>
  <c r="BL165" i="14"/>
  <c r="BK165" i="14"/>
  <c r="BJ165" i="14"/>
  <c r="BI165" i="14"/>
  <c r="BH165" i="14"/>
  <c r="BG165" i="14"/>
  <c r="BF165" i="14"/>
  <c r="BD165" i="14"/>
  <c r="BC165" i="14"/>
  <c r="BB165" i="14"/>
  <c r="BA165" i="14"/>
  <c r="AZ165" i="14"/>
  <c r="AY165" i="14"/>
  <c r="AX165" i="14"/>
  <c r="AW165" i="14"/>
  <c r="AV165" i="14"/>
  <c r="AU165" i="14"/>
  <c r="AT165" i="14"/>
  <c r="AS165" i="14"/>
  <c r="AW166" i="14"/>
  <c r="AX166" i="14" s="1"/>
  <c r="AV166" i="14"/>
  <c r="AU166" i="14"/>
  <c r="AT166" i="14"/>
  <c r="AS166" i="14"/>
  <c r="AJ164" i="14"/>
  <c r="AJ165" i="14" s="1"/>
  <c r="AJ167" i="14" s="1"/>
  <c r="AI164" i="14"/>
  <c r="AI165" i="14" s="1"/>
  <c r="AI167" i="14" s="1"/>
  <c r="AD164" i="14"/>
  <c r="AD165" i="14" s="1"/>
  <c r="AD167" i="14" s="1"/>
  <c r="AC164" i="14"/>
  <c r="X164" i="14"/>
  <c r="AX158" i="14"/>
  <c r="AW158" i="14"/>
  <c r="AV158" i="14"/>
  <c r="AU158" i="14"/>
  <c r="AT158" i="14"/>
  <c r="AS158" i="14"/>
  <c r="BJ152" i="14"/>
  <c r="BJ153" i="14" s="1"/>
  <c r="BJ155" i="14" s="1"/>
  <c r="BJ157" i="14" s="1"/>
  <c r="BJ158" i="14" s="1"/>
  <c r="AW152" i="14"/>
  <c r="AW153" i="14" s="1"/>
  <c r="X158" i="14"/>
  <c r="X155" i="14"/>
  <c r="X153" i="14"/>
  <c r="X151" i="14"/>
  <c r="BH152" i="14"/>
  <c r="BG152" i="14"/>
  <c r="BD152" i="14"/>
  <c r="BC152" i="14"/>
  <c r="BB152" i="14"/>
  <c r="BA152" i="14"/>
  <c r="AZ152" i="14"/>
  <c r="AY152" i="14"/>
  <c r="BI152" i="14"/>
  <c r="AV152" i="14"/>
  <c r="AV153" i="14" s="1"/>
  <c r="AV155" i="14" s="1"/>
  <c r="AV157" i="14" s="1"/>
  <c r="AT152" i="14"/>
  <c r="AT153" i="14" s="1"/>
  <c r="AT155" i="14" s="1"/>
  <c r="AT157" i="14" s="1"/>
  <c r="AU152" i="14"/>
  <c r="AU153" i="14" s="1"/>
  <c r="AU155" i="14" s="1"/>
  <c r="AS152" i="14"/>
  <c r="AS153" i="14" s="1"/>
  <c r="AS155" i="14" s="1"/>
  <c r="AI183" i="14"/>
  <c r="AC183" i="14"/>
  <c r="AI182" i="14"/>
  <c r="AC181" i="14"/>
  <c r="AI180" i="14"/>
  <c r="AC180" i="14"/>
  <c r="AI175" i="14"/>
  <c r="AC173" i="14"/>
  <c r="AI171" i="14"/>
  <c r="AC171" i="14"/>
  <c r="AJ160" i="14"/>
  <c r="AI160" i="14"/>
  <c r="AD160" i="14"/>
  <c r="AC160" i="14"/>
  <c r="AJ156" i="14"/>
  <c r="AI156" i="14"/>
  <c r="AD154" i="14"/>
  <c r="AC154" i="14"/>
  <c r="AC156" i="14" s="1"/>
  <c r="AJ151" i="14"/>
  <c r="AI151" i="14"/>
  <c r="AD151" i="14"/>
  <c r="AC151" i="14"/>
  <c r="AC153" i="14" s="1"/>
  <c r="AC155" i="14" s="1"/>
  <c r="I7" i="12"/>
  <c r="G7" i="12"/>
  <c r="H7" i="12" s="1"/>
  <c r="E7" i="12"/>
  <c r="O6" i="12"/>
  <c r="J7" i="12" s="1"/>
  <c r="I6" i="12"/>
  <c r="G6" i="12"/>
  <c r="H6" i="12" s="1"/>
  <c r="E6" i="12"/>
  <c r="I5" i="12"/>
  <c r="H5" i="12"/>
  <c r="G5" i="12"/>
  <c r="E5" i="12"/>
  <c r="I4" i="12"/>
  <c r="G4" i="12"/>
  <c r="H4" i="12" s="1"/>
  <c r="E4" i="12"/>
  <c r="I3" i="12"/>
  <c r="G3" i="12"/>
  <c r="H3" i="12" s="1"/>
  <c r="E3" i="12"/>
  <c r="F3" i="12" s="1"/>
  <c r="F4" i="12" s="1"/>
  <c r="F5" i="12" s="1"/>
  <c r="F6" i="12" s="1"/>
  <c r="F7" i="12" s="1"/>
  <c r="O6" i="11"/>
  <c r="J3" i="11" s="1"/>
  <c r="J4" i="11"/>
  <c r="I4" i="11"/>
  <c r="G4" i="11"/>
  <c r="H4" i="11" s="1"/>
  <c r="E4" i="11"/>
  <c r="I3" i="11"/>
  <c r="G3" i="11"/>
  <c r="H3" i="11" s="1"/>
  <c r="E3" i="11"/>
  <c r="F3" i="11" s="1"/>
  <c r="F4" i="11" s="1"/>
  <c r="O6" i="10"/>
  <c r="J4" i="10"/>
  <c r="I4" i="10"/>
  <c r="G4" i="10"/>
  <c r="H4" i="10" s="1"/>
  <c r="E4" i="10"/>
  <c r="J3" i="10"/>
  <c r="I3" i="10"/>
  <c r="G3" i="10"/>
  <c r="H3" i="10" s="1"/>
  <c r="O8" i="10" s="1"/>
  <c r="O7" i="10" s="1"/>
  <c r="E3" i="10"/>
  <c r="F3" i="10" s="1"/>
  <c r="F4" i="10" s="1"/>
  <c r="I7" i="9"/>
  <c r="G7" i="9"/>
  <c r="H7" i="9" s="1"/>
  <c r="E7" i="9"/>
  <c r="O6" i="9"/>
  <c r="J7" i="9" s="1"/>
  <c r="J6" i="9"/>
  <c r="I6" i="9"/>
  <c r="G6" i="9"/>
  <c r="H6" i="9" s="1"/>
  <c r="E6" i="9"/>
  <c r="I5" i="9"/>
  <c r="G5" i="9"/>
  <c r="H5" i="9" s="1"/>
  <c r="E5" i="9"/>
  <c r="I4" i="9"/>
  <c r="G4" i="9"/>
  <c r="H4" i="9" s="1"/>
  <c r="E4" i="9"/>
  <c r="I3" i="9"/>
  <c r="H3" i="9"/>
  <c r="G3" i="9"/>
  <c r="E3" i="9"/>
  <c r="F3" i="9" s="1"/>
  <c r="F4" i="9" s="1"/>
  <c r="F5" i="9" s="1"/>
  <c r="F6" i="9" s="1"/>
  <c r="F7" i="9" s="1"/>
  <c r="O6" i="8"/>
  <c r="J3" i="8" s="1"/>
  <c r="J6" i="8"/>
  <c r="I6" i="8"/>
  <c r="G6" i="8"/>
  <c r="H6" i="8" s="1"/>
  <c r="E6" i="8"/>
  <c r="J5" i="8"/>
  <c r="I5" i="8"/>
  <c r="G5" i="8"/>
  <c r="H5" i="8" s="1"/>
  <c r="E5" i="8"/>
  <c r="J4" i="8"/>
  <c r="I4" i="8"/>
  <c r="H4" i="8"/>
  <c r="G4" i="8"/>
  <c r="F4" i="8"/>
  <c r="E4" i="8"/>
  <c r="I3" i="8"/>
  <c r="G3" i="8"/>
  <c r="H3" i="8" s="1"/>
  <c r="O8" i="8" s="1"/>
  <c r="O7" i="8" s="1"/>
  <c r="E3" i="8"/>
  <c r="F3" i="8" s="1"/>
  <c r="F5" i="8" s="1"/>
  <c r="F6" i="8" s="1"/>
  <c r="O8" i="7"/>
  <c r="O7" i="7" s="1"/>
  <c r="O9" i="7" s="1"/>
  <c r="O6" i="7"/>
  <c r="J3" i="7"/>
  <c r="I3" i="7"/>
  <c r="H3" i="7"/>
  <c r="J7" i="6"/>
  <c r="I7" i="6"/>
  <c r="G7" i="6"/>
  <c r="H7" i="6" s="1"/>
  <c r="E7" i="6"/>
  <c r="O6" i="6"/>
  <c r="J3" i="6" s="1"/>
  <c r="J6" i="6"/>
  <c r="I6" i="6"/>
  <c r="H6" i="6"/>
  <c r="G6" i="6"/>
  <c r="E6" i="6"/>
  <c r="J5" i="6"/>
  <c r="I5" i="6"/>
  <c r="H5" i="6"/>
  <c r="G5" i="6"/>
  <c r="E5" i="6"/>
  <c r="I4" i="6"/>
  <c r="G4" i="6"/>
  <c r="H4" i="6" s="1"/>
  <c r="E4" i="6"/>
  <c r="I3" i="6"/>
  <c r="G3" i="6"/>
  <c r="H3" i="6" s="1"/>
  <c r="E3" i="6"/>
  <c r="F3" i="6" s="1"/>
  <c r="F4" i="6" s="1"/>
  <c r="F5" i="6" s="1"/>
  <c r="F6" i="6" s="1"/>
  <c r="F7" i="6" s="1"/>
  <c r="O6" i="5"/>
  <c r="J4" i="5"/>
  <c r="I4" i="5"/>
  <c r="H4" i="5"/>
  <c r="G4" i="5"/>
  <c r="E4" i="5"/>
  <c r="J3" i="5"/>
  <c r="I3" i="5"/>
  <c r="G3" i="5"/>
  <c r="H3" i="5" s="1"/>
  <c r="O8" i="5" s="1"/>
  <c r="O7" i="5" s="1"/>
  <c r="E3" i="5"/>
  <c r="F3" i="5" s="1"/>
  <c r="F4" i="5" s="1"/>
  <c r="M44" i="15" l="1"/>
  <c r="V117" i="14"/>
  <c r="Y117" i="14" s="1"/>
  <c r="X117" i="14"/>
  <c r="AI115" i="14"/>
  <c r="X118" i="14"/>
  <c r="V118" i="14"/>
  <c r="Y118" i="14" s="1"/>
  <c r="AU133" i="14"/>
  <c r="BA133" i="14" s="1"/>
  <c r="Y112" i="14"/>
  <c r="AO114" i="14"/>
  <c r="W113" i="14"/>
  <c r="W118" i="14" s="1"/>
  <c r="AE113" i="14"/>
  <c r="AE115" i="14" s="1"/>
  <c r="AE117" i="14" s="1"/>
  <c r="AO113" i="14"/>
  <c r="AC113" i="14"/>
  <c r="AQ113" i="14"/>
  <c r="AQ115" i="14" s="1"/>
  <c r="AQ117" i="14" s="1"/>
  <c r="Y113" i="14"/>
  <c r="AC112" i="14"/>
  <c r="AF112" i="14" s="1"/>
  <c r="W112" i="14"/>
  <c r="W117" i="14" s="1"/>
  <c r="AE112" i="14"/>
  <c r="AE114" i="14" s="1"/>
  <c r="AE116" i="14" s="1"/>
  <c r="AE118" i="14" s="1"/>
  <c r="AI112" i="14"/>
  <c r="AK112" i="14"/>
  <c r="AK114" i="14" s="1"/>
  <c r="AK116" i="14" s="1"/>
  <c r="AK118" i="14" s="1"/>
  <c r="AE129" i="14"/>
  <c r="AE131" i="14" s="1"/>
  <c r="AE132" i="14" s="1"/>
  <c r="X133" i="14"/>
  <c r="V133" i="14"/>
  <c r="Y133" i="14" s="1"/>
  <c r="AZ127" i="14"/>
  <c r="BC124" i="14"/>
  <c r="AY125" i="14"/>
  <c r="AR124" i="14"/>
  <c r="AS124" i="14" s="1"/>
  <c r="AO125" i="14"/>
  <c r="AC124" i="14"/>
  <c r="AK124" i="14"/>
  <c r="AK125" i="14" s="1"/>
  <c r="AK126" i="14" s="1"/>
  <c r="AK127" i="14" s="1"/>
  <c r="AK128" i="14" s="1"/>
  <c r="AK129" i="14" s="1"/>
  <c r="AQ124" i="14"/>
  <c r="AQ125" i="14" s="1"/>
  <c r="AQ126" i="14" s="1"/>
  <c r="W124" i="14"/>
  <c r="W133" i="14" s="1"/>
  <c r="Y124" i="14"/>
  <c r="AI124" i="14"/>
  <c r="AE89" i="14"/>
  <c r="AE91" i="14" s="1"/>
  <c r="AE93" i="14" s="1"/>
  <c r="AE95" i="14" s="1"/>
  <c r="AE97" i="14" s="1"/>
  <c r="AE99" i="14" s="1"/>
  <c r="AE101" i="14" s="1"/>
  <c r="AE103" i="14" s="1"/>
  <c r="AY81" i="14"/>
  <c r="X84" i="14"/>
  <c r="X87" i="14" s="1"/>
  <c r="X85" i="14"/>
  <c r="V84" i="14"/>
  <c r="V87" i="14" s="1"/>
  <c r="AO80" i="14"/>
  <c r="AC81" i="14"/>
  <c r="AC83" i="14" s="1"/>
  <c r="W88" i="14"/>
  <c r="W82" i="14"/>
  <c r="W85" i="14" s="1"/>
  <c r="Y82" i="14"/>
  <c r="Y85" i="14" s="1"/>
  <c r="AC82" i="14"/>
  <c r="AI82" i="14"/>
  <c r="AE82" i="14"/>
  <c r="AE85" i="14" s="1"/>
  <c r="AE88" i="14" s="1"/>
  <c r="AE90" i="14" s="1"/>
  <c r="AE92" i="14" s="1"/>
  <c r="AE94" i="14" s="1"/>
  <c r="AE96" i="14" s="1"/>
  <c r="AE98" i="14" s="1"/>
  <c r="AE100" i="14" s="1"/>
  <c r="AE102" i="14" s="1"/>
  <c r="AQ80" i="14"/>
  <c r="AQ81" i="14" s="1"/>
  <c r="AQ82" i="14" s="1"/>
  <c r="AQ85" i="14" s="1"/>
  <c r="AQ88" i="14" s="1"/>
  <c r="AQ90" i="14" s="1"/>
  <c r="AQ92" i="14" s="1"/>
  <c r="AQ94" i="14" s="1"/>
  <c r="AQ96" i="14" s="1"/>
  <c r="AQ98" i="14" s="1"/>
  <c r="AQ100" i="14" s="1"/>
  <c r="AQ102" i="14" s="1"/>
  <c r="Y80" i="14"/>
  <c r="Y84" i="14" s="1"/>
  <c r="W80" i="14"/>
  <c r="W84" i="14" s="1"/>
  <c r="W87" i="14" s="1"/>
  <c r="AI80" i="14"/>
  <c r="AK80" i="14"/>
  <c r="AK81" i="14" s="1"/>
  <c r="AK83" i="14" s="1"/>
  <c r="AK86" i="14" s="1"/>
  <c r="AK89" i="14" s="1"/>
  <c r="AK91" i="14" s="1"/>
  <c r="AK93" i="14" s="1"/>
  <c r="AK95" i="14" s="1"/>
  <c r="AK97" i="14" s="1"/>
  <c r="AK99" i="14" s="1"/>
  <c r="AK101" i="14" s="1"/>
  <c r="AK103" i="14" s="1"/>
  <c r="AI66" i="14"/>
  <c r="AI68" i="14" s="1"/>
  <c r="AI75" i="14" s="1"/>
  <c r="AL66" i="14"/>
  <c r="AL68" i="14" s="1"/>
  <c r="AL75" i="14" s="1"/>
  <c r="AC64" i="14"/>
  <c r="AF64" i="14" s="1"/>
  <c r="AE64" i="14"/>
  <c r="AE66" i="14" s="1"/>
  <c r="AE68" i="14" s="1"/>
  <c r="AE75" i="14" s="1"/>
  <c r="AK64" i="14"/>
  <c r="AK66" i="14" s="1"/>
  <c r="AK68" i="14" s="1"/>
  <c r="AK75" i="14" s="1"/>
  <c r="W64" i="14"/>
  <c r="AO64" i="14"/>
  <c r="AR64" i="14" s="1"/>
  <c r="AS64" i="14" s="1"/>
  <c r="Y64" i="14"/>
  <c r="W59" i="14"/>
  <c r="AQ57" i="14"/>
  <c r="AQ59" i="14" s="1"/>
  <c r="AV55" i="14"/>
  <c r="AV57" i="14" s="1"/>
  <c r="AJ52" i="14"/>
  <c r="AJ54" i="14" s="1"/>
  <c r="AJ56" i="14" s="1"/>
  <c r="AJ58" i="14" s="1"/>
  <c r="AK52" i="14"/>
  <c r="AK54" i="14" s="1"/>
  <c r="AK56" i="14" s="1"/>
  <c r="AK58" i="14" s="1"/>
  <c r="AK53" i="14"/>
  <c r="AK55" i="14" s="1"/>
  <c r="AK57" i="14" s="1"/>
  <c r="AK59" i="14" s="1"/>
  <c r="AO53" i="14"/>
  <c r="W53" i="14"/>
  <c r="AE53" i="14"/>
  <c r="AE55" i="14" s="1"/>
  <c r="AE57" i="14" s="1"/>
  <c r="AE59" i="14" s="1"/>
  <c r="AC53" i="14"/>
  <c r="AI53" i="14"/>
  <c r="AP52" i="14"/>
  <c r="AP54" i="14" s="1"/>
  <c r="AP56" i="14" s="1"/>
  <c r="AP58" i="14" s="1"/>
  <c r="AQ52" i="14"/>
  <c r="AQ54" i="14" s="1"/>
  <c r="AQ56" i="14" s="1"/>
  <c r="AQ58" i="14" s="1"/>
  <c r="AG50" i="14"/>
  <c r="AS50" i="14"/>
  <c r="AR40" i="14"/>
  <c r="AS40" i="14" s="1"/>
  <c r="AV40" i="14"/>
  <c r="AF40" i="14"/>
  <c r="AG40" i="14" s="1"/>
  <c r="X40" i="14" s="1"/>
  <c r="AU40" i="14"/>
  <c r="AU50" i="14"/>
  <c r="AD51" i="14"/>
  <c r="W52" i="14" s="1"/>
  <c r="X52" i="14" s="1"/>
  <c r="Z52" i="14" s="1"/>
  <c r="AA52" i="14" s="1"/>
  <c r="W50" i="14"/>
  <c r="AC51" i="14"/>
  <c r="AI50" i="14"/>
  <c r="AL50" i="14" s="1"/>
  <c r="AO51" i="14"/>
  <c r="AO52" i="14" s="1"/>
  <c r="AO54" i="14" s="1"/>
  <c r="AO56" i="14" s="1"/>
  <c r="AO58" i="14" s="1"/>
  <c r="X51" i="14"/>
  <c r="AI41" i="14"/>
  <c r="AI42" i="14" s="1"/>
  <c r="AL42" i="14" s="1"/>
  <c r="AM42" i="14" s="1"/>
  <c r="AL40" i="14"/>
  <c r="AM40" i="14" s="1"/>
  <c r="Y7" i="14"/>
  <c r="Y10" i="14" s="1"/>
  <c r="Y13" i="14" s="1"/>
  <c r="AV41" i="14"/>
  <c r="AD42" i="14"/>
  <c r="AR41" i="14"/>
  <c r="AS41" i="14" s="1"/>
  <c r="AO42" i="14"/>
  <c r="AC42" i="14"/>
  <c r="AF41" i="14"/>
  <c r="AG41" i="14" s="1"/>
  <c r="X41" i="14" s="1"/>
  <c r="AJ41" i="14"/>
  <c r="AP41" i="14"/>
  <c r="V30" i="14"/>
  <c r="V28" i="14"/>
  <c r="V26" i="14"/>
  <c r="T26" i="14"/>
  <c r="T27" i="14"/>
  <c r="T31" i="14" s="1"/>
  <c r="S26" i="14"/>
  <c r="S27" i="14"/>
  <c r="S31" i="14" s="1"/>
  <c r="Y32" i="14"/>
  <c r="W32" i="14"/>
  <c r="W28" i="14" s="1"/>
  <c r="AI32" i="14"/>
  <c r="AI28" i="14" s="1"/>
  <c r="AL28" i="14" s="1"/>
  <c r="AM28" i="14" s="1"/>
  <c r="AO32" i="14"/>
  <c r="AO28" i="14" s="1"/>
  <c r="AR28" i="14" s="1"/>
  <c r="AS28" i="14" s="1"/>
  <c r="W19" i="14"/>
  <c r="AJ19" i="14" s="1"/>
  <c r="AJ20" i="14" s="1"/>
  <c r="W25" i="14" s="1"/>
  <c r="Y19" i="14"/>
  <c r="AC19" i="14"/>
  <c r="AF19" i="14" s="1"/>
  <c r="AG19" i="14" s="1"/>
  <c r="AI19" i="14"/>
  <c r="AL19" i="14" s="1"/>
  <c r="AM19" i="14" s="1"/>
  <c r="AK19" i="14"/>
  <c r="AK20" i="14" s="1"/>
  <c r="AK22" i="14" s="1"/>
  <c r="AK28" i="14" s="1"/>
  <c r="AK32" i="14" s="1"/>
  <c r="X21" i="14"/>
  <c r="X24" i="14" s="1"/>
  <c r="X27" i="14" s="1"/>
  <c r="X31" i="14" s="1"/>
  <c r="AE19" i="14"/>
  <c r="AE20" i="14" s="1"/>
  <c r="AE22" i="14" s="1"/>
  <c r="AE25" i="14" s="1"/>
  <c r="AE28" i="14" s="1"/>
  <c r="AE32" i="14" s="1"/>
  <c r="V21" i="14"/>
  <c r="AO19" i="14"/>
  <c r="AR19" i="14" s="1"/>
  <c r="AS19" i="14" s="1"/>
  <c r="AQ19" i="14"/>
  <c r="AQ20" i="14" s="1"/>
  <c r="AQ22" i="14" s="1"/>
  <c r="AQ25" i="14" s="1"/>
  <c r="X6" i="14"/>
  <c r="V6" i="14"/>
  <c r="Y12" i="14"/>
  <c r="AE13" i="14"/>
  <c r="V8" i="14"/>
  <c r="V11" i="14" s="1"/>
  <c r="V14" i="14" s="1"/>
  <c r="W7" i="14"/>
  <c r="W10" i="14" s="1"/>
  <c r="W13" i="14" s="1"/>
  <c r="AI10" i="14"/>
  <c r="AO10" i="14"/>
  <c r="AK5" i="14"/>
  <c r="AK8" i="14" s="1"/>
  <c r="AQ10" i="14"/>
  <c r="AK10" i="14"/>
  <c r="AL10" i="14"/>
  <c r="AM10" i="14" s="1"/>
  <c r="AR10" i="14"/>
  <c r="AS10" i="14" s="1"/>
  <c r="AF10" i="14"/>
  <c r="AG10" i="14" s="1"/>
  <c r="W12" i="14"/>
  <c r="AF11" i="14"/>
  <c r="W5" i="14"/>
  <c r="AK7" i="14"/>
  <c r="AK11" i="14" s="1"/>
  <c r="AL7" i="14"/>
  <c r="AR4" i="14"/>
  <c r="V9" i="14"/>
  <c r="X11" i="14"/>
  <c r="X14" i="14" s="1"/>
  <c r="AI7" i="14"/>
  <c r="AI11" i="14" s="1"/>
  <c r="V10" i="14"/>
  <c r="AC7" i="14"/>
  <c r="AE7" i="14"/>
  <c r="AE11" i="14" s="1"/>
  <c r="AF4" i="14"/>
  <c r="AG4" i="14" s="1"/>
  <c r="AF5" i="14"/>
  <c r="AI5" i="14"/>
  <c r="AI8" i="14" s="1"/>
  <c r="AO4" i="14"/>
  <c r="AQ4" i="14"/>
  <c r="AQ5" i="14" s="1"/>
  <c r="AL5" i="14"/>
  <c r="W4" i="14"/>
  <c r="W6" i="14" s="1"/>
  <c r="Y4" i="14"/>
  <c r="AR5" i="14"/>
  <c r="AS5" i="14" s="1"/>
  <c r="AO5" i="14"/>
  <c r="X9" i="14"/>
  <c r="AE4" i="14"/>
  <c r="AE5" i="14" s="1"/>
  <c r="AE8" i="14" s="1"/>
  <c r="AL4" i="14"/>
  <c r="AM4" i="14" s="1"/>
  <c r="AC4" i="14"/>
  <c r="Y5" i="14"/>
  <c r="AM195" i="14"/>
  <c r="AP195" i="14"/>
  <c r="AL195" i="14"/>
  <c r="AF195" i="14"/>
  <c r="AO191" i="14"/>
  <c r="AF191" i="14"/>
  <c r="AG191" i="14"/>
  <c r="AG192" i="14" s="1"/>
  <c r="AG193" i="14" s="1"/>
  <c r="AG194" i="14" s="1"/>
  <c r="AG195" i="14" s="1"/>
  <c r="AC192" i="14"/>
  <c r="AC193" i="14" s="1"/>
  <c r="AC194" i="14" s="1"/>
  <c r="AE187" i="14"/>
  <c r="AE188" i="14" s="1"/>
  <c r="AL191" i="14"/>
  <c r="AK188" i="14"/>
  <c r="AP188" i="14" s="1"/>
  <c r="AE192" i="14"/>
  <c r="AM191" i="14"/>
  <c r="AM192" i="14" s="1"/>
  <c r="AM193" i="14" s="1"/>
  <c r="AM194" i="14" s="1"/>
  <c r="AK192" i="14"/>
  <c r="AP192" i="14" s="1"/>
  <c r="AN227" i="14"/>
  <c r="AN228" i="14" s="1"/>
  <c r="AQ229" i="14"/>
  <c r="AQ230" i="14" s="1"/>
  <c r="AL187" i="14"/>
  <c r="AG187" i="14"/>
  <c r="AG188" i="14" s="1"/>
  <c r="AG189" i="14" s="1"/>
  <c r="AG190" i="14" s="1"/>
  <c r="AM187" i="14"/>
  <c r="AM188" i="14" s="1"/>
  <c r="AM189" i="14" s="1"/>
  <c r="AM190" i="14" s="1"/>
  <c r="AG166" i="14"/>
  <c r="AS223" i="14"/>
  <c r="AR238" i="14"/>
  <c r="AR239" i="14" s="1"/>
  <c r="AR240" i="14" s="1"/>
  <c r="AR241" i="14" s="1"/>
  <c r="AR242" i="14" s="1"/>
  <c r="AR243" i="14" s="1"/>
  <c r="AR244" i="14" s="1"/>
  <c r="AS237" i="14"/>
  <c r="AN237" i="14"/>
  <c r="AN238" i="14" s="1"/>
  <c r="AN239" i="14" s="1"/>
  <c r="AO225" i="14"/>
  <c r="AO226" i="14" s="1"/>
  <c r="AO227" i="14" s="1"/>
  <c r="AO228" i="14" s="1"/>
  <c r="AO229" i="14" s="1"/>
  <c r="AO230" i="14" s="1"/>
  <c r="AO231" i="14" s="1"/>
  <c r="AO232" i="14" s="1"/>
  <c r="AP225" i="14"/>
  <c r="AP226" i="14" s="1"/>
  <c r="AP227" i="14" s="1"/>
  <c r="AP228" i="14" s="1"/>
  <c r="AP229" i="14" s="1"/>
  <c r="AP230" i="14" s="1"/>
  <c r="AP231" i="14" s="1"/>
  <c r="AP232" i="14" s="1"/>
  <c r="AR224" i="14"/>
  <c r="AM166" i="14"/>
  <c r="AE165" i="14"/>
  <c r="AE167" i="14" s="1"/>
  <c r="AC165" i="14"/>
  <c r="AC167" i="14" s="1"/>
  <c r="AG164" i="14"/>
  <c r="AG165" i="14" s="1"/>
  <c r="AG167" i="14" s="1"/>
  <c r="AM164" i="14"/>
  <c r="AM165" i="14" s="1"/>
  <c r="AM167" i="14" s="1"/>
  <c r="AS157" i="14"/>
  <c r="BF152" i="14"/>
  <c r="BK152" i="14" s="1"/>
  <c r="BL152" i="14" s="1"/>
  <c r="AU157" i="14"/>
  <c r="AX152" i="14"/>
  <c r="AM183" i="14"/>
  <c r="AG181" i="14"/>
  <c r="AM182" i="14"/>
  <c r="AG183" i="14"/>
  <c r="AG171" i="14"/>
  <c r="AG180" i="14"/>
  <c r="AM171" i="14"/>
  <c r="AG173" i="14"/>
  <c r="AM175" i="14"/>
  <c r="AM180" i="14"/>
  <c r="AM160" i="14"/>
  <c r="AP158" i="14" s="1"/>
  <c r="BA158" i="14" s="1"/>
  <c r="BB158" i="14" s="1"/>
  <c r="AG160" i="14"/>
  <c r="AN158" i="14" s="1"/>
  <c r="AM156" i="14"/>
  <c r="AM151" i="14"/>
  <c r="AP151" i="14" s="1"/>
  <c r="AP152" i="14" s="1"/>
  <c r="AP153" i="14" s="1"/>
  <c r="AG151" i="14"/>
  <c r="AN151" i="14" s="1"/>
  <c r="AG154" i="14"/>
  <c r="O8" i="12"/>
  <c r="O7" i="12" s="1"/>
  <c r="O8" i="9"/>
  <c r="O7" i="9" s="1"/>
  <c r="O8" i="11"/>
  <c r="O7" i="11" s="1"/>
  <c r="O8" i="6"/>
  <c r="O7" i="6" s="1"/>
  <c r="J3" i="9"/>
  <c r="J3" i="12"/>
  <c r="J4" i="6"/>
  <c r="J4" i="12"/>
  <c r="J4" i="9"/>
  <c r="J5" i="12"/>
  <c r="J5" i="9"/>
  <c r="J6" i="12"/>
  <c r="AE130" i="14" l="1"/>
  <c r="AR113" i="14"/>
  <c r="AS113" i="14" s="1"/>
  <c r="AO115" i="14"/>
  <c r="AI117" i="14"/>
  <c r="AL117" i="14" s="1"/>
  <c r="AM117" i="14" s="1"/>
  <c r="AL115" i="14"/>
  <c r="AM115" i="14" s="1"/>
  <c r="AF113" i="14"/>
  <c r="AG113" i="14" s="1"/>
  <c r="AC115" i="14"/>
  <c r="AR114" i="14"/>
  <c r="AS114" i="14" s="1"/>
  <c r="AO116" i="14"/>
  <c r="AL112" i="14"/>
  <c r="AM112" i="14" s="1"/>
  <c r="AI114" i="14"/>
  <c r="AG112" i="14"/>
  <c r="AC114" i="14"/>
  <c r="AJ113" i="14"/>
  <c r="AJ115" i="14" s="1"/>
  <c r="AJ117" i="14" s="1"/>
  <c r="AP113" i="14"/>
  <c r="AP115" i="14" s="1"/>
  <c r="AP117" i="14" s="1"/>
  <c r="AD113" i="14"/>
  <c r="AD115" i="14" s="1"/>
  <c r="AD117" i="14" s="1"/>
  <c r="AD112" i="14"/>
  <c r="AJ112" i="14"/>
  <c r="AP112" i="14"/>
  <c r="AK131" i="14"/>
  <c r="AK132" i="14" s="1"/>
  <c r="AK130" i="14"/>
  <c r="AF81" i="14"/>
  <c r="AG81" i="14" s="1"/>
  <c r="AJ82" i="14"/>
  <c r="AJ85" i="14" s="1"/>
  <c r="AJ88" i="14" s="1"/>
  <c r="AY126" i="14"/>
  <c r="BC125" i="14"/>
  <c r="AO126" i="14"/>
  <c r="AR125" i="14"/>
  <c r="AS125" i="14" s="1"/>
  <c r="AF124" i="14"/>
  <c r="AG124" i="14" s="1"/>
  <c r="AC125" i="14"/>
  <c r="AQ128" i="14"/>
  <c r="AQ127" i="14"/>
  <c r="AQ129" i="14" s="1"/>
  <c r="AL124" i="14"/>
  <c r="AM124" i="14" s="1"/>
  <c r="AI125" i="14"/>
  <c r="AD124" i="14"/>
  <c r="AP124" i="14"/>
  <c r="AJ124" i="14"/>
  <c r="AQ32" i="14"/>
  <c r="AQ28" i="14"/>
  <c r="AD82" i="14"/>
  <c r="AD85" i="14"/>
  <c r="AD88" i="14" s="1"/>
  <c r="AL80" i="14"/>
  <c r="AM80" i="14" s="1"/>
  <c r="AI81" i="14"/>
  <c r="AL82" i="14"/>
  <c r="AM82" i="14" s="1"/>
  <c r="AI85" i="14"/>
  <c r="AF82" i="14"/>
  <c r="AG82" i="14" s="1"/>
  <c r="AG85" i="14" s="1"/>
  <c r="AC85" i="14"/>
  <c r="AR80" i="14"/>
  <c r="AS80" i="14" s="1"/>
  <c r="AO81" i="14"/>
  <c r="AF83" i="14"/>
  <c r="AG83" i="14" s="1"/>
  <c r="AG86" i="14" s="1"/>
  <c r="AC86" i="14"/>
  <c r="AD80" i="14"/>
  <c r="AP80" i="14"/>
  <c r="AJ80" i="14"/>
  <c r="AG64" i="14"/>
  <c r="AG66" i="14" s="1"/>
  <c r="AG68" i="14" s="1"/>
  <c r="AF66" i="14"/>
  <c r="AF68" i="14" s="1"/>
  <c r="AD64" i="14"/>
  <c r="AD66" i="14" s="1"/>
  <c r="AP64" i="14"/>
  <c r="AJ64" i="14"/>
  <c r="AF53" i="14"/>
  <c r="AC55" i="14"/>
  <c r="AC57" i="14" s="1"/>
  <c r="AC59" i="14" s="1"/>
  <c r="AR53" i="14"/>
  <c r="AO55" i="14"/>
  <c r="AO57" i="14" s="1"/>
  <c r="AO59" i="14" s="1"/>
  <c r="AR59" i="14" s="1"/>
  <c r="AS59" i="14" s="1"/>
  <c r="AL53" i="14"/>
  <c r="AI55" i="14"/>
  <c r="AD53" i="14"/>
  <c r="AD55" i="14" s="1"/>
  <c r="AJ53" i="14"/>
  <c r="AJ55" i="14" s="1"/>
  <c r="AJ57" i="14" s="1"/>
  <c r="AJ59" i="14" s="1"/>
  <c r="AP53" i="14"/>
  <c r="AP55" i="14" s="1"/>
  <c r="AP57" i="14" s="1"/>
  <c r="AP59" i="14" s="1"/>
  <c r="AU51" i="14"/>
  <c r="AY50" i="14"/>
  <c r="AV51" i="14"/>
  <c r="AV52" i="14" s="1"/>
  <c r="AW52" i="14"/>
  <c r="AL41" i="14"/>
  <c r="AM41" i="14" s="1"/>
  <c r="AR51" i="14"/>
  <c r="AR52" i="14" s="1"/>
  <c r="AI43" i="14"/>
  <c r="AI44" i="14" s="1"/>
  <c r="AL44" i="14" s="1"/>
  <c r="AM44" i="14" s="1"/>
  <c r="X44" i="14" s="1"/>
  <c r="AU41" i="14"/>
  <c r="AF51" i="14"/>
  <c r="AW51" i="14"/>
  <c r="AW50" i="14"/>
  <c r="AX50" i="14" s="1"/>
  <c r="AI51" i="14"/>
  <c r="AI52" i="14" s="1"/>
  <c r="Z51" i="14"/>
  <c r="AP42" i="14"/>
  <c r="AX41" i="14"/>
  <c r="AD19" i="14"/>
  <c r="W20" i="14" s="1"/>
  <c r="AD20" i="14" s="1"/>
  <c r="AD22" i="14" s="1"/>
  <c r="AK189" i="14"/>
  <c r="AP189" i="14" s="1"/>
  <c r="AL188" i="14"/>
  <c r="AP19" i="14"/>
  <c r="AP20" i="14" s="1"/>
  <c r="AP22" i="14" s="1"/>
  <c r="AX22" i="14" s="1"/>
  <c r="AR42" i="14"/>
  <c r="AS42" i="14" s="1"/>
  <c r="AO43" i="14"/>
  <c r="AV42" i="14"/>
  <c r="AD43" i="14"/>
  <c r="AJ42" i="14"/>
  <c r="AW41" i="14"/>
  <c r="W21" i="14"/>
  <c r="W24" i="14" s="1"/>
  <c r="W27" i="14" s="1"/>
  <c r="W31" i="14" s="1"/>
  <c r="AF42" i="14"/>
  <c r="AG42" i="14" s="1"/>
  <c r="X42" i="14" s="1"/>
  <c r="AC43" i="14"/>
  <c r="Y28" i="14"/>
  <c r="X25" i="14"/>
  <c r="X33" i="14" s="1"/>
  <c r="X29" i="14" s="1"/>
  <c r="W33" i="14"/>
  <c r="W29" i="14" s="1"/>
  <c r="AK25" i="14"/>
  <c r="AW19" i="14"/>
  <c r="X35" i="14"/>
  <c r="AR32" i="14"/>
  <c r="AL32" i="14"/>
  <c r="W22" i="14"/>
  <c r="AJ22" i="14"/>
  <c r="AJ28" i="14" s="1"/>
  <c r="AJ7" i="14"/>
  <c r="AJ11" i="14" s="1"/>
  <c r="AO20" i="14"/>
  <c r="AI20" i="14"/>
  <c r="AC20" i="14"/>
  <c r="V24" i="14"/>
  <c r="V27" i="14" s="1"/>
  <c r="V31" i="14" s="1"/>
  <c r="AD7" i="14"/>
  <c r="AD11" i="14" s="1"/>
  <c r="Y21" i="14"/>
  <c r="Y24" i="14" s="1"/>
  <c r="Y27" i="14" s="1"/>
  <c r="Y31" i="14" s="1"/>
  <c r="Y9" i="14"/>
  <c r="Y6" i="14"/>
  <c r="AS4" i="14"/>
  <c r="AC11" i="14"/>
  <c r="V13" i="14"/>
  <c r="W8" i="14"/>
  <c r="W11" i="14" s="1"/>
  <c r="AJ13" i="14"/>
  <c r="AD13" i="14"/>
  <c r="Y8" i="14"/>
  <c r="AQ14" i="14"/>
  <c r="AK14" i="14"/>
  <c r="AE14" i="14"/>
  <c r="AO14" i="14"/>
  <c r="AC14" i="14"/>
  <c r="AI14" i="14"/>
  <c r="AF14" i="14"/>
  <c r="AG14" i="14" s="1"/>
  <c r="AO12" i="14"/>
  <c r="AL12" i="14"/>
  <c r="AC12" i="14"/>
  <c r="AF12" i="14"/>
  <c r="AR12" i="14"/>
  <c r="AS12" i="14" s="1"/>
  <c r="AI12" i="14"/>
  <c r="AM7" i="14"/>
  <c r="AM11" i="14" s="1"/>
  <c r="AL11" i="14"/>
  <c r="AK12" i="14"/>
  <c r="AQ12" i="14"/>
  <c r="AE12" i="14"/>
  <c r="AP10" i="14"/>
  <c r="AD10" i="14"/>
  <c r="AJ10" i="14"/>
  <c r="AM5" i="14"/>
  <c r="AL8" i="14"/>
  <c r="AM8" i="14" s="1"/>
  <c r="AD4" i="14"/>
  <c r="W9" i="14"/>
  <c r="AJ4" i="14"/>
  <c r="AP4" i="14"/>
  <c r="AG5" i="14"/>
  <c r="AF8" i="14"/>
  <c r="AG8" i="14" s="1"/>
  <c r="AG12" i="14" s="1"/>
  <c r="AP166" i="14"/>
  <c r="BA166" i="14" s="1"/>
  <c r="BH166" i="14" s="1"/>
  <c r="BI166" i="14" s="1"/>
  <c r="AN166" i="14"/>
  <c r="AO192" i="14"/>
  <c r="AF192" i="14"/>
  <c r="AO188" i="14"/>
  <c r="AF188" i="14"/>
  <c r="AO187" i="14"/>
  <c r="AF187" i="14"/>
  <c r="AL192" i="14"/>
  <c r="AK193" i="14"/>
  <c r="AP193" i="14" s="1"/>
  <c r="AE193" i="14"/>
  <c r="AE189" i="14"/>
  <c r="AS239" i="14"/>
  <c r="AN240" i="14"/>
  <c r="AS238" i="14"/>
  <c r="AP237" i="14"/>
  <c r="AO237" i="14"/>
  <c r="AO238" i="14" s="1"/>
  <c r="AO239" i="14" s="1"/>
  <c r="AO240" i="14" s="1"/>
  <c r="AO241" i="14" s="1"/>
  <c r="AO242" i="14" s="1"/>
  <c r="AO243" i="14" s="1"/>
  <c r="AO244" i="14" s="1"/>
  <c r="AR225" i="14"/>
  <c r="AR226" i="14" s="1"/>
  <c r="AS226" i="14" s="1"/>
  <c r="AN229" i="14"/>
  <c r="AN230" i="14" s="1"/>
  <c r="AN231" i="14" s="1"/>
  <c r="AN232" i="14" s="1"/>
  <c r="AQ231" i="14"/>
  <c r="AS224" i="14"/>
  <c r="AP164" i="14"/>
  <c r="AP165" i="14" s="1"/>
  <c r="AN164" i="14"/>
  <c r="AN165" i="14" s="1"/>
  <c r="BA153" i="14"/>
  <c r="BH153" i="14" s="1"/>
  <c r="BI153" i="14" s="1"/>
  <c r="AP155" i="14"/>
  <c r="AY158" i="14"/>
  <c r="AQ158" i="14"/>
  <c r="BH158" i="14"/>
  <c r="BI158" i="14" s="1"/>
  <c r="AX153" i="14"/>
  <c r="AX155" i="14" s="1"/>
  <c r="AX157" i="14" s="1"/>
  <c r="AW155" i="14"/>
  <c r="AW157" i="14" s="1"/>
  <c r="AQ151" i="14"/>
  <c r="AQ152" i="14" s="1"/>
  <c r="AN152" i="14"/>
  <c r="AN153" i="14" s="1"/>
  <c r="AY153" i="14" s="1"/>
  <c r="AZ153" i="14" s="1"/>
  <c r="AR116" i="14" l="1"/>
  <c r="AS116" i="14" s="1"/>
  <c r="AO118" i="14"/>
  <c r="AR118" i="14" s="1"/>
  <c r="AS118" i="14" s="1"/>
  <c r="AL114" i="14"/>
  <c r="AM114" i="14" s="1"/>
  <c r="AI116" i="14"/>
  <c r="AR115" i="14"/>
  <c r="AS115" i="14" s="1"/>
  <c r="AO117" i="14"/>
  <c r="AR117" i="14" s="1"/>
  <c r="AS117" i="14" s="1"/>
  <c r="AF114" i="14"/>
  <c r="AG114" i="14" s="1"/>
  <c r="AC116" i="14"/>
  <c r="AC117" i="14"/>
  <c r="AF117" i="14" s="1"/>
  <c r="AG117" i="14" s="1"/>
  <c r="AF115" i="14"/>
  <c r="AG115" i="14" s="1"/>
  <c r="AX112" i="14"/>
  <c r="AP114" i="14"/>
  <c r="AW112" i="14"/>
  <c r="AJ114" i="14"/>
  <c r="AV112" i="14"/>
  <c r="AD114" i="14"/>
  <c r="AQ131" i="14"/>
  <c r="AQ130" i="14"/>
  <c r="AQ132" i="14" s="1"/>
  <c r="AY128" i="14"/>
  <c r="AY127" i="14"/>
  <c r="BC126" i="14"/>
  <c r="AO128" i="14"/>
  <c r="AO127" i="14"/>
  <c r="AR126" i="14"/>
  <c r="AS126" i="14" s="1"/>
  <c r="AF125" i="14"/>
  <c r="AG125" i="14" s="1"/>
  <c r="AC126" i="14"/>
  <c r="AI126" i="14"/>
  <c r="AL125" i="14"/>
  <c r="AM125" i="14" s="1"/>
  <c r="AV124" i="14"/>
  <c r="AD125" i="14"/>
  <c r="AX124" i="14"/>
  <c r="AU124" i="14" s="1"/>
  <c r="BA124" i="14" s="1"/>
  <c r="BB124" i="14" s="1"/>
  <c r="AP125" i="14"/>
  <c r="AW124" i="14"/>
  <c r="AJ125" i="14"/>
  <c r="AJ32" i="14"/>
  <c r="AW28" i="14"/>
  <c r="AF86" i="14"/>
  <c r="AC89" i="14"/>
  <c r="AD90" i="14"/>
  <c r="AD92" i="14" s="1"/>
  <c r="AD94" i="14" s="1"/>
  <c r="AD96" i="14" s="1"/>
  <c r="AO82" i="14"/>
  <c r="AR81" i="14"/>
  <c r="AS81" i="14" s="1"/>
  <c r="AI83" i="14"/>
  <c r="AL81" i="14"/>
  <c r="AM81" i="14" s="1"/>
  <c r="AF85" i="14"/>
  <c r="AC88" i="14"/>
  <c r="AF88" i="14" s="1"/>
  <c r="AG88" i="14" s="1"/>
  <c r="AL85" i="14"/>
  <c r="AM85" i="14" s="1"/>
  <c r="AI88" i="14"/>
  <c r="AJ90" i="14"/>
  <c r="AW80" i="14"/>
  <c r="AJ81" i="14"/>
  <c r="AX80" i="14"/>
  <c r="AP81" i="14"/>
  <c r="AV80" i="14"/>
  <c r="W81" i="14"/>
  <c r="AD81" i="14" s="1"/>
  <c r="AW64" i="14"/>
  <c r="AJ66" i="14"/>
  <c r="AU66" i="14" s="1"/>
  <c r="AV66" i="14"/>
  <c r="AD68" i="14"/>
  <c r="AX64" i="14"/>
  <c r="W66" i="14"/>
  <c r="X66" i="14" s="1"/>
  <c r="Z66" i="14" s="1"/>
  <c r="AA66" i="14" s="1"/>
  <c r="AV64" i="14"/>
  <c r="AU64" i="14"/>
  <c r="AX51" i="14"/>
  <c r="AW55" i="14"/>
  <c r="AS53" i="14"/>
  <c r="AR55" i="14"/>
  <c r="AS55" i="14" s="1"/>
  <c r="AM53" i="14"/>
  <c r="AL55" i="14"/>
  <c r="AM55" i="14" s="1"/>
  <c r="AL43" i="14"/>
  <c r="AM43" i="14" s="1"/>
  <c r="AG53" i="14"/>
  <c r="AF55" i="14"/>
  <c r="AG55" i="14" s="1"/>
  <c r="AV19" i="14"/>
  <c r="AL52" i="14"/>
  <c r="AI54" i="14"/>
  <c r="AI56" i="14" s="1"/>
  <c r="AI58" i="14" s="1"/>
  <c r="AS52" i="14"/>
  <c r="AR54" i="14"/>
  <c r="AW53" i="14"/>
  <c r="AA51" i="14"/>
  <c r="AU52" i="14"/>
  <c r="AY51" i="14"/>
  <c r="AI57" i="14"/>
  <c r="AI59" i="14" s="1"/>
  <c r="AL59" i="14" s="1"/>
  <c r="AM59" i="14" s="1"/>
  <c r="AL51" i="14"/>
  <c r="AS51" i="14"/>
  <c r="AQ166" i="14"/>
  <c r="AD57" i="14"/>
  <c r="W35" i="14"/>
  <c r="AG51" i="14"/>
  <c r="AK190" i="14"/>
  <c r="AL190" i="14" s="1"/>
  <c r="AL189" i="14"/>
  <c r="AP25" i="14"/>
  <c r="AM50" i="14"/>
  <c r="AX19" i="14"/>
  <c r="AX20" i="14"/>
  <c r="AU19" i="14"/>
  <c r="AF43" i="14"/>
  <c r="AG43" i="14" s="1"/>
  <c r="X43" i="14" s="1"/>
  <c r="AC44" i="14"/>
  <c r="AF44" i="14" s="1"/>
  <c r="AG44" i="14" s="1"/>
  <c r="AD44" i="14"/>
  <c r="AV43" i="14"/>
  <c r="AW42" i="14"/>
  <c r="AJ43" i="14"/>
  <c r="AU42" i="14"/>
  <c r="AR43" i="14"/>
  <c r="AS43" i="14" s="1"/>
  <c r="AO44" i="14"/>
  <c r="AR44" i="14" s="1"/>
  <c r="AS44" i="14" s="1"/>
  <c r="AX42" i="14"/>
  <c r="AP43" i="14"/>
  <c r="AD25" i="14"/>
  <c r="AJ25" i="14"/>
  <c r="Z25" i="14"/>
  <c r="AU4" i="14"/>
  <c r="Y35" i="14"/>
  <c r="V35" i="14"/>
  <c r="AS32" i="14"/>
  <c r="AM32" i="14"/>
  <c r="AL20" i="14"/>
  <c r="AI22" i="14"/>
  <c r="AR20" i="14"/>
  <c r="AO22" i="14"/>
  <c r="AF20" i="14"/>
  <c r="AC22" i="14"/>
  <c r="AC25" i="14" s="1"/>
  <c r="AV22" i="14"/>
  <c r="W23" i="14"/>
  <c r="W26" i="14" s="1"/>
  <c r="X20" i="14"/>
  <c r="Z20" i="14" s="1"/>
  <c r="X22" i="14"/>
  <c r="AW20" i="14"/>
  <c r="AV20" i="14"/>
  <c r="AU20" i="14"/>
  <c r="Y11" i="14"/>
  <c r="Y14" i="14" s="1"/>
  <c r="W14" i="14"/>
  <c r="AJ12" i="14"/>
  <c r="AW10" i="14" s="1"/>
  <c r="AP12" i="14"/>
  <c r="AX10" i="14" s="1"/>
  <c r="AL13" i="14"/>
  <c r="AM13" i="14" s="1"/>
  <c r="AI13" i="14"/>
  <c r="AC13" i="14"/>
  <c r="AF13" i="14"/>
  <c r="AG13" i="14" s="1"/>
  <c r="AM12" i="14"/>
  <c r="AL14" i="14"/>
  <c r="AM14" i="14" s="1"/>
  <c r="AP5" i="14"/>
  <c r="AX5" i="14" s="1"/>
  <c r="AX4" i="14"/>
  <c r="AJ5" i="14"/>
  <c r="AW4" i="14"/>
  <c r="BB166" i="14"/>
  <c r="AY166" i="14"/>
  <c r="BC166" i="14" s="1"/>
  <c r="BD166" i="14" s="1"/>
  <c r="AD5" i="14"/>
  <c r="AV4" i="14"/>
  <c r="AO189" i="14"/>
  <c r="AF189" i="14"/>
  <c r="AO193" i="14"/>
  <c r="AF193" i="14"/>
  <c r="AK194" i="14"/>
  <c r="AL193" i="14"/>
  <c r="AE194" i="14"/>
  <c r="AS225" i="14"/>
  <c r="AQ165" i="14"/>
  <c r="AE190" i="14"/>
  <c r="AS240" i="14"/>
  <c r="AN241" i="14"/>
  <c r="AP238" i="14"/>
  <c r="AP239" i="14" s="1"/>
  <c r="AP240" i="14" s="1"/>
  <c r="AP241" i="14" s="1"/>
  <c r="AP242" i="14" s="1"/>
  <c r="AP243" i="14" s="1"/>
  <c r="AP244" i="14" s="1"/>
  <c r="AP245" i="14" s="1"/>
  <c r="AP246" i="14" s="1"/>
  <c r="AR227" i="14"/>
  <c r="AR228" i="14" s="1"/>
  <c r="AR229" i="14" s="1"/>
  <c r="AS229" i="14" s="1"/>
  <c r="AQ164" i="14"/>
  <c r="BB153" i="14"/>
  <c r="AZ158" i="14"/>
  <c r="BG158" i="14" s="1"/>
  <c r="BF158" i="14"/>
  <c r="BK158" i="14" s="1"/>
  <c r="BL158" i="14" s="1"/>
  <c r="BC158" i="14"/>
  <c r="BD158" i="14" s="1"/>
  <c r="AP157" i="14"/>
  <c r="BA155" i="14"/>
  <c r="BF153" i="14"/>
  <c r="BK153" i="14" s="1"/>
  <c r="BL153" i="14" s="1"/>
  <c r="AN155" i="14"/>
  <c r="AQ153" i="14"/>
  <c r="AF116" i="14" l="1"/>
  <c r="AG116" i="14" s="1"/>
  <c r="AC118" i="14"/>
  <c r="AF118" i="14" s="1"/>
  <c r="AG118" i="14" s="1"/>
  <c r="AV113" i="14"/>
  <c r="AD116" i="14"/>
  <c r="AW113" i="14"/>
  <c r="AJ116" i="14"/>
  <c r="AX113" i="14"/>
  <c r="AP116" i="14"/>
  <c r="AL116" i="14"/>
  <c r="AM116" i="14" s="1"/>
  <c r="AI118" i="14"/>
  <c r="AL118" i="14" s="1"/>
  <c r="AM118" i="14" s="1"/>
  <c r="AU113" i="14"/>
  <c r="AU112" i="14"/>
  <c r="AR128" i="14"/>
  <c r="AS128" i="14" s="1"/>
  <c r="AO130" i="14"/>
  <c r="AY131" i="14"/>
  <c r="AY130" i="14"/>
  <c r="AR127" i="14"/>
  <c r="AS127" i="14" s="1"/>
  <c r="AO129" i="14"/>
  <c r="BC127" i="14"/>
  <c r="AY129" i="14"/>
  <c r="AF126" i="14"/>
  <c r="AG126" i="14" s="1"/>
  <c r="AC128" i="14"/>
  <c r="AC127" i="14"/>
  <c r="AI127" i="14"/>
  <c r="AL126" i="14"/>
  <c r="AM126" i="14" s="1"/>
  <c r="AD126" i="14"/>
  <c r="AV125" i="14"/>
  <c r="AP126" i="14"/>
  <c r="AX125" i="14"/>
  <c r="AJ126" i="14"/>
  <c r="AW125" i="14"/>
  <c r="AP32" i="14"/>
  <c r="AX32" i="14" s="1"/>
  <c r="AP28" i="14"/>
  <c r="AX28" i="14" s="1"/>
  <c r="AV25" i="14"/>
  <c r="AD28" i="14"/>
  <c r="AD98" i="14"/>
  <c r="AD100" i="14" s="1"/>
  <c r="W92" i="14"/>
  <c r="W94" i="14" s="1"/>
  <c r="X94" i="14" s="1"/>
  <c r="AJ94" i="14"/>
  <c r="AJ96" i="14" s="1"/>
  <c r="AJ100" i="14" s="1"/>
  <c r="X81" i="14"/>
  <c r="Z81" i="14" s="1"/>
  <c r="W83" i="14"/>
  <c r="W86" i="14" s="1"/>
  <c r="AX81" i="14"/>
  <c r="AP82" i="14"/>
  <c r="AJ83" i="14"/>
  <c r="AW81" i="14"/>
  <c r="AI86" i="14"/>
  <c r="AL83" i="14"/>
  <c r="AM83" i="14" s="1"/>
  <c r="AO85" i="14"/>
  <c r="AR82" i="14"/>
  <c r="AS82" i="14" s="1"/>
  <c r="AU80" i="14"/>
  <c r="BA80" i="14" s="1"/>
  <c r="BB80" i="14" s="1"/>
  <c r="AI90" i="14"/>
  <c r="AI94" i="14" s="1"/>
  <c r="AL88" i="14"/>
  <c r="AM88" i="14" s="1"/>
  <c r="AC90" i="14"/>
  <c r="AC91" i="14"/>
  <c r="AF89" i="14"/>
  <c r="AG89" i="14" s="1"/>
  <c r="AV81" i="14"/>
  <c r="AD83" i="14"/>
  <c r="AD75" i="14"/>
  <c r="AV68" i="14"/>
  <c r="AW66" i="14"/>
  <c r="AJ68" i="14"/>
  <c r="AR57" i="14"/>
  <c r="AS57" i="14" s="1"/>
  <c r="AR56" i="14"/>
  <c r="AS54" i="14"/>
  <c r="AF57" i="14"/>
  <c r="AG57" i="14" s="1"/>
  <c r="AW57" i="14"/>
  <c r="AD59" i="14"/>
  <c r="AW59" i="14" s="1"/>
  <c r="AY52" i="14"/>
  <c r="AU53" i="14"/>
  <c r="AX53" i="14" s="1"/>
  <c r="AM52" i="14"/>
  <c r="AL54" i="14"/>
  <c r="AX52" i="14"/>
  <c r="AX25" i="14"/>
  <c r="AM51" i="14"/>
  <c r="AL57" i="14"/>
  <c r="AM57" i="14" s="1"/>
  <c r="AP190" i="14"/>
  <c r="AW43" i="14"/>
  <c r="AJ44" i="14"/>
  <c r="AW44" i="14" s="1"/>
  <c r="AU43" i="14"/>
  <c r="AX43" i="14"/>
  <c r="AP44" i="14"/>
  <c r="AX44" i="14" s="1"/>
  <c r="AA25" i="14"/>
  <c r="AA33" i="14" s="1"/>
  <c r="AA29" i="14" s="1"/>
  <c r="Z33" i="14"/>
  <c r="Z29" i="14" s="1"/>
  <c r="AW25" i="14"/>
  <c r="AO25" i="14"/>
  <c r="AI25" i="14"/>
  <c r="AL25" i="14" s="1"/>
  <c r="AM25" i="14" s="1"/>
  <c r="AC32" i="14"/>
  <c r="W34" i="14"/>
  <c r="Z22" i="14"/>
  <c r="X23" i="14"/>
  <c r="X26" i="14" s="1"/>
  <c r="AF22" i="14"/>
  <c r="AF25" i="14" s="1"/>
  <c r="AG25" i="14" s="1"/>
  <c r="AG20" i="14"/>
  <c r="AR22" i="14"/>
  <c r="AR25" i="14" s="1"/>
  <c r="AS20" i="14"/>
  <c r="AL22" i="14"/>
  <c r="AM20" i="14"/>
  <c r="AM22" i="14" s="1"/>
  <c r="AU22" i="14"/>
  <c r="AZ166" i="14"/>
  <c r="BG166" i="14" s="1"/>
  <c r="BF166" i="14"/>
  <c r="BK166" i="14" s="1"/>
  <c r="BL166" i="14" s="1"/>
  <c r="AP14" i="14"/>
  <c r="AX13" i="14" s="1"/>
  <c r="AD14" i="14"/>
  <c r="AV13" i="14" s="1"/>
  <c r="AJ14" i="14"/>
  <c r="AW13" i="14" s="1"/>
  <c r="AJ8" i="14"/>
  <c r="AW7" i="14" s="1"/>
  <c r="AW5" i="14"/>
  <c r="AD8" i="14"/>
  <c r="AD12" i="14" s="1"/>
  <c r="AV10" i="14" s="1"/>
  <c r="AU10" i="14" s="1"/>
  <c r="AV5" i="14"/>
  <c r="AU5" i="14"/>
  <c r="AO190" i="14"/>
  <c r="AF190" i="14"/>
  <c r="AO194" i="14"/>
  <c r="AF194" i="14"/>
  <c r="AL194" i="14"/>
  <c r="AP194" i="14"/>
  <c r="AS227" i="14"/>
  <c r="AS241" i="14"/>
  <c r="AN242" i="14"/>
  <c r="AK245" i="14"/>
  <c r="AM245" i="14" s="1"/>
  <c r="AQ245" i="14" s="1"/>
  <c r="AP247" i="14"/>
  <c r="AP248" i="14" s="1"/>
  <c r="AM243" i="14"/>
  <c r="AQ243" i="14" s="1"/>
  <c r="AR230" i="14"/>
  <c r="AS228" i="14"/>
  <c r="AY155" i="14"/>
  <c r="BC155" i="14" s="1"/>
  <c r="AQ155" i="14"/>
  <c r="AN157" i="14"/>
  <c r="AQ157" i="14" s="1"/>
  <c r="BB155" i="14"/>
  <c r="BB157" i="14" s="1"/>
  <c r="BA157" i="14"/>
  <c r="BH155" i="14"/>
  <c r="BC153" i="14"/>
  <c r="BD153" i="14" s="1"/>
  <c r="BG153" i="14"/>
  <c r="AP118" i="14" l="1"/>
  <c r="AX117" i="14" s="1"/>
  <c r="AX115" i="14"/>
  <c r="AD118" i="14"/>
  <c r="AV117" i="14" s="1"/>
  <c r="AV115" i="14"/>
  <c r="AJ118" i="14"/>
  <c r="AW117" i="14" s="1"/>
  <c r="AW115" i="14"/>
  <c r="AF128" i="14"/>
  <c r="AG128" i="14" s="1"/>
  <c r="AC130" i="14"/>
  <c r="AY132" i="14"/>
  <c r="AR130" i="14"/>
  <c r="AS130" i="14" s="1"/>
  <c r="AO131" i="14"/>
  <c r="AO132" i="14" s="1"/>
  <c r="AR132" i="14" s="1"/>
  <c r="AS132" i="14" s="1"/>
  <c r="AF127" i="14"/>
  <c r="AG127" i="14" s="1"/>
  <c r="AC129" i="14"/>
  <c r="AR129" i="14"/>
  <c r="AS129" i="14" s="1"/>
  <c r="AR131" i="14"/>
  <c r="AS131" i="14" s="1"/>
  <c r="AI128" i="14"/>
  <c r="AL127" i="14"/>
  <c r="AM127" i="14" s="1"/>
  <c r="AD127" i="14"/>
  <c r="AD129" i="14" s="1"/>
  <c r="AD130" i="14" s="1"/>
  <c r="AV126" i="14"/>
  <c r="AP128" i="14"/>
  <c r="AP127" i="14"/>
  <c r="AX126" i="14"/>
  <c r="AJ127" i="14"/>
  <c r="AW126" i="14"/>
  <c r="AU125" i="14"/>
  <c r="BA125" i="14" s="1"/>
  <c r="BB125" i="14" s="1"/>
  <c r="AD32" i="14"/>
  <c r="AV32" i="14" s="1"/>
  <c r="AV28" i="14"/>
  <c r="AU28" i="14" s="1"/>
  <c r="AJ102" i="14"/>
  <c r="AD102" i="14"/>
  <c r="AL94" i="14"/>
  <c r="AM94" i="14" s="1"/>
  <c r="AI96" i="14"/>
  <c r="W98" i="14"/>
  <c r="AF91" i="14"/>
  <c r="AG91" i="14" s="1"/>
  <c r="AC93" i="14"/>
  <c r="AC95" i="14" s="1"/>
  <c r="AF90" i="14"/>
  <c r="AG90" i="14" s="1"/>
  <c r="AC92" i="14"/>
  <c r="AC94" i="14" s="1"/>
  <c r="AL90" i="14"/>
  <c r="AM90" i="14" s="1"/>
  <c r="AJ86" i="14"/>
  <c r="AW82" i="14"/>
  <c r="AX82" i="14"/>
  <c r="AP85" i="14"/>
  <c r="AA81" i="14"/>
  <c r="AA83" i="14" s="1"/>
  <c r="AA86" i="14" s="1"/>
  <c r="Z83" i="14"/>
  <c r="Z86" i="14" s="1"/>
  <c r="AR85" i="14"/>
  <c r="AS85" i="14" s="1"/>
  <c r="AO88" i="14"/>
  <c r="AU81" i="14"/>
  <c r="BA81" i="14" s="1"/>
  <c r="AD86" i="14"/>
  <c r="AV82" i="14"/>
  <c r="AI89" i="14"/>
  <c r="AL86" i="14"/>
  <c r="AM86" i="14" s="1"/>
  <c r="X83" i="14"/>
  <c r="X86" i="14" s="1"/>
  <c r="AZ81" i="14"/>
  <c r="AJ75" i="14"/>
  <c r="AW75" i="14" s="1"/>
  <c r="AW68" i="14"/>
  <c r="AU68" i="14"/>
  <c r="AV75" i="14"/>
  <c r="AU25" i="14"/>
  <c r="AR58" i="14"/>
  <c r="AS56" i="14"/>
  <c r="AL56" i="14"/>
  <c r="AM54" i="14"/>
  <c r="AY53" i="14"/>
  <c r="AU55" i="14"/>
  <c r="AU57" i="14" s="1"/>
  <c r="AU44" i="14"/>
  <c r="AF32" i="14"/>
  <c r="AC28" i="14"/>
  <c r="AF28" i="14" s="1"/>
  <c r="AG28" i="14" s="1"/>
  <c r="W30" i="14"/>
  <c r="AW32" i="14"/>
  <c r="AG22" i="14"/>
  <c r="AS22" i="14"/>
  <c r="X34" i="14"/>
  <c r="X30" i="14" s="1"/>
  <c r="AA20" i="14"/>
  <c r="AA23" i="14" s="1"/>
  <c r="AA26" i="14" s="1"/>
  <c r="Z23" i="14"/>
  <c r="Z26" i="14" s="1"/>
  <c r="AA22" i="14"/>
  <c r="AU13" i="14"/>
  <c r="AV7" i="14"/>
  <c r="AU7" i="14" s="1"/>
  <c r="AS242" i="14"/>
  <c r="AN243" i="14"/>
  <c r="AN244" i="14" s="1"/>
  <c r="AN245" i="14" s="1"/>
  <c r="AO245" i="14"/>
  <c r="AO246" i="14" s="1"/>
  <c r="AO247" i="14" s="1"/>
  <c r="AO248" i="14" s="1"/>
  <c r="AR245" i="14"/>
  <c r="AR246" i="14" s="1"/>
  <c r="AR247" i="14" s="1"/>
  <c r="AR248" i="14" s="1"/>
  <c r="AR231" i="14"/>
  <c r="AR232" i="14" s="1"/>
  <c r="AS232" i="14" s="1"/>
  <c r="AS230" i="14"/>
  <c r="BI155" i="14"/>
  <c r="BI157" i="14" s="1"/>
  <c r="BH157" i="14"/>
  <c r="BD155" i="14"/>
  <c r="BD157" i="14" s="1"/>
  <c r="BC157" i="14"/>
  <c r="AZ155" i="14"/>
  <c r="AY157" i="14"/>
  <c r="BF155" i="14"/>
  <c r="AU115" i="14" l="1"/>
  <c r="AU117" i="14"/>
  <c r="AX128" i="14"/>
  <c r="AP130" i="14"/>
  <c r="AV130" i="14"/>
  <c r="AD131" i="14"/>
  <c r="AD132" i="14" s="1"/>
  <c r="AV132" i="14" s="1"/>
  <c r="AF130" i="14"/>
  <c r="AG130" i="14" s="1"/>
  <c r="AC131" i="14"/>
  <c r="AC132" i="14" s="1"/>
  <c r="AF132" i="14" s="1"/>
  <c r="AG132" i="14" s="1"/>
  <c r="AX127" i="14"/>
  <c r="AP129" i="14"/>
  <c r="AV129" i="14"/>
  <c r="AV131" i="14"/>
  <c r="AF129" i="14"/>
  <c r="AG129" i="14" s="1"/>
  <c r="AF131" i="14"/>
  <c r="AG131" i="14" s="1"/>
  <c r="AL128" i="14"/>
  <c r="AM128" i="14" s="1"/>
  <c r="AI129" i="14"/>
  <c r="AI130" i="14" s="1"/>
  <c r="AU32" i="14"/>
  <c r="W128" i="14"/>
  <c r="AD128" i="14"/>
  <c r="AV128" i="14" s="1"/>
  <c r="AV127" i="14"/>
  <c r="AJ128" i="14"/>
  <c r="AW127" i="14"/>
  <c r="AU127" i="14" s="1"/>
  <c r="BA127" i="14" s="1"/>
  <c r="BB127" i="14" s="1"/>
  <c r="AU126" i="14"/>
  <c r="BA126" i="14" s="1"/>
  <c r="BB126" i="14" s="1"/>
  <c r="AU75" i="14"/>
  <c r="AL96" i="14"/>
  <c r="AM96" i="14" s="1"/>
  <c r="AI100" i="14"/>
  <c r="X98" i="14"/>
  <c r="AZ98" i="14" s="1"/>
  <c r="W100" i="14"/>
  <c r="X100" i="14" s="1"/>
  <c r="AF94" i="14"/>
  <c r="AG94" i="14" s="1"/>
  <c r="AC96" i="14"/>
  <c r="AF95" i="14"/>
  <c r="AG95" i="14" s="1"/>
  <c r="AC97" i="14"/>
  <c r="AF92" i="14"/>
  <c r="AG92" i="14" s="1"/>
  <c r="AF93" i="14"/>
  <c r="AG93" i="14" s="1"/>
  <c r="AD89" i="14"/>
  <c r="AV85" i="14"/>
  <c r="AU82" i="14"/>
  <c r="BA82" i="14" s="1"/>
  <c r="BB81" i="14"/>
  <c r="AO90" i="14"/>
  <c r="AR88" i="14"/>
  <c r="AS88" i="14" s="1"/>
  <c r="AP88" i="14"/>
  <c r="AX85" i="14"/>
  <c r="AY82" i="14"/>
  <c r="BC81" i="14"/>
  <c r="AL89" i="14"/>
  <c r="AM89" i="14" s="1"/>
  <c r="AI91" i="14"/>
  <c r="AJ89" i="14"/>
  <c r="AW85" i="14"/>
  <c r="AS243" i="14"/>
  <c r="AU59" i="14"/>
  <c r="AX59" i="14" s="1"/>
  <c r="AS58" i="14"/>
  <c r="AL58" i="14"/>
  <c r="AM56" i="14"/>
  <c r="AY57" i="14"/>
  <c r="AX57" i="14"/>
  <c r="AY55" i="14"/>
  <c r="AX55" i="14"/>
  <c r="AG32" i="14"/>
  <c r="AS25" i="14"/>
  <c r="AA34" i="14"/>
  <c r="Z34" i="14"/>
  <c r="AS244" i="14"/>
  <c r="AN246" i="14"/>
  <c r="AS245" i="14"/>
  <c r="AS231" i="14"/>
  <c r="BK155" i="14"/>
  <c r="BL155" i="14" s="1"/>
  <c r="BF157" i="14"/>
  <c r="BK157" i="14" s="1"/>
  <c r="BL157" i="14" s="1"/>
  <c r="BG155" i="14"/>
  <c r="BG157" i="14" s="1"/>
  <c r="AZ157" i="14"/>
  <c r="Z98" i="14" l="1"/>
  <c r="AL130" i="14"/>
  <c r="AM130" i="14" s="1"/>
  <c r="AI131" i="14"/>
  <c r="AI132" i="14" s="1"/>
  <c r="AL132" i="14" s="1"/>
  <c r="AM132" i="14" s="1"/>
  <c r="AX130" i="14"/>
  <c r="AP131" i="14"/>
  <c r="AP132" i="14" s="1"/>
  <c r="AX132" i="14" s="1"/>
  <c r="AJ129" i="14"/>
  <c r="AJ130" i="14" s="1"/>
  <c r="AW128" i="14"/>
  <c r="AU128" i="14" s="1"/>
  <c r="BA128" i="14" s="1"/>
  <c r="AL129" i="14"/>
  <c r="AM129" i="14" s="1"/>
  <c r="AL131" i="14"/>
  <c r="AM131" i="14" s="1"/>
  <c r="X128" i="14"/>
  <c r="W129" i="14"/>
  <c r="X129" i="14" s="1"/>
  <c r="Z129" i="14" s="1"/>
  <c r="AA129" i="14" s="1"/>
  <c r="AX129" i="14"/>
  <c r="AX131" i="14"/>
  <c r="Z128" i="14"/>
  <c r="AA128" i="14" s="1"/>
  <c r="AZ128" i="14"/>
  <c r="AZ129" i="14" s="1"/>
  <c r="AZ130" i="14" s="1"/>
  <c r="AA98" i="14"/>
  <c r="AA100" i="14" s="1"/>
  <c r="Z100" i="14"/>
  <c r="AL100" i="14"/>
  <c r="AM100" i="14" s="1"/>
  <c r="AI102" i="14"/>
  <c r="AL102" i="14" s="1"/>
  <c r="AM102" i="14" s="1"/>
  <c r="AC99" i="14"/>
  <c r="AF97" i="14"/>
  <c r="AG97" i="14" s="1"/>
  <c r="AF96" i="14"/>
  <c r="AG96" i="14" s="1"/>
  <c r="AC98" i="14"/>
  <c r="AR90" i="14"/>
  <c r="AS90" i="14" s="1"/>
  <c r="AO92" i="14"/>
  <c r="AL91" i="14"/>
  <c r="AM91" i="14" s="1"/>
  <c r="AI93" i="14"/>
  <c r="AI95" i="14" s="1"/>
  <c r="AP90" i="14"/>
  <c r="AX88" i="14"/>
  <c r="AJ91" i="14"/>
  <c r="AJ93" i="14" s="1"/>
  <c r="AJ95" i="14" s="1"/>
  <c r="AW88" i="14"/>
  <c r="BC82" i="14"/>
  <c r="AY85" i="14"/>
  <c r="AU85" i="14"/>
  <c r="BA85" i="14" s="1"/>
  <c r="BB82" i="14"/>
  <c r="AD91" i="14"/>
  <c r="AV88" i="14"/>
  <c r="AY59" i="14"/>
  <c r="AM58" i="14"/>
  <c r="Z30" i="14"/>
  <c r="AA30" i="14"/>
  <c r="AS246" i="14"/>
  <c r="AN247" i="14"/>
  <c r="AN248" i="14" s="1"/>
  <c r="AS248" i="14" s="1"/>
  <c r="AZ131" i="14" l="1"/>
  <c r="AZ132" i="14" s="1"/>
  <c r="BC130" i="14"/>
  <c r="AW130" i="14"/>
  <c r="AJ131" i="14"/>
  <c r="AJ132" i="14" s="1"/>
  <c r="AW132" i="14" s="1"/>
  <c r="AU132" i="14" s="1"/>
  <c r="BA132" i="14" s="1"/>
  <c r="AU130" i="14"/>
  <c r="BA130" i="14" s="1"/>
  <c r="BB130" i="14" s="1"/>
  <c r="BB85" i="14"/>
  <c r="BC131" i="14"/>
  <c r="BC129" i="14"/>
  <c r="AW129" i="14"/>
  <c r="AU129" i="14" s="1"/>
  <c r="BA129" i="14" s="1"/>
  <c r="BB129" i="14" s="1"/>
  <c r="AW131" i="14"/>
  <c r="AU131" i="14" s="1"/>
  <c r="BA131" i="14" s="1"/>
  <c r="BB131" i="14" s="1"/>
  <c r="BC128" i="14"/>
  <c r="BB128" i="14"/>
  <c r="AF98" i="14"/>
  <c r="AG98" i="14" s="1"/>
  <c r="AC100" i="14"/>
  <c r="AF99" i="14"/>
  <c r="AG99" i="14" s="1"/>
  <c r="AC101" i="14"/>
  <c r="AW94" i="14"/>
  <c r="AJ97" i="14"/>
  <c r="AL95" i="14"/>
  <c r="AM95" i="14" s="1"/>
  <c r="AI97" i="14"/>
  <c r="AV90" i="14"/>
  <c r="AD93" i="14"/>
  <c r="AL93" i="14"/>
  <c r="AM93" i="14" s="1"/>
  <c r="AR92" i="14"/>
  <c r="AS92" i="14" s="1"/>
  <c r="AO94" i="14"/>
  <c r="AW90" i="14"/>
  <c r="AX90" i="14"/>
  <c r="AP92" i="14"/>
  <c r="AY88" i="14"/>
  <c r="BC85" i="14"/>
  <c r="AU88" i="14"/>
  <c r="BA88" i="14" s="1"/>
  <c r="AS247" i="14"/>
  <c r="BB132" i="14" l="1"/>
  <c r="BC132" i="14"/>
  <c r="AF101" i="14"/>
  <c r="AG101" i="14" s="1"/>
  <c r="AC103" i="14"/>
  <c r="AF103" i="14" s="1"/>
  <c r="AG103" i="14" s="1"/>
  <c r="AF100" i="14"/>
  <c r="AG100" i="14" s="1"/>
  <c r="AC102" i="14"/>
  <c r="AF102" i="14" s="1"/>
  <c r="AG102" i="14" s="1"/>
  <c r="AR94" i="14"/>
  <c r="AS94" i="14" s="1"/>
  <c r="AO96" i="14"/>
  <c r="AJ99" i="14"/>
  <c r="AW96" i="14"/>
  <c r="AI99" i="14"/>
  <c r="AL97" i="14"/>
  <c r="AM97" i="14" s="1"/>
  <c r="AD95" i="14"/>
  <c r="AV92" i="14"/>
  <c r="AX92" i="14"/>
  <c r="AP94" i="14"/>
  <c r="AU90" i="14"/>
  <c r="BA90" i="14" s="1"/>
  <c r="AW92" i="14"/>
  <c r="X92" i="14"/>
  <c r="Z92" i="14" s="1"/>
  <c r="BB88" i="14"/>
  <c r="AY90" i="14"/>
  <c r="BC88" i="14"/>
  <c r="AU92" i="14" l="1"/>
  <c r="BA92" i="14" s="1"/>
  <c r="AL99" i="14"/>
  <c r="AM99" i="14" s="1"/>
  <c r="AI101" i="14"/>
  <c r="AW98" i="14"/>
  <c r="AJ101" i="14"/>
  <c r="AX94" i="14"/>
  <c r="AP96" i="14"/>
  <c r="AV94" i="14"/>
  <c r="AD97" i="14"/>
  <c r="AR96" i="14"/>
  <c r="AS96" i="14" s="1"/>
  <c r="AO98" i="14"/>
  <c r="AA92" i="14"/>
  <c r="AA94" i="14" s="1"/>
  <c r="Z94" i="14"/>
  <c r="BC90" i="14"/>
  <c r="AY92" i="14"/>
  <c r="AY94" i="14" s="1"/>
  <c r="AZ92" i="14"/>
  <c r="BB90" i="14"/>
  <c r="AR98" i="14" l="1"/>
  <c r="AS98" i="14" s="1"/>
  <c r="AO100" i="14"/>
  <c r="AJ103" i="14"/>
  <c r="AW102" i="14" s="1"/>
  <c r="AW100" i="14"/>
  <c r="AL101" i="14"/>
  <c r="AM101" i="14" s="1"/>
  <c r="AI103" i="14"/>
  <c r="AL103" i="14" s="1"/>
  <c r="AM103" i="14" s="1"/>
  <c r="BC94" i="14"/>
  <c r="AY96" i="14"/>
  <c r="AD99" i="14"/>
  <c r="AV96" i="14"/>
  <c r="AX96" i="14"/>
  <c r="AU96" i="14" s="1"/>
  <c r="BA96" i="14" s="1"/>
  <c r="BB96" i="14" s="1"/>
  <c r="AP98" i="14"/>
  <c r="AU94" i="14"/>
  <c r="BA94" i="14" s="1"/>
  <c r="BB94" i="14" s="1"/>
  <c r="BC92" i="14"/>
  <c r="BB92" i="14"/>
  <c r="AX98" i="14" l="1"/>
  <c r="AP100" i="14"/>
  <c r="AV98" i="14"/>
  <c r="AD101" i="14"/>
  <c r="AR100" i="14"/>
  <c r="AS100" i="14" s="1"/>
  <c r="AO102" i="14"/>
  <c r="AR102" i="14" s="1"/>
  <c r="AS102" i="14" s="1"/>
  <c r="BC96" i="14"/>
  <c r="AY98" i="14"/>
  <c r="BC98" i="14" l="1"/>
  <c r="AY100" i="14"/>
  <c r="AD103" i="14"/>
  <c r="AV102" i="14" s="1"/>
  <c r="AV100" i="14"/>
  <c r="AX100" i="14"/>
  <c r="AU100" i="14" s="1"/>
  <c r="BA100" i="14" s="1"/>
  <c r="BB100" i="14" s="1"/>
  <c r="AP102" i="14"/>
  <c r="AX102" i="14" s="1"/>
  <c r="AU98" i="14"/>
  <c r="BA98" i="14" s="1"/>
  <c r="BB98" i="14" s="1"/>
  <c r="AU102" i="14" l="1"/>
  <c r="BA102" i="14" s="1"/>
  <c r="BC100" i="14"/>
  <c r="AY102" i="14"/>
  <c r="BC102" i="14" s="1"/>
  <c r="BB102" i="1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Marin Sarbulescu</author>
  </authors>
  <commentList>
    <comment ref="AF3" authorId="0" shapeId="0" xr:uid="{A30694DC-9B13-42CC-9465-99083370F7D1}">
      <text>
        <r>
          <rPr>
            <b/>
            <sz val="9"/>
            <color indexed="81"/>
            <rFont val="Tahoma"/>
            <family val="2"/>
          </rPr>
          <t>Marin Sarbulescu:</t>
        </r>
        <r>
          <rPr>
            <sz val="9"/>
            <color indexed="81"/>
            <rFont val="Tahoma"/>
            <family val="2"/>
          </rPr>
          <t xml:space="preserve">
=BuyPrice * (1 + PT_Percent) / (1 - Commission_Percent)</t>
        </r>
      </text>
    </comment>
    <comment ref="AG3" authorId="0" shapeId="0" xr:uid="{B31F480C-BDB1-4489-889F-2FCBA3A47F34}">
      <text>
        <r>
          <rPr>
            <b/>
            <sz val="9"/>
            <color indexed="81"/>
            <rFont val="Tahoma"/>
            <family val="2"/>
          </rPr>
          <t>Marin Sarbulescu:</t>
        </r>
        <r>
          <rPr>
            <sz val="9"/>
            <color indexed="81"/>
            <rFont val="Tahoma"/>
            <family val="2"/>
          </rPr>
          <t xml:space="preserve">
=(CurrentPrice - PT_Price) / PT_Price</t>
        </r>
      </text>
    </comment>
    <comment ref="AU7" authorId="0" shapeId="0" xr:uid="{3C30C841-0EFE-4AEA-A47F-9D7DA09CF2F3}">
      <text>
        <r>
          <rPr>
            <b/>
            <sz val="9"/>
            <color indexed="81"/>
            <rFont val="Tahoma"/>
            <family val="2"/>
          </rPr>
          <t>Marin Sarbulescu:</t>
        </r>
        <r>
          <rPr>
            <sz val="9"/>
            <color indexed="81"/>
            <rFont val="Tahoma"/>
            <family val="2"/>
          </rPr>
          <t xml:space="preserve">
Application rounds this up to 8.33334, so that's what we have in the json file.</t>
        </r>
      </text>
    </comment>
    <comment ref="AF18" authorId="0" shapeId="0" xr:uid="{93DF1956-B28C-4516-942E-231A079AE222}">
      <text>
        <r>
          <rPr>
            <b/>
            <sz val="9"/>
            <color indexed="81"/>
            <rFont val="Tahoma"/>
            <family val="2"/>
          </rPr>
          <t>Marin Sarbulescu:</t>
        </r>
        <r>
          <rPr>
            <sz val="9"/>
            <color indexed="81"/>
            <rFont val="Tahoma"/>
            <family val="2"/>
          </rPr>
          <t xml:space="preserve">
=BuyPrice * (1 + PT_Percent) / (1 - Commission_Percent)</t>
        </r>
      </text>
    </comment>
    <comment ref="AG18" authorId="0" shapeId="0" xr:uid="{1B2D91E6-1CBA-40C3-B01C-5783A6FD1B98}">
      <text>
        <r>
          <rPr>
            <b/>
            <sz val="9"/>
            <color indexed="81"/>
            <rFont val="Tahoma"/>
            <family val="2"/>
          </rPr>
          <t>Marin Sarbulescu:</t>
        </r>
        <r>
          <rPr>
            <sz val="9"/>
            <color indexed="81"/>
            <rFont val="Tahoma"/>
            <family val="2"/>
          </rPr>
          <t xml:space="preserve">
=(CurrentPrice - PT_Price) / PT_Price</t>
        </r>
      </text>
    </comment>
    <comment ref="AI25" authorId="0" shapeId="0" xr:uid="{C622133A-33D2-453F-A385-322E4DF8372E}">
      <text>
        <r>
          <rPr>
            <b/>
            <sz val="9"/>
            <color indexed="81"/>
            <rFont val="Tahoma"/>
            <family val="2"/>
          </rPr>
          <t>Marin Sarbulescu:</t>
        </r>
        <r>
          <rPr>
            <sz val="9"/>
            <color indexed="81"/>
            <rFont val="Tahoma"/>
            <family val="2"/>
          </rPr>
          <t xml:space="preserve">
Check the reconstructed walletid has propagated back to BuyA 8% allocation walletid</t>
        </r>
      </text>
    </comment>
    <comment ref="X39" authorId="0" shapeId="0" xr:uid="{0BAC0BE5-75BD-4AA3-BC77-040FD73D8B97}">
      <text>
        <r>
          <rPr>
            <b/>
            <sz val="9"/>
            <color indexed="81"/>
            <rFont val="Tahoma"/>
            <family val="2"/>
          </rPr>
          <t>Marin Sarbulescu:</t>
        </r>
        <r>
          <rPr>
            <sz val="9"/>
            <color indexed="81"/>
            <rFont val="Tahoma"/>
            <family val="2"/>
          </rPr>
          <t xml:space="preserve">
The highest %2PT of all wallets</t>
        </r>
      </text>
    </comment>
    <comment ref="AF39" authorId="0" shapeId="0" xr:uid="{1C6869A7-DB27-4352-B2A0-A605E0CD1ED9}">
      <text>
        <r>
          <rPr>
            <b/>
            <sz val="9"/>
            <color indexed="81"/>
            <rFont val="Tahoma"/>
            <family val="2"/>
          </rPr>
          <t>Marin Sarbulescu:</t>
        </r>
        <r>
          <rPr>
            <sz val="9"/>
            <color indexed="81"/>
            <rFont val="Tahoma"/>
            <family val="2"/>
          </rPr>
          <t xml:space="preserve">
=BuyPrice * (1 + PT_Percent) / (1 - Commission_Percent)</t>
        </r>
      </text>
    </comment>
    <comment ref="AG39" authorId="0" shapeId="0" xr:uid="{9AB5230F-6A5F-4576-B146-67E5F241B397}">
      <text>
        <r>
          <rPr>
            <b/>
            <sz val="9"/>
            <color indexed="81"/>
            <rFont val="Tahoma"/>
            <family val="2"/>
          </rPr>
          <t>Marin Sarbulescu:</t>
        </r>
        <r>
          <rPr>
            <sz val="9"/>
            <color indexed="81"/>
            <rFont val="Tahoma"/>
            <family val="2"/>
          </rPr>
          <t xml:space="preserve">
=(CurrentPrice - PT_Price) / PT_Price</t>
        </r>
      </text>
    </comment>
    <comment ref="AF49" authorId="0" shapeId="0" xr:uid="{7EDF3E15-F120-410D-A5D0-BA33CCD4472C}">
      <text>
        <r>
          <rPr>
            <b/>
            <sz val="9"/>
            <color indexed="81"/>
            <rFont val="Tahoma"/>
            <family val="2"/>
          </rPr>
          <t>Marin Sarbulescu:</t>
        </r>
        <r>
          <rPr>
            <sz val="9"/>
            <color indexed="81"/>
            <rFont val="Tahoma"/>
            <family val="2"/>
          </rPr>
          <t xml:space="preserve">
=BuyPrice * (1 + PT_Percent) / (1 - Commission_Percent)</t>
        </r>
      </text>
    </comment>
    <comment ref="AG49" authorId="0" shapeId="0" xr:uid="{F1A52232-59AF-4865-9940-49E2A63C74F6}">
      <text>
        <r>
          <rPr>
            <b/>
            <sz val="9"/>
            <color indexed="81"/>
            <rFont val="Tahoma"/>
            <family val="2"/>
          </rPr>
          <t>Marin Sarbulescu:</t>
        </r>
        <r>
          <rPr>
            <sz val="9"/>
            <color indexed="81"/>
            <rFont val="Tahoma"/>
            <family val="2"/>
          </rPr>
          <t xml:space="preserve">
=(CurrentPrice - PT_Price) / PT_Price</t>
        </r>
      </text>
    </comment>
    <comment ref="AF63" authorId="0" shapeId="0" xr:uid="{CEDD2F76-EC72-484D-A3A8-B5C4E519D565}">
      <text>
        <r>
          <rPr>
            <b/>
            <sz val="9"/>
            <color indexed="81"/>
            <rFont val="Tahoma"/>
            <family val="2"/>
          </rPr>
          <t>Marin Sarbulescu:</t>
        </r>
        <r>
          <rPr>
            <sz val="9"/>
            <color indexed="81"/>
            <rFont val="Tahoma"/>
            <family val="2"/>
          </rPr>
          <t xml:space="preserve">
=BuyPrice * (1 + PT_Percent) / (1 - Commission_Percent)</t>
        </r>
      </text>
    </comment>
    <comment ref="AG63" authorId="0" shapeId="0" xr:uid="{76DFD8E8-7242-46E1-B028-C062B1C296E8}">
      <text>
        <r>
          <rPr>
            <b/>
            <sz val="9"/>
            <color indexed="81"/>
            <rFont val="Tahoma"/>
            <family val="2"/>
          </rPr>
          <t>Marin Sarbulescu:</t>
        </r>
        <r>
          <rPr>
            <sz val="9"/>
            <color indexed="81"/>
            <rFont val="Tahoma"/>
            <family val="2"/>
          </rPr>
          <t xml:space="preserve">
=(CurrentPrice - PT_Price) / PT_Price</t>
        </r>
      </text>
    </comment>
    <comment ref="AF79" authorId="0" shapeId="0" xr:uid="{88DBC8DF-D30D-49AF-B128-5612D84F2C28}">
      <text>
        <r>
          <rPr>
            <b/>
            <sz val="9"/>
            <color indexed="81"/>
            <rFont val="Tahoma"/>
            <family val="2"/>
          </rPr>
          <t>Marin Sarbulescu:</t>
        </r>
        <r>
          <rPr>
            <sz val="9"/>
            <color indexed="81"/>
            <rFont val="Tahoma"/>
            <family val="2"/>
          </rPr>
          <t xml:space="preserve">
=BuyPrice * (1 + PT_Percent) / (1 - Commission_Percent)</t>
        </r>
      </text>
    </comment>
    <comment ref="AG79" authorId="0" shapeId="0" xr:uid="{CDB6EA7C-2200-4C18-A3B2-4DF1E87FEE4E}">
      <text>
        <r>
          <rPr>
            <b/>
            <sz val="9"/>
            <color indexed="81"/>
            <rFont val="Tahoma"/>
            <family val="2"/>
          </rPr>
          <t>Marin Sarbulescu:</t>
        </r>
        <r>
          <rPr>
            <sz val="9"/>
            <color indexed="81"/>
            <rFont val="Tahoma"/>
            <family val="2"/>
          </rPr>
          <t xml:space="preserve">
=(CurrentPrice - PT_Price) / PT_Price</t>
        </r>
      </text>
    </comment>
    <comment ref="AF107" authorId="0" shapeId="0" xr:uid="{0440844C-A56D-4CC2-9CFE-0558F9D3550A}">
      <text>
        <r>
          <rPr>
            <b/>
            <sz val="9"/>
            <color indexed="81"/>
            <rFont val="Tahoma"/>
            <family val="2"/>
          </rPr>
          <t>Marin Sarbulescu:</t>
        </r>
        <r>
          <rPr>
            <sz val="9"/>
            <color indexed="81"/>
            <rFont val="Tahoma"/>
            <family val="2"/>
          </rPr>
          <t xml:space="preserve">
=BuyPrice * (1 + PT_Percent) / (1 - Commission_Percent)</t>
        </r>
      </text>
    </comment>
    <comment ref="AG107" authorId="0" shapeId="0" xr:uid="{F6F1F217-9ADC-4430-B5AC-83BE1AAE2905}">
      <text>
        <r>
          <rPr>
            <b/>
            <sz val="9"/>
            <color indexed="81"/>
            <rFont val="Tahoma"/>
            <family val="2"/>
          </rPr>
          <t>Marin Sarbulescu:</t>
        </r>
        <r>
          <rPr>
            <sz val="9"/>
            <color indexed="81"/>
            <rFont val="Tahoma"/>
            <family val="2"/>
          </rPr>
          <t xml:space="preserve">
=(CurrentPrice - PT_Price) / PT_Price</t>
        </r>
      </text>
    </comment>
    <comment ref="AF123" authorId="0" shapeId="0" xr:uid="{11089228-6BA3-4EDD-A1EC-EE6FF053DD50}">
      <text>
        <r>
          <rPr>
            <b/>
            <sz val="9"/>
            <color indexed="81"/>
            <rFont val="Tahoma"/>
            <family val="2"/>
          </rPr>
          <t>Marin Sarbulescu:</t>
        </r>
        <r>
          <rPr>
            <sz val="9"/>
            <color indexed="81"/>
            <rFont val="Tahoma"/>
            <family val="2"/>
          </rPr>
          <t xml:space="preserve">
=BuyPrice * (1 + PT_Percent) / (1 - Commission_Percent)</t>
        </r>
      </text>
    </comment>
    <comment ref="AG123" authorId="0" shapeId="0" xr:uid="{801460BC-AD48-4651-BE26-01CF22DB2E3B}">
      <text>
        <r>
          <rPr>
            <b/>
            <sz val="9"/>
            <color indexed="81"/>
            <rFont val="Tahoma"/>
            <family val="2"/>
          </rPr>
          <t>Marin Sarbulescu:</t>
        </r>
        <r>
          <rPr>
            <sz val="9"/>
            <color indexed="81"/>
            <rFont val="Tahoma"/>
            <family val="2"/>
          </rPr>
          <t xml:space="preserve">
=(CurrentPrice - PT_Price) / PT_Price</t>
        </r>
      </text>
    </comment>
    <comment ref="AS152" authorId="0" shapeId="0" xr:uid="{224BD052-98D0-4C17-B4D2-7018C2EAE526}">
      <text>
        <r>
          <rPr>
            <b/>
            <sz val="9"/>
            <color indexed="81"/>
            <rFont val="Tahoma"/>
            <family val="2"/>
          </rPr>
          <t>Marin Sarbulescu:</t>
        </r>
        <r>
          <rPr>
            <sz val="9"/>
            <color indexed="81"/>
            <rFont val="Tahoma"/>
            <family val="2"/>
          </rPr>
          <t xml:space="preserve">
SUM(All_Swing_Sales_Profit)</t>
        </r>
      </text>
    </comment>
    <comment ref="AT152" authorId="0" shapeId="0" xr:uid="{14D6FF73-E331-4406-8ED4-8C9A30A1BE27}">
      <text>
        <r>
          <rPr>
            <b/>
            <sz val="9"/>
            <color indexed="81"/>
            <rFont val="Tahoma"/>
            <family val="2"/>
          </rPr>
          <t>Marin Sarbulescu:</t>
        </r>
        <r>
          <rPr>
            <sz val="9"/>
            <color indexed="81"/>
            <rFont val="Tahoma"/>
            <family val="2"/>
          </rPr>
          <t xml:space="preserve">
Realized_PL_Swing_Dollars / Cost_Basis_Of_Sold_Swing_Shares</t>
        </r>
      </text>
    </comment>
    <comment ref="AU152" authorId="0" shapeId="0" xr:uid="{51233420-A700-4A19-AA61-F201D3B2EA44}">
      <text>
        <r>
          <rPr>
            <b/>
            <sz val="9"/>
            <color indexed="81"/>
            <rFont val="Tahoma"/>
            <family val="2"/>
          </rPr>
          <t>Marin Sarbulescu:</t>
        </r>
        <r>
          <rPr>
            <sz val="9"/>
            <color indexed="81"/>
            <rFont val="Tahoma"/>
            <family val="2"/>
          </rPr>
          <t xml:space="preserve">
SUM(All_Hold_Sales_Profit)</t>
        </r>
      </text>
    </comment>
    <comment ref="AV152" authorId="0" shapeId="0" xr:uid="{80FE23EF-61AC-4925-9527-F16CC5BDD397}">
      <text>
        <r>
          <rPr>
            <b/>
            <sz val="9"/>
            <color indexed="81"/>
            <rFont val="Tahoma"/>
            <family val="2"/>
          </rPr>
          <t>Marin Sarbulescu:</t>
        </r>
        <r>
          <rPr>
            <sz val="9"/>
            <color indexed="81"/>
            <rFont val="Tahoma"/>
            <family val="2"/>
          </rPr>
          <t xml:space="preserve">
Realized_PL_Hold_Dollars / Cost_Basis_Of_Sold_Hold_Shares</t>
        </r>
      </text>
    </comment>
    <comment ref="AW152" authorId="0" shapeId="0" xr:uid="{0122FB92-B45C-4B94-9C32-C5284CAF74D7}">
      <text>
        <r>
          <rPr>
            <b/>
            <sz val="9"/>
            <color indexed="81"/>
            <rFont val="Tahoma"/>
            <family val="2"/>
          </rPr>
          <t>Marin Sarbulescu:</t>
        </r>
        <r>
          <rPr>
            <sz val="9"/>
            <color indexed="81"/>
            <rFont val="Tahoma"/>
            <family val="2"/>
          </rPr>
          <t xml:space="preserve">
Realized_PL_Swing_Dollars + Realized_PL_Hold_Dollars</t>
        </r>
      </text>
    </comment>
    <comment ref="AX152" authorId="0" shapeId="0" xr:uid="{84CF1FFB-0178-46D3-8FFE-FB32D4974BAE}">
      <text>
        <r>
          <rPr>
            <b/>
            <sz val="9"/>
            <color indexed="81"/>
            <rFont val="Tahoma"/>
            <family val="2"/>
          </rPr>
          <t>Marin Sarbulescu:</t>
        </r>
        <r>
          <rPr>
            <sz val="9"/>
            <color indexed="81"/>
            <rFont val="Tahoma"/>
            <family val="2"/>
          </rPr>
          <t xml:space="preserve">
Realized_Stock_$ / (Cost_Basis_All_Sold_Swing_Shares + Cost_Basis_All_Sold_Hold_Shares)</t>
        </r>
      </text>
    </comment>
    <comment ref="BF152" authorId="0" shapeId="0" xr:uid="{7B3FD6E7-658C-414F-A439-F26CEE0F3685}">
      <text>
        <r>
          <rPr>
            <b/>
            <sz val="9"/>
            <color indexed="81"/>
            <rFont val="Tahoma"/>
            <family val="2"/>
          </rPr>
          <t>Marin Sarbulescu:</t>
        </r>
        <r>
          <rPr>
            <sz val="9"/>
            <color indexed="81"/>
            <rFont val="Tahoma"/>
            <family val="2"/>
          </rPr>
          <t xml:space="preserve">
Realized_Swing_$ + Unrealized_Swing_$</t>
        </r>
      </text>
    </comment>
    <comment ref="BG152" authorId="0" shapeId="0" xr:uid="{9F44CE73-868F-4AD1-AED5-980DFA217E6A}">
      <text>
        <r>
          <rPr>
            <b/>
            <sz val="9"/>
            <color indexed="81"/>
            <rFont val="Tahoma"/>
            <family val="2"/>
          </rPr>
          <t>Marin Sarbulescu:</t>
        </r>
        <r>
          <rPr>
            <sz val="9"/>
            <color indexed="81"/>
            <rFont val="Tahoma"/>
            <family val="2"/>
          </rPr>
          <t xml:space="preserve">
Combined_Swing_$ / (SUM(Buy_Price_Each_Swing_Wallet * Sold_Shares_Each_Swing_Wallet) + SUM(Buy_Price_Each_Swing_Wallet * Remaining_Shares_Each_Swing_Wallet))</t>
        </r>
      </text>
    </comment>
    <comment ref="BH152" authorId="0" shapeId="0" xr:uid="{BDEAFC5A-6BB7-4F07-9DD1-9126523F7861}">
      <text>
        <r>
          <rPr>
            <b/>
            <sz val="9"/>
            <color indexed="81"/>
            <rFont val="Tahoma"/>
            <family val="2"/>
          </rPr>
          <t>Marin Sarbulescu:</t>
        </r>
        <r>
          <rPr>
            <sz val="9"/>
            <color indexed="81"/>
            <rFont val="Tahoma"/>
            <family val="2"/>
          </rPr>
          <t xml:space="preserve">
Realized_Hold_$ + Unrealized_Hold_$</t>
        </r>
      </text>
    </comment>
    <comment ref="BI152" authorId="0" shapeId="0" xr:uid="{C4D074C9-A047-437F-B367-3F68568539B7}">
      <text>
        <r>
          <rPr>
            <b/>
            <sz val="9"/>
            <color indexed="81"/>
            <rFont val="Tahoma"/>
            <family val="2"/>
          </rPr>
          <t>Marin Sarbulescu:</t>
        </r>
        <r>
          <rPr>
            <sz val="9"/>
            <color indexed="81"/>
            <rFont val="Tahoma"/>
            <family val="2"/>
          </rPr>
          <t xml:space="preserve">
Combined_Hold_$ / (SUM(Buy_Price_Each_Hold_Wallet * Sold_Shares_Each_Hold_Wallet) + SUM(Buy_Price_Each_Hold_Wallet * Remaining_Shares_Each_Hold_Wallet))</t>
        </r>
      </text>
    </comment>
    <comment ref="BJ152" authorId="0" shapeId="0" xr:uid="{44F6E4E3-EEED-4802-956A-284A28EABB1A}">
      <text>
        <r>
          <rPr>
            <b/>
            <sz val="9"/>
            <color indexed="81"/>
            <rFont val="Tahoma"/>
            <family val="2"/>
          </rPr>
          <t>Marin Sarbulescu:</t>
        </r>
        <r>
          <rPr>
            <sz val="9"/>
            <color indexed="81"/>
            <rFont val="Tahoma"/>
            <family val="2"/>
          </rPr>
          <t xml:space="preserve">
SUM(All_Div + All_SLP)</t>
        </r>
      </text>
    </comment>
    <comment ref="BK152" authorId="0" shapeId="0" xr:uid="{D24CADF2-38C8-4DB0-AB61-E32D6C022957}">
      <text>
        <r>
          <rPr>
            <b/>
            <sz val="9"/>
            <color indexed="81"/>
            <rFont val="Tahoma"/>
            <family val="2"/>
          </rPr>
          <t>Marin Sarbulescu:</t>
        </r>
        <r>
          <rPr>
            <sz val="9"/>
            <color indexed="81"/>
            <rFont val="Tahoma"/>
            <family val="2"/>
          </rPr>
          <t xml:space="preserve">
Combined_Swing_$ + Combined_Hold_$ + Income_$</t>
        </r>
      </text>
    </comment>
    <comment ref="BL152" authorId="0" shapeId="0" xr:uid="{58D93A24-6793-4A32-A193-69682A035EE6}">
      <text>
        <r>
          <rPr>
            <b/>
            <sz val="9"/>
            <color indexed="81"/>
            <rFont val="Tahoma"/>
            <family val="2"/>
          </rPr>
          <t>Marin Sarbulescu:</t>
        </r>
        <r>
          <rPr>
            <sz val="9"/>
            <color indexed="81"/>
            <rFont val="Tahoma"/>
            <family val="2"/>
          </rPr>
          <t xml:space="preserve">
Combined_Stock_$ / ((Cost_Basis_All_Sold_Swing_Shares + Cost_Basis_All_Sold_Hold_Shares) + (SUM(Buy_Price_Each_Wallet * Remaining_Shares_Each_Wallet)))</t>
        </r>
      </text>
    </comment>
    <comment ref="AY153" authorId="0" shapeId="0" xr:uid="{121B238F-8A41-4DBB-8A6E-4136EBFA6B16}">
      <text>
        <r>
          <rPr>
            <b/>
            <sz val="9"/>
            <color indexed="81"/>
            <rFont val="Tahoma"/>
            <family val="2"/>
          </rPr>
          <t>Marin Sarbulescu:</t>
        </r>
        <r>
          <rPr>
            <sz val="9"/>
            <color indexed="81"/>
            <rFont val="Tahoma"/>
            <family val="2"/>
          </rPr>
          <t xml:space="preserve">
(Latest_Price * Swing_Shares)) - (SUM(Buy_Price_Each_Swing_Wallet * Remaining_Shares_Each_Swing_Wallet))</t>
        </r>
      </text>
    </comment>
    <comment ref="AZ153" authorId="0" shapeId="0" xr:uid="{C2280D87-FABC-46BE-876A-8B9FB7BE736A}">
      <text>
        <r>
          <rPr>
            <b/>
            <sz val="9"/>
            <color indexed="81"/>
            <rFont val="Tahoma"/>
            <family val="2"/>
          </rPr>
          <t>Marin Sarbulescu:</t>
        </r>
        <r>
          <rPr>
            <sz val="9"/>
            <color indexed="81"/>
            <rFont val="Tahoma"/>
            <family val="2"/>
          </rPr>
          <t xml:space="preserve">
(Unrealized Swing $) / SUM(Buy_Price_Each_Swing_Wallet * Remaining_Shares_Each_Swing_Wallet)</t>
        </r>
      </text>
    </comment>
    <comment ref="BA153" authorId="0" shapeId="0" xr:uid="{E45F0710-D443-41E8-887A-171962AEFA2D}">
      <text>
        <r>
          <rPr>
            <b/>
            <sz val="9"/>
            <color indexed="81"/>
            <rFont val="Tahoma"/>
            <family val="2"/>
          </rPr>
          <t>Marin Sarbulescu:</t>
        </r>
        <r>
          <rPr>
            <sz val="9"/>
            <color indexed="81"/>
            <rFont val="Tahoma"/>
            <family val="2"/>
          </rPr>
          <t xml:space="preserve">
(Latest_Price * Hold_Shares))-(SUM(Buy_Price_Each_Hold_Wallet * Remaining_Shares_Each_Hold_Wallet))</t>
        </r>
      </text>
    </comment>
    <comment ref="BB153" authorId="0" shapeId="0" xr:uid="{242E3F54-257B-4BB3-87AE-884A93F5030F}">
      <text>
        <r>
          <rPr>
            <b/>
            <sz val="9"/>
            <color indexed="81"/>
            <rFont val="Tahoma"/>
            <family val="2"/>
          </rPr>
          <t>Marin Sarbulescu:</t>
        </r>
        <r>
          <rPr>
            <sz val="9"/>
            <color indexed="81"/>
            <rFont val="Tahoma"/>
            <family val="2"/>
          </rPr>
          <t xml:space="preserve">
(Unrealized Hold $) / SUM(Buy_Price_Each_Hold_Wallet * Remaining_Shares_Each_Hold_Wallet)</t>
        </r>
      </text>
    </comment>
    <comment ref="BC153" authorId="0" shapeId="0" xr:uid="{61FADD80-6DD5-404E-83EB-F9042BFF4D52}">
      <text>
        <r>
          <rPr>
            <b/>
            <sz val="9"/>
            <color indexed="81"/>
            <rFont val="Tahoma"/>
            <family val="2"/>
          </rPr>
          <t>Marin Sarbulescu:</t>
        </r>
        <r>
          <rPr>
            <sz val="9"/>
            <color indexed="81"/>
            <rFont val="Tahoma"/>
            <family val="2"/>
          </rPr>
          <t xml:space="preserve">
Unrealized_Swing_$ + Unrealized_Hold_S</t>
        </r>
      </text>
    </comment>
    <comment ref="BD153" authorId="0" shapeId="0" xr:uid="{E7D0B604-72AD-4247-96CB-6CD2EEE8671A}">
      <text>
        <r>
          <rPr>
            <b/>
            <sz val="9"/>
            <color indexed="81"/>
            <rFont val="Tahoma"/>
            <family val="2"/>
          </rPr>
          <t>Marin Sarbulescu:</t>
        </r>
        <r>
          <rPr>
            <sz val="9"/>
            <color indexed="81"/>
            <rFont val="Tahoma"/>
            <family val="2"/>
          </rPr>
          <t xml:space="preserve">
(Unrealized Stock $) / SUM(Buy_Price_Each_Wallet * Remaining_Shares_Each_Wallet)</t>
        </r>
      </text>
    </comment>
    <comment ref="AS166" authorId="0" shapeId="0" xr:uid="{894C285A-3C63-48E6-9023-2ED9339A1D82}">
      <text>
        <r>
          <rPr>
            <b/>
            <sz val="9"/>
            <color indexed="81"/>
            <rFont val="Tahoma"/>
            <family val="2"/>
          </rPr>
          <t>Marin Sarbulescu:</t>
        </r>
        <r>
          <rPr>
            <sz val="9"/>
            <color indexed="81"/>
            <rFont val="Tahoma"/>
            <family val="2"/>
          </rPr>
          <t xml:space="preserve">
SUM(All_Swing_Sales_Profit)</t>
        </r>
      </text>
    </comment>
    <comment ref="AT166" authorId="0" shapeId="0" xr:uid="{D2F5EB69-B0E0-4E68-AA34-54AA4123E883}">
      <text>
        <r>
          <rPr>
            <b/>
            <sz val="9"/>
            <color indexed="81"/>
            <rFont val="Tahoma"/>
            <family val="2"/>
          </rPr>
          <t>Marin Sarbulescu:</t>
        </r>
        <r>
          <rPr>
            <sz val="9"/>
            <color indexed="81"/>
            <rFont val="Tahoma"/>
            <family val="2"/>
          </rPr>
          <t xml:space="preserve">
Realized_PL_Swing_Dollars / Cost_Basis_Of_Sold_Swing_Shares</t>
        </r>
      </text>
    </comment>
    <comment ref="AU166" authorId="0" shapeId="0" xr:uid="{682C8ACF-8240-4B5E-AC87-6CB366F74094}">
      <text>
        <r>
          <rPr>
            <b/>
            <sz val="9"/>
            <color indexed="81"/>
            <rFont val="Tahoma"/>
            <family val="2"/>
          </rPr>
          <t>Marin Sarbulescu:</t>
        </r>
        <r>
          <rPr>
            <sz val="9"/>
            <color indexed="81"/>
            <rFont val="Tahoma"/>
            <family val="2"/>
          </rPr>
          <t xml:space="preserve">
SUM(All_Hold_Sales_Profit)</t>
        </r>
      </text>
    </comment>
    <comment ref="AV166" authorId="0" shapeId="0" xr:uid="{134F089E-4AA5-4956-B58F-EC83A2C26D81}">
      <text>
        <r>
          <rPr>
            <b/>
            <sz val="9"/>
            <color indexed="81"/>
            <rFont val="Tahoma"/>
            <family val="2"/>
          </rPr>
          <t>Marin Sarbulescu:</t>
        </r>
        <r>
          <rPr>
            <sz val="9"/>
            <color indexed="81"/>
            <rFont val="Tahoma"/>
            <family val="2"/>
          </rPr>
          <t xml:space="preserve">
Realized_PL_Hold_Dollars / Cost_Basis_Of_Sold_Hold_Shares</t>
        </r>
      </text>
    </comment>
    <comment ref="AW166" authorId="0" shapeId="0" xr:uid="{EA3D643E-398F-4BE3-8D20-BE09E81A9EC2}">
      <text>
        <r>
          <rPr>
            <b/>
            <sz val="9"/>
            <color indexed="81"/>
            <rFont val="Tahoma"/>
            <family val="2"/>
          </rPr>
          <t>Marin Sarbulescu:</t>
        </r>
        <r>
          <rPr>
            <sz val="9"/>
            <color indexed="81"/>
            <rFont val="Tahoma"/>
            <family val="2"/>
          </rPr>
          <t xml:space="preserve">
Realized_PL_Swing_Dollars + Realized_PL_Hold_Dollars</t>
        </r>
      </text>
    </comment>
    <comment ref="AX166" authorId="0" shapeId="0" xr:uid="{64253E94-3121-45F6-9753-241441AC308F}">
      <text>
        <r>
          <rPr>
            <b/>
            <sz val="9"/>
            <color indexed="81"/>
            <rFont val="Tahoma"/>
            <family val="2"/>
          </rPr>
          <t>Marin Sarbulescu:</t>
        </r>
        <r>
          <rPr>
            <sz val="9"/>
            <color indexed="81"/>
            <rFont val="Tahoma"/>
            <family val="2"/>
          </rPr>
          <t xml:space="preserve">
Realized_Stock_$ / (Cost_Basis_All_Sold_Swing_Shares + Cost_Basis_All_Sold_Hold_Shares)</t>
        </r>
      </text>
    </comment>
    <comment ref="AY166" authorId="0" shapeId="0" xr:uid="{631734C9-8C88-4EFC-B6CE-58B8DB1091A0}">
      <text>
        <r>
          <rPr>
            <b/>
            <sz val="9"/>
            <color indexed="81"/>
            <rFont val="Tahoma"/>
            <family val="2"/>
          </rPr>
          <t>Marin Sarbulescu:</t>
        </r>
        <r>
          <rPr>
            <sz val="9"/>
            <color indexed="81"/>
            <rFont val="Tahoma"/>
            <family val="2"/>
          </rPr>
          <t xml:space="preserve">
(Latest_Price * Swing_Shares)) - (SUM(Buy_Price_Each_Swing_Wallet * Remaining_Shares_Each_Swing_Wallet))</t>
        </r>
      </text>
    </comment>
    <comment ref="AZ166" authorId="0" shapeId="0" xr:uid="{413211A1-1BDA-41F5-939D-47B50A262554}">
      <text>
        <r>
          <rPr>
            <b/>
            <sz val="9"/>
            <color indexed="81"/>
            <rFont val="Tahoma"/>
            <family val="2"/>
          </rPr>
          <t>Marin Sarbulescu:</t>
        </r>
        <r>
          <rPr>
            <sz val="9"/>
            <color indexed="81"/>
            <rFont val="Tahoma"/>
            <family val="2"/>
          </rPr>
          <t xml:space="preserve">
(Unrealized Swing $) / SUM(Buy_Price_Each_Swing_Wallet * Remaining_Shares_Each_Swing_Wallet)</t>
        </r>
      </text>
    </comment>
    <comment ref="BA166" authorId="0" shapeId="0" xr:uid="{BAFF9A6D-F6A7-4999-AA04-E6F3D1E0BA16}">
      <text>
        <r>
          <rPr>
            <b/>
            <sz val="9"/>
            <color indexed="81"/>
            <rFont val="Tahoma"/>
            <family val="2"/>
          </rPr>
          <t>Marin Sarbulescu:</t>
        </r>
        <r>
          <rPr>
            <sz val="9"/>
            <color indexed="81"/>
            <rFont val="Tahoma"/>
            <family val="2"/>
          </rPr>
          <t xml:space="preserve">
(Latest_Price * Hold_Shares))-(SUM(Buy_Price_Each_Hold_Wallet * Remaining_Shares_Each_Hold_Wallet))</t>
        </r>
      </text>
    </comment>
    <comment ref="BB166" authorId="0" shapeId="0" xr:uid="{A7CB0B0C-1FB8-4F7D-9547-37CD05507E01}">
      <text>
        <r>
          <rPr>
            <b/>
            <sz val="9"/>
            <color indexed="81"/>
            <rFont val="Tahoma"/>
            <family val="2"/>
          </rPr>
          <t>Marin Sarbulescu:</t>
        </r>
        <r>
          <rPr>
            <sz val="9"/>
            <color indexed="81"/>
            <rFont val="Tahoma"/>
            <family val="2"/>
          </rPr>
          <t xml:space="preserve">
(Unrealized Hold $) / SUM(Buy_Price_Each_Hold_Wallet * Remaining_Shares_Each_Hold_Wallet)</t>
        </r>
      </text>
    </comment>
    <comment ref="BC166" authorId="0" shapeId="0" xr:uid="{B4726EC1-2D0F-44CE-9037-B0ADEAE7FC9B}">
      <text>
        <r>
          <rPr>
            <b/>
            <sz val="9"/>
            <color indexed="81"/>
            <rFont val="Tahoma"/>
            <family val="2"/>
          </rPr>
          <t>Marin Sarbulescu:</t>
        </r>
        <r>
          <rPr>
            <sz val="9"/>
            <color indexed="81"/>
            <rFont val="Tahoma"/>
            <family val="2"/>
          </rPr>
          <t xml:space="preserve">
Unrealized_Swing_$ + Unrealized_Hold_S</t>
        </r>
      </text>
    </comment>
    <comment ref="BD166" authorId="0" shapeId="0" xr:uid="{B498020F-F4F0-4C28-A01B-317648B63C14}">
      <text>
        <r>
          <rPr>
            <b/>
            <sz val="9"/>
            <color indexed="81"/>
            <rFont val="Tahoma"/>
            <family val="2"/>
          </rPr>
          <t>Marin Sarbulescu:</t>
        </r>
        <r>
          <rPr>
            <sz val="9"/>
            <color indexed="81"/>
            <rFont val="Tahoma"/>
            <family val="2"/>
          </rPr>
          <t xml:space="preserve">
(Unrealized Stock $) / SUM(Buy_Price_Each_Wallet * Remaining_Shares_Each_Wallet)</t>
        </r>
      </text>
    </comment>
    <comment ref="AF208" authorId="0" shapeId="0" xr:uid="{511CF01E-50B9-4F86-8C75-0FAA19660B40}">
      <text>
        <r>
          <rPr>
            <b/>
            <sz val="9"/>
            <color indexed="81"/>
            <rFont val="Tahoma"/>
            <family val="2"/>
          </rPr>
          <t>Marin Sarbulescu:</t>
        </r>
        <r>
          <rPr>
            <sz val="9"/>
            <color indexed="81"/>
            <rFont val="Tahoma"/>
            <family val="2"/>
          </rPr>
          <t xml:space="preserve">
5DD exists, but it's hidden because the last buy was less than 5 days ago.</t>
        </r>
      </text>
    </comment>
    <comment ref="AG211" authorId="0" shapeId="0" xr:uid="{BFE7F065-8945-491A-BD3E-0F82A88F23B7}">
      <text>
        <r>
          <rPr>
            <b/>
            <sz val="9"/>
            <color indexed="81"/>
            <rFont val="Tahoma"/>
            <family val="2"/>
          </rPr>
          <t>Marin Sarbulescu:</t>
        </r>
        <r>
          <rPr>
            <sz val="9"/>
            <color indexed="81"/>
            <rFont val="Tahoma"/>
            <family val="2"/>
          </rPr>
          <t xml:space="preserve">
This is the LBD displayed, because it's of the latest buy.</t>
        </r>
      </text>
    </comment>
    <comment ref="AG212" authorId="0" shapeId="0" xr:uid="{AFFF8F15-2E97-487B-8534-F21B0A8D004B}">
      <text>
        <r>
          <rPr>
            <b/>
            <sz val="9"/>
            <color indexed="81"/>
            <rFont val="Tahoma"/>
            <family val="2"/>
          </rPr>
          <t xml:space="preserve">Marin Sarbulescu
</t>
        </r>
        <r>
          <rPr>
            <sz val="9"/>
            <color indexed="81"/>
            <rFont val="Tahoma"/>
            <family val="2"/>
          </rPr>
          <t>LBD exists but it's not displayed because -1.96% drop from $51 doesn't meet 8% PDP threshold</t>
        </r>
      </text>
    </comment>
  </commentList>
</comments>
</file>

<file path=xl/sharedStrings.xml><?xml version="1.0" encoding="utf-8"?>
<sst xmlns="http://schemas.openxmlformats.org/spreadsheetml/2006/main" count="1689" uniqueCount="297">
  <si>
    <t>Price</t>
  </si>
  <si>
    <t>Inv</t>
  </si>
  <si>
    <t>Date</t>
  </si>
  <si>
    <t>Action</t>
  </si>
  <si>
    <t>Signal</t>
  </si>
  <si>
    <t>Shs/Txn</t>
  </si>
  <si>
    <t>Play Shs</t>
  </si>
  <si>
    <t>Hold Shs</t>
  </si>
  <si>
    <t>Hold Inv.</t>
  </si>
  <si>
    <t>LBD</t>
  </si>
  <si>
    <t>TP</t>
  </si>
  <si>
    <t>Bal. ($)</t>
  </si>
  <si>
    <t>Cash</t>
  </si>
  <si>
    <t>Buy 1</t>
  </si>
  <si>
    <t>5DD</t>
  </si>
  <si>
    <t>Play Txn Inv</t>
  </si>
  <si>
    <t>Buy 2</t>
  </si>
  <si>
    <t>Hold Txn Inv</t>
  </si>
  <si>
    <t>5DD &amp; LBD</t>
  </si>
  <si>
    <t>Play Inv. (Total)</t>
  </si>
  <si>
    <t>Hold Inv. (Total)</t>
  </si>
  <si>
    <t>Play Inv.</t>
  </si>
  <si>
    <t>Buy 3</t>
  </si>
  <si>
    <t>Buy 4</t>
  </si>
  <si>
    <t>Buy 5</t>
  </si>
  <si>
    <t>EOM</t>
  </si>
  <si>
    <t>Not a real txn, just a summary of everything on 3/7/2025</t>
  </si>
  <si>
    <t>Swing</t>
  </si>
  <si>
    <t>Hold</t>
  </si>
  <si>
    <t>SHR</t>
  </si>
  <si>
    <t>Buy Price</t>
  </si>
  <si>
    <t>wallet-add-transaction.spec.ts</t>
  </si>
  <si>
    <t>Add SplitBuyInitial</t>
  </si>
  <si>
    <t>Add SwingBuyCust</t>
  </si>
  <si>
    <t>-</t>
  </si>
  <si>
    <t>Add HoldBuyEOM</t>
  </si>
  <si>
    <t>Add AnotherSplitBuy</t>
  </si>
  <si>
    <t>wallet-delete-transaction.spec.ts</t>
  </si>
  <si>
    <t>SplitTransactionAdd</t>
  </si>
  <si>
    <t>SplitTransactionDelete</t>
  </si>
  <si>
    <t>SwingTransactionAdd</t>
  </si>
  <si>
    <t>SwingTransactionDelete</t>
  </si>
  <si>
    <t>HoldTransactionAdd</t>
  </si>
  <si>
    <t>HoldTransactionDelete</t>
  </si>
  <si>
    <t>wallet-same-price-transactions.spec.ts</t>
  </si>
  <si>
    <t>Add SwingTransactionB</t>
  </si>
  <si>
    <t>Add HoldTransactionC</t>
  </si>
  <si>
    <t>Add SplitTransactionA</t>
  </si>
  <si>
    <t>Add SplitTransactionD</t>
  </si>
  <si>
    <t>Add Dividend</t>
  </si>
  <si>
    <t>Amount</t>
  </si>
  <si>
    <t>Add SLP</t>
  </si>
  <si>
    <t>Realized P/L</t>
  </si>
  <si>
    <t>Unrealized P/L</t>
  </si>
  <si>
    <t>Swing $</t>
  </si>
  <si>
    <t>Hold $</t>
  </si>
  <si>
    <t>Stock $</t>
  </si>
  <si>
    <t>%</t>
  </si>
  <si>
    <t>Swing shs</t>
  </si>
  <si>
    <t>Hold shs</t>
  </si>
  <si>
    <t>Total shs</t>
  </si>
  <si>
    <t>Latest Price</t>
  </si>
  <si>
    <t>Qty</t>
  </si>
  <si>
    <t>PDP</t>
  </si>
  <si>
    <t>Shares Lft</t>
  </si>
  <si>
    <t>Combined P/L</t>
  </si>
  <si>
    <t>Income $</t>
  </si>
  <si>
    <t>wallet-add-split-transaction.spec.ts</t>
  </si>
  <si>
    <t>InitialBuy</t>
  </si>
  <si>
    <t>StockSplit</t>
  </si>
  <si>
    <t>Split</t>
  </si>
  <si>
    <t>PostSplitBuy</t>
  </si>
  <si>
    <t>STP</t>
  </si>
  <si>
    <t>Sell</t>
  </si>
  <si>
    <t>Transaction</t>
  </si>
  <si>
    <t>Buy</t>
  </si>
  <si>
    <t>Type</t>
  </si>
  <si>
    <t>Sell $</t>
  </si>
  <si>
    <t>Initial</t>
  </si>
  <si>
    <t>OOP</t>
  </si>
  <si>
    <t>Cust</t>
  </si>
  <si>
    <t>$ Balance</t>
  </si>
  <si>
    <t>ROIC</t>
  </si>
  <si>
    <t>Swing Shs</t>
  </si>
  <si>
    <t>All Shs</t>
  </si>
  <si>
    <t>SplitA</t>
  </si>
  <si>
    <t>SwingA</t>
  </si>
  <si>
    <t>SplitB</t>
  </si>
  <si>
    <t>HoldB</t>
  </si>
  <si>
    <t>SplitC</t>
  </si>
  <si>
    <t>SwingC</t>
  </si>
  <si>
    <t>HoldC</t>
  </si>
  <si>
    <t>SwingD</t>
  </si>
  <si>
    <t>HoldE</t>
  </si>
  <si>
    <t>After transaction</t>
  </si>
  <si>
    <t>SwingB</t>
  </si>
  <si>
    <t>SplitD</t>
  </si>
  <si>
    <t>SplitE</t>
  </si>
  <si>
    <t>wallet-stp-htp.spec.ts</t>
  </si>
  <si>
    <t>HTP</t>
  </si>
  <si>
    <t>%2STP</t>
  </si>
  <si>
    <t>%2HTP</t>
  </si>
  <si>
    <t>BuySplitInitial A</t>
  </si>
  <si>
    <t>portfolio-overview.spec.ts</t>
  </si>
  <si>
    <t>Ticker</t>
  </si>
  <si>
    <t>Name</t>
  </si>
  <si>
    <t>Security Type</t>
  </si>
  <si>
    <t>Region</t>
  </si>
  <si>
    <t>Market</t>
  </si>
  <si>
    <t>Max Risk</t>
  </si>
  <si>
    <t>Test Price</t>
  </si>
  <si>
    <t>Trend</t>
  </si>
  <si>
    <t>Comm</t>
  </si>
  <si>
    <t>Commission</t>
  </si>
  <si>
    <t>Stock</t>
  </si>
  <si>
    <t>US</t>
  </si>
  <si>
    <t>US Index</t>
  </si>
  <si>
    <t>Market Sector</t>
  </si>
  <si>
    <t>Opportunity</t>
  </si>
  <si>
    <t>Risk Profile</t>
  </si>
  <si>
    <t>Hare</t>
  </si>
  <si>
    <t>Tied-Up</t>
  </si>
  <si>
    <t>r-Inv</t>
  </si>
  <si>
    <t>1. Add new stock in PortfolioAddEditStockModal</t>
  </si>
  <si>
    <t>2. Check PortfolioTable if new stock exists, by Ticker</t>
  </si>
  <si>
    <t>3. Continue to check PortfolioTable the following values exist for the new stock. Make sure their visibility is toggled on first.</t>
  </si>
  <si>
    <t>Tied-up</t>
  </si>
  <si>
    <t>Market Value</t>
  </si>
  <si>
    <t>APAC</t>
  </si>
  <si>
    <t>EU</t>
  </si>
  <si>
    <t>Intl</t>
  </si>
  <si>
    <t>4+. Replicating the 1 to 3 steps, create the following stocks and check if their values exist</t>
  </si>
  <si>
    <t>E2EPortfolioOverviewRegionUS</t>
  </si>
  <si>
    <t>ETF</t>
  </si>
  <si>
    <t>APAC Index</t>
  </si>
  <si>
    <t>Tortoise</t>
  </si>
  <si>
    <t>Europe Index</t>
  </si>
  <si>
    <t>Crypto</t>
  </si>
  <si>
    <t>E2EPortfolioOverviewUS2</t>
  </si>
  <si>
    <t>E2E Portfolio Overview Intl2</t>
  </si>
  <si>
    <t>E2EPortfolioOverviewUS1</t>
  </si>
  <si>
    <t>E2E Portfolio Overview US1</t>
  </si>
  <si>
    <t>E2EPortfolioOverviewIntl2</t>
  </si>
  <si>
    <t>E2EPortfolioOverviewIntl1</t>
  </si>
  <si>
    <t>E2EPortfolioOverviewAPAC1</t>
  </si>
  <si>
    <t>E2EPortfolioOverviewEU1</t>
  </si>
  <si>
    <t>E2E Portfolio Overview APAC1</t>
  </si>
  <si>
    <t>E2E Portfolio Overview Intl1</t>
  </si>
  <si>
    <t>E2E Portfolio Overview EU1</t>
  </si>
  <si>
    <t>E2E Portfolio Overview US2</t>
  </si>
  <si>
    <t>E2EPortfolioOverviewAPAC2</t>
  </si>
  <si>
    <t>E2E Portfolio Overview APAC2</t>
  </si>
  <si>
    <t>E2EPortfolioOverviewAPAC3</t>
  </si>
  <si>
    <t>E2E Portfolio Overview APAC3</t>
  </si>
  <si>
    <t>China Index</t>
  </si>
  <si>
    <t>E2EPortfolioOverviewIntl3</t>
  </si>
  <si>
    <t>E2E Portfolio Overview Intl3</t>
  </si>
  <si>
    <t>International Index</t>
  </si>
  <si>
    <t>E2EPortfolioOverviewIntl4</t>
  </si>
  <si>
    <t>E2E Portfolio Overview Intl4</t>
  </si>
  <si>
    <t>Emerging Index</t>
  </si>
  <si>
    <t>E2EPortfolioOverviewUS3</t>
  </si>
  <si>
    <t>E2E Portfolio Overview US3</t>
  </si>
  <si>
    <t>Oil</t>
  </si>
  <si>
    <t>E2EPortfolioOverviewEU2</t>
  </si>
  <si>
    <t>E2E Portfolio Overview EU2</t>
  </si>
  <si>
    <t>Metals</t>
  </si>
  <si>
    <t>E2EPortfolioOverviewAPAC4</t>
  </si>
  <si>
    <t>E2E Portfolio Overview APAC4</t>
  </si>
  <si>
    <t>E2EPortfolioOverviewEU3</t>
  </si>
  <si>
    <t>E2E Portfolio Overview EU3</t>
  </si>
  <si>
    <t>E2EPortfolioOverviewIntl5</t>
  </si>
  <si>
    <t>E2E Portfolio Overview Intl5</t>
  </si>
  <si>
    <t>5. Check PortfolioOverview, Region table</t>
  </si>
  <si>
    <t>6. Check PortfolioOverview, Region table</t>
  </si>
  <si>
    <t>signals-5dd-lbd-validation.spec.ts</t>
  </si>
  <si>
    <t>E2E5DDLBD1</t>
  </si>
  <si>
    <t>Historical closes</t>
  </si>
  <si>
    <t>Close</t>
  </si>
  <si>
    <t>Signals</t>
  </si>
  <si>
    <t>5DD%</t>
  </si>
  <si>
    <t>L Buy</t>
  </si>
  <si>
    <t>5DD (%)</t>
  </si>
  <si>
    <t>LBD (%)</t>
  </si>
  <si>
    <t>10 d</t>
  </si>
  <si>
    <t>E2E5DDLBD2</t>
  </si>
  <si>
    <t>Transactions</t>
  </si>
  <si>
    <t>E2ESTPHTP</t>
  </si>
  <si>
    <t>E2ESTPHTPCOM</t>
  </si>
  <si>
    <t>EditBuyPrice</t>
  </si>
  <si>
    <t>ET</t>
  </si>
  <si>
    <t>PT +4%</t>
  </si>
  <si>
    <t>PT +8%</t>
  </si>
  <si>
    <t>PT +16%</t>
  </si>
  <si>
    <t>P/L</t>
  </si>
  <si>
    <t>P/L (%)</t>
  </si>
  <si>
    <t>Shares</t>
  </si>
  <si>
    <t>PT</t>
  </si>
  <si>
    <t>%PT</t>
  </si>
  <si>
    <t>Total Shs</t>
  </si>
  <si>
    <t>Buy A</t>
  </si>
  <si>
    <t>Buy C at diff price, just 2 PTs</t>
  </si>
  <si>
    <t>Input: Action</t>
  </si>
  <si>
    <t>Expected: Transactions table</t>
  </si>
  <si>
    <t>Asset settings</t>
  </si>
  <si>
    <t>Expected: +4% Wallets</t>
  </si>
  <si>
    <t>Expected: Overview</t>
  </si>
  <si>
    <t>Expected: +8% Wallets</t>
  </si>
  <si>
    <t>Expected: +16% Wallets</t>
  </si>
  <si>
    <t>Current Price</t>
  </si>
  <si>
    <t>Buy B</t>
  </si>
  <si>
    <t>Custom</t>
  </si>
  <si>
    <t>Edit txn A, update inv, price, alloc</t>
  </si>
  <si>
    <t>Delete txn A</t>
  </si>
  <si>
    <t>Entry Target</t>
  </si>
  <si>
    <t>BuyA</t>
  </si>
  <si>
    <t>BuyB</t>
  </si>
  <si>
    <t>BuyC</t>
  </si>
  <si>
    <t>SellA</t>
  </si>
  <si>
    <t>Profit Target</t>
  </si>
  <si>
    <t>Inv/Amt</t>
  </si>
  <si>
    <t>SellB</t>
  </si>
  <si>
    <t>Del</t>
  </si>
  <si>
    <t>Del SellB</t>
  </si>
  <si>
    <t>Edit SellB</t>
  </si>
  <si>
    <t>Edit</t>
  </si>
  <si>
    <t>Expected: Dashboard Table</t>
  </si>
  <si>
    <t>E2E-Dashboard-Signals</t>
  </si>
  <si>
    <t>Last Buy</t>
  </si>
  <si>
    <t>5D Pullback</t>
  </si>
  <si>
    <t>Pullback</t>
  </si>
  <si>
    <t>%2PT</t>
  </si>
  <si>
    <t>Symbol</t>
  </si>
  <si>
    <t>dashboard-signals.spec.ts</t>
  </si>
  <si>
    <t>PriceUpdateA</t>
  </si>
  <si>
    <t>PriceUpdateB</t>
  </si>
  <si>
    <t>UpdateC</t>
  </si>
  <si>
    <t>Overview</t>
  </si>
  <si>
    <t>Mkt Val</t>
  </si>
  <si>
    <t>Bal</t>
  </si>
  <si>
    <t>Available</t>
  </si>
  <si>
    <t>Budget</t>
  </si>
  <si>
    <t>DividendA</t>
  </si>
  <si>
    <t>Div</t>
  </si>
  <si>
    <t>Dividend</t>
  </si>
  <si>
    <t>SLPA</t>
  </si>
  <si>
    <t>SLP</t>
  </si>
  <si>
    <t>asset-roi.spec.ts</t>
  </si>
  <si>
    <t>ROI</t>
  </si>
  <si>
    <t>PT Allocation Edit: Edit asset PT, update allocation to &gt; 100, check error message, update allocation to less than 100, check warning message, update to 100, check warning is gone.</t>
  </si>
  <si>
    <t>PT Order Edit: Edit asset PT, update order to an existing order, check error message, check order did not change.</t>
  </si>
  <si>
    <t>PT Create. Create asset PT, check new PT has delete and edit links, check Transactions PT tab exists, add transaction with allocation for that PT so we create a wallet in that PT, go to Asset's page Profit Target area, check the PT doesn't show the delete option anymore.</t>
  </si>
  <si>
    <t>PT Delete. Delete asset PT, check confirmation dialog, check asset PT table: remaining PTs, new allocations. Check transactions page wallets PT tabs, old PT tab gone. New transaction, check PTs in modal, check new allocation defaults for the remaining PTs, edit to less than 100%, check error, edit to more than 100%, check error. Cancel.</t>
  </si>
  <si>
    <t>PT Value Edit: Edit asset PT, update value, update name to match the new value, check confirmation message, check Transaction's wallet tab for the updated PT, check the updated PT, checl %2PT.</t>
  </si>
  <si>
    <t>asset-pt-crud.spec.ts</t>
  </si>
  <si>
    <t>verifyDeleteButtons h|h|v</t>
  </si>
  <si>
    <t>verifyDeleteButtons h|h|h</t>
  </si>
  <si>
    <t>Delete targetSortOrder 3</t>
  </si>
  <si>
    <t>this tab should be gone</t>
  </si>
  <si>
    <t>Other operations, check json and spec.ts</t>
  </si>
  <si>
    <t>editPTValue</t>
  </si>
  <si>
    <t>transaction-buy-crud.spec.ts</t>
  </si>
  <si>
    <t>transaction-sell-crud.spec.ts</t>
  </si>
  <si>
    <t>transaction-split.spec.ts</t>
  </si>
  <si>
    <t>SellC</t>
  </si>
  <si>
    <t>EditSplitB to 2:1</t>
  </si>
  <si>
    <t>DelSellC</t>
  </si>
  <si>
    <t>DellSellC</t>
  </si>
  <si>
    <t>SellD</t>
  </si>
  <si>
    <t>DelSellD</t>
  </si>
  <si>
    <t>DellSellD</t>
  </si>
  <si>
    <t>DelSplitB</t>
  </si>
  <si>
    <t>EditSplitB</t>
  </si>
  <si>
    <t>asset-et-crud.spec.ts</t>
  </si>
  <si>
    <t>Add Buy, Div, SLP, Split, Sell then delete them in reverse order</t>
  </si>
  <si>
    <t>transaction-historical-reversal.spec.ts</t>
  </si>
  <si>
    <t>DivA</t>
  </si>
  <si>
    <t>Create BuyB</t>
  </si>
  <si>
    <t>Create BuyA</t>
  </si>
  <si>
    <t>DelSellA</t>
  </si>
  <si>
    <t>DelSplitA</t>
  </si>
  <si>
    <t>Del SLPA</t>
  </si>
  <si>
    <t>DelSLPA</t>
  </si>
  <si>
    <t>DelDivA</t>
  </si>
  <si>
    <t>DelBuyA</t>
  </si>
  <si>
    <t>Edit ET name and value, check ET table</t>
  </si>
  <si>
    <t>Create ET, check ET table</t>
  </si>
  <si>
    <t>Delete ET, check confirmation.</t>
  </si>
  <si>
    <t>EditETValue</t>
  </si>
  <si>
    <t xml:space="preserve"> </t>
  </si>
  <si>
    <t>Spread</t>
  </si>
  <si>
    <t>Execution Price</t>
  </si>
  <si>
    <t>Sell Fee</t>
  </si>
  <si>
    <t>Buy Fee</t>
  </si>
  <si>
    <t>P/L%</t>
  </si>
  <si>
    <t>check PL when Sell Fee vs non-Sell Fee</t>
  </si>
  <si>
    <t>BTC has buy Sell Feeission too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</si>
</sst>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0_);[Red]\(&quot;$&quot;#,##0\)"/>
    <numFmt numFmtId="8" formatCode="&quot;$&quot;#,##0.00_);[Red]\(&quot;$&quot;#,##0.00\)"/>
    <numFmt numFmtId="44" formatCode="_(&quot;$&quot;* #,##0.00_);_(&quot;$&quot;* \(#,##0.00\);_(&quot;$&quot;* &quot;-&quot;??_);_(@_)"/>
    <numFmt numFmtId="164" formatCode="&quot;$&quot;#,##0.00"/>
    <numFmt numFmtId="165" formatCode="&quot;$&quot;#,##0"/>
    <numFmt numFmtId="166" formatCode="0.00000"/>
    <numFmt numFmtId="167" formatCode="0.0000"/>
    <numFmt numFmtId="168" formatCode="0.0"/>
  </numFmts>
  <fonts count="32" x14ac:knownFonts="1">
    <font>
      <sz val="10"/>
      <color rgb="FF000000"/>
      <name val="Arial"/>
      <scheme val="minor"/>
    </font>
    <font>
      <sz val="10"/>
      <color theme="1"/>
      <name val="Arial"/>
      <family val="2"/>
      <scheme val="minor"/>
    </font>
    <font>
      <b/>
      <sz val="10"/>
      <color theme="1"/>
      <name val="Arial"/>
      <family val="2"/>
      <scheme val="minor"/>
    </font>
    <font>
      <sz val="10"/>
      <color theme="1"/>
      <name val="Arial"/>
      <family val="2"/>
    </font>
    <font>
      <b/>
      <sz val="10"/>
      <color theme="1"/>
      <name val="Arial"/>
      <family val="2"/>
    </font>
    <font>
      <strike/>
      <sz val="10"/>
      <color theme="1"/>
      <name val="Arial"/>
      <family val="2"/>
      <scheme val="minor"/>
    </font>
    <font>
      <sz val="10"/>
      <color rgb="FFFFFFFF"/>
      <name val="Arial"/>
      <family val="2"/>
    </font>
    <font>
      <strike/>
      <sz val="10"/>
      <color theme="1"/>
      <name val="Arial"/>
      <family val="2"/>
    </font>
    <font>
      <b/>
      <sz val="10"/>
      <color rgb="FF000000"/>
      <name val="Arial"/>
      <family val="2"/>
      <scheme val="minor"/>
    </font>
    <font>
      <b/>
      <sz val="10"/>
      <color theme="1"/>
      <name val="Arial"/>
      <family val="2"/>
      <scheme val="minor"/>
    </font>
    <font>
      <sz val="10"/>
      <color theme="1"/>
      <name val="Arial"/>
      <family val="2"/>
    </font>
    <font>
      <sz val="10"/>
      <color rgb="FF000000"/>
      <name val="Arial"/>
      <family val="2"/>
      <scheme val="minor"/>
    </font>
    <font>
      <sz val="10"/>
      <color rgb="FF000000"/>
      <name val="Arial"/>
      <family val="2"/>
      <scheme val="minor"/>
    </font>
    <font>
      <b/>
      <sz val="10"/>
      <color theme="1"/>
      <name val="Arial"/>
      <family val="2"/>
    </font>
    <font>
      <sz val="10"/>
      <color rgb="FFFFFFFF"/>
      <name val="Arial"/>
      <family val="2"/>
    </font>
    <font>
      <sz val="9"/>
      <color indexed="81"/>
      <name val="Tahoma"/>
      <family val="2"/>
    </font>
    <font>
      <b/>
      <sz val="9"/>
      <color indexed="81"/>
      <name val="Tahoma"/>
      <family val="2"/>
    </font>
    <font>
      <sz val="10"/>
      <color theme="0"/>
      <name val="Arial"/>
      <family val="2"/>
      <scheme val="minor"/>
    </font>
    <font>
      <sz val="10"/>
      <name val="Arial"/>
      <family val="2"/>
      <scheme val="minor"/>
    </font>
    <font>
      <sz val="10"/>
      <color rgb="FFFF0000"/>
      <name val="Arial"/>
      <family val="2"/>
      <scheme val="minor"/>
    </font>
    <font>
      <sz val="11"/>
      <name val="Consolas"/>
      <family val="3"/>
    </font>
    <font>
      <sz val="10"/>
      <color rgb="FF00B050"/>
      <name val="Arial"/>
      <family val="2"/>
      <scheme val="minor"/>
    </font>
    <font>
      <sz val="10"/>
      <color rgb="FFFFC000"/>
      <name val="Arial"/>
      <family val="2"/>
      <scheme val="minor"/>
    </font>
    <font>
      <strike/>
      <sz val="10"/>
      <color rgb="FF000000"/>
      <name val="Arial"/>
      <family val="2"/>
      <scheme val="minor"/>
    </font>
    <font>
      <strike/>
      <sz val="10"/>
      <color theme="1"/>
      <name val="Arial"/>
      <family val="2"/>
    </font>
    <font>
      <sz val="10"/>
      <color rgb="FF00B050"/>
      <name val="Arial"/>
      <family val="2"/>
    </font>
    <font>
      <sz val="10"/>
      <name val="Arial"/>
      <family val="2"/>
    </font>
    <font>
      <sz val="10"/>
      <color rgb="FF9A57CD"/>
      <name val="Arial"/>
      <family val="2"/>
      <scheme val="minor"/>
    </font>
    <font>
      <sz val="10"/>
      <color theme="0" tint="-0.499984740745262"/>
      <name val="Arial"/>
      <family val="2"/>
    </font>
    <font>
      <sz val="10"/>
      <color theme="6"/>
      <name val="Arial"/>
      <family val="2"/>
    </font>
    <font>
      <strike/>
      <sz val="10"/>
      <color rgb="FF00B050"/>
      <name val="Arial"/>
      <family val="2"/>
    </font>
    <font>
      <b/>
      <sz val="10"/>
      <name val="Arial"/>
      <family val="2"/>
      <scheme val="minor"/>
    </font>
  </fonts>
  <fills count="10">
    <fill>
      <patternFill patternType="none"/>
    </fill>
    <fill>
      <patternFill patternType="gray125"/>
    </fill>
    <fill>
      <patternFill patternType="solid">
        <fgColor rgb="FF073763"/>
        <bgColor rgb="FF073763"/>
      </patternFill>
    </fill>
    <fill>
      <patternFill patternType="solid">
        <fgColor theme="0" tint="-0.14999847407452621"/>
        <bgColor indexed="64"/>
      </patternFill>
    </fill>
    <fill>
      <patternFill patternType="solid">
        <fgColor rgb="FF002060"/>
        <bgColor rgb="FF073763"/>
      </patternFill>
    </fill>
    <fill>
      <patternFill patternType="solid">
        <fgColor rgb="FF92D050"/>
        <bgColor indexed="64"/>
      </patternFill>
    </fill>
    <fill>
      <patternFill patternType="solid">
        <fgColor rgb="FF002060"/>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rgb="FF00B0F0"/>
        <bgColor indexed="64"/>
      </patternFill>
    </fill>
  </fills>
  <borders count="1">
    <border>
      <left/>
      <right/>
      <top/>
      <bottom/>
      <diagonal/>
    </border>
  </borders>
  <cellStyleXfs count="3">
    <xf numFmtId="0" fontId="0" fillId="0" borderId="0"/>
    <xf numFmtId="9" fontId="12" fillId="0" borderId="0" applyFont="0" applyFill="0" applyBorder="0" applyAlignment="0" applyProtection="0"/>
    <xf numFmtId="44" fontId="12" fillId="0" borderId="0" applyFont="0" applyFill="0" applyBorder="0" applyAlignment="0" applyProtection="0"/>
  </cellStyleXfs>
  <cellXfs count="254">
    <xf numFmtId="0" fontId="0" fillId="0" borderId="0" xfId="0"/>
    <xf numFmtId="0" fontId="1" fillId="0" borderId="0" xfId="0" applyFont="1"/>
    <xf numFmtId="10" fontId="2" fillId="0" borderId="0" xfId="0" applyNumberFormat="1" applyFont="1"/>
    <xf numFmtId="164" fontId="2" fillId="0" borderId="0" xfId="0" applyNumberFormat="1" applyFont="1"/>
    <xf numFmtId="10" fontId="1" fillId="0" borderId="0" xfId="0" applyNumberFormat="1" applyFont="1"/>
    <xf numFmtId="165" fontId="1" fillId="0" borderId="0" xfId="0" applyNumberFormat="1" applyFont="1"/>
    <xf numFmtId="164" fontId="1" fillId="0" borderId="0" xfId="0" applyNumberFormat="1" applyFont="1"/>
    <xf numFmtId="165" fontId="2" fillId="0" borderId="0" xfId="0" applyNumberFormat="1" applyFont="1"/>
    <xf numFmtId="3" fontId="1" fillId="0" borderId="0" xfId="0" applyNumberFormat="1" applyFont="1"/>
    <xf numFmtId="4" fontId="1" fillId="0" borderId="0" xfId="0" applyNumberFormat="1" applyFont="1"/>
    <xf numFmtId="14" fontId="1" fillId="0" borderId="0" xfId="0" applyNumberFormat="1" applyFont="1"/>
    <xf numFmtId="2" fontId="1" fillId="0" borderId="0" xfId="0" applyNumberFormat="1" applyFont="1"/>
    <xf numFmtId="0" fontId="3" fillId="0" borderId="0" xfId="0" applyFont="1"/>
    <xf numFmtId="165" fontId="3" fillId="0" borderId="0" xfId="0" applyNumberFormat="1" applyFont="1" applyAlignment="1">
      <alignment horizontal="right"/>
    </xf>
    <xf numFmtId="0" fontId="4" fillId="0" borderId="0" xfId="0" applyFont="1"/>
    <xf numFmtId="164" fontId="4" fillId="0" borderId="0" xfId="0" applyNumberFormat="1" applyFont="1"/>
    <xf numFmtId="4" fontId="4" fillId="0" borderId="0" xfId="0" applyNumberFormat="1" applyFont="1"/>
    <xf numFmtId="2" fontId="4" fillId="0" borderId="0" xfId="0" applyNumberFormat="1" applyFont="1"/>
    <xf numFmtId="165" fontId="4" fillId="0" borderId="0" xfId="0" applyNumberFormat="1" applyFont="1"/>
    <xf numFmtId="3" fontId="4" fillId="0" borderId="0" xfId="0" applyNumberFormat="1" applyFont="1"/>
    <xf numFmtId="0" fontId="2" fillId="0" borderId="0" xfId="0" applyFont="1"/>
    <xf numFmtId="14" fontId="5" fillId="0" borderId="0" xfId="0" applyNumberFormat="1" applyFont="1"/>
    <xf numFmtId="0" fontId="5" fillId="0" borderId="0" xfId="0" applyFont="1"/>
    <xf numFmtId="164" fontId="5" fillId="0" borderId="0" xfId="0" applyNumberFormat="1" applyFont="1"/>
    <xf numFmtId="4" fontId="5" fillId="0" borderId="0" xfId="0" applyNumberFormat="1" applyFont="1"/>
    <xf numFmtId="2" fontId="5" fillId="0" borderId="0" xfId="0" applyNumberFormat="1" applyFont="1"/>
    <xf numFmtId="165" fontId="5" fillId="0" borderId="0" xfId="0" applyNumberFormat="1" applyFont="1"/>
    <xf numFmtId="49" fontId="1" fillId="0" borderId="0" xfId="0" applyNumberFormat="1" applyFont="1"/>
    <xf numFmtId="0" fontId="6" fillId="2" borderId="0" xfId="0" applyFont="1" applyFill="1"/>
    <xf numFmtId="9" fontId="3" fillId="0" borderId="0" xfId="0" applyNumberFormat="1" applyFont="1" applyAlignment="1">
      <alignment horizontal="right"/>
    </xf>
    <xf numFmtId="166" fontId="3" fillId="0" borderId="0" xfId="0" applyNumberFormat="1" applyFont="1" applyAlignment="1">
      <alignment horizontal="right"/>
    </xf>
    <xf numFmtId="165" fontId="0" fillId="0" borderId="0" xfId="0" applyNumberFormat="1"/>
    <xf numFmtId="166" fontId="0" fillId="0" borderId="0" xfId="0" applyNumberFormat="1"/>
    <xf numFmtId="6" fontId="0" fillId="0" borderId="0" xfId="0" applyNumberFormat="1"/>
    <xf numFmtId="0" fontId="8" fillId="0" borderId="0" xfId="0" applyFont="1"/>
    <xf numFmtId="0" fontId="0" fillId="3" borderId="0" xfId="0" applyFill="1"/>
    <xf numFmtId="6" fontId="0" fillId="3" borderId="0" xfId="0" applyNumberFormat="1" applyFill="1"/>
    <xf numFmtId="9" fontId="3" fillId="3" borderId="0" xfId="0" applyNumberFormat="1" applyFont="1" applyFill="1" applyAlignment="1">
      <alignment horizontal="right"/>
    </xf>
    <xf numFmtId="165" fontId="0" fillId="3" borderId="0" xfId="0" applyNumberFormat="1" applyFill="1"/>
    <xf numFmtId="166" fontId="0" fillId="3" borderId="0" xfId="0" applyNumberFormat="1" applyFill="1"/>
    <xf numFmtId="8" fontId="0" fillId="3" borderId="0" xfId="0" applyNumberFormat="1" applyFill="1"/>
    <xf numFmtId="0" fontId="3" fillId="3" borderId="0" xfId="0" applyFont="1" applyFill="1"/>
    <xf numFmtId="165" fontId="3" fillId="3" borderId="0" xfId="0" applyNumberFormat="1" applyFont="1" applyFill="1" applyAlignment="1">
      <alignment horizontal="right"/>
    </xf>
    <xf numFmtId="166" fontId="3" fillId="3" borderId="0" xfId="0" applyNumberFormat="1" applyFont="1" applyFill="1" applyAlignment="1">
      <alignment horizontal="right"/>
    </xf>
    <xf numFmtId="167" fontId="0" fillId="0" borderId="0" xfId="0" applyNumberFormat="1"/>
    <xf numFmtId="0" fontId="11" fillId="0" borderId="0" xfId="0" applyFont="1"/>
    <xf numFmtId="0" fontId="10" fillId="0" borderId="0" xfId="0" applyFont="1"/>
    <xf numFmtId="0" fontId="11" fillId="3" borderId="0" xfId="0" applyFont="1" applyFill="1"/>
    <xf numFmtId="167" fontId="0" fillId="3" borderId="0" xfId="0" applyNumberFormat="1" applyFill="1"/>
    <xf numFmtId="165" fontId="0" fillId="0" borderId="0" xfId="0" quotePrefix="1" applyNumberFormat="1"/>
    <xf numFmtId="2" fontId="0" fillId="0" borderId="0" xfId="0" applyNumberFormat="1"/>
    <xf numFmtId="2" fontId="0" fillId="3" borderId="0" xfId="0" applyNumberFormat="1" applyFill="1"/>
    <xf numFmtId="8" fontId="0" fillId="0" borderId="0" xfId="0" applyNumberFormat="1"/>
    <xf numFmtId="9" fontId="0" fillId="0" borderId="0" xfId="1" applyFont="1"/>
    <xf numFmtId="10" fontId="0" fillId="0" borderId="0" xfId="1" applyNumberFormat="1" applyFont="1"/>
    <xf numFmtId="10" fontId="0" fillId="3" borderId="0" xfId="1" applyNumberFormat="1" applyFont="1" applyFill="1"/>
    <xf numFmtId="0" fontId="13" fillId="0" borderId="0" xfId="0" applyFont="1"/>
    <xf numFmtId="0" fontId="14" fillId="2" borderId="0" xfId="0" applyFont="1" applyFill="1"/>
    <xf numFmtId="2" fontId="3" fillId="0" borderId="0" xfId="0" applyNumberFormat="1" applyFont="1" applyAlignment="1">
      <alignment horizontal="right"/>
    </xf>
    <xf numFmtId="2" fontId="3" fillId="3" borderId="0" xfId="0" applyNumberFormat="1" applyFont="1" applyFill="1" applyAlignment="1">
      <alignment horizontal="right"/>
    </xf>
    <xf numFmtId="0" fontId="6" fillId="0" borderId="0" xfId="0" applyFont="1"/>
    <xf numFmtId="0" fontId="6" fillId="4" borderId="0" xfId="0" applyFont="1" applyFill="1"/>
    <xf numFmtId="10" fontId="0" fillId="0" borderId="0" xfId="1" applyNumberFormat="1" applyFont="1" applyFill="1"/>
    <xf numFmtId="164" fontId="0" fillId="0" borderId="0" xfId="0" applyNumberFormat="1"/>
    <xf numFmtId="10" fontId="11" fillId="0" borderId="0" xfId="1" applyNumberFormat="1" applyFont="1"/>
    <xf numFmtId="164" fontId="0" fillId="3" borderId="0" xfId="0" applyNumberFormat="1" applyFill="1"/>
    <xf numFmtId="0" fontId="9" fillId="5" borderId="0" xfId="0" applyFont="1" applyFill="1"/>
    <xf numFmtId="9" fontId="0" fillId="0" borderId="0" xfId="0" applyNumberFormat="1"/>
    <xf numFmtId="0" fontId="0" fillId="0" borderId="0" xfId="0" applyAlignment="1">
      <alignment horizontal="right"/>
    </xf>
    <xf numFmtId="0" fontId="17" fillId="6" borderId="0" xfId="0" applyFont="1" applyFill="1" applyAlignment="1">
      <alignment horizontal="right"/>
    </xf>
    <xf numFmtId="0" fontId="17" fillId="6" borderId="0" xfId="0" applyFont="1" applyFill="1"/>
    <xf numFmtId="14" fontId="0" fillId="7" borderId="0" xfId="0" applyNumberFormat="1" applyFill="1" applyAlignment="1">
      <alignment vertical="top"/>
    </xf>
    <xf numFmtId="0" fontId="0" fillId="7" borderId="0" xfId="0" applyFill="1" applyAlignment="1">
      <alignment vertical="top"/>
    </xf>
    <xf numFmtId="6" fontId="0" fillId="7" borderId="0" xfId="0" applyNumberFormat="1" applyFill="1" applyAlignment="1">
      <alignment vertical="top"/>
    </xf>
    <xf numFmtId="0" fontId="11" fillId="7" borderId="0" xfId="0" applyFont="1" applyFill="1" applyAlignment="1">
      <alignment vertical="top"/>
    </xf>
    <xf numFmtId="168" fontId="0" fillId="7" borderId="0" xfId="0" applyNumberFormat="1" applyFill="1" applyAlignment="1">
      <alignment vertical="top"/>
    </xf>
    <xf numFmtId="0" fontId="17" fillId="0" borderId="0" xfId="0" applyFont="1"/>
    <xf numFmtId="10" fontId="0" fillId="7" borderId="0" xfId="1" applyNumberFormat="1" applyFont="1" applyFill="1" applyAlignment="1">
      <alignment vertical="top" wrapText="1"/>
    </xf>
    <xf numFmtId="14" fontId="0" fillId="8" borderId="0" xfId="0" applyNumberFormat="1" applyFill="1" applyAlignment="1">
      <alignment vertical="top"/>
    </xf>
    <xf numFmtId="0" fontId="0" fillId="8" borderId="0" xfId="0" applyFill="1" applyAlignment="1">
      <alignment vertical="top"/>
    </xf>
    <xf numFmtId="0" fontId="11" fillId="8" borderId="0" xfId="0" applyFont="1" applyFill="1" applyAlignment="1">
      <alignment vertical="top"/>
    </xf>
    <xf numFmtId="6" fontId="0" fillId="8" borderId="0" xfId="0" applyNumberFormat="1" applyFill="1" applyAlignment="1">
      <alignment vertical="top"/>
    </xf>
    <xf numFmtId="168" fontId="0" fillId="8" borderId="0" xfId="0" applyNumberFormat="1" applyFill="1" applyAlignment="1">
      <alignment vertical="top"/>
    </xf>
    <xf numFmtId="168" fontId="11" fillId="8" borderId="0" xfId="0" applyNumberFormat="1" applyFont="1" applyFill="1" applyAlignment="1">
      <alignment vertical="top"/>
    </xf>
    <xf numFmtId="6" fontId="18" fillId="8" borderId="0" xfId="0" applyNumberFormat="1" applyFont="1" applyFill="1" applyAlignment="1">
      <alignment vertical="top"/>
    </xf>
    <xf numFmtId="10" fontId="0" fillId="8" borderId="0" xfId="1" applyNumberFormat="1" applyFont="1" applyFill="1" applyAlignment="1">
      <alignment vertical="top" wrapText="1"/>
    </xf>
    <xf numFmtId="2" fontId="0" fillId="8" borderId="0" xfId="0" applyNumberFormat="1" applyFill="1" applyAlignment="1">
      <alignment vertical="top"/>
    </xf>
    <xf numFmtId="2" fontId="0" fillId="7" borderId="0" xfId="0" applyNumberFormat="1" applyFill="1" applyAlignment="1">
      <alignment vertical="top"/>
    </xf>
    <xf numFmtId="2" fontId="11" fillId="8" borderId="0" xfId="0" applyNumberFormat="1" applyFont="1" applyFill="1" applyAlignment="1">
      <alignment vertical="top"/>
    </xf>
    <xf numFmtId="8" fontId="0" fillId="8" borderId="0" xfId="0" applyNumberFormat="1" applyFill="1" applyAlignment="1">
      <alignment vertical="top"/>
    </xf>
    <xf numFmtId="8" fontId="0" fillId="7" borderId="0" xfId="0" applyNumberFormat="1" applyFill="1" applyAlignment="1">
      <alignment vertical="top"/>
    </xf>
    <xf numFmtId="8" fontId="18" fillId="8" borderId="0" xfId="0" applyNumberFormat="1" applyFont="1" applyFill="1" applyAlignment="1">
      <alignment vertical="top"/>
    </xf>
    <xf numFmtId="0" fontId="0" fillId="0" borderId="0" xfId="0" quotePrefix="1"/>
    <xf numFmtId="44" fontId="0" fillId="0" borderId="0" xfId="2" applyFont="1"/>
    <xf numFmtId="44" fontId="0" fillId="0" borderId="0" xfId="1" applyNumberFormat="1" applyFont="1"/>
    <xf numFmtId="10" fontId="0" fillId="0" borderId="0" xfId="0" applyNumberFormat="1"/>
    <xf numFmtId="0" fontId="11" fillId="0" borderId="0" xfId="0" quotePrefix="1" applyFont="1"/>
    <xf numFmtId="164" fontId="0" fillId="0" borderId="0" xfId="2" applyNumberFormat="1" applyFont="1"/>
    <xf numFmtId="14" fontId="0" fillId="0" borderId="0" xfId="0" applyNumberFormat="1"/>
    <xf numFmtId="6" fontId="11" fillId="0" borderId="0" xfId="0" applyNumberFormat="1" applyFont="1"/>
    <xf numFmtId="10" fontId="11" fillId="0" borderId="0" xfId="1" applyNumberFormat="1" applyFont="1" applyAlignment="1">
      <alignment wrapText="1"/>
    </xf>
    <xf numFmtId="0" fontId="14" fillId="0" borderId="0" xfId="0" applyFont="1"/>
    <xf numFmtId="165" fontId="11" fillId="0" borderId="0" xfId="0" applyNumberFormat="1" applyFont="1"/>
    <xf numFmtId="10" fontId="11" fillId="0" borderId="0" xfId="1" applyNumberFormat="1" applyFont="1" applyFill="1"/>
    <xf numFmtId="166" fontId="11" fillId="0" borderId="0" xfId="0" applyNumberFormat="1" applyFont="1"/>
    <xf numFmtId="0" fontId="0" fillId="3" borderId="0" xfId="0" quotePrefix="1" applyFill="1"/>
    <xf numFmtId="10" fontId="19" fillId="3" borderId="0" xfId="1" applyNumberFormat="1" applyFont="1" applyFill="1"/>
    <xf numFmtId="10" fontId="19" fillId="3" borderId="0" xfId="1" applyNumberFormat="1" applyFont="1" applyFill="1" applyAlignment="1">
      <alignment wrapText="1"/>
    </xf>
    <xf numFmtId="10" fontId="18" fillId="0" borderId="0" xfId="1" applyNumberFormat="1" applyFont="1" applyFill="1"/>
    <xf numFmtId="0" fontId="9" fillId="0" borderId="0" xfId="0" applyFont="1"/>
    <xf numFmtId="0" fontId="18" fillId="0" borderId="0" xfId="0" applyFont="1"/>
    <xf numFmtId="0" fontId="20" fillId="0" borderId="0" xfId="0" quotePrefix="1" applyFont="1" applyAlignment="1">
      <alignment vertical="center"/>
    </xf>
    <xf numFmtId="0" fontId="18" fillId="0" borderId="0" xfId="0" quotePrefix="1" applyFont="1"/>
    <xf numFmtId="10" fontId="21" fillId="0" borderId="0" xfId="1" applyNumberFormat="1" applyFont="1" applyFill="1"/>
    <xf numFmtId="10" fontId="21" fillId="3" borderId="0" xfId="1" applyNumberFormat="1" applyFont="1" applyFill="1"/>
    <xf numFmtId="10" fontId="22" fillId="3" borderId="0" xfId="1" applyNumberFormat="1" applyFont="1" applyFill="1"/>
    <xf numFmtId="10" fontId="18" fillId="3" borderId="0" xfId="1" applyNumberFormat="1" applyFont="1" applyFill="1"/>
    <xf numFmtId="10" fontId="21" fillId="0" borderId="0" xfId="1" applyNumberFormat="1" applyFont="1"/>
    <xf numFmtId="8" fontId="21" fillId="0" borderId="0" xfId="0" applyNumberFormat="1" applyFont="1"/>
    <xf numFmtId="8" fontId="21" fillId="3" borderId="0" xfId="0" applyNumberFormat="1" applyFont="1" applyFill="1"/>
    <xf numFmtId="0" fontId="21" fillId="0" borderId="0" xfId="0" applyFont="1"/>
    <xf numFmtId="6" fontId="11" fillId="3" borderId="0" xfId="0" applyNumberFormat="1" applyFont="1" applyFill="1"/>
    <xf numFmtId="164" fontId="3" fillId="0" borderId="0" xfId="0" applyNumberFormat="1" applyFont="1" applyAlignment="1">
      <alignment horizontal="right"/>
    </xf>
    <xf numFmtId="164" fontId="3" fillId="0" borderId="0" xfId="2" applyNumberFormat="1" applyFont="1" applyAlignment="1">
      <alignment horizontal="right"/>
    </xf>
    <xf numFmtId="10" fontId="3" fillId="0" borderId="0" xfId="0" applyNumberFormat="1" applyFont="1" applyAlignment="1">
      <alignment horizontal="right"/>
    </xf>
    <xf numFmtId="10" fontId="0" fillId="3" borderId="0" xfId="0" applyNumberFormat="1" applyFill="1"/>
    <xf numFmtId="164" fontId="3" fillId="3" borderId="0" xfId="0" applyNumberFormat="1" applyFont="1" applyFill="1" applyAlignment="1">
      <alignment horizontal="right"/>
    </xf>
    <xf numFmtId="164" fontId="3" fillId="3" borderId="0" xfId="0" quotePrefix="1" applyNumberFormat="1" applyFont="1" applyFill="1" applyAlignment="1">
      <alignment horizontal="right"/>
    </xf>
    <xf numFmtId="164" fontId="3" fillId="3" borderId="0" xfId="2" applyNumberFormat="1" applyFont="1" applyFill="1" applyAlignment="1">
      <alignment horizontal="right"/>
    </xf>
    <xf numFmtId="10" fontId="3" fillId="3" borderId="0" xfId="0" applyNumberFormat="1" applyFont="1" applyFill="1" applyAlignment="1">
      <alignment horizontal="right"/>
    </xf>
    <xf numFmtId="49" fontId="10" fillId="0" borderId="0" xfId="0" applyNumberFormat="1" applyFont="1"/>
    <xf numFmtId="49" fontId="3" fillId="0" borderId="0" xfId="0" applyNumberFormat="1" applyFont="1"/>
    <xf numFmtId="49" fontId="10" fillId="3" borderId="0" xfId="0" applyNumberFormat="1" applyFont="1" applyFill="1"/>
    <xf numFmtId="10" fontId="11" fillId="0" borderId="0" xfId="0" applyNumberFormat="1" applyFont="1"/>
    <xf numFmtId="10" fontId="11" fillId="3" borderId="0" xfId="0" applyNumberFormat="1" applyFont="1" applyFill="1"/>
    <xf numFmtId="164" fontId="3" fillId="3" borderId="0" xfId="0" applyNumberFormat="1" applyFont="1" applyFill="1"/>
    <xf numFmtId="166" fontId="3" fillId="3" borderId="0" xfId="0" applyNumberFormat="1" applyFont="1" applyFill="1"/>
    <xf numFmtId="164" fontId="3" fillId="0" borderId="0" xfId="0" applyNumberFormat="1" applyFont="1"/>
    <xf numFmtId="166" fontId="3" fillId="0" borderId="0" xfId="0" applyNumberFormat="1" applyFont="1"/>
    <xf numFmtId="165" fontId="7" fillId="0" borderId="0" xfId="0" applyNumberFormat="1" applyFont="1" applyAlignment="1">
      <alignment horizontal="right"/>
    </xf>
    <xf numFmtId="166" fontId="7" fillId="0" borderId="0" xfId="0" applyNumberFormat="1" applyFont="1" applyAlignment="1">
      <alignment horizontal="right"/>
    </xf>
    <xf numFmtId="166" fontId="10" fillId="3" borderId="0" xfId="0" applyNumberFormat="1" applyFont="1" applyFill="1" applyAlignment="1">
      <alignment horizontal="right"/>
    </xf>
    <xf numFmtId="164" fontId="10" fillId="3" borderId="0" xfId="0" applyNumberFormat="1" applyFont="1" applyFill="1" applyAlignment="1">
      <alignment horizontal="right"/>
    </xf>
    <xf numFmtId="10" fontId="10" fillId="3" borderId="0" xfId="1" applyNumberFormat="1" applyFont="1" applyFill="1" applyAlignment="1">
      <alignment horizontal="right"/>
    </xf>
    <xf numFmtId="165" fontId="3" fillId="3" borderId="0" xfId="0" quotePrefix="1" applyNumberFormat="1" applyFont="1" applyFill="1" applyAlignment="1">
      <alignment horizontal="right"/>
    </xf>
    <xf numFmtId="166" fontId="11" fillId="3" borderId="0" xfId="0" applyNumberFormat="1" applyFont="1" applyFill="1"/>
    <xf numFmtId="0" fontId="23" fillId="0" borderId="0" xfId="0" applyFont="1"/>
    <xf numFmtId="8" fontId="23" fillId="0" borderId="0" xfId="0" applyNumberFormat="1" applyFont="1"/>
    <xf numFmtId="10" fontId="24" fillId="0" borderId="0" xfId="0" applyNumberFormat="1" applyFont="1" applyAlignment="1">
      <alignment horizontal="right"/>
    </xf>
    <xf numFmtId="10" fontId="23" fillId="0" borderId="0" xfId="0" applyNumberFormat="1" applyFont="1"/>
    <xf numFmtId="0" fontId="11" fillId="0" borderId="0" xfId="0" applyFont="1" applyAlignment="1">
      <alignment wrapText="1"/>
    </xf>
    <xf numFmtId="10" fontId="3" fillId="3" borderId="0" xfId="1" quotePrefix="1" applyNumberFormat="1" applyFont="1" applyFill="1" applyAlignment="1">
      <alignment horizontal="right"/>
    </xf>
    <xf numFmtId="164" fontId="3" fillId="0" borderId="0" xfId="0" quotePrefix="1" applyNumberFormat="1" applyFont="1" applyAlignment="1">
      <alignment horizontal="center"/>
    </xf>
    <xf numFmtId="164" fontId="3" fillId="3" borderId="0" xfId="0" quotePrefix="1" applyNumberFormat="1" applyFont="1" applyFill="1" applyAlignment="1">
      <alignment horizontal="center"/>
    </xf>
    <xf numFmtId="0" fontId="3" fillId="0" borderId="0" xfId="0" applyFont="1" applyAlignment="1">
      <alignment horizontal="center"/>
    </xf>
    <xf numFmtId="165" fontId="3" fillId="0" borderId="0" xfId="0" quotePrefix="1" applyNumberFormat="1" applyFont="1" applyAlignment="1">
      <alignment horizontal="center"/>
    </xf>
    <xf numFmtId="10" fontId="25" fillId="3" borderId="0" xfId="0" applyNumberFormat="1" applyFont="1" applyFill="1" applyAlignment="1">
      <alignment horizontal="right"/>
    </xf>
    <xf numFmtId="164" fontId="3" fillId="0" borderId="0" xfId="2" applyNumberFormat="1" applyFont="1" applyFill="1" applyAlignment="1">
      <alignment horizontal="right"/>
    </xf>
    <xf numFmtId="164" fontId="3" fillId="0" borderId="0" xfId="0" quotePrefix="1" applyNumberFormat="1" applyFont="1" applyAlignment="1">
      <alignment horizontal="right"/>
    </xf>
    <xf numFmtId="165" fontId="3" fillId="0" borderId="0" xfId="0" quotePrefix="1" applyNumberFormat="1" applyFont="1" applyAlignment="1">
      <alignment horizontal="right"/>
    </xf>
    <xf numFmtId="10" fontId="3" fillId="0" borderId="0" xfId="1" quotePrefix="1" applyNumberFormat="1" applyFont="1" applyAlignment="1">
      <alignment horizontal="center"/>
    </xf>
    <xf numFmtId="10" fontId="3" fillId="0" borderId="0" xfId="1" quotePrefix="1" applyNumberFormat="1" applyFont="1" applyFill="1" applyAlignment="1">
      <alignment horizontal="center"/>
    </xf>
    <xf numFmtId="164" fontId="24" fillId="0" borderId="0" xfId="0" applyNumberFormat="1" applyFont="1" applyAlignment="1">
      <alignment horizontal="right"/>
    </xf>
    <xf numFmtId="166" fontId="24" fillId="0" borderId="0" xfId="0" applyNumberFormat="1" applyFont="1" applyAlignment="1">
      <alignment horizontal="right"/>
    </xf>
    <xf numFmtId="164" fontId="24" fillId="0" borderId="0" xfId="2" applyNumberFormat="1" applyFont="1" applyAlignment="1">
      <alignment horizontal="right"/>
    </xf>
    <xf numFmtId="164" fontId="25" fillId="0" borderId="0" xfId="0" applyNumberFormat="1" applyFont="1" applyAlignment="1">
      <alignment horizontal="right"/>
    </xf>
    <xf numFmtId="0" fontId="23" fillId="3" borderId="0" xfId="0" applyFont="1" applyFill="1"/>
    <xf numFmtId="8" fontId="23" fillId="3" borderId="0" xfId="0" applyNumberFormat="1" applyFont="1" applyFill="1"/>
    <xf numFmtId="10" fontId="24" fillId="3" borderId="0" xfId="0" applyNumberFormat="1" applyFont="1" applyFill="1" applyAlignment="1">
      <alignment horizontal="right"/>
    </xf>
    <xf numFmtId="10" fontId="23" fillId="3" borderId="0" xfId="0" applyNumberFormat="1" applyFont="1" applyFill="1"/>
    <xf numFmtId="166" fontId="7" fillId="3" borderId="0" xfId="0" applyNumberFormat="1" applyFont="1" applyFill="1" applyAlignment="1">
      <alignment horizontal="right"/>
    </xf>
    <xf numFmtId="164" fontId="25" fillId="3" borderId="0" xfId="0" applyNumberFormat="1" applyFont="1" applyFill="1" applyAlignment="1">
      <alignment horizontal="right"/>
    </xf>
    <xf numFmtId="2" fontId="11" fillId="3" borderId="0" xfId="0" applyNumberFormat="1" applyFont="1" applyFill="1"/>
    <xf numFmtId="49" fontId="24" fillId="3" borderId="0" xfId="0" applyNumberFormat="1" applyFont="1" applyFill="1"/>
    <xf numFmtId="164" fontId="24" fillId="3" borderId="0" xfId="0" applyNumberFormat="1" applyFont="1" applyFill="1" applyAlignment="1">
      <alignment horizontal="right"/>
    </xf>
    <xf numFmtId="166" fontId="24" fillId="3" borderId="0" xfId="0" applyNumberFormat="1" applyFont="1" applyFill="1" applyAlignment="1">
      <alignment horizontal="right"/>
    </xf>
    <xf numFmtId="10" fontId="10" fillId="3" borderId="0" xfId="0" applyNumberFormat="1" applyFont="1" applyFill="1" applyAlignment="1">
      <alignment horizontal="right"/>
    </xf>
    <xf numFmtId="0" fontId="18" fillId="3" borderId="0" xfId="0" applyFont="1" applyFill="1"/>
    <xf numFmtId="0" fontId="8" fillId="9" borderId="0" xfId="0" applyFont="1" applyFill="1"/>
    <xf numFmtId="0" fontId="9" fillId="9" borderId="0" xfId="0" applyFont="1" applyFill="1"/>
    <xf numFmtId="164" fontId="27" fillId="0" borderId="0" xfId="0" applyNumberFormat="1" applyFont="1"/>
    <xf numFmtId="1" fontId="28" fillId="0" borderId="0" xfId="0" applyNumberFormat="1" applyFont="1" applyAlignment="1">
      <alignment horizontal="right"/>
    </xf>
    <xf numFmtId="0" fontId="11" fillId="3" borderId="0" xfId="0" applyFont="1" applyFill="1" applyAlignment="1">
      <alignment wrapText="1"/>
    </xf>
    <xf numFmtId="164" fontId="27" fillId="3" borderId="0" xfId="0" applyNumberFormat="1" applyFont="1" applyFill="1"/>
    <xf numFmtId="1" fontId="28" fillId="3" borderId="0" xfId="0" applyNumberFormat="1" applyFont="1" applyFill="1" applyAlignment="1">
      <alignment horizontal="right"/>
    </xf>
    <xf numFmtId="10" fontId="25" fillId="0" borderId="0" xfId="1" applyNumberFormat="1" applyFont="1" applyFill="1" applyAlignment="1">
      <alignment horizontal="right"/>
    </xf>
    <xf numFmtId="10" fontId="25" fillId="0" borderId="0" xfId="0" applyNumberFormat="1" applyFont="1" applyAlignment="1">
      <alignment horizontal="right"/>
    </xf>
    <xf numFmtId="10" fontId="25" fillId="3" borderId="0" xfId="1" applyNumberFormat="1" applyFont="1" applyFill="1" applyAlignment="1">
      <alignment horizontal="right"/>
    </xf>
    <xf numFmtId="10" fontId="29" fillId="3" borderId="0" xfId="0" applyNumberFormat="1" applyFont="1" applyFill="1" applyAlignment="1">
      <alignment horizontal="right"/>
    </xf>
    <xf numFmtId="10" fontId="29" fillId="3" borderId="0" xfId="1" applyNumberFormat="1" applyFont="1" applyFill="1" applyAlignment="1">
      <alignment horizontal="right"/>
    </xf>
    <xf numFmtId="10" fontId="26" fillId="0" borderId="0" xfId="1" applyNumberFormat="1" applyFont="1" applyAlignment="1">
      <alignment horizontal="right"/>
    </xf>
    <xf numFmtId="10" fontId="29" fillId="0" borderId="0" xfId="0" applyNumberFormat="1" applyFont="1" applyAlignment="1">
      <alignment horizontal="right"/>
    </xf>
    <xf numFmtId="10" fontId="29" fillId="0" borderId="0" xfId="1" applyNumberFormat="1" applyFont="1" applyFill="1" applyAlignment="1">
      <alignment horizontal="right"/>
    </xf>
    <xf numFmtId="164" fontId="24" fillId="0" borderId="0" xfId="2" applyNumberFormat="1" applyFont="1" applyFill="1" applyAlignment="1">
      <alignment horizontal="right"/>
    </xf>
    <xf numFmtId="10" fontId="30" fillId="0" borderId="0" xfId="0" applyNumberFormat="1" applyFont="1" applyAlignment="1">
      <alignment horizontal="right"/>
    </xf>
    <xf numFmtId="0" fontId="31" fillId="5" borderId="0" xfId="0" applyFont="1" applyFill="1" applyAlignment="1">
      <alignment wrapText="1"/>
    </xf>
    <xf numFmtId="164" fontId="10" fillId="0" borderId="0" xfId="0" applyNumberFormat="1" applyFont="1"/>
    <xf numFmtId="10" fontId="3" fillId="0" borderId="0" xfId="1" applyNumberFormat="1" applyFont="1" applyAlignment="1">
      <alignment horizontal="right"/>
    </xf>
    <xf numFmtId="164" fontId="10" fillId="3" borderId="0" xfId="0" applyNumberFormat="1" applyFont="1" applyFill="1" applyAlignment="1">
      <alignment horizontal="left"/>
    </xf>
    <xf numFmtId="10" fontId="3" fillId="3" borderId="0" xfId="1" quotePrefix="1" applyNumberFormat="1" applyFont="1" applyFill="1" applyAlignment="1">
      <alignment horizontal="center"/>
    </xf>
    <xf numFmtId="164" fontId="11" fillId="3" borderId="0" xfId="0" applyNumberFormat="1" applyFont="1" applyFill="1"/>
    <xf numFmtId="164" fontId="10" fillId="3" borderId="0" xfId="0" applyNumberFormat="1" applyFont="1" applyFill="1"/>
    <xf numFmtId="10" fontId="3" fillId="3" borderId="0" xfId="1" applyNumberFormat="1" applyFont="1" applyFill="1" applyAlignment="1">
      <alignment horizontal="right"/>
    </xf>
    <xf numFmtId="49" fontId="3" fillId="3" borderId="0" xfId="0" applyNumberFormat="1" applyFont="1" applyFill="1"/>
    <xf numFmtId="164" fontId="10" fillId="0" borderId="0" xfId="0" applyNumberFormat="1" applyFont="1" applyAlignment="1">
      <alignment horizontal="left"/>
    </xf>
    <xf numFmtId="164" fontId="11" fillId="0" borderId="0" xfId="0" applyNumberFormat="1" applyFont="1"/>
    <xf numFmtId="10" fontId="3" fillId="0" borderId="0" xfId="1" applyNumberFormat="1" applyFont="1" applyFill="1" applyAlignment="1">
      <alignment horizontal="right"/>
    </xf>
    <xf numFmtId="44" fontId="0" fillId="0" borderId="0" xfId="2" applyFont="1" applyFill="1"/>
    <xf numFmtId="0" fontId="8" fillId="5" borderId="0" xfId="0" applyFont="1" applyFill="1" applyAlignment="1">
      <alignment wrapText="1"/>
    </xf>
    <xf numFmtId="9" fontId="0" fillId="3" borderId="0" xfId="0" applyNumberFormat="1" applyFill="1"/>
    <xf numFmtId="44" fontId="0" fillId="3" borderId="0" xfId="2" applyFont="1" applyFill="1"/>
    <xf numFmtId="10" fontId="3" fillId="0" borderId="0" xfId="1" quotePrefix="1" applyNumberFormat="1" applyFont="1" applyFill="1" applyAlignment="1">
      <alignment horizontal="right"/>
    </xf>
    <xf numFmtId="165" fontId="7" fillId="3" borderId="0" xfId="0" applyNumberFormat="1" applyFont="1" applyFill="1" applyAlignment="1">
      <alignment horizontal="right"/>
    </xf>
    <xf numFmtId="1" fontId="11" fillId="3" borderId="0" xfId="0" applyNumberFormat="1" applyFont="1" applyFill="1"/>
    <xf numFmtId="10" fontId="24" fillId="0" borderId="0" xfId="1" quotePrefix="1" applyNumberFormat="1" applyFont="1" applyFill="1" applyAlignment="1">
      <alignment horizontal="center"/>
    </xf>
    <xf numFmtId="49" fontId="24" fillId="0" borderId="0" xfId="0" applyNumberFormat="1" applyFont="1"/>
    <xf numFmtId="164" fontId="24" fillId="0" borderId="0" xfId="0" quotePrefix="1" applyNumberFormat="1" applyFont="1" applyAlignment="1">
      <alignment horizontal="center"/>
    </xf>
    <xf numFmtId="164" fontId="24" fillId="3" borderId="0" xfId="0" quotePrefix="1" applyNumberFormat="1" applyFont="1" applyFill="1" applyAlignment="1">
      <alignment horizontal="center"/>
    </xf>
    <xf numFmtId="10" fontId="24" fillId="3" borderId="0" xfId="1" quotePrefix="1" applyNumberFormat="1" applyFont="1" applyFill="1" applyAlignment="1">
      <alignment horizontal="center"/>
    </xf>
    <xf numFmtId="164" fontId="26" fillId="0" borderId="0" xfId="0" applyNumberFormat="1" applyFont="1" applyAlignment="1">
      <alignment horizontal="right"/>
    </xf>
    <xf numFmtId="164" fontId="24" fillId="0" borderId="0" xfId="0" quotePrefix="1" applyNumberFormat="1" applyFont="1" applyAlignment="1">
      <alignment horizontal="right"/>
    </xf>
    <xf numFmtId="10" fontId="24" fillId="0" borderId="0" xfId="1" quotePrefix="1" applyNumberFormat="1" applyFont="1" applyFill="1" applyAlignment="1">
      <alignment horizontal="right"/>
    </xf>
    <xf numFmtId="0" fontId="10" fillId="3" borderId="0" xfId="0" applyFont="1" applyFill="1"/>
    <xf numFmtId="164" fontId="3" fillId="3" borderId="0" xfId="0" applyNumberFormat="1" applyFont="1" applyFill="1" applyAlignment="1">
      <alignment horizontal="center"/>
    </xf>
    <xf numFmtId="0" fontId="24" fillId="0" borderId="0" xfId="0" applyFont="1"/>
    <xf numFmtId="1" fontId="3" fillId="0" borderId="0" xfId="0" applyNumberFormat="1" applyFont="1" applyAlignment="1">
      <alignment horizontal="right"/>
    </xf>
    <xf numFmtId="10" fontId="7" fillId="0" borderId="0" xfId="1" quotePrefix="1" applyNumberFormat="1" applyFont="1" applyFill="1" applyAlignment="1">
      <alignment horizontal="center"/>
    </xf>
    <xf numFmtId="164" fontId="7" fillId="3" borderId="0" xfId="0" applyNumberFormat="1" applyFont="1" applyFill="1" applyAlignment="1">
      <alignment horizontal="right"/>
    </xf>
    <xf numFmtId="164" fontId="7" fillId="3" borderId="0" xfId="0" quotePrefix="1" applyNumberFormat="1" applyFont="1" applyFill="1" applyAlignment="1">
      <alignment horizontal="center"/>
    </xf>
    <xf numFmtId="10" fontId="7" fillId="3" borderId="0" xfId="1" quotePrefix="1" applyNumberFormat="1" applyFont="1" applyFill="1" applyAlignment="1">
      <alignment horizontal="center"/>
    </xf>
    <xf numFmtId="8" fontId="0" fillId="0" borderId="0" xfId="0" applyNumberFormat="1" applyFill="1"/>
    <xf numFmtId="10" fontId="3" fillId="0" borderId="0" xfId="0" applyNumberFormat="1" applyFont="1" applyFill="1" applyAlignment="1">
      <alignment horizontal="right"/>
    </xf>
    <xf numFmtId="10" fontId="0" fillId="0" borderId="0" xfId="0" applyNumberFormat="1" applyFill="1"/>
    <xf numFmtId="164" fontId="0" fillId="0" borderId="0" xfId="0" applyNumberFormat="1" applyFill="1"/>
    <xf numFmtId="10" fontId="11" fillId="0" borderId="0" xfId="0" applyNumberFormat="1" applyFont="1" applyFill="1"/>
    <xf numFmtId="164" fontId="3" fillId="0" borderId="0" xfId="0" applyNumberFormat="1" applyFont="1" applyFill="1" applyAlignment="1">
      <alignment horizontal="right"/>
    </xf>
    <xf numFmtId="166" fontId="3" fillId="0" borderId="0" xfId="0" applyNumberFormat="1" applyFont="1" applyFill="1" applyAlignment="1">
      <alignment horizontal="right"/>
    </xf>
    <xf numFmtId="0" fontId="0" fillId="0" borderId="0" xfId="0" applyFill="1"/>
    <xf numFmtId="166" fontId="0" fillId="0" borderId="0" xfId="0" applyNumberFormat="1" applyFill="1"/>
    <xf numFmtId="164" fontId="10" fillId="0" borderId="0" xfId="0" applyNumberFormat="1" applyFont="1" applyFill="1"/>
    <xf numFmtId="0" fontId="11" fillId="0" borderId="0" xfId="0" applyFont="1" applyFill="1" applyAlignment="1">
      <alignment wrapText="1"/>
    </xf>
    <xf numFmtId="164" fontId="3" fillId="0" borderId="0" xfId="0" quotePrefix="1" applyNumberFormat="1" applyFont="1" applyFill="1" applyAlignment="1">
      <alignment horizontal="center"/>
    </xf>
    <xf numFmtId="0" fontId="23" fillId="0" borderId="0" xfId="0" applyFont="1" applyFill="1"/>
    <xf numFmtId="10" fontId="23" fillId="0" borderId="0" xfId="0" applyNumberFormat="1" applyFont="1" applyFill="1"/>
    <xf numFmtId="164" fontId="7" fillId="0" borderId="0" xfId="0" applyNumberFormat="1" applyFont="1" applyFill="1" applyAlignment="1">
      <alignment horizontal="right"/>
    </xf>
    <xf numFmtId="166" fontId="7" fillId="0" borderId="0" xfId="0" applyNumberFormat="1" applyFont="1" applyFill="1" applyAlignment="1">
      <alignment horizontal="right"/>
    </xf>
    <xf numFmtId="164" fontId="7" fillId="0" borderId="0" xfId="0" quotePrefix="1" applyNumberFormat="1" applyFont="1" applyFill="1" applyAlignment="1">
      <alignment horizontal="center"/>
    </xf>
    <xf numFmtId="0" fontId="3" fillId="0" borderId="0" xfId="0" applyFont="1" applyFill="1"/>
    <xf numFmtId="49" fontId="7" fillId="3" borderId="0" xfId="0" applyNumberFormat="1" applyFont="1" applyFill="1"/>
    <xf numFmtId="0" fontId="14" fillId="0" borderId="0" xfId="0" applyFont="1" applyFill="1"/>
    <xf numFmtId="0" fontId="18" fillId="0" borderId="0" xfId="0" applyFont="1" applyFill="1"/>
    <xf numFmtId="0" fontId="26" fillId="0" borderId="0" xfId="0" applyFont="1" applyFill="1"/>
    <xf numFmtId="0" fontId="11" fillId="0" borderId="0" xfId="0" applyFont="1" applyFill="1"/>
    <xf numFmtId="49" fontId="3" fillId="0" borderId="0" xfId="0" applyNumberFormat="1" applyFont="1" applyFill="1"/>
  </cellXfs>
  <cellStyles count="3">
    <cellStyle name="Currency" xfId="2" builtinId="4"/>
    <cellStyle name="Normal" xfId="0" builtinId="0"/>
    <cellStyle name="Percent" xfId="1" builtinId="5"/>
  </cellStyles>
  <dxfs count="0"/>
  <tableStyles count="0" defaultTableStyle="TableStyleMedium2" defaultPivotStyle="PivotStyleLight16"/>
  <colors>
    <mruColors>
      <color rgb="FF9A57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A861"/>
  <sheetViews>
    <sheetView workbookViewId="0">
      <pane ySplit="1" topLeftCell="A2" activePane="bottomLeft" state="frozen"/>
      <selection pane="bottomLeft" activeCell="B3" sqref="B3"/>
    </sheetView>
  </sheetViews>
  <sheetFormatPr defaultColWidth="12.42578125" defaultRowHeight="15.75" customHeight="1" x14ac:dyDescent="0.2"/>
  <cols>
    <col min="1" max="1" width="7.42578125" customWidth="1"/>
    <col min="2" max="2" width="6.140625" customWidth="1"/>
    <col min="3" max="3" width="9.28515625" customWidth="1"/>
    <col min="4" max="4" width="6.7109375" customWidth="1"/>
    <col min="5" max="5" width="7.42578125" customWidth="1"/>
    <col min="6" max="6" width="8" customWidth="1"/>
    <col min="7" max="7" width="8.28515625" customWidth="1"/>
    <col min="8" max="8" width="7.85546875" customWidth="1"/>
    <col min="9" max="10" width="7" customWidth="1"/>
    <col min="11" max="11" width="6.42578125" customWidth="1"/>
    <col min="12" max="12" width="5.140625" customWidth="1"/>
    <col min="13" max="13" width="7.85546875" customWidth="1"/>
    <col min="14" max="14" width="13.42578125" customWidth="1"/>
    <col min="15" max="15" width="10.85546875" customWidth="1"/>
    <col min="16" max="16" width="11.42578125" customWidth="1"/>
    <col min="17" max="17" width="6.42578125" customWidth="1"/>
    <col min="18" max="18" width="7.140625" customWidth="1"/>
    <col min="19" max="19" width="9.140625" customWidth="1"/>
    <col min="20" max="20" width="6.42578125" customWidth="1"/>
    <col min="21" max="21" width="11.140625" customWidth="1"/>
    <col min="22" max="22" width="9.28515625" customWidth="1"/>
    <col min="23" max="23" width="8.85546875" customWidth="1"/>
    <col min="24" max="25" width="7" customWidth="1"/>
    <col min="26" max="26" width="8.42578125" customWidth="1"/>
    <col min="27" max="27" width="6.85546875" customWidth="1"/>
  </cols>
  <sheetData>
    <row r="1" spans="1:27" ht="15" customHeight="1" x14ac:dyDescent="0.2">
      <c r="A1" s="14" t="s">
        <v>2</v>
      </c>
      <c r="B1" s="15" t="s">
        <v>3</v>
      </c>
      <c r="C1" s="15" t="s">
        <v>4</v>
      </c>
      <c r="D1" s="15" t="s">
        <v>0</v>
      </c>
      <c r="E1" s="16" t="s">
        <v>5</v>
      </c>
      <c r="F1" s="16" t="s">
        <v>6</v>
      </c>
      <c r="G1" s="17" t="s">
        <v>7</v>
      </c>
      <c r="H1" s="18" t="s">
        <v>8</v>
      </c>
      <c r="I1" s="19" t="s">
        <v>9</v>
      </c>
      <c r="J1" s="19" t="s">
        <v>10</v>
      </c>
      <c r="K1" s="19" t="s">
        <v>11</v>
      </c>
      <c r="L1" s="18" t="s">
        <v>12</v>
      </c>
      <c r="M1" s="20"/>
      <c r="N1" s="20"/>
      <c r="O1" s="20"/>
      <c r="P1" s="20"/>
      <c r="Q1" s="20"/>
      <c r="R1" s="20"/>
      <c r="S1" s="20"/>
      <c r="T1" s="20"/>
      <c r="U1" s="20"/>
      <c r="V1" s="20"/>
      <c r="W1" s="20"/>
      <c r="X1" s="20"/>
      <c r="Y1" s="20"/>
      <c r="Z1" s="3"/>
      <c r="AA1" s="3"/>
    </row>
    <row r="2" spans="1:27" ht="12.75" x14ac:dyDescent="0.2">
      <c r="A2" s="10"/>
      <c r="B2" s="6"/>
      <c r="C2" s="6"/>
      <c r="D2" s="6"/>
      <c r="E2" s="9"/>
      <c r="F2" s="9"/>
      <c r="G2" s="11"/>
      <c r="H2" s="5"/>
      <c r="I2" s="6"/>
      <c r="J2" s="6"/>
      <c r="K2" s="20"/>
      <c r="L2" s="20"/>
      <c r="M2" s="20"/>
      <c r="Q2" s="20"/>
      <c r="X2" s="6"/>
      <c r="Y2" s="6"/>
      <c r="Z2" s="6"/>
      <c r="AA2" s="6"/>
    </row>
    <row r="3" spans="1:27" ht="12.75" x14ac:dyDescent="0.2">
      <c r="A3" s="10">
        <v>45693</v>
      </c>
      <c r="B3" s="1" t="s">
        <v>13</v>
      </c>
      <c r="C3" s="1" t="s">
        <v>14</v>
      </c>
      <c r="D3" s="6">
        <v>111.2</v>
      </c>
      <c r="E3" s="9">
        <f t="shared" ref="E3:E4" si="0">$O$3/D3</f>
        <v>2.2482014388489207</v>
      </c>
      <c r="F3" s="9">
        <f>E3</f>
        <v>2.2482014388489207</v>
      </c>
      <c r="G3" s="11">
        <f t="shared" ref="G3:G4" si="1">$O$4/D3</f>
        <v>2.2482014388489207</v>
      </c>
      <c r="H3" s="5">
        <f t="shared" ref="H3:H4" si="2">D3*G3</f>
        <v>249.99999999999997</v>
      </c>
      <c r="I3" s="6">
        <f t="shared" ref="I3:I4" si="3">D3-(D3*$O$5)</f>
        <v>102.304</v>
      </c>
      <c r="J3" s="6">
        <f t="shared" ref="J3:J4" si="4">D3+(D3*$O$6)</f>
        <v>137.88800000000001</v>
      </c>
      <c r="K3" s="5"/>
      <c r="L3" s="5"/>
      <c r="M3" s="5"/>
      <c r="N3" s="20" t="s">
        <v>15</v>
      </c>
      <c r="O3" s="5">
        <v>250</v>
      </c>
      <c r="W3" s="6"/>
      <c r="X3" s="6"/>
      <c r="Y3" s="6"/>
      <c r="Z3" s="6"/>
      <c r="AA3" s="6"/>
    </row>
    <row r="4" spans="1:27" ht="12.75" x14ac:dyDescent="0.2">
      <c r="A4" s="10">
        <v>45693</v>
      </c>
      <c r="B4" s="1" t="s">
        <v>16</v>
      </c>
      <c r="C4" s="1" t="s">
        <v>14</v>
      </c>
      <c r="D4" s="6">
        <v>111.2</v>
      </c>
      <c r="E4" s="9">
        <f t="shared" si="0"/>
        <v>2.2482014388489207</v>
      </c>
      <c r="F4" s="9">
        <f>F3+E4</f>
        <v>4.4964028776978413</v>
      </c>
      <c r="G4" s="11">
        <f t="shared" si="1"/>
        <v>2.2482014388489207</v>
      </c>
      <c r="H4" s="5">
        <f t="shared" si="2"/>
        <v>249.99999999999997</v>
      </c>
      <c r="I4" s="6">
        <f t="shared" si="3"/>
        <v>102.304</v>
      </c>
      <c r="J4" s="6">
        <f t="shared" si="4"/>
        <v>137.88800000000001</v>
      </c>
      <c r="K4" s="6"/>
      <c r="L4" s="6"/>
      <c r="M4" s="6"/>
      <c r="N4" s="3" t="s">
        <v>17</v>
      </c>
      <c r="O4" s="5">
        <v>250</v>
      </c>
      <c r="P4" s="10"/>
      <c r="Q4" s="6"/>
      <c r="R4" s="6"/>
      <c r="S4" s="6"/>
      <c r="T4" s="6"/>
      <c r="U4" s="6"/>
      <c r="V4" s="6"/>
      <c r="W4" s="6"/>
      <c r="X4" s="6"/>
      <c r="Y4" s="6"/>
      <c r="Z4" s="6"/>
      <c r="AA4" s="6"/>
    </row>
    <row r="5" spans="1:27" ht="12.75" x14ac:dyDescent="0.2">
      <c r="A5" s="10"/>
      <c r="D5" s="6"/>
      <c r="E5" s="9"/>
      <c r="F5" s="9"/>
      <c r="G5" s="11"/>
      <c r="H5" s="5"/>
      <c r="I5" s="6"/>
      <c r="K5" s="6"/>
      <c r="L5" s="6"/>
      <c r="M5" s="6"/>
      <c r="N5" s="3" t="s">
        <v>18</v>
      </c>
      <c r="O5" s="4">
        <v>0.08</v>
      </c>
      <c r="P5" s="4"/>
      <c r="Q5" s="6"/>
      <c r="R5" s="6"/>
      <c r="S5" s="6"/>
      <c r="T5" s="6"/>
      <c r="U5" s="6"/>
      <c r="V5" s="6"/>
      <c r="W5" s="6"/>
      <c r="X5" s="6"/>
      <c r="Y5" s="6"/>
      <c r="Z5" s="6"/>
      <c r="AA5" s="6"/>
    </row>
    <row r="6" spans="1:27" ht="12.75" x14ac:dyDescent="0.2">
      <c r="A6" s="21"/>
      <c r="B6" s="22"/>
      <c r="C6" s="22"/>
      <c r="D6" s="23"/>
      <c r="E6" s="24"/>
      <c r="F6" s="24"/>
      <c r="G6" s="25"/>
      <c r="H6" s="26"/>
      <c r="I6" s="23"/>
      <c r="J6" s="22"/>
      <c r="K6" s="6"/>
      <c r="L6" s="6"/>
      <c r="M6" s="6"/>
      <c r="N6" s="3" t="s">
        <v>10</v>
      </c>
      <c r="O6" s="4">
        <f>O5*3</f>
        <v>0.24</v>
      </c>
      <c r="P6" s="4"/>
      <c r="Q6" s="4"/>
      <c r="R6" s="6"/>
      <c r="S6" s="6"/>
      <c r="T6" s="6"/>
      <c r="U6" s="6"/>
      <c r="V6" s="6"/>
      <c r="W6" s="6"/>
      <c r="X6" s="6"/>
      <c r="Y6" s="6"/>
      <c r="Z6" s="6"/>
      <c r="AA6" s="6"/>
    </row>
    <row r="7" spans="1:27" ht="12.75" x14ac:dyDescent="0.2">
      <c r="A7" s="10"/>
      <c r="B7" s="1"/>
      <c r="D7" s="6"/>
      <c r="E7" s="9"/>
      <c r="F7" s="9"/>
      <c r="G7" s="11"/>
      <c r="H7" s="5"/>
      <c r="I7" s="6"/>
      <c r="K7" s="6"/>
      <c r="L7" s="6"/>
      <c r="M7" s="6"/>
      <c r="N7" s="20" t="s">
        <v>19</v>
      </c>
      <c r="O7" s="5">
        <f>(O8/250)*O3</f>
        <v>499.99999999999994</v>
      </c>
      <c r="P7" s="6"/>
      <c r="Q7" s="6"/>
      <c r="R7" s="6"/>
      <c r="S7" s="6"/>
      <c r="T7" s="6"/>
      <c r="U7" s="6"/>
      <c r="V7" s="6"/>
      <c r="W7" s="6"/>
      <c r="X7" s="6"/>
      <c r="Y7" s="6"/>
      <c r="Z7" s="6"/>
      <c r="AA7" s="6"/>
    </row>
    <row r="8" spans="1:27" ht="12.75" x14ac:dyDescent="0.2">
      <c r="A8" s="21"/>
      <c r="B8" s="22"/>
      <c r="C8" s="22"/>
      <c r="D8" s="23"/>
      <c r="E8" s="24"/>
      <c r="F8" s="24"/>
      <c r="G8" s="25"/>
      <c r="H8" s="26"/>
      <c r="I8" s="23"/>
      <c r="J8" s="22"/>
      <c r="K8" s="6"/>
      <c r="L8" s="6"/>
      <c r="M8" s="6"/>
      <c r="N8" s="3" t="s">
        <v>20</v>
      </c>
      <c r="O8" s="5">
        <f>SUM(H3:H42)</f>
        <v>499.99999999999994</v>
      </c>
      <c r="P8" s="4"/>
      <c r="R8" s="6"/>
      <c r="S8" s="6"/>
      <c r="T8" s="6"/>
      <c r="U8" s="6"/>
      <c r="V8" s="6"/>
      <c r="W8" s="6"/>
      <c r="X8" s="6"/>
      <c r="Y8" s="6"/>
      <c r="Z8" s="6"/>
      <c r="AA8" s="6"/>
    </row>
    <row r="9" spans="1:27" ht="12.75" x14ac:dyDescent="0.2">
      <c r="A9" s="21"/>
      <c r="B9" s="22"/>
      <c r="C9" s="22"/>
      <c r="D9" s="23"/>
      <c r="E9" s="24"/>
      <c r="F9" s="24"/>
      <c r="G9" s="25"/>
      <c r="H9" s="26"/>
      <c r="I9" s="23"/>
      <c r="J9" s="22"/>
      <c r="K9" s="6"/>
      <c r="L9" s="6"/>
      <c r="M9" s="6"/>
      <c r="N9" s="20"/>
      <c r="O9" s="6"/>
      <c r="P9" s="6"/>
      <c r="Q9" s="6"/>
      <c r="R9" s="6"/>
      <c r="S9" s="6"/>
      <c r="T9" s="6"/>
      <c r="U9" s="6"/>
      <c r="V9" s="6"/>
      <c r="W9" s="6"/>
      <c r="X9" s="6"/>
      <c r="Y9" s="6"/>
      <c r="Z9" s="6"/>
      <c r="AA9" s="6"/>
    </row>
    <row r="10" spans="1:27" ht="12.75" x14ac:dyDescent="0.2">
      <c r="A10" s="21"/>
      <c r="B10" s="22"/>
      <c r="C10" s="22"/>
      <c r="D10" s="23"/>
      <c r="E10" s="24"/>
      <c r="F10" s="24"/>
      <c r="G10" s="25"/>
      <c r="H10" s="26"/>
      <c r="I10" s="23"/>
      <c r="J10" s="22"/>
      <c r="K10" s="6"/>
      <c r="L10" s="6"/>
      <c r="M10" s="6"/>
      <c r="N10" s="3"/>
      <c r="O10" s="6"/>
      <c r="P10" s="4"/>
      <c r="Q10" s="6"/>
      <c r="R10" s="6"/>
      <c r="S10" s="6"/>
      <c r="T10" s="6"/>
      <c r="U10" s="6"/>
      <c r="V10" s="6"/>
      <c r="W10" s="6"/>
      <c r="X10" s="6"/>
      <c r="Y10" s="6"/>
      <c r="Z10" s="6"/>
      <c r="AA10" s="6"/>
    </row>
    <row r="11" spans="1:27" ht="12.75" x14ac:dyDescent="0.2">
      <c r="A11" s="10"/>
      <c r="B11" s="1"/>
      <c r="D11" s="6"/>
      <c r="E11" s="9"/>
      <c r="F11" s="9"/>
      <c r="G11" s="11"/>
      <c r="H11" s="5"/>
      <c r="I11" s="6"/>
      <c r="K11" s="6"/>
      <c r="L11" s="6"/>
      <c r="M11" s="6"/>
      <c r="N11" s="6"/>
      <c r="O11" s="9"/>
      <c r="P11" s="6"/>
      <c r="Q11" s="6"/>
      <c r="R11" s="6"/>
      <c r="S11" s="6"/>
      <c r="T11" s="6"/>
      <c r="U11" s="6"/>
      <c r="V11" s="6"/>
      <c r="W11" s="6"/>
      <c r="X11" s="6"/>
      <c r="Y11" s="6"/>
      <c r="Z11" s="6"/>
      <c r="AA11" s="6"/>
    </row>
    <row r="12" spans="1:27" ht="12.75" x14ac:dyDescent="0.2">
      <c r="A12" s="10"/>
      <c r="B12" s="1"/>
      <c r="D12" s="6"/>
      <c r="E12" s="9"/>
      <c r="F12" s="9"/>
      <c r="G12" s="11"/>
      <c r="H12" s="5"/>
      <c r="I12" s="6"/>
      <c r="K12" s="6"/>
      <c r="L12" s="6"/>
      <c r="M12" s="6"/>
      <c r="N12" s="6"/>
      <c r="O12" s="6"/>
      <c r="P12" s="6"/>
      <c r="Q12" s="6"/>
      <c r="R12" s="6"/>
      <c r="S12" s="6"/>
      <c r="T12" s="6"/>
      <c r="U12" s="6"/>
      <c r="V12" s="6"/>
      <c r="W12" s="6"/>
      <c r="X12" s="6"/>
      <c r="Y12" s="6"/>
      <c r="Z12" s="6"/>
      <c r="AA12" s="6"/>
    </row>
    <row r="13" spans="1:27" ht="12.75" x14ac:dyDescent="0.2">
      <c r="A13" s="21"/>
      <c r="B13" s="22"/>
      <c r="C13" s="22"/>
      <c r="D13" s="23"/>
      <c r="E13" s="24"/>
      <c r="F13" s="24"/>
      <c r="G13" s="25"/>
      <c r="H13" s="26"/>
      <c r="I13" s="23"/>
      <c r="J13" s="22"/>
      <c r="K13" s="6"/>
      <c r="L13" s="6"/>
      <c r="M13" s="6"/>
      <c r="N13" s="6"/>
      <c r="O13" s="6"/>
      <c r="P13" s="6"/>
      <c r="Q13" s="6"/>
      <c r="R13" s="6"/>
      <c r="S13" s="6"/>
      <c r="T13" s="6"/>
      <c r="U13" s="6"/>
      <c r="V13" s="6"/>
      <c r="W13" s="6"/>
      <c r="X13" s="6"/>
      <c r="Y13" s="6"/>
      <c r="Z13" s="6"/>
      <c r="AA13" s="6"/>
    </row>
    <row r="14" spans="1:27" ht="12.75" x14ac:dyDescent="0.2">
      <c r="A14" s="21"/>
      <c r="B14" s="22"/>
      <c r="C14" s="22"/>
      <c r="D14" s="23"/>
      <c r="E14" s="24"/>
      <c r="F14" s="24"/>
      <c r="G14" s="25"/>
      <c r="H14" s="26"/>
      <c r="I14" s="23"/>
      <c r="J14" s="22"/>
      <c r="K14" s="6"/>
      <c r="L14" s="6"/>
      <c r="M14" s="6"/>
      <c r="N14" s="6"/>
      <c r="O14" s="3"/>
      <c r="P14" s="3"/>
      <c r="Q14" s="3"/>
      <c r="R14" s="3"/>
      <c r="S14" s="3"/>
      <c r="T14" s="6"/>
      <c r="U14" s="6"/>
      <c r="V14" s="6"/>
      <c r="W14" s="6"/>
      <c r="X14" s="6"/>
      <c r="Y14" s="6"/>
      <c r="Z14" s="6"/>
      <c r="AA14" s="6"/>
    </row>
    <row r="15" spans="1:27" ht="12.75" x14ac:dyDescent="0.2">
      <c r="A15" s="21"/>
      <c r="B15" s="22"/>
      <c r="C15" s="22"/>
      <c r="D15" s="23"/>
      <c r="E15" s="24"/>
      <c r="F15" s="24"/>
      <c r="G15" s="25"/>
      <c r="H15" s="26"/>
      <c r="I15" s="23"/>
      <c r="J15" s="22"/>
      <c r="N15" s="27"/>
      <c r="O15" s="5"/>
      <c r="P15" s="4"/>
      <c r="Q15" s="7"/>
      <c r="R15" s="2"/>
      <c r="S15" s="2"/>
      <c r="T15" s="6"/>
      <c r="U15" s="6"/>
      <c r="V15" s="6"/>
      <c r="W15" s="6"/>
      <c r="X15" s="6"/>
      <c r="Y15" s="6"/>
      <c r="Z15" s="6"/>
      <c r="AA15" s="6"/>
    </row>
    <row r="16" spans="1:27" ht="12.75" x14ac:dyDescent="0.2">
      <c r="A16" s="10"/>
      <c r="B16" s="1"/>
      <c r="D16" s="6"/>
      <c r="E16" s="9"/>
      <c r="F16" s="9"/>
      <c r="G16" s="11"/>
      <c r="H16" s="5"/>
      <c r="I16" s="6"/>
      <c r="N16" s="27"/>
      <c r="O16" s="5"/>
      <c r="P16" s="4"/>
      <c r="Q16" s="7"/>
      <c r="R16" s="2"/>
      <c r="S16" s="2"/>
      <c r="T16" s="6"/>
      <c r="U16" s="6"/>
      <c r="V16" s="6"/>
      <c r="W16" s="6"/>
      <c r="X16" s="6"/>
      <c r="Y16" s="6"/>
      <c r="Z16" s="6"/>
      <c r="AA16" s="6"/>
    </row>
    <row r="17" spans="1:27" ht="12.75" x14ac:dyDescent="0.2">
      <c r="A17" s="10"/>
      <c r="B17" s="1"/>
      <c r="D17" s="6"/>
      <c r="E17" s="9"/>
      <c r="F17" s="9"/>
      <c r="G17" s="11"/>
      <c r="H17" s="5"/>
      <c r="I17" s="6"/>
      <c r="K17" s="6"/>
      <c r="L17" s="6"/>
      <c r="M17" s="6"/>
      <c r="N17" s="27"/>
      <c r="O17" s="5"/>
      <c r="P17" s="4"/>
      <c r="R17" s="6"/>
      <c r="S17" s="6"/>
      <c r="T17" s="6"/>
      <c r="U17" s="6"/>
      <c r="V17" s="6"/>
      <c r="W17" s="6"/>
      <c r="X17" s="6"/>
      <c r="Y17" s="6"/>
      <c r="Z17" s="6"/>
      <c r="AA17" s="6"/>
    </row>
    <row r="18" spans="1:27" ht="12.75" x14ac:dyDescent="0.2">
      <c r="A18" s="10"/>
      <c r="B18" s="1"/>
      <c r="D18" s="6"/>
      <c r="E18" s="9"/>
      <c r="F18" s="9"/>
      <c r="G18" s="11"/>
      <c r="H18" s="5"/>
      <c r="I18" s="6"/>
      <c r="K18" s="9"/>
      <c r="L18" s="9"/>
      <c r="M18" s="9"/>
      <c r="N18" s="27"/>
      <c r="O18" s="5"/>
      <c r="P18" s="4"/>
      <c r="R18" s="6"/>
      <c r="S18" s="5"/>
      <c r="T18" s="5"/>
      <c r="U18" s="5"/>
      <c r="V18" s="5"/>
      <c r="W18" s="9"/>
      <c r="X18" s="5"/>
      <c r="Y18" s="5"/>
      <c r="Z18" s="4"/>
      <c r="AA18" s="5"/>
    </row>
    <row r="19" spans="1:27" ht="12.75" x14ac:dyDescent="0.2">
      <c r="A19" s="10"/>
      <c r="B19" s="1"/>
      <c r="D19" s="6"/>
      <c r="E19" s="9"/>
      <c r="F19" s="9"/>
      <c r="G19" s="11"/>
      <c r="H19" s="5"/>
      <c r="I19" s="6"/>
      <c r="K19" s="6"/>
      <c r="L19" s="6"/>
      <c r="M19" s="6"/>
      <c r="N19" s="27"/>
      <c r="O19" s="5"/>
      <c r="P19" s="4"/>
      <c r="Q19" s="7"/>
      <c r="R19" s="2"/>
      <c r="S19" s="6"/>
      <c r="T19" s="6"/>
      <c r="U19" s="6"/>
      <c r="V19" s="6"/>
      <c r="W19" s="6"/>
      <c r="X19" s="6"/>
      <c r="Y19" s="6"/>
      <c r="Z19" s="6"/>
      <c r="AA19" s="6"/>
    </row>
    <row r="20" spans="1:27" ht="12.75" x14ac:dyDescent="0.2">
      <c r="A20" s="10"/>
      <c r="D20" s="6"/>
      <c r="E20" s="9"/>
      <c r="F20" s="9"/>
      <c r="G20" s="11"/>
      <c r="H20" s="5"/>
      <c r="I20" s="6"/>
      <c r="K20" s="6"/>
      <c r="L20" s="6"/>
      <c r="M20" s="6"/>
      <c r="N20" s="27"/>
      <c r="O20" s="7"/>
      <c r="P20" s="2"/>
      <c r="S20" s="6"/>
      <c r="T20" s="6"/>
      <c r="U20" s="6"/>
      <c r="V20" s="6"/>
      <c r="W20" s="6"/>
      <c r="X20" s="6"/>
      <c r="Y20" s="6"/>
      <c r="Z20" s="6"/>
      <c r="AA20" s="6"/>
    </row>
    <row r="21" spans="1:27" ht="12.75" x14ac:dyDescent="0.2">
      <c r="A21" s="21"/>
      <c r="B21" s="22"/>
      <c r="C21" s="22"/>
      <c r="D21" s="23"/>
      <c r="E21" s="24"/>
      <c r="F21" s="24"/>
      <c r="G21" s="25"/>
      <c r="H21" s="26"/>
      <c r="I21" s="23"/>
      <c r="J21" s="22"/>
      <c r="K21" s="6"/>
      <c r="L21" s="6"/>
      <c r="M21" s="6"/>
      <c r="N21" s="27"/>
      <c r="O21" s="9"/>
      <c r="P21" s="9"/>
      <c r="Q21" s="9"/>
      <c r="R21" s="6"/>
      <c r="S21" s="6"/>
      <c r="T21" s="6"/>
      <c r="U21" s="6"/>
      <c r="V21" s="6"/>
      <c r="W21" s="6"/>
      <c r="X21" s="6"/>
      <c r="Y21" s="6"/>
      <c r="Z21" s="6"/>
      <c r="AA21" s="6"/>
    </row>
    <row r="22" spans="1:27" ht="12.75" x14ac:dyDescent="0.2">
      <c r="A22" s="21"/>
      <c r="B22" s="22"/>
      <c r="C22" s="22"/>
      <c r="D22" s="23"/>
      <c r="E22" s="24"/>
      <c r="F22" s="24"/>
      <c r="G22" s="25"/>
      <c r="H22" s="26"/>
      <c r="I22" s="23"/>
      <c r="J22" s="22"/>
      <c r="K22" s="6"/>
      <c r="L22" s="6"/>
      <c r="M22" s="6"/>
      <c r="N22" s="27"/>
      <c r="O22" s="6"/>
      <c r="P22" s="6"/>
      <c r="Q22" s="6"/>
      <c r="R22" s="6"/>
      <c r="S22" s="6"/>
      <c r="T22" s="6"/>
      <c r="U22" s="6"/>
      <c r="V22" s="6"/>
      <c r="W22" s="6"/>
      <c r="X22" s="6"/>
      <c r="Y22" s="6"/>
      <c r="Z22" s="6"/>
      <c r="AA22" s="6"/>
    </row>
    <row r="23" spans="1:27" ht="12.75" x14ac:dyDescent="0.2">
      <c r="A23" s="10"/>
      <c r="B23" s="1"/>
      <c r="D23" s="6"/>
      <c r="E23" s="9"/>
      <c r="F23" s="9"/>
      <c r="G23" s="11"/>
      <c r="H23" s="5"/>
      <c r="I23" s="6"/>
      <c r="K23" s="6"/>
      <c r="L23" s="6"/>
      <c r="M23" s="6"/>
      <c r="N23" s="27"/>
      <c r="O23" s="6"/>
      <c r="P23" s="6"/>
      <c r="Q23" s="6"/>
      <c r="R23" s="6"/>
      <c r="S23" s="6"/>
      <c r="T23" s="6"/>
      <c r="U23" s="6"/>
      <c r="V23" s="6"/>
      <c r="W23" s="6"/>
      <c r="X23" s="6"/>
      <c r="Y23" s="6"/>
      <c r="Z23" s="6"/>
      <c r="AA23" s="6"/>
    </row>
    <row r="24" spans="1:27" ht="12.75" x14ac:dyDescent="0.2">
      <c r="A24" s="10"/>
      <c r="D24" s="6"/>
      <c r="E24" s="9"/>
      <c r="F24" s="9"/>
      <c r="G24" s="11"/>
      <c r="H24" s="5"/>
      <c r="I24" s="6"/>
      <c r="K24" s="6"/>
      <c r="L24" s="6"/>
      <c r="M24" s="6"/>
      <c r="N24" s="27"/>
      <c r="O24" s="6"/>
      <c r="P24" s="6"/>
      <c r="Q24" s="6"/>
      <c r="R24" s="6"/>
      <c r="S24" s="6"/>
      <c r="T24" s="6"/>
      <c r="U24" s="6"/>
      <c r="V24" s="6"/>
      <c r="W24" s="6"/>
      <c r="X24" s="6"/>
      <c r="Y24" s="6"/>
      <c r="Z24" s="6"/>
      <c r="AA24" s="6"/>
    </row>
    <row r="25" spans="1:27" ht="12.75" x14ac:dyDescent="0.2">
      <c r="A25" s="10"/>
      <c r="B25" s="1"/>
      <c r="D25" s="6"/>
      <c r="E25" s="9"/>
      <c r="F25" s="9"/>
      <c r="G25" s="11"/>
      <c r="H25" s="5"/>
      <c r="I25" s="6"/>
      <c r="K25" s="6"/>
      <c r="L25" s="6"/>
      <c r="M25" s="6"/>
      <c r="N25" s="27"/>
      <c r="O25" s="6"/>
      <c r="P25" s="6"/>
      <c r="Q25" s="6"/>
      <c r="R25" s="6"/>
      <c r="S25" s="6"/>
      <c r="T25" s="6"/>
      <c r="U25" s="6"/>
      <c r="V25" s="6"/>
      <c r="W25" s="6"/>
      <c r="X25" s="6"/>
      <c r="Y25" s="6"/>
      <c r="Z25" s="6"/>
      <c r="AA25" s="6"/>
    </row>
    <row r="26" spans="1:27" ht="12.75" x14ac:dyDescent="0.2">
      <c r="A26" s="10"/>
      <c r="D26" s="6"/>
      <c r="E26" s="9"/>
      <c r="F26" s="9"/>
      <c r="G26" s="11"/>
      <c r="H26" s="5"/>
      <c r="I26" s="6"/>
      <c r="K26" s="6"/>
      <c r="L26" s="6"/>
      <c r="M26" s="6"/>
      <c r="N26" s="27"/>
      <c r="O26" s="6"/>
      <c r="P26" s="6"/>
      <c r="Q26" s="6"/>
      <c r="R26" s="6"/>
      <c r="S26" s="6"/>
      <c r="T26" s="6"/>
      <c r="U26" s="6"/>
      <c r="V26" s="6"/>
      <c r="W26" s="6"/>
      <c r="X26" s="6"/>
      <c r="Y26" s="6"/>
      <c r="Z26" s="6"/>
      <c r="AA26" s="6"/>
    </row>
    <row r="27" spans="1:27" ht="12.75" x14ac:dyDescent="0.2">
      <c r="A27" s="10"/>
      <c r="D27" s="6"/>
      <c r="E27" s="9"/>
      <c r="F27" s="9"/>
      <c r="G27" s="11"/>
      <c r="H27" s="5"/>
      <c r="I27" s="6"/>
      <c r="K27" s="6"/>
      <c r="L27" s="6"/>
      <c r="M27" s="6"/>
      <c r="N27" s="27"/>
      <c r="O27" s="6"/>
      <c r="P27" s="6"/>
      <c r="Q27" s="6"/>
      <c r="R27" s="6"/>
      <c r="S27" s="6"/>
      <c r="T27" s="6"/>
      <c r="U27" s="6"/>
      <c r="V27" s="6"/>
      <c r="W27" s="6"/>
      <c r="X27" s="6"/>
      <c r="Y27" s="6"/>
      <c r="Z27" s="6"/>
      <c r="AA27" s="6"/>
    </row>
    <row r="28" spans="1:27" ht="12.75" x14ac:dyDescent="0.2">
      <c r="A28" s="10"/>
      <c r="B28" s="1"/>
      <c r="D28" s="6"/>
      <c r="E28" s="9"/>
      <c r="F28" s="9"/>
      <c r="G28" s="11"/>
      <c r="H28" s="5"/>
      <c r="I28" s="6"/>
      <c r="K28" s="6"/>
      <c r="L28" s="6"/>
      <c r="M28" s="6"/>
      <c r="N28" s="6"/>
      <c r="O28" s="6"/>
      <c r="P28" s="6"/>
      <c r="Q28" s="6"/>
      <c r="R28" s="6"/>
      <c r="S28" s="6"/>
      <c r="T28" s="6"/>
      <c r="U28" s="6"/>
      <c r="V28" s="6"/>
      <c r="W28" s="6"/>
      <c r="X28" s="6"/>
      <c r="Y28" s="6"/>
      <c r="Z28" s="6"/>
      <c r="AA28" s="6"/>
    </row>
    <row r="29" spans="1:27" ht="12.75" x14ac:dyDescent="0.2">
      <c r="A29" s="10"/>
      <c r="B29" s="1"/>
      <c r="D29" s="6"/>
      <c r="E29" s="9"/>
      <c r="F29" s="9"/>
      <c r="G29" s="11"/>
      <c r="H29" s="5"/>
      <c r="I29" s="6"/>
      <c r="K29" s="6"/>
      <c r="L29" s="6"/>
      <c r="M29" s="6"/>
      <c r="N29" s="6"/>
      <c r="O29" s="6"/>
      <c r="P29" s="6"/>
      <c r="Q29" s="6"/>
      <c r="R29" s="6"/>
      <c r="S29" s="6"/>
      <c r="T29" s="6"/>
      <c r="U29" s="6"/>
      <c r="V29" s="6"/>
      <c r="W29" s="6"/>
      <c r="X29" s="6"/>
      <c r="Y29" s="6"/>
      <c r="Z29" s="6"/>
      <c r="AA29" s="6"/>
    </row>
    <row r="30" spans="1:27" ht="12.75" x14ac:dyDescent="0.2">
      <c r="A30" s="10"/>
      <c r="B30" s="1"/>
      <c r="D30" s="6"/>
      <c r="E30" s="9"/>
      <c r="F30" s="9"/>
      <c r="G30" s="11"/>
      <c r="H30" s="5"/>
      <c r="I30" s="6"/>
      <c r="K30" s="6"/>
      <c r="L30" s="6"/>
      <c r="M30" s="6"/>
      <c r="N30" s="6"/>
      <c r="O30" s="6"/>
      <c r="P30" s="6"/>
      <c r="Q30" s="6"/>
      <c r="R30" s="6"/>
      <c r="S30" s="6"/>
      <c r="T30" s="6"/>
      <c r="U30" s="6"/>
      <c r="V30" s="6"/>
      <c r="W30" s="6"/>
      <c r="X30" s="6"/>
      <c r="Y30" s="6"/>
      <c r="Z30" s="6"/>
      <c r="AA30" s="6"/>
    </row>
    <row r="31" spans="1:27" ht="12.75" x14ac:dyDescent="0.2">
      <c r="A31" s="10"/>
      <c r="B31" s="1"/>
      <c r="D31" s="6"/>
      <c r="E31" s="9"/>
      <c r="F31" s="9"/>
      <c r="G31" s="11"/>
      <c r="H31" s="5"/>
      <c r="I31" s="6"/>
      <c r="K31" s="6"/>
      <c r="L31" s="6"/>
      <c r="M31" s="6"/>
      <c r="N31" s="6"/>
      <c r="O31" s="6"/>
      <c r="P31" s="6"/>
      <c r="Q31" s="6"/>
      <c r="R31" s="6"/>
      <c r="S31" s="6"/>
      <c r="T31" s="6"/>
      <c r="U31" s="6"/>
      <c r="V31" s="6"/>
      <c r="W31" s="6"/>
      <c r="X31" s="6"/>
      <c r="Y31" s="6"/>
      <c r="Z31" s="6"/>
      <c r="AA31" s="6"/>
    </row>
    <row r="32" spans="1:27" ht="12.75" x14ac:dyDescent="0.2">
      <c r="A32" s="10"/>
      <c r="B32" s="1"/>
      <c r="D32" s="6"/>
      <c r="E32" s="9"/>
      <c r="F32" s="9"/>
      <c r="G32" s="11"/>
      <c r="H32" s="5"/>
      <c r="I32" s="6"/>
      <c r="K32" s="6"/>
      <c r="L32" s="6"/>
      <c r="M32" s="6"/>
      <c r="N32" s="6"/>
      <c r="O32" s="6"/>
      <c r="P32" s="6"/>
      <c r="Q32" s="6"/>
      <c r="R32" s="6"/>
      <c r="S32" s="6"/>
      <c r="T32" s="6"/>
      <c r="U32" s="6"/>
      <c r="V32" s="6"/>
      <c r="W32" s="6"/>
      <c r="X32" s="6"/>
      <c r="Y32" s="6"/>
      <c r="Z32" s="6"/>
      <c r="AA32" s="6"/>
    </row>
    <row r="33" spans="1:27" ht="12.75" x14ac:dyDescent="0.2">
      <c r="A33" s="10"/>
      <c r="B33" s="1"/>
      <c r="D33" s="6"/>
      <c r="E33" s="9"/>
      <c r="F33" s="9"/>
      <c r="G33" s="11"/>
      <c r="H33" s="5"/>
      <c r="I33" s="6"/>
      <c r="K33" s="6"/>
      <c r="L33" s="6"/>
      <c r="M33" s="6"/>
      <c r="N33" s="6"/>
      <c r="O33" s="6"/>
      <c r="P33" s="6"/>
      <c r="Q33" s="6"/>
      <c r="R33" s="6"/>
      <c r="S33" s="6"/>
      <c r="T33" s="6"/>
      <c r="U33" s="6"/>
      <c r="V33" s="6"/>
      <c r="W33" s="6"/>
      <c r="X33" s="6"/>
      <c r="Y33" s="6"/>
      <c r="Z33" s="6"/>
      <c r="AA33" s="6"/>
    </row>
    <row r="34" spans="1:27" ht="12.75" x14ac:dyDescent="0.2">
      <c r="A34" s="10"/>
      <c r="B34" s="1"/>
      <c r="D34" s="6"/>
      <c r="E34" s="9"/>
      <c r="F34" s="9"/>
      <c r="G34" s="11"/>
      <c r="H34" s="5"/>
      <c r="I34" s="6"/>
      <c r="K34" s="6"/>
      <c r="L34" s="6"/>
      <c r="M34" s="6"/>
      <c r="N34" s="6"/>
      <c r="O34" s="6"/>
      <c r="P34" s="6"/>
      <c r="Q34" s="6"/>
      <c r="R34" s="6"/>
      <c r="S34" s="6"/>
      <c r="T34" s="6"/>
      <c r="U34" s="6"/>
      <c r="V34" s="6"/>
      <c r="W34" s="6"/>
      <c r="X34" s="6"/>
      <c r="Y34" s="6"/>
      <c r="Z34" s="6"/>
      <c r="AA34" s="6"/>
    </row>
    <row r="35" spans="1:27" ht="12.75" x14ac:dyDescent="0.2">
      <c r="A35" s="10"/>
      <c r="B35" s="1"/>
      <c r="D35" s="6"/>
      <c r="E35" s="9"/>
      <c r="F35" s="9"/>
      <c r="G35" s="11"/>
      <c r="H35" s="5"/>
      <c r="I35" s="6"/>
      <c r="K35" s="6"/>
      <c r="L35" s="6"/>
      <c r="M35" s="6"/>
      <c r="N35" s="6"/>
      <c r="O35" s="6"/>
      <c r="P35" s="6"/>
      <c r="Q35" s="6"/>
      <c r="R35" s="6"/>
      <c r="S35" s="6"/>
      <c r="T35" s="6"/>
      <c r="U35" s="6"/>
      <c r="V35" s="6"/>
      <c r="W35" s="6"/>
      <c r="X35" s="6"/>
      <c r="Y35" s="6"/>
      <c r="Z35" s="6"/>
      <c r="AA35" s="6"/>
    </row>
    <row r="36" spans="1:27" ht="12.75" x14ac:dyDescent="0.2">
      <c r="A36" s="10"/>
      <c r="B36" s="1"/>
      <c r="D36" s="6"/>
      <c r="E36" s="9"/>
      <c r="F36" s="9"/>
      <c r="G36" s="11"/>
      <c r="H36" s="5"/>
      <c r="I36" s="6"/>
      <c r="K36" s="9"/>
      <c r="L36" s="9"/>
      <c r="M36" s="9"/>
      <c r="N36" s="6"/>
      <c r="O36" s="6"/>
      <c r="P36" s="6"/>
      <c r="Q36" s="6"/>
      <c r="R36" s="6"/>
      <c r="S36" s="5"/>
      <c r="T36" s="5"/>
      <c r="U36" s="5"/>
      <c r="V36" s="5"/>
      <c r="W36" s="9"/>
      <c r="X36" s="5"/>
      <c r="Y36" s="5"/>
      <c r="Z36" s="4"/>
      <c r="AA36" s="5"/>
    </row>
    <row r="37" spans="1:27" ht="12.75" x14ac:dyDescent="0.2">
      <c r="A37" s="10"/>
      <c r="B37" s="1"/>
      <c r="D37" s="6"/>
      <c r="E37" s="9"/>
      <c r="F37" s="9"/>
      <c r="G37" s="11"/>
      <c r="H37" s="5"/>
      <c r="I37" s="6"/>
      <c r="K37" s="6"/>
      <c r="L37" s="6"/>
      <c r="M37" s="6"/>
      <c r="N37" s="6"/>
      <c r="O37" s="6"/>
      <c r="P37" s="6"/>
      <c r="Q37" s="6"/>
      <c r="R37" s="6"/>
      <c r="S37" s="6"/>
      <c r="T37" s="6"/>
      <c r="U37" s="6"/>
      <c r="V37" s="6"/>
      <c r="W37" s="6"/>
      <c r="X37" s="6"/>
      <c r="Y37" s="6"/>
      <c r="Z37" s="6"/>
      <c r="AA37" s="6"/>
    </row>
    <row r="38" spans="1:27" ht="12.75" x14ac:dyDescent="0.2">
      <c r="A38" s="10"/>
      <c r="B38" s="1"/>
      <c r="D38" s="6"/>
      <c r="E38" s="9"/>
      <c r="F38" s="9"/>
      <c r="G38" s="11"/>
      <c r="H38" s="5"/>
      <c r="I38" s="6"/>
      <c r="K38" s="6"/>
      <c r="L38" s="6"/>
      <c r="M38" s="6"/>
      <c r="N38" s="6"/>
      <c r="O38" s="6"/>
      <c r="P38" s="6"/>
      <c r="Q38" s="6"/>
      <c r="R38" s="5"/>
      <c r="S38" s="6"/>
      <c r="T38" s="6"/>
      <c r="U38" s="6"/>
      <c r="V38" s="6"/>
      <c r="W38" s="6"/>
      <c r="X38" s="6"/>
      <c r="Y38" s="6"/>
      <c r="Z38" s="6"/>
      <c r="AA38" s="6"/>
    </row>
    <row r="39" spans="1:27" ht="12.75" x14ac:dyDescent="0.2">
      <c r="A39" s="10"/>
      <c r="B39" s="1"/>
      <c r="D39" s="6"/>
      <c r="E39" s="9"/>
      <c r="F39" s="9"/>
      <c r="G39" s="11"/>
      <c r="H39" s="5"/>
      <c r="I39" s="6"/>
      <c r="K39" s="6"/>
      <c r="L39" s="6"/>
      <c r="M39" s="6"/>
      <c r="N39" s="9"/>
      <c r="O39" s="9"/>
      <c r="P39" s="6"/>
      <c r="Q39" s="9"/>
      <c r="R39" s="6"/>
      <c r="S39" s="6"/>
      <c r="T39" s="6"/>
      <c r="U39" s="6"/>
      <c r="V39" s="6"/>
      <c r="W39" s="6"/>
      <c r="X39" s="6"/>
      <c r="Y39" s="6"/>
      <c r="Z39" s="6"/>
      <c r="AA39" s="6"/>
    </row>
    <row r="40" spans="1:27" ht="12.75" x14ac:dyDescent="0.2">
      <c r="A40" s="10"/>
      <c r="B40" s="1"/>
      <c r="D40" s="6"/>
      <c r="E40" s="9"/>
      <c r="F40" s="9"/>
      <c r="G40" s="11"/>
      <c r="H40" s="5"/>
      <c r="I40" s="6"/>
      <c r="K40" s="6"/>
      <c r="L40" s="6"/>
      <c r="M40" s="6"/>
      <c r="N40" s="6"/>
      <c r="O40" s="6"/>
      <c r="P40" s="6"/>
      <c r="Q40" s="6"/>
      <c r="R40" s="6"/>
      <c r="S40" s="6"/>
      <c r="T40" s="6"/>
      <c r="U40" s="6"/>
      <c r="V40" s="6"/>
      <c r="W40" s="6"/>
      <c r="X40" s="6"/>
      <c r="Y40" s="6"/>
      <c r="Z40" s="6"/>
      <c r="AA40" s="6"/>
    </row>
    <row r="41" spans="1:27" ht="12.75" x14ac:dyDescent="0.2">
      <c r="A41" s="10"/>
      <c r="B41" s="1"/>
      <c r="D41" s="6"/>
      <c r="E41" s="9"/>
      <c r="F41" s="9"/>
      <c r="G41" s="11"/>
      <c r="H41" s="5"/>
      <c r="I41" s="6"/>
      <c r="K41" s="6"/>
      <c r="L41" s="6"/>
      <c r="M41" s="6"/>
      <c r="N41" s="6"/>
      <c r="O41" s="6"/>
      <c r="P41" s="6"/>
      <c r="Q41" s="6"/>
      <c r="R41" s="6"/>
      <c r="S41" s="6"/>
      <c r="T41" s="6"/>
      <c r="U41" s="6"/>
      <c r="V41" s="6"/>
      <c r="W41" s="6"/>
      <c r="X41" s="6"/>
      <c r="Y41" s="6"/>
      <c r="Z41" s="6"/>
      <c r="AA41" s="6"/>
    </row>
    <row r="42" spans="1:27" ht="12.75" x14ac:dyDescent="0.2">
      <c r="A42" s="10"/>
      <c r="B42" s="1"/>
      <c r="D42" s="6"/>
      <c r="E42" s="9"/>
      <c r="F42" s="9"/>
      <c r="G42" s="11"/>
      <c r="H42" s="5"/>
      <c r="I42" s="6"/>
      <c r="K42" s="6"/>
      <c r="L42" s="6"/>
      <c r="M42" s="6"/>
      <c r="N42" s="6"/>
      <c r="O42" s="6"/>
      <c r="P42" s="6"/>
      <c r="Q42" s="6"/>
      <c r="R42" s="6"/>
      <c r="S42" s="6"/>
      <c r="T42" s="6"/>
      <c r="U42" s="6"/>
      <c r="V42" s="6"/>
      <c r="W42" s="6"/>
      <c r="X42" s="6"/>
      <c r="Y42" s="6"/>
      <c r="Z42" s="6"/>
      <c r="AA42" s="6"/>
    </row>
    <row r="43" spans="1:27" ht="12.75" x14ac:dyDescent="0.2">
      <c r="A43" s="10"/>
      <c r="B43" s="1"/>
      <c r="D43" s="6"/>
      <c r="E43" s="9"/>
      <c r="F43" s="9"/>
      <c r="G43" s="11"/>
      <c r="H43" s="5"/>
      <c r="I43" s="6"/>
      <c r="K43" s="6"/>
      <c r="L43" s="6"/>
      <c r="M43" s="6"/>
      <c r="N43" s="6"/>
      <c r="O43" s="6"/>
      <c r="P43" s="6"/>
      <c r="Q43" s="6"/>
      <c r="R43" s="6"/>
      <c r="S43" s="6"/>
      <c r="T43" s="6"/>
      <c r="U43" s="6"/>
      <c r="V43" s="6"/>
      <c r="W43" s="6"/>
      <c r="X43" s="6"/>
      <c r="Y43" s="6"/>
      <c r="Z43" s="6"/>
      <c r="AA43" s="6"/>
    </row>
    <row r="44" spans="1:27" ht="12.75" x14ac:dyDescent="0.2">
      <c r="A44" s="10"/>
      <c r="B44" s="1"/>
      <c r="D44" s="6"/>
      <c r="E44" s="9"/>
      <c r="F44" s="9"/>
      <c r="G44" s="11"/>
      <c r="H44" s="5"/>
      <c r="I44" s="6"/>
      <c r="K44" s="6"/>
      <c r="L44" s="6"/>
      <c r="M44" s="6"/>
      <c r="N44" s="6"/>
      <c r="O44" s="6"/>
      <c r="P44" s="6"/>
      <c r="Q44" s="6"/>
      <c r="R44" s="6"/>
      <c r="S44" s="6"/>
      <c r="T44" s="6"/>
      <c r="U44" s="6"/>
      <c r="V44" s="6"/>
      <c r="W44" s="6"/>
      <c r="X44" s="6"/>
      <c r="Y44" s="6"/>
      <c r="Z44" s="6"/>
      <c r="AA44" s="6"/>
    </row>
    <row r="45" spans="1:27" ht="12.75" x14ac:dyDescent="0.2">
      <c r="A45" s="10"/>
      <c r="B45" s="1"/>
      <c r="D45" s="6"/>
      <c r="E45" s="9"/>
      <c r="F45" s="9"/>
      <c r="G45" s="11"/>
      <c r="H45" s="5"/>
      <c r="I45" s="6"/>
      <c r="K45" s="6"/>
      <c r="L45" s="6"/>
      <c r="M45" s="6"/>
      <c r="N45" s="6"/>
      <c r="O45" s="6"/>
      <c r="P45" s="6"/>
      <c r="Q45" s="6"/>
      <c r="R45" s="6"/>
      <c r="S45" s="6"/>
      <c r="T45" s="6"/>
      <c r="U45" s="6"/>
      <c r="V45" s="6"/>
      <c r="W45" s="6"/>
      <c r="X45" s="6"/>
      <c r="Y45" s="6"/>
      <c r="Z45" s="6"/>
      <c r="AA45" s="6"/>
    </row>
    <row r="46" spans="1:27" ht="12.75" x14ac:dyDescent="0.2">
      <c r="A46" s="10"/>
      <c r="B46" s="1"/>
      <c r="D46" s="6"/>
      <c r="E46" s="9"/>
      <c r="F46" s="9"/>
      <c r="G46" s="11"/>
      <c r="H46" s="5"/>
      <c r="I46" s="6"/>
      <c r="K46" s="6"/>
      <c r="L46" s="6"/>
      <c r="M46" s="6"/>
      <c r="N46" s="6"/>
      <c r="O46" s="6"/>
      <c r="P46" s="6"/>
      <c r="Q46" s="6"/>
      <c r="R46" s="6"/>
      <c r="S46" s="6"/>
      <c r="T46" s="6"/>
      <c r="U46" s="6"/>
      <c r="V46" s="6"/>
      <c r="W46" s="6"/>
      <c r="X46" s="6"/>
      <c r="Y46" s="6"/>
      <c r="Z46" s="6"/>
      <c r="AA46" s="6"/>
    </row>
    <row r="47" spans="1:27" ht="12.75" x14ac:dyDescent="0.2">
      <c r="A47" s="10"/>
      <c r="B47" s="1"/>
      <c r="D47" s="6"/>
      <c r="E47" s="9"/>
      <c r="F47" s="9"/>
      <c r="G47" s="11"/>
      <c r="H47" s="5"/>
      <c r="I47" s="6"/>
      <c r="K47" s="6"/>
      <c r="L47" s="6"/>
      <c r="M47" s="6"/>
      <c r="N47" s="6"/>
      <c r="O47" s="6"/>
      <c r="P47" s="6"/>
      <c r="Q47" s="6"/>
      <c r="R47" s="6"/>
      <c r="S47" s="6"/>
      <c r="T47" s="6"/>
      <c r="U47" s="6"/>
      <c r="V47" s="6"/>
      <c r="W47" s="6"/>
      <c r="X47" s="6"/>
      <c r="Y47" s="6"/>
      <c r="Z47" s="6"/>
      <c r="AA47" s="6"/>
    </row>
    <row r="48" spans="1:27" ht="12.75" x14ac:dyDescent="0.2">
      <c r="A48" s="10"/>
      <c r="B48" s="1"/>
      <c r="D48" s="6"/>
      <c r="E48" s="9"/>
      <c r="F48" s="9"/>
      <c r="G48" s="11"/>
      <c r="H48" s="5"/>
      <c r="I48" s="6"/>
      <c r="K48" s="6"/>
      <c r="L48" s="6"/>
      <c r="M48" s="6"/>
      <c r="N48" s="6"/>
      <c r="O48" s="6"/>
      <c r="P48" s="6"/>
      <c r="Q48" s="6"/>
      <c r="R48" s="6"/>
      <c r="S48" s="6"/>
      <c r="T48" s="6"/>
      <c r="U48" s="6"/>
      <c r="V48" s="6"/>
      <c r="W48" s="6"/>
      <c r="X48" s="6"/>
      <c r="Y48" s="6"/>
      <c r="Z48" s="6"/>
      <c r="AA48" s="6"/>
    </row>
    <row r="49" spans="1:27" ht="12.75" x14ac:dyDescent="0.2">
      <c r="A49" s="10"/>
      <c r="B49" s="1"/>
      <c r="D49" s="6"/>
      <c r="E49" s="9"/>
      <c r="F49" s="9"/>
      <c r="G49" s="11"/>
      <c r="H49" s="5"/>
      <c r="I49" s="6"/>
      <c r="K49" s="6"/>
      <c r="L49" s="6"/>
      <c r="M49" s="6"/>
      <c r="N49" s="6"/>
      <c r="O49" s="6"/>
      <c r="P49" s="6"/>
      <c r="Q49" s="6"/>
      <c r="R49" s="6"/>
      <c r="S49" s="6"/>
      <c r="T49" s="6"/>
      <c r="U49" s="6"/>
      <c r="V49" s="6"/>
      <c r="W49" s="6"/>
      <c r="X49" s="6"/>
      <c r="Y49" s="6"/>
      <c r="Z49" s="6"/>
      <c r="AA49" s="6"/>
    </row>
    <row r="50" spans="1:27" ht="12.75" x14ac:dyDescent="0.2">
      <c r="A50" s="10"/>
      <c r="B50" s="1"/>
      <c r="D50" s="6"/>
      <c r="E50" s="9"/>
      <c r="F50" s="9"/>
      <c r="G50" s="11"/>
      <c r="H50" s="5"/>
      <c r="I50" s="6"/>
      <c r="K50" s="9"/>
      <c r="L50" s="9"/>
      <c r="M50" s="9"/>
      <c r="N50" s="6"/>
      <c r="O50" s="6"/>
      <c r="P50" s="6"/>
      <c r="Q50" s="6"/>
      <c r="R50" s="6"/>
      <c r="S50" s="5"/>
      <c r="T50" s="5"/>
      <c r="U50" s="5"/>
      <c r="V50" s="5"/>
      <c r="W50" s="9"/>
      <c r="X50" s="5"/>
      <c r="Y50" s="5"/>
      <c r="Z50" s="4"/>
      <c r="AA50" s="5"/>
    </row>
    <row r="51" spans="1:27" ht="12.75" x14ac:dyDescent="0.2">
      <c r="A51" s="10"/>
      <c r="B51" s="1"/>
      <c r="D51" s="6"/>
      <c r="E51" s="9"/>
      <c r="F51" s="9"/>
      <c r="G51" s="11"/>
      <c r="H51" s="5"/>
      <c r="I51" s="6"/>
      <c r="K51" s="6"/>
      <c r="L51" s="6"/>
      <c r="M51" s="6"/>
      <c r="N51" s="6"/>
      <c r="O51" s="6"/>
      <c r="P51" s="6"/>
      <c r="Q51" s="6"/>
      <c r="R51" s="6"/>
      <c r="S51" s="6"/>
      <c r="T51" s="6"/>
      <c r="U51" s="6"/>
      <c r="V51" s="6"/>
      <c r="W51" s="6"/>
      <c r="X51" s="6"/>
      <c r="Y51" s="6"/>
      <c r="Z51" s="6"/>
      <c r="AA51" s="6"/>
    </row>
    <row r="52" spans="1:27" ht="12.75" x14ac:dyDescent="0.2">
      <c r="A52" s="10"/>
      <c r="B52" s="1"/>
      <c r="D52" s="6"/>
      <c r="E52" s="9"/>
      <c r="F52" s="9"/>
      <c r="G52" s="11"/>
      <c r="H52" s="5"/>
      <c r="I52" s="6"/>
      <c r="K52" s="6"/>
      <c r="L52" s="6"/>
      <c r="M52" s="6"/>
      <c r="N52" s="6"/>
      <c r="O52" s="6"/>
      <c r="P52" s="6"/>
      <c r="Q52" s="6"/>
      <c r="R52" s="5"/>
      <c r="S52" s="6"/>
      <c r="T52" s="6"/>
      <c r="U52" s="6"/>
      <c r="V52" s="6"/>
      <c r="W52" s="6"/>
      <c r="X52" s="6"/>
      <c r="Y52" s="6"/>
      <c r="Z52" s="6"/>
      <c r="AA52" s="6"/>
    </row>
    <row r="53" spans="1:27" ht="12.75" x14ac:dyDescent="0.2">
      <c r="A53" s="10"/>
      <c r="B53" s="1"/>
      <c r="D53" s="6"/>
      <c r="E53" s="9"/>
      <c r="F53" s="9"/>
      <c r="G53" s="11"/>
      <c r="H53" s="5"/>
      <c r="I53" s="6"/>
      <c r="K53" s="6"/>
      <c r="L53" s="6"/>
      <c r="M53" s="6"/>
      <c r="N53" s="9"/>
      <c r="O53" s="9"/>
      <c r="P53" s="9"/>
      <c r="Q53" s="9"/>
      <c r="R53" s="6"/>
      <c r="S53" s="6"/>
      <c r="T53" s="6"/>
      <c r="U53" s="6"/>
      <c r="V53" s="6"/>
      <c r="W53" s="6"/>
      <c r="X53" s="6"/>
      <c r="Y53" s="6"/>
      <c r="Z53" s="6"/>
      <c r="AA53" s="6"/>
    </row>
    <row r="54" spans="1:27" ht="12.75" x14ac:dyDescent="0.2">
      <c r="A54" s="10"/>
      <c r="B54" s="1"/>
      <c r="D54" s="6"/>
      <c r="E54" s="9"/>
      <c r="F54" s="9"/>
      <c r="G54" s="11"/>
      <c r="H54" s="5"/>
      <c r="I54" s="6"/>
      <c r="K54" s="6"/>
      <c r="L54" s="6"/>
      <c r="M54" s="6"/>
      <c r="N54" s="6"/>
      <c r="O54" s="6"/>
      <c r="P54" s="6"/>
      <c r="Q54" s="6"/>
      <c r="R54" s="6"/>
      <c r="S54" s="6"/>
      <c r="T54" s="6"/>
      <c r="U54" s="6"/>
      <c r="V54" s="6"/>
      <c r="W54" s="6"/>
      <c r="X54" s="6"/>
      <c r="Y54" s="6"/>
      <c r="Z54" s="6"/>
      <c r="AA54" s="6"/>
    </row>
    <row r="55" spans="1:27" ht="12.75" x14ac:dyDescent="0.2">
      <c r="A55" s="10"/>
      <c r="B55" s="1"/>
      <c r="D55" s="6"/>
      <c r="E55" s="9"/>
      <c r="F55" s="9"/>
      <c r="G55" s="11"/>
      <c r="H55" s="5"/>
      <c r="I55" s="6"/>
      <c r="K55" s="6"/>
      <c r="L55" s="6"/>
      <c r="M55" s="6"/>
      <c r="N55" s="6"/>
      <c r="O55" s="6"/>
      <c r="P55" s="6"/>
      <c r="Q55" s="6"/>
      <c r="R55" s="6"/>
      <c r="S55" s="6"/>
      <c r="T55" s="6"/>
      <c r="U55" s="6"/>
      <c r="V55" s="6"/>
      <c r="W55" s="6"/>
      <c r="X55" s="6"/>
      <c r="Y55" s="6"/>
      <c r="Z55" s="6"/>
      <c r="AA55" s="6"/>
    </row>
    <row r="56" spans="1:27" ht="12.75" x14ac:dyDescent="0.2">
      <c r="A56" s="10"/>
      <c r="B56" s="1"/>
      <c r="D56" s="6"/>
      <c r="E56" s="9"/>
      <c r="F56" s="9"/>
      <c r="G56" s="11"/>
      <c r="H56" s="5"/>
      <c r="I56" s="6"/>
      <c r="K56" s="6"/>
      <c r="L56" s="6"/>
      <c r="M56" s="6"/>
      <c r="N56" s="6"/>
      <c r="O56" s="6"/>
      <c r="P56" s="6"/>
      <c r="Q56" s="6"/>
      <c r="R56" s="6"/>
      <c r="S56" s="6"/>
      <c r="T56" s="6"/>
      <c r="U56" s="6"/>
      <c r="V56" s="6"/>
      <c r="W56" s="6"/>
      <c r="X56" s="6"/>
      <c r="Y56" s="6"/>
      <c r="Z56" s="6"/>
      <c r="AA56" s="6"/>
    </row>
    <row r="57" spans="1:27" ht="12.75" x14ac:dyDescent="0.2">
      <c r="A57" s="10"/>
      <c r="B57" s="6"/>
      <c r="C57" s="6"/>
      <c r="D57" s="6"/>
      <c r="E57" s="9"/>
      <c r="F57" s="9"/>
      <c r="G57" s="11"/>
      <c r="H57" s="5"/>
      <c r="I57" s="6"/>
      <c r="J57" s="6"/>
      <c r="K57" s="6"/>
      <c r="L57" s="6"/>
      <c r="M57" s="6"/>
      <c r="N57" s="6"/>
      <c r="O57" s="6"/>
      <c r="P57" s="6"/>
      <c r="Q57" s="6"/>
      <c r="R57" s="6"/>
      <c r="S57" s="6"/>
      <c r="T57" s="6"/>
      <c r="U57" s="6"/>
      <c r="V57" s="6"/>
      <c r="W57" s="6"/>
      <c r="X57" s="6"/>
      <c r="Y57" s="6"/>
      <c r="Z57" s="6"/>
      <c r="AA57" s="6"/>
    </row>
    <row r="58" spans="1:27" ht="12.75" x14ac:dyDescent="0.2">
      <c r="A58" s="10"/>
      <c r="B58" s="6"/>
      <c r="C58" s="6"/>
      <c r="D58" s="6"/>
      <c r="E58" s="9"/>
      <c r="F58" s="9"/>
      <c r="G58" s="11"/>
      <c r="H58" s="5"/>
      <c r="I58" s="6"/>
      <c r="J58" s="6"/>
      <c r="K58" s="6"/>
      <c r="L58" s="6"/>
      <c r="M58" s="6"/>
      <c r="N58" s="6"/>
      <c r="O58" s="6"/>
      <c r="P58" s="6"/>
      <c r="Q58" s="6"/>
      <c r="R58" s="6"/>
      <c r="S58" s="6"/>
      <c r="T58" s="6"/>
      <c r="U58" s="6"/>
      <c r="V58" s="6"/>
      <c r="W58" s="6"/>
      <c r="X58" s="6"/>
      <c r="Y58" s="6"/>
      <c r="Z58" s="6"/>
      <c r="AA58" s="6"/>
    </row>
    <row r="59" spans="1:27" ht="12.75" x14ac:dyDescent="0.2">
      <c r="A59" s="10"/>
      <c r="B59" s="6"/>
      <c r="C59" s="6"/>
      <c r="D59" s="6"/>
      <c r="E59" s="9"/>
      <c r="F59" s="9"/>
      <c r="G59" s="11"/>
      <c r="H59" s="5"/>
      <c r="I59" s="6"/>
      <c r="J59" s="6"/>
      <c r="K59" s="6"/>
      <c r="L59" s="6"/>
      <c r="M59" s="6"/>
      <c r="N59" s="6"/>
      <c r="O59" s="6"/>
      <c r="P59" s="6"/>
      <c r="Q59" s="6"/>
      <c r="R59" s="6"/>
      <c r="S59" s="6"/>
      <c r="T59" s="6"/>
      <c r="U59" s="6"/>
      <c r="V59" s="6"/>
      <c r="W59" s="6"/>
      <c r="X59" s="6"/>
      <c r="Y59" s="6"/>
      <c r="Z59" s="6"/>
      <c r="AA59" s="6"/>
    </row>
    <row r="60" spans="1:27" ht="12.75" x14ac:dyDescent="0.2">
      <c r="A60" s="10"/>
      <c r="B60" s="6"/>
      <c r="C60" s="6"/>
      <c r="D60" s="6"/>
      <c r="E60" s="9"/>
      <c r="F60" s="9"/>
      <c r="G60" s="11"/>
      <c r="H60" s="5"/>
      <c r="I60" s="6"/>
      <c r="J60" s="6"/>
      <c r="K60" s="6"/>
      <c r="L60" s="6"/>
      <c r="M60" s="6"/>
      <c r="N60" s="6"/>
      <c r="O60" s="6"/>
      <c r="P60" s="6"/>
      <c r="Q60" s="6"/>
      <c r="R60" s="6"/>
      <c r="S60" s="6"/>
      <c r="T60" s="6"/>
      <c r="U60" s="6"/>
      <c r="V60" s="6"/>
      <c r="W60" s="6"/>
      <c r="X60" s="6"/>
      <c r="Y60" s="6"/>
      <c r="Z60" s="6"/>
      <c r="AA60" s="6"/>
    </row>
    <row r="61" spans="1:27" ht="12.75" x14ac:dyDescent="0.2">
      <c r="A61" s="10"/>
      <c r="B61" s="6"/>
      <c r="C61" s="6"/>
      <c r="D61" s="6"/>
      <c r="E61" s="9"/>
      <c r="F61" s="9"/>
      <c r="G61" s="11"/>
      <c r="H61" s="5"/>
      <c r="I61" s="6"/>
      <c r="J61" s="6"/>
      <c r="K61" s="6"/>
      <c r="L61" s="6"/>
      <c r="M61" s="6"/>
      <c r="N61" s="6"/>
      <c r="O61" s="6"/>
      <c r="P61" s="6"/>
      <c r="Q61" s="6"/>
      <c r="R61" s="6"/>
      <c r="S61" s="6"/>
      <c r="T61" s="6"/>
      <c r="U61" s="6"/>
      <c r="V61" s="6"/>
      <c r="W61" s="6"/>
      <c r="X61" s="6"/>
      <c r="Y61" s="6"/>
      <c r="Z61" s="6"/>
      <c r="AA61" s="6"/>
    </row>
    <row r="62" spans="1:27" ht="12.75" x14ac:dyDescent="0.2">
      <c r="A62" s="10"/>
      <c r="B62" s="6"/>
      <c r="C62" s="6"/>
      <c r="D62" s="6"/>
      <c r="E62" s="9"/>
      <c r="F62" s="9"/>
      <c r="G62" s="11"/>
      <c r="H62" s="5"/>
      <c r="I62" s="6"/>
      <c r="J62" s="6"/>
      <c r="K62" s="6"/>
      <c r="L62" s="6"/>
      <c r="M62" s="6"/>
      <c r="N62" s="6"/>
      <c r="O62" s="6"/>
      <c r="P62" s="6"/>
      <c r="Q62" s="6"/>
      <c r="R62" s="6"/>
      <c r="S62" s="6"/>
      <c r="T62" s="6"/>
      <c r="U62" s="6"/>
      <c r="V62" s="6"/>
      <c r="W62" s="6"/>
      <c r="X62" s="6"/>
      <c r="Y62" s="6"/>
      <c r="Z62" s="6"/>
      <c r="AA62" s="6"/>
    </row>
    <row r="63" spans="1:27" ht="12.75" x14ac:dyDescent="0.2">
      <c r="A63" s="10"/>
      <c r="B63" s="6"/>
      <c r="C63" s="6"/>
      <c r="D63" s="6"/>
      <c r="E63" s="9"/>
      <c r="F63" s="9"/>
      <c r="G63" s="11"/>
      <c r="H63" s="5"/>
      <c r="I63" s="6"/>
      <c r="J63" s="6"/>
      <c r="K63" s="6"/>
      <c r="L63" s="6"/>
      <c r="M63" s="6"/>
      <c r="N63" s="6"/>
      <c r="O63" s="6"/>
      <c r="P63" s="6"/>
      <c r="Q63" s="6"/>
      <c r="R63" s="6"/>
      <c r="S63" s="6"/>
      <c r="T63" s="6"/>
      <c r="U63" s="6"/>
      <c r="V63" s="6"/>
      <c r="W63" s="6"/>
      <c r="X63" s="6"/>
      <c r="Y63" s="6"/>
      <c r="Z63" s="6"/>
      <c r="AA63" s="6"/>
    </row>
    <row r="64" spans="1:27" ht="12.75" x14ac:dyDescent="0.2">
      <c r="A64" s="10"/>
      <c r="B64" s="6"/>
      <c r="C64" s="6"/>
      <c r="D64" s="6"/>
      <c r="E64" s="9"/>
      <c r="F64" s="9"/>
      <c r="G64" s="11"/>
      <c r="H64" s="5"/>
      <c r="I64" s="6"/>
      <c r="J64" s="6"/>
      <c r="K64" s="6"/>
      <c r="L64" s="6"/>
      <c r="M64" s="6"/>
      <c r="N64" s="6"/>
      <c r="O64" s="6"/>
      <c r="P64" s="6"/>
      <c r="Q64" s="6"/>
      <c r="R64" s="6"/>
      <c r="S64" s="6"/>
      <c r="T64" s="6"/>
      <c r="U64" s="6"/>
      <c r="V64" s="6"/>
      <c r="W64" s="6"/>
      <c r="X64" s="6"/>
      <c r="Y64" s="6"/>
      <c r="Z64" s="6"/>
      <c r="AA64" s="6"/>
    </row>
    <row r="65" spans="1:27" ht="12.75" x14ac:dyDescent="0.2">
      <c r="A65" s="10"/>
      <c r="B65" s="6"/>
      <c r="C65" s="6"/>
      <c r="D65" s="6"/>
      <c r="E65" s="9"/>
      <c r="F65" s="9"/>
      <c r="G65" s="11"/>
      <c r="H65" s="5"/>
      <c r="I65" s="6"/>
      <c r="J65" s="6"/>
      <c r="K65" s="6"/>
      <c r="L65" s="6"/>
      <c r="M65" s="6"/>
      <c r="N65" s="6"/>
      <c r="O65" s="6"/>
      <c r="P65" s="6"/>
      <c r="Q65" s="6"/>
      <c r="R65" s="6"/>
      <c r="S65" s="6"/>
      <c r="T65" s="6"/>
      <c r="U65" s="6"/>
      <c r="V65" s="6"/>
      <c r="W65" s="6"/>
      <c r="X65" s="6"/>
      <c r="Y65" s="6"/>
      <c r="Z65" s="6"/>
      <c r="AA65" s="6"/>
    </row>
    <row r="66" spans="1:27" ht="12.75" x14ac:dyDescent="0.2">
      <c r="A66" s="10"/>
      <c r="B66" s="6"/>
      <c r="C66" s="6"/>
      <c r="D66" s="6"/>
      <c r="E66" s="9"/>
      <c r="F66" s="9"/>
      <c r="G66" s="11"/>
      <c r="H66" s="5"/>
      <c r="I66" s="6"/>
      <c r="J66" s="6"/>
      <c r="K66" s="6"/>
      <c r="L66" s="6"/>
      <c r="M66" s="6"/>
      <c r="N66" s="6"/>
      <c r="O66" s="6"/>
      <c r="P66" s="6"/>
      <c r="Q66" s="6"/>
      <c r="R66" s="6"/>
      <c r="S66" s="6"/>
      <c r="T66" s="6"/>
      <c r="U66" s="6"/>
      <c r="V66" s="6"/>
      <c r="W66" s="6"/>
      <c r="X66" s="6"/>
      <c r="Y66" s="6"/>
      <c r="Z66" s="6"/>
      <c r="AA66" s="6"/>
    </row>
    <row r="67" spans="1:27" ht="12.75" x14ac:dyDescent="0.2">
      <c r="A67" s="10"/>
      <c r="B67" s="6"/>
      <c r="C67" s="6"/>
      <c r="D67" s="6"/>
      <c r="E67" s="9"/>
      <c r="F67" s="9"/>
      <c r="G67" s="11"/>
      <c r="H67" s="5"/>
      <c r="I67" s="6"/>
      <c r="J67" s="6"/>
      <c r="K67" s="6"/>
      <c r="L67" s="6"/>
      <c r="M67" s="6"/>
      <c r="N67" s="6"/>
      <c r="O67" s="6"/>
      <c r="P67" s="6"/>
      <c r="Q67" s="6"/>
      <c r="R67" s="6"/>
      <c r="S67" s="6"/>
      <c r="T67" s="6"/>
      <c r="U67" s="6"/>
      <c r="V67" s="6"/>
      <c r="W67" s="6"/>
      <c r="X67" s="6"/>
      <c r="Y67" s="6"/>
      <c r="Z67" s="6"/>
      <c r="AA67" s="6"/>
    </row>
    <row r="68" spans="1:27" ht="12.75" x14ac:dyDescent="0.2">
      <c r="A68" s="10"/>
      <c r="B68" s="6"/>
      <c r="C68" s="6"/>
      <c r="D68" s="6"/>
      <c r="E68" s="9"/>
      <c r="F68" s="9"/>
      <c r="G68" s="11"/>
      <c r="H68" s="5"/>
      <c r="I68" s="6"/>
      <c r="J68" s="6"/>
      <c r="K68" s="9"/>
      <c r="L68" s="9"/>
      <c r="M68" s="9"/>
      <c r="N68" s="6"/>
      <c r="O68" s="6"/>
      <c r="P68" s="6"/>
      <c r="Q68" s="6"/>
      <c r="R68" s="6"/>
      <c r="S68" s="5"/>
      <c r="T68" s="5"/>
      <c r="U68" s="5"/>
      <c r="V68" s="5"/>
      <c r="W68" s="9"/>
      <c r="X68" s="5"/>
      <c r="Y68" s="5"/>
      <c r="Z68" s="4"/>
      <c r="AA68" s="5"/>
    </row>
    <row r="69" spans="1:27" ht="12.75" x14ac:dyDescent="0.2">
      <c r="A69" s="10"/>
      <c r="B69" s="6"/>
      <c r="C69" s="6"/>
      <c r="D69" s="6"/>
      <c r="E69" s="9"/>
      <c r="F69" s="9"/>
      <c r="G69" s="11"/>
      <c r="H69" s="5"/>
      <c r="I69" s="6"/>
      <c r="J69" s="6"/>
      <c r="K69" s="6"/>
      <c r="L69" s="6"/>
      <c r="M69" s="6"/>
      <c r="N69" s="6"/>
      <c r="O69" s="6"/>
      <c r="P69" s="6"/>
      <c r="Q69" s="6"/>
      <c r="R69" s="6"/>
      <c r="S69" s="6"/>
      <c r="T69" s="6"/>
      <c r="U69" s="6"/>
      <c r="V69" s="6"/>
      <c r="W69" s="6"/>
      <c r="X69" s="6"/>
      <c r="Y69" s="6"/>
      <c r="Z69" s="6"/>
      <c r="AA69" s="6"/>
    </row>
    <row r="70" spans="1:27" ht="12.75" x14ac:dyDescent="0.2">
      <c r="A70" s="10"/>
      <c r="B70" s="6"/>
      <c r="C70" s="6"/>
      <c r="D70" s="6"/>
      <c r="E70" s="9"/>
      <c r="F70" s="9"/>
      <c r="G70" s="11"/>
      <c r="H70" s="5"/>
      <c r="I70" s="6"/>
      <c r="J70" s="6"/>
      <c r="K70" s="6"/>
      <c r="L70" s="6"/>
      <c r="M70" s="6"/>
      <c r="N70" s="6"/>
      <c r="O70" s="6"/>
      <c r="P70" s="6"/>
      <c r="Q70" s="6"/>
      <c r="R70" s="5"/>
      <c r="S70" s="6"/>
      <c r="T70" s="6"/>
      <c r="U70" s="6"/>
      <c r="V70" s="6"/>
      <c r="W70" s="6"/>
      <c r="X70" s="6"/>
      <c r="Y70" s="6"/>
      <c r="Z70" s="6"/>
      <c r="AA70" s="6"/>
    </row>
    <row r="71" spans="1:27" ht="12.75" x14ac:dyDescent="0.2">
      <c r="A71" s="10"/>
      <c r="B71" s="6"/>
      <c r="C71" s="6"/>
      <c r="D71" s="6"/>
      <c r="E71" s="9"/>
      <c r="F71" s="9"/>
      <c r="G71" s="11"/>
      <c r="H71" s="5"/>
      <c r="I71" s="6"/>
      <c r="J71" s="6"/>
      <c r="K71" s="6"/>
      <c r="L71" s="6"/>
      <c r="M71" s="6"/>
      <c r="N71" s="9"/>
      <c r="O71" s="9"/>
      <c r="P71" s="9"/>
      <c r="Q71" s="9"/>
      <c r="R71" s="6"/>
      <c r="S71" s="6"/>
      <c r="T71" s="6"/>
      <c r="U71" s="6"/>
      <c r="V71" s="6"/>
      <c r="W71" s="6"/>
      <c r="X71" s="6"/>
      <c r="Y71" s="6"/>
      <c r="Z71" s="6"/>
      <c r="AA71" s="6"/>
    </row>
    <row r="72" spans="1:27" ht="12.75" x14ac:dyDescent="0.2">
      <c r="A72" s="10"/>
      <c r="B72" s="6"/>
      <c r="C72" s="6"/>
      <c r="D72" s="6"/>
      <c r="E72" s="9"/>
      <c r="F72" s="9"/>
      <c r="G72" s="11"/>
      <c r="H72" s="5"/>
      <c r="I72" s="6"/>
      <c r="J72" s="6"/>
      <c r="K72" s="6"/>
      <c r="L72" s="6"/>
      <c r="M72" s="6"/>
      <c r="N72" s="6"/>
      <c r="O72" s="6"/>
      <c r="P72" s="6"/>
      <c r="Q72" s="6"/>
      <c r="R72" s="6"/>
      <c r="S72" s="6"/>
      <c r="T72" s="6"/>
      <c r="U72" s="6"/>
      <c r="V72" s="6"/>
      <c r="W72" s="6"/>
      <c r="X72" s="6"/>
      <c r="Y72" s="6"/>
      <c r="Z72" s="6"/>
      <c r="AA72" s="6"/>
    </row>
    <row r="73" spans="1:27" ht="12.75" x14ac:dyDescent="0.2">
      <c r="A73" s="10"/>
      <c r="B73" s="6"/>
      <c r="C73" s="6"/>
      <c r="D73" s="6"/>
      <c r="E73" s="9"/>
      <c r="F73" s="9"/>
      <c r="G73" s="11"/>
      <c r="H73" s="5"/>
      <c r="I73" s="6"/>
      <c r="J73" s="6"/>
      <c r="K73" s="6"/>
      <c r="L73" s="6"/>
      <c r="M73" s="6"/>
      <c r="N73" s="6"/>
      <c r="O73" s="6"/>
      <c r="P73" s="6"/>
      <c r="Q73" s="6"/>
      <c r="R73" s="6"/>
      <c r="S73" s="6"/>
      <c r="T73" s="6"/>
      <c r="U73" s="6"/>
      <c r="V73" s="6"/>
      <c r="W73" s="6"/>
      <c r="X73" s="6"/>
      <c r="Y73" s="6"/>
      <c r="Z73" s="6"/>
      <c r="AA73" s="6"/>
    </row>
    <row r="74" spans="1:27" ht="12.75" x14ac:dyDescent="0.2">
      <c r="B74" s="6"/>
      <c r="C74" s="6"/>
      <c r="D74" s="6"/>
      <c r="E74" s="9"/>
      <c r="F74" s="9"/>
      <c r="G74" s="11"/>
      <c r="H74" s="5"/>
      <c r="I74" s="6"/>
      <c r="J74" s="6"/>
      <c r="K74" s="6"/>
      <c r="L74" s="6"/>
      <c r="M74" s="6"/>
      <c r="N74" s="6"/>
      <c r="O74" s="6"/>
      <c r="P74" s="6"/>
      <c r="Q74" s="6"/>
      <c r="R74" s="6"/>
      <c r="S74" s="6"/>
      <c r="T74" s="6"/>
      <c r="U74" s="6"/>
      <c r="V74" s="6"/>
      <c r="W74" s="6"/>
      <c r="X74" s="6"/>
      <c r="Y74" s="6"/>
      <c r="Z74" s="6"/>
      <c r="AA74" s="6"/>
    </row>
    <row r="75" spans="1:27" ht="12.75" x14ac:dyDescent="0.2">
      <c r="B75" s="6"/>
      <c r="C75" s="6"/>
      <c r="D75" s="6"/>
      <c r="E75" s="9"/>
      <c r="F75" s="9"/>
      <c r="G75" s="11"/>
      <c r="H75" s="5"/>
      <c r="K75" s="6"/>
      <c r="L75" s="6"/>
      <c r="M75" s="6"/>
      <c r="N75" s="6"/>
      <c r="O75" s="6"/>
      <c r="P75" s="6"/>
      <c r="Q75" s="6"/>
      <c r="R75" s="6"/>
      <c r="S75" s="6"/>
      <c r="T75" s="6"/>
      <c r="U75" s="6"/>
      <c r="V75" s="6"/>
      <c r="W75" s="6"/>
      <c r="X75" s="6"/>
      <c r="Y75" s="6"/>
      <c r="Z75" s="6"/>
      <c r="AA75" s="6"/>
    </row>
    <row r="76" spans="1:27" ht="12.75" x14ac:dyDescent="0.2">
      <c r="A76" s="10"/>
      <c r="B76" s="6"/>
      <c r="C76" s="6"/>
      <c r="D76" s="6"/>
      <c r="E76" s="9"/>
      <c r="F76" s="9"/>
      <c r="G76" s="11"/>
      <c r="H76" s="5"/>
      <c r="I76" s="6"/>
      <c r="J76" s="6"/>
      <c r="K76" s="6"/>
      <c r="L76" s="6"/>
      <c r="M76" s="6"/>
      <c r="N76" s="6"/>
      <c r="O76" s="6"/>
      <c r="P76" s="6"/>
      <c r="Q76" s="6"/>
      <c r="R76" s="6"/>
      <c r="S76" s="6"/>
      <c r="T76" s="6"/>
      <c r="U76" s="6"/>
      <c r="V76" s="6"/>
      <c r="W76" s="6"/>
      <c r="X76" s="6"/>
      <c r="Y76" s="6"/>
      <c r="Z76" s="6"/>
      <c r="AA76" s="6"/>
    </row>
    <row r="77" spans="1:27" ht="12.75" x14ac:dyDescent="0.2">
      <c r="A77" s="10"/>
      <c r="B77" s="6"/>
      <c r="C77" s="6"/>
      <c r="D77" s="6"/>
      <c r="E77" s="9"/>
      <c r="F77" s="9"/>
      <c r="G77" s="11"/>
      <c r="H77" s="5"/>
      <c r="I77" s="6"/>
      <c r="J77" s="6"/>
      <c r="K77" s="6"/>
      <c r="L77" s="6"/>
      <c r="M77" s="6"/>
      <c r="N77" s="6"/>
      <c r="O77" s="6"/>
      <c r="P77" s="6"/>
      <c r="Q77" s="6"/>
      <c r="R77" s="6"/>
      <c r="S77" s="6"/>
      <c r="T77" s="6"/>
      <c r="U77" s="6"/>
      <c r="V77" s="6"/>
      <c r="W77" s="6"/>
      <c r="X77" s="6"/>
      <c r="Y77" s="6"/>
      <c r="Z77" s="6"/>
      <c r="AA77" s="6"/>
    </row>
    <row r="78" spans="1:27" ht="12.75" x14ac:dyDescent="0.2">
      <c r="A78" s="10"/>
      <c r="B78" s="6"/>
      <c r="C78" s="6"/>
      <c r="D78" s="6"/>
      <c r="E78" s="9"/>
      <c r="F78" s="9"/>
      <c r="G78" s="11"/>
      <c r="H78" s="5"/>
      <c r="I78" s="6"/>
      <c r="J78" s="6"/>
      <c r="K78" s="6"/>
      <c r="L78" s="6"/>
      <c r="M78" s="6"/>
      <c r="N78" s="6"/>
      <c r="O78" s="6"/>
      <c r="P78" s="6"/>
      <c r="Q78" s="6"/>
      <c r="R78" s="6"/>
      <c r="S78" s="6"/>
      <c r="T78" s="6"/>
      <c r="U78" s="6"/>
      <c r="V78" s="6"/>
      <c r="W78" s="6"/>
      <c r="X78" s="6"/>
      <c r="Y78" s="6"/>
      <c r="Z78" s="6"/>
      <c r="AA78" s="6"/>
    </row>
    <row r="79" spans="1:27" ht="12.75" x14ac:dyDescent="0.2">
      <c r="A79" s="10"/>
      <c r="B79" s="6"/>
      <c r="C79" s="6"/>
      <c r="D79" s="6"/>
      <c r="E79" s="9"/>
      <c r="F79" s="9"/>
      <c r="G79" s="11"/>
      <c r="H79" s="5"/>
      <c r="I79" s="6"/>
      <c r="J79" s="6"/>
      <c r="K79" s="6"/>
      <c r="L79" s="6"/>
      <c r="M79" s="6"/>
      <c r="N79" s="6"/>
      <c r="O79" s="6"/>
      <c r="P79" s="6"/>
      <c r="Q79" s="6"/>
      <c r="R79" s="6"/>
      <c r="S79" s="6"/>
      <c r="T79" s="6"/>
      <c r="U79" s="6"/>
      <c r="V79" s="6"/>
      <c r="W79" s="6"/>
      <c r="X79" s="6"/>
      <c r="Y79" s="6"/>
      <c r="Z79" s="6"/>
      <c r="AA79" s="6"/>
    </row>
    <row r="80" spans="1:27" ht="12.75" x14ac:dyDescent="0.2">
      <c r="A80" s="10"/>
      <c r="B80" s="6"/>
      <c r="C80" s="6"/>
      <c r="D80" s="6"/>
      <c r="E80" s="9"/>
      <c r="F80" s="9"/>
      <c r="G80" s="11"/>
      <c r="H80" s="5"/>
      <c r="I80" s="6"/>
      <c r="J80" s="6"/>
      <c r="K80" s="6"/>
      <c r="L80" s="6"/>
      <c r="M80" s="6"/>
      <c r="N80" s="6"/>
      <c r="O80" s="6"/>
      <c r="P80" s="6"/>
      <c r="Q80" s="6"/>
      <c r="R80" s="6"/>
      <c r="S80" s="6"/>
      <c r="T80" s="6"/>
      <c r="U80" s="6"/>
      <c r="V80" s="6"/>
      <c r="W80" s="6"/>
      <c r="X80" s="6"/>
      <c r="Y80" s="6"/>
      <c r="Z80" s="6"/>
      <c r="AA80" s="6"/>
    </row>
    <row r="81" spans="1:27" ht="12.75" x14ac:dyDescent="0.2">
      <c r="A81" s="10"/>
      <c r="B81" s="6"/>
      <c r="C81" s="6"/>
      <c r="D81" s="6"/>
      <c r="E81" s="9"/>
      <c r="F81" s="9"/>
      <c r="G81" s="11"/>
      <c r="H81" s="5"/>
      <c r="I81" s="6"/>
      <c r="J81" s="6"/>
      <c r="K81" s="6"/>
      <c r="L81" s="6"/>
      <c r="M81" s="6"/>
      <c r="N81" s="6"/>
      <c r="O81" s="6"/>
      <c r="P81" s="6"/>
      <c r="Q81" s="6"/>
      <c r="R81" s="6"/>
      <c r="S81" s="6"/>
      <c r="T81" s="6"/>
      <c r="U81" s="6"/>
      <c r="V81" s="6"/>
      <c r="W81" s="6"/>
      <c r="X81" s="6"/>
      <c r="Y81" s="6"/>
      <c r="Z81" s="6"/>
      <c r="AA81" s="6"/>
    </row>
    <row r="82" spans="1:27" ht="12.75" x14ac:dyDescent="0.2">
      <c r="A82" s="10"/>
      <c r="B82" s="6"/>
      <c r="C82" s="6"/>
      <c r="D82" s="6"/>
      <c r="E82" s="9"/>
      <c r="F82" s="9"/>
      <c r="G82" s="11"/>
      <c r="H82" s="5"/>
      <c r="I82" s="6"/>
      <c r="J82" s="6"/>
      <c r="K82" s="6"/>
      <c r="L82" s="6"/>
      <c r="M82" s="6"/>
      <c r="N82" s="6"/>
      <c r="O82" s="6"/>
      <c r="P82" s="6"/>
      <c r="Q82" s="6"/>
      <c r="R82" s="6"/>
      <c r="S82" s="6"/>
      <c r="T82" s="6"/>
      <c r="U82" s="6"/>
      <c r="V82" s="6"/>
      <c r="W82" s="6"/>
      <c r="X82" s="6"/>
      <c r="Y82" s="6"/>
      <c r="Z82" s="6"/>
      <c r="AA82" s="6"/>
    </row>
    <row r="83" spans="1:27" ht="12.75" x14ac:dyDescent="0.2">
      <c r="A83" s="10"/>
      <c r="B83" s="6"/>
      <c r="C83" s="6"/>
      <c r="D83" s="6"/>
      <c r="E83" s="9"/>
      <c r="F83" s="9"/>
      <c r="G83" s="11"/>
      <c r="H83" s="5"/>
      <c r="I83" s="6"/>
      <c r="J83" s="6"/>
      <c r="K83" s="6"/>
      <c r="L83" s="6"/>
      <c r="M83" s="6"/>
      <c r="N83" s="6"/>
      <c r="O83" s="6"/>
      <c r="P83" s="6"/>
      <c r="Q83" s="6"/>
      <c r="R83" s="6"/>
      <c r="S83" s="6"/>
      <c r="T83" s="6"/>
      <c r="U83" s="6"/>
      <c r="V83" s="6"/>
      <c r="W83" s="6"/>
      <c r="X83" s="6"/>
      <c r="Y83" s="6"/>
      <c r="Z83" s="6"/>
      <c r="AA83" s="6"/>
    </row>
    <row r="84" spans="1:27" ht="12.75" x14ac:dyDescent="0.2">
      <c r="A84" s="10"/>
      <c r="B84" s="6"/>
      <c r="C84" s="6"/>
      <c r="D84" s="6"/>
      <c r="E84" s="9"/>
      <c r="F84" s="9"/>
      <c r="G84" s="11"/>
      <c r="H84" s="5"/>
      <c r="I84" s="6"/>
      <c r="J84" s="6"/>
      <c r="K84" s="6"/>
      <c r="L84" s="6"/>
      <c r="M84" s="6"/>
      <c r="N84" s="6"/>
      <c r="O84" s="6"/>
      <c r="P84" s="6"/>
      <c r="Q84" s="6"/>
      <c r="R84" s="6"/>
      <c r="S84" s="6"/>
      <c r="T84" s="6"/>
      <c r="U84" s="6"/>
      <c r="V84" s="6"/>
      <c r="W84" s="6"/>
      <c r="X84" s="6"/>
      <c r="Y84" s="6"/>
      <c r="Z84" s="6"/>
      <c r="AA84" s="6"/>
    </row>
    <row r="85" spans="1:27" ht="12.75" x14ac:dyDescent="0.2">
      <c r="A85" s="10"/>
      <c r="B85" s="6"/>
      <c r="C85" s="6"/>
      <c r="D85" s="6"/>
      <c r="E85" s="9"/>
      <c r="F85" s="9"/>
      <c r="G85" s="11"/>
      <c r="H85" s="5"/>
      <c r="I85" s="6"/>
      <c r="J85" s="6"/>
      <c r="K85" s="9"/>
      <c r="L85" s="9"/>
      <c r="M85" s="9"/>
      <c r="N85" s="6"/>
      <c r="O85" s="6"/>
      <c r="P85" s="6"/>
      <c r="Q85" s="6"/>
      <c r="R85" s="6"/>
      <c r="S85" s="5"/>
      <c r="T85" s="5"/>
      <c r="U85" s="5"/>
      <c r="V85" s="5"/>
      <c r="W85" s="9"/>
      <c r="X85" s="5"/>
      <c r="Y85" s="5"/>
      <c r="Z85" s="4"/>
      <c r="AA85" s="5"/>
    </row>
    <row r="86" spans="1:27" ht="12.75" x14ac:dyDescent="0.2">
      <c r="A86" s="10"/>
      <c r="B86" s="6"/>
      <c r="C86" s="6"/>
      <c r="D86" s="6"/>
      <c r="E86" s="9"/>
      <c r="F86" s="9"/>
      <c r="G86" s="11"/>
      <c r="H86" s="5"/>
      <c r="I86" s="6"/>
      <c r="J86" s="6"/>
      <c r="K86" s="6"/>
      <c r="L86" s="6"/>
      <c r="M86" s="6"/>
      <c r="N86" s="6"/>
      <c r="O86" s="6"/>
      <c r="P86" s="6"/>
      <c r="Q86" s="6"/>
      <c r="R86" s="6"/>
      <c r="S86" s="6"/>
      <c r="T86" s="6"/>
      <c r="U86" s="6"/>
      <c r="V86" s="6"/>
      <c r="W86" s="6"/>
      <c r="X86" s="6"/>
      <c r="Y86" s="6"/>
      <c r="Z86" s="6"/>
      <c r="AA86" s="6"/>
    </row>
    <row r="87" spans="1:27" ht="12.75" x14ac:dyDescent="0.2">
      <c r="A87" s="10"/>
      <c r="B87" s="6"/>
      <c r="C87" s="6"/>
      <c r="D87" s="6"/>
      <c r="E87" s="9"/>
      <c r="F87" s="9"/>
      <c r="G87" s="11"/>
      <c r="H87" s="5"/>
      <c r="I87" s="6"/>
      <c r="J87" s="6"/>
      <c r="K87" s="6"/>
      <c r="L87" s="6"/>
      <c r="M87" s="6"/>
      <c r="N87" s="6"/>
      <c r="O87" s="6"/>
      <c r="P87" s="6"/>
      <c r="Q87" s="6"/>
      <c r="R87" s="5"/>
      <c r="S87" s="6"/>
      <c r="T87" s="6"/>
      <c r="U87" s="6"/>
      <c r="V87" s="6"/>
      <c r="W87" s="6"/>
      <c r="X87" s="6"/>
      <c r="Y87" s="6"/>
      <c r="Z87" s="6"/>
      <c r="AA87" s="6"/>
    </row>
    <row r="88" spans="1:27" ht="12.75" x14ac:dyDescent="0.2">
      <c r="A88" s="10"/>
      <c r="B88" s="6"/>
      <c r="C88" s="6"/>
      <c r="D88" s="6"/>
      <c r="E88" s="9"/>
      <c r="F88" s="9"/>
      <c r="G88" s="11"/>
      <c r="H88" s="5"/>
      <c r="I88" s="6"/>
      <c r="J88" s="6"/>
      <c r="K88" s="6"/>
      <c r="L88" s="6"/>
      <c r="M88" s="6"/>
      <c r="N88" s="9"/>
      <c r="O88" s="9"/>
      <c r="P88" s="9"/>
      <c r="Q88" s="9"/>
      <c r="R88" s="6"/>
      <c r="S88" s="6"/>
      <c r="T88" s="6"/>
      <c r="U88" s="6"/>
      <c r="V88" s="6"/>
      <c r="W88" s="6"/>
      <c r="X88" s="6"/>
      <c r="Y88" s="6"/>
      <c r="Z88" s="6"/>
      <c r="AA88" s="6"/>
    </row>
    <row r="89" spans="1:27" ht="12.75" x14ac:dyDescent="0.2">
      <c r="A89" s="10"/>
      <c r="B89" s="6"/>
      <c r="C89" s="6"/>
      <c r="D89" s="6"/>
      <c r="E89" s="9"/>
      <c r="F89" s="9"/>
      <c r="G89" s="11"/>
      <c r="H89" s="5"/>
      <c r="I89" s="6"/>
      <c r="J89" s="6"/>
      <c r="K89" s="6"/>
      <c r="L89" s="6"/>
      <c r="M89" s="6"/>
      <c r="N89" s="6"/>
      <c r="O89" s="6"/>
      <c r="P89" s="6"/>
      <c r="Q89" s="6"/>
      <c r="R89" s="6"/>
      <c r="S89" s="6"/>
      <c r="T89" s="6"/>
      <c r="U89" s="6"/>
      <c r="V89" s="6"/>
      <c r="W89" s="6"/>
      <c r="X89" s="6"/>
      <c r="Y89" s="6"/>
      <c r="Z89" s="6"/>
      <c r="AA89" s="6"/>
    </row>
    <row r="90" spans="1:27" ht="12.75" x14ac:dyDescent="0.2">
      <c r="A90" s="10"/>
      <c r="B90" s="6"/>
      <c r="C90" s="6"/>
      <c r="D90" s="6"/>
      <c r="E90" s="9"/>
      <c r="F90" s="9"/>
      <c r="G90" s="11"/>
      <c r="H90" s="5"/>
      <c r="I90" s="6"/>
      <c r="J90" s="6"/>
      <c r="K90" s="6"/>
      <c r="L90" s="6"/>
      <c r="M90" s="6"/>
      <c r="N90" s="6"/>
      <c r="O90" s="6"/>
      <c r="P90" s="6"/>
      <c r="Q90" s="6"/>
      <c r="R90" s="6"/>
      <c r="S90" s="6"/>
      <c r="T90" s="6"/>
      <c r="U90" s="6"/>
      <c r="V90" s="6"/>
      <c r="W90" s="6"/>
      <c r="X90" s="6"/>
      <c r="Y90" s="6"/>
      <c r="Z90" s="6"/>
      <c r="AA90" s="6"/>
    </row>
    <row r="91" spans="1:27" ht="12.75" x14ac:dyDescent="0.2">
      <c r="B91" s="6"/>
      <c r="C91" s="6"/>
      <c r="D91" s="6"/>
      <c r="E91" s="9"/>
      <c r="F91" s="9"/>
      <c r="G91" s="11"/>
      <c r="H91" s="5"/>
      <c r="I91" s="6"/>
      <c r="J91" s="6"/>
      <c r="K91" s="6"/>
      <c r="L91" s="6"/>
      <c r="M91" s="6"/>
      <c r="N91" s="6"/>
      <c r="O91" s="6"/>
      <c r="P91" s="6"/>
      <c r="Q91" s="6"/>
      <c r="R91" s="6"/>
      <c r="S91" s="6"/>
      <c r="T91" s="6"/>
      <c r="U91" s="6"/>
      <c r="V91" s="6"/>
      <c r="W91" s="6"/>
      <c r="X91" s="6"/>
      <c r="Y91" s="6"/>
      <c r="Z91" s="6"/>
      <c r="AA91" s="6"/>
    </row>
    <row r="92" spans="1:27" ht="12.75" x14ac:dyDescent="0.2">
      <c r="A92" s="10"/>
      <c r="B92" s="6"/>
      <c r="C92" s="6"/>
      <c r="D92" s="6"/>
      <c r="E92" s="9"/>
      <c r="F92" s="9"/>
      <c r="G92" s="11"/>
      <c r="H92" s="5"/>
      <c r="I92" s="6"/>
      <c r="J92" s="6"/>
      <c r="K92" s="6"/>
      <c r="L92" s="6"/>
      <c r="M92" s="6"/>
      <c r="N92" s="6"/>
      <c r="O92" s="6"/>
      <c r="P92" s="6"/>
      <c r="Q92" s="6"/>
      <c r="R92" s="6"/>
      <c r="S92" s="6"/>
      <c r="T92" s="6"/>
      <c r="U92" s="6"/>
      <c r="V92" s="6"/>
      <c r="W92" s="6"/>
      <c r="X92" s="6"/>
      <c r="Y92" s="6"/>
      <c r="Z92" s="6"/>
      <c r="AA92" s="6"/>
    </row>
    <row r="93" spans="1:27" ht="12.75" x14ac:dyDescent="0.2">
      <c r="A93" s="10"/>
      <c r="B93" s="6"/>
      <c r="C93" s="6"/>
      <c r="D93" s="6"/>
      <c r="E93" s="9"/>
      <c r="F93" s="9"/>
      <c r="G93" s="11"/>
      <c r="H93" s="5"/>
      <c r="I93" s="6"/>
      <c r="J93" s="6"/>
      <c r="K93" s="6"/>
      <c r="L93" s="6"/>
      <c r="M93" s="6"/>
      <c r="N93" s="6"/>
      <c r="O93" s="6"/>
      <c r="P93" s="6"/>
      <c r="Q93" s="6"/>
      <c r="R93" s="6"/>
      <c r="S93" s="6"/>
      <c r="T93" s="6"/>
      <c r="U93" s="6"/>
      <c r="V93" s="6"/>
      <c r="W93" s="6"/>
      <c r="X93" s="6"/>
      <c r="Y93" s="6"/>
      <c r="Z93" s="6"/>
      <c r="AA93" s="6"/>
    </row>
    <row r="94" spans="1:27" ht="12.75" x14ac:dyDescent="0.2">
      <c r="A94" s="10"/>
      <c r="B94" s="6"/>
      <c r="C94" s="6"/>
      <c r="D94" s="6"/>
      <c r="E94" s="9"/>
      <c r="F94" s="9"/>
      <c r="G94" s="11"/>
      <c r="H94" s="5"/>
      <c r="I94" s="6"/>
      <c r="J94" s="6"/>
      <c r="K94" s="6"/>
      <c r="L94" s="6"/>
      <c r="M94" s="6"/>
      <c r="N94" s="6"/>
      <c r="O94" s="6"/>
      <c r="P94" s="6"/>
      <c r="Q94" s="6"/>
      <c r="R94" s="6"/>
      <c r="S94" s="6"/>
      <c r="T94" s="6"/>
      <c r="U94" s="6"/>
      <c r="V94" s="6"/>
      <c r="W94" s="6"/>
      <c r="X94" s="6"/>
      <c r="Y94" s="6"/>
      <c r="Z94" s="6"/>
      <c r="AA94" s="6"/>
    </row>
    <row r="95" spans="1:27" ht="12.75" x14ac:dyDescent="0.2">
      <c r="A95" s="10"/>
      <c r="B95" s="6"/>
      <c r="C95" s="6"/>
      <c r="D95" s="6"/>
      <c r="E95" s="9"/>
      <c r="F95" s="9"/>
      <c r="G95" s="11"/>
      <c r="H95" s="5"/>
      <c r="I95" s="6"/>
      <c r="J95" s="6"/>
      <c r="K95" s="6"/>
      <c r="L95" s="6"/>
      <c r="M95" s="6"/>
      <c r="N95" s="6"/>
      <c r="O95" s="6"/>
      <c r="P95" s="6"/>
      <c r="Q95" s="6"/>
      <c r="R95" s="6"/>
      <c r="S95" s="6"/>
      <c r="T95" s="6"/>
      <c r="U95" s="6"/>
      <c r="V95" s="6"/>
      <c r="W95" s="6"/>
      <c r="X95" s="6"/>
      <c r="Y95" s="6"/>
      <c r="Z95" s="6"/>
      <c r="AA95" s="6"/>
    </row>
    <row r="96" spans="1:27" ht="12.75" x14ac:dyDescent="0.2">
      <c r="A96" s="10"/>
      <c r="B96" s="6"/>
      <c r="C96" s="6"/>
      <c r="D96" s="6"/>
      <c r="E96" s="9"/>
      <c r="F96" s="9"/>
      <c r="G96" s="11"/>
      <c r="H96" s="5"/>
      <c r="I96" s="6"/>
      <c r="J96" s="6"/>
      <c r="K96" s="6"/>
      <c r="L96" s="6"/>
      <c r="M96" s="6"/>
      <c r="N96" s="6"/>
      <c r="O96" s="6"/>
      <c r="P96" s="6"/>
      <c r="Q96" s="6"/>
      <c r="R96" s="6"/>
      <c r="S96" s="6"/>
      <c r="T96" s="6"/>
      <c r="U96" s="6"/>
      <c r="V96" s="6"/>
      <c r="W96" s="6"/>
      <c r="X96" s="6"/>
      <c r="Y96" s="6"/>
      <c r="Z96" s="6"/>
      <c r="AA96" s="6"/>
    </row>
    <row r="97" spans="1:27" ht="12.75" x14ac:dyDescent="0.2">
      <c r="A97" s="10"/>
      <c r="B97" s="6"/>
      <c r="C97" s="6"/>
      <c r="D97" s="6"/>
      <c r="E97" s="9"/>
      <c r="F97" s="9"/>
      <c r="G97" s="11"/>
      <c r="H97" s="5"/>
      <c r="I97" s="6"/>
      <c r="J97" s="6"/>
      <c r="K97" s="6"/>
      <c r="L97" s="6"/>
      <c r="M97" s="6"/>
      <c r="N97" s="6"/>
      <c r="O97" s="6"/>
      <c r="P97" s="6"/>
      <c r="Q97" s="6"/>
      <c r="R97" s="6"/>
      <c r="S97" s="6"/>
      <c r="T97" s="6"/>
      <c r="U97" s="6"/>
      <c r="V97" s="6"/>
      <c r="W97" s="6"/>
      <c r="X97" s="6"/>
      <c r="Y97" s="6"/>
      <c r="Z97" s="6"/>
      <c r="AA97" s="6"/>
    </row>
    <row r="98" spans="1:27" ht="12.75" x14ac:dyDescent="0.2">
      <c r="A98" s="10"/>
      <c r="B98" s="6"/>
      <c r="C98" s="6"/>
      <c r="D98" s="6"/>
      <c r="E98" s="9"/>
      <c r="F98" s="9"/>
      <c r="G98" s="11"/>
      <c r="H98" s="5"/>
      <c r="I98" s="6"/>
      <c r="J98" s="6"/>
      <c r="K98" s="6"/>
      <c r="L98" s="6"/>
      <c r="M98" s="6"/>
      <c r="N98" s="6"/>
      <c r="O98" s="6"/>
      <c r="P98" s="6"/>
      <c r="Q98" s="6"/>
      <c r="R98" s="6"/>
      <c r="S98" s="6"/>
      <c r="T98" s="6"/>
      <c r="U98" s="6"/>
      <c r="V98" s="6"/>
      <c r="W98" s="6"/>
      <c r="X98" s="6"/>
      <c r="Y98" s="6"/>
      <c r="Z98" s="6"/>
      <c r="AA98" s="6"/>
    </row>
    <row r="99" spans="1:27" ht="12.75" x14ac:dyDescent="0.2">
      <c r="A99" s="10"/>
      <c r="B99" s="6"/>
      <c r="C99" s="6"/>
      <c r="D99" s="6"/>
      <c r="E99" s="9"/>
      <c r="F99" s="9"/>
      <c r="G99" s="11"/>
      <c r="H99" s="5"/>
      <c r="I99" s="6"/>
      <c r="J99" s="6"/>
      <c r="K99" s="6"/>
      <c r="L99" s="6"/>
      <c r="M99" s="6"/>
      <c r="N99" s="6"/>
      <c r="O99" s="6"/>
      <c r="P99" s="6"/>
      <c r="Q99" s="6"/>
      <c r="R99" s="6"/>
      <c r="S99" s="6"/>
      <c r="T99" s="6"/>
      <c r="U99" s="6"/>
      <c r="V99" s="6"/>
      <c r="W99" s="6"/>
      <c r="X99" s="6"/>
      <c r="Y99" s="6"/>
      <c r="Z99" s="6"/>
      <c r="AA99" s="6"/>
    </row>
    <row r="100" spans="1:27" ht="12.75" x14ac:dyDescent="0.2">
      <c r="A100" s="10"/>
      <c r="B100" s="6"/>
      <c r="C100" s="6"/>
      <c r="D100" s="6"/>
      <c r="E100" s="9"/>
      <c r="F100" s="9"/>
      <c r="G100" s="11"/>
      <c r="H100" s="5"/>
      <c r="I100" s="6"/>
      <c r="J100" s="6"/>
      <c r="K100" s="6"/>
      <c r="L100" s="6"/>
      <c r="M100" s="6"/>
      <c r="N100" s="6"/>
      <c r="O100" s="6"/>
      <c r="P100" s="6"/>
      <c r="Q100" s="6"/>
      <c r="R100" s="6"/>
      <c r="S100" s="6"/>
      <c r="T100" s="6"/>
      <c r="U100" s="6"/>
      <c r="V100" s="6"/>
      <c r="W100" s="6"/>
      <c r="X100" s="6"/>
      <c r="Y100" s="6"/>
      <c r="Z100" s="6"/>
      <c r="AA100" s="6"/>
    </row>
    <row r="101" spans="1:27" ht="12.75" x14ac:dyDescent="0.2">
      <c r="A101" s="10"/>
      <c r="B101" s="6"/>
      <c r="C101" s="6"/>
      <c r="D101" s="6"/>
      <c r="E101" s="9"/>
      <c r="F101" s="9"/>
      <c r="G101" s="11"/>
      <c r="H101" s="5"/>
      <c r="I101" s="6"/>
      <c r="J101" s="6"/>
      <c r="K101" s="6"/>
      <c r="L101" s="6"/>
      <c r="M101" s="6"/>
      <c r="N101" s="6"/>
      <c r="O101" s="6"/>
      <c r="P101" s="6"/>
      <c r="Q101" s="6"/>
      <c r="R101" s="6"/>
      <c r="S101" s="6"/>
      <c r="T101" s="6"/>
      <c r="U101" s="6"/>
      <c r="V101" s="6"/>
      <c r="W101" s="6"/>
      <c r="X101" s="6"/>
      <c r="Y101" s="6"/>
      <c r="Z101" s="6"/>
      <c r="AA101" s="6"/>
    </row>
    <row r="102" spans="1:27" ht="12.75" x14ac:dyDescent="0.2">
      <c r="A102" s="10"/>
      <c r="B102" s="6"/>
      <c r="C102" s="6"/>
      <c r="D102" s="6"/>
      <c r="E102" s="9"/>
      <c r="F102" s="9"/>
      <c r="G102" s="11"/>
      <c r="H102" s="5"/>
      <c r="I102" s="6"/>
      <c r="J102" s="6"/>
      <c r="N102" s="6"/>
      <c r="O102" s="6"/>
      <c r="P102" s="6"/>
      <c r="Q102" s="6"/>
      <c r="R102" s="6"/>
      <c r="Z102" s="6"/>
      <c r="AA102" s="6"/>
    </row>
    <row r="103" spans="1:27" ht="12.75" x14ac:dyDescent="0.2">
      <c r="A103" s="10"/>
      <c r="B103" s="6"/>
      <c r="C103" s="6"/>
      <c r="D103" s="6"/>
      <c r="E103" s="9"/>
      <c r="F103" s="9"/>
      <c r="G103" s="11"/>
      <c r="H103" s="5"/>
      <c r="I103" s="6"/>
      <c r="J103" s="6"/>
      <c r="K103" s="6"/>
      <c r="L103" s="6"/>
      <c r="M103" s="6"/>
      <c r="N103" s="6"/>
      <c r="O103" s="6"/>
      <c r="P103" s="6"/>
      <c r="Q103" s="6"/>
      <c r="R103" s="6"/>
      <c r="S103" s="6"/>
      <c r="T103" s="6"/>
      <c r="U103" s="6"/>
      <c r="V103" s="6"/>
      <c r="W103" s="6"/>
      <c r="X103" s="6"/>
      <c r="Y103" s="6"/>
      <c r="Z103" s="6"/>
      <c r="AA103" s="6"/>
    </row>
    <row r="104" spans="1:27" ht="12.75" x14ac:dyDescent="0.2">
      <c r="A104" s="10"/>
      <c r="B104" s="6"/>
      <c r="C104" s="6"/>
      <c r="D104" s="6"/>
      <c r="E104" s="9"/>
      <c r="F104" s="9"/>
      <c r="G104" s="11"/>
      <c r="H104" s="5"/>
      <c r="I104" s="6"/>
      <c r="J104" s="6"/>
      <c r="N104" s="6"/>
      <c r="O104" s="6"/>
      <c r="P104" s="6"/>
      <c r="Q104" s="6"/>
      <c r="Z104" s="6"/>
      <c r="AA104" s="6"/>
    </row>
    <row r="105" spans="1:27" ht="12.75" x14ac:dyDescent="0.2">
      <c r="A105" s="10"/>
      <c r="B105" s="6"/>
      <c r="C105" s="6"/>
      <c r="D105" s="6"/>
      <c r="E105" s="9"/>
      <c r="F105" s="9"/>
      <c r="G105" s="11"/>
      <c r="H105" s="5"/>
      <c r="I105" s="6"/>
      <c r="J105" s="6"/>
      <c r="K105" s="6"/>
      <c r="L105" s="6"/>
      <c r="M105" s="6"/>
      <c r="R105" s="6"/>
      <c r="S105" s="6"/>
      <c r="T105" s="6"/>
      <c r="U105" s="6"/>
      <c r="V105" s="6"/>
      <c r="W105" s="6"/>
      <c r="X105" s="6"/>
      <c r="Y105" s="6"/>
      <c r="Z105" s="6"/>
      <c r="AA105" s="6"/>
    </row>
    <row r="106" spans="1:27" ht="12.75" x14ac:dyDescent="0.2">
      <c r="A106" s="10"/>
      <c r="B106" s="6"/>
      <c r="C106" s="6"/>
      <c r="D106" s="6"/>
      <c r="E106" s="9"/>
      <c r="F106" s="9"/>
      <c r="G106" s="11"/>
      <c r="H106" s="5"/>
      <c r="I106" s="8"/>
      <c r="J106" s="8"/>
      <c r="N106" s="6"/>
      <c r="O106" s="6"/>
      <c r="P106" s="6"/>
      <c r="Q106" s="6"/>
      <c r="Z106" s="6"/>
      <c r="AA106" s="6"/>
    </row>
    <row r="107" spans="1:27" ht="12.75" x14ac:dyDescent="0.2">
      <c r="A107" s="10"/>
      <c r="B107" s="6"/>
      <c r="C107" s="6"/>
      <c r="D107" s="6"/>
      <c r="E107" s="9"/>
      <c r="F107" s="9"/>
      <c r="G107" s="11"/>
      <c r="H107" s="5"/>
      <c r="I107" s="6"/>
      <c r="J107" s="6"/>
      <c r="K107" s="6"/>
      <c r="L107" s="6"/>
      <c r="M107" s="6"/>
      <c r="R107" s="6"/>
      <c r="S107" s="6"/>
      <c r="T107" s="6"/>
      <c r="U107" s="6"/>
      <c r="V107" s="6"/>
      <c r="W107" s="6"/>
      <c r="X107" s="6"/>
      <c r="Y107" s="6"/>
      <c r="Z107" s="6"/>
      <c r="AA107" s="6"/>
    </row>
    <row r="108" spans="1:27" ht="12.75" x14ac:dyDescent="0.2">
      <c r="A108" s="10"/>
      <c r="B108" s="6"/>
      <c r="C108" s="6"/>
      <c r="D108" s="6"/>
      <c r="E108" s="9"/>
      <c r="F108" s="9"/>
      <c r="G108" s="11"/>
      <c r="H108" s="5"/>
      <c r="I108" s="8"/>
      <c r="J108" s="8"/>
      <c r="N108" s="6"/>
      <c r="O108" s="6"/>
      <c r="P108" s="6"/>
      <c r="Q108" s="6"/>
      <c r="Z108" s="6"/>
      <c r="AA108" s="6"/>
    </row>
    <row r="109" spans="1:27" ht="12.75" x14ac:dyDescent="0.2">
      <c r="B109" s="6"/>
      <c r="C109" s="6"/>
      <c r="D109" s="6"/>
      <c r="E109" s="9"/>
      <c r="F109" s="9"/>
      <c r="G109" s="11"/>
      <c r="H109" s="5"/>
      <c r="I109" s="6"/>
      <c r="J109" s="6"/>
      <c r="R109" s="6"/>
      <c r="Z109" s="6"/>
      <c r="AA109" s="6"/>
    </row>
    <row r="110" spans="1:27" ht="12.75" x14ac:dyDescent="0.2">
      <c r="B110" s="6"/>
      <c r="C110" s="6"/>
      <c r="D110" s="6"/>
      <c r="E110" s="9"/>
      <c r="F110" s="9"/>
      <c r="G110" s="11"/>
      <c r="H110" s="5"/>
      <c r="I110" s="8"/>
      <c r="J110" s="8"/>
      <c r="N110" s="6"/>
      <c r="O110" s="6"/>
      <c r="P110" s="6"/>
      <c r="Q110" s="6"/>
      <c r="Z110" s="6"/>
      <c r="AA110" s="6"/>
    </row>
    <row r="111" spans="1:27" ht="12.75" x14ac:dyDescent="0.2">
      <c r="B111" s="6"/>
      <c r="C111" s="6"/>
      <c r="D111" s="6"/>
      <c r="E111" s="9"/>
      <c r="F111" s="9"/>
      <c r="G111" s="11"/>
      <c r="H111" s="5"/>
      <c r="I111" s="6"/>
      <c r="J111" s="6"/>
      <c r="Z111" s="6"/>
      <c r="AA111" s="6"/>
    </row>
    <row r="112" spans="1:27" ht="12.75" x14ac:dyDescent="0.2">
      <c r="B112" s="6"/>
      <c r="C112" s="6"/>
      <c r="D112" s="6"/>
      <c r="E112" s="9"/>
      <c r="F112" s="9"/>
      <c r="G112" s="11"/>
      <c r="H112" s="5"/>
      <c r="I112" s="8"/>
      <c r="J112" s="8"/>
      <c r="Z112" s="6"/>
      <c r="AA112" s="6"/>
    </row>
    <row r="113" spans="2:27" ht="12.75" x14ac:dyDescent="0.2">
      <c r="B113" s="6"/>
      <c r="C113" s="6"/>
      <c r="D113" s="6"/>
      <c r="E113" s="9"/>
      <c r="F113" s="9"/>
      <c r="G113" s="11"/>
      <c r="H113" s="5"/>
      <c r="I113" s="8"/>
      <c r="J113" s="8"/>
      <c r="Z113" s="6"/>
      <c r="AA113" s="6"/>
    </row>
    <row r="114" spans="2:27" ht="12.75" x14ac:dyDescent="0.2">
      <c r="B114" s="6"/>
      <c r="C114" s="6"/>
      <c r="D114" s="6"/>
      <c r="E114" s="9"/>
      <c r="F114" s="9"/>
      <c r="G114" s="11"/>
      <c r="H114" s="5"/>
      <c r="I114" s="8"/>
      <c r="J114" s="8"/>
      <c r="Z114" s="6"/>
      <c r="AA114" s="6"/>
    </row>
    <row r="115" spans="2:27" ht="12.75" x14ac:dyDescent="0.2">
      <c r="B115" s="6"/>
      <c r="C115" s="6"/>
      <c r="D115" s="6"/>
      <c r="E115" s="9"/>
      <c r="F115" s="9"/>
      <c r="G115" s="11"/>
      <c r="H115" s="5"/>
      <c r="I115" s="8"/>
      <c r="J115" s="8"/>
      <c r="Z115" s="6"/>
      <c r="AA115" s="6"/>
    </row>
    <row r="116" spans="2:27" ht="12.75" x14ac:dyDescent="0.2">
      <c r="B116" s="6"/>
      <c r="C116" s="6"/>
      <c r="D116" s="6"/>
      <c r="E116" s="9"/>
      <c r="F116" s="9"/>
      <c r="G116" s="11"/>
      <c r="H116" s="5"/>
      <c r="I116" s="8"/>
      <c r="J116" s="8"/>
      <c r="Z116" s="6"/>
      <c r="AA116" s="6"/>
    </row>
    <row r="117" spans="2:27" ht="12.75" x14ac:dyDescent="0.2">
      <c r="B117" s="6"/>
      <c r="C117" s="6"/>
      <c r="D117" s="6"/>
      <c r="E117" s="9"/>
      <c r="F117" s="9"/>
      <c r="G117" s="11"/>
      <c r="H117" s="5"/>
      <c r="I117" s="8"/>
      <c r="J117" s="8"/>
      <c r="Z117" s="6"/>
      <c r="AA117" s="6"/>
    </row>
    <row r="118" spans="2:27" ht="12.75" x14ac:dyDescent="0.2">
      <c r="B118" s="6"/>
      <c r="C118" s="6"/>
      <c r="D118" s="6"/>
      <c r="E118" s="9"/>
      <c r="F118" s="9"/>
      <c r="G118" s="11"/>
      <c r="H118" s="5"/>
      <c r="I118" s="8"/>
      <c r="J118" s="8"/>
      <c r="Z118" s="6"/>
      <c r="AA118" s="6"/>
    </row>
    <row r="119" spans="2:27" ht="12.75" x14ac:dyDescent="0.2">
      <c r="B119" s="6"/>
      <c r="C119" s="6"/>
      <c r="D119" s="6"/>
      <c r="E119" s="9"/>
      <c r="F119" s="9"/>
      <c r="G119" s="11"/>
      <c r="H119" s="5"/>
      <c r="I119" s="8"/>
      <c r="J119" s="8"/>
      <c r="Z119" s="6"/>
      <c r="AA119" s="6"/>
    </row>
    <row r="120" spans="2:27" ht="12.75" x14ac:dyDescent="0.2">
      <c r="B120" s="6"/>
      <c r="C120" s="6"/>
      <c r="D120" s="6"/>
      <c r="E120" s="9"/>
      <c r="F120" s="9"/>
      <c r="G120" s="11"/>
      <c r="H120" s="5"/>
      <c r="I120" s="8"/>
      <c r="J120" s="8"/>
      <c r="Z120" s="6"/>
      <c r="AA120" s="6"/>
    </row>
    <row r="121" spans="2:27" ht="12.75" x14ac:dyDescent="0.2">
      <c r="B121" s="6"/>
      <c r="C121" s="6"/>
      <c r="D121" s="6"/>
      <c r="E121" s="9"/>
      <c r="F121" s="9"/>
      <c r="G121" s="11"/>
      <c r="H121" s="5"/>
      <c r="I121" s="8"/>
      <c r="J121" s="8"/>
      <c r="Z121" s="6"/>
      <c r="AA121" s="6"/>
    </row>
    <row r="122" spans="2:27" ht="12.75" x14ac:dyDescent="0.2">
      <c r="B122" s="6"/>
      <c r="C122" s="6"/>
      <c r="D122" s="6"/>
      <c r="E122" s="9"/>
      <c r="F122" s="9"/>
      <c r="G122" s="11"/>
      <c r="H122" s="5"/>
      <c r="I122" s="8"/>
      <c r="J122" s="8"/>
      <c r="Z122" s="6"/>
      <c r="AA122" s="6"/>
    </row>
    <row r="123" spans="2:27" ht="12.75" x14ac:dyDescent="0.2">
      <c r="B123" s="6"/>
      <c r="C123" s="6"/>
      <c r="D123" s="6"/>
      <c r="E123" s="9"/>
      <c r="F123" s="9"/>
      <c r="G123" s="11"/>
      <c r="H123" s="5"/>
      <c r="I123" s="8"/>
      <c r="J123" s="8"/>
      <c r="Z123" s="6"/>
      <c r="AA123" s="6"/>
    </row>
    <row r="124" spans="2:27" ht="12.75" x14ac:dyDescent="0.2">
      <c r="B124" s="6"/>
      <c r="C124" s="6"/>
      <c r="D124" s="6"/>
      <c r="E124" s="9"/>
      <c r="F124" s="9"/>
      <c r="G124" s="11"/>
      <c r="H124" s="5"/>
      <c r="I124" s="8"/>
      <c r="J124" s="8"/>
      <c r="Z124" s="6"/>
      <c r="AA124" s="6"/>
    </row>
    <row r="125" spans="2:27" ht="12.75" x14ac:dyDescent="0.2">
      <c r="B125" s="6"/>
      <c r="C125" s="6"/>
      <c r="D125" s="6"/>
      <c r="E125" s="9"/>
      <c r="F125" s="9"/>
      <c r="G125" s="11"/>
      <c r="H125" s="5"/>
      <c r="I125" s="8"/>
      <c r="J125" s="8"/>
      <c r="Z125" s="6"/>
      <c r="AA125" s="6"/>
    </row>
    <row r="126" spans="2:27" ht="12.75" x14ac:dyDescent="0.2">
      <c r="B126" s="6"/>
      <c r="C126" s="6"/>
      <c r="D126" s="6"/>
      <c r="E126" s="9"/>
      <c r="F126" s="9"/>
      <c r="G126" s="11"/>
      <c r="H126" s="5"/>
      <c r="I126" s="8"/>
      <c r="J126" s="8"/>
      <c r="Z126" s="6"/>
      <c r="AA126" s="6"/>
    </row>
    <row r="127" spans="2:27" ht="12.75" x14ac:dyDescent="0.2">
      <c r="B127" s="6"/>
      <c r="C127" s="6"/>
      <c r="D127" s="6"/>
      <c r="E127" s="9"/>
      <c r="F127" s="9"/>
      <c r="G127" s="11"/>
      <c r="H127" s="5"/>
      <c r="I127" s="8"/>
      <c r="J127" s="8"/>
      <c r="Z127" s="6"/>
      <c r="AA127" s="6"/>
    </row>
    <row r="128" spans="2:27" ht="12.75" x14ac:dyDescent="0.2">
      <c r="B128" s="6"/>
      <c r="C128" s="6"/>
      <c r="D128" s="6"/>
      <c r="E128" s="9"/>
      <c r="F128" s="9"/>
      <c r="G128" s="11"/>
      <c r="H128" s="5"/>
      <c r="I128" s="8"/>
      <c r="J128" s="8"/>
      <c r="Z128" s="6"/>
      <c r="AA128" s="6"/>
    </row>
    <row r="129" spans="2:27" ht="12.75" x14ac:dyDescent="0.2">
      <c r="B129" s="6"/>
      <c r="C129" s="6"/>
      <c r="D129" s="6"/>
      <c r="E129" s="9"/>
      <c r="F129" s="9"/>
      <c r="G129" s="11"/>
      <c r="H129" s="5"/>
      <c r="I129" s="8"/>
      <c r="J129" s="8"/>
      <c r="Z129" s="6"/>
      <c r="AA129" s="6"/>
    </row>
    <row r="130" spans="2:27" ht="12.75" x14ac:dyDescent="0.2">
      <c r="B130" s="6"/>
      <c r="C130" s="6"/>
      <c r="D130" s="6"/>
      <c r="E130" s="9"/>
      <c r="F130" s="9"/>
      <c r="G130" s="11"/>
      <c r="H130" s="5"/>
      <c r="I130" s="8"/>
      <c r="J130" s="8"/>
      <c r="Z130" s="6"/>
      <c r="AA130" s="6"/>
    </row>
    <row r="131" spans="2:27" ht="12.75" x14ac:dyDescent="0.2">
      <c r="B131" s="6"/>
      <c r="C131" s="6"/>
      <c r="D131" s="6"/>
      <c r="E131" s="9"/>
      <c r="F131" s="9"/>
      <c r="G131" s="11"/>
      <c r="H131" s="5"/>
      <c r="I131" s="8"/>
      <c r="J131" s="8"/>
      <c r="Z131" s="6"/>
      <c r="AA131" s="6"/>
    </row>
    <row r="132" spans="2:27" ht="12.75" x14ac:dyDescent="0.2">
      <c r="B132" s="6"/>
      <c r="C132" s="6"/>
      <c r="D132" s="6"/>
      <c r="E132" s="9"/>
      <c r="F132" s="9"/>
      <c r="G132" s="11"/>
      <c r="H132" s="5"/>
      <c r="I132" s="8"/>
      <c r="J132" s="8"/>
      <c r="Z132" s="6"/>
      <c r="AA132" s="6"/>
    </row>
    <row r="133" spans="2:27" ht="12.75" x14ac:dyDescent="0.2">
      <c r="B133" s="6"/>
      <c r="C133" s="6"/>
      <c r="D133" s="6"/>
      <c r="E133" s="9"/>
      <c r="F133" s="9"/>
      <c r="G133" s="11"/>
      <c r="H133" s="5"/>
      <c r="I133" s="8"/>
      <c r="J133" s="8"/>
      <c r="Z133" s="6"/>
      <c r="AA133" s="6"/>
    </row>
    <row r="134" spans="2:27" ht="12.75" x14ac:dyDescent="0.2">
      <c r="B134" s="6"/>
      <c r="C134" s="6"/>
      <c r="D134" s="6"/>
      <c r="E134" s="9"/>
      <c r="F134" s="9"/>
      <c r="G134" s="11"/>
      <c r="H134" s="5"/>
      <c r="I134" s="8"/>
      <c r="J134" s="8"/>
      <c r="Z134" s="6"/>
      <c r="AA134" s="6"/>
    </row>
    <row r="135" spans="2:27" ht="12.75" x14ac:dyDescent="0.2">
      <c r="B135" s="6"/>
      <c r="C135" s="6"/>
      <c r="D135" s="6"/>
      <c r="E135" s="9"/>
      <c r="F135" s="9"/>
      <c r="G135" s="11"/>
      <c r="H135" s="5"/>
      <c r="I135" s="8"/>
      <c r="J135" s="8"/>
      <c r="Z135" s="6"/>
      <c r="AA135" s="6"/>
    </row>
    <row r="136" spans="2:27" ht="12.75" x14ac:dyDescent="0.2">
      <c r="B136" s="6"/>
      <c r="C136" s="6"/>
      <c r="D136" s="6"/>
      <c r="E136" s="9"/>
      <c r="F136" s="9"/>
      <c r="G136" s="11"/>
      <c r="H136" s="5"/>
      <c r="I136" s="8"/>
      <c r="J136" s="8"/>
      <c r="Z136" s="6"/>
      <c r="AA136" s="6"/>
    </row>
    <row r="137" spans="2:27" ht="12.75" x14ac:dyDescent="0.2">
      <c r="B137" s="6"/>
      <c r="C137" s="6"/>
      <c r="D137" s="6"/>
      <c r="E137" s="9"/>
      <c r="F137" s="9"/>
      <c r="G137" s="11"/>
      <c r="H137" s="5"/>
      <c r="I137" s="8"/>
      <c r="J137" s="8"/>
      <c r="Z137" s="6"/>
      <c r="AA137" s="6"/>
    </row>
    <row r="138" spans="2:27" ht="12.75" x14ac:dyDescent="0.2">
      <c r="B138" s="6"/>
      <c r="C138" s="6"/>
      <c r="D138" s="6"/>
      <c r="E138" s="9"/>
      <c r="F138" s="9"/>
      <c r="G138" s="11"/>
      <c r="H138" s="5"/>
      <c r="I138" s="8"/>
      <c r="J138" s="8"/>
      <c r="Z138" s="6"/>
      <c r="AA138" s="6"/>
    </row>
    <row r="139" spans="2:27" ht="12.75" x14ac:dyDescent="0.2">
      <c r="B139" s="6"/>
      <c r="C139" s="6"/>
      <c r="D139" s="6"/>
      <c r="E139" s="9"/>
      <c r="F139" s="9"/>
      <c r="G139" s="11"/>
      <c r="H139" s="5"/>
      <c r="I139" s="8"/>
      <c r="J139" s="8"/>
      <c r="Z139" s="6"/>
      <c r="AA139" s="6"/>
    </row>
    <row r="140" spans="2:27" ht="12.75" x14ac:dyDescent="0.2">
      <c r="B140" s="6"/>
      <c r="C140" s="6"/>
      <c r="D140" s="6"/>
      <c r="E140" s="9"/>
      <c r="F140" s="9"/>
      <c r="G140" s="11"/>
      <c r="H140" s="5"/>
      <c r="I140" s="8"/>
      <c r="J140" s="8"/>
      <c r="Z140" s="6"/>
      <c r="AA140" s="6"/>
    </row>
    <row r="141" spans="2:27" ht="12.75" x14ac:dyDescent="0.2">
      <c r="B141" s="6"/>
      <c r="C141" s="6"/>
      <c r="D141" s="6"/>
      <c r="E141" s="9"/>
      <c r="F141" s="9"/>
      <c r="G141" s="11"/>
      <c r="H141" s="5"/>
      <c r="I141" s="8"/>
      <c r="J141" s="8"/>
      <c r="Z141" s="6"/>
      <c r="AA141" s="6"/>
    </row>
    <row r="142" spans="2:27" ht="12.75" x14ac:dyDescent="0.2">
      <c r="B142" s="6"/>
      <c r="C142" s="6"/>
      <c r="D142" s="6"/>
      <c r="E142" s="9"/>
      <c r="F142" s="9"/>
      <c r="G142" s="11"/>
      <c r="H142" s="5"/>
      <c r="I142" s="8"/>
      <c r="J142" s="8"/>
      <c r="Z142" s="6"/>
      <c r="AA142" s="6"/>
    </row>
    <row r="143" spans="2:27" ht="12.75" x14ac:dyDescent="0.2">
      <c r="B143" s="6"/>
      <c r="C143" s="6"/>
      <c r="D143" s="6"/>
      <c r="E143" s="9"/>
      <c r="F143" s="9"/>
      <c r="G143" s="11"/>
      <c r="H143" s="5"/>
      <c r="I143" s="8"/>
      <c r="J143" s="8"/>
      <c r="Z143" s="6"/>
      <c r="AA143" s="6"/>
    </row>
    <row r="144" spans="2:27" ht="12.75" x14ac:dyDescent="0.2">
      <c r="B144" s="6"/>
      <c r="C144" s="6"/>
      <c r="D144" s="6"/>
      <c r="E144" s="9"/>
      <c r="F144" s="9"/>
      <c r="G144" s="11"/>
      <c r="H144" s="5"/>
      <c r="I144" s="8"/>
      <c r="J144" s="8"/>
      <c r="Z144" s="6"/>
      <c r="AA144" s="6"/>
    </row>
    <row r="145" spans="2:27" ht="12.75" x14ac:dyDescent="0.2">
      <c r="B145" s="6"/>
      <c r="C145" s="6"/>
      <c r="D145" s="6"/>
      <c r="E145" s="9"/>
      <c r="F145" s="9"/>
      <c r="G145" s="11"/>
      <c r="H145" s="5"/>
      <c r="I145" s="8"/>
      <c r="J145" s="8"/>
      <c r="Z145" s="6"/>
      <c r="AA145" s="6"/>
    </row>
    <row r="146" spans="2:27" ht="12.75" x14ac:dyDescent="0.2">
      <c r="B146" s="6"/>
      <c r="C146" s="6"/>
      <c r="D146" s="6"/>
      <c r="E146" s="9"/>
      <c r="F146" s="9"/>
      <c r="G146" s="11"/>
      <c r="H146" s="5"/>
      <c r="I146" s="8"/>
      <c r="J146" s="8"/>
      <c r="Z146" s="6"/>
      <c r="AA146" s="6"/>
    </row>
    <row r="147" spans="2:27" ht="12.75" x14ac:dyDescent="0.2">
      <c r="B147" s="6"/>
      <c r="C147" s="6"/>
      <c r="D147" s="6"/>
      <c r="E147" s="9"/>
      <c r="F147" s="9"/>
      <c r="G147" s="11"/>
      <c r="H147" s="5"/>
      <c r="I147" s="8"/>
      <c r="J147" s="8"/>
      <c r="Z147" s="6"/>
      <c r="AA147" s="6"/>
    </row>
    <row r="148" spans="2:27" ht="12.75" x14ac:dyDescent="0.2">
      <c r="B148" s="6"/>
      <c r="C148" s="6"/>
      <c r="D148" s="6"/>
      <c r="E148" s="9"/>
      <c r="F148" s="9"/>
      <c r="G148" s="11"/>
      <c r="H148" s="5"/>
      <c r="I148" s="8"/>
      <c r="J148" s="8"/>
      <c r="Z148" s="6"/>
      <c r="AA148" s="6"/>
    </row>
    <row r="149" spans="2:27" ht="12.75" x14ac:dyDescent="0.2">
      <c r="B149" s="6"/>
      <c r="C149" s="6"/>
      <c r="D149" s="6"/>
      <c r="E149" s="9"/>
      <c r="F149" s="9"/>
      <c r="G149" s="11"/>
      <c r="H149" s="5"/>
      <c r="I149" s="8"/>
      <c r="J149" s="8"/>
      <c r="Z149" s="6"/>
      <c r="AA149" s="6"/>
    </row>
    <row r="150" spans="2:27" ht="12.75" x14ac:dyDescent="0.2">
      <c r="B150" s="6"/>
      <c r="C150" s="6"/>
      <c r="D150" s="6"/>
      <c r="E150" s="9"/>
      <c r="F150" s="9"/>
      <c r="G150" s="11"/>
      <c r="H150" s="5"/>
      <c r="I150" s="8"/>
      <c r="J150" s="8"/>
      <c r="Z150" s="6"/>
      <c r="AA150" s="6"/>
    </row>
    <row r="151" spans="2:27" ht="12.75" x14ac:dyDescent="0.2">
      <c r="B151" s="6"/>
      <c r="C151" s="6"/>
      <c r="D151" s="6"/>
      <c r="E151" s="9"/>
      <c r="F151" s="9"/>
      <c r="G151" s="11"/>
      <c r="H151" s="5"/>
      <c r="I151" s="8"/>
      <c r="J151" s="8"/>
      <c r="Z151" s="6"/>
      <c r="AA151" s="6"/>
    </row>
    <row r="152" spans="2:27" ht="12.75" x14ac:dyDescent="0.2">
      <c r="B152" s="6"/>
      <c r="C152" s="6"/>
      <c r="D152" s="6"/>
      <c r="E152" s="9"/>
      <c r="F152" s="9"/>
      <c r="G152" s="11"/>
      <c r="H152" s="5"/>
      <c r="I152" s="8"/>
      <c r="J152" s="8"/>
      <c r="Z152" s="6"/>
      <c r="AA152" s="6"/>
    </row>
    <row r="153" spans="2:27" ht="12.75" x14ac:dyDescent="0.2">
      <c r="B153" s="6"/>
      <c r="C153" s="6"/>
      <c r="D153" s="6"/>
      <c r="E153" s="9"/>
      <c r="F153" s="9"/>
      <c r="G153" s="11"/>
      <c r="H153" s="5"/>
      <c r="I153" s="8"/>
      <c r="J153" s="8"/>
      <c r="Z153" s="6"/>
      <c r="AA153" s="6"/>
    </row>
    <row r="154" spans="2:27" ht="12.75" x14ac:dyDescent="0.2">
      <c r="B154" s="6"/>
      <c r="C154" s="6"/>
      <c r="D154" s="6"/>
      <c r="E154" s="9"/>
      <c r="F154" s="9"/>
      <c r="G154" s="11"/>
      <c r="H154" s="5"/>
      <c r="I154" s="8"/>
      <c r="J154" s="8"/>
      <c r="Z154" s="6"/>
      <c r="AA154" s="6"/>
    </row>
    <row r="155" spans="2:27" ht="12.75" x14ac:dyDescent="0.2">
      <c r="B155" s="6"/>
      <c r="C155" s="6"/>
      <c r="D155" s="6"/>
      <c r="E155" s="9"/>
      <c r="F155" s="9"/>
      <c r="G155" s="11"/>
      <c r="H155" s="5"/>
      <c r="I155" s="8"/>
      <c r="J155" s="8"/>
      <c r="Z155" s="6"/>
      <c r="AA155" s="6"/>
    </row>
    <row r="156" spans="2:27" ht="12.75" x14ac:dyDescent="0.2">
      <c r="B156" s="6"/>
      <c r="C156" s="6"/>
      <c r="D156" s="6"/>
      <c r="E156" s="9"/>
      <c r="F156" s="9"/>
      <c r="G156" s="11"/>
      <c r="H156" s="5"/>
      <c r="I156" s="8"/>
      <c r="J156" s="8"/>
      <c r="Z156" s="6"/>
      <c r="AA156" s="6"/>
    </row>
    <row r="157" spans="2:27" ht="12.75" x14ac:dyDescent="0.2">
      <c r="B157" s="6"/>
      <c r="C157" s="6"/>
      <c r="D157" s="6"/>
      <c r="E157" s="9"/>
      <c r="F157" s="9"/>
      <c r="G157" s="11"/>
      <c r="H157" s="5"/>
      <c r="I157" s="8"/>
      <c r="J157" s="8"/>
      <c r="Z157" s="6"/>
      <c r="AA157" s="6"/>
    </row>
    <row r="158" spans="2:27" ht="12.75" x14ac:dyDescent="0.2">
      <c r="B158" s="6"/>
      <c r="C158" s="6"/>
      <c r="D158" s="6"/>
      <c r="E158" s="9"/>
      <c r="F158" s="9"/>
      <c r="G158" s="11"/>
      <c r="H158" s="5"/>
      <c r="I158" s="8"/>
      <c r="J158" s="8"/>
      <c r="Z158" s="6"/>
      <c r="AA158" s="6"/>
    </row>
    <row r="159" spans="2:27" ht="12.75" x14ac:dyDescent="0.2">
      <c r="B159" s="6"/>
      <c r="C159" s="6"/>
      <c r="D159" s="6"/>
      <c r="E159" s="9"/>
      <c r="F159" s="9"/>
      <c r="G159" s="11"/>
      <c r="H159" s="5"/>
      <c r="I159" s="8"/>
      <c r="J159" s="8"/>
      <c r="Z159" s="6"/>
      <c r="AA159" s="6"/>
    </row>
    <row r="160" spans="2:27" ht="12.75" x14ac:dyDescent="0.2">
      <c r="B160" s="6"/>
      <c r="C160" s="6"/>
      <c r="D160" s="6"/>
      <c r="E160" s="9"/>
      <c r="F160" s="9"/>
      <c r="G160" s="11"/>
      <c r="H160" s="5"/>
      <c r="I160" s="8"/>
      <c r="J160" s="8"/>
      <c r="Z160" s="6"/>
      <c r="AA160" s="6"/>
    </row>
    <row r="161" spans="2:27" ht="12.75" x14ac:dyDescent="0.2">
      <c r="B161" s="6"/>
      <c r="C161" s="6"/>
      <c r="D161" s="6"/>
      <c r="E161" s="9"/>
      <c r="F161" s="9"/>
      <c r="G161" s="11"/>
      <c r="H161" s="5"/>
      <c r="I161" s="8"/>
      <c r="J161" s="8"/>
      <c r="Z161" s="6"/>
      <c r="AA161" s="6"/>
    </row>
    <row r="162" spans="2:27" ht="12.75" x14ac:dyDescent="0.2">
      <c r="B162" s="6"/>
      <c r="C162" s="6"/>
      <c r="D162" s="6"/>
      <c r="E162" s="9"/>
      <c r="F162" s="9"/>
      <c r="G162" s="11"/>
      <c r="H162" s="5"/>
      <c r="I162" s="8"/>
      <c r="J162" s="8"/>
      <c r="Z162" s="6"/>
      <c r="AA162" s="6"/>
    </row>
    <row r="163" spans="2:27" ht="12.75" x14ac:dyDescent="0.2">
      <c r="B163" s="6"/>
      <c r="C163" s="6"/>
      <c r="D163" s="6"/>
      <c r="E163" s="9"/>
      <c r="F163" s="9"/>
      <c r="G163" s="11"/>
      <c r="H163" s="5"/>
      <c r="I163" s="8"/>
      <c r="J163" s="8"/>
      <c r="Z163" s="6"/>
      <c r="AA163" s="6"/>
    </row>
    <row r="164" spans="2:27" ht="12.75" x14ac:dyDescent="0.2">
      <c r="B164" s="6"/>
      <c r="C164" s="6"/>
      <c r="D164" s="6"/>
      <c r="E164" s="9"/>
      <c r="F164" s="9"/>
      <c r="G164" s="11"/>
      <c r="H164" s="5"/>
      <c r="I164" s="8"/>
      <c r="J164" s="8"/>
      <c r="Z164" s="6"/>
      <c r="AA164" s="6"/>
    </row>
    <row r="165" spans="2:27" ht="12.75" x14ac:dyDescent="0.2">
      <c r="B165" s="6"/>
      <c r="C165" s="6"/>
      <c r="D165" s="6"/>
      <c r="E165" s="9"/>
      <c r="F165" s="9"/>
      <c r="G165" s="11"/>
      <c r="H165" s="5"/>
      <c r="I165" s="8"/>
      <c r="J165" s="8"/>
      <c r="Z165" s="6"/>
      <c r="AA165" s="6"/>
    </row>
    <row r="166" spans="2:27" ht="12.75" x14ac:dyDescent="0.2">
      <c r="B166" s="6"/>
      <c r="C166" s="6"/>
      <c r="D166" s="6"/>
      <c r="E166" s="9"/>
      <c r="F166" s="9"/>
      <c r="G166" s="11"/>
      <c r="H166" s="5"/>
      <c r="I166" s="8"/>
      <c r="J166" s="8"/>
      <c r="Z166" s="6"/>
      <c r="AA166" s="6"/>
    </row>
    <row r="167" spans="2:27" ht="12.75" x14ac:dyDescent="0.2">
      <c r="B167" s="6"/>
      <c r="C167" s="6"/>
      <c r="D167" s="6"/>
      <c r="E167" s="9"/>
      <c r="F167" s="9"/>
      <c r="G167" s="11"/>
      <c r="H167" s="5"/>
      <c r="I167" s="8"/>
      <c r="J167" s="8"/>
      <c r="Z167" s="6"/>
      <c r="AA167" s="6"/>
    </row>
    <row r="168" spans="2:27" ht="12.75" x14ac:dyDescent="0.2">
      <c r="B168" s="6"/>
      <c r="C168" s="6"/>
      <c r="D168" s="6"/>
      <c r="E168" s="9"/>
      <c r="F168" s="9"/>
      <c r="G168" s="11"/>
      <c r="H168" s="5"/>
      <c r="I168" s="8"/>
      <c r="J168" s="8"/>
      <c r="Z168" s="6"/>
      <c r="AA168" s="6"/>
    </row>
    <row r="169" spans="2:27" ht="12.75" x14ac:dyDescent="0.2">
      <c r="B169" s="6"/>
      <c r="C169" s="6"/>
      <c r="D169" s="6"/>
      <c r="E169" s="9"/>
      <c r="F169" s="9"/>
      <c r="G169" s="11"/>
      <c r="H169" s="5"/>
      <c r="I169" s="8"/>
      <c r="J169" s="8"/>
      <c r="Z169" s="6"/>
      <c r="AA169" s="6"/>
    </row>
    <row r="170" spans="2:27" ht="12.75" x14ac:dyDescent="0.2">
      <c r="B170" s="6"/>
      <c r="C170" s="6"/>
      <c r="D170" s="6"/>
      <c r="E170" s="9"/>
      <c r="F170" s="9"/>
      <c r="G170" s="11"/>
      <c r="H170" s="5"/>
      <c r="I170" s="8"/>
      <c r="J170" s="8"/>
      <c r="Z170" s="6"/>
      <c r="AA170" s="6"/>
    </row>
    <row r="171" spans="2:27" ht="12.75" x14ac:dyDescent="0.2">
      <c r="B171" s="6"/>
      <c r="C171" s="6"/>
      <c r="D171" s="6"/>
      <c r="E171" s="9"/>
      <c r="F171" s="9"/>
      <c r="G171" s="11"/>
      <c r="H171" s="5"/>
      <c r="I171" s="8"/>
      <c r="J171" s="8"/>
      <c r="Z171" s="6"/>
      <c r="AA171" s="6"/>
    </row>
    <row r="172" spans="2:27" ht="12.75" x14ac:dyDescent="0.2">
      <c r="B172" s="6"/>
      <c r="C172" s="6"/>
      <c r="D172" s="6"/>
      <c r="E172" s="9"/>
      <c r="F172" s="9"/>
      <c r="G172" s="11"/>
      <c r="H172" s="5"/>
      <c r="I172" s="8"/>
      <c r="J172" s="8"/>
      <c r="Z172" s="6"/>
      <c r="AA172" s="6"/>
    </row>
    <row r="173" spans="2:27" ht="12.75" x14ac:dyDescent="0.2">
      <c r="B173" s="6"/>
      <c r="C173" s="6"/>
      <c r="D173" s="6"/>
      <c r="E173" s="9"/>
      <c r="F173" s="9"/>
      <c r="G173" s="11"/>
      <c r="H173" s="5"/>
      <c r="I173" s="8"/>
      <c r="J173" s="8"/>
      <c r="Z173" s="6"/>
      <c r="AA173" s="6"/>
    </row>
    <row r="174" spans="2:27" ht="12.75" x14ac:dyDescent="0.2">
      <c r="B174" s="6"/>
      <c r="C174" s="6"/>
      <c r="D174" s="6"/>
      <c r="E174" s="9"/>
      <c r="F174" s="9"/>
      <c r="G174" s="11"/>
      <c r="H174" s="5"/>
      <c r="I174" s="8"/>
      <c r="J174" s="8"/>
      <c r="Z174" s="6"/>
      <c r="AA174" s="6"/>
    </row>
    <row r="175" spans="2:27" ht="12.75" x14ac:dyDescent="0.2">
      <c r="B175" s="6"/>
      <c r="C175" s="6"/>
      <c r="D175" s="6"/>
      <c r="E175" s="9"/>
      <c r="F175" s="9"/>
      <c r="G175" s="11"/>
      <c r="H175" s="5"/>
      <c r="I175" s="8"/>
      <c r="J175" s="8"/>
      <c r="Z175" s="6"/>
      <c r="AA175" s="6"/>
    </row>
    <row r="176" spans="2:27" ht="12.75" x14ac:dyDescent="0.2">
      <c r="B176" s="6"/>
      <c r="C176" s="6"/>
      <c r="D176" s="6"/>
      <c r="E176" s="9"/>
      <c r="F176" s="9"/>
      <c r="G176" s="11"/>
      <c r="H176" s="5"/>
      <c r="I176" s="8"/>
      <c r="J176" s="8"/>
      <c r="Z176" s="6"/>
      <c r="AA176" s="6"/>
    </row>
    <row r="177" spans="2:27" ht="12.75" x14ac:dyDescent="0.2">
      <c r="B177" s="6"/>
      <c r="C177" s="6"/>
      <c r="D177" s="6"/>
      <c r="E177" s="9"/>
      <c r="F177" s="9"/>
      <c r="G177" s="11"/>
      <c r="H177" s="5"/>
      <c r="I177" s="8"/>
      <c r="J177" s="8"/>
      <c r="Z177" s="6"/>
      <c r="AA177" s="6"/>
    </row>
    <row r="178" spans="2:27" ht="12.75" x14ac:dyDescent="0.2">
      <c r="B178" s="6"/>
      <c r="C178" s="6"/>
      <c r="D178" s="6"/>
      <c r="E178" s="9"/>
      <c r="F178" s="9"/>
      <c r="G178" s="11"/>
      <c r="H178" s="5"/>
      <c r="I178" s="8"/>
      <c r="J178" s="8"/>
      <c r="Z178" s="6"/>
      <c r="AA178" s="6"/>
    </row>
    <row r="179" spans="2:27" ht="12.75" x14ac:dyDescent="0.2">
      <c r="B179" s="6"/>
      <c r="C179" s="6"/>
      <c r="D179" s="6"/>
      <c r="E179" s="9"/>
      <c r="F179" s="9"/>
      <c r="G179" s="11"/>
      <c r="H179" s="5"/>
      <c r="I179" s="8"/>
      <c r="J179" s="8"/>
      <c r="Z179" s="6"/>
      <c r="AA179" s="6"/>
    </row>
    <row r="180" spans="2:27" ht="12.75" x14ac:dyDescent="0.2">
      <c r="B180" s="6"/>
      <c r="C180" s="6"/>
      <c r="D180" s="6"/>
      <c r="E180" s="9"/>
      <c r="F180" s="9"/>
      <c r="G180" s="11"/>
      <c r="H180" s="5"/>
      <c r="I180" s="8"/>
      <c r="J180" s="8"/>
      <c r="Z180" s="6"/>
      <c r="AA180" s="6"/>
    </row>
    <row r="181" spans="2:27" ht="12.75" x14ac:dyDescent="0.2">
      <c r="B181" s="6"/>
      <c r="C181" s="6"/>
      <c r="D181" s="6"/>
      <c r="E181" s="9"/>
      <c r="F181" s="9"/>
      <c r="G181" s="11"/>
      <c r="H181" s="5"/>
      <c r="I181" s="8"/>
      <c r="J181" s="8"/>
      <c r="Z181" s="6"/>
      <c r="AA181" s="6"/>
    </row>
    <row r="182" spans="2:27" ht="12.75" x14ac:dyDescent="0.2">
      <c r="B182" s="6"/>
      <c r="C182" s="6"/>
      <c r="D182" s="6"/>
      <c r="E182" s="9"/>
      <c r="F182" s="9"/>
      <c r="G182" s="11"/>
      <c r="H182" s="5"/>
      <c r="I182" s="8"/>
      <c r="J182" s="8"/>
      <c r="Z182" s="6"/>
      <c r="AA182" s="6"/>
    </row>
    <row r="183" spans="2:27" ht="12.75" x14ac:dyDescent="0.2">
      <c r="B183" s="6"/>
      <c r="C183" s="6"/>
      <c r="D183" s="6"/>
      <c r="E183" s="9"/>
      <c r="F183" s="9"/>
      <c r="G183" s="11"/>
      <c r="H183" s="5"/>
      <c r="I183" s="8"/>
      <c r="J183" s="8"/>
      <c r="Z183" s="6"/>
      <c r="AA183" s="6"/>
    </row>
    <row r="184" spans="2:27" ht="12.75" x14ac:dyDescent="0.2">
      <c r="B184" s="6"/>
      <c r="C184" s="6"/>
      <c r="D184" s="6"/>
      <c r="E184" s="9"/>
      <c r="F184" s="9"/>
      <c r="G184" s="11"/>
      <c r="H184" s="5"/>
      <c r="I184" s="8"/>
      <c r="J184" s="8"/>
      <c r="Z184" s="6"/>
      <c r="AA184" s="6"/>
    </row>
    <row r="185" spans="2:27" ht="12.75" x14ac:dyDescent="0.2">
      <c r="B185" s="6"/>
      <c r="C185" s="6"/>
      <c r="D185" s="6"/>
      <c r="E185" s="9"/>
      <c r="F185" s="9"/>
      <c r="G185" s="11"/>
      <c r="H185" s="5"/>
      <c r="I185" s="8"/>
      <c r="J185" s="8"/>
      <c r="Z185" s="6"/>
      <c r="AA185" s="6"/>
    </row>
    <row r="186" spans="2:27" ht="12.75" x14ac:dyDescent="0.2">
      <c r="B186" s="6"/>
      <c r="C186" s="6"/>
      <c r="D186" s="6"/>
      <c r="E186" s="9"/>
      <c r="F186" s="9"/>
      <c r="G186" s="11"/>
      <c r="H186" s="5"/>
      <c r="I186" s="8"/>
      <c r="J186" s="8"/>
      <c r="Z186" s="6"/>
      <c r="AA186" s="6"/>
    </row>
    <row r="187" spans="2:27" ht="12.75" x14ac:dyDescent="0.2">
      <c r="B187" s="6"/>
      <c r="C187" s="6"/>
      <c r="D187" s="6"/>
      <c r="E187" s="9"/>
      <c r="F187" s="9"/>
      <c r="G187" s="11"/>
      <c r="H187" s="5"/>
      <c r="I187" s="8"/>
      <c r="J187" s="8"/>
      <c r="Z187" s="6"/>
      <c r="AA187" s="6"/>
    </row>
    <row r="188" spans="2:27" ht="12.75" x14ac:dyDescent="0.2">
      <c r="B188" s="6"/>
      <c r="C188" s="6"/>
      <c r="D188" s="6"/>
      <c r="E188" s="9"/>
      <c r="F188" s="9"/>
      <c r="G188" s="11"/>
      <c r="H188" s="5"/>
      <c r="I188" s="8"/>
      <c r="J188" s="8"/>
      <c r="Z188" s="6"/>
      <c r="AA188" s="6"/>
    </row>
    <row r="189" spans="2:27" ht="12.75" x14ac:dyDescent="0.2">
      <c r="B189" s="6"/>
      <c r="C189" s="6"/>
      <c r="D189" s="6"/>
      <c r="E189" s="9"/>
      <c r="F189" s="9"/>
      <c r="G189" s="11"/>
      <c r="H189" s="5"/>
      <c r="I189" s="8"/>
      <c r="J189" s="8"/>
      <c r="Z189" s="6"/>
      <c r="AA189" s="6"/>
    </row>
    <row r="190" spans="2:27" ht="12.75" x14ac:dyDescent="0.2">
      <c r="B190" s="6"/>
      <c r="C190" s="6"/>
      <c r="D190" s="6"/>
      <c r="E190" s="9"/>
      <c r="F190" s="9"/>
      <c r="G190" s="11"/>
      <c r="H190" s="5"/>
      <c r="I190" s="8"/>
      <c r="J190" s="8"/>
      <c r="Z190" s="6"/>
      <c r="AA190" s="6"/>
    </row>
    <row r="191" spans="2:27" ht="12.75" x14ac:dyDescent="0.2">
      <c r="B191" s="6"/>
      <c r="C191" s="6"/>
      <c r="D191" s="6"/>
      <c r="E191" s="9"/>
      <c r="F191" s="9"/>
      <c r="G191" s="11"/>
      <c r="H191" s="5"/>
      <c r="I191" s="8"/>
      <c r="J191" s="8"/>
      <c r="Z191" s="6"/>
      <c r="AA191" s="6"/>
    </row>
    <row r="192" spans="2:27" ht="12.75" x14ac:dyDescent="0.2">
      <c r="B192" s="6"/>
      <c r="C192" s="6"/>
      <c r="D192" s="6"/>
      <c r="E192" s="9"/>
      <c r="F192" s="9"/>
      <c r="G192" s="11"/>
      <c r="H192" s="5"/>
      <c r="I192" s="8"/>
      <c r="J192" s="8"/>
      <c r="Z192" s="6"/>
      <c r="AA192" s="6"/>
    </row>
    <row r="193" spans="2:27" ht="12.75" x14ac:dyDescent="0.2">
      <c r="B193" s="6"/>
      <c r="C193" s="6"/>
      <c r="D193" s="6"/>
      <c r="E193" s="9"/>
      <c r="F193" s="9"/>
      <c r="G193" s="11"/>
      <c r="H193" s="5"/>
      <c r="I193" s="8"/>
      <c r="J193" s="8"/>
      <c r="Z193" s="6"/>
      <c r="AA193" s="6"/>
    </row>
    <row r="194" spans="2:27" ht="12.75" x14ac:dyDescent="0.2">
      <c r="B194" s="6"/>
      <c r="C194" s="6"/>
      <c r="D194" s="6"/>
      <c r="E194" s="9"/>
      <c r="F194" s="9"/>
      <c r="G194" s="11"/>
      <c r="H194" s="5"/>
      <c r="I194" s="8"/>
      <c r="J194" s="8"/>
      <c r="Z194" s="6"/>
      <c r="AA194" s="6"/>
    </row>
    <row r="195" spans="2:27" ht="12.75" x14ac:dyDescent="0.2">
      <c r="B195" s="6"/>
      <c r="C195" s="6"/>
      <c r="D195" s="6"/>
      <c r="E195" s="9"/>
      <c r="F195" s="9"/>
      <c r="G195" s="11"/>
      <c r="H195" s="5"/>
      <c r="I195" s="8"/>
      <c r="J195" s="8"/>
      <c r="Z195" s="6"/>
      <c r="AA195" s="6"/>
    </row>
    <row r="196" spans="2:27" ht="12.75" x14ac:dyDescent="0.2">
      <c r="B196" s="6"/>
      <c r="C196" s="6"/>
      <c r="D196" s="6"/>
      <c r="E196" s="9"/>
      <c r="F196" s="9"/>
      <c r="G196" s="11"/>
      <c r="H196" s="5"/>
      <c r="I196" s="8"/>
      <c r="J196" s="8"/>
      <c r="Z196" s="6"/>
      <c r="AA196" s="6"/>
    </row>
    <row r="197" spans="2:27" ht="12.75" x14ac:dyDescent="0.2">
      <c r="B197" s="6"/>
      <c r="C197" s="6"/>
      <c r="D197" s="6"/>
      <c r="E197" s="9"/>
      <c r="F197" s="9"/>
      <c r="G197" s="11"/>
      <c r="H197" s="5"/>
      <c r="I197" s="8"/>
      <c r="J197" s="8"/>
      <c r="Z197" s="6"/>
      <c r="AA197" s="6"/>
    </row>
    <row r="198" spans="2:27" ht="12.75" x14ac:dyDescent="0.2">
      <c r="B198" s="6"/>
      <c r="C198" s="6"/>
      <c r="D198" s="6"/>
      <c r="E198" s="9"/>
      <c r="F198" s="9"/>
      <c r="G198" s="11"/>
      <c r="H198" s="5"/>
      <c r="I198" s="8"/>
      <c r="J198" s="8"/>
      <c r="Z198" s="6"/>
      <c r="AA198" s="6"/>
    </row>
    <row r="199" spans="2:27" ht="12.75" x14ac:dyDescent="0.2">
      <c r="B199" s="6"/>
      <c r="C199" s="6"/>
      <c r="D199" s="6"/>
      <c r="E199" s="9"/>
      <c r="F199" s="9"/>
      <c r="G199" s="11"/>
      <c r="H199" s="5"/>
      <c r="I199" s="8"/>
      <c r="J199" s="8"/>
      <c r="Z199" s="6"/>
      <c r="AA199" s="6"/>
    </row>
    <row r="200" spans="2:27" ht="12.75" x14ac:dyDescent="0.2">
      <c r="B200" s="6"/>
      <c r="C200" s="6"/>
      <c r="D200" s="6"/>
      <c r="E200" s="9"/>
      <c r="F200" s="9"/>
      <c r="G200" s="11"/>
      <c r="H200" s="5"/>
      <c r="I200" s="8"/>
      <c r="J200" s="8"/>
      <c r="Z200" s="6"/>
      <c r="AA200" s="6"/>
    </row>
    <row r="201" spans="2:27" ht="12.75" x14ac:dyDescent="0.2">
      <c r="B201" s="6"/>
      <c r="C201" s="6"/>
      <c r="D201" s="6"/>
      <c r="E201" s="9"/>
      <c r="F201" s="9"/>
      <c r="G201" s="11"/>
      <c r="H201" s="5"/>
      <c r="I201" s="8"/>
      <c r="J201" s="8"/>
      <c r="Z201" s="6"/>
      <c r="AA201" s="6"/>
    </row>
    <row r="202" spans="2:27" ht="12.75" x14ac:dyDescent="0.2">
      <c r="B202" s="6"/>
      <c r="C202" s="6"/>
      <c r="D202" s="6"/>
      <c r="E202" s="9"/>
      <c r="F202" s="9"/>
      <c r="G202" s="11"/>
      <c r="H202" s="5"/>
      <c r="I202" s="8"/>
      <c r="J202" s="8"/>
      <c r="Z202" s="6"/>
      <c r="AA202" s="6"/>
    </row>
    <row r="203" spans="2:27" ht="12.75" x14ac:dyDescent="0.2">
      <c r="B203" s="6"/>
      <c r="C203" s="6"/>
      <c r="D203" s="6"/>
      <c r="E203" s="9"/>
      <c r="F203" s="9"/>
      <c r="G203" s="11"/>
      <c r="H203" s="5"/>
      <c r="I203" s="8"/>
      <c r="J203" s="8"/>
      <c r="Z203" s="6"/>
      <c r="AA203" s="6"/>
    </row>
    <row r="204" spans="2:27" ht="12.75" x14ac:dyDescent="0.2">
      <c r="B204" s="6"/>
      <c r="C204" s="6"/>
      <c r="D204" s="6"/>
      <c r="E204" s="9"/>
      <c r="F204" s="9"/>
      <c r="G204" s="11"/>
      <c r="H204" s="5"/>
      <c r="I204" s="8"/>
      <c r="J204" s="8"/>
      <c r="Z204" s="6"/>
      <c r="AA204" s="6"/>
    </row>
    <row r="205" spans="2:27" ht="12.75" x14ac:dyDescent="0.2">
      <c r="B205" s="6"/>
      <c r="C205" s="6"/>
      <c r="D205" s="6"/>
      <c r="E205" s="9"/>
      <c r="F205" s="9"/>
      <c r="G205" s="11"/>
      <c r="H205" s="5"/>
      <c r="I205" s="8"/>
      <c r="J205" s="8"/>
      <c r="Z205" s="6"/>
      <c r="AA205" s="6"/>
    </row>
    <row r="206" spans="2:27" ht="12.75" x14ac:dyDescent="0.2">
      <c r="B206" s="6"/>
      <c r="C206" s="6"/>
      <c r="D206" s="6"/>
      <c r="E206" s="9"/>
      <c r="F206" s="9"/>
      <c r="G206" s="11"/>
      <c r="H206" s="5"/>
      <c r="I206" s="8"/>
      <c r="J206" s="8"/>
      <c r="Z206" s="6"/>
      <c r="AA206" s="6"/>
    </row>
    <row r="207" spans="2:27" ht="12.75" x14ac:dyDescent="0.2">
      <c r="B207" s="6"/>
      <c r="C207" s="6"/>
      <c r="D207" s="6"/>
      <c r="E207" s="9"/>
      <c r="F207" s="9"/>
      <c r="G207" s="11"/>
      <c r="H207" s="5"/>
      <c r="I207" s="8"/>
      <c r="J207" s="8"/>
      <c r="Z207" s="6"/>
      <c r="AA207" s="6"/>
    </row>
    <row r="208" spans="2:27" ht="12.75" x14ac:dyDescent="0.2">
      <c r="B208" s="6"/>
      <c r="C208" s="6"/>
      <c r="D208" s="6"/>
      <c r="E208" s="9"/>
      <c r="F208" s="9"/>
      <c r="G208" s="11"/>
      <c r="H208" s="5"/>
      <c r="I208" s="8"/>
      <c r="J208" s="8"/>
      <c r="Z208" s="6"/>
      <c r="AA208" s="6"/>
    </row>
    <row r="209" spans="2:27" ht="12.75" x14ac:dyDescent="0.2">
      <c r="B209" s="6"/>
      <c r="C209" s="6"/>
      <c r="D209" s="6"/>
      <c r="E209" s="9"/>
      <c r="F209" s="9"/>
      <c r="G209" s="11"/>
      <c r="H209" s="5"/>
      <c r="I209" s="8"/>
      <c r="J209" s="8"/>
      <c r="Z209" s="6"/>
      <c r="AA209" s="6"/>
    </row>
    <row r="210" spans="2:27" ht="12.75" x14ac:dyDescent="0.2">
      <c r="B210" s="6"/>
      <c r="C210" s="6"/>
      <c r="D210" s="6"/>
      <c r="E210" s="9"/>
      <c r="F210" s="9"/>
      <c r="G210" s="11"/>
      <c r="H210" s="5"/>
      <c r="I210" s="8"/>
      <c r="J210" s="8"/>
      <c r="Z210" s="6"/>
      <c r="AA210" s="6"/>
    </row>
    <row r="211" spans="2:27" ht="12.75" x14ac:dyDescent="0.2">
      <c r="B211" s="6"/>
      <c r="C211" s="6"/>
      <c r="D211" s="6"/>
      <c r="E211" s="9"/>
      <c r="F211" s="9"/>
      <c r="G211" s="11"/>
      <c r="H211" s="5"/>
      <c r="I211" s="8"/>
      <c r="J211" s="8"/>
      <c r="Z211" s="6"/>
      <c r="AA211" s="6"/>
    </row>
    <row r="212" spans="2:27" ht="12.75" x14ac:dyDescent="0.2">
      <c r="B212" s="6"/>
      <c r="C212" s="6"/>
      <c r="D212" s="6"/>
      <c r="E212" s="9"/>
      <c r="F212" s="9"/>
      <c r="G212" s="11"/>
      <c r="H212" s="5"/>
      <c r="I212" s="8"/>
      <c r="J212" s="8"/>
      <c r="Z212" s="6"/>
      <c r="AA212" s="6"/>
    </row>
    <row r="213" spans="2:27" ht="12.75" x14ac:dyDescent="0.2">
      <c r="B213" s="6"/>
      <c r="C213" s="6"/>
      <c r="D213" s="6"/>
      <c r="E213" s="9"/>
      <c r="F213" s="9"/>
      <c r="G213" s="11"/>
      <c r="H213" s="5"/>
      <c r="I213" s="8"/>
      <c r="J213" s="8"/>
      <c r="Z213" s="6"/>
      <c r="AA213" s="6"/>
    </row>
    <row r="214" spans="2:27" ht="12.75" x14ac:dyDescent="0.2">
      <c r="B214" s="6"/>
      <c r="C214" s="6"/>
      <c r="D214" s="6"/>
      <c r="E214" s="9"/>
      <c r="F214" s="9"/>
      <c r="G214" s="11"/>
      <c r="H214" s="5"/>
      <c r="I214" s="8"/>
      <c r="J214" s="8"/>
      <c r="Z214" s="6"/>
      <c r="AA214" s="6"/>
    </row>
    <row r="215" spans="2:27" ht="12.75" x14ac:dyDescent="0.2">
      <c r="B215" s="6"/>
      <c r="C215" s="6"/>
      <c r="D215" s="6"/>
      <c r="E215" s="9"/>
      <c r="F215" s="9"/>
      <c r="G215" s="11"/>
      <c r="H215" s="5"/>
      <c r="I215" s="8"/>
      <c r="J215" s="8"/>
      <c r="Z215" s="6"/>
      <c r="AA215" s="6"/>
    </row>
    <row r="216" spans="2:27" ht="12.75" x14ac:dyDescent="0.2">
      <c r="B216" s="6"/>
      <c r="C216" s="6"/>
      <c r="D216" s="6"/>
      <c r="E216" s="9"/>
      <c r="F216" s="9"/>
      <c r="G216" s="11"/>
      <c r="H216" s="5"/>
      <c r="I216" s="8"/>
      <c r="J216" s="8"/>
      <c r="Z216" s="6"/>
      <c r="AA216" s="6"/>
    </row>
    <row r="217" spans="2:27" ht="12.75" x14ac:dyDescent="0.2">
      <c r="B217" s="6"/>
      <c r="C217" s="6"/>
      <c r="D217" s="6"/>
      <c r="E217" s="9"/>
      <c r="F217" s="9"/>
      <c r="G217" s="11"/>
      <c r="H217" s="5"/>
      <c r="I217" s="8"/>
      <c r="J217" s="8"/>
      <c r="Z217" s="6"/>
      <c r="AA217" s="6"/>
    </row>
    <row r="218" spans="2:27" ht="12.75" x14ac:dyDescent="0.2">
      <c r="B218" s="6"/>
      <c r="C218" s="6"/>
      <c r="D218" s="6"/>
      <c r="E218" s="9"/>
      <c r="F218" s="9"/>
      <c r="G218" s="11"/>
      <c r="H218" s="5"/>
      <c r="I218" s="8"/>
      <c r="J218" s="8"/>
      <c r="Z218" s="6"/>
      <c r="AA218" s="6"/>
    </row>
    <row r="219" spans="2:27" ht="12.75" x14ac:dyDescent="0.2">
      <c r="B219" s="6"/>
      <c r="C219" s="6"/>
      <c r="D219" s="6"/>
      <c r="E219" s="9"/>
      <c r="F219" s="9"/>
      <c r="G219" s="11"/>
      <c r="H219" s="5"/>
      <c r="I219" s="8"/>
      <c r="J219" s="8"/>
      <c r="Z219" s="6"/>
      <c r="AA219" s="6"/>
    </row>
    <row r="220" spans="2:27" ht="12.75" x14ac:dyDescent="0.2">
      <c r="B220" s="6"/>
      <c r="C220" s="6"/>
      <c r="D220" s="6"/>
      <c r="E220" s="9"/>
      <c r="F220" s="9"/>
      <c r="G220" s="11"/>
      <c r="H220" s="5"/>
      <c r="I220" s="8"/>
      <c r="J220" s="8"/>
      <c r="Z220" s="6"/>
      <c r="AA220" s="6"/>
    </row>
    <row r="221" spans="2:27" ht="12.75" x14ac:dyDescent="0.2">
      <c r="B221" s="6"/>
      <c r="C221" s="6"/>
      <c r="D221" s="6"/>
      <c r="E221" s="9"/>
      <c r="F221" s="9"/>
      <c r="G221" s="11"/>
      <c r="H221" s="5"/>
      <c r="I221" s="8"/>
      <c r="J221" s="8"/>
      <c r="Z221" s="6"/>
      <c r="AA221" s="6"/>
    </row>
    <row r="222" spans="2:27" ht="12.75" x14ac:dyDescent="0.2">
      <c r="B222" s="6"/>
      <c r="C222" s="6"/>
      <c r="D222" s="6"/>
      <c r="E222" s="9"/>
      <c r="F222" s="9"/>
      <c r="G222" s="11"/>
      <c r="H222" s="5"/>
      <c r="I222" s="8"/>
      <c r="J222" s="8"/>
      <c r="Z222" s="6"/>
      <c r="AA222" s="6"/>
    </row>
    <row r="223" spans="2:27" ht="12.75" x14ac:dyDescent="0.2">
      <c r="B223" s="6"/>
      <c r="C223" s="6"/>
      <c r="D223" s="6"/>
      <c r="E223" s="9"/>
      <c r="F223" s="9"/>
      <c r="G223" s="11"/>
      <c r="H223" s="5"/>
      <c r="I223" s="8"/>
      <c r="J223" s="8"/>
      <c r="Z223" s="6"/>
      <c r="AA223" s="6"/>
    </row>
    <row r="224" spans="2:27" ht="12.75" x14ac:dyDescent="0.2">
      <c r="B224" s="6"/>
      <c r="C224" s="6"/>
      <c r="D224" s="6"/>
      <c r="E224" s="9"/>
      <c r="F224" s="9"/>
      <c r="G224" s="11"/>
      <c r="H224" s="5"/>
      <c r="I224" s="8"/>
      <c r="J224" s="8"/>
      <c r="Z224" s="6"/>
      <c r="AA224" s="6"/>
    </row>
    <row r="225" spans="2:27" ht="12.75" x14ac:dyDescent="0.2">
      <c r="B225" s="6"/>
      <c r="C225" s="6"/>
      <c r="D225" s="6"/>
      <c r="E225" s="9"/>
      <c r="F225" s="9"/>
      <c r="G225" s="11"/>
      <c r="H225" s="5"/>
      <c r="I225" s="8"/>
      <c r="J225" s="8"/>
      <c r="Z225" s="6"/>
      <c r="AA225" s="6"/>
    </row>
    <row r="226" spans="2:27" ht="12.75" x14ac:dyDescent="0.2">
      <c r="B226" s="6"/>
      <c r="C226" s="6"/>
      <c r="D226" s="6"/>
      <c r="E226" s="9"/>
      <c r="F226" s="9"/>
      <c r="G226" s="11"/>
      <c r="H226" s="5"/>
      <c r="I226" s="8"/>
      <c r="J226" s="8"/>
      <c r="Z226" s="6"/>
      <c r="AA226" s="6"/>
    </row>
    <row r="227" spans="2:27" ht="12.75" x14ac:dyDescent="0.2">
      <c r="B227" s="6"/>
      <c r="C227" s="6"/>
      <c r="D227" s="6"/>
      <c r="E227" s="9"/>
      <c r="F227" s="9"/>
      <c r="G227" s="11"/>
      <c r="H227" s="5"/>
      <c r="I227" s="8"/>
      <c r="J227" s="8"/>
      <c r="Z227" s="6"/>
      <c r="AA227" s="6"/>
    </row>
    <row r="228" spans="2:27" ht="12.75" x14ac:dyDescent="0.2">
      <c r="B228" s="6"/>
      <c r="C228" s="6"/>
      <c r="D228" s="6"/>
      <c r="E228" s="9"/>
      <c r="F228" s="9"/>
      <c r="G228" s="11"/>
      <c r="H228" s="5"/>
      <c r="I228" s="8"/>
      <c r="J228" s="8"/>
      <c r="Z228" s="6"/>
      <c r="AA228" s="6"/>
    </row>
    <row r="229" spans="2:27" ht="12.75" x14ac:dyDescent="0.2">
      <c r="B229" s="6"/>
      <c r="C229" s="6"/>
      <c r="D229" s="6"/>
      <c r="E229" s="9"/>
      <c r="F229" s="9"/>
      <c r="G229" s="11"/>
      <c r="H229" s="5"/>
      <c r="I229" s="8"/>
      <c r="J229" s="8"/>
      <c r="Z229" s="6"/>
      <c r="AA229" s="6"/>
    </row>
    <row r="230" spans="2:27" ht="12.75" x14ac:dyDescent="0.2">
      <c r="B230" s="6"/>
      <c r="C230" s="6"/>
      <c r="D230" s="6"/>
      <c r="E230" s="9"/>
      <c r="F230" s="9"/>
      <c r="G230" s="11"/>
      <c r="H230" s="5"/>
      <c r="I230" s="8"/>
      <c r="J230" s="8"/>
      <c r="Z230" s="6"/>
      <c r="AA230" s="6"/>
    </row>
    <row r="231" spans="2:27" ht="12.75" x14ac:dyDescent="0.2">
      <c r="B231" s="6"/>
      <c r="C231" s="6"/>
      <c r="D231" s="6"/>
      <c r="E231" s="9"/>
      <c r="F231" s="9"/>
      <c r="G231" s="11"/>
      <c r="H231" s="5"/>
      <c r="I231" s="8"/>
      <c r="J231" s="8"/>
      <c r="Z231" s="6"/>
      <c r="AA231" s="6"/>
    </row>
    <row r="232" spans="2:27" ht="12.75" x14ac:dyDescent="0.2">
      <c r="B232" s="6"/>
      <c r="C232" s="6"/>
      <c r="D232" s="6"/>
      <c r="E232" s="9"/>
      <c r="F232" s="9"/>
      <c r="G232" s="11"/>
      <c r="H232" s="5"/>
      <c r="I232" s="8"/>
      <c r="J232" s="8"/>
      <c r="Z232" s="6"/>
      <c r="AA232" s="6"/>
    </row>
    <row r="233" spans="2:27" ht="12.75" x14ac:dyDescent="0.2">
      <c r="B233" s="6"/>
      <c r="C233" s="6"/>
      <c r="D233" s="6"/>
      <c r="E233" s="9"/>
      <c r="F233" s="9"/>
      <c r="G233" s="11"/>
      <c r="H233" s="5"/>
      <c r="I233" s="8"/>
      <c r="J233" s="8"/>
      <c r="Z233" s="6"/>
      <c r="AA233" s="6"/>
    </row>
    <row r="234" spans="2:27" ht="12.75" x14ac:dyDescent="0.2">
      <c r="B234" s="6"/>
      <c r="C234" s="6"/>
      <c r="D234" s="6"/>
      <c r="E234" s="9"/>
      <c r="F234" s="9"/>
      <c r="G234" s="11"/>
      <c r="H234" s="5"/>
      <c r="I234" s="8"/>
      <c r="J234" s="8"/>
      <c r="Z234" s="6"/>
      <c r="AA234" s="6"/>
    </row>
    <row r="235" spans="2:27" ht="12.75" x14ac:dyDescent="0.2">
      <c r="B235" s="6"/>
      <c r="C235" s="6"/>
      <c r="D235" s="6"/>
      <c r="E235" s="9"/>
      <c r="F235" s="9"/>
      <c r="G235" s="11"/>
      <c r="H235" s="5"/>
      <c r="I235" s="8"/>
      <c r="J235" s="8"/>
      <c r="Z235" s="6"/>
      <c r="AA235" s="6"/>
    </row>
    <row r="236" spans="2:27" ht="12.75" x14ac:dyDescent="0.2">
      <c r="B236" s="6"/>
      <c r="C236" s="6"/>
      <c r="D236" s="6"/>
      <c r="E236" s="9"/>
      <c r="F236" s="9"/>
      <c r="G236" s="11"/>
      <c r="H236" s="5"/>
      <c r="I236" s="8"/>
      <c r="J236" s="8"/>
      <c r="Z236" s="6"/>
      <c r="AA236" s="6"/>
    </row>
    <row r="237" spans="2:27" ht="12.75" x14ac:dyDescent="0.2">
      <c r="B237" s="6"/>
      <c r="C237" s="6"/>
      <c r="D237" s="6"/>
      <c r="E237" s="9"/>
      <c r="F237" s="9"/>
      <c r="G237" s="11"/>
      <c r="H237" s="5"/>
      <c r="I237" s="8"/>
      <c r="J237" s="8"/>
      <c r="Z237" s="6"/>
      <c r="AA237" s="6"/>
    </row>
    <row r="238" spans="2:27" ht="12.75" x14ac:dyDescent="0.2">
      <c r="B238" s="6"/>
      <c r="C238" s="6"/>
      <c r="D238" s="6"/>
      <c r="E238" s="9"/>
      <c r="F238" s="9"/>
      <c r="G238" s="11"/>
      <c r="H238" s="5"/>
      <c r="I238" s="8"/>
      <c r="J238" s="8"/>
      <c r="Z238" s="6"/>
      <c r="AA238" s="6"/>
    </row>
    <row r="239" spans="2:27" ht="12.75" x14ac:dyDescent="0.2">
      <c r="B239" s="6"/>
      <c r="C239" s="6"/>
      <c r="D239" s="6"/>
      <c r="E239" s="9"/>
      <c r="F239" s="9"/>
      <c r="G239" s="11"/>
      <c r="H239" s="5"/>
      <c r="I239" s="8"/>
      <c r="J239" s="8"/>
      <c r="Z239" s="6"/>
      <c r="AA239" s="6"/>
    </row>
    <row r="240" spans="2:27" ht="12.75" x14ac:dyDescent="0.2">
      <c r="B240" s="6"/>
      <c r="C240" s="6"/>
      <c r="D240" s="6"/>
      <c r="E240" s="9"/>
      <c r="F240" s="9"/>
      <c r="G240" s="11"/>
      <c r="H240" s="5"/>
      <c r="I240" s="8"/>
      <c r="J240" s="8"/>
      <c r="Z240" s="6"/>
      <c r="AA240" s="6"/>
    </row>
    <row r="241" spans="2:27" ht="12.75" x14ac:dyDescent="0.2">
      <c r="B241" s="6"/>
      <c r="C241" s="6"/>
      <c r="D241" s="6"/>
      <c r="E241" s="9"/>
      <c r="F241" s="9"/>
      <c r="G241" s="11"/>
      <c r="H241" s="5"/>
      <c r="I241" s="8"/>
      <c r="J241" s="8"/>
      <c r="Z241" s="6"/>
      <c r="AA241" s="6"/>
    </row>
    <row r="242" spans="2:27" ht="12.75" x14ac:dyDescent="0.2">
      <c r="B242" s="6"/>
      <c r="C242" s="6"/>
      <c r="D242" s="6"/>
      <c r="E242" s="9"/>
      <c r="F242" s="9"/>
      <c r="G242" s="11"/>
      <c r="H242" s="5"/>
      <c r="I242" s="8"/>
      <c r="J242" s="8"/>
      <c r="Z242" s="6"/>
      <c r="AA242" s="6"/>
    </row>
    <row r="243" spans="2:27" ht="12.75" x14ac:dyDescent="0.2">
      <c r="B243" s="6"/>
      <c r="C243" s="6"/>
      <c r="D243" s="6"/>
      <c r="E243" s="9"/>
      <c r="F243" s="9"/>
      <c r="G243" s="11"/>
      <c r="H243" s="5"/>
      <c r="I243" s="8"/>
      <c r="J243" s="8"/>
      <c r="Z243" s="6"/>
      <c r="AA243" s="6"/>
    </row>
    <row r="244" spans="2:27" ht="12.75" x14ac:dyDescent="0.2">
      <c r="B244" s="6"/>
      <c r="C244" s="6"/>
      <c r="D244" s="6"/>
      <c r="E244" s="9"/>
      <c r="F244" s="9"/>
      <c r="G244" s="11"/>
      <c r="H244" s="5"/>
      <c r="I244" s="8"/>
      <c r="J244" s="8"/>
      <c r="Z244" s="6"/>
      <c r="AA244" s="6"/>
    </row>
    <row r="245" spans="2:27" ht="12.75" x14ac:dyDescent="0.2">
      <c r="B245" s="6"/>
      <c r="C245" s="6"/>
      <c r="D245" s="6"/>
      <c r="E245" s="9"/>
      <c r="F245" s="9"/>
      <c r="G245" s="11"/>
      <c r="H245" s="5"/>
      <c r="I245" s="8"/>
      <c r="J245" s="8"/>
      <c r="Z245" s="6"/>
      <c r="AA245" s="6"/>
    </row>
    <row r="246" spans="2:27" ht="12.75" x14ac:dyDescent="0.2">
      <c r="B246" s="6"/>
      <c r="C246" s="6"/>
      <c r="D246" s="6"/>
      <c r="E246" s="9"/>
      <c r="F246" s="9"/>
      <c r="G246" s="11"/>
      <c r="H246" s="5"/>
      <c r="I246" s="8"/>
      <c r="J246" s="8"/>
      <c r="Z246" s="6"/>
      <c r="AA246" s="6"/>
    </row>
    <row r="247" spans="2:27" ht="12.75" x14ac:dyDescent="0.2">
      <c r="B247" s="6"/>
      <c r="C247" s="6"/>
      <c r="D247" s="6"/>
      <c r="E247" s="9"/>
      <c r="F247" s="9"/>
      <c r="G247" s="11"/>
      <c r="H247" s="5"/>
      <c r="I247" s="8"/>
      <c r="J247" s="8"/>
      <c r="Z247" s="6"/>
      <c r="AA247" s="6"/>
    </row>
    <row r="248" spans="2:27" ht="12.75" x14ac:dyDescent="0.2">
      <c r="B248" s="6"/>
      <c r="C248" s="6"/>
      <c r="D248" s="6"/>
      <c r="E248" s="9"/>
      <c r="F248" s="9"/>
      <c r="G248" s="11"/>
      <c r="H248" s="5"/>
      <c r="I248" s="8"/>
      <c r="J248" s="8"/>
      <c r="Z248" s="6"/>
      <c r="AA248" s="6"/>
    </row>
    <row r="249" spans="2:27" ht="12.75" x14ac:dyDescent="0.2">
      <c r="B249" s="6"/>
      <c r="C249" s="6"/>
      <c r="D249" s="6"/>
      <c r="E249" s="9"/>
      <c r="F249" s="9"/>
      <c r="G249" s="11"/>
      <c r="H249" s="5"/>
      <c r="I249" s="8"/>
      <c r="J249" s="8"/>
      <c r="Z249" s="6"/>
      <c r="AA249" s="6"/>
    </row>
    <row r="250" spans="2:27" ht="12.75" x14ac:dyDescent="0.2">
      <c r="B250" s="6"/>
      <c r="C250" s="6"/>
      <c r="D250" s="6"/>
      <c r="E250" s="9"/>
      <c r="F250" s="9"/>
      <c r="G250" s="11"/>
      <c r="H250" s="5"/>
      <c r="I250" s="8"/>
      <c r="J250" s="8"/>
      <c r="Z250" s="6"/>
      <c r="AA250" s="6"/>
    </row>
    <row r="251" spans="2:27" ht="12.75" x14ac:dyDescent="0.2">
      <c r="B251" s="6"/>
      <c r="C251" s="6"/>
      <c r="D251" s="6"/>
      <c r="E251" s="9"/>
      <c r="F251" s="9"/>
      <c r="G251" s="11"/>
      <c r="H251" s="5"/>
      <c r="I251" s="8"/>
      <c r="J251" s="8"/>
      <c r="Z251" s="6"/>
      <c r="AA251" s="6"/>
    </row>
    <row r="252" spans="2:27" ht="12.75" x14ac:dyDescent="0.2">
      <c r="B252" s="6"/>
      <c r="C252" s="6"/>
      <c r="D252" s="6"/>
      <c r="E252" s="9"/>
      <c r="F252" s="9"/>
      <c r="G252" s="11"/>
      <c r="H252" s="5"/>
      <c r="I252" s="8"/>
      <c r="J252" s="8"/>
      <c r="Z252" s="6"/>
      <c r="AA252" s="6"/>
    </row>
    <row r="253" spans="2:27" ht="12.75" x14ac:dyDescent="0.2">
      <c r="B253" s="6"/>
      <c r="C253" s="6"/>
      <c r="D253" s="6"/>
      <c r="E253" s="9"/>
      <c r="F253" s="9"/>
      <c r="G253" s="11"/>
      <c r="H253" s="5"/>
      <c r="I253" s="8"/>
      <c r="J253" s="8"/>
      <c r="Z253" s="6"/>
      <c r="AA253" s="6"/>
    </row>
    <row r="254" spans="2:27" ht="12.75" x14ac:dyDescent="0.2">
      <c r="B254" s="6"/>
      <c r="C254" s="6"/>
      <c r="D254" s="6"/>
      <c r="E254" s="9"/>
      <c r="F254" s="9"/>
      <c r="G254" s="11"/>
      <c r="H254" s="5"/>
      <c r="I254" s="8"/>
      <c r="J254" s="8"/>
      <c r="Z254" s="6"/>
      <c r="AA254" s="6"/>
    </row>
    <row r="255" spans="2:27" ht="12.75" x14ac:dyDescent="0.2">
      <c r="B255" s="6"/>
      <c r="C255" s="6"/>
      <c r="D255" s="6"/>
      <c r="E255" s="9"/>
      <c r="F255" s="9"/>
      <c r="G255" s="11"/>
      <c r="H255" s="5"/>
      <c r="I255" s="8"/>
      <c r="J255" s="8"/>
      <c r="Z255" s="6"/>
      <c r="AA255" s="6"/>
    </row>
    <row r="256" spans="2:27" ht="12.75" x14ac:dyDescent="0.2">
      <c r="B256" s="6"/>
      <c r="C256" s="6"/>
      <c r="D256" s="6"/>
      <c r="E256" s="9"/>
      <c r="F256" s="9"/>
      <c r="G256" s="11"/>
      <c r="H256" s="5"/>
      <c r="I256" s="8"/>
      <c r="J256" s="8"/>
      <c r="Z256" s="6"/>
      <c r="AA256" s="6"/>
    </row>
    <row r="257" spans="2:27" ht="12.75" x14ac:dyDescent="0.2">
      <c r="B257" s="6"/>
      <c r="C257" s="6"/>
      <c r="D257" s="6"/>
      <c r="E257" s="9"/>
      <c r="F257" s="9"/>
      <c r="G257" s="11"/>
      <c r="H257" s="5"/>
      <c r="I257" s="8"/>
      <c r="J257" s="8"/>
      <c r="Z257" s="6"/>
      <c r="AA257" s="6"/>
    </row>
    <row r="258" spans="2:27" ht="12.75" x14ac:dyDescent="0.2">
      <c r="B258" s="6"/>
      <c r="C258" s="6"/>
      <c r="D258" s="6"/>
      <c r="E258" s="9"/>
      <c r="F258" s="9"/>
      <c r="G258" s="11"/>
      <c r="H258" s="5"/>
      <c r="I258" s="8"/>
      <c r="J258" s="8"/>
      <c r="Z258" s="6"/>
      <c r="AA258" s="6"/>
    </row>
    <row r="259" spans="2:27" ht="12.75" x14ac:dyDescent="0.2">
      <c r="B259" s="6"/>
      <c r="C259" s="6"/>
      <c r="D259" s="6"/>
      <c r="E259" s="9"/>
      <c r="F259" s="9"/>
      <c r="G259" s="11"/>
      <c r="H259" s="5"/>
      <c r="I259" s="8"/>
      <c r="J259" s="8"/>
      <c r="Z259" s="6"/>
      <c r="AA259" s="6"/>
    </row>
    <row r="260" spans="2:27" ht="12.75" x14ac:dyDescent="0.2">
      <c r="B260" s="6"/>
      <c r="C260" s="6"/>
      <c r="D260" s="6"/>
      <c r="E260" s="9"/>
      <c r="F260" s="9"/>
      <c r="G260" s="11"/>
      <c r="H260" s="5"/>
      <c r="I260" s="8"/>
      <c r="J260" s="8"/>
      <c r="Z260" s="6"/>
      <c r="AA260" s="6"/>
    </row>
    <row r="261" spans="2:27" ht="12.75" x14ac:dyDescent="0.2">
      <c r="B261" s="6"/>
      <c r="C261" s="6"/>
      <c r="D261" s="6"/>
      <c r="E261" s="9"/>
      <c r="F261" s="9"/>
      <c r="G261" s="11"/>
      <c r="H261" s="5"/>
      <c r="I261" s="8"/>
      <c r="J261" s="8"/>
      <c r="Z261" s="6"/>
      <c r="AA261" s="6"/>
    </row>
    <row r="262" spans="2:27" ht="12.75" x14ac:dyDescent="0.2">
      <c r="B262" s="6"/>
      <c r="C262" s="6"/>
      <c r="D262" s="6"/>
      <c r="E262" s="9"/>
      <c r="F262" s="9"/>
      <c r="G262" s="11"/>
      <c r="H262" s="5"/>
      <c r="I262" s="8"/>
      <c r="J262" s="8"/>
      <c r="Z262" s="6"/>
      <c r="AA262" s="6"/>
    </row>
    <row r="263" spans="2:27" ht="12.75" x14ac:dyDescent="0.2">
      <c r="B263" s="6"/>
      <c r="C263" s="6"/>
      <c r="D263" s="6"/>
      <c r="E263" s="9"/>
      <c r="F263" s="9"/>
      <c r="G263" s="11"/>
      <c r="H263" s="5"/>
      <c r="I263" s="8"/>
      <c r="J263" s="8"/>
      <c r="Z263" s="6"/>
      <c r="AA263" s="6"/>
    </row>
    <row r="264" spans="2:27" ht="12.75" x14ac:dyDescent="0.2">
      <c r="B264" s="6"/>
      <c r="C264" s="6"/>
      <c r="D264" s="6"/>
      <c r="E264" s="9"/>
      <c r="F264" s="9"/>
      <c r="G264" s="11"/>
      <c r="H264" s="5"/>
      <c r="I264" s="8"/>
      <c r="J264" s="8"/>
      <c r="Z264" s="6"/>
      <c r="AA264" s="6"/>
    </row>
    <row r="265" spans="2:27" ht="12.75" x14ac:dyDescent="0.2">
      <c r="B265" s="6"/>
      <c r="C265" s="6"/>
      <c r="D265" s="6"/>
      <c r="E265" s="9"/>
      <c r="F265" s="9"/>
      <c r="G265" s="11"/>
      <c r="H265" s="5"/>
      <c r="I265" s="8"/>
      <c r="J265" s="8"/>
      <c r="Z265" s="6"/>
      <c r="AA265" s="6"/>
    </row>
    <row r="266" spans="2:27" ht="12.75" x14ac:dyDescent="0.2">
      <c r="B266" s="6"/>
      <c r="C266" s="6"/>
      <c r="D266" s="6"/>
      <c r="E266" s="9"/>
      <c r="F266" s="9"/>
      <c r="G266" s="11"/>
      <c r="H266" s="5"/>
      <c r="I266" s="8"/>
      <c r="J266" s="8"/>
      <c r="Z266" s="6"/>
      <c r="AA266" s="6"/>
    </row>
    <row r="267" spans="2:27" ht="12.75" x14ac:dyDescent="0.2">
      <c r="B267" s="6"/>
      <c r="C267" s="6"/>
      <c r="D267" s="6"/>
      <c r="E267" s="9"/>
      <c r="F267" s="9"/>
      <c r="G267" s="11"/>
      <c r="H267" s="5"/>
      <c r="I267" s="8"/>
      <c r="J267" s="8"/>
      <c r="Z267" s="6"/>
      <c r="AA267" s="6"/>
    </row>
    <row r="268" spans="2:27" ht="12.75" x14ac:dyDescent="0.2">
      <c r="B268" s="6"/>
      <c r="C268" s="6"/>
      <c r="D268" s="6"/>
      <c r="E268" s="9"/>
      <c r="F268" s="9"/>
      <c r="G268" s="11"/>
      <c r="H268" s="5"/>
      <c r="I268" s="8"/>
      <c r="J268" s="8"/>
      <c r="Z268" s="6"/>
      <c r="AA268" s="6"/>
    </row>
    <row r="269" spans="2:27" ht="12.75" x14ac:dyDescent="0.2">
      <c r="B269" s="6"/>
      <c r="C269" s="6"/>
      <c r="D269" s="6"/>
      <c r="E269" s="9"/>
      <c r="F269" s="9"/>
      <c r="G269" s="11"/>
      <c r="H269" s="5"/>
      <c r="I269" s="8"/>
      <c r="J269" s="8"/>
      <c r="Z269" s="6"/>
      <c r="AA269" s="6"/>
    </row>
    <row r="270" spans="2:27" ht="12.75" x14ac:dyDescent="0.2">
      <c r="B270" s="6"/>
      <c r="C270" s="6"/>
      <c r="D270" s="6"/>
      <c r="E270" s="9"/>
      <c r="F270" s="9"/>
      <c r="G270" s="11"/>
      <c r="H270" s="5"/>
      <c r="I270" s="8"/>
      <c r="J270" s="8"/>
      <c r="Z270" s="6"/>
      <c r="AA270" s="6"/>
    </row>
    <row r="271" spans="2:27" ht="12.75" x14ac:dyDescent="0.2">
      <c r="B271" s="6"/>
      <c r="C271" s="6"/>
      <c r="D271" s="6"/>
      <c r="E271" s="9"/>
      <c r="F271" s="9"/>
      <c r="G271" s="11"/>
      <c r="H271" s="5"/>
      <c r="I271" s="8"/>
      <c r="J271" s="8"/>
      <c r="Z271" s="6"/>
      <c r="AA271" s="6"/>
    </row>
    <row r="272" spans="2:27" ht="12.75" x14ac:dyDescent="0.2">
      <c r="B272" s="6"/>
      <c r="C272" s="6"/>
      <c r="D272" s="6"/>
      <c r="E272" s="9"/>
      <c r="F272" s="9"/>
      <c r="G272" s="11"/>
      <c r="H272" s="5"/>
      <c r="I272" s="8"/>
      <c r="J272" s="8"/>
      <c r="Z272" s="6"/>
      <c r="AA272" s="6"/>
    </row>
    <row r="273" spans="2:27" ht="12.75" x14ac:dyDescent="0.2">
      <c r="B273" s="6"/>
      <c r="C273" s="6"/>
      <c r="D273" s="6"/>
      <c r="E273" s="9"/>
      <c r="F273" s="9"/>
      <c r="G273" s="11"/>
      <c r="H273" s="5"/>
      <c r="I273" s="8"/>
      <c r="J273" s="8"/>
      <c r="Z273" s="6"/>
      <c r="AA273" s="6"/>
    </row>
    <row r="274" spans="2:27" ht="12.75" x14ac:dyDescent="0.2">
      <c r="B274" s="6"/>
      <c r="C274" s="6"/>
      <c r="D274" s="6"/>
      <c r="E274" s="9"/>
      <c r="F274" s="9"/>
      <c r="G274" s="11"/>
      <c r="H274" s="5"/>
      <c r="I274" s="8"/>
      <c r="J274" s="8"/>
      <c r="Z274" s="6"/>
      <c r="AA274" s="6"/>
    </row>
    <row r="275" spans="2:27" ht="12.75" x14ac:dyDescent="0.2">
      <c r="B275" s="6"/>
      <c r="C275" s="6"/>
      <c r="D275" s="6"/>
      <c r="E275" s="9"/>
      <c r="F275" s="9"/>
      <c r="G275" s="11"/>
      <c r="H275" s="5"/>
      <c r="I275" s="8"/>
      <c r="J275" s="8"/>
      <c r="Z275" s="6"/>
      <c r="AA275" s="6"/>
    </row>
    <row r="276" spans="2:27" ht="12.75" x14ac:dyDescent="0.2">
      <c r="B276" s="6"/>
      <c r="C276" s="6"/>
      <c r="D276" s="6"/>
      <c r="E276" s="9"/>
      <c r="F276" s="9"/>
      <c r="G276" s="11"/>
      <c r="H276" s="5"/>
      <c r="I276" s="8"/>
      <c r="J276" s="8"/>
      <c r="Z276" s="6"/>
      <c r="AA276" s="6"/>
    </row>
    <row r="277" spans="2:27" ht="12.75" x14ac:dyDescent="0.2">
      <c r="B277" s="6"/>
      <c r="C277" s="6"/>
      <c r="D277" s="6"/>
      <c r="E277" s="9"/>
      <c r="F277" s="9"/>
      <c r="G277" s="11"/>
      <c r="H277" s="5"/>
      <c r="I277" s="8"/>
      <c r="J277" s="8"/>
      <c r="Z277" s="6"/>
      <c r="AA277" s="6"/>
    </row>
    <row r="278" spans="2:27" ht="12.75" x14ac:dyDescent="0.2">
      <c r="B278" s="6"/>
      <c r="C278" s="6"/>
      <c r="D278" s="6"/>
      <c r="E278" s="9"/>
      <c r="F278" s="9"/>
      <c r="G278" s="11"/>
      <c r="H278" s="5"/>
      <c r="I278" s="8"/>
      <c r="J278" s="8"/>
      <c r="Z278" s="6"/>
      <c r="AA278" s="6"/>
    </row>
    <row r="279" spans="2:27" ht="12.75" x14ac:dyDescent="0.2">
      <c r="B279" s="6"/>
      <c r="C279" s="6"/>
      <c r="D279" s="6"/>
      <c r="E279" s="9"/>
      <c r="F279" s="9"/>
      <c r="G279" s="11"/>
      <c r="H279" s="5"/>
      <c r="I279" s="8"/>
      <c r="J279" s="8"/>
      <c r="Z279" s="6"/>
      <c r="AA279" s="6"/>
    </row>
    <row r="280" spans="2:27" ht="12.75" x14ac:dyDescent="0.2">
      <c r="B280" s="6"/>
      <c r="C280" s="6"/>
      <c r="D280" s="6"/>
      <c r="E280" s="9"/>
      <c r="F280" s="9"/>
      <c r="G280" s="11"/>
      <c r="H280" s="5"/>
      <c r="I280" s="8"/>
      <c r="J280" s="8"/>
      <c r="Z280" s="6"/>
      <c r="AA280" s="6"/>
    </row>
    <row r="281" spans="2:27" ht="12.75" x14ac:dyDescent="0.2">
      <c r="B281" s="6"/>
      <c r="C281" s="6"/>
      <c r="D281" s="6"/>
      <c r="E281" s="9"/>
      <c r="F281" s="9"/>
      <c r="G281" s="11"/>
      <c r="H281" s="5"/>
      <c r="I281" s="8"/>
      <c r="J281" s="8"/>
      <c r="Z281" s="6"/>
      <c r="AA281" s="6"/>
    </row>
    <row r="282" spans="2:27" ht="12.75" x14ac:dyDescent="0.2">
      <c r="B282" s="6"/>
      <c r="C282" s="6"/>
      <c r="D282" s="6"/>
      <c r="E282" s="9"/>
      <c r="F282" s="9"/>
      <c r="G282" s="11"/>
      <c r="H282" s="5"/>
      <c r="I282" s="8"/>
      <c r="J282" s="8"/>
      <c r="Z282" s="6"/>
      <c r="AA282" s="6"/>
    </row>
    <row r="283" spans="2:27" ht="12.75" x14ac:dyDescent="0.2">
      <c r="B283" s="6"/>
      <c r="C283" s="6"/>
      <c r="D283" s="6"/>
      <c r="E283" s="9"/>
      <c r="F283" s="9"/>
      <c r="G283" s="11"/>
      <c r="H283" s="5"/>
      <c r="I283" s="8"/>
      <c r="J283" s="8"/>
      <c r="Z283" s="6"/>
      <c r="AA283" s="6"/>
    </row>
    <row r="284" spans="2:27" ht="12.75" x14ac:dyDescent="0.2">
      <c r="B284" s="6"/>
      <c r="C284" s="6"/>
      <c r="D284" s="6"/>
      <c r="E284" s="9"/>
      <c r="F284" s="9"/>
      <c r="G284" s="11"/>
      <c r="H284" s="5"/>
      <c r="I284" s="8"/>
      <c r="J284" s="8"/>
      <c r="Z284" s="6"/>
      <c r="AA284" s="6"/>
    </row>
    <row r="285" spans="2:27" ht="12.75" x14ac:dyDescent="0.2">
      <c r="B285" s="6"/>
      <c r="C285" s="6"/>
      <c r="D285" s="6"/>
      <c r="E285" s="9"/>
      <c r="F285" s="9"/>
      <c r="G285" s="11"/>
      <c r="H285" s="5"/>
      <c r="I285" s="8"/>
      <c r="J285" s="8"/>
      <c r="Z285" s="6"/>
      <c r="AA285" s="6"/>
    </row>
    <row r="286" spans="2:27" ht="12.75" x14ac:dyDescent="0.2">
      <c r="B286" s="6"/>
      <c r="C286" s="6"/>
      <c r="D286" s="6"/>
      <c r="E286" s="9"/>
      <c r="F286" s="9"/>
      <c r="G286" s="11"/>
      <c r="H286" s="5"/>
      <c r="I286" s="8"/>
      <c r="J286" s="8"/>
      <c r="Z286" s="6"/>
      <c r="AA286" s="6"/>
    </row>
    <row r="287" spans="2:27" ht="12.75" x14ac:dyDescent="0.2">
      <c r="B287" s="6"/>
      <c r="C287" s="6"/>
      <c r="D287" s="6"/>
      <c r="E287" s="9"/>
      <c r="F287" s="9"/>
      <c r="G287" s="11"/>
      <c r="H287" s="5"/>
      <c r="I287" s="8"/>
      <c r="J287" s="8"/>
      <c r="Z287" s="6"/>
      <c r="AA287" s="6"/>
    </row>
    <row r="288" spans="2:27" ht="12.75" x14ac:dyDescent="0.2">
      <c r="B288" s="6"/>
      <c r="C288" s="6"/>
      <c r="D288" s="6"/>
      <c r="E288" s="9"/>
      <c r="F288" s="9"/>
      <c r="G288" s="11"/>
      <c r="H288" s="5"/>
      <c r="I288" s="8"/>
      <c r="J288" s="8"/>
      <c r="Z288" s="6"/>
      <c r="AA288" s="6"/>
    </row>
    <row r="289" spans="2:27" ht="12.75" x14ac:dyDescent="0.2">
      <c r="B289" s="6"/>
      <c r="C289" s="6"/>
      <c r="D289" s="6"/>
      <c r="E289" s="9"/>
      <c r="F289" s="9"/>
      <c r="G289" s="11"/>
      <c r="H289" s="5"/>
      <c r="I289" s="8"/>
      <c r="J289" s="8"/>
      <c r="Z289" s="6"/>
      <c r="AA289" s="6"/>
    </row>
    <row r="290" spans="2:27" ht="12.75" x14ac:dyDescent="0.2">
      <c r="B290" s="6"/>
      <c r="C290" s="6"/>
      <c r="D290" s="6"/>
      <c r="E290" s="9"/>
      <c r="F290" s="9"/>
      <c r="G290" s="11"/>
      <c r="H290" s="5"/>
      <c r="I290" s="8"/>
      <c r="J290" s="8"/>
      <c r="Z290" s="6"/>
      <c r="AA290" s="6"/>
    </row>
    <row r="291" spans="2:27" ht="12.75" x14ac:dyDescent="0.2">
      <c r="B291" s="6"/>
      <c r="C291" s="6"/>
      <c r="D291" s="6"/>
      <c r="E291" s="9"/>
      <c r="F291" s="9"/>
      <c r="G291" s="11"/>
      <c r="H291" s="5"/>
      <c r="I291" s="8"/>
      <c r="J291" s="8"/>
      <c r="Z291" s="6"/>
      <c r="AA291" s="6"/>
    </row>
    <row r="292" spans="2:27" ht="12.75" x14ac:dyDescent="0.2">
      <c r="B292" s="6"/>
      <c r="C292" s="6"/>
      <c r="D292" s="6"/>
      <c r="E292" s="9"/>
      <c r="F292" s="9"/>
      <c r="G292" s="11"/>
      <c r="H292" s="5"/>
      <c r="I292" s="8"/>
      <c r="J292" s="8"/>
      <c r="Z292" s="6"/>
      <c r="AA292" s="6"/>
    </row>
    <row r="293" spans="2:27" ht="12.75" x14ac:dyDescent="0.2">
      <c r="B293" s="6"/>
      <c r="C293" s="6"/>
      <c r="D293" s="6"/>
      <c r="E293" s="9"/>
      <c r="F293" s="9"/>
      <c r="G293" s="11"/>
      <c r="H293" s="5"/>
      <c r="I293" s="8"/>
      <c r="J293" s="8"/>
      <c r="Z293" s="6"/>
      <c r="AA293" s="6"/>
    </row>
    <row r="294" spans="2:27" ht="12.75" x14ac:dyDescent="0.2">
      <c r="B294" s="6"/>
      <c r="C294" s="6"/>
      <c r="D294" s="6"/>
      <c r="E294" s="9"/>
      <c r="F294" s="9"/>
      <c r="G294" s="11"/>
      <c r="H294" s="5"/>
      <c r="I294" s="8"/>
      <c r="J294" s="8"/>
      <c r="Z294" s="6"/>
      <c r="AA294" s="6"/>
    </row>
    <row r="295" spans="2:27" ht="12.75" x14ac:dyDescent="0.2">
      <c r="B295" s="6"/>
      <c r="C295" s="6"/>
      <c r="D295" s="6"/>
      <c r="E295" s="9"/>
      <c r="F295" s="9"/>
      <c r="G295" s="11"/>
      <c r="H295" s="5"/>
      <c r="I295" s="8"/>
      <c r="J295" s="8"/>
      <c r="Z295" s="6"/>
      <c r="AA295" s="6"/>
    </row>
    <row r="296" spans="2:27" ht="12.75" x14ac:dyDescent="0.2">
      <c r="B296" s="6"/>
      <c r="C296" s="6"/>
      <c r="D296" s="6"/>
      <c r="E296" s="9"/>
      <c r="F296" s="9"/>
      <c r="G296" s="11"/>
      <c r="H296" s="5"/>
      <c r="I296" s="8"/>
      <c r="J296" s="8"/>
      <c r="Z296" s="6"/>
      <c r="AA296" s="6"/>
    </row>
    <row r="297" spans="2:27" ht="12.75" x14ac:dyDescent="0.2">
      <c r="B297" s="6"/>
      <c r="C297" s="6"/>
      <c r="D297" s="6"/>
      <c r="E297" s="9"/>
      <c r="F297" s="9"/>
      <c r="G297" s="11"/>
      <c r="H297" s="5"/>
      <c r="I297" s="8"/>
      <c r="J297" s="8"/>
      <c r="Z297" s="6"/>
      <c r="AA297" s="6"/>
    </row>
    <row r="298" spans="2:27" ht="12.75" x14ac:dyDescent="0.2">
      <c r="B298" s="6"/>
      <c r="C298" s="6"/>
      <c r="D298" s="6"/>
      <c r="E298" s="9"/>
      <c r="F298" s="9"/>
      <c r="G298" s="11"/>
      <c r="H298" s="5"/>
      <c r="I298" s="8"/>
      <c r="J298" s="8"/>
      <c r="Z298" s="6"/>
      <c r="AA298" s="6"/>
    </row>
    <row r="299" spans="2:27" ht="12.75" x14ac:dyDescent="0.2">
      <c r="B299" s="6"/>
      <c r="C299" s="6"/>
      <c r="D299" s="6"/>
      <c r="E299" s="9"/>
      <c r="F299" s="9"/>
      <c r="G299" s="11"/>
      <c r="H299" s="5"/>
      <c r="I299" s="8"/>
      <c r="J299" s="8"/>
      <c r="Z299" s="6"/>
      <c r="AA299" s="6"/>
    </row>
    <row r="300" spans="2:27" ht="12.75" x14ac:dyDescent="0.2">
      <c r="B300" s="6"/>
      <c r="C300" s="6"/>
      <c r="D300" s="6"/>
      <c r="E300" s="9"/>
      <c r="F300" s="9"/>
      <c r="G300" s="11"/>
      <c r="H300" s="5"/>
      <c r="I300" s="8"/>
      <c r="J300" s="8"/>
      <c r="Z300" s="6"/>
      <c r="AA300" s="6"/>
    </row>
    <row r="301" spans="2:27" ht="12.75" x14ac:dyDescent="0.2">
      <c r="B301" s="6"/>
      <c r="C301" s="6"/>
      <c r="D301" s="6"/>
      <c r="E301" s="9"/>
      <c r="F301" s="9"/>
      <c r="G301" s="11"/>
      <c r="H301" s="5"/>
      <c r="I301" s="8"/>
      <c r="J301" s="8"/>
      <c r="Z301" s="6"/>
      <c r="AA301" s="6"/>
    </row>
    <row r="302" spans="2:27" ht="12.75" x14ac:dyDescent="0.2">
      <c r="B302" s="6"/>
      <c r="C302" s="6"/>
      <c r="D302" s="6"/>
      <c r="E302" s="9"/>
      <c r="F302" s="9"/>
      <c r="G302" s="11"/>
      <c r="H302" s="5"/>
      <c r="I302" s="8"/>
      <c r="J302" s="8"/>
      <c r="Z302" s="6"/>
      <c r="AA302" s="6"/>
    </row>
    <row r="303" spans="2:27" ht="12.75" x14ac:dyDescent="0.2">
      <c r="B303" s="6"/>
      <c r="C303" s="6"/>
      <c r="D303" s="6"/>
      <c r="E303" s="9"/>
      <c r="F303" s="9"/>
      <c r="G303" s="11"/>
      <c r="H303" s="5"/>
      <c r="I303" s="8"/>
      <c r="J303" s="8"/>
      <c r="Z303" s="6"/>
      <c r="AA303" s="6"/>
    </row>
    <row r="304" spans="2:27" ht="12.75" x14ac:dyDescent="0.2">
      <c r="B304" s="6"/>
      <c r="C304" s="6"/>
      <c r="D304" s="6"/>
      <c r="E304" s="9"/>
      <c r="F304" s="9"/>
      <c r="G304" s="11"/>
      <c r="H304" s="5"/>
      <c r="I304" s="8"/>
      <c r="J304" s="8"/>
      <c r="Z304" s="6"/>
      <c r="AA304" s="6"/>
    </row>
    <row r="305" spans="2:27" ht="12.75" x14ac:dyDescent="0.2">
      <c r="B305" s="6"/>
      <c r="C305" s="6"/>
      <c r="D305" s="6"/>
      <c r="E305" s="9"/>
      <c r="F305" s="9"/>
      <c r="G305" s="11"/>
      <c r="H305" s="5"/>
      <c r="I305" s="8"/>
      <c r="J305" s="8"/>
      <c r="Z305" s="6"/>
      <c r="AA305" s="6"/>
    </row>
    <row r="306" spans="2:27" ht="12.75" x14ac:dyDescent="0.2">
      <c r="B306" s="6"/>
      <c r="C306" s="6"/>
      <c r="D306" s="6"/>
      <c r="E306" s="9"/>
      <c r="F306" s="9"/>
      <c r="G306" s="11"/>
      <c r="H306" s="5"/>
      <c r="I306" s="8"/>
      <c r="J306" s="8"/>
      <c r="Z306" s="6"/>
      <c r="AA306" s="6"/>
    </row>
    <row r="307" spans="2:27" ht="12.75" x14ac:dyDescent="0.2">
      <c r="B307" s="6"/>
      <c r="C307" s="6"/>
      <c r="D307" s="6"/>
      <c r="E307" s="9"/>
      <c r="F307" s="9"/>
      <c r="G307" s="11"/>
      <c r="H307" s="5"/>
      <c r="I307" s="8"/>
      <c r="J307" s="8"/>
      <c r="Z307" s="6"/>
      <c r="AA307" s="6"/>
    </row>
    <row r="308" spans="2:27" ht="12.75" x14ac:dyDescent="0.2">
      <c r="B308" s="6"/>
      <c r="C308" s="6"/>
      <c r="D308" s="6"/>
      <c r="E308" s="9"/>
      <c r="F308" s="9"/>
      <c r="G308" s="11"/>
      <c r="H308" s="5"/>
      <c r="I308" s="8"/>
      <c r="J308" s="8"/>
      <c r="Z308" s="6"/>
      <c r="AA308" s="6"/>
    </row>
    <row r="309" spans="2:27" ht="12.75" x14ac:dyDescent="0.2">
      <c r="B309" s="6"/>
      <c r="C309" s="6"/>
      <c r="D309" s="6"/>
      <c r="E309" s="9"/>
      <c r="F309" s="9"/>
      <c r="G309" s="11"/>
      <c r="H309" s="5"/>
      <c r="I309" s="8"/>
      <c r="J309" s="8"/>
      <c r="Z309" s="6"/>
      <c r="AA309" s="6"/>
    </row>
    <row r="310" spans="2:27" ht="12.75" x14ac:dyDescent="0.2">
      <c r="B310" s="6"/>
      <c r="C310" s="6"/>
      <c r="D310" s="6"/>
      <c r="E310" s="9"/>
      <c r="F310" s="9"/>
      <c r="G310" s="11"/>
      <c r="H310" s="5"/>
      <c r="I310" s="8"/>
      <c r="J310" s="8"/>
      <c r="Z310" s="6"/>
      <c r="AA310" s="6"/>
    </row>
    <row r="311" spans="2:27" ht="12.75" x14ac:dyDescent="0.2">
      <c r="B311" s="6"/>
      <c r="C311" s="6"/>
      <c r="D311" s="6"/>
      <c r="E311" s="9"/>
      <c r="F311" s="9"/>
      <c r="G311" s="11"/>
      <c r="H311" s="5"/>
      <c r="I311" s="8"/>
      <c r="J311" s="8"/>
      <c r="Z311" s="6"/>
      <c r="AA311" s="6"/>
    </row>
    <row r="312" spans="2:27" ht="12.75" x14ac:dyDescent="0.2">
      <c r="B312" s="6"/>
      <c r="C312" s="6"/>
      <c r="D312" s="6"/>
      <c r="E312" s="9"/>
      <c r="F312" s="9"/>
      <c r="G312" s="11"/>
      <c r="H312" s="5"/>
      <c r="I312" s="8"/>
      <c r="J312" s="8"/>
      <c r="Z312" s="6"/>
      <c r="AA312" s="6"/>
    </row>
    <row r="313" spans="2:27" ht="12.75" x14ac:dyDescent="0.2">
      <c r="B313" s="6"/>
      <c r="C313" s="6"/>
      <c r="D313" s="6"/>
      <c r="E313" s="9"/>
      <c r="F313" s="9"/>
      <c r="G313" s="11"/>
      <c r="H313" s="5"/>
      <c r="I313" s="8"/>
      <c r="J313" s="8"/>
      <c r="Z313" s="6"/>
      <c r="AA313" s="6"/>
    </row>
    <row r="314" spans="2:27" ht="12.75" x14ac:dyDescent="0.2">
      <c r="B314" s="6"/>
      <c r="C314" s="6"/>
      <c r="D314" s="6"/>
      <c r="E314" s="9"/>
      <c r="F314" s="9"/>
      <c r="G314" s="11"/>
      <c r="H314" s="5"/>
      <c r="I314" s="8"/>
      <c r="J314" s="8"/>
      <c r="Z314" s="6"/>
      <c r="AA314" s="6"/>
    </row>
    <row r="315" spans="2:27" ht="12.75" x14ac:dyDescent="0.2">
      <c r="B315" s="6"/>
      <c r="C315" s="6"/>
      <c r="D315" s="6"/>
      <c r="E315" s="9"/>
      <c r="F315" s="9"/>
      <c r="G315" s="11"/>
      <c r="H315" s="5"/>
      <c r="I315" s="8"/>
      <c r="J315" s="8"/>
      <c r="Z315" s="6"/>
      <c r="AA315" s="6"/>
    </row>
    <row r="316" spans="2:27" ht="12.75" x14ac:dyDescent="0.2">
      <c r="B316" s="6"/>
      <c r="C316" s="6"/>
      <c r="D316" s="6"/>
      <c r="E316" s="9"/>
      <c r="F316" s="9"/>
      <c r="G316" s="11"/>
      <c r="H316" s="5"/>
      <c r="I316" s="8"/>
      <c r="J316" s="8"/>
      <c r="Z316" s="6"/>
      <c r="AA316" s="6"/>
    </row>
    <row r="317" spans="2:27" ht="12.75" x14ac:dyDescent="0.2">
      <c r="B317" s="6"/>
      <c r="C317" s="6"/>
      <c r="D317" s="6"/>
      <c r="E317" s="9"/>
      <c r="F317" s="9"/>
      <c r="G317" s="11"/>
      <c r="H317" s="5"/>
      <c r="I317" s="8"/>
      <c r="J317" s="8"/>
      <c r="Z317" s="6"/>
      <c r="AA317" s="6"/>
    </row>
    <row r="318" spans="2:27" ht="12.75" x14ac:dyDescent="0.2">
      <c r="B318" s="6"/>
      <c r="C318" s="6"/>
      <c r="D318" s="6"/>
      <c r="E318" s="9"/>
      <c r="F318" s="9"/>
      <c r="G318" s="11"/>
      <c r="H318" s="5"/>
      <c r="I318" s="8"/>
      <c r="J318" s="8"/>
      <c r="Z318" s="6"/>
      <c r="AA318" s="6"/>
    </row>
    <row r="319" spans="2:27" ht="12.75" x14ac:dyDescent="0.2">
      <c r="B319" s="6"/>
      <c r="C319" s="6"/>
      <c r="D319" s="6"/>
      <c r="E319" s="9"/>
      <c r="F319" s="9"/>
      <c r="G319" s="11"/>
      <c r="H319" s="5"/>
      <c r="I319" s="8"/>
      <c r="J319" s="8"/>
      <c r="Z319" s="6"/>
      <c r="AA319" s="6"/>
    </row>
    <row r="320" spans="2:27" ht="12.75" x14ac:dyDescent="0.2">
      <c r="B320" s="6"/>
      <c r="C320" s="6"/>
      <c r="D320" s="6"/>
      <c r="E320" s="9"/>
      <c r="F320" s="9"/>
      <c r="G320" s="11"/>
      <c r="H320" s="5"/>
      <c r="I320" s="8"/>
      <c r="J320" s="8"/>
      <c r="Z320" s="6"/>
      <c r="AA320" s="6"/>
    </row>
    <row r="321" spans="2:27" ht="12.75" x14ac:dyDescent="0.2">
      <c r="B321" s="6"/>
      <c r="C321" s="6"/>
      <c r="D321" s="6"/>
      <c r="E321" s="9"/>
      <c r="F321" s="9"/>
      <c r="G321" s="11"/>
      <c r="H321" s="5"/>
      <c r="I321" s="8"/>
      <c r="J321" s="8"/>
      <c r="Z321" s="6"/>
      <c r="AA321" s="6"/>
    </row>
    <row r="322" spans="2:27" ht="12.75" x14ac:dyDescent="0.2">
      <c r="B322" s="6"/>
      <c r="C322" s="6"/>
      <c r="D322" s="6"/>
      <c r="E322" s="9"/>
      <c r="F322" s="9"/>
      <c r="G322" s="11"/>
      <c r="H322" s="5"/>
      <c r="I322" s="8"/>
      <c r="J322" s="8"/>
      <c r="Z322" s="6"/>
      <c r="AA322" s="6"/>
    </row>
    <row r="323" spans="2:27" ht="12.75" x14ac:dyDescent="0.2">
      <c r="B323" s="6"/>
      <c r="C323" s="6"/>
      <c r="D323" s="6"/>
      <c r="E323" s="9"/>
      <c r="F323" s="9"/>
      <c r="G323" s="11"/>
      <c r="H323" s="5"/>
      <c r="I323" s="8"/>
      <c r="J323" s="8"/>
      <c r="Z323" s="6"/>
      <c r="AA323" s="6"/>
    </row>
    <row r="324" spans="2:27" ht="12.75" x14ac:dyDescent="0.2">
      <c r="B324" s="6"/>
      <c r="C324" s="6"/>
      <c r="D324" s="6"/>
      <c r="E324" s="9"/>
      <c r="F324" s="9"/>
      <c r="G324" s="11"/>
      <c r="H324" s="5"/>
      <c r="I324" s="8"/>
      <c r="J324" s="8"/>
      <c r="Z324" s="6"/>
      <c r="AA324" s="6"/>
    </row>
    <row r="325" spans="2:27" ht="12.75" x14ac:dyDescent="0.2">
      <c r="B325" s="6"/>
      <c r="C325" s="6"/>
      <c r="D325" s="6"/>
      <c r="E325" s="9"/>
      <c r="F325" s="9"/>
      <c r="G325" s="11"/>
      <c r="H325" s="5"/>
      <c r="I325" s="8"/>
      <c r="J325" s="8"/>
      <c r="Z325" s="6"/>
      <c r="AA325" s="6"/>
    </row>
    <row r="326" spans="2:27" ht="12.75" x14ac:dyDescent="0.2">
      <c r="B326" s="6"/>
      <c r="C326" s="6"/>
      <c r="D326" s="6"/>
      <c r="E326" s="9"/>
      <c r="F326" s="9"/>
      <c r="G326" s="11"/>
      <c r="H326" s="5"/>
      <c r="I326" s="8"/>
      <c r="J326" s="8"/>
      <c r="Z326" s="6"/>
      <c r="AA326" s="6"/>
    </row>
    <row r="327" spans="2:27" ht="12.75" x14ac:dyDescent="0.2">
      <c r="B327" s="6"/>
      <c r="C327" s="6"/>
      <c r="D327" s="6"/>
      <c r="E327" s="9"/>
      <c r="F327" s="9"/>
      <c r="G327" s="11"/>
      <c r="H327" s="5"/>
      <c r="I327" s="8"/>
      <c r="J327" s="8"/>
      <c r="Z327" s="6"/>
      <c r="AA327" s="6"/>
    </row>
    <row r="328" spans="2:27" ht="12.75" x14ac:dyDescent="0.2">
      <c r="B328" s="6"/>
      <c r="C328" s="6"/>
      <c r="D328" s="6"/>
      <c r="E328" s="9"/>
      <c r="F328" s="9"/>
      <c r="G328" s="11"/>
      <c r="H328" s="5"/>
      <c r="I328" s="8"/>
      <c r="J328" s="8"/>
      <c r="Z328" s="6"/>
      <c r="AA328" s="6"/>
    </row>
    <row r="329" spans="2:27" ht="12.75" x14ac:dyDescent="0.2">
      <c r="B329" s="6"/>
      <c r="C329" s="6"/>
      <c r="D329" s="6"/>
      <c r="E329" s="9"/>
      <c r="F329" s="9"/>
      <c r="G329" s="11"/>
      <c r="H329" s="5"/>
      <c r="I329" s="8"/>
      <c r="J329" s="8"/>
      <c r="Z329" s="6"/>
      <c r="AA329" s="6"/>
    </row>
    <row r="330" spans="2:27" ht="12.75" x14ac:dyDescent="0.2">
      <c r="B330" s="6"/>
      <c r="C330" s="6"/>
      <c r="D330" s="6"/>
      <c r="E330" s="9"/>
      <c r="F330" s="9"/>
      <c r="G330" s="11"/>
      <c r="H330" s="5"/>
      <c r="I330" s="8"/>
      <c r="J330" s="8"/>
      <c r="Z330" s="6"/>
      <c r="AA330" s="6"/>
    </row>
    <row r="331" spans="2:27" ht="12.75" x14ac:dyDescent="0.2">
      <c r="B331" s="6"/>
      <c r="C331" s="6"/>
      <c r="D331" s="6"/>
      <c r="E331" s="9"/>
      <c r="F331" s="9"/>
      <c r="G331" s="11"/>
      <c r="H331" s="5"/>
      <c r="I331" s="8"/>
      <c r="J331" s="8"/>
      <c r="Z331" s="6"/>
      <c r="AA331" s="6"/>
    </row>
    <row r="332" spans="2:27" ht="12.75" x14ac:dyDescent="0.2">
      <c r="B332" s="6"/>
      <c r="C332" s="6"/>
      <c r="D332" s="6"/>
      <c r="E332" s="9"/>
      <c r="F332" s="9"/>
      <c r="G332" s="11"/>
      <c r="H332" s="5"/>
      <c r="I332" s="8"/>
      <c r="J332" s="8"/>
      <c r="Z332" s="6"/>
      <c r="AA332" s="6"/>
    </row>
    <row r="333" spans="2:27" ht="12.75" x14ac:dyDescent="0.2">
      <c r="B333" s="6"/>
      <c r="C333" s="6"/>
      <c r="D333" s="6"/>
      <c r="E333" s="9"/>
      <c r="F333" s="9"/>
      <c r="G333" s="11"/>
      <c r="H333" s="5"/>
      <c r="I333" s="8"/>
      <c r="J333" s="8"/>
      <c r="Z333" s="6"/>
      <c r="AA333" s="6"/>
    </row>
    <row r="334" spans="2:27" ht="12.75" x14ac:dyDescent="0.2">
      <c r="B334" s="6"/>
      <c r="C334" s="6"/>
      <c r="D334" s="6"/>
      <c r="E334" s="9"/>
      <c r="F334" s="9"/>
      <c r="G334" s="11"/>
      <c r="H334" s="5"/>
      <c r="I334" s="8"/>
      <c r="J334" s="8"/>
      <c r="Z334" s="6"/>
      <c r="AA334" s="6"/>
    </row>
    <row r="335" spans="2:27" ht="12.75" x14ac:dyDescent="0.2">
      <c r="B335" s="6"/>
      <c r="C335" s="6"/>
      <c r="D335" s="6"/>
      <c r="E335" s="9"/>
      <c r="F335" s="9"/>
      <c r="G335" s="11"/>
      <c r="H335" s="5"/>
      <c r="I335" s="8"/>
      <c r="J335" s="8"/>
      <c r="Z335" s="6"/>
      <c r="AA335" s="6"/>
    </row>
    <row r="336" spans="2:27" ht="12.75" x14ac:dyDescent="0.2">
      <c r="B336" s="6"/>
      <c r="C336" s="6"/>
      <c r="D336" s="6"/>
      <c r="E336" s="9"/>
      <c r="F336" s="9"/>
      <c r="G336" s="11"/>
      <c r="H336" s="5"/>
      <c r="I336" s="8"/>
      <c r="J336" s="8"/>
      <c r="Z336" s="6"/>
      <c r="AA336" s="6"/>
    </row>
    <row r="337" spans="2:27" ht="12.75" x14ac:dyDescent="0.2">
      <c r="B337" s="6"/>
      <c r="C337" s="6"/>
      <c r="D337" s="6"/>
      <c r="E337" s="9"/>
      <c r="F337" s="9"/>
      <c r="G337" s="11"/>
      <c r="H337" s="5"/>
      <c r="I337" s="8"/>
      <c r="J337" s="8"/>
      <c r="Z337" s="6"/>
      <c r="AA337" s="6"/>
    </row>
    <row r="338" spans="2:27" ht="12.75" x14ac:dyDescent="0.2">
      <c r="B338" s="6"/>
      <c r="C338" s="6"/>
      <c r="D338" s="6"/>
      <c r="E338" s="9"/>
      <c r="F338" s="9"/>
      <c r="G338" s="11"/>
      <c r="H338" s="5"/>
      <c r="I338" s="8"/>
      <c r="J338" s="8"/>
      <c r="Z338" s="6"/>
      <c r="AA338" s="6"/>
    </row>
    <row r="339" spans="2:27" ht="12.75" x14ac:dyDescent="0.2">
      <c r="B339" s="6"/>
      <c r="C339" s="6"/>
      <c r="D339" s="6"/>
      <c r="E339" s="9"/>
      <c r="F339" s="9"/>
      <c r="G339" s="11"/>
      <c r="H339" s="5"/>
      <c r="I339" s="8"/>
      <c r="J339" s="8"/>
      <c r="Z339" s="6"/>
      <c r="AA339" s="6"/>
    </row>
    <row r="340" spans="2:27" ht="12.75" x14ac:dyDescent="0.2">
      <c r="B340" s="6"/>
      <c r="C340" s="6"/>
      <c r="D340" s="6"/>
      <c r="E340" s="9"/>
      <c r="F340" s="9"/>
      <c r="G340" s="11"/>
      <c r="H340" s="5"/>
      <c r="I340" s="8"/>
      <c r="J340" s="8"/>
      <c r="Z340" s="6"/>
      <c r="AA340" s="6"/>
    </row>
    <row r="341" spans="2:27" ht="12.75" x14ac:dyDescent="0.2">
      <c r="B341" s="6"/>
      <c r="C341" s="6"/>
      <c r="D341" s="6"/>
      <c r="E341" s="9"/>
      <c r="F341" s="9"/>
      <c r="G341" s="11"/>
      <c r="H341" s="5"/>
      <c r="I341" s="8"/>
      <c r="J341" s="8"/>
      <c r="Z341" s="6"/>
      <c r="AA341" s="6"/>
    </row>
    <row r="342" spans="2:27" ht="12.75" x14ac:dyDescent="0.2">
      <c r="B342" s="6"/>
      <c r="C342" s="6"/>
      <c r="D342" s="6"/>
      <c r="E342" s="9"/>
      <c r="F342" s="9"/>
      <c r="G342" s="11"/>
      <c r="H342" s="5"/>
      <c r="I342" s="8"/>
      <c r="J342" s="8"/>
      <c r="Z342" s="6"/>
      <c r="AA342" s="6"/>
    </row>
    <row r="343" spans="2:27" ht="12.75" x14ac:dyDescent="0.2">
      <c r="B343" s="6"/>
      <c r="C343" s="6"/>
      <c r="D343" s="6"/>
      <c r="E343" s="9"/>
      <c r="F343" s="9"/>
      <c r="G343" s="11"/>
      <c r="H343" s="5"/>
      <c r="I343" s="8"/>
      <c r="J343" s="8"/>
      <c r="Z343" s="6"/>
      <c r="AA343" s="6"/>
    </row>
    <row r="344" spans="2:27" ht="12.75" x14ac:dyDescent="0.2">
      <c r="B344" s="6"/>
      <c r="C344" s="6"/>
      <c r="D344" s="6"/>
      <c r="E344" s="9"/>
      <c r="F344" s="9"/>
      <c r="G344" s="11"/>
      <c r="H344" s="5"/>
      <c r="I344" s="8"/>
      <c r="J344" s="8"/>
      <c r="Z344" s="6"/>
      <c r="AA344" s="6"/>
    </row>
    <row r="345" spans="2:27" ht="12.75" x14ac:dyDescent="0.2">
      <c r="B345" s="6"/>
      <c r="C345" s="6"/>
      <c r="D345" s="6"/>
      <c r="E345" s="9"/>
      <c r="F345" s="9"/>
      <c r="G345" s="11"/>
      <c r="H345" s="5"/>
      <c r="I345" s="8"/>
      <c r="J345" s="8"/>
      <c r="Z345" s="6"/>
      <c r="AA345" s="6"/>
    </row>
    <row r="346" spans="2:27" ht="12.75" x14ac:dyDescent="0.2">
      <c r="B346" s="6"/>
      <c r="C346" s="6"/>
      <c r="D346" s="6"/>
      <c r="E346" s="9"/>
      <c r="F346" s="9"/>
      <c r="G346" s="11"/>
      <c r="H346" s="5"/>
      <c r="I346" s="8"/>
      <c r="J346" s="8"/>
      <c r="Z346" s="6"/>
      <c r="AA346" s="6"/>
    </row>
    <row r="347" spans="2:27" ht="12.75" x14ac:dyDescent="0.2">
      <c r="B347" s="6"/>
      <c r="C347" s="6"/>
      <c r="D347" s="6"/>
      <c r="E347" s="9"/>
      <c r="F347" s="9"/>
      <c r="G347" s="11"/>
      <c r="H347" s="5"/>
      <c r="I347" s="8"/>
      <c r="J347" s="8"/>
      <c r="Z347" s="6"/>
      <c r="AA347" s="6"/>
    </row>
    <row r="348" spans="2:27" ht="12.75" x14ac:dyDescent="0.2">
      <c r="B348" s="6"/>
      <c r="C348" s="6"/>
      <c r="D348" s="6"/>
      <c r="E348" s="9"/>
      <c r="F348" s="9"/>
      <c r="G348" s="11"/>
      <c r="H348" s="5"/>
      <c r="I348" s="8"/>
      <c r="J348" s="8"/>
      <c r="Z348" s="6"/>
      <c r="AA348" s="6"/>
    </row>
    <row r="349" spans="2:27" ht="12.75" x14ac:dyDescent="0.2">
      <c r="B349" s="6"/>
      <c r="C349" s="6"/>
      <c r="D349" s="6"/>
      <c r="E349" s="9"/>
      <c r="F349" s="9"/>
      <c r="G349" s="11"/>
      <c r="H349" s="5"/>
      <c r="I349" s="8"/>
      <c r="J349" s="8"/>
      <c r="Z349" s="6"/>
      <c r="AA349" s="6"/>
    </row>
    <row r="350" spans="2:27" ht="12.75" x14ac:dyDescent="0.2">
      <c r="B350" s="6"/>
      <c r="C350" s="6"/>
      <c r="D350" s="6"/>
      <c r="E350" s="9"/>
      <c r="F350" s="9"/>
      <c r="G350" s="11"/>
      <c r="H350" s="5"/>
      <c r="I350" s="8"/>
      <c r="J350" s="8"/>
      <c r="Z350" s="6"/>
      <c r="AA350" s="6"/>
    </row>
    <row r="351" spans="2:27" ht="12.75" x14ac:dyDescent="0.2">
      <c r="B351" s="6"/>
      <c r="C351" s="6"/>
      <c r="D351" s="6"/>
      <c r="E351" s="9"/>
      <c r="F351" s="9"/>
      <c r="G351" s="11"/>
      <c r="H351" s="5"/>
      <c r="I351" s="8"/>
      <c r="J351" s="8"/>
      <c r="Z351" s="6"/>
      <c r="AA351" s="6"/>
    </row>
    <row r="352" spans="2:27" ht="12.75" x14ac:dyDescent="0.2">
      <c r="B352" s="6"/>
      <c r="C352" s="6"/>
      <c r="D352" s="6"/>
      <c r="E352" s="9"/>
      <c r="F352" s="9"/>
      <c r="G352" s="11"/>
      <c r="H352" s="5"/>
      <c r="I352" s="8"/>
      <c r="J352" s="8"/>
      <c r="Z352" s="6"/>
      <c r="AA352" s="6"/>
    </row>
    <row r="353" spans="2:27" ht="12.75" x14ac:dyDescent="0.2">
      <c r="B353" s="6"/>
      <c r="C353" s="6"/>
      <c r="D353" s="6"/>
      <c r="E353" s="9"/>
      <c r="F353" s="9"/>
      <c r="G353" s="11"/>
      <c r="H353" s="5"/>
      <c r="I353" s="8"/>
      <c r="J353" s="8"/>
      <c r="Z353" s="6"/>
      <c r="AA353" s="6"/>
    </row>
    <row r="354" spans="2:27" ht="12.75" x14ac:dyDescent="0.2">
      <c r="B354" s="6"/>
      <c r="C354" s="6"/>
      <c r="D354" s="6"/>
      <c r="E354" s="9"/>
      <c r="F354" s="9"/>
      <c r="G354" s="11"/>
      <c r="H354" s="5"/>
      <c r="I354" s="8"/>
      <c r="J354" s="8"/>
      <c r="Z354" s="6"/>
      <c r="AA354" s="6"/>
    </row>
    <row r="355" spans="2:27" ht="12.75" x14ac:dyDescent="0.2">
      <c r="B355" s="6"/>
      <c r="C355" s="6"/>
      <c r="D355" s="6"/>
      <c r="E355" s="9"/>
      <c r="F355" s="9"/>
      <c r="G355" s="11"/>
      <c r="H355" s="5"/>
      <c r="I355" s="8"/>
      <c r="J355" s="8"/>
      <c r="Z355" s="6"/>
      <c r="AA355" s="6"/>
    </row>
    <row r="356" spans="2:27" ht="12.75" x14ac:dyDescent="0.2">
      <c r="B356" s="6"/>
      <c r="C356" s="6"/>
      <c r="D356" s="6"/>
      <c r="E356" s="9"/>
      <c r="F356" s="9"/>
      <c r="G356" s="11"/>
      <c r="H356" s="5"/>
      <c r="I356" s="8"/>
      <c r="J356" s="8"/>
      <c r="Z356" s="6"/>
      <c r="AA356" s="6"/>
    </row>
    <row r="357" spans="2:27" ht="12.75" x14ac:dyDescent="0.2">
      <c r="B357" s="6"/>
      <c r="C357" s="6"/>
      <c r="D357" s="6"/>
      <c r="E357" s="9"/>
      <c r="F357" s="9"/>
      <c r="G357" s="11"/>
      <c r="H357" s="5"/>
      <c r="I357" s="8"/>
      <c r="J357" s="8"/>
      <c r="Z357" s="6"/>
      <c r="AA357" s="6"/>
    </row>
    <row r="358" spans="2:27" ht="12.75" x14ac:dyDescent="0.2">
      <c r="B358" s="6"/>
      <c r="C358" s="6"/>
      <c r="D358" s="6"/>
      <c r="E358" s="9"/>
      <c r="F358" s="9"/>
      <c r="G358" s="11"/>
      <c r="H358" s="5"/>
      <c r="I358" s="8"/>
      <c r="J358" s="8"/>
      <c r="Z358" s="6"/>
      <c r="AA358" s="6"/>
    </row>
    <row r="359" spans="2:27" ht="12.75" x14ac:dyDescent="0.2">
      <c r="B359" s="6"/>
      <c r="C359" s="6"/>
      <c r="D359" s="6"/>
      <c r="E359" s="9"/>
      <c r="F359" s="9"/>
      <c r="G359" s="11"/>
      <c r="H359" s="5"/>
      <c r="I359" s="8"/>
      <c r="J359" s="8"/>
      <c r="Z359" s="6"/>
      <c r="AA359" s="6"/>
    </row>
    <row r="360" spans="2:27" ht="12.75" x14ac:dyDescent="0.2">
      <c r="B360" s="6"/>
      <c r="C360" s="6"/>
      <c r="D360" s="6"/>
      <c r="E360" s="9"/>
      <c r="F360" s="9"/>
      <c r="G360" s="11"/>
      <c r="H360" s="5"/>
      <c r="I360" s="8"/>
      <c r="J360" s="8"/>
      <c r="Z360" s="6"/>
      <c r="AA360" s="6"/>
    </row>
    <row r="361" spans="2:27" ht="12.75" x14ac:dyDescent="0.2">
      <c r="B361" s="6"/>
      <c r="C361" s="6"/>
      <c r="D361" s="6"/>
      <c r="E361" s="9"/>
      <c r="F361" s="9"/>
      <c r="G361" s="11"/>
      <c r="H361" s="5"/>
      <c r="I361" s="8"/>
      <c r="J361" s="8"/>
      <c r="Z361" s="6"/>
      <c r="AA361" s="6"/>
    </row>
    <row r="362" spans="2:27" ht="12.75" x14ac:dyDescent="0.2">
      <c r="B362" s="6"/>
      <c r="C362" s="6"/>
      <c r="D362" s="6"/>
      <c r="E362" s="9"/>
      <c r="F362" s="9"/>
      <c r="G362" s="11"/>
      <c r="H362" s="5"/>
      <c r="I362" s="8"/>
      <c r="J362" s="8"/>
      <c r="Z362" s="6"/>
      <c r="AA362" s="6"/>
    </row>
    <row r="363" spans="2:27" ht="12.75" x14ac:dyDescent="0.2">
      <c r="B363" s="6"/>
      <c r="C363" s="6"/>
      <c r="D363" s="6"/>
      <c r="E363" s="9"/>
      <c r="F363" s="9"/>
      <c r="G363" s="11"/>
      <c r="H363" s="5"/>
      <c r="I363" s="8"/>
      <c r="J363" s="8"/>
      <c r="Z363" s="6"/>
      <c r="AA363" s="6"/>
    </row>
    <row r="364" spans="2:27" ht="12.75" x14ac:dyDescent="0.2">
      <c r="B364" s="6"/>
      <c r="C364" s="6"/>
      <c r="D364" s="6"/>
      <c r="E364" s="9"/>
      <c r="F364" s="9"/>
      <c r="G364" s="11"/>
      <c r="H364" s="5"/>
      <c r="I364" s="8"/>
      <c r="J364" s="8"/>
      <c r="Z364" s="6"/>
      <c r="AA364" s="6"/>
    </row>
    <row r="365" spans="2:27" ht="12.75" x14ac:dyDescent="0.2">
      <c r="B365" s="6"/>
      <c r="C365" s="6"/>
      <c r="D365" s="6"/>
      <c r="E365" s="9"/>
      <c r="F365" s="9"/>
      <c r="G365" s="11"/>
      <c r="H365" s="5"/>
      <c r="I365" s="8"/>
      <c r="J365" s="8"/>
      <c r="Z365" s="6"/>
      <c r="AA365" s="6"/>
    </row>
    <row r="366" spans="2:27" ht="12.75" x14ac:dyDescent="0.2">
      <c r="B366" s="6"/>
      <c r="C366" s="6"/>
      <c r="D366" s="6"/>
      <c r="E366" s="9"/>
      <c r="F366" s="9"/>
      <c r="G366" s="11"/>
      <c r="H366" s="5"/>
      <c r="I366" s="8"/>
      <c r="J366" s="8"/>
      <c r="Z366" s="6"/>
      <c r="AA366" s="6"/>
    </row>
    <row r="367" spans="2:27" ht="12.75" x14ac:dyDescent="0.2">
      <c r="B367" s="6"/>
      <c r="C367" s="6"/>
      <c r="D367" s="6"/>
      <c r="E367" s="9"/>
      <c r="F367" s="9"/>
      <c r="G367" s="11"/>
      <c r="H367" s="5"/>
      <c r="I367" s="8"/>
      <c r="J367" s="8"/>
      <c r="Z367" s="6"/>
      <c r="AA367" s="6"/>
    </row>
    <row r="368" spans="2:27" ht="12.75" x14ac:dyDescent="0.2">
      <c r="B368" s="6"/>
      <c r="C368" s="6"/>
      <c r="D368" s="6"/>
      <c r="E368" s="9"/>
      <c r="F368" s="9"/>
      <c r="G368" s="11"/>
      <c r="H368" s="5"/>
      <c r="I368" s="8"/>
      <c r="J368" s="8"/>
      <c r="Z368" s="6"/>
      <c r="AA368" s="6"/>
    </row>
    <row r="369" spans="2:27" ht="12.75" x14ac:dyDescent="0.2">
      <c r="B369" s="6"/>
      <c r="C369" s="6"/>
      <c r="D369" s="6"/>
      <c r="E369" s="9"/>
      <c r="F369" s="9"/>
      <c r="G369" s="11"/>
      <c r="H369" s="5"/>
      <c r="I369" s="8"/>
      <c r="J369" s="8"/>
      <c r="Z369" s="6"/>
      <c r="AA369" s="6"/>
    </row>
    <row r="370" spans="2:27" ht="12.75" x14ac:dyDescent="0.2">
      <c r="B370" s="6"/>
      <c r="C370" s="6"/>
      <c r="D370" s="6"/>
      <c r="E370" s="9"/>
      <c r="F370" s="9"/>
      <c r="G370" s="11"/>
      <c r="H370" s="5"/>
      <c r="I370" s="8"/>
      <c r="J370" s="8"/>
      <c r="Z370" s="6"/>
      <c r="AA370" s="6"/>
    </row>
    <row r="371" spans="2:27" ht="12.75" x14ac:dyDescent="0.2">
      <c r="B371" s="6"/>
      <c r="C371" s="6"/>
      <c r="D371" s="6"/>
      <c r="E371" s="9"/>
      <c r="F371" s="9"/>
      <c r="G371" s="11"/>
      <c r="H371" s="5"/>
      <c r="I371" s="8"/>
      <c r="J371" s="8"/>
      <c r="Z371" s="6"/>
      <c r="AA371" s="6"/>
    </row>
    <row r="372" spans="2:27" ht="12.75" x14ac:dyDescent="0.2">
      <c r="B372" s="6"/>
      <c r="C372" s="6"/>
      <c r="D372" s="6"/>
      <c r="E372" s="9"/>
      <c r="F372" s="9"/>
      <c r="G372" s="11"/>
      <c r="H372" s="5"/>
      <c r="I372" s="8"/>
      <c r="J372" s="8"/>
      <c r="Z372" s="6"/>
      <c r="AA372" s="6"/>
    </row>
    <row r="373" spans="2:27" ht="12.75" x14ac:dyDescent="0.2">
      <c r="B373" s="6"/>
      <c r="C373" s="6"/>
      <c r="D373" s="6"/>
      <c r="E373" s="9"/>
      <c r="F373" s="9"/>
      <c r="G373" s="11"/>
      <c r="H373" s="5"/>
      <c r="I373" s="8"/>
      <c r="J373" s="8"/>
      <c r="Z373" s="6"/>
      <c r="AA373" s="6"/>
    </row>
    <row r="374" spans="2:27" ht="12.75" x14ac:dyDescent="0.2">
      <c r="B374" s="6"/>
      <c r="C374" s="6"/>
      <c r="D374" s="6"/>
      <c r="E374" s="9"/>
      <c r="F374" s="9"/>
      <c r="G374" s="11"/>
      <c r="H374" s="5"/>
      <c r="I374" s="8"/>
      <c r="J374" s="8"/>
      <c r="Z374" s="6"/>
      <c r="AA374" s="6"/>
    </row>
    <row r="375" spans="2:27" ht="12.75" x14ac:dyDescent="0.2">
      <c r="B375" s="6"/>
      <c r="C375" s="6"/>
      <c r="D375" s="6"/>
      <c r="E375" s="9"/>
      <c r="F375" s="9"/>
      <c r="G375" s="11"/>
      <c r="H375" s="5"/>
      <c r="I375" s="8"/>
      <c r="J375" s="8"/>
      <c r="Z375" s="6"/>
      <c r="AA375" s="6"/>
    </row>
    <row r="376" spans="2:27" ht="12.75" x14ac:dyDescent="0.2">
      <c r="B376" s="6"/>
      <c r="C376" s="6"/>
      <c r="D376" s="6"/>
      <c r="E376" s="9"/>
      <c r="F376" s="9"/>
      <c r="G376" s="11"/>
      <c r="H376" s="5"/>
      <c r="I376" s="8"/>
      <c r="J376" s="8"/>
      <c r="Z376" s="6"/>
      <c r="AA376" s="6"/>
    </row>
    <row r="377" spans="2:27" ht="12.75" x14ac:dyDescent="0.2">
      <c r="B377" s="6"/>
      <c r="C377" s="6"/>
      <c r="D377" s="6"/>
      <c r="E377" s="9"/>
      <c r="F377" s="9"/>
      <c r="G377" s="11"/>
      <c r="H377" s="5"/>
      <c r="I377" s="8"/>
      <c r="J377" s="8"/>
      <c r="Z377" s="6"/>
      <c r="AA377" s="6"/>
    </row>
    <row r="378" spans="2:27" ht="12.75" x14ac:dyDescent="0.2">
      <c r="B378" s="6"/>
      <c r="C378" s="6"/>
      <c r="D378" s="6"/>
      <c r="E378" s="9"/>
      <c r="F378" s="9"/>
      <c r="G378" s="11"/>
      <c r="H378" s="5"/>
      <c r="I378" s="8"/>
      <c r="J378" s="8"/>
      <c r="Z378" s="6"/>
      <c r="AA378" s="6"/>
    </row>
    <row r="379" spans="2:27" ht="12.75" x14ac:dyDescent="0.2">
      <c r="B379" s="6"/>
      <c r="C379" s="6"/>
      <c r="D379" s="6"/>
      <c r="E379" s="9"/>
      <c r="F379" s="9"/>
      <c r="G379" s="11"/>
      <c r="H379" s="5"/>
      <c r="I379" s="8"/>
      <c r="J379" s="8"/>
      <c r="Z379" s="6"/>
      <c r="AA379" s="6"/>
    </row>
    <row r="380" spans="2:27" ht="12.75" x14ac:dyDescent="0.2">
      <c r="B380" s="6"/>
      <c r="C380" s="6"/>
      <c r="D380" s="6"/>
      <c r="E380" s="9"/>
      <c r="F380" s="9"/>
      <c r="G380" s="11"/>
      <c r="H380" s="5"/>
      <c r="I380" s="8"/>
      <c r="J380" s="8"/>
      <c r="Z380" s="6"/>
      <c r="AA380" s="6"/>
    </row>
    <row r="381" spans="2:27" ht="12.75" x14ac:dyDescent="0.2">
      <c r="B381" s="6"/>
      <c r="C381" s="6"/>
      <c r="D381" s="6"/>
      <c r="E381" s="9"/>
      <c r="F381" s="9"/>
      <c r="G381" s="11"/>
      <c r="H381" s="5"/>
      <c r="I381" s="8"/>
      <c r="J381" s="8"/>
      <c r="Z381" s="6"/>
      <c r="AA381" s="6"/>
    </row>
    <row r="382" spans="2:27" ht="12.75" x14ac:dyDescent="0.2">
      <c r="B382" s="6"/>
      <c r="C382" s="6"/>
      <c r="D382" s="6"/>
      <c r="E382" s="9"/>
      <c r="F382" s="9"/>
      <c r="G382" s="11"/>
      <c r="H382" s="5"/>
      <c r="I382" s="8"/>
      <c r="J382" s="8"/>
      <c r="Z382" s="6"/>
      <c r="AA382" s="6"/>
    </row>
    <row r="383" spans="2:27" ht="12.75" x14ac:dyDescent="0.2">
      <c r="B383" s="6"/>
      <c r="C383" s="6"/>
      <c r="D383" s="6"/>
      <c r="E383" s="9"/>
      <c r="F383" s="9"/>
      <c r="G383" s="11"/>
      <c r="H383" s="5"/>
      <c r="I383" s="8"/>
      <c r="J383" s="8"/>
      <c r="Z383" s="6"/>
      <c r="AA383" s="6"/>
    </row>
    <row r="384" spans="2:27" ht="12.75" x14ac:dyDescent="0.2">
      <c r="B384" s="6"/>
      <c r="C384" s="6"/>
      <c r="D384" s="6"/>
      <c r="E384" s="9"/>
      <c r="F384" s="9"/>
      <c r="G384" s="11"/>
      <c r="H384" s="5"/>
      <c r="I384" s="8"/>
      <c r="J384" s="8"/>
      <c r="Z384" s="6"/>
      <c r="AA384" s="6"/>
    </row>
    <row r="385" spans="2:27" ht="12.75" x14ac:dyDescent="0.2">
      <c r="B385" s="6"/>
      <c r="C385" s="6"/>
      <c r="D385" s="6"/>
      <c r="E385" s="9"/>
      <c r="F385" s="9"/>
      <c r="G385" s="11"/>
      <c r="H385" s="5"/>
      <c r="I385" s="8"/>
      <c r="J385" s="8"/>
      <c r="Z385" s="6"/>
      <c r="AA385" s="6"/>
    </row>
    <row r="386" spans="2:27" ht="12.75" x14ac:dyDescent="0.2">
      <c r="B386" s="6"/>
      <c r="C386" s="6"/>
      <c r="D386" s="6"/>
      <c r="E386" s="9"/>
      <c r="F386" s="9"/>
      <c r="G386" s="11"/>
      <c r="H386" s="5"/>
      <c r="I386" s="8"/>
      <c r="J386" s="8"/>
      <c r="Z386" s="6"/>
      <c r="AA386" s="6"/>
    </row>
    <row r="387" spans="2:27" ht="12.75" x14ac:dyDescent="0.2">
      <c r="B387" s="6"/>
      <c r="C387" s="6"/>
      <c r="D387" s="6"/>
      <c r="E387" s="9"/>
      <c r="F387" s="9"/>
      <c r="G387" s="11"/>
      <c r="H387" s="5"/>
      <c r="I387" s="8"/>
      <c r="J387" s="8"/>
      <c r="Z387" s="6"/>
      <c r="AA387" s="6"/>
    </row>
    <row r="388" spans="2:27" ht="12.75" x14ac:dyDescent="0.2">
      <c r="B388" s="6"/>
      <c r="C388" s="6"/>
      <c r="D388" s="6"/>
      <c r="E388" s="9"/>
      <c r="F388" s="9"/>
      <c r="G388" s="11"/>
      <c r="H388" s="5"/>
      <c r="I388" s="8"/>
      <c r="J388" s="8"/>
      <c r="Z388" s="6"/>
      <c r="AA388" s="6"/>
    </row>
    <row r="389" spans="2:27" ht="12.75" x14ac:dyDescent="0.2">
      <c r="B389" s="6"/>
      <c r="C389" s="6"/>
      <c r="D389" s="6"/>
      <c r="E389" s="9"/>
      <c r="F389" s="9"/>
      <c r="G389" s="11"/>
      <c r="H389" s="5"/>
      <c r="I389" s="8"/>
      <c r="J389" s="8"/>
      <c r="Z389" s="6"/>
      <c r="AA389" s="6"/>
    </row>
    <row r="390" spans="2:27" ht="12.75" x14ac:dyDescent="0.2">
      <c r="B390" s="6"/>
      <c r="C390" s="6"/>
      <c r="D390" s="6"/>
      <c r="E390" s="9"/>
      <c r="F390" s="9"/>
      <c r="G390" s="11"/>
      <c r="H390" s="5"/>
      <c r="I390" s="8"/>
      <c r="J390" s="8"/>
      <c r="Z390" s="6"/>
      <c r="AA390" s="6"/>
    </row>
    <row r="391" spans="2:27" ht="12.75" x14ac:dyDescent="0.2">
      <c r="B391" s="6"/>
      <c r="C391" s="6"/>
      <c r="D391" s="6"/>
      <c r="E391" s="9"/>
      <c r="F391" s="9"/>
      <c r="G391" s="11"/>
      <c r="H391" s="5"/>
      <c r="I391" s="8"/>
      <c r="J391" s="8"/>
      <c r="Z391" s="6"/>
      <c r="AA391" s="6"/>
    </row>
    <row r="392" spans="2:27" ht="12.75" x14ac:dyDescent="0.2">
      <c r="B392" s="6"/>
      <c r="C392" s="6"/>
      <c r="D392" s="6"/>
      <c r="E392" s="9"/>
      <c r="F392" s="9"/>
      <c r="G392" s="11"/>
      <c r="H392" s="5"/>
      <c r="I392" s="8"/>
      <c r="J392" s="8"/>
      <c r="Z392" s="6"/>
      <c r="AA392" s="6"/>
    </row>
    <row r="393" spans="2:27" ht="12.75" x14ac:dyDescent="0.2">
      <c r="B393" s="6"/>
      <c r="C393" s="6"/>
      <c r="D393" s="6"/>
      <c r="E393" s="9"/>
      <c r="F393" s="9"/>
      <c r="G393" s="11"/>
      <c r="H393" s="5"/>
      <c r="I393" s="8"/>
      <c r="J393" s="8"/>
      <c r="Z393" s="6"/>
      <c r="AA393" s="6"/>
    </row>
    <row r="394" spans="2:27" ht="12.75" x14ac:dyDescent="0.2">
      <c r="B394" s="6"/>
      <c r="C394" s="6"/>
      <c r="D394" s="6"/>
      <c r="E394" s="9"/>
      <c r="F394" s="9"/>
      <c r="G394" s="11"/>
      <c r="H394" s="5"/>
      <c r="I394" s="8"/>
      <c r="J394" s="8"/>
      <c r="Z394" s="6"/>
      <c r="AA394" s="6"/>
    </row>
    <row r="395" spans="2:27" ht="12.75" x14ac:dyDescent="0.2">
      <c r="B395" s="6"/>
      <c r="C395" s="6"/>
      <c r="D395" s="6"/>
      <c r="E395" s="9"/>
      <c r="F395" s="9"/>
      <c r="G395" s="11"/>
      <c r="H395" s="5"/>
      <c r="I395" s="8"/>
      <c r="J395" s="8"/>
      <c r="Z395" s="6"/>
      <c r="AA395" s="6"/>
    </row>
    <row r="396" spans="2:27" ht="12.75" x14ac:dyDescent="0.2">
      <c r="B396" s="6"/>
      <c r="C396" s="6"/>
      <c r="D396" s="6"/>
      <c r="E396" s="9"/>
      <c r="F396" s="9"/>
      <c r="G396" s="11"/>
      <c r="H396" s="5"/>
      <c r="I396" s="8"/>
      <c r="J396" s="8"/>
      <c r="Z396" s="6"/>
      <c r="AA396" s="6"/>
    </row>
    <row r="397" spans="2:27" ht="12.75" x14ac:dyDescent="0.2">
      <c r="B397" s="6"/>
      <c r="C397" s="6"/>
      <c r="D397" s="6"/>
      <c r="E397" s="9"/>
      <c r="F397" s="9"/>
      <c r="G397" s="11"/>
      <c r="H397" s="5"/>
      <c r="I397" s="8"/>
      <c r="J397" s="8"/>
      <c r="Z397" s="6"/>
      <c r="AA397" s="6"/>
    </row>
    <row r="398" spans="2:27" ht="12.75" x14ac:dyDescent="0.2">
      <c r="B398" s="6"/>
      <c r="C398" s="6"/>
      <c r="D398" s="6"/>
      <c r="E398" s="9"/>
      <c r="F398" s="9"/>
      <c r="G398" s="11"/>
      <c r="H398" s="5"/>
      <c r="I398" s="8"/>
      <c r="J398" s="8"/>
      <c r="Z398" s="6"/>
      <c r="AA398" s="6"/>
    </row>
    <row r="399" spans="2:27" ht="12.75" x14ac:dyDescent="0.2">
      <c r="B399" s="6"/>
      <c r="C399" s="6"/>
      <c r="D399" s="6"/>
      <c r="E399" s="9"/>
      <c r="F399" s="9"/>
      <c r="G399" s="11"/>
      <c r="H399" s="5"/>
      <c r="I399" s="8"/>
      <c r="J399" s="8"/>
      <c r="Z399" s="6"/>
      <c r="AA399" s="6"/>
    </row>
    <row r="400" spans="2:27" ht="12.75" x14ac:dyDescent="0.2">
      <c r="B400" s="6"/>
      <c r="C400" s="6"/>
      <c r="D400" s="6"/>
      <c r="E400" s="9"/>
      <c r="F400" s="9"/>
      <c r="G400" s="11"/>
      <c r="H400" s="5"/>
      <c r="I400" s="8"/>
      <c r="J400" s="8"/>
      <c r="Z400" s="6"/>
      <c r="AA400" s="6"/>
    </row>
    <row r="401" spans="2:27" ht="12.75" x14ac:dyDescent="0.2">
      <c r="B401" s="6"/>
      <c r="C401" s="6"/>
      <c r="D401" s="6"/>
      <c r="E401" s="9"/>
      <c r="F401" s="9"/>
      <c r="G401" s="11"/>
      <c r="H401" s="5"/>
      <c r="I401" s="8"/>
      <c r="J401" s="8"/>
      <c r="Z401" s="6"/>
      <c r="AA401" s="6"/>
    </row>
    <row r="402" spans="2:27" ht="12.75" x14ac:dyDescent="0.2">
      <c r="B402" s="6"/>
      <c r="C402" s="6"/>
      <c r="D402" s="6"/>
      <c r="E402" s="9"/>
      <c r="F402" s="9"/>
      <c r="G402" s="11"/>
      <c r="H402" s="5"/>
      <c r="I402" s="8"/>
      <c r="J402" s="8"/>
      <c r="Z402" s="6"/>
      <c r="AA402" s="6"/>
    </row>
    <row r="403" spans="2:27" ht="12.75" x14ac:dyDescent="0.2">
      <c r="B403" s="6"/>
      <c r="C403" s="6"/>
      <c r="D403" s="6"/>
      <c r="E403" s="9"/>
      <c r="F403" s="9"/>
      <c r="G403" s="11"/>
      <c r="H403" s="5"/>
      <c r="I403" s="8"/>
      <c r="J403" s="8"/>
      <c r="Z403" s="6"/>
      <c r="AA403" s="6"/>
    </row>
    <row r="404" spans="2:27" ht="12.75" x14ac:dyDescent="0.2">
      <c r="B404" s="6"/>
      <c r="C404" s="6"/>
      <c r="D404" s="6"/>
      <c r="E404" s="9"/>
      <c r="F404" s="9"/>
      <c r="G404" s="11"/>
      <c r="H404" s="5"/>
      <c r="I404" s="8"/>
      <c r="J404" s="8"/>
      <c r="Z404" s="6"/>
      <c r="AA404" s="6"/>
    </row>
    <row r="405" spans="2:27" ht="12.75" x14ac:dyDescent="0.2">
      <c r="B405" s="6"/>
      <c r="C405" s="6"/>
      <c r="D405" s="6"/>
      <c r="E405" s="9"/>
      <c r="F405" s="9"/>
      <c r="G405" s="11"/>
      <c r="H405" s="5"/>
      <c r="I405" s="8"/>
      <c r="J405" s="8"/>
      <c r="Z405" s="6"/>
      <c r="AA405" s="6"/>
    </row>
    <row r="406" spans="2:27" ht="12.75" x14ac:dyDescent="0.2">
      <c r="B406" s="6"/>
      <c r="C406" s="6"/>
      <c r="D406" s="6"/>
      <c r="E406" s="9"/>
      <c r="F406" s="9"/>
      <c r="G406" s="11"/>
      <c r="H406" s="5"/>
      <c r="I406" s="8"/>
      <c r="J406" s="8"/>
      <c r="Z406" s="6"/>
      <c r="AA406" s="6"/>
    </row>
    <row r="407" spans="2:27" ht="12.75" x14ac:dyDescent="0.2">
      <c r="B407" s="6"/>
      <c r="C407" s="6"/>
      <c r="D407" s="6"/>
      <c r="E407" s="9"/>
      <c r="F407" s="9"/>
      <c r="G407" s="11"/>
      <c r="H407" s="5"/>
      <c r="I407" s="8"/>
      <c r="J407" s="8"/>
      <c r="Z407" s="6"/>
      <c r="AA407" s="6"/>
    </row>
    <row r="408" spans="2:27" ht="12.75" x14ac:dyDescent="0.2">
      <c r="B408" s="6"/>
      <c r="C408" s="6"/>
      <c r="D408" s="6"/>
      <c r="E408" s="9"/>
      <c r="F408" s="9"/>
      <c r="G408" s="11"/>
      <c r="H408" s="5"/>
      <c r="I408" s="8"/>
      <c r="J408" s="8"/>
      <c r="Z408" s="6"/>
      <c r="AA408" s="6"/>
    </row>
    <row r="409" spans="2:27" ht="12.75" x14ac:dyDescent="0.2">
      <c r="B409" s="6"/>
      <c r="C409" s="6"/>
      <c r="D409" s="6"/>
      <c r="E409" s="9"/>
      <c r="F409" s="9"/>
      <c r="G409" s="11"/>
      <c r="H409" s="5"/>
      <c r="I409" s="8"/>
      <c r="J409" s="8"/>
      <c r="Z409" s="6"/>
      <c r="AA409" s="6"/>
    </row>
    <row r="410" spans="2:27" ht="12.75" x14ac:dyDescent="0.2">
      <c r="B410" s="6"/>
      <c r="C410" s="6"/>
      <c r="D410" s="6"/>
      <c r="E410" s="9"/>
      <c r="F410" s="9"/>
      <c r="G410" s="11"/>
      <c r="H410" s="5"/>
      <c r="I410" s="8"/>
      <c r="J410" s="8"/>
      <c r="Z410" s="6"/>
      <c r="AA410" s="6"/>
    </row>
    <row r="411" spans="2:27" ht="12.75" x14ac:dyDescent="0.2">
      <c r="B411" s="6"/>
      <c r="C411" s="6"/>
      <c r="D411" s="6"/>
      <c r="E411" s="9"/>
      <c r="F411" s="9"/>
      <c r="G411" s="11"/>
      <c r="H411" s="5"/>
      <c r="I411" s="8"/>
      <c r="J411" s="8"/>
      <c r="Z411" s="6"/>
      <c r="AA411" s="6"/>
    </row>
    <row r="412" spans="2:27" ht="12.75" x14ac:dyDescent="0.2">
      <c r="B412" s="6"/>
      <c r="C412" s="6"/>
      <c r="D412" s="6"/>
      <c r="E412" s="9"/>
      <c r="F412" s="9"/>
      <c r="G412" s="11"/>
      <c r="H412" s="5"/>
      <c r="I412" s="8"/>
      <c r="J412" s="8"/>
      <c r="Z412" s="6"/>
      <c r="AA412" s="6"/>
    </row>
    <row r="413" spans="2:27" ht="12.75" x14ac:dyDescent="0.2">
      <c r="B413" s="6"/>
      <c r="C413" s="6"/>
      <c r="D413" s="6"/>
      <c r="E413" s="9"/>
      <c r="F413" s="9"/>
      <c r="G413" s="11"/>
      <c r="H413" s="5"/>
      <c r="I413" s="8"/>
      <c r="J413" s="8"/>
      <c r="Z413" s="6"/>
      <c r="AA413" s="6"/>
    </row>
    <row r="414" spans="2:27" ht="12.75" x14ac:dyDescent="0.2">
      <c r="B414" s="6"/>
      <c r="C414" s="6"/>
      <c r="D414" s="6"/>
      <c r="E414" s="9"/>
      <c r="F414" s="9"/>
      <c r="G414" s="11"/>
      <c r="H414" s="5"/>
      <c r="I414" s="8"/>
      <c r="J414" s="8"/>
      <c r="Z414" s="6"/>
      <c r="AA414" s="6"/>
    </row>
    <row r="415" spans="2:27" ht="12.75" x14ac:dyDescent="0.2">
      <c r="B415" s="6"/>
      <c r="C415" s="6"/>
      <c r="D415" s="6"/>
      <c r="E415" s="9"/>
      <c r="F415" s="9"/>
      <c r="G415" s="11"/>
      <c r="H415" s="5"/>
      <c r="I415" s="8"/>
      <c r="J415" s="8"/>
      <c r="Z415" s="6"/>
      <c r="AA415" s="6"/>
    </row>
    <row r="416" spans="2:27" ht="12.75" x14ac:dyDescent="0.2">
      <c r="B416" s="6"/>
      <c r="C416" s="6"/>
      <c r="D416" s="6"/>
      <c r="E416" s="9"/>
      <c r="F416" s="9"/>
      <c r="G416" s="11"/>
      <c r="H416" s="5"/>
      <c r="I416" s="8"/>
      <c r="J416" s="8"/>
      <c r="Z416" s="6"/>
      <c r="AA416" s="6"/>
    </row>
    <row r="417" spans="2:27" ht="12.75" x14ac:dyDescent="0.2">
      <c r="B417" s="6"/>
      <c r="C417" s="6"/>
      <c r="D417" s="6"/>
      <c r="E417" s="9"/>
      <c r="F417" s="9"/>
      <c r="G417" s="11"/>
      <c r="H417" s="5"/>
      <c r="I417" s="8"/>
      <c r="J417" s="8"/>
      <c r="Z417" s="6"/>
      <c r="AA417" s="6"/>
    </row>
    <row r="418" spans="2:27" ht="12.75" x14ac:dyDescent="0.2">
      <c r="B418" s="6"/>
      <c r="C418" s="6"/>
      <c r="D418" s="6"/>
      <c r="E418" s="9"/>
      <c r="F418" s="9"/>
      <c r="G418" s="11"/>
      <c r="H418" s="5"/>
      <c r="I418" s="8"/>
      <c r="J418" s="8"/>
      <c r="Z418" s="6"/>
      <c r="AA418" s="6"/>
    </row>
    <row r="419" spans="2:27" ht="12.75" x14ac:dyDescent="0.2">
      <c r="B419" s="6"/>
      <c r="C419" s="6"/>
      <c r="D419" s="6"/>
      <c r="E419" s="9"/>
      <c r="F419" s="9"/>
      <c r="G419" s="11"/>
      <c r="H419" s="5"/>
      <c r="I419" s="8"/>
      <c r="J419" s="8"/>
      <c r="Z419" s="6"/>
      <c r="AA419" s="6"/>
    </row>
    <row r="420" spans="2:27" ht="12.75" x14ac:dyDescent="0.2">
      <c r="B420" s="6"/>
      <c r="C420" s="6"/>
      <c r="D420" s="6"/>
      <c r="E420" s="9"/>
      <c r="F420" s="9"/>
      <c r="G420" s="11"/>
      <c r="H420" s="5"/>
      <c r="I420" s="8"/>
      <c r="J420" s="8"/>
      <c r="Z420" s="6"/>
      <c r="AA420" s="6"/>
    </row>
    <row r="421" spans="2:27" ht="12.75" x14ac:dyDescent="0.2">
      <c r="B421" s="6"/>
      <c r="C421" s="6"/>
      <c r="D421" s="6"/>
      <c r="E421" s="9"/>
      <c r="F421" s="9"/>
      <c r="G421" s="11"/>
      <c r="H421" s="5"/>
      <c r="I421" s="8"/>
      <c r="J421" s="8"/>
      <c r="Z421" s="6"/>
      <c r="AA421" s="6"/>
    </row>
    <row r="422" spans="2:27" ht="12.75" x14ac:dyDescent="0.2">
      <c r="B422" s="6"/>
      <c r="C422" s="6"/>
      <c r="D422" s="6"/>
      <c r="E422" s="9"/>
      <c r="F422" s="9"/>
      <c r="G422" s="11"/>
      <c r="H422" s="5"/>
      <c r="I422" s="8"/>
      <c r="J422" s="8"/>
      <c r="Z422" s="6"/>
      <c r="AA422" s="6"/>
    </row>
    <row r="423" spans="2:27" ht="12.75" x14ac:dyDescent="0.2">
      <c r="B423" s="6"/>
      <c r="C423" s="6"/>
      <c r="D423" s="6"/>
      <c r="E423" s="9"/>
      <c r="F423" s="9"/>
      <c r="G423" s="11"/>
      <c r="H423" s="5"/>
      <c r="I423" s="8"/>
      <c r="J423" s="8"/>
      <c r="Z423" s="6"/>
      <c r="AA423" s="6"/>
    </row>
    <row r="424" spans="2:27" ht="12.75" x14ac:dyDescent="0.2">
      <c r="B424" s="6"/>
      <c r="C424" s="6"/>
      <c r="D424" s="6"/>
      <c r="E424" s="9"/>
      <c r="F424" s="9"/>
      <c r="G424" s="11"/>
      <c r="H424" s="5"/>
      <c r="I424" s="8"/>
      <c r="J424" s="8"/>
      <c r="Z424" s="6"/>
      <c r="AA424" s="6"/>
    </row>
    <row r="425" spans="2:27" ht="12.75" x14ac:dyDescent="0.2">
      <c r="B425" s="6"/>
      <c r="C425" s="6"/>
      <c r="D425" s="6"/>
      <c r="E425" s="9"/>
      <c r="F425" s="9"/>
      <c r="G425" s="11"/>
      <c r="H425" s="5"/>
      <c r="I425" s="8"/>
      <c r="J425" s="8"/>
      <c r="Z425" s="6"/>
      <c r="AA425" s="6"/>
    </row>
    <row r="426" spans="2:27" ht="12.75" x14ac:dyDescent="0.2">
      <c r="B426" s="6"/>
      <c r="C426" s="6"/>
      <c r="D426" s="6"/>
      <c r="E426" s="9"/>
      <c r="F426" s="9"/>
      <c r="G426" s="11"/>
      <c r="H426" s="5"/>
      <c r="I426" s="8"/>
      <c r="J426" s="8"/>
      <c r="Z426" s="6"/>
      <c r="AA426" s="6"/>
    </row>
    <row r="427" spans="2:27" ht="12.75" x14ac:dyDescent="0.2">
      <c r="B427" s="6"/>
      <c r="C427" s="6"/>
      <c r="D427" s="6"/>
      <c r="E427" s="9"/>
      <c r="F427" s="9"/>
      <c r="G427" s="11"/>
      <c r="H427" s="5"/>
      <c r="I427" s="8"/>
      <c r="J427" s="8"/>
      <c r="Z427" s="6"/>
      <c r="AA427" s="6"/>
    </row>
    <row r="428" spans="2:27" ht="12.75" x14ac:dyDescent="0.2">
      <c r="B428" s="6"/>
      <c r="C428" s="6"/>
      <c r="D428" s="6"/>
      <c r="E428" s="9"/>
      <c r="F428" s="9"/>
      <c r="G428" s="11"/>
      <c r="H428" s="5"/>
      <c r="I428" s="8"/>
      <c r="J428" s="8"/>
      <c r="Z428" s="6"/>
      <c r="AA428" s="6"/>
    </row>
    <row r="429" spans="2:27" ht="12.75" x14ac:dyDescent="0.2">
      <c r="B429" s="6"/>
      <c r="C429" s="6"/>
      <c r="D429" s="6"/>
      <c r="E429" s="9"/>
      <c r="F429" s="9"/>
      <c r="G429" s="11"/>
      <c r="H429" s="5"/>
      <c r="I429" s="8"/>
      <c r="J429" s="8"/>
      <c r="Z429" s="6"/>
      <c r="AA429" s="6"/>
    </row>
    <row r="430" spans="2:27" ht="12.75" x14ac:dyDescent="0.2">
      <c r="B430" s="6"/>
      <c r="C430" s="6"/>
      <c r="D430" s="6"/>
      <c r="E430" s="9"/>
      <c r="F430" s="9"/>
      <c r="G430" s="11"/>
      <c r="H430" s="5"/>
      <c r="I430" s="8"/>
      <c r="J430" s="8"/>
      <c r="Z430" s="6"/>
      <c r="AA430" s="6"/>
    </row>
    <row r="431" spans="2:27" ht="12.75" x14ac:dyDescent="0.2">
      <c r="B431" s="6"/>
      <c r="C431" s="6"/>
      <c r="D431" s="6"/>
      <c r="E431" s="9"/>
      <c r="F431" s="9"/>
      <c r="G431" s="11"/>
      <c r="H431" s="5"/>
      <c r="I431" s="8"/>
      <c r="J431" s="8"/>
      <c r="Z431" s="6"/>
      <c r="AA431" s="6"/>
    </row>
    <row r="432" spans="2:27" ht="12.75" x14ac:dyDescent="0.2">
      <c r="B432" s="6"/>
      <c r="C432" s="6"/>
      <c r="D432" s="6"/>
      <c r="E432" s="9"/>
      <c r="F432" s="9"/>
      <c r="G432" s="11"/>
      <c r="H432" s="5"/>
      <c r="I432" s="8"/>
      <c r="J432" s="8"/>
      <c r="Z432" s="6"/>
      <c r="AA432" s="6"/>
    </row>
    <row r="433" spans="2:27" ht="12.75" x14ac:dyDescent="0.2">
      <c r="B433" s="6"/>
      <c r="C433" s="6"/>
      <c r="D433" s="6"/>
      <c r="E433" s="9"/>
      <c r="F433" s="9"/>
      <c r="G433" s="11"/>
      <c r="H433" s="5"/>
      <c r="I433" s="8"/>
      <c r="J433" s="8"/>
      <c r="Z433" s="6"/>
      <c r="AA433" s="6"/>
    </row>
    <row r="434" spans="2:27" ht="12.75" x14ac:dyDescent="0.2">
      <c r="B434" s="6"/>
      <c r="C434" s="6"/>
      <c r="D434" s="6"/>
      <c r="E434" s="9"/>
      <c r="F434" s="9"/>
      <c r="G434" s="11"/>
      <c r="H434" s="5"/>
      <c r="I434" s="8"/>
      <c r="J434" s="8"/>
      <c r="Z434" s="6"/>
      <c r="AA434" s="6"/>
    </row>
    <row r="435" spans="2:27" ht="12.75" x14ac:dyDescent="0.2">
      <c r="B435" s="6"/>
      <c r="C435" s="6"/>
      <c r="D435" s="6"/>
      <c r="E435" s="9"/>
      <c r="F435" s="9"/>
      <c r="G435" s="11"/>
      <c r="H435" s="5"/>
      <c r="I435" s="8"/>
      <c r="J435" s="8"/>
      <c r="Z435" s="6"/>
      <c r="AA435" s="6"/>
    </row>
    <row r="436" spans="2:27" ht="12.75" x14ac:dyDescent="0.2">
      <c r="B436" s="6"/>
      <c r="C436" s="6"/>
      <c r="D436" s="6"/>
      <c r="E436" s="9"/>
      <c r="F436" s="9"/>
      <c r="G436" s="11"/>
      <c r="H436" s="5"/>
      <c r="I436" s="8"/>
      <c r="J436" s="8"/>
      <c r="Z436" s="6"/>
      <c r="AA436" s="6"/>
    </row>
    <row r="437" spans="2:27" ht="12.75" x14ac:dyDescent="0.2">
      <c r="B437" s="6"/>
      <c r="C437" s="6"/>
      <c r="D437" s="6"/>
      <c r="E437" s="9"/>
      <c r="F437" s="9"/>
      <c r="G437" s="11"/>
      <c r="H437" s="5"/>
      <c r="I437" s="8"/>
      <c r="J437" s="8"/>
      <c r="Z437" s="6"/>
      <c r="AA437" s="6"/>
    </row>
    <row r="438" spans="2:27" ht="12.75" x14ac:dyDescent="0.2">
      <c r="B438" s="6"/>
      <c r="C438" s="6"/>
      <c r="D438" s="6"/>
      <c r="E438" s="9"/>
      <c r="F438" s="9"/>
      <c r="G438" s="11"/>
      <c r="H438" s="5"/>
      <c r="I438" s="8"/>
      <c r="J438" s="8"/>
      <c r="Z438" s="6"/>
      <c r="AA438" s="6"/>
    </row>
    <row r="439" spans="2:27" ht="12.75" x14ac:dyDescent="0.2">
      <c r="B439" s="6"/>
      <c r="C439" s="6"/>
      <c r="D439" s="6"/>
      <c r="E439" s="9"/>
      <c r="F439" s="9"/>
      <c r="G439" s="11"/>
      <c r="H439" s="5"/>
      <c r="I439" s="8"/>
      <c r="J439" s="8"/>
      <c r="Z439" s="6"/>
      <c r="AA439" s="6"/>
    </row>
    <row r="440" spans="2:27" ht="12.75" x14ac:dyDescent="0.2">
      <c r="B440" s="6"/>
      <c r="C440" s="6"/>
      <c r="D440" s="6"/>
      <c r="E440" s="9"/>
      <c r="F440" s="9"/>
      <c r="G440" s="11"/>
      <c r="H440" s="5"/>
      <c r="I440" s="8"/>
      <c r="J440" s="8"/>
      <c r="Z440" s="6"/>
      <c r="AA440" s="6"/>
    </row>
    <row r="441" spans="2:27" ht="12.75" x14ac:dyDescent="0.2">
      <c r="B441" s="6"/>
      <c r="C441" s="6"/>
      <c r="D441" s="6"/>
      <c r="E441" s="9"/>
      <c r="F441" s="9"/>
      <c r="G441" s="11"/>
      <c r="H441" s="5"/>
      <c r="I441" s="8"/>
      <c r="J441" s="8"/>
      <c r="Z441" s="6"/>
      <c r="AA441" s="6"/>
    </row>
    <row r="442" spans="2:27" ht="12.75" x14ac:dyDescent="0.2">
      <c r="B442" s="6"/>
      <c r="C442" s="6"/>
      <c r="D442" s="6"/>
      <c r="E442" s="9"/>
      <c r="F442" s="9"/>
      <c r="G442" s="11"/>
      <c r="H442" s="5"/>
      <c r="I442" s="8"/>
      <c r="J442" s="8"/>
      <c r="Z442" s="6"/>
      <c r="AA442" s="6"/>
    </row>
    <row r="443" spans="2:27" ht="12.75" x14ac:dyDescent="0.2">
      <c r="B443" s="6"/>
      <c r="C443" s="6"/>
      <c r="D443" s="6"/>
      <c r="E443" s="9"/>
      <c r="F443" s="9"/>
      <c r="G443" s="11"/>
      <c r="H443" s="5"/>
      <c r="I443" s="8"/>
      <c r="J443" s="8"/>
      <c r="Z443" s="6"/>
      <c r="AA443" s="6"/>
    </row>
    <row r="444" spans="2:27" ht="12.75" x14ac:dyDescent="0.2">
      <c r="B444" s="6"/>
      <c r="C444" s="6"/>
      <c r="D444" s="6"/>
      <c r="E444" s="9"/>
      <c r="F444" s="9"/>
      <c r="G444" s="11"/>
      <c r="H444" s="5"/>
      <c r="I444" s="8"/>
      <c r="J444" s="8"/>
      <c r="Z444" s="6"/>
      <c r="AA444" s="6"/>
    </row>
    <row r="445" spans="2:27" ht="12.75" x14ac:dyDescent="0.2">
      <c r="B445" s="6"/>
      <c r="C445" s="6"/>
      <c r="D445" s="6"/>
      <c r="E445" s="9"/>
      <c r="F445" s="9"/>
      <c r="G445" s="11"/>
      <c r="H445" s="5"/>
      <c r="I445" s="8"/>
      <c r="J445" s="8"/>
      <c r="Z445" s="6"/>
      <c r="AA445" s="6"/>
    </row>
    <row r="446" spans="2:27" ht="12.75" x14ac:dyDescent="0.2">
      <c r="B446" s="6"/>
      <c r="C446" s="6"/>
      <c r="D446" s="6"/>
      <c r="E446" s="9"/>
      <c r="F446" s="9"/>
      <c r="G446" s="11"/>
      <c r="H446" s="5"/>
      <c r="I446" s="8"/>
      <c r="J446" s="8"/>
      <c r="Z446" s="6"/>
      <c r="AA446" s="6"/>
    </row>
    <row r="447" spans="2:27" ht="12.75" x14ac:dyDescent="0.2">
      <c r="B447" s="6"/>
      <c r="C447" s="6"/>
      <c r="D447" s="6"/>
      <c r="E447" s="9"/>
      <c r="F447" s="9"/>
      <c r="G447" s="11"/>
      <c r="H447" s="5"/>
      <c r="I447" s="8"/>
      <c r="J447" s="8"/>
      <c r="Z447" s="6"/>
      <c r="AA447" s="6"/>
    </row>
    <row r="448" spans="2:27" ht="12.75" x14ac:dyDescent="0.2">
      <c r="B448" s="6"/>
      <c r="C448" s="6"/>
      <c r="D448" s="6"/>
      <c r="E448" s="9"/>
      <c r="F448" s="9"/>
      <c r="G448" s="11"/>
      <c r="H448" s="5"/>
      <c r="I448" s="8"/>
      <c r="J448" s="8"/>
      <c r="Z448" s="6"/>
      <c r="AA448" s="6"/>
    </row>
    <row r="449" spans="2:27" ht="12.75" x14ac:dyDescent="0.2">
      <c r="B449" s="6"/>
      <c r="C449" s="6"/>
      <c r="D449" s="6"/>
      <c r="E449" s="9"/>
      <c r="F449" s="9"/>
      <c r="G449" s="11"/>
      <c r="H449" s="5"/>
      <c r="I449" s="8"/>
      <c r="J449" s="8"/>
      <c r="Z449" s="6"/>
      <c r="AA449" s="6"/>
    </row>
    <row r="450" spans="2:27" ht="12.75" x14ac:dyDescent="0.2">
      <c r="B450" s="6"/>
      <c r="C450" s="6"/>
      <c r="D450" s="6"/>
      <c r="E450" s="9"/>
      <c r="F450" s="9"/>
      <c r="G450" s="11"/>
      <c r="H450" s="5"/>
      <c r="I450" s="8"/>
      <c r="J450" s="8"/>
      <c r="Z450" s="6"/>
      <c r="AA450" s="6"/>
    </row>
    <row r="451" spans="2:27" ht="12.75" x14ac:dyDescent="0.2">
      <c r="B451" s="6"/>
      <c r="C451" s="6"/>
      <c r="D451" s="6"/>
      <c r="E451" s="9"/>
      <c r="F451" s="9"/>
      <c r="G451" s="11"/>
      <c r="H451" s="5"/>
      <c r="I451" s="8"/>
      <c r="J451" s="8"/>
      <c r="Z451" s="6"/>
      <c r="AA451" s="6"/>
    </row>
    <row r="452" spans="2:27" ht="12.75" x14ac:dyDescent="0.2">
      <c r="B452" s="6"/>
      <c r="C452" s="6"/>
      <c r="D452" s="6"/>
      <c r="E452" s="9"/>
      <c r="F452" s="9"/>
      <c r="G452" s="11"/>
      <c r="H452" s="5"/>
      <c r="I452" s="8"/>
      <c r="J452" s="8"/>
      <c r="Z452" s="6"/>
      <c r="AA452" s="6"/>
    </row>
    <row r="453" spans="2:27" ht="12.75" x14ac:dyDescent="0.2">
      <c r="B453" s="6"/>
      <c r="C453" s="6"/>
      <c r="D453" s="6"/>
      <c r="E453" s="9"/>
      <c r="F453" s="9"/>
      <c r="G453" s="11"/>
      <c r="H453" s="5"/>
      <c r="I453" s="8"/>
      <c r="J453" s="8"/>
      <c r="Z453" s="6"/>
      <c r="AA453" s="6"/>
    </row>
    <row r="454" spans="2:27" ht="12.75" x14ac:dyDescent="0.2">
      <c r="B454" s="6"/>
      <c r="C454" s="6"/>
      <c r="D454" s="6"/>
      <c r="E454" s="9"/>
      <c r="F454" s="9"/>
      <c r="G454" s="11"/>
      <c r="H454" s="5"/>
      <c r="I454" s="8"/>
      <c r="J454" s="8"/>
      <c r="Z454" s="6"/>
      <c r="AA454" s="6"/>
    </row>
    <row r="455" spans="2:27" ht="12.75" x14ac:dyDescent="0.2">
      <c r="B455" s="6"/>
      <c r="C455" s="6"/>
      <c r="D455" s="6"/>
      <c r="E455" s="9"/>
      <c r="F455" s="9"/>
      <c r="G455" s="11"/>
      <c r="H455" s="5"/>
      <c r="I455" s="8"/>
      <c r="J455" s="8"/>
      <c r="Z455" s="6"/>
      <c r="AA455" s="6"/>
    </row>
    <row r="456" spans="2:27" ht="12.75" x14ac:dyDescent="0.2">
      <c r="B456" s="6"/>
      <c r="C456" s="6"/>
      <c r="D456" s="6"/>
      <c r="E456" s="9"/>
      <c r="F456" s="9"/>
      <c r="G456" s="11"/>
      <c r="H456" s="5"/>
      <c r="I456" s="8"/>
      <c r="J456" s="8"/>
      <c r="Z456" s="6"/>
      <c r="AA456" s="6"/>
    </row>
    <row r="457" spans="2:27" ht="12.75" x14ac:dyDescent="0.2">
      <c r="B457" s="6"/>
      <c r="C457" s="6"/>
      <c r="D457" s="6"/>
      <c r="E457" s="9"/>
      <c r="F457" s="9"/>
      <c r="G457" s="11"/>
      <c r="H457" s="5"/>
      <c r="I457" s="8"/>
      <c r="J457" s="8"/>
      <c r="Z457" s="6"/>
      <c r="AA457" s="6"/>
    </row>
    <row r="458" spans="2:27" ht="12.75" x14ac:dyDescent="0.2">
      <c r="B458" s="6"/>
      <c r="C458" s="6"/>
      <c r="D458" s="6"/>
      <c r="E458" s="9"/>
      <c r="F458" s="9"/>
      <c r="G458" s="11"/>
      <c r="H458" s="5"/>
      <c r="I458" s="8"/>
      <c r="J458" s="8"/>
      <c r="Z458" s="6"/>
      <c r="AA458" s="6"/>
    </row>
    <row r="459" spans="2:27" ht="12.75" x14ac:dyDescent="0.2">
      <c r="B459" s="6"/>
      <c r="C459" s="6"/>
      <c r="D459" s="6"/>
      <c r="E459" s="9"/>
      <c r="F459" s="9"/>
      <c r="G459" s="11"/>
      <c r="H459" s="5"/>
      <c r="I459" s="8"/>
      <c r="J459" s="8"/>
      <c r="Z459" s="6"/>
      <c r="AA459" s="6"/>
    </row>
    <row r="460" spans="2:27" ht="12.75" x14ac:dyDescent="0.2">
      <c r="B460" s="6"/>
      <c r="C460" s="6"/>
      <c r="D460" s="6"/>
      <c r="E460" s="9"/>
      <c r="F460" s="9"/>
      <c r="G460" s="11"/>
      <c r="H460" s="5"/>
      <c r="I460" s="8"/>
      <c r="J460" s="8"/>
      <c r="Z460" s="6"/>
      <c r="AA460" s="6"/>
    </row>
    <row r="461" spans="2:27" ht="12.75" x14ac:dyDescent="0.2">
      <c r="B461" s="6"/>
      <c r="C461" s="6"/>
      <c r="D461" s="6"/>
      <c r="E461" s="9"/>
      <c r="F461" s="9"/>
      <c r="G461" s="11"/>
      <c r="H461" s="5"/>
      <c r="I461" s="8"/>
      <c r="J461" s="8"/>
      <c r="Z461" s="6"/>
      <c r="AA461" s="6"/>
    </row>
    <row r="462" spans="2:27" ht="12.75" x14ac:dyDescent="0.2">
      <c r="B462" s="6"/>
      <c r="C462" s="6"/>
      <c r="D462" s="6"/>
      <c r="E462" s="9"/>
      <c r="F462" s="9"/>
      <c r="G462" s="11"/>
      <c r="H462" s="5"/>
      <c r="I462" s="8"/>
      <c r="J462" s="8"/>
      <c r="Z462" s="6"/>
      <c r="AA462" s="6"/>
    </row>
    <row r="463" spans="2:27" ht="12.75" x14ac:dyDescent="0.2">
      <c r="B463" s="6"/>
      <c r="C463" s="6"/>
      <c r="D463" s="6"/>
      <c r="E463" s="9"/>
      <c r="F463" s="9"/>
      <c r="G463" s="11"/>
      <c r="H463" s="5"/>
      <c r="I463" s="8"/>
      <c r="J463" s="8"/>
      <c r="Z463" s="6"/>
      <c r="AA463" s="6"/>
    </row>
    <row r="464" spans="2:27" ht="12.75" x14ac:dyDescent="0.2">
      <c r="B464" s="6"/>
      <c r="C464" s="6"/>
      <c r="D464" s="6"/>
      <c r="E464" s="9"/>
      <c r="F464" s="9"/>
      <c r="G464" s="11"/>
      <c r="H464" s="5"/>
      <c r="I464" s="8"/>
      <c r="J464" s="8"/>
      <c r="Z464" s="6"/>
      <c r="AA464" s="6"/>
    </row>
    <row r="465" spans="2:27" ht="12.75" x14ac:dyDescent="0.2">
      <c r="B465" s="6"/>
      <c r="C465" s="6"/>
      <c r="D465" s="6"/>
      <c r="E465" s="9"/>
      <c r="F465" s="9"/>
      <c r="G465" s="11"/>
      <c r="H465" s="5"/>
      <c r="I465" s="8"/>
      <c r="J465" s="8"/>
      <c r="Z465" s="6"/>
      <c r="AA465" s="6"/>
    </row>
    <row r="466" spans="2:27" ht="12.75" x14ac:dyDescent="0.2">
      <c r="B466" s="6"/>
      <c r="C466" s="6"/>
      <c r="D466" s="6"/>
      <c r="E466" s="9"/>
      <c r="F466" s="9"/>
      <c r="G466" s="11"/>
      <c r="H466" s="5"/>
      <c r="I466" s="8"/>
      <c r="J466" s="8"/>
      <c r="Z466" s="6"/>
      <c r="AA466" s="6"/>
    </row>
    <row r="467" spans="2:27" ht="12.75" x14ac:dyDescent="0.2">
      <c r="B467" s="6"/>
      <c r="C467" s="6"/>
      <c r="D467" s="6"/>
      <c r="E467" s="9"/>
      <c r="F467" s="9"/>
      <c r="G467" s="11"/>
      <c r="H467" s="5"/>
      <c r="I467" s="8"/>
      <c r="J467" s="8"/>
      <c r="Z467" s="6"/>
      <c r="AA467" s="6"/>
    </row>
    <row r="468" spans="2:27" ht="12.75" x14ac:dyDescent="0.2">
      <c r="B468" s="6"/>
      <c r="C468" s="6"/>
      <c r="D468" s="6"/>
      <c r="E468" s="9"/>
      <c r="F468" s="9"/>
      <c r="G468" s="11"/>
      <c r="H468" s="5"/>
      <c r="I468" s="8"/>
      <c r="J468" s="8"/>
      <c r="Z468" s="6"/>
      <c r="AA468" s="6"/>
    </row>
    <row r="469" spans="2:27" ht="12.75" x14ac:dyDescent="0.2">
      <c r="B469" s="6"/>
      <c r="C469" s="6"/>
      <c r="D469" s="6"/>
      <c r="E469" s="9"/>
      <c r="F469" s="9"/>
      <c r="G469" s="11"/>
      <c r="H469" s="5"/>
      <c r="I469" s="8"/>
      <c r="J469" s="8"/>
      <c r="Z469" s="6"/>
      <c r="AA469" s="6"/>
    </row>
    <row r="470" spans="2:27" ht="12.75" x14ac:dyDescent="0.2">
      <c r="B470" s="6"/>
      <c r="C470" s="6"/>
      <c r="D470" s="6"/>
      <c r="E470" s="9"/>
      <c r="F470" s="9"/>
      <c r="G470" s="11"/>
      <c r="H470" s="5"/>
      <c r="I470" s="8"/>
      <c r="J470" s="8"/>
      <c r="Z470" s="6"/>
      <c r="AA470" s="6"/>
    </row>
    <row r="471" spans="2:27" ht="12.75" x14ac:dyDescent="0.2">
      <c r="B471" s="6"/>
      <c r="C471" s="6"/>
      <c r="D471" s="6"/>
      <c r="E471" s="9"/>
      <c r="F471" s="9"/>
      <c r="G471" s="11"/>
      <c r="H471" s="5"/>
      <c r="I471" s="8"/>
      <c r="J471" s="8"/>
      <c r="Z471" s="6"/>
      <c r="AA471" s="6"/>
    </row>
    <row r="472" spans="2:27" ht="12.75" x14ac:dyDescent="0.2">
      <c r="B472" s="6"/>
      <c r="C472" s="6"/>
      <c r="D472" s="6"/>
      <c r="E472" s="9"/>
      <c r="F472" s="9"/>
      <c r="G472" s="11"/>
      <c r="H472" s="5"/>
      <c r="I472" s="8"/>
      <c r="J472" s="8"/>
      <c r="Z472" s="6"/>
      <c r="AA472" s="6"/>
    </row>
    <row r="473" spans="2:27" ht="12.75" x14ac:dyDescent="0.2">
      <c r="B473" s="6"/>
      <c r="C473" s="6"/>
      <c r="D473" s="6"/>
      <c r="E473" s="9"/>
      <c r="F473" s="9"/>
      <c r="G473" s="11"/>
      <c r="H473" s="5"/>
      <c r="I473" s="8"/>
      <c r="J473" s="8"/>
      <c r="Z473" s="6"/>
      <c r="AA473" s="6"/>
    </row>
    <row r="474" spans="2:27" ht="12.75" x14ac:dyDescent="0.2">
      <c r="B474" s="6"/>
      <c r="C474" s="6"/>
      <c r="D474" s="6"/>
      <c r="E474" s="9"/>
      <c r="F474" s="9"/>
      <c r="G474" s="11"/>
      <c r="H474" s="5"/>
      <c r="I474" s="8"/>
      <c r="J474" s="8"/>
      <c r="Z474" s="6"/>
      <c r="AA474" s="6"/>
    </row>
    <row r="475" spans="2:27" ht="12.75" x14ac:dyDescent="0.2">
      <c r="B475" s="6"/>
      <c r="C475" s="6"/>
      <c r="D475" s="6"/>
      <c r="E475" s="9"/>
      <c r="F475" s="9"/>
      <c r="G475" s="11"/>
      <c r="H475" s="5"/>
      <c r="I475" s="8"/>
      <c r="J475" s="8"/>
      <c r="Z475" s="6"/>
      <c r="AA475" s="6"/>
    </row>
    <row r="476" spans="2:27" ht="12.75" x14ac:dyDescent="0.2">
      <c r="B476" s="6"/>
      <c r="C476" s="6"/>
      <c r="D476" s="6"/>
      <c r="E476" s="9"/>
      <c r="F476" s="9"/>
      <c r="G476" s="11"/>
      <c r="H476" s="5"/>
      <c r="I476" s="8"/>
      <c r="J476" s="8"/>
      <c r="Z476" s="6"/>
      <c r="AA476" s="6"/>
    </row>
    <row r="477" spans="2:27" ht="12.75" x14ac:dyDescent="0.2">
      <c r="B477" s="6"/>
      <c r="C477" s="6"/>
      <c r="D477" s="6"/>
      <c r="E477" s="9"/>
      <c r="F477" s="9"/>
      <c r="G477" s="11"/>
      <c r="H477" s="5"/>
      <c r="I477" s="8"/>
      <c r="J477" s="8"/>
      <c r="Z477" s="6"/>
      <c r="AA477" s="6"/>
    </row>
    <row r="478" spans="2:27" ht="12.75" x14ac:dyDescent="0.2">
      <c r="B478" s="6"/>
      <c r="C478" s="6"/>
      <c r="D478" s="6"/>
      <c r="E478" s="9"/>
      <c r="F478" s="9"/>
      <c r="G478" s="11"/>
      <c r="H478" s="5"/>
      <c r="I478" s="8"/>
      <c r="J478" s="8"/>
      <c r="Z478" s="6"/>
      <c r="AA478" s="6"/>
    </row>
    <row r="479" spans="2:27" ht="12.75" x14ac:dyDescent="0.2">
      <c r="B479" s="6"/>
      <c r="C479" s="6"/>
      <c r="D479" s="6"/>
      <c r="E479" s="9"/>
      <c r="F479" s="9"/>
      <c r="G479" s="11"/>
      <c r="H479" s="5"/>
      <c r="I479" s="8"/>
      <c r="J479" s="8"/>
      <c r="Z479" s="6"/>
      <c r="AA479" s="6"/>
    </row>
    <row r="480" spans="2:27" ht="12.75" x14ac:dyDescent="0.2">
      <c r="B480" s="6"/>
      <c r="C480" s="6"/>
      <c r="D480" s="6"/>
      <c r="E480" s="9"/>
      <c r="F480" s="9"/>
      <c r="G480" s="11"/>
      <c r="H480" s="5"/>
      <c r="I480" s="8"/>
      <c r="J480" s="8"/>
      <c r="Z480" s="6"/>
      <c r="AA480" s="6"/>
    </row>
    <row r="481" spans="2:27" ht="12.75" x14ac:dyDescent="0.2">
      <c r="B481" s="6"/>
      <c r="C481" s="6"/>
      <c r="D481" s="6"/>
      <c r="E481" s="9"/>
      <c r="F481" s="9"/>
      <c r="G481" s="11"/>
      <c r="H481" s="5"/>
      <c r="I481" s="8"/>
      <c r="J481" s="8"/>
      <c r="Z481" s="6"/>
      <c r="AA481" s="6"/>
    </row>
    <row r="482" spans="2:27" ht="12.75" x14ac:dyDescent="0.2">
      <c r="B482" s="6"/>
      <c r="C482" s="6"/>
      <c r="D482" s="6"/>
      <c r="E482" s="9"/>
      <c r="F482" s="9"/>
      <c r="G482" s="11"/>
      <c r="H482" s="5"/>
      <c r="I482" s="8"/>
      <c r="J482" s="8"/>
      <c r="Z482" s="6"/>
      <c r="AA482" s="6"/>
    </row>
    <row r="483" spans="2:27" ht="12.75" x14ac:dyDescent="0.2">
      <c r="B483" s="6"/>
      <c r="C483" s="6"/>
      <c r="D483" s="6"/>
      <c r="E483" s="9"/>
      <c r="F483" s="9"/>
      <c r="G483" s="11"/>
      <c r="H483" s="5"/>
      <c r="I483" s="8"/>
      <c r="J483" s="8"/>
      <c r="Z483" s="6"/>
      <c r="AA483" s="6"/>
    </row>
    <row r="484" spans="2:27" ht="12.75" x14ac:dyDescent="0.2">
      <c r="B484" s="6"/>
      <c r="C484" s="6"/>
      <c r="D484" s="6"/>
      <c r="E484" s="9"/>
      <c r="F484" s="9"/>
      <c r="G484" s="11"/>
      <c r="H484" s="5"/>
      <c r="I484" s="8"/>
      <c r="J484" s="8"/>
      <c r="Z484" s="6"/>
      <c r="AA484" s="6"/>
    </row>
    <row r="485" spans="2:27" ht="12.75" x14ac:dyDescent="0.2">
      <c r="B485" s="6"/>
      <c r="C485" s="6"/>
      <c r="D485" s="6"/>
      <c r="E485" s="9"/>
      <c r="F485" s="9"/>
      <c r="G485" s="11"/>
      <c r="H485" s="5"/>
      <c r="I485" s="8"/>
      <c r="J485" s="8"/>
      <c r="Z485" s="6"/>
      <c r="AA485" s="6"/>
    </row>
    <row r="486" spans="2:27" ht="12.75" x14ac:dyDescent="0.2">
      <c r="B486" s="6"/>
      <c r="C486" s="6"/>
      <c r="D486" s="6"/>
      <c r="E486" s="9"/>
      <c r="F486" s="9"/>
      <c r="G486" s="11"/>
      <c r="H486" s="5"/>
      <c r="I486" s="8"/>
      <c r="J486" s="8"/>
      <c r="Z486" s="6"/>
      <c r="AA486" s="6"/>
    </row>
    <row r="487" spans="2:27" ht="12.75" x14ac:dyDescent="0.2">
      <c r="B487" s="6"/>
      <c r="C487" s="6"/>
      <c r="D487" s="6"/>
      <c r="E487" s="9"/>
      <c r="F487" s="9"/>
      <c r="G487" s="11"/>
      <c r="H487" s="5"/>
      <c r="I487" s="8"/>
      <c r="J487" s="8"/>
      <c r="Z487" s="6"/>
      <c r="AA487" s="6"/>
    </row>
    <row r="488" spans="2:27" ht="12.75" x14ac:dyDescent="0.2">
      <c r="B488" s="6"/>
      <c r="C488" s="6"/>
      <c r="D488" s="6"/>
      <c r="E488" s="9"/>
      <c r="F488" s="9"/>
      <c r="G488" s="11"/>
      <c r="H488" s="5"/>
      <c r="I488" s="8"/>
      <c r="J488" s="8"/>
      <c r="Z488" s="6"/>
      <c r="AA488" s="6"/>
    </row>
    <row r="489" spans="2:27" ht="12.75" x14ac:dyDescent="0.2">
      <c r="B489" s="6"/>
      <c r="C489" s="6"/>
      <c r="D489" s="6"/>
      <c r="E489" s="9"/>
      <c r="F489" s="9"/>
      <c r="G489" s="11"/>
      <c r="H489" s="5"/>
      <c r="I489" s="8"/>
      <c r="J489" s="8"/>
      <c r="Z489" s="6"/>
      <c r="AA489" s="6"/>
    </row>
    <row r="490" spans="2:27" ht="12.75" x14ac:dyDescent="0.2">
      <c r="B490" s="6"/>
      <c r="C490" s="6"/>
      <c r="D490" s="6"/>
      <c r="E490" s="9"/>
      <c r="F490" s="9"/>
      <c r="G490" s="11"/>
      <c r="H490" s="5"/>
      <c r="I490" s="8"/>
      <c r="J490" s="8"/>
      <c r="Z490" s="6"/>
      <c r="AA490" s="6"/>
    </row>
    <row r="491" spans="2:27" ht="12.75" x14ac:dyDescent="0.2">
      <c r="B491" s="6"/>
      <c r="C491" s="6"/>
      <c r="D491" s="6"/>
      <c r="E491" s="9"/>
      <c r="F491" s="9"/>
      <c r="G491" s="11"/>
      <c r="H491" s="5"/>
      <c r="I491" s="8"/>
      <c r="J491" s="8"/>
      <c r="Z491" s="6"/>
      <c r="AA491" s="6"/>
    </row>
    <row r="492" spans="2:27" ht="12.75" x14ac:dyDescent="0.2">
      <c r="B492" s="6"/>
      <c r="C492" s="6"/>
      <c r="D492" s="6"/>
      <c r="E492" s="9"/>
      <c r="F492" s="9"/>
      <c r="G492" s="11"/>
      <c r="H492" s="5"/>
      <c r="I492" s="8"/>
      <c r="J492" s="8"/>
      <c r="Z492" s="6"/>
      <c r="AA492" s="6"/>
    </row>
    <row r="493" spans="2:27" ht="12.75" x14ac:dyDescent="0.2">
      <c r="B493" s="6"/>
      <c r="C493" s="6"/>
      <c r="D493" s="6"/>
      <c r="E493" s="9"/>
      <c r="F493" s="9"/>
      <c r="G493" s="11"/>
      <c r="H493" s="5"/>
      <c r="I493" s="8"/>
      <c r="J493" s="8"/>
      <c r="Z493" s="6"/>
      <c r="AA493" s="6"/>
    </row>
    <row r="494" spans="2:27" ht="12.75" x14ac:dyDescent="0.2">
      <c r="B494" s="6"/>
      <c r="C494" s="6"/>
      <c r="D494" s="6"/>
      <c r="E494" s="9"/>
      <c r="F494" s="9"/>
      <c r="G494" s="11"/>
      <c r="H494" s="5"/>
      <c r="I494" s="8"/>
      <c r="J494" s="8"/>
      <c r="Z494" s="6"/>
      <c r="AA494" s="6"/>
    </row>
    <row r="495" spans="2:27" ht="12.75" x14ac:dyDescent="0.2">
      <c r="B495" s="6"/>
      <c r="C495" s="6"/>
      <c r="D495" s="6"/>
      <c r="E495" s="9"/>
      <c r="F495" s="9"/>
      <c r="G495" s="11"/>
      <c r="H495" s="5"/>
      <c r="I495" s="8"/>
      <c r="J495" s="8"/>
      <c r="Z495" s="6"/>
      <c r="AA495" s="6"/>
    </row>
    <row r="496" spans="2:27" ht="12.75" x14ac:dyDescent="0.2">
      <c r="B496" s="6"/>
      <c r="C496" s="6"/>
      <c r="D496" s="6"/>
      <c r="E496" s="9"/>
      <c r="F496" s="9"/>
      <c r="G496" s="11"/>
      <c r="H496" s="5"/>
      <c r="I496" s="8"/>
      <c r="J496" s="8"/>
      <c r="Z496" s="6"/>
      <c r="AA496" s="6"/>
    </row>
    <row r="497" spans="2:27" ht="12.75" x14ac:dyDescent="0.2">
      <c r="B497" s="6"/>
      <c r="C497" s="6"/>
      <c r="D497" s="6"/>
      <c r="E497" s="9"/>
      <c r="F497" s="9"/>
      <c r="G497" s="11"/>
      <c r="H497" s="5"/>
      <c r="I497" s="8"/>
      <c r="J497" s="8"/>
      <c r="Z497" s="6"/>
      <c r="AA497" s="6"/>
    </row>
    <row r="498" spans="2:27" ht="12.75" x14ac:dyDescent="0.2">
      <c r="B498" s="6"/>
      <c r="C498" s="6"/>
      <c r="D498" s="6"/>
      <c r="E498" s="9"/>
      <c r="F498" s="9"/>
      <c r="G498" s="11"/>
      <c r="H498" s="5"/>
      <c r="I498" s="8"/>
      <c r="J498" s="8"/>
      <c r="Z498" s="6"/>
      <c r="AA498" s="6"/>
    </row>
    <row r="499" spans="2:27" ht="12.75" x14ac:dyDescent="0.2">
      <c r="B499" s="6"/>
      <c r="C499" s="6"/>
      <c r="D499" s="6"/>
      <c r="E499" s="9"/>
      <c r="F499" s="9"/>
      <c r="G499" s="11"/>
      <c r="H499" s="5"/>
      <c r="I499" s="8"/>
      <c r="J499" s="8"/>
      <c r="Z499" s="6"/>
      <c r="AA499" s="6"/>
    </row>
    <row r="500" spans="2:27" ht="12.75" x14ac:dyDescent="0.2">
      <c r="B500" s="6"/>
      <c r="C500" s="6"/>
      <c r="D500" s="6"/>
      <c r="E500" s="9"/>
      <c r="F500" s="9"/>
      <c r="G500" s="11"/>
      <c r="H500" s="5"/>
      <c r="I500" s="8"/>
      <c r="J500" s="8"/>
      <c r="Z500" s="6"/>
      <c r="AA500" s="6"/>
    </row>
    <row r="501" spans="2:27" ht="12.75" x14ac:dyDescent="0.2">
      <c r="B501" s="6"/>
      <c r="C501" s="6"/>
      <c r="D501" s="6"/>
      <c r="E501" s="9"/>
      <c r="F501" s="9"/>
      <c r="G501" s="11"/>
      <c r="H501" s="5"/>
      <c r="I501" s="8"/>
      <c r="J501" s="8"/>
      <c r="Z501" s="6"/>
      <c r="AA501" s="6"/>
    </row>
    <row r="502" spans="2:27" ht="12.75" x14ac:dyDescent="0.2">
      <c r="B502" s="6"/>
      <c r="C502" s="6"/>
      <c r="D502" s="6"/>
      <c r="E502" s="9"/>
      <c r="F502" s="9"/>
      <c r="G502" s="11"/>
      <c r="H502" s="5"/>
      <c r="I502" s="8"/>
      <c r="J502" s="8"/>
      <c r="Z502" s="6"/>
      <c r="AA502" s="6"/>
    </row>
    <row r="503" spans="2:27" ht="12.75" x14ac:dyDescent="0.2">
      <c r="B503" s="6"/>
      <c r="C503" s="6"/>
      <c r="D503" s="6"/>
      <c r="E503" s="9"/>
      <c r="F503" s="9"/>
      <c r="G503" s="11"/>
      <c r="H503" s="5"/>
      <c r="I503" s="8"/>
      <c r="J503" s="8"/>
      <c r="Z503" s="6"/>
      <c r="AA503" s="6"/>
    </row>
    <row r="504" spans="2:27" ht="12.75" x14ac:dyDescent="0.2">
      <c r="B504" s="6"/>
      <c r="C504" s="6"/>
      <c r="D504" s="6"/>
      <c r="E504" s="9"/>
      <c r="F504" s="9"/>
      <c r="G504" s="11"/>
      <c r="H504" s="5"/>
      <c r="I504" s="8"/>
      <c r="J504" s="8"/>
      <c r="Z504" s="6"/>
      <c r="AA504" s="6"/>
    </row>
    <row r="505" spans="2:27" ht="12.75" x14ac:dyDescent="0.2">
      <c r="B505" s="6"/>
      <c r="C505" s="6"/>
      <c r="D505" s="6"/>
      <c r="E505" s="9"/>
      <c r="F505" s="9"/>
      <c r="G505" s="11"/>
      <c r="H505" s="5"/>
      <c r="I505" s="8"/>
      <c r="J505" s="8"/>
      <c r="Z505" s="6"/>
      <c r="AA505" s="6"/>
    </row>
    <row r="506" spans="2:27" ht="12.75" x14ac:dyDescent="0.2">
      <c r="B506" s="6"/>
      <c r="C506" s="6"/>
      <c r="D506" s="6"/>
      <c r="E506" s="9"/>
      <c r="F506" s="9"/>
      <c r="G506" s="11"/>
      <c r="H506" s="5"/>
      <c r="I506" s="8"/>
      <c r="J506" s="8"/>
      <c r="Z506" s="6"/>
      <c r="AA506" s="6"/>
    </row>
    <row r="507" spans="2:27" ht="12.75" x14ac:dyDescent="0.2">
      <c r="B507" s="6"/>
      <c r="C507" s="6"/>
      <c r="D507" s="6"/>
      <c r="E507" s="9"/>
      <c r="F507" s="9"/>
      <c r="G507" s="11"/>
      <c r="H507" s="5"/>
      <c r="I507" s="8"/>
      <c r="J507" s="8"/>
      <c r="Z507" s="6"/>
      <c r="AA507" s="6"/>
    </row>
    <row r="508" spans="2:27" ht="12.75" x14ac:dyDescent="0.2">
      <c r="B508" s="6"/>
      <c r="C508" s="6"/>
      <c r="D508" s="6"/>
      <c r="E508" s="9"/>
      <c r="F508" s="9"/>
      <c r="G508" s="11"/>
      <c r="H508" s="5"/>
      <c r="I508" s="8"/>
      <c r="J508" s="8"/>
      <c r="Z508" s="6"/>
      <c r="AA508" s="6"/>
    </row>
    <row r="509" spans="2:27" ht="12.75" x14ac:dyDescent="0.2">
      <c r="B509" s="6"/>
      <c r="C509" s="6"/>
      <c r="D509" s="6"/>
      <c r="E509" s="9"/>
      <c r="F509" s="9"/>
      <c r="G509" s="11"/>
      <c r="H509" s="5"/>
      <c r="I509" s="8"/>
      <c r="J509" s="8"/>
      <c r="Z509" s="6"/>
      <c r="AA509" s="6"/>
    </row>
    <row r="510" spans="2:27" ht="12.75" x14ac:dyDescent="0.2">
      <c r="B510" s="6"/>
      <c r="C510" s="6"/>
      <c r="D510" s="6"/>
      <c r="E510" s="9"/>
      <c r="F510" s="9"/>
      <c r="G510" s="11"/>
      <c r="H510" s="5"/>
      <c r="I510" s="8"/>
      <c r="J510" s="8"/>
      <c r="Z510" s="6"/>
      <c r="AA510" s="6"/>
    </row>
    <row r="511" spans="2:27" ht="12.75" x14ac:dyDescent="0.2">
      <c r="B511" s="6"/>
      <c r="C511" s="6"/>
      <c r="D511" s="6"/>
      <c r="E511" s="9"/>
      <c r="F511" s="9"/>
      <c r="G511" s="11"/>
      <c r="H511" s="5"/>
      <c r="I511" s="8"/>
      <c r="J511" s="8"/>
      <c r="Z511" s="6"/>
      <c r="AA511" s="6"/>
    </row>
    <row r="512" spans="2:27" ht="12.75" x14ac:dyDescent="0.2">
      <c r="B512" s="6"/>
      <c r="C512" s="6"/>
      <c r="D512" s="6"/>
      <c r="E512" s="9"/>
      <c r="F512" s="9"/>
      <c r="G512" s="11"/>
      <c r="H512" s="5"/>
      <c r="I512" s="8"/>
      <c r="J512" s="8"/>
      <c r="Z512" s="6"/>
      <c r="AA512" s="6"/>
    </row>
    <row r="513" spans="2:27" ht="12.75" x14ac:dyDescent="0.2">
      <c r="B513" s="6"/>
      <c r="C513" s="6"/>
      <c r="D513" s="6"/>
      <c r="E513" s="9"/>
      <c r="F513" s="9"/>
      <c r="G513" s="11"/>
      <c r="H513" s="5"/>
      <c r="I513" s="8"/>
      <c r="J513" s="8"/>
      <c r="Z513" s="6"/>
      <c r="AA513" s="6"/>
    </row>
    <row r="514" spans="2:27" ht="12.75" x14ac:dyDescent="0.2">
      <c r="B514" s="6"/>
      <c r="C514" s="6"/>
      <c r="D514" s="6"/>
      <c r="E514" s="9"/>
      <c r="F514" s="9"/>
      <c r="G514" s="11"/>
      <c r="H514" s="5"/>
      <c r="I514" s="8"/>
      <c r="J514" s="8"/>
      <c r="Z514" s="6"/>
      <c r="AA514" s="6"/>
    </row>
    <row r="515" spans="2:27" ht="12.75" x14ac:dyDescent="0.2">
      <c r="B515" s="6"/>
      <c r="C515" s="6"/>
      <c r="D515" s="6"/>
      <c r="E515" s="9"/>
      <c r="F515" s="9"/>
      <c r="G515" s="11"/>
      <c r="H515" s="5"/>
      <c r="I515" s="8"/>
      <c r="J515" s="8"/>
      <c r="Z515" s="6"/>
      <c r="AA515" s="6"/>
    </row>
    <row r="516" spans="2:27" ht="12.75" x14ac:dyDescent="0.2">
      <c r="B516" s="6"/>
      <c r="C516" s="6"/>
      <c r="D516" s="6"/>
      <c r="E516" s="9"/>
      <c r="F516" s="9"/>
      <c r="G516" s="11"/>
      <c r="H516" s="5"/>
      <c r="I516" s="8"/>
      <c r="J516" s="8"/>
      <c r="Z516" s="6"/>
      <c r="AA516" s="6"/>
    </row>
    <row r="517" spans="2:27" ht="12.75" x14ac:dyDescent="0.2">
      <c r="B517" s="6"/>
      <c r="C517" s="6"/>
      <c r="D517" s="6"/>
      <c r="E517" s="9"/>
      <c r="F517" s="9"/>
      <c r="G517" s="11"/>
      <c r="H517" s="5"/>
      <c r="I517" s="8"/>
      <c r="J517" s="8"/>
      <c r="Z517" s="6"/>
      <c r="AA517" s="6"/>
    </row>
    <row r="518" spans="2:27" ht="12.75" x14ac:dyDescent="0.2">
      <c r="B518" s="6"/>
      <c r="C518" s="6"/>
      <c r="D518" s="6"/>
      <c r="E518" s="9"/>
      <c r="F518" s="9"/>
      <c r="G518" s="11"/>
      <c r="H518" s="5"/>
      <c r="I518" s="8"/>
      <c r="J518" s="8"/>
      <c r="Z518" s="6"/>
      <c r="AA518" s="6"/>
    </row>
    <row r="519" spans="2:27" ht="12.75" x14ac:dyDescent="0.2">
      <c r="B519" s="6"/>
      <c r="C519" s="6"/>
      <c r="D519" s="6"/>
      <c r="E519" s="9"/>
      <c r="F519" s="9"/>
      <c r="G519" s="11"/>
      <c r="H519" s="5"/>
      <c r="I519" s="8"/>
      <c r="J519" s="8"/>
      <c r="Z519" s="6"/>
      <c r="AA519" s="6"/>
    </row>
    <row r="520" spans="2:27" ht="12.75" x14ac:dyDescent="0.2">
      <c r="B520" s="6"/>
      <c r="C520" s="6"/>
      <c r="D520" s="6"/>
      <c r="E520" s="9"/>
      <c r="F520" s="9"/>
      <c r="G520" s="11"/>
      <c r="H520" s="5"/>
      <c r="I520" s="8"/>
      <c r="J520" s="8"/>
      <c r="Z520" s="6"/>
      <c r="AA520" s="6"/>
    </row>
    <row r="521" spans="2:27" ht="12.75" x14ac:dyDescent="0.2">
      <c r="B521" s="6"/>
      <c r="C521" s="6"/>
      <c r="D521" s="6"/>
      <c r="E521" s="9"/>
      <c r="F521" s="9"/>
      <c r="G521" s="11"/>
      <c r="H521" s="5"/>
      <c r="I521" s="8"/>
      <c r="J521" s="8"/>
      <c r="Z521" s="6"/>
      <c r="AA521" s="6"/>
    </row>
    <row r="522" spans="2:27" ht="12.75" x14ac:dyDescent="0.2">
      <c r="B522" s="6"/>
      <c r="C522" s="6"/>
      <c r="D522" s="6"/>
      <c r="E522" s="9"/>
      <c r="F522" s="9"/>
      <c r="G522" s="11"/>
      <c r="H522" s="5"/>
      <c r="I522" s="8"/>
      <c r="J522" s="8"/>
      <c r="Z522" s="6"/>
      <c r="AA522" s="6"/>
    </row>
    <row r="523" spans="2:27" ht="12.75" x14ac:dyDescent="0.2">
      <c r="B523" s="6"/>
      <c r="C523" s="6"/>
      <c r="D523" s="6"/>
      <c r="E523" s="9"/>
      <c r="F523" s="9"/>
      <c r="G523" s="11"/>
      <c r="H523" s="5"/>
      <c r="I523" s="8"/>
      <c r="J523" s="8"/>
      <c r="Z523" s="6"/>
      <c r="AA523" s="6"/>
    </row>
    <row r="524" spans="2:27" ht="12.75" x14ac:dyDescent="0.2">
      <c r="B524" s="6"/>
      <c r="C524" s="6"/>
      <c r="D524" s="6"/>
      <c r="E524" s="9"/>
      <c r="F524" s="9"/>
      <c r="G524" s="11"/>
      <c r="H524" s="5"/>
      <c r="I524" s="8"/>
      <c r="J524" s="8"/>
      <c r="Z524" s="6"/>
      <c r="AA524" s="6"/>
    </row>
    <row r="525" spans="2:27" ht="12.75" x14ac:dyDescent="0.2">
      <c r="B525" s="6"/>
      <c r="C525" s="6"/>
      <c r="D525" s="6"/>
      <c r="E525" s="9"/>
      <c r="F525" s="9"/>
      <c r="G525" s="11"/>
      <c r="H525" s="5"/>
      <c r="I525" s="8"/>
      <c r="J525" s="8"/>
      <c r="Z525" s="6"/>
      <c r="AA525" s="6"/>
    </row>
    <row r="526" spans="2:27" ht="12.75" x14ac:dyDescent="0.2">
      <c r="B526" s="6"/>
      <c r="C526" s="6"/>
      <c r="D526" s="6"/>
      <c r="E526" s="9"/>
      <c r="F526" s="9"/>
      <c r="G526" s="11"/>
      <c r="H526" s="5"/>
      <c r="I526" s="8"/>
      <c r="J526" s="8"/>
      <c r="Z526" s="6"/>
      <c r="AA526" s="6"/>
    </row>
    <row r="527" spans="2:27" ht="12.75" x14ac:dyDescent="0.2">
      <c r="B527" s="6"/>
      <c r="C527" s="6"/>
      <c r="D527" s="6"/>
      <c r="E527" s="9"/>
      <c r="F527" s="9"/>
      <c r="G527" s="11"/>
      <c r="H527" s="5"/>
      <c r="I527" s="8"/>
      <c r="J527" s="8"/>
      <c r="Z527" s="6"/>
      <c r="AA527" s="6"/>
    </row>
    <row r="528" spans="2:27" ht="12.75" x14ac:dyDescent="0.2">
      <c r="B528" s="6"/>
      <c r="C528" s="6"/>
      <c r="D528" s="6"/>
      <c r="E528" s="9"/>
      <c r="F528" s="9"/>
      <c r="G528" s="11"/>
      <c r="H528" s="5"/>
      <c r="I528" s="8"/>
      <c r="J528" s="8"/>
      <c r="Z528" s="6"/>
      <c r="AA528" s="6"/>
    </row>
    <row r="529" spans="2:27" ht="12.75" x14ac:dyDescent="0.2">
      <c r="B529" s="6"/>
      <c r="C529" s="6"/>
      <c r="D529" s="6"/>
      <c r="E529" s="9"/>
      <c r="F529" s="9"/>
      <c r="G529" s="11"/>
      <c r="H529" s="5"/>
      <c r="I529" s="8"/>
      <c r="J529" s="8"/>
      <c r="Z529" s="6"/>
      <c r="AA529" s="6"/>
    </row>
    <row r="530" spans="2:27" ht="12.75" x14ac:dyDescent="0.2">
      <c r="B530" s="6"/>
      <c r="C530" s="6"/>
      <c r="D530" s="6"/>
      <c r="E530" s="9"/>
      <c r="F530" s="9"/>
      <c r="G530" s="11"/>
      <c r="H530" s="5"/>
      <c r="I530" s="8"/>
      <c r="J530" s="8"/>
      <c r="Z530" s="6"/>
      <c r="AA530" s="6"/>
    </row>
    <row r="531" spans="2:27" ht="12.75" x14ac:dyDescent="0.2">
      <c r="B531" s="6"/>
      <c r="C531" s="6"/>
      <c r="D531" s="6"/>
      <c r="E531" s="9"/>
      <c r="F531" s="9"/>
      <c r="G531" s="11"/>
      <c r="H531" s="5"/>
      <c r="I531" s="8"/>
      <c r="J531" s="8"/>
      <c r="Z531" s="6"/>
      <c r="AA531" s="6"/>
    </row>
    <row r="532" spans="2:27" ht="12.75" x14ac:dyDescent="0.2">
      <c r="B532" s="6"/>
      <c r="C532" s="6"/>
      <c r="D532" s="6"/>
      <c r="E532" s="9"/>
      <c r="F532" s="9"/>
      <c r="G532" s="11"/>
      <c r="H532" s="5"/>
      <c r="I532" s="8"/>
      <c r="J532" s="8"/>
      <c r="Z532" s="6"/>
      <c r="AA532" s="6"/>
    </row>
    <row r="533" spans="2:27" ht="12.75" x14ac:dyDescent="0.2">
      <c r="B533" s="6"/>
      <c r="C533" s="6"/>
      <c r="D533" s="6"/>
      <c r="E533" s="9"/>
      <c r="F533" s="9"/>
      <c r="G533" s="11"/>
      <c r="H533" s="5"/>
      <c r="I533" s="8"/>
      <c r="J533" s="8"/>
      <c r="Z533" s="6"/>
      <c r="AA533" s="6"/>
    </row>
    <row r="534" spans="2:27" ht="12.75" x14ac:dyDescent="0.2">
      <c r="B534" s="6"/>
      <c r="C534" s="6"/>
      <c r="D534" s="6"/>
      <c r="E534" s="9"/>
      <c r="F534" s="9"/>
      <c r="G534" s="11"/>
      <c r="H534" s="5"/>
      <c r="I534" s="8"/>
      <c r="J534" s="8"/>
      <c r="Z534" s="6"/>
      <c r="AA534" s="6"/>
    </row>
    <row r="535" spans="2:27" ht="12.75" x14ac:dyDescent="0.2">
      <c r="B535" s="6"/>
      <c r="C535" s="6"/>
      <c r="D535" s="6"/>
      <c r="E535" s="9"/>
      <c r="F535" s="9"/>
      <c r="G535" s="11"/>
      <c r="H535" s="5"/>
      <c r="I535" s="8"/>
      <c r="J535" s="8"/>
      <c r="Z535" s="6"/>
      <c r="AA535" s="6"/>
    </row>
    <row r="536" spans="2:27" ht="12.75" x14ac:dyDescent="0.2">
      <c r="B536" s="6"/>
      <c r="C536" s="6"/>
      <c r="D536" s="6"/>
      <c r="E536" s="9"/>
      <c r="F536" s="9"/>
      <c r="G536" s="11"/>
      <c r="H536" s="5"/>
      <c r="I536" s="8"/>
      <c r="J536" s="8"/>
      <c r="Z536" s="6"/>
      <c r="AA536" s="6"/>
    </row>
    <row r="537" spans="2:27" ht="12.75" x14ac:dyDescent="0.2">
      <c r="B537" s="6"/>
      <c r="C537" s="6"/>
      <c r="D537" s="6"/>
      <c r="E537" s="9"/>
      <c r="F537" s="9"/>
      <c r="G537" s="11"/>
      <c r="H537" s="5"/>
      <c r="I537" s="8"/>
      <c r="J537" s="8"/>
      <c r="Z537" s="6"/>
      <c r="AA537" s="6"/>
    </row>
    <row r="538" spans="2:27" ht="12.75" x14ac:dyDescent="0.2">
      <c r="B538" s="6"/>
      <c r="C538" s="6"/>
      <c r="D538" s="6"/>
      <c r="E538" s="9"/>
      <c r="F538" s="9"/>
      <c r="G538" s="11"/>
      <c r="H538" s="5"/>
      <c r="I538" s="8"/>
      <c r="J538" s="8"/>
      <c r="Z538" s="6"/>
      <c r="AA538" s="6"/>
    </row>
    <row r="539" spans="2:27" ht="12.75" x14ac:dyDescent="0.2">
      <c r="B539" s="6"/>
      <c r="C539" s="6"/>
      <c r="D539" s="6"/>
      <c r="E539" s="9"/>
      <c r="F539" s="9"/>
      <c r="G539" s="11"/>
      <c r="H539" s="5"/>
      <c r="I539" s="8"/>
      <c r="J539" s="8"/>
      <c r="Z539" s="6"/>
      <c r="AA539" s="6"/>
    </row>
    <row r="540" spans="2:27" ht="12.75" x14ac:dyDescent="0.2">
      <c r="B540" s="6"/>
      <c r="C540" s="6"/>
      <c r="D540" s="6"/>
      <c r="E540" s="9"/>
      <c r="F540" s="9"/>
      <c r="G540" s="11"/>
      <c r="H540" s="5"/>
      <c r="I540" s="8"/>
      <c r="J540" s="8"/>
      <c r="Z540" s="6"/>
      <c r="AA540" s="6"/>
    </row>
    <row r="541" spans="2:27" ht="12.75" x14ac:dyDescent="0.2">
      <c r="B541" s="6"/>
      <c r="C541" s="6"/>
      <c r="D541" s="6"/>
      <c r="E541" s="9"/>
      <c r="F541" s="9"/>
      <c r="G541" s="11"/>
      <c r="H541" s="5"/>
      <c r="I541" s="8"/>
      <c r="J541" s="8"/>
      <c r="Z541" s="6"/>
      <c r="AA541" s="6"/>
    </row>
    <row r="542" spans="2:27" ht="12.75" x14ac:dyDescent="0.2">
      <c r="B542" s="6"/>
      <c r="C542" s="6"/>
      <c r="D542" s="6"/>
      <c r="E542" s="9"/>
      <c r="F542" s="9"/>
      <c r="G542" s="11"/>
      <c r="H542" s="5"/>
      <c r="I542" s="8"/>
      <c r="J542" s="8"/>
      <c r="Z542" s="6"/>
      <c r="AA542" s="6"/>
    </row>
    <row r="543" spans="2:27" ht="12.75" x14ac:dyDescent="0.2">
      <c r="B543" s="6"/>
      <c r="C543" s="6"/>
      <c r="D543" s="6"/>
      <c r="E543" s="9"/>
      <c r="F543" s="9"/>
      <c r="G543" s="11"/>
      <c r="H543" s="5"/>
      <c r="I543" s="8"/>
      <c r="J543" s="8"/>
      <c r="Z543" s="6"/>
      <c r="AA543" s="6"/>
    </row>
    <row r="544" spans="2:27" ht="12.75" x14ac:dyDescent="0.2">
      <c r="B544" s="6"/>
      <c r="C544" s="6"/>
      <c r="D544" s="6"/>
      <c r="E544" s="9"/>
      <c r="F544" s="9"/>
      <c r="G544" s="11"/>
      <c r="H544" s="5"/>
      <c r="I544" s="8"/>
      <c r="J544" s="8"/>
      <c r="Z544" s="6"/>
      <c r="AA544" s="6"/>
    </row>
    <row r="545" spans="2:27" ht="12.75" x14ac:dyDescent="0.2">
      <c r="B545" s="6"/>
      <c r="C545" s="6"/>
      <c r="D545" s="6"/>
      <c r="E545" s="9"/>
      <c r="F545" s="9"/>
      <c r="G545" s="11"/>
      <c r="H545" s="5"/>
      <c r="I545" s="8"/>
      <c r="J545" s="8"/>
      <c r="Z545" s="6"/>
      <c r="AA545" s="6"/>
    </row>
    <row r="546" spans="2:27" ht="12.75" x14ac:dyDescent="0.2">
      <c r="B546" s="6"/>
      <c r="C546" s="6"/>
      <c r="D546" s="6"/>
      <c r="E546" s="9"/>
      <c r="F546" s="9"/>
      <c r="G546" s="11"/>
      <c r="H546" s="5"/>
      <c r="I546" s="8"/>
      <c r="J546" s="8"/>
      <c r="Z546" s="6"/>
      <c r="AA546" s="6"/>
    </row>
    <row r="547" spans="2:27" ht="12.75" x14ac:dyDescent="0.2">
      <c r="B547" s="6"/>
      <c r="C547" s="6"/>
      <c r="D547" s="6"/>
      <c r="E547" s="9"/>
      <c r="F547" s="9"/>
      <c r="G547" s="11"/>
      <c r="H547" s="5"/>
      <c r="I547" s="8"/>
      <c r="J547" s="8"/>
      <c r="Z547" s="6"/>
      <c r="AA547" s="6"/>
    </row>
    <row r="548" spans="2:27" ht="12.75" x14ac:dyDescent="0.2">
      <c r="B548" s="6"/>
      <c r="C548" s="6"/>
      <c r="D548" s="6"/>
      <c r="E548" s="9"/>
      <c r="F548" s="9"/>
      <c r="G548" s="11"/>
      <c r="H548" s="5"/>
      <c r="I548" s="8"/>
      <c r="J548" s="8"/>
      <c r="Z548" s="6"/>
      <c r="AA548" s="6"/>
    </row>
    <row r="549" spans="2:27" ht="12.75" x14ac:dyDescent="0.2">
      <c r="B549" s="6"/>
      <c r="C549" s="6"/>
      <c r="D549" s="6"/>
      <c r="E549" s="9"/>
      <c r="F549" s="9"/>
      <c r="G549" s="11"/>
      <c r="H549" s="5"/>
      <c r="I549" s="8"/>
      <c r="J549" s="8"/>
      <c r="Z549" s="6"/>
      <c r="AA549" s="6"/>
    </row>
    <row r="550" spans="2:27" ht="12.75" x14ac:dyDescent="0.2">
      <c r="B550" s="6"/>
      <c r="C550" s="6"/>
      <c r="D550" s="6"/>
      <c r="E550" s="9"/>
      <c r="F550" s="9"/>
      <c r="G550" s="11"/>
      <c r="H550" s="5"/>
      <c r="I550" s="8"/>
      <c r="J550" s="8"/>
      <c r="Z550" s="6"/>
      <c r="AA550" s="6"/>
    </row>
    <row r="551" spans="2:27" ht="12.75" x14ac:dyDescent="0.2">
      <c r="B551" s="6"/>
      <c r="C551" s="6"/>
      <c r="D551" s="6"/>
      <c r="E551" s="9"/>
      <c r="F551" s="9"/>
      <c r="G551" s="11"/>
      <c r="H551" s="5"/>
      <c r="I551" s="8"/>
      <c r="J551" s="8"/>
      <c r="Z551" s="6"/>
      <c r="AA551" s="6"/>
    </row>
    <row r="552" spans="2:27" ht="12.75" x14ac:dyDescent="0.2">
      <c r="B552" s="6"/>
      <c r="C552" s="6"/>
      <c r="D552" s="6"/>
      <c r="E552" s="9"/>
      <c r="F552" s="9"/>
      <c r="G552" s="11"/>
      <c r="H552" s="5"/>
      <c r="I552" s="8"/>
      <c r="J552" s="8"/>
      <c r="Z552" s="6"/>
      <c r="AA552" s="6"/>
    </row>
    <row r="553" spans="2:27" ht="12.75" x14ac:dyDescent="0.2">
      <c r="B553" s="6"/>
      <c r="C553" s="6"/>
      <c r="D553" s="6"/>
      <c r="E553" s="9"/>
      <c r="F553" s="9"/>
      <c r="G553" s="11"/>
      <c r="H553" s="5"/>
      <c r="I553" s="8"/>
      <c r="J553" s="8"/>
      <c r="Z553" s="6"/>
      <c r="AA553" s="6"/>
    </row>
    <row r="554" spans="2:27" ht="12.75" x14ac:dyDescent="0.2">
      <c r="B554" s="6"/>
      <c r="C554" s="6"/>
      <c r="D554" s="6"/>
      <c r="E554" s="9"/>
      <c r="F554" s="9"/>
      <c r="G554" s="11"/>
      <c r="H554" s="5"/>
      <c r="I554" s="8"/>
      <c r="J554" s="8"/>
      <c r="Z554" s="6"/>
      <c r="AA554" s="6"/>
    </row>
    <row r="555" spans="2:27" ht="12.75" x14ac:dyDescent="0.2">
      <c r="B555" s="6"/>
      <c r="C555" s="6"/>
      <c r="D555" s="6"/>
      <c r="E555" s="9"/>
      <c r="F555" s="9"/>
      <c r="G555" s="11"/>
      <c r="H555" s="5"/>
      <c r="I555" s="8"/>
      <c r="J555" s="8"/>
      <c r="Z555" s="6"/>
      <c r="AA555" s="6"/>
    </row>
    <row r="556" spans="2:27" ht="12.75" x14ac:dyDescent="0.2">
      <c r="B556" s="6"/>
      <c r="C556" s="6"/>
      <c r="D556" s="6"/>
      <c r="E556" s="9"/>
      <c r="F556" s="9"/>
      <c r="G556" s="11"/>
      <c r="H556" s="5"/>
      <c r="I556" s="8"/>
      <c r="J556" s="8"/>
      <c r="Z556" s="6"/>
      <c r="AA556" s="6"/>
    </row>
    <row r="557" spans="2:27" ht="12.75" x14ac:dyDescent="0.2">
      <c r="B557" s="6"/>
      <c r="C557" s="6"/>
      <c r="D557" s="6"/>
      <c r="E557" s="9"/>
      <c r="F557" s="9"/>
      <c r="G557" s="11"/>
      <c r="H557" s="5"/>
      <c r="I557" s="8"/>
      <c r="J557" s="8"/>
      <c r="Z557" s="6"/>
      <c r="AA557" s="6"/>
    </row>
    <row r="558" spans="2:27" ht="12.75" x14ac:dyDescent="0.2">
      <c r="B558" s="6"/>
      <c r="C558" s="6"/>
      <c r="D558" s="6"/>
      <c r="E558" s="9"/>
      <c r="F558" s="9"/>
      <c r="G558" s="11"/>
      <c r="H558" s="5"/>
      <c r="I558" s="8"/>
      <c r="J558" s="8"/>
      <c r="Z558" s="6"/>
      <c r="AA558" s="6"/>
    </row>
    <row r="559" spans="2:27" ht="12.75" x14ac:dyDescent="0.2">
      <c r="B559" s="6"/>
      <c r="C559" s="6"/>
      <c r="D559" s="6"/>
      <c r="E559" s="9"/>
      <c r="F559" s="9"/>
      <c r="G559" s="11"/>
      <c r="H559" s="5"/>
      <c r="I559" s="8"/>
      <c r="J559" s="8"/>
      <c r="Z559" s="6"/>
      <c r="AA559" s="6"/>
    </row>
    <row r="560" spans="2:27" ht="12.75" x14ac:dyDescent="0.2">
      <c r="B560" s="6"/>
      <c r="C560" s="6"/>
      <c r="D560" s="6"/>
      <c r="E560" s="9"/>
      <c r="F560" s="9"/>
      <c r="G560" s="11"/>
      <c r="H560" s="5"/>
      <c r="I560" s="8"/>
      <c r="J560" s="8"/>
      <c r="Z560" s="6"/>
      <c r="AA560" s="6"/>
    </row>
    <row r="561" spans="2:27" ht="12.75" x14ac:dyDescent="0.2">
      <c r="B561" s="6"/>
      <c r="C561" s="6"/>
      <c r="D561" s="6"/>
      <c r="E561" s="9"/>
      <c r="F561" s="9"/>
      <c r="G561" s="11"/>
      <c r="H561" s="5"/>
      <c r="I561" s="8"/>
      <c r="J561" s="8"/>
      <c r="Z561" s="6"/>
      <c r="AA561" s="6"/>
    </row>
    <row r="562" spans="2:27" ht="12.75" x14ac:dyDescent="0.2">
      <c r="B562" s="6"/>
      <c r="C562" s="6"/>
      <c r="D562" s="6"/>
      <c r="E562" s="9"/>
      <c r="F562" s="9"/>
      <c r="G562" s="11"/>
      <c r="H562" s="5"/>
      <c r="I562" s="8"/>
      <c r="J562" s="8"/>
      <c r="Z562" s="6"/>
      <c r="AA562" s="6"/>
    </row>
    <row r="563" spans="2:27" ht="12.75" x14ac:dyDescent="0.2">
      <c r="B563" s="6"/>
      <c r="C563" s="6"/>
      <c r="D563" s="6"/>
      <c r="E563" s="9"/>
      <c r="F563" s="9"/>
      <c r="G563" s="11"/>
      <c r="H563" s="5"/>
      <c r="I563" s="8"/>
      <c r="J563" s="8"/>
      <c r="Z563" s="6"/>
      <c r="AA563" s="6"/>
    </row>
    <row r="564" spans="2:27" ht="12.75" x14ac:dyDescent="0.2">
      <c r="B564" s="6"/>
      <c r="C564" s="6"/>
      <c r="D564" s="6"/>
      <c r="E564" s="9"/>
      <c r="F564" s="9"/>
      <c r="G564" s="11"/>
      <c r="H564" s="5"/>
      <c r="I564" s="8"/>
      <c r="J564" s="8"/>
      <c r="Z564" s="6"/>
      <c r="AA564" s="6"/>
    </row>
    <row r="565" spans="2:27" ht="12.75" x14ac:dyDescent="0.2">
      <c r="B565" s="6"/>
      <c r="C565" s="6"/>
      <c r="D565" s="6"/>
      <c r="E565" s="9"/>
      <c r="F565" s="9"/>
      <c r="G565" s="11"/>
      <c r="H565" s="5"/>
      <c r="I565" s="8"/>
      <c r="J565" s="8"/>
      <c r="Z565" s="6"/>
      <c r="AA565" s="6"/>
    </row>
    <row r="566" spans="2:27" ht="12.75" x14ac:dyDescent="0.2">
      <c r="B566" s="6"/>
      <c r="C566" s="6"/>
      <c r="D566" s="6"/>
      <c r="E566" s="9"/>
      <c r="F566" s="9"/>
      <c r="G566" s="11"/>
      <c r="H566" s="5"/>
      <c r="I566" s="8"/>
      <c r="J566" s="8"/>
      <c r="Z566" s="6"/>
      <c r="AA566" s="6"/>
    </row>
    <row r="567" spans="2:27" ht="12.75" x14ac:dyDescent="0.2">
      <c r="B567" s="6"/>
      <c r="C567" s="6"/>
      <c r="D567" s="6"/>
      <c r="E567" s="9"/>
      <c r="F567" s="9"/>
      <c r="G567" s="11"/>
      <c r="H567" s="5"/>
      <c r="I567" s="8"/>
      <c r="J567" s="8"/>
      <c r="Z567" s="6"/>
      <c r="AA567" s="6"/>
    </row>
    <row r="568" spans="2:27" ht="12.75" x14ac:dyDescent="0.2">
      <c r="B568" s="6"/>
      <c r="C568" s="6"/>
      <c r="D568" s="6"/>
      <c r="E568" s="9"/>
      <c r="F568" s="9"/>
      <c r="G568" s="11"/>
      <c r="H568" s="5"/>
      <c r="I568" s="8"/>
      <c r="J568" s="8"/>
      <c r="Z568" s="6"/>
      <c r="AA568" s="6"/>
    </row>
    <row r="569" spans="2:27" ht="12.75" x14ac:dyDescent="0.2">
      <c r="B569" s="6"/>
      <c r="C569" s="6"/>
      <c r="D569" s="6"/>
      <c r="E569" s="9"/>
      <c r="F569" s="9"/>
      <c r="G569" s="11"/>
      <c r="H569" s="5"/>
      <c r="I569" s="8"/>
      <c r="J569" s="8"/>
      <c r="Z569" s="6"/>
      <c r="AA569" s="6"/>
    </row>
    <row r="570" spans="2:27" ht="12.75" x14ac:dyDescent="0.2">
      <c r="B570" s="6"/>
      <c r="C570" s="6"/>
      <c r="D570" s="6"/>
      <c r="E570" s="9"/>
      <c r="F570" s="9"/>
      <c r="G570" s="11"/>
      <c r="H570" s="5"/>
      <c r="I570" s="8"/>
      <c r="J570" s="8"/>
      <c r="Z570" s="6"/>
      <c r="AA570" s="6"/>
    </row>
    <row r="571" spans="2:27" ht="12.75" x14ac:dyDescent="0.2">
      <c r="B571" s="6"/>
      <c r="C571" s="6"/>
      <c r="D571" s="6"/>
      <c r="E571" s="9"/>
      <c r="F571" s="9"/>
      <c r="G571" s="11"/>
      <c r="H571" s="5"/>
      <c r="I571" s="8"/>
      <c r="J571" s="8"/>
      <c r="Z571" s="6"/>
      <c r="AA571" s="6"/>
    </row>
    <row r="572" spans="2:27" ht="12.75" x14ac:dyDescent="0.2">
      <c r="B572" s="6"/>
      <c r="C572" s="6"/>
      <c r="D572" s="6"/>
      <c r="E572" s="9"/>
      <c r="F572" s="9"/>
      <c r="G572" s="11"/>
      <c r="H572" s="5"/>
      <c r="I572" s="8"/>
      <c r="J572" s="8"/>
      <c r="Z572" s="6"/>
      <c r="AA572" s="6"/>
    </row>
    <row r="573" spans="2:27" ht="12.75" x14ac:dyDescent="0.2">
      <c r="B573" s="6"/>
      <c r="C573" s="6"/>
      <c r="D573" s="6"/>
      <c r="E573" s="9"/>
      <c r="F573" s="9"/>
      <c r="G573" s="11"/>
      <c r="H573" s="5"/>
      <c r="I573" s="8"/>
      <c r="J573" s="8"/>
      <c r="Z573" s="6"/>
      <c r="AA573" s="6"/>
    </row>
    <row r="574" spans="2:27" ht="12.75" x14ac:dyDescent="0.2">
      <c r="B574" s="6"/>
      <c r="C574" s="6"/>
      <c r="D574" s="6"/>
      <c r="E574" s="9"/>
      <c r="F574" s="9"/>
      <c r="G574" s="11"/>
      <c r="H574" s="5"/>
      <c r="I574" s="8"/>
      <c r="J574" s="8"/>
      <c r="Z574" s="6"/>
      <c r="AA574" s="6"/>
    </row>
    <row r="575" spans="2:27" ht="12.75" x14ac:dyDescent="0.2">
      <c r="B575" s="6"/>
      <c r="C575" s="6"/>
      <c r="D575" s="6"/>
      <c r="E575" s="9"/>
      <c r="F575" s="9"/>
      <c r="G575" s="11"/>
      <c r="H575" s="5"/>
      <c r="I575" s="8"/>
      <c r="J575" s="8"/>
      <c r="Z575" s="6"/>
      <c r="AA575" s="6"/>
    </row>
    <row r="576" spans="2:27" ht="12.75" x14ac:dyDescent="0.2">
      <c r="B576" s="6"/>
      <c r="C576" s="6"/>
      <c r="D576" s="6"/>
      <c r="E576" s="9"/>
      <c r="F576" s="9"/>
      <c r="G576" s="11"/>
      <c r="H576" s="5"/>
      <c r="I576" s="8"/>
      <c r="J576" s="8"/>
      <c r="Z576" s="6"/>
      <c r="AA576" s="6"/>
    </row>
    <row r="577" spans="2:27" ht="12.75" x14ac:dyDescent="0.2">
      <c r="B577" s="6"/>
      <c r="C577" s="6"/>
      <c r="D577" s="6"/>
      <c r="E577" s="9"/>
      <c r="F577" s="9"/>
      <c r="G577" s="11"/>
      <c r="H577" s="5"/>
      <c r="I577" s="8"/>
      <c r="J577" s="8"/>
      <c r="Z577" s="6"/>
      <c r="AA577" s="6"/>
    </row>
    <row r="578" spans="2:27" ht="12.75" x14ac:dyDescent="0.2">
      <c r="B578" s="6"/>
      <c r="C578" s="6"/>
      <c r="D578" s="6"/>
      <c r="E578" s="9"/>
      <c r="F578" s="9"/>
      <c r="G578" s="11"/>
      <c r="H578" s="5"/>
      <c r="I578" s="8"/>
      <c r="J578" s="8"/>
      <c r="Z578" s="6"/>
      <c r="AA578" s="6"/>
    </row>
    <row r="579" spans="2:27" ht="12.75" x14ac:dyDescent="0.2">
      <c r="B579" s="6"/>
      <c r="C579" s="6"/>
      <c r="D579" s="6"/>
      <c r="E579" s="9"/>
      <c r="F579" s="9"/>
      <c r="G579" s="11"/>
      <c r="H579" s="5"/>
      <c r="I579" s="8"/>
      <c r="J579" s="8"/>
      <c r="Z579" s="6"/>
      <c r="AA579" s="6"/>
    </row>
    <row r="580" spans="2:27" ht="12.75" x14ac:dyDescent="0.2">
      <c r="B580" s="6"/>
      <c r="C580" s="6"/>
      <c r="D580" s="6"/>
      <c r="E580" s="9"/>
      <c r="F580" s="9"/>
      <c r="G580" s="11"/>
      <c r="H580" s="5"/>
      <c r="I580" s="8"/>
      <c r="J580" s="8"/>
      <c r="Z580" s="6"/>
      <c r="AA580" s="6"/>
    </row>
    <row r="581" spans="2:27" ht="12.75" x14ac:dyDescent="0.2">
      <c r="B581" s="6"/>
      <c r="C581" s="6"/>
      <c r="D581" s="6"/>
      <c r="E581" s="9"/>
      <c r="F581" s="9"/>
      <c r="G581" s="11"/>
      <c r="H581" s="5"/>
      <c r="I581" s="8"/>
      <c r="J581" s="8"/>
      <c r="Z581" s="6"/>
      <c r="AA581" s="6"/>
    </row>
    <row r="582" spans="2:27" ht="12.75" x14ac:dyDescent="0.2">
      <c r="B582" s="6"/>
      <c r="C582" s="6"/>
      <c r="D582" s="6"/>
      <c r="E582" s="9"/>
      <c r="F582" s="9"/>
      <c r="G582" s="11"/>
      <c r="H582" s="5"/>
      <c r="I582" s="8"/>
      <c r="J582" s="8"/>
      <c r="Z582" s="6"/>
      <c r="AA582" s="6"/>
    </row>
    <row r="583" spans="2:27" ht="12.75" x14ac:dyDescent="0.2">
      <c r="B583" s="6"/>
      <c r="C583" s="6"/>
      <c r="D583" s="6"/>
      <c r="E583" s="9"/>
      <c r="F583" s="9"/>
      <c r="G583" s="11"/>
      <c r="H583" s="5"/>
      <c r="I583" s="8"/>
      <c r="J583" s="8"/>
      <c r="Z583" s="6"/>
      <c r="AA583" s="6"/>
    </row>
    <row r="584" spans="2:27" ht="12.75" x14ac:dyDescent="0.2">
      <c r="B584" s="6"/>
      <c r="C584" s="6"/>
      <c r="D584" s="6"/>
      <c r="E584" s="9"/>
      <c r="F584" s="9"/>
      <c r="G584" s="11"/>
      <c r="H584" s="5"/>
      <c r="I584" s="8"/>
      <c r="J584" s="8"/>
      <c r="Z584" s="6"/>
      <c r="AA584" s="6"/>
    </row>
    <row r="585" spans="2:27" ht="12.75" x14ac:dyDescent="0.2">
      <c r="B585" s="6"/>
      <c r="C585" s="6"/>
      <c r="D585" s="6"/>
      <c r="E585" s="9"/>
      <c r="F585" s="9"/>
      <c r="G585" s="11"/>
      <c r="H585" s="5"/>
      <c r="I585" s="8"/>
      <c r="J585" s="8"/>
      <c r="Z585" s="6"/>
      <c r="AA585" s="6"/>
    </row>
    <row r="586" spans="2:27" ht="12.75" x14ac:dyDescent="0.2">
      <c r="B586" s="6"/>
      <c r="C586" s="6"/>
      <c r="D586" s="6"/>
      <c r="E586" s="9"/>
      <c r="F586" s="9"/>
      <c r="G586" s="11"/>
      <c r="H586" s="5"/>
      <c r="I586" s="8"/>
      <c r="J586" s="8"/>
      <c r="Z586" s="6"/>
      <c r="AA586" s="6"/>
    </row>
    <row r="587" spans="2:27" ht="12.75" x14ac:dyDescent="0.2">
      <c r="B587" s="6"/>
      <c r="C587" s="6"/>
      <c r="D587" s="6"/>
      <c r="E587" s="9"/>
      <c r="F587" s="9"/>
      <c r="G587" s="11"/>
      <c r="H587" s="5"/>
      <c r="I587" s="8"/>
      <c r="J587" s="8"/>
      <c r="Z587" s="6"/>
      <c r="AA587" s="6"/>
    </row>
    <row r="588" spans="2:27" ht="12.75" x14ac:dyDescent="0.2">
      <c r="B588" s="6"/>
      <c r="C588" s="6"/>
      <c r="D588" s="6"/>
      <c r="E588" s="9"/>
      <c r="F588" s="9"/>
      <c r="G588" s="11"/>
      <c r="H588" s="5"/>
      <c r="I588" s="8"/>
      <c r="J588" s="8"/>
      <c r="Z588" s="6"/>
      <c r="AA588" s="6"/>
    </row>
    <row r="589" spans="2:27" ht="12.75" x14ac:dyDescent="0.2">
      <c r="B589" s="6"/>
      <c r="C589" s="6"/>
      <c r="D589" s="6"/>
      <c r="E589" s="9"/>
      <c r="F589" s="9"/>
      <c r="G589" s="11"/>
      <c r="H589" s="5"/>
      <c r="I589" s="8"/>
      <c r="J589" s="8"/>
      <c r="Z589" s="6"/>
      <c r="AA589" s="6"/>
    </row>
    <row r="590" spans="2:27" ht="12.75" x14ac:dyDescent="0.2">
      <c r="B590" s="6"/>
      <c r="C590" s="6"/>
      <c r="D590" s="6"/>
      <c r="E590" s="9"/>
      <c r="F590" s="9"/>
      <c r="G590" s="11"/>
      <c r="H590" s="5"/>
      <c r="I590" s="8"/>
      <c r="J590" s="8"/>
      <c r="Z590" s="6"/>
      <c r="AA590" s="6"/>
    </row>
    <row r="591" spans="2:27" ht="12.75" x14ac:dyDescent="0.2">
      <c r="B591" s="6"/>
      <c r="C591" s="6"/>
      <c r="D591" s="6"/>
      <c r="E591" s="9"/>
      <c r="F591" s="9"/>
      <c r="G591" s="11"/>
      <c r="H591" s="5"/>
      <c r="I591" s="8"/>
      <c r="J591" s="8"/>
      <c r="Z591" s="6"/>
      <c r="AA591" s="6"/>
    </row>
    <row r="592" spans="2:27" ht="12.75" x14ac:dyDescent="0.2">
      <c r="B592" s="6"/>
      <c r="C592" s="6"/>
      <c r="D592" s="6"/>
      <c r="E592" s="9"/>
      <c r="F592" s="9"/>
      <c r="G592" s="11"/>
      <c r="H592" s="5"/>
      <c r="I592" s="8"/>
      <c r="J592" s="8"/>
      <c r="Z592" s="6"/>
      <c r="AA592" s="6"/>
    </row>
    <row r="593" spans="2:27" ht="12.75" x14ac:dyDescent="0.2">
      <c r="B593" s="6"/>
      <c r="C593" s="6"/>
      <c r="D593" s="6"/>
      <c r="E593" s="9"/>
      <c r="F593" s="9"/>
      <c r="G593" s="11"/>
      <c r="H593" s="5"/>
      <c r="I593" s="8"/>
      <c r="J593" s="8"/>
      <c r="Z593" s="6"/>
      <c r="AA593" s="6"/>
    </row>
    <row r="594" spans="2:27" ht="12.75" x14ac:dyDescent="0.2">
      <c r="B594" s="6"/>
      <c r="C594" s="6"/>
      <c r="D594" s="6"/>
      <c r="E594" s="9"/>
      <c r="F594" s="9"/>
      <c r="G594" s="11"/>
      <c r="H594" s="5"/>
      <c r="I594" s="8"/>
      <c r="J594" s="8"/>
      <c r="Z594" s="6"/>
      <c r="AA594" s="6"/>
    </row>
    <row r="595" spans="2:27" ht="12.75" x14ac:dyDescent="0.2">
      <c r="B595" s="6"/>
      <c r="C595" s="6"/>
      <c r="D595" s="6"/>
      <c r="E595" s="9"/>
      <c r="F595" s="9"/>
      <c r="G595" s="11"/>
      <c r="H595" s="5"/>
      <c r="I595" s="8"/>
      <c r="J595" s="8"/>
      <c r="Z595" s="6"/>
      <c r="AA595" s="6"/>
    </row>
    <row r="596" spans="2:27" ht="12.75" x14ac:dyDescent="0.2">
      <c r="B596" s="6"/>
      <c r="C596" s="6"/>
      <c r="D596" s="6"/>
      <c r="E596" s="9"/>
      <c r="F596" s="9"/>
      <c r="G596" s="11"/>
      <c r="H596" s="5"/>
      <c r="I596" s="8"/>
      <c r="J596" s="8"/>
      <c r="Z596" s="6"/>
      <c r="AA596" s="6"/>
    </row>
    <row r="597" spans="2:27" ht="12.75" x14ac:dyDescent="0.2">
      <c r="B597" s="6"/>
      <c r="C597" s="6"/>
      <c r="D597" s="6"/>
      <c r="E597" s="9"/>
      <c r="F597" s="9"/>
      <c r="G597" s="11"/>
      <c r="H597" s="5"/>
      <c r="I597" s="8"/>
      <c r="J597" s="8"/>
      <c r="Z597" s="6"/>
      <c r="AA597" s="6"/>
    </row>
    <row r="598" spans="2:27" ht="12.75" x14ac:dyDescent="0.2">
      <c r="B598" s="6"/>
      <c r="C598" s="6"/>
      <c r="D598" s="6"/>
      <c r="E598" s="9"/>
      <c r="F598" s="9"/>
      <c r="G598" s="11"/>
      <c r="H598" s="5"/>
      <c r="I598" s="8"/>
      <c r="J598" s="8"/>
      <c r="Z598" s="6"/>
      <c r="AA598" s="6"/>
    </row>
    <row r="599" spans="2:27" ht="12.75" x14ac:dyDescent="0.2">
      <c r="B599" s="6"/>
      <c r="C599" s="6"/>
      <c r="D599" s="6"/>
      <c r="E599" s="9"/>
      <c r="F599" s="9"/>
      <c r="G599" s="11"/>
      <c r="H599" s="5"/>
      <c r="I599" s="8"/>
      <c r="J599" s="8"/>
      <c r="Z599" s="6"/>
      <c r="AA599" s="6"/>
    </row>
    <row r="600" spans="2:27" ht="12.75" x14ac:dyDescent="0.2">
      <c r="B600" s="6"/>
      <c r="C600" s="6"/>
      <c r="D600" s="6"/>
      <c r="E600" s="9"/>
      <c r="F600" s="9"/>
      <c r="G600" s="11"/>
      <c r="H600" s="5"/>
      <c r="I600" s="8"/>
      <c r="J600" s="8"/>
      <c r="Z600" s="6"/>
      <c r="AA600" s="6"/>
    </row>
    <row r="601" spans="2:27" ht="12.75" x14ac:dyDescent="0.2">
      <c r="B601" s="6"/>
      <c r="C601" s="6"/>
      <c r="D601" s="6"/>
      <c r="E601" s="9"/>
      <c r="F601" s="9"/>
      <c r="G601" s="11"/>
      <c r="H601" s="5"/>
      <c r="I601" s="8"/>
      <c r="J601" s="8"/>
      <c r="Z601" s="6"/>
      <c r="AA601" s="6"/>
    </row>
    <row r="602" spans="2:27" ht="12.75" x14ac:dyDescent="0.2">
      <c r="B602" s="6"/>
      <c r="C602" s="6"/>
      <c r="D602" s="6"/>
      <c r="E602" s="9"/>
      <c r="F602" s="9"/>
      <c r="G602" s="11"/>
      <c r="H602" s="5"/>
      <c r="I602" s="8"/>
      <c r="J602" s="8"/>
      <c r="Z602" s="6"/>
      <c r="AA602" s="6"/>
    </row>
    <row r="603" spans="2:27" ht="12.75" x14ac:dyDescent="0.2">
      <c r="B603" s="6"/>
      <c r="C603" s="6"/>
      <c r="D603" s="6"/>
      <c r="E603" s="9"/>
      <c r="F603" s="9"/>
      <c r="G603" s="11"/>
      <c r="H603" s="5"/>
      <c r="I603" s="8"/>
      <c r="J603" s="8"/>
      <c r="Z603" s="6"/>
      <c r="AA603" s="6"/>
    </row>
    <row r="604" spans="2:27" ht="12.75" x14ac:dyDescent="0.2">
      <c r="B604" s="6"/>
      <c r="C604" s="6"/>
      <c r="D604" s="6"/>
      <c r="E604" s="9"/>
      <c r="F604" s="9"/>
      <c r="G604" s="11"/>
      <c r="H604" s="5"/>
      <c r="I604" s="8"/>
      <c r="J604" s="8"/>
      <c r="Z604" s="6"/>
      <c r="AA604" s="6"/>
    </row>
    <row r="605" spans="2:27" ht="12.75" x14ac:dyDescent="0.2">
      <c r="B605" s="6"/>
      <c r="C605" s="6"/>
      <c r="D605" s="6"/>
      <c r="E605" s="9"/>
      <c r="F605" s="9"/>
      <c r="G605" s="11"/>
      <c r="H605" s="5"/>
      <c r="I605" s="8"/>
      <c r="J605" s="8"/>
      <c r="Z605" s="6"/>
      <c r="AA605" s="6"/>
    </row>
    <row r="606" spans="2:27" ht="12.75" x14ac:dyDescent="0.2">
      <c r="B606" s="6"/>
      <c r="C606" s="6"/>
      <c r="D606" s="6"/>
      <c r="E606" s="9"/>
      <c r="F606" s="9"/>
      <c r="G606" s="11"/>
      <c r="H606" s="5"/>
      <c r="I606" s="8"/>
      <c r="J606" s="8"/>
      <c r="Z606" s="6"/>
      <c r="AA606" s="6"/>
    </row>
    <row r="607" spans="2:27" ht="12.75" x14ac:dyDescent="0.2">
      <c r="B607" s="6"/>
      <c r="C607" s="6"/>
      <c r="D607" s="6"/>
      <c r="E607" s="9"/>
      <c r="F607" s="9"/>
      <c r="G607" s="11"/>
      <c r="H607" s="5"/>
      <c r="I607" s="8"/>
      <c r="J607" s="8"/>
      <c r="Z607" s="6"/>
      <c r="AA607" s="6"/>
    </row>
    <row r="608" spans="2:27" ht="12.75" x14ac:dyDescent="0.2">
      <c r="B608" s="6"/>
      <c r="C608" s="6"/>
      <c r="D608" s="6"/>
      <c r="E608" s="9"/>
      <c r="F608" s="9"/>
      <c r="G608" s="11"/>
      <c r="H608" s="5"/>
      <c r="I608" s="8"/>
      <c r="J608" s="8"/>
      <c r="Z608" s="6"/>
      <c r="AA608" s="6"/>
    </row>
    <row r="609" spans="2:27" ht="12.75" x14ac:dyDescent="0.2">
      <c r="B609" s="6"/>
      <c r="C609" s="6"/>
      <c r="D609" s="6"/>
      <c r="E609" s="9"/>
      <c r="F609" s="9"/>
      <c r="G609" s="11"/>
      <c r="H609" s="5"/>
      <c r="I609" s="8"/>
      <c r="J609" s="8"/>
      <c r="Z609" s="6"/>
      <c r="AA609" s="6"/>
    </row>
    <row r="610" spans="2:27" ht="12.75" x14ac:dyDescent="0.2">
      <c r="B610" s="6"/>
      <c r="C610" s="6"/>
      <c r="D610" s="6"/>
      <c r="E610" s="9"/>
      <c r="F610" s="9"/>
      <c r="G610" s="11"/>
      <c r="H610" s="5"/>
      <c r="I610" s="8"/>
      <c r="J610" s="8"/>
      <c r="Z610" s="6"/>
      <c r="AA610" s="6"/>
    </row>
    <row r="611" spans="2:27" ht="12.75" x14ac:dyDescent="0.2">
      <c r="B611" s="6"/>
      <c r="C611" s="6"/>
      <c r="D611" s="6"/>
      <c r="E611" s="9"/>
      <c r="F611" s="9"/>
      <c r="G611" s="11"/>
      <c r="H611" s="5"/>
      <c r="I611" s="8"/>
      <c r="J611" s="8"/>
      <c r="Z611" s="6"/>
      <c r="AA611" s="6"/>
    </row>
    <row r="612" spans="2:27" ht="12.75" x14ac:dyDescent="0.2">
      <c r="B612" s="6"/>
      <c r="C612" s="6"/>
      <c r="D612" s="6"/>
      <c r="E612" s="9"/>
      <c r="F612" s="9"/>
      <c r="G612" s="11"/>
      <c r="H612" s="5"/>
      <c r="I612" s="8"/>
      <c r="J612" s="8"/>
      <c r="Z612" s="6"/>
      <c r="AA612" s="6"/>
    </row>
    <row r="613" spans="2:27" ht="12.75" x14ac:dyDescent="0.2">
      <c r="B613" s="6"/>
      <c r="C613" s="6"/>
      <c r="D613" s="6"/>
      <c r="E613" s="9"/>
      <c r="F613" s="9"/>
      <c r="G613" s="11"/>
      <c r="H613" s="5"/>
      <c r="I613" s="8"/>
      <c r="J613" s="8"/>
      <c r="Z613" s="6"/>
      <c r="AA613" s="6"/>
    </row>
    <row r="614" spans="2:27" ht="12.75" x14ac:dyDescent="0.2">
      <c r="B614" s="6"/>
      <c r="C614" s="6"/>
      <c r="D614" s="6"/>
      <c r="E614" s="9"/>
      <c r="F614" s="9"/>
      <c r="G614" s="11"/>
      <c r="H614" s="5"/>
      <c r="I614" s="8"/>
      <c r="J614" s="8"/>
      <c r="Z614" s="6"/>
      <c r="AA614" s="6"/>
    </row>
    <row r="615" spans="2:27" ht="12.75" x14ac:dyDescent="0.2">
      <c r="B615" s="6"/>
      <c r="C615" s="6"/>
      <c r="D615" s="6"/>
      <c r="E615" s="9"/>
      <c r="F615" s="9"/>
      <c r="G615" s="11"/>
      <c r="H615" s="5"/>
      <c r="I615" s="8"/>
      <c r="J615" s="8"/>
      <c r="Z615" s="6"/>
      <c r="AA615" s="6"/>
    </row>
    <row r="616" spans="2:27" ht="12.75" x14ac:dyDescent="0.2">
      <c r="B616" s="6"/>
      <c r="C616" s="6"/>
      <c r="D616" s="6"/>
      <c r="E616" s="9"/>
      <c r="F616" s="9"/>
      <c r="G616" s="11"/>
      <c r="H616" s="5"/>
      <c r="I616" s="8"/>
      <c r="J616" s="8"/>
      <c r="Z616" s="6"/>
      <c r="AA616" s="6"/>
    </row>
    <row r="617" spans="2:27" ht="12.75" x14ac:dyDescent="0.2">
      <c r="B617" s="6"/>
      <c r="C617" s="6"/>
      <c r="D617" s="6"/>
      <c r="E617" s="9"/>
      <c r="F617" s="9"/>
      <c r="G617" s="11"/>
      <c r="H617" s="5"/>
      <c r="I617" s="8"/>
      <c r="J617" s="8"/>
      <c r="Z617" s="6"/>
      <c r="AA617" s="6"/>
    </row>
    <row r="618" spans="2:27" ht="12.75" x14ac:dyDescent="0.2">
      <c r="B618" s="6"/>
      <c r="C618" s="6"/>
      <c r="D618" s="6"/>
      <c r="E618" s="9"/>
      <c r="F618" s="9"/>
      <c r="G618" s="11"/>
      <c r="H618" s="5"/>
      <c r="I618" s="8"/>
      <c r="J618" s="8"/>
      <c r="Z618" s="6"/>
      <c r="AA618" s="6"/>
    </row>
    <row r="619" spans="2:27" ht="12.75" x14ac:dyDescent="0.2">
      <c r="B619" s="6"/>
      <c r="C619" s="6"/>
      <c r="D619" s="6"/>
      <c r="E619" s="9"/>
      <c r="F619" s="9"/>
      <c r="G619" s="11"/>
      <c r="H619" s="5"/>
      <c r="I619" s="8"/>
      <c r="J619" s="8"/>
      <c r="Z619" s="6"/>
      <c r="AA619" s="6"/>
    </row>
    <row r="620" spans="2:27" ht="12.75" x14ac:dyDescent="0.2">
      <c r="B620" s="6"/>
      <c r="C620" s="6"/>
      <c r="D620" s="6"/>
      <c r="E620" s="9"/>
      <c r="F620" s="9"/>
      <c r="G620" s="11"/>
      <c r="H620" s="5"/>
      <c r="I620" s="8"/>
      <c r="J620" s="8"/>
      <c r="Z620" s="6"/>
      <c r="AA620" s="6"/>
    </row>
    <row r="621" spans="2:27" ht="12.75" x14ac:dyDescent="0.2">
      <c r="B621" s="6"/>
      <c r="C621" s="6"/>
      <c r="D621" s="6"/>
      <c r="E621" s="9"/>
      <c r="F621" s="9"/>
      <c r="G621" s="11"/>
      <c r="H621" s="5"/>
      <c r="I621" s="8"/>
      <c r="J621" s="8"/>
      <c r="Z621" s="6"/>
      <c r="AA621" s="6"/>
    </row>
    <row r="622" spans="2:27" ht="12.75" x14ac:dyDescent="0.2">
      <c r="B622" s="6"/>
      <c r="C622" s="6"/>
      <c r="D622" s="6"/>
      <c r="E622" s="9"/>
      <c r="F622" s="9"/>
      <c r="G622" s="11"/>
      <c r="H622" s="5"/>
      <c r="I622" s="8"/>
      <c r="J622" s="8"/>
      <c r="Z622" s="6"/>
      <c r="AA622" s="6"/>
    </row>
    <row r="623" spans="2:27" ht="12.75" x14ac:dyDescent="0.2">
      <c r="B623" s="6"/>
      <c r="C623" s="6"/>
      <c r="D623" s="6"/>
      <c r="E623" s="9"/>
      <c r="F623" s="9"/>
      <c r="G623" s="11"/>
      <c r="H623" s="5"/>
      <c r="I623" s="8"/>
      <c r="J623" s="8"/>
      <c r="Z623" s="6"/>
      <c r="AA623" s="6"/>
    </row>
    <row r="624" spans="2:27" ht="12.75" x14ac:dyDescent="0.2">
      <c r="B624" s="6"/>
      <c r="C624" s="6"/>
      <c r="D624" s="6"/>
      <c r="E624" s="9"/>
      <c r="F624" s="9"/>
      <c r="G624" s="11"/>
      <c r="H624" s="5"/>
      <c r="I624" s="8"/>
      <c r="J624" s="8"/>
      <c r="Z624" s="6"/>
      <c r="AA624" s="6"/>
    </row>
    <row r="625" spans="2:27" ht="12.75" x14ac:dyDescent="0.2">
      <c r="B625" s="6"/>
      <c r="C625" s="6"/>
      <c r="D625" s="6"/>
      <c r="E625" s="9"/>
      <c r="F625" s="9"/>
      <c r="G625" s="11"/>
      <c r="H625" s="5"/>
      <c r="I625" s="8"/>
      <c r="J625" s="8"/>
      <c r="Z625" s="6"/>
      <c r="AA625" s="6"/>
    </row>
    <row r="626" spans="2:27" ht="12.75" x14ac:dyDescent="0.2">
      <c r="B626" s="6"/>
      <c r="C626" s="6"/>
      <c r="D626" s="6"/>
      <c r="E626" s="9"/>
      <c r="F626" s="9"/>
      <c r="G626" s="11"/>
      <c r="H626" s="5"/>
      <c r="I626" s="8"/>
      <c r="J626" s="8"/>
      <c r="Z626" s="6"/>
      <c r="AA626" s="6"/>
    </row>
    <row r="627" spans="2:27" ht="12.75" x14ac:dyDescent="0.2">
      <c r="B627" s="6"/>
      <c r="C627" s="6"/>
      <c r="D627" s="6"/>
      <c r="E627" s="9"/>
      <c r="F627" s="9"/>
      <c r="G627" s="11"/>
      <c r="H627" s="5"/>
      <c r="I627" s="8"/>
      <c r="J627" s="8"/>
      <c r="Z627" s="6"/>
      <c r="AA627" s="6"/>
    </row>
    <row r="628" spans="2:27" ht="12.75" x14ac:dyDescent="0.2">
      <c r="B628" s="6"/>
      <c r="C628" s="6"/>
      <c r="D628" s="6"/>
      <c r="E628" s="9"/>
      <c r="F628" s="9"/>
      <c r="G628" s="11"/>
      <c r="H628" s="5"/>
      <c r="I628" s="8"/>
      <c r="J628" s="8"/>
      <c r="Z628" s="6"/>
      <c r="AA628" s="6"/>
    </row>
    <row r="629" spans="2:27" ht="12.75" x14ac:dyDescent="0.2">
      <c r="B629" s="6"/>
      <c r="C629" s="6"/>
      <c r="D629" s="6"/>
      <c r="E629" s="9"/>
      <c r="F629" s="9"/>
      <c r="G629" s="11"/>
      <c r="H629" s="5"/>
      <c r="I629" s="8"/>
      <c r="J629" s="8"/>
      <c r="Z629" s="6"/>
      <c r="AA629" s="6"/>
    </row>
    <row r="630" spans="2:27" ht="12.75" x14ac:dyDescent="0.2">
      <c r="B630" s="6"/>
      <c r="C630" s="6"/>
      <c r="D630" s="6"/>
      <c r="E630" s="9"/>
      <c r="F630" s="9"/>
      <c r="G630" s="11"/>
      <c r="H630" s="5"/>
      <c r="I630" s="8"/>
      <c r="J630" s="8"/>
      <c r="Z630" s="6"/>
      <c r="AA630" s="6"/>
    </row>
    <row r="631" spans="2:27" ht="12.75" x14ac:dyDescent="0.2">
      <c r="B631" s="6"/>
      <c r="C631" s="6"/>
      <c r="D631" s="6"/>
      <c r="E631" s="9"/>
      <c r="F631" s="9"/>
      <c r="G631" s="11"/>
      <c r="H631" s="5"/>
      <c r="I631" s="8"/>
      <c r="J631" s="8"/>
      <c r="Z631" s="6"/>
      <c r="AA631" s="6"/>
    </row>
    <row r="632" spans="2:27" ht="12.75" x14ac:dyDescent="0.2">
      <c r="B632" s="6"/>
      <c r="C632" s="6"/>
      <c r="D632" s="6"/>
      <c r="E632" s="9"/>
      <c r="F632" s="9"/>
      <c r="G632" s="11"/>
      <c r="H632" s="5"/>
      <c r="I632" s="8"/>
      <c r="J632" s="8"/>
      <c r="Z632" s="6"/>
      <c r="AA632" s="6"/>
    </row>
    <row r="633" spans="2:27" ht="12.75" x14ac:dyDescent="0.2">
      <c r="B633" s="6"/>
      <c r="C633" s="6"/>
      <c r="D633" s="6"/>
      <c r="E633" s="9"/>
      <c r="F633" s="9"/>
      <c r="G633" s="11"/>
      <c r="H633" s="5"/>
      <c r="I633" s="8"/>
      <c r="J633" s="8"/>
      <c r="Z633" s="6"/>
      <c r="AA633" s="6"/>
    </row>
    <row r="634" spans="2:27" ht="12.75" x14ac:dyDescent="0.2">
      <c r="B634" s="6"/>
      <c r="C634" s="6"/>
      <c r="D634" s="6"/>
      <c r="E634" s="9"/>
      <c r="F634" s="9"/>
      <c r="G634" s="11"/>
      <c r="H634" s="5"/>
      <c r="I634" s="8"/>
      <c r="J634" s="8"/>
      <c r="Z634" s="6"/>
      <c r="AA634" s="6"/>
    </row>
    <row r="635" spans="2:27" ht="12.75" x14ac:dyDescent="0.2">
      <c r="B635" s="6"/>
      <c r="C635" s="6"/>
      <c r="D635" s="6"/>
      <c r="E635" s="9"/>
      <c r="F635" s="9"/>
      <c r="G635" s="11"/>
      <c r="H635" s="5"/>
      <c r="I635" s="8"/>
      <c r="J635" s="8"/>
      <c r="Z635" s="6"/>
      <c r="AA635" s="6"/>
    </row>
    <row r="636" spans="2:27" ht="12.75" x14ac:dyDescent="0.2">
      <c r="B636" s="6"/>
      <c r="C636" s="6"/>
      <c r="D636" s="6"/>
      <c r="E636" s="9"/>
      <c r="F636" s="9"/>
      <c r="G636" s="11"/>
      <c r="H636" s="5"/>
      <c r="I636" s="8"/>
      <c r="J636" s="8"/>
      <c r="Z636" s="6"/>
      <c r="AA636" s="6"/>
    </row>
    <row r="637" spans="2:27" ht="12.75" x14ac:dyDescent="0.2">
      <c r="B637" s="6"/>
      <c r="C637" s="6"/>
      <c r="D637" s="6"/>
      <c r="E637" s="9"/>
      <c r="F637" s="9"/>
      <c r="G637" s="11"/>
      <c r="H637" s="5"/>
      <c r="I637" s="8"/>
      <c r="J637" s="8"/>
      <c r="Z637" s="6"/>
      <c r="AA637" s="6"/>
    </row>
    <row r="638" spans="2:27" ht="12.75" x14ac:dyDescent="0.2">
      <c r="B638" s="6"/>
      <c r="C638" s="6"/>
      <c r="D638" s="6"/>
      <c r="E638" s="9"/>
      <c r="F638" s="9"/>
      <c r="G638" s="11"/>
      <c r="H638" s="5"/>
      <c r="I638" s="8"/>
      <c r="J638" s="8"/>
      <c r="Z638" s="6"/>
      <c r="AA638" s="6"/>
    </row>
    <row r="639" spans="2:27" ht="12.75" x14ac:dyDescent="0.2">
      <c r="B639" s="6"/>
      <c r="C639" s="6"/>
      <c r="D639" s="6"/>
      <c r="E639" s="9"/>
      <c r="F639" s="9"/>
      <c r="G639" s="11"/>
      <c r="H639" s="5"/>
      <c r="I639" s="8"/>
      <c r="J639" s="8"/>
      <c r="Z639" s="6"/>
      <c r="AA639" s="6"/>
    </row>
    <row r="640" spans="2:27" ht="12.75" x14ac:dyDescent="0.2">
      <c r="B640" s="6"/>
      <c r="C640" s="6"/>
      <c r="D640" s="6"/>
      <c r="E640" s="9"/>
      <c r="F640" s="9"/>
      <c r="G640" s="11"/>
      <c r="H640" s="5"/>
      <c r="I640" s="8"/>
      <c r="J640" s="8"/>
      <c r="Z640" s="6"/>
      <c r="AA640" s="6"/>
    </row>
    <row r="641" spans="2:27" ht="12.75" x14ac:dyDescent="0.2">
      <c r="B641" s="6"/>
      <c r="C641" s="6"/>
      <c r="D641" s="6"/>
      <c r="E641" s="9"/>
      <c r="F641" s="9"/>
      <c r="G641" s="11"/>
      <c r="H641" s="5"/>
      <c r="I641" s="8"/>
      <c r="J641" s="8"/>
      <c r="Z641" s="6"/>
      <c r="AA641" s="6"/>
    </row>
    <row r="642" spans="2:27" ht="12.75" x14ac:dyDescent="0.2">
      <c r="B642" s="6"/>
      <c r="C642" s="6"/>
      <c r="D642" s="6"/>
      <c r="E642" s="9"/>
      <c r="F642" s="9"/>
      <c r="G642" s="11"/>
      <c r="H642" s="5"/>
      <c r="I642" s="8"/>
      <c r="J642" s="8"/>
      <c r="Z642" s="6"/>
      <c r="AA642" s="6"/>
    </row>
    <row r="643" spans="2:27" ht="12.75" x14ac:dyDescent="0.2">
      <c r="B643" s="6"/>
      <c r="C643" s="6"/>
      <c r="D643" s="6"/>
      <c r="E643" s="9"/>
      <c r="F643" s="9"/>
      <c r="G643" s="11"/>
      <c r="H643" s="5"/>
      <c r="I643" s="8"/>
      <c r="J643" s="8"/>
      <c r="Z643" s="6"/>
      <c r="AA643" s="6"/>
    </row>
    <row r="644" spans="2:27" ht="12.75" x14ac:dyDescent="0.2">
      <c r="B644" s="6"/>
      <c r="C644" s="6"/>
      <c r="D644" s="6"/>
      <c r="E644" s="9"/>
      <c r="F644" s="9"/>
      <c r="G644" s="11"/>
      <c r="H644" s="5"/>
      <c r="I644" s="8"/>
      <c r="J644" s="8"/>
      <c r="Z644" s="6"/>
      <c r="AA644" s="6"/>
    </row>
    <row r="645" spans="2:27" ht="12.75" x14ac:dyDescent="0.2">
      <c r="B645" s="6"/>
      <c r="C645" s="6"/>
      <c r="D645" s="6"/>
      <c r="E645" s="9"/>
      <c r="F645" s="9"/>
      <c r="G645" s="11"/>
      <c r="H645" s="5"/>
      <c r="I645" s="8"/>
      <c r="J645" s="8"/>
      <c r="Z645" s="6"/>
      <c r="AA645" s="6"/>
    </row>
    <row r="646" spans="2:27" ht="12.75" x14ac:dyDescent="0.2">
      <c r="B646" s="6"/>
      <c r="C646" s="6"/>
      <c r="D646" s="6"/>
      <c r="E646" s="9"/>
      <c r="F646" s="9"/>
      <c r="G646" s="11"/>
      <c r="H646" s="5"/>
      <c r="I646" s="8"/>
      <c r="J646" s="8"/>
      <c r="Z646" s="6"/>
      <c r="AA646" s="6"/>
    </row>
    <row r="647" spans="2:27" ht="12.75" x14ac:dyDescent="0.2">
      <c r="B647" s="6"/>
      <c r="C647" s="6"/>
      <c r="D647" s="6"/>
      <c r="E647" s="9"/>
      <c r="F647" s="9"/>
      <c r="G647" s="11"/>
      <c r="H647" s="5"/>
      <c r="I647" s="8"/>
      <c r="J647" s="8"/>
      <c r="Z647" s="6"/>
      <c r="AA647" s="6"/>
    </row>
    <row r="648" spans="2:27" ht="12.75" x14ac:dyDescent="0.2">
      <c r="B648" s="6"/>
      <c r="C648" s="6"/>
      <c r="D648" s="6"/>
      <c r="E648" s="9"/>
      <c r="F648" s="9"/>
      <c r="G648" s="11"/>
      <c r="H648" s="5"/>
      <c r="I648" s="8"/>
      <c r="J648" s="8"/>
      <c r="Z648" s="6"/>
      <c r="AA648" s="6"/>
    </row>
    <row r="649" spans="2:27" ht="12.75" x14ac:dyDescent="0.2">
      <c r="B649" s="6"/>
      <c r="C649" s="6"/>
      <c r="D649" s="6"/>
      <c r="E649" s="9"/>
      <c r="F649" s="9"/>
      <c r="G649" s="11"/>
      <c r="H649" s="5"/>
      <c r="I649" s="8"/>
      <c r="J649" s="8"/>
      <c r="Z649" s="6"/>
      <c r="AA649" s="6"/>
    </row>
    <row r="650" spans="2:27" ht="12.75" x14ac:dyDescent="0.2">
      <c r="B650" s="6"/>
      <c r="C650" s="6"/>
      <c r="D650" s="6"/>
      <c r="E650" s="9"/>
      <c r="F650" s="9"/>
      <c r="G650" s="11"/>
      <c r="H650" s="5"/>
      <c r="I650" s="8"/>
      <c r="J650" s="8"/>
      <c r="Z650" s="6"/>
      <c r="AA650" s="6"/>
    </row>
    <row r="651" spans="2:27" ht="12.75" x14ac:dyDescent="0.2">
      <c r="B651" s="6"/>
      <c r="C651" s="6"/>
      <c r="D651" s="6"/>
      <c r="E651" s="9"/>
      <c r="F651" s="9"/>
      <c r="G651" s="11"/>
      <c r="H651" s="5"/>
      <c r="I651" s="8"/>
      <c r="J651" s="8"/>
      <c r="Z651" s="6"/>
      <c r="AA651" s="6"/>
    </row>
    <row r="652" spans="2:27" ht="12.75" x14ac:dyDescent="0.2">
      <c r="B652" s="6"/>
      <c r="C652" s="6"/>
      <c r="D652" s="6"/>
      <c r="E652" s="9"/>
      <c r="F652" s="9"/>
      <c r="G652" s="11"/>
      <c r="H652" s="5"/>
      <c r="I652" s="8"/>
      <c r="J652" s="8"/>
      <c r="Z652" s="6"/>
      <c r="AA652" s="6"/>
    </row>
    <row r="653" spans="2:27" ht="12.75" x14ac:dyDescent="0.2">
      <c r="B653" s="6"/>
      <c r="C653" s="6"/>
      <c r="D653" s="6"/>
      <c r="E653" s="9"/>
      <c r="F653" s="9"/>
      <c r="G653" s="11"/>
      <c r="H653" s="5"/>
      <c r="I653" s="8"/>
      <c r="J653" s="8"/>
      <c r="Z653" s="6"/>
      <c r="AA653" s="6"/>
    </row>
    <row r="654" spans="2:27" ht="12.75" x14ac:dyDescent="0.2">
      <c r="B654" s="6"/>
      <c r="C654" s="6"/>
      <c r="D654" s="6"/>
      <c r="E654" s="9"/>
      <c r="F654" s="9"/>
      <c r="G654" s="11"/>
      <c r="H654" s="5"/>
      <c r="I654" s="8"/>
      <c r="J654" s="8"/>
      <c r="Z654" s="6"/>
      <c r="AA654" s="6"/>
    </row>
    <row r="655" spans="2:27" ht="12.75" x14ac:dyDescent="0.2">
      <c r="B655" s="6"/>
      <c r="C655" s="6"/>
      <c r="D655" s="6"/>
      <c r="E655" s="9"/>
      <c r="F655" s="9"/>
      <c r="G655" s="11"/>
      <c r="H655" s="5"/>
      <c r="I655" s="8"/>
      <c r="J655" s="8"/>
      <c r="Z655" s="6"/>
      <c r="AA655" s="6"/>
    </row>
    <row r="656" spans="2:27" ht="12.75" x14ac:dyDescent="0.2">
      <c r="B656" s="6"/>
      <c r="C656" s="6"/>
      <c r="D656" s="6"/>
      <c r="E656" s="9"/>
      <c r="F656" s="9"/>
      <c r="G656" s="11"/>
      <c r="H656" s="5"/>
      <c r="I656" s="8"/>
      <c r="J656" s="8"/>
      <c r="Z656" s="6"/>
      <c r="AA656" s="6"/>
    </row>
    <row r="657" spans="2:27" ht="12.75" x14ac:dyDescent="0.2">
      <c r="B657" s="6"/>
      <c r="C657" s="6"/>
      <c r="D657" s="6"/>
      <c r="E657" s="9"/>
      <c r="F657" s="9"/>
      <c r="G657" s="11"/>
      <c r="H657" s="5"/>
      <c r="I657" s="8"/>
      <c r="J657" s="8"/>
      <c r="Z657" s="6"/>
      <c r="AA657" s="6"/>
    </row>
    <row r="658" spans="2:27" ht="12.75" x14ac:dyDescent="0.2">
      <c r="B658" s="6"/>
      <c r="C658" s="6"/>
      <c r="D658" s="6"/>
      <c r="E658" s="9"/>
      <c r="F658" s="9"/>
      <c r="G658" s="11"/>
      <c r="H658" s="5"/>
      <c r="I658" s="8"/>
      <c r="J658" s="8"/>
      <c r="Z658" s="6"/>
      <c r="AA658" s="6"/>
    </row>
    <row r="659" spans="2:27" ht="12.75" x14ac:dyDescent="0.2">
      <c r="B659" s="6"/>
      <c r="C659" s="6"/>
      <c r="D659" s="6"/>
      <c r="E659" s="9"/>
      <c r="F659" s="9"/>
      <c r="G659" s="11"/>
      <c r="H659" s="5"/>
      <c r="I659" s="8"/>
      <c r="J659" s="8"/>
      <c r="Z659" s="6"/>
      <c r="AA659" s="6"/>
    </row>
    <row r="660" spans="2:27" ht="12.75" x14ac:dyDescent="0.2">
      <c r="B660" s="6"/>
      <c r="C660" s="6"/>
      <c r="D660" s="6"/>
      <c r="E660" s="9"/>
      <c r="F660" s="9"/>
      <c r="G660" s="11"/>
      <c r="H660" s="5"/>
      <c r="I660" s="8"/>
      <c r="J660" s="8"/>
      <c r="Z660" s="6"/>
      <c r="AA660" s="6"/>
    </row>
    <row r="661" spans="2:27" ht="12.75" x14ac:dyDescent="0.2">
      <c r="B661" s="6"/>
      <c r="C661" s="6"/>
      <c r="D661" s="6"/>
      <c r="E661" s="9"/>
      <c r="F661" s="9"/>
      <c r="G661" s="11"/>
      <c r="H661" s="5"/>
      <c r="I661" s="8"/>
      <c r="J661" s="8"/>
      <c r="Z661" s="6"/>
      <c r="AA661" s="6"/>
    </row>
    <row r="662" spans="2:27" ht="12.75" x14ac:dyDescent="0.2">
      <c r="B662" s="6"/>
      <c r="C662" s="6"/>
      <c r="D662" s="6"/>
      <c r="E662" s="9"/>
      <c r="F662" s="9"/>
      <c r="G662" s="11"/>
      <c r="H662" s="5"/>
      <c r="I662" s="8"/>
      <c r="J662" s="8"/>
      <c r="Z662" s="6"/>
      <c r="AA662" s="6"/>
    </row>
    <row r="663" spans="2:27" ht="12.75" x14ac:dyDescent="0.2">
      <c r="B663" s="6"/>
      <c r="C663" s="6"/>
      <c r="D663" s="6"/>
      <c r="E663" s="9"/>
      <c r="F663" s="9"/>
      <c r="G663" s="11"/>
      <c r="H663" s="5"/>
      <c r="I663" s="8"/>
      <c r="J663" s="8"/>
      <c r="Z663" s="6"/>
      <c r="AA663" s="6"/>
    </row>
    <row r="664" spans="2:27" ht="12.75" x14ac:dyDescent="0.2">
      <c r="B664" s="6"/>
      <c r="C664" s="6"/>
      <c r="D664" s="6"/>
      <c r="E664" s="9"/>
      <c r="F664" s="9"/>
      <c r="G664" s="11"/>
      <c r="H664" s="5"/>
      <c r="I664" s="8"/>
      <c r="J664" s="8"/>
      <c r="Z664" s="6"/>
      <c r="AA664" s="6"/>
    </row>
    <row r="665" spans="2:27" ht="12.75" x14ac:dyDescent="0.2">
      <c r="B665" s="6"/>
      <c r="C665" s="6"/>
      <c r="D665" s="6"/>
      <c r="E665" s="9"/>
      <c r="F665" s="9"/>
      <c r="G665" s="11"/>
      <c r="H665" s="5"/>
      <c r="I665" s="8"/>
      <c r="J665" s="8"/>
      <c r="Z665" s="6"/>
      <c r="AA665" s="6"/>
    </row>
    <row r="666" spans="2:27" ht="12.75" x14ac:dyDescent="0.2">
      <c r="B666" s="6"/>
      <c r="C666" s="6"/>
      <c r="D666" s="6"/>
      <c r="E666" s="9"/>
      <c r="F666" s="9"/>
      <c r="G666" s="11"/>
      <c r="H666" s="5"/>
      <c r="I666" s="8"/>
      <c r="J666" s="8"/>
      <c r="Z666" s="6"/>
      <c r="AA666" s="6"/>
    </row>
    <row r="667" spans="2:27" ht="12.75" x14ac:dyDescent="0.2">
      <c r="B667" s="6"/>
      <c r="C667" s="6"/>
      <c r="D667" s="6"/>
      <c r="E667" s="9"/>
      <c r="F667" s="9"/>
      <c r="G667" s="11"/>
      <c r="H667" s="5"/>
      <c r="I667" s="8"/>
      <c r="J667" s="8"/>
      <c r="Z667" s="6"/>
      <c r="AA667" s="6"/>
    </row>
    <row r="668" spans="2:27" ht="12.75" x14ac:dyDescent="0.2">
      <c r="B668" s="6"/>
      <c r="C668" s="6"/>
      <c r="D668" s="6"/>
      <c r="E668" s="9"/>
      <c r="F668" s="9"/>
      <c r="G668" s="11"/>
      <c r="H668" s="5"/>
      <c r="I668" s="8"/>
      <c r="J668" s="8"/>
      <c r="Z668" s="6"/>
      <c r="AA668" s="6"/>
    </row>
    <row r="669" spans="2:27" ht="12.75" x14ac:dyDescent="0.2">
      <c r="B669" s="6"/>
      <c r="C669" s="6"/>
      <c r="D669" s="6"/>
      <c r="E669" s="9"/>
      <c r="F669" s="9"/>
      <c r="G669" s="11"/>
      <c r="H669" s="5"/>
      <c r="I669" s="8"/>
      <c r="J669" s="8"/>
      <c r="Z669" s="6"/>
      <c r="AA669" s="6"/>
    </row>
    <row r="670" spans="2:27" ht="12.75" x14ac:dyDescent="0.2">
      <c r="B670" s="6"/>
      <c r="C670" s="6"/>
      <c r="D670" s="6"/>
      <c r="E670" s="9"/>
      <c r="F670" s="9"/>
      <c r="G670" s="11"/>
      <c r="H670" s="5"/>
      <c r="I670" s="8"/>
      <c r="J670" s="8"/>
      <c r="Z670" s="6"/>
      <c r="AA670" s="6"/>
    </row>
    <row r="671" spans="2:27" ht="12.75" x14ac:dyDescent="0.2">
      <c r="B671" s="6"/>
      <c r="C671" s="6"/>
      <c r="D671" s="6"/>
      <c r="E671" s="9"/>
      <c r="F671" s="9"/>
      <c r="G671" s="11"/>
      <c r="H671" s="5"/>
      <c r="I671" s="8"/>
      <c r="J671" s="8"/>
      <c r="Z671" s="6"/>
      <c r="AA671" s="6"/>
    </row>
    <row r="672" spans="2:27" ht="12.75" x14ac:dyDescent="0.2">
      <c r="B672" s="6"/>
      <c r="C672" s="6"/>
      <c r="D672" s="6"/>
      <c r="E672" s="9"/>
      <c r="F672" s="9"/>
      <c r="G672" s="11"/>
      <c r="H672" s="5"/>
      <c r="I672" s="8"/>
      <c r="J672" s="8"/>
      <c r="Z672" s="6"/>
      <c r="AA672" s="6"/>
    </row>
    <row r="673" spans="2:27" ht="12.75" x14ac:dyDescent="0.2">
      <c r="B673" s="6"/>
      <c r="C673" s="6"/>
      <c r="D673" s="6"/>
      <c r="E673" s="9"/>
      <c r="F673" s="9"/>
      <c r="G673" s="11"/>
      <c r="H673" s="5"/>
      <c r="I673" s="8"/>
      <c r="J673" s="8"/>
      <c r="Z673" s="6"/>
      <c r="AA673" s="6"/>
    </row>
    <row r="674" spans="2:27" ht="12.75" x14ac:dyDescent="0.2">
      <c r="B674" s="6"/>
      <c r="C674" s="6"/>
      <c r="D674" s="6"/>
      <c r="E674" s="9"/>
      <c r="F674" s="9"/>
      <c r="G674" s="11"/>
      <c r="H674" s="5"/>
      <c r="I674" s="8"/>
      <c r="J674" s="8"/>
      <c r="Z674" s="6"/>
      <c r="AA674" s="6"/>
    </row>
    <row r="675" spans="2:27" ht="12.75" x14ac:dyDescent="0.2">
      <c r="B675" s="6"/>
      <c r="C675" s="6"/>
      <c r="D675" s="6"/>
      <c r="E675" s="9"/>
      <c r="F675" s="9"/>
      <c r="G675" s="11"/>
      <c r="H675" s="5"/>
      <c r="I675" s="8"/>
      <c r="J675" s="8"/>
      <c r="Z675" s="6"/>
      <c r="AA675" s="6"/>
    </row>
    <row r="676" spans="2:27" ht="12.75" x14ac:dyDescent="0.2">
      <c r="B676" s="6"/>
      <c r="C676" s="6"/>
      <c r="D676" s="6"/>
      <c r="E676" s="9"/>
      <c r="F676" s="9"/>
      <c r="G676" s="11"/>
      <c r="H676" s="5"/>
      <c r="I676" s="8"/>
      <c r="J676" s="8"/>
      <c r="Z676" s="6"/>
      <c r="AA676" s="6"/>
    </row>
    <row r="677" spans="2:27" ht="12.75" x14ac:dyDescent="0.2">
      <c r="B677" s="6"/>
      <c r="C677" s="6"/>
      <c r="D677" s="6"/>
      <c r="E677" s="9"/>
      <c r="F677" s="9"/>
      <c r="G677" s="11"/>
      <c r="H677" s="5"/>
      <c r="I677" s="8"/>
      <c r="J677" s="8"/>
      <c r="Z677" s="6"/>
      <c r="AA677" s="6"/>
    </row>
    <row r="678" spans="2:27" ht="12.75" x14ac:dyDescent="0.2">
      <c r="B678" s="6"/>
      <c r="C678" s="6"/>
      <c r="D678" s="6"/>
      <c r="E678" s="9"/>
      <c r="F678" s="9"/>
      <c r="G678" s="11"/>
      <c r="H678" s="5"/>
      <c r="I678" s="8"/>
      <c r="J678" s="8"/>
      <c r="Z678" s="6"/>
      <c r="AA678" s="6"/>
    </row>
    <row r="679" spans="2:27" ht="12.75" x14ac:dyDescent="0.2">
      <c r="B679" s="6"/>
      <c r="C679" s="6"/>
      <c r="D679" s="6"/>
      <c r="E679" s="9"/>
      <c r="F679" s="9"/>
      <c r="G679" s="11"/>
      <c r="H679" s="5"/>
      <c r="I679" s="8"/>
      <c r="J679" s="8"/>
      <c r="Z679" s="6"/>
      <c r="AA679" s="6"/>
    </row>
    <row r="680" spans="2:27" ht="12.75" x14ac:dyDescent="0.2">
      <c r="B680" s="6"/>
      <c r="C680" s="6"/>
      <c r="D680" s="6"/>
      <c r="E680" s="9"/>
      <c r="F680" s="9"/>
      <c r="G680" s="11"/>
      <c r="H680" s="5"/>
      <c r="I680" s="8"/>
      <c r="J680" s="8"/>
      <c r="Z680" s="6"/>
      <c r="AA680" s="6"/>
    </row>
    <row r="681" spans="2:27" ht="12.75" x14ac:dyDescent="0.2">
      <c r="B681" s="6"/>
      <c r="C681" s="6"/>
      <c r="D681" s="6"/>
      <c r="E681" s="9"/>
      <c r="F681" s="9"/>
      <c r="G681" s="11"/>
      <c r="H681" s="5"/>
      <c r="I681" s="8"/>
      <c r="J681" s="8"/>
      <c r="Z681" s="6"/>
      <c r="AA681" s="6"/>
    </row>
    <row r="682" spans="2:27" ht="12.75" x14ac:dyDescent="0.2">
      <c r="B682" s="6"/>
      <c r="C682" s="6"/>
      <c r="D682" s="6"/>
      <c r="E682" s="9"/>
      <c r="F682" s="9"/>
      <c r="G682" s="11"/>
      <c r="H682" s="5"/>
      <c r="I682" s="8"/>
      <c r="J682" s="8"/>
      <c r="Z682" s="6"/>
      <c r="AA682" s="6"/>
    </row>
    <row r="683" spans="2:27" ht="12.75" x14ac:dyDescent="0.2">
      <c r="B683" s="6"/>
      <c r="C683" s="6"/>
      <c r="D683" s="6"/>
      <c r="E683" s="9"/>
      <c r="F683" s="9"/>
      <c r="G683" s="11"/>
      <c r="H683" s="5"/>
      <c r="I683" s="8"/>
      <c r="J683" s="8"/>
      <c r="Z683" s="6"/>
      <c r="AA683" s="6"/>
    </row>
    <row r="684" spans="2:27" ht="12.75" x14ac:dyDescent="0.2">
      <c r="B684" s="6"/>
      <c r="C684" s="6"/>
      <c r="D684" s="6"/>
      <c r="E684" s="9"/>
      <c r="F684" s="9"/>
      <c r="G684" s="11"/>
      <c r="H684" s="5"/>
      <c r="I684" s="8"/>
      <c r="J684" s="8"/>
      <c r="Z684" s="6"/>
      <c r="AA684" s="6"/>
    </row>
    <row r="685" spans="2:27" ht="12.75" x14ac:dyDescent="0.2">
      <c r="B685" s="6"/>
      <c r="C685" s="6"/>
      <c r="D685" s="6"/>
      <c r="E685" s="9"/>
      <c r="F685" s="9"/>
      <c r="G685" s="11"/>
      <c r="H685" s="5"/>
      <c r="I685" s="8"/>
      <c r="J685" s="8"/>
      <c r="Z685" s="6"/>
      <c r="AA685" s="6"/>
    </row>
    <row r="686" spans="2:27" ht="12.75" x14ac:dyDescent="0.2">
      <c r="B686" s="6"/>
      <c r="C686" s="6"/>
      <c r="D686" s="6"/>
      <c r="E686" s="9"/>
      <c r="F686" s="9"/>
      <c r="G686" s="11"/>
      <c r="H686" s="5"/>
      <c r="I686" s="8"/>
      <c r="J686" s="8"/>
      <c r="Z686" s="6"/>
      <c r="AA686" s="6"/>
    </row>
    <row r="687" spans="2:27" ht="12.75" x14ac:dyDescent="0.2">
      <c r="B687" s="6"/>
      <c r="C687" s="6"/>
      <c r="D687" s="6"/>
      <c r="E687" s="9"/>
      <c r="F687" s="9"/>
      <c r="G687" s="11"/>
      <c r="H687" s="5"/>
      <c r="I687" s="8"/>
      <c r="J687" s="8"/>
      <c r="Z687" s="6"/>
      <c r="AA687" s="6"/>
    </row>
    <row r="688" spans="2:27" ht="12.75" x14ac:dyDescent="0.2">
      <c r="B688" s="6"/>
      <c r="C688" s="6"/>
      <c r="D688" s="6"/>
      <c r="E688" s="9"/>
      <c r="F688" s="9"/>
      <c r="G688" s="11"/>
      <c r="H688" s="5"/>
      <c r="I688" s="8"/>
      <c r="J688" s="8"/>
      <c r="Z688" s="6"/>
      <c r="AA688" s="6"/>
    </row>
    <row r="689" spans="2:27" ht="12.75" x14ac:dyDescent="0.2">
      <c r="B689" s="6"/>
      <c r="C689" s="6"/>
      <c r="D689" s="6"/>
      <c r="E689" s="9"/>
      <c r="F689" s="9"/>
      <c r="G689" s="11"/>
      <c r="H689" s="5"/>
      <c r="I689" s="8"/>
      <c r="J689" s="8"/>
      <c r="Z689" s="6"/>
      <c r="AA689" s="6"/>
    </row>
    <row r="690" spans="2:27" ht="12.75" x14ac:dyDescent="0.2">
      <c r="B690" s="6"/>
      <c r="C690" s="6"/>
      <c r="D690" s="6"/>
      <c r="E690" s="9"/>
      <c r="F690" s="9"/>
      <c r="G690" s="11"/>
      <c r="H690" s="5"/>
      <c r="I690" s="8"/>
      <c r="J690" s="8"/>
      <c r="Z690" s="6"/>
      <c r="AA690" s="6"/>
    </row>
    <row r="691" spans="2:27" ht="12.75" x14ac:dyDescent="0.2">
      <c r="B691" s="6"/>
      <c r="C691" s="6"/>
      <c r="D691" s="6"/>
      <c r="E691" s="9"/>
      <c r="F691" s="9"/>
      <c r="G691" s="11"/>
      <c r="H691" s="5"/>
      <c r="I691" s="8"/>
      <c r="J691" s="8"/>
      <c r="Z691" s="6"/>
      <c r="AA691" s="6"/>
    </row>
    <row r="692" spans="2:27" ht="12.75" x14ac:dyDescent="0.2">
      <c r="B692" s="6"/>
      <c r="C692" s="6"/>
      <c r="D692" s="6"/>
      <c r="E692" s="9"/>
      <c r="F692" s="9"/>
      <c r="G692" s="11"/>
      <c r="H692" s="5"/>
      <c r="I692" s="8"/>
      <c r="J692" s="8"/>
      <c r="Z692" s="6"/>
      <c r="AA692" s="6"/>
    </row>
    <row r="693" spans="2:27" ht="12.75" x14ac:dyDescent="0.2">
      <c r="B693" s="6"/>
      <c r="C693" s="6"/>
      <c r="D693" s="6"/>
      <c r="E693" s="9"/>
      <c r="F693" s="9"/>
      <c r="G693" s="11"/>
      <c r="H693" s="5"/>
      <c r="I693" s="8"/>
      <c r="J693" s="8"/>
      <c r="Z693" s="6"/>
      <c r="AA693" s="6"/>
    </row>
    <row r="694" spans="2:27" ht="12.75" x14ac:dyDescent="0.2">
      <c r="B694" s="6"/>
      <c r="C694" s="6"/>
      <c r="D694" s="6"/>
      <c r="E694" s="9"/>
      <c r="F694" s="9"/>
      <c r="G694" s="11"/>
      <c r="H694" s="5"/>
      <c r="I694" s="8"/>
      <c r="J694" s="8"/>
      <c r="Z694" s="6"/>
      <c r="AA694" s="6"/>
    </row>
    <row r="695" spans="2:27" ht="12.75" x14ac:dyDescent="0.2">
      <c r="B695" s="6"/>
      <c r="C695" s="6"/>
      <c r="D695" s="6"/>
      <c r="E695" s="9"/>
      <c r="F695" s="9"/>
      <c r="G695" s="11"/>
      <c r="H695" s="5"/>
      <c r="I695" s="8"/>
      <c r="J695" s="8"/>
      <c r="Z695" s="6"/>
      <c r="AA695" s="6"/>
    </row>
    <row r="696" spans="2:27" ht="12.75" x14ac:dyDescent="0.2">
      <c r="B696" s="6"/>
      <c r="C696" s="6"/>
      <c r="D696" s="6"/>
      <c r="E696" s="9"/>
      <c r="F696" s="9"/>
      <c r="G696" s="11"/>
      <c r="H696" s="5"/>
      <c r="I696" s="8"/>
      <c r="J696" s="8"/>
      <c r="Z696" s="6"/>
      <c r="AA696" s="6"/>
    </row>
    <row r="697" spans="2:27" ht="12.75" x14ac:dyDescent="0.2">
      <c r="B697" s="6"/>
      <c r="C697" s="6"/>
      <c r="D697" s="6"/>
      <c r="E697" s="9"/>
      <c r="F697" s="9"/>
      <c r="G697" s="11"/>
      <c r="H697" s="5"/>
      <c r="I697" s="8"/>
      <c r="J697" s="8"/>
      <c r="Z697" s="6"/>
      <c r="AA697" s="6"/>
    </row>
    <row r="698" spans="2:27" ht="12.75" x14ac:dyDescent="0.2">
      <c r="B698" s="6"/>
      <c r="C698" s="6"/>
      <c r="D698" s="6"/>
      <c r="E698" s="9"/>
      <c r="F698" s="9"/>
      <c r="G698" s="11"/>
      <c r="H698" s="5"/>
      <c r="I698" s="8"/>
      <c r="J698" s="8"/>
      <c r="Z698" s="6"/>
      <c r="AA698" s="6"/>
    </row>
    <row r="699" spans="2:27" ht="12.75" x14ac:dyDescent="0.2">
      <c r="B699" s="6"/>
      <c r="C699" s="6"/>
      <c r="D699" s="6"/>
      <c r="E699" s="9"/>
      <c r="F699" s="9"/>
      <c r="G699" s="11"/>
      <c r="H699" s="5"/>
      <c r="I699" s="8"/>
      <c r="J699" s="8"/>
      <c r="Z699" s="6"/>
      <c r="AA699" s="6"/>
    </row>
    <row r="700" spans="2:27" ht="12.75" x14ac:dyDescent="0.2">
      <c r="B700" s="6"/>
      <c r="C700" s="6"/>
      <c r="D700" s="6"/>
      <c r="E700" s="9"/>
      <c r="F700" s="9"/>
      <c r="G700" s="11"/>
      <c r="H700" s="5"/>
      <c r="I700" s="8"/>
      <c r="J700" s="8"/>
      <c r="Z700" s="6"/>
      <c r="AA700" s="6"/>
    </row>
    <row r="701" spans="2:27" ht="12.75" x14ac:dyDescent="0.2">
      <c r="B701" s="6"/>
      <c r="C701" s="6"/>
      <c r="D701" s="6"/>
      <c r="E701" s="9"/>
      <c r="F701" s="9"/>
      <c r="G701" s="11"/>
      <c r="H701" s="5"/>
      <c r="I701" s="8"/>
      <c r="J701" s="8"/>
      <c r="Z701" s="6"/>
      <c r="AA701" s="6"/>
    </row>
    <row r="702" spans="2:27" ht="12.75" x14ac:dyDescent="0.2">
      <c r="B702" s="6"/>
      <c r="C702" s="6"/>
      <c r="D702" s="6"/>
      <c r="E702" s="9"/>
      <c r="F702" s="9"/>
      <c r="G702" s="11"/>
      <c r="H702" s="5"/>
      <c r="I702" s="8"/>
      <c r="J702" s="8"/>
      <c r="Z702" s="6"/>
      <c r="AA702" s="6"/>
    </row>
    <row r="703" spans="2:27" ht="12.75" x14ac:dyDescent="0.2">
      <c r="B703" s="6"/>
      <c r="C703" s="6"/>
      <c r="D703" s="6"/>
      <c r="E703" s="9"/>
      <c r="F703" s="9"/>
      <c r="G703" s="11"/>
      <c r="H703" s="5"/>
      <c r="I703" s="8"/>
      <c r="J703" s="8"/>
      <c r="Z703" s="6"/>
      <c r="AA703" s="6"/>
    </row>
    <row r="704" spans="2:27" ht="12.75" x14ac:dyDescent="0.2">
      <c r="B704" s="6"/>
      <c r="C704" s="6"/>
      <c r="D704" s="6"/>
      <c r="E704" s="9"/>
      <c r="F704" s="9"/>
      <c r="G704" s="11"/>
      <c r="H704" s="5"/>
      <c r="I704" s="8"/>
      <c r="J704" s="8"/>
      <c r="Z704" s="6"/>
      <c r="AA704" s="6"/>
    </row>
    <row r="705" spans="2:27" ht="12.75" x14ac:dyDescent="0.2">
      <c r="B705" s="6"/>
      <c r="C705" s="6"/>
      <c r="D705" s="6"/>
      <c r="E705" s="9"/>
      <c r="F705" s="9"/>
      <c r="G705" s="11"/>
      <c r="H705" s="5"/>
      <c r="I705" s="8"/>
      <c r="J705" s="8"/>
      <c r="Z705" s="6"/>
      <c r="AA705" s="6"/>
    </row>
    <row r="706" spans="2:27" ht="12.75" x14ac:dyDescent="0.2">
      <c r="B706" s="6"/>
      <c r="C706" s="6"/>
      <c r="D706" s="6"/>
      <c r="E706" s="9"/>
      <c r="F706" s="9"/>
      <c r="G706" s="11"/>
      <c r="H706" s="5"/>
      <c r="I706" s="8"/>
      <c r="J706" s="8"/>
      <c r="Z706" s="6"/>
      <c r="AA706" s="6"/>
    </row>
    <row r="707" spans="2:27" ht="12.75" x14ac:dyDescent="0.2">
      <c r="B707" s="6"/>
      <c r="C707" s="6"/>
      <c r="D707" s="6"/>
      <c r="E707" s="9"/>
      <c r="F707" s="9"/>
      <c r="G707" s="11"/>
      <c r="H707" s="5"/>
      <c r="I707" s="8"/>
      <c r="J707" s="8"/>
      <c r="Z707" s="6"/>
      <c r="AA707" s="6"/>
    </row>
    <row r="708" spans="2:27" ht="12.75" x14ac:dyDescent="0.2">
      <c r="B708" s="6"/>
      <c r="C708" s="6"/>
      <c r="D708" s="6"/>
      <c r="E708" s="9"/>
      <c r="F708" s="9"/>
      <c r="G708" s="11"/>
      <c r="H708" s="5"/>
      <c r="I708" s="8"/>
      <c r="J708" s="8"/>
      <c r="Z708" s="6"/>
      <c r="AA708" s="6"/>
    </row>
    <row r="709" spans="2:27" ht="12.75" x14ac:dyDescent="0.2">
      <c r="B709" s="6"/>
      <c r="C709" s="6"/>
      <c r="D709" s="6"/>
      <c r="E709" s="9"/>
      <c r="F709" s="9"/>
      <c r="G709" s="11"/>
      <c r="H709" s="5"/>
      <c r="I709" s="8"/>
      <c r="J709" s="8"/>
      <c r="Z709" s="6"/>
      <c r="AA709" s="6"/>
    </row>
    <row r="710" spans="2:27" ht="12.75" x14ac:dyDescent="0.2">
      <c r="B710" s="6"/>
      <c r="C710" s="6"/>
      <c r="D710" s="6"/>
      <c r="E710" s="9"/>
      <c r="F710" s="9"/>
      <c r="G710" s="11"/>
      <c r="H710" s="5"/>
      <c r="I710" s="8"/>
      <c r="J710" s="8"/>
      <c r="Z710" s="6"/>
      <c r="AA710" s="6"/>
    </row>
    <row r="711" spans="2:27" ht="12.75" x14ac:dyDescent="0.2">
      <c r="B711" s="6"/>
      <c r="C711" s="6"/>
      <c r="D711" s="6"/>
      <c r="E711" s="9"/>
      <c r="F711" s="9"/>
      <c r="G711" s="11"/>
      <c r="H711" s="5"/>
      <c r="I711" s="8"/>
      <c r="J711" s="8"/>
      <c r="Z711" s="6"/>
      <c r="AA711" s="6"/>
    </row>
    <row r="712" spans="2:27" ht="12.75" x14ac:dyDescent="0.2">
      <c r="B712" s="6"/>
      <c r="C712" s="6"/>
      <c r="D712" s="6"/>
      <c r="E712" s="9"/>
      <c r="F712" s="9"/>
      <c r="G712" s="11"/>
      <c r="H712" s="5"/>
      <c r="I712" s="8"/>
      <c r="J712" s="8"/>
      <c r="Z712" s="6"/>
      <c r="AA712" s="6"/>
    </row>
    <row r="713" spans="2:27" ht="12.75" x14ac:dyDescent="0.2">
      <c r="B713" s="6"/>
      <c r="C713" s="6"/>
      <c r="D713" s="6"/>
      <c r="E713" s="9"/>
      <c r="F713" s="9"/>
      <c r="G713" s="11"/>
      <c r="H713" s="5"/>
      <c r="I713" s="8"/>
      <c r="J713" s="8"/>
      <c r="Z713" s="6"/>
      <c r="AA713" s="6"/>
    </row>
    <row r="714" spans="2:27" ht="12.75" x14ac:dyDescent="0.2">
      <c r="B714" s="6"/>
      <c r="C714" s="6"/>
      <c r="D714" s="6"/>
      <c r="E714" s="9"/>
      <c r="F714" s="9"/>
      <c r="G714" s="11"/>
      <c r="H714" s="5"/>
      <c r="I714" s="8"/>
      <c r="J714" s="8"/>
      <c r="Z714" s="6"/>
      <c r="AA714" s="6"/>
    </row>
    <row r="715" spans="2:27" ht="12.75" x14ac:dyDescent="0.2">
      <c r="B715" s="6"/>
      <c r="C715" s="6"/>
      <c r="D715" s="6"/>
      <c r="E715" s="9"/>
      <c r="F715" s="9"/>
      <c r="G715" s="11"/>
      <c r="H715" s="5"/>
      <c r="I715" s="8"/>
      <c r="J715" s="8"/>
      <c r="Z715" s="6"/>
      <c r="AA715" s="6"/>
    </row>
    <row r="716" spans="2:27" ht="12.75" x14ac:dyDescent="0.2">
      <c r="B716" s="6"/>
      <c r="C716" s="6"/>
      <c r="D716" s="6"/>
      <c r="E716" s="9"/>
      <c r="F716" s="9"/>
      <c r="G716" s="11"/>
      <c r="H716" s="5"/>
      <c r="I716" s="8"/>
      <c r="J716" s="8"/>
      <c r="Z716" s="6"/>
      <c r="AA716" s="6"/>
    </row>
    <row r="717" spans="2:27" ht="12.75" x14ac:dyDescent="0.2">
      <c r="B717" s="6"/>
      <c r="C717" s="6"/>
      <c r="D717" s="6"/>
      <c r="E717" s="9"/>
      <c r="F717" s="9"/>
      <c r="G717" s="11"/>
      <c r="H717" s="5"/>
      <c r="I717" s="8"/>
      <c r="J717" s="8"/>
      <c r="Z717" s="6"/>
      <c r="AA717" s="6"/>
    </row>
    <row r="718" spans="2:27" ht="12.75" x14ac:dyDescent="0.2">
      <c r="B718" s="6"/>
      <c r="C718" s="6"/>
      <c r="D718" s="6"/>
      <c r="E718" s="9"/>
      <c r="F718" s="9"/>
      <c r="G718" s="11"/>
      <c r="H718" s="5"/>
      <c r="I718" s="8"/>
      <c r="J718" s="8"/>
      <c r="Z718" s="6"/>
      <c r="AA718" s="6"/>
    </row>
    <row r="719" spans="2:27" ht="12.75" x14ac:dyDescent="0.2">
      <c r="B719" s="6"/>
      <c r="C719" s="6"/>
      <c r="D719" s="6"/>
      <c r="E719" s="9"/>
      <c r="F719" s="9"/>
      <c r="G719" s="11"/>
      <c r="H719" s="5"/>
      <c r="I719" s="8"/>
      <c r="J719" s="8"/>
      <c r="Z719" s="6"/>
      <c r="AA719" s="6"/>
    </row>
    <row r="720" spans="2:27" ht="12.75" x14ac:dyDescent="0.2">
      <c r="B720" s="6"/>
      <c r="C720" s="6"/>
      <c r="D720" s="6"/>
      <c r="E720" s="9"/>
      <c r="F720" s="9"/>
      <c r="G720" s="11"/>
      <c r="H720" s="5"/>
      <c r="I720" s="8"/>
      <c r="J720" s="8"/>
      <c r="Z720" s="6"/>
      <c r="AA720" s="6"/>
    </row>
    <row r="721" spans="2:27" ht="12.75" x14ac:dyDescent="0.2">
      <c r="B721" s="6"/>
      <c r="C721" s="6"/>
      <c r="D721" s="6"/>
      <c r="E721" s="9"/>
      <c r="F721" s="9"/>
      <c r="G721" s="11"/>
      <c r="H721" s="5"/>
      <c r="I721" s="8"/>
      <c r="J721" s="8"/>
      <c r="Z721" s="6"/>
      <c r="AA721" s="6"/>
    </row>
    <row r="722" spans="2:27" ht="12.75" x14ac:dyDescent="0.2">
      <c r="B722" s="6"/>
      <c r="C722" s="6"/>
      <c r="D722" s="6"/>
      <c r="E722" s="9"/>
      <c r="F722" s="9"/>
      <c r="G722" s="11"/>
      <c r="H722" s="5"/>
      <c r="I722" s="8"/>
      <c r="J722" s="8"/>
      <c r="Z722" s="6"/>
      <c r="AA722" s="6"/>
    </row>
    <row r="723" spans="2:27" ht="12.75" x14ac:dyDescent="0.2">
      <c r="B723" s="6"/>
      <c r="C723" s="6"/>
      <c r="D723" s="6"/>
      <c r="E723" s="9"/>
      <c r="F723" s="9"/>
      <c r="G723" s="11"/>
      <c r="H723" s="5"/>
      <c r="I723" s="8"/>
      <c r="J723" s="8"/>
      <c r="Z723" s="6"/>
      <c r="AA723" s="6"/>
    </row>
    <row r="724" spans="2:27" ht="12.75" x14ac:dyDescent="0.2">
      <c r="B724" s="6"/>
      <c r="C724" s="6"/>
      <c r="D724" s="6"/>
      <c r="E724" s="9"/>
      <c r="F724" s="9"/>
      <c r="G724" s="11"/>
      <c r="H724" s="5"/>
      <c r="I724" s="8"/>
      <c r="J724" s="8"/>
      <c r="Z724" s="6"/>
      <c r="AA724" s="6"/>
    </row>
    <row r="725" spans="2:27" ht="12.75" x14ac:dyDescent="0.2">
      <c r="B725" s="6"/>
      <c r="C725" s="6"/>
      <c r="D725" s="6"/>
      <c r="E725" s="9"/>
      <c r="F725" s="9"/>
      <c r="G725" s="11"/>
      <c r="H725" s="5"/>
      <c r="I725" s="8"/>
      <c r="J725" s="8"/>
      <c r="Z725" s="6"/>
      <c r="AA725" s="6"/>
    </row>
    <row r="726" spans="2:27" ht="12.75" x14ac:dyDescent="0.2">
      <c r="B726" s="6"/>
      <c r="C726" s="6"/>
      <c r="D726" s="6"/>
      <c r="E726" s="9"/>
      <c r="F726" s="9"/>
      <c r="G726" s="11"/>
      <c r="H726" s="5"/>
      <c r="I726" s="8"/>
      <c r="J726" s="8"/>
      <c r="Z726" s="6"/>
      <c r="AA726" s="6"/>
    </row>
    <row r="727" spans="2:27" ht="12.75" x14ac:dyDescent="0.2">
      <c r="B727" s="6"/>
      <c r="C727" s="6"/>
      <c r="D727" s="6"/>
      <c r="E727" s="9"/>
      <c r="F727" s="9"/>
      <c r="G727" s="11"/>
      <c r="H727" s="5"/>
      <c r="I727" s="8"/>
      <c r="J727" s="8"/>
      <c r="Z727" s="6"/>
      <c r="AA727" s="6"/>
    </row>
    <row r="728" spans="2:27" ht="12.75" x14ac:dyDescent="0.2">
      <c r="B728" s="6"/>
      <c r="C728" s="6"/>
      <c r="D728" s="6"/>
      <c r="E728" s="9"/>
      <c r="F728" s="9"/>
      <c r="G728" s="11"/>
      <c r="H728" s="5"/>
      <c r="I728" s="8"/>
      <c r="J728" s="8"/>
      <c r="Z728" s="6"/>
      <c r="AA728" s="6"/>
    </row>
    <row r="729" spans="2:27" ht="12.75" x14ac:dyDescent="0.2">
      <c r="B729" s="6"/>
      <c r="C729" s="6"/>
      <c r="D729" s="6"/>
      <c r="E729" s="9"/>
      <c r="F729" s="9"/>
      <c r="G729" s="11"/>
      <c r="H729" s="5"/>
      <c r="I729" s="8"/>
      <c r="J729" s="8"/>
      <c r="Z729" s="6"/>
      <c r="AA729" s="6"/>
    </row>
    <row r="730" spans="2:27" ht="12.75" x14ac:dyDescent="0.2">
      <c r="B730" s="6"/>
      <c r="C730" s="6"/>
      <c r="D730" s="6"/>
      <c r="E730" s="9"/>
      <c r="F730" s="9"/>
      <c r="G730" s="11"/>
      <c r="H730" s="5"/>
      <c r="I730" s="8"/>
      <c r="J730" s="8"/>
      <c r="Z730" s="6"/>
      <c r="AA730" s="6"/>
    </row>
    <row r="731" spans="2:27" ht="12.75" x14ac:dyDescent="0.2">
      <c r="B731" s="6"/>
      <c r="C731" s="6"/>
      <c r="D731" s="6"/>
      <c r="E731" s="9"/>
      <c r="F731" s="9"/>
      <c r="G731" s="11"/>
      <c r="H731" s="5"/>
      <c r="I731" s="8"/>
      <c r="J731" s="8"/>
      <c r="Z731" s="6"/>
      <c r="AA731" s="6"/>
    </row>
    <row r="732" spans="2:27" ht="12.75" x14ac:dyDescent="0.2">
      <c r="B732" s="6"/>
      <c r="C732" s="6"/>
      <c r="D732" s="6"/>
      <c r="E732" s="9"/>
      <c r="F732" s="9"/>
      <c r="G732" s="11"/>
      <c r="H732" s="5"/>
      <c r="I732" s="8"/>
      <c r="J732" s="8"/>
      <c r="Z732" s="6"/>
      <c r="AA732" s="6"/>
    </row>
    <row r="733" spans="2:27" ht="12.75" x14ac:dyDescent="0.2">
      <c r="B733" s="6"/>
      <c r="C733" s="6"/>
      <c r="D733" s="6"/>
      <c r="E733" s="9"/>
      <c r="F733" s="9"/>
      <c r="G733" s="11"/>
      <c r="H733" s="5"/>
      <c r="I733" s="8"/>
      <c r="J733" s="8"/>
      <c r="Z733" s="6"/>
      <c r="AA733" s="6"/>
    </row>
    <row r="734" spans="2:27" ht="12.75" x14ac:dyDescent="0.2">
      <c r="B734" s="6"/>
      <c r="C734" s="6"/>
      <c r="D734" s="6"/>
      <c r="E734" s="9"/>
      <c r="F734" s="9"/>
      <c r="G734" s="11"/>
      <c r="H734" s="5"/>
      <c r="I734" s="8"/>
      <c r="J734" s="8"/>
      <c r="Z734" s="6"/>
      <c r="AA734" s="6"/>
    </row>
    <row r="735" spans="2:27" ht="12.75" x14ac:dyDescent="0.2">
      <c r="B735" s="6"/>
      <c r="C735" s="6"/>
      <c r="D735" s="6"/>
      <c r="E735" s="9"/>
      <c r="F735" s="9"/>
      <c r="G735" s="11"/>
      <c r="H735" s="5"/>
      <c r="I735" s="8"/>
      <c r="J735" s="8"/>
      <c r="Z735" s="6"/>
      <c r="AA735" s="6"/>
    </row>
    <row r="736" spans="2:27" ht="12.75" x14ac:dyDescent="0.2">
      <c r="B736" s="6"/>
      <c r="C736" s="6"/>
      <c r="D736" s="6"/>
      <c r="E736" s="9"/>
      <c r="F736" s="9"/>
      <c r="G736" s="11"/>
      <c r="H736" s="5"/>
      <c r="I736" s="8"/>
      <c r="J736" s="8"/>
      <c r="Z736" s="6"/>
      <c r="AA736" s="6"/>
    </row>
    <row r="737" spans="2:27" ht="12.75" x14ac:dyDescent="0.2">
      <c r="B737" s="6"/>
      <c r="C737" s="6"/>
      <c r="D737" s="6"/>
      <c r="E737" s="9"/>
      <c r="F737" s="9"/>
      <c r="G737" s="11"/>
      <c r="H737" s="5"/>
      <c r="I737" s="8"/>
      <c r="J737" s="8"/>
      <c r="Z737" s="6"/>
      <c r="AA737" s="6"/>
    </row>
    <row r="738" spans="2:27" ht="12.75" x14ac:dyDescent="0.2">
      <c r="B738" s="6"/>
      <c r="C738" s="6"/>
      <c r="D738" s="6"/>
      <c r="E738" s="9"/>
      <c r="F738" s="9"/>
      <c r="G738" s="11"/>
      <c r="H738" s="5"/>
      <c r="I738" s="8"/>
      <c r="J738" s="8"/>
      <c r="Z738" s="6"/>
      <c r="AA738" s="6"/>
    </row>
    <row r="739" spans="2:27" ht="12.75" x14ac:dyDescent="0.2">
      <c r="B739" s="6"/>
      <c r="C739" s="6"/>
      <c r="D739" s="6"/>
      <c r="E739" s="9"/>
      <c r="F739" s="9"/>
      <c r="G739" s="11"/>
      <c r="H739" s="5"/>
      <c r="I739" s="8"/>
      <c r="J739" s="8"/>
      <c r="Z739" s="6"/>
      <c r="AA739" s="6"/>
    </row>
    <row r="740" spans="2:27" ht="12.75" x14ac:dyDescent="0.2">
      <c r="B740" s="6"/>
      <c r="C740" s="6"/>
      <c r="D740" s="6"/>
      <c r="E740" s="9"/>
      <c r="F740" s="9"/>
      <c r="G740" s="11"/>
      <c r="H740" s="5"/>
      <c r="I740" s="8"/>
      <c r="J740" s="8"/>
      <c r="Z740" s="6"/>
      <c r="AA740" s="6"/>
    </row>
    <row r="741" spans="2:27" ht="12.75" x14ac:dyDescent="0.2">
      <c r="B741" s="6"/>
      <c r="C741" s="6"/>
      <c r="D741" s="6"/>
      <c r="E741" s="9"/>
      <c r="F741" s="9"/>
      <c r="G741" s="11"/>
      <c r="H741" s="5"/>
      <c r="I741" s="8"/>
      <c r="J741" s="8"/>
      <c r="Z741" s="6"/>
      <c r="AA741" s="6"/>
    </row>
    <row r="742" spans="2:27" ht="12.75" x14ac:dyDescent="0.2">
      <c r="B742" s="6"/>
      <c r="C742" s="6"/>
      <c r="D742" s="6"/>
      <c r="E742" s="9"/>
      <c r="F742" s="9"/>
      <c r="G742" s="11"/>
      <c r="H742" s="5"/>
      <c r="I742" s="8"/>
      <c r="J742" s="8"/>
      <c r="Z742" s="6"/>
      <c r="AA742" s="6"/>
    </row>
    <row r="743" spans="2:27" ht="12.75" x14ac:dyDescent="0.2">
      <c r="B743" s="6"/>
      <c r="C743" s="6"/>
      <c r="D743" s="6"/>
      <c r="E743" s="9"/>
      <c r="F743" s="9"/>
      <c r="G743" s="11"/>
      <c r="H743" s="5"/>
      <c r="I743" s="8"/>
      <c r="J743" s="8"/>
      <c r="Z743" s="6"/>
      <c r="AA743" s="6"/>
    </row>
    <row r="744" spans="2:27" ht="12.75" x14ac:dyDescent="0.2">
      <c r="B744" s="6"/>
      <c r="C744" s="6"/>
      <c r="D744" s="6"/>
      <c r="E744" s="9"/>
      <c r="F744" s="9"/>
      <c r="G744" s="11"/>
      <c r="H744" s="5"/>
      <c r="I744" s="8"/>
      <c r="J744" s="8"/>
      <c r="Z744" s="6"/>
      <c r="AA744" s="6"/>
    </row>
    <row r="745" spans="2:27" ht="12.75" x14ac:dyDescent="0.2">
      <c r="B745" s="6"/>
      <c r="C745" s="6"/>
      <c r="D745" s="6"/>
      <c r="E745" s="9"/>
      <c r="F745" s="9"/>
      <c r="G745" s="11"/>
      <c r="H745" s="5"/>
      <c r="I745" s="8"/>
      <c r="J745" s="8"/>
      <c r="Z745" s="6"/>
      <c r="AA745" s="6"/>
    </row>
    <row r="746" spans="2:27" ht="12.75" x14ac:dyDescent="0.2">
      <c r="B746" s="6"/>
      <c r="C746" s="6"/>
      <c r="D746" s="6"/>
      <c r="E746" s="9"/>
      <c r="F746" s="9"/>
      <c r="G746" s="11"/>
      <c r="H746" s="5"/>
      <c r="I746" s="8"/>
      <c r="J746" s="8"/>
      <c r="Z746" s="6"/>
      <c r="AA746" s="6"/>
    </row>
    <row r="747" spans="2:27" ht="12.75" x14ac:dyDescent="0.2">
      <c r="B747" s="6"/>
      <c r="C747" s="6"/>
      <c r="D747" s="6"/>
      <c r="E747" s="9"/>
      <c r="F747" s="9"/>
      <c r="G747" s="11"/>
      <c r="H747" s="5"/>
      <c r="I747" s="8"/>
      <c r="J747" s="8"/>
      <c r="Z747" s="6"/>
      <c r="AA747" s="6"/>
    </row>
    <row r="748" spans="2:27" ht="12.75" x14ac:dyDescent="0.2">
      <c r="B748" s="6"/>
      <c r="C748" s="6"/>
      <c r="D748" s="6"/>
      <c r="E748" s="9"/>
      <c r="F748" s="9"/>
      <c r="G748" s="11"/>
      <c r="H748" s="5"/>
      <c r="I748" s="8"/>
      <c r="J748" s="8"/>
      <c r="Z748" s="6"/>
      <c r="AA748" s="6"/>
    </row>
    <row r="749" spans="2:27" ht="12.75" x14ac:dyDescent="0.2">
      <c r="B749" s="6"/>
      <c r="C749" s="6"/>
      <c r="D749" s="6"/>
      <c r="E749" s="9"/>
      <c r="F749" s="9"/>
      <c r="G749" s="11"/>
      <c r="H749" s="5"/>
      <c r="I749" s="8"/>
      <c r="J749" s="8"/>
      <c r="Z749" s="6"/>
      <c r="AA749" s="6"/>
    </row>
    <row r="750" spans="2:27" ht="12.75" x14ac:dyDescent="0.2">
      <c r="B750" s="6"/>
      <c r="C750" s="6"/>
      <c r="D750" s="6"/>
      <c r="E750" s="9"/>
      <c r="F750" s="9"/>
      <c r="G750" s="11"/>
      <c r="H750" s="5"/>
      <c r="I750" s="8"/>
      <c r="J750" s="8"/>
      <c r="Z750" s="6"/>
      <c r="AA750" s="6"/>
    </row>
    <row r="751" spans="2:27" ht="12.75" x14ac:dyDescent="0.2">
      <c r="B751" s="6"/>
      <c r="C751" s="6"/>
      <c r="D751" s="6"/>
      <c r="E751" s="9"/>
      <c r="F751" s="9"/>
      <c r="G751" s="11"/>
      <c r="H751" s="5"/>
      <c r="I751" s="8"/>
      <c r="J751" s="8"/>
      <c r="Z751" s="6"/>
      <c r="AA751" s="6"/>
    </row>
    <row r="752" spans="2:27" ht="12.75" x14ac:dyDescent="0.2">
      <c r="B752" s="6"/>
      <c r="C752" s="6"/>
      <c r="D752" s="6"/>
      <c r="E752" s="9"/>
      <c r="F752" s="9"/>
      <c r="G752" s="11"/>
      <c r="H752" s="5"/>
      <c r="I752" s="8"/>
      <c r="J752" s="8"/>
      <c r="Z752" s="6"/>
      <c r="AA752" s="6"/>
    </row>
    <row r="753" spans="2:27" ht="12.75" x14ac:dyDescent="0.2">
      <c r="B753" s="6"/>
      <c r="C753" s="6"/>
      <c r="D753" s="6"/>
      <c r="E753" s="9"/>
      <c r="F753" s="9"/>
      <c r="G753" s="11"/>
      <c r="H753" s="5"/>
      <c r="I753" s="8"/>
      <c r="J753" s="8"/>
      <c r="Z753" s="6"/>
      <c r="AA753" s="6"/>
    </row>
    <row r="754" spans="2:27" ht="12.75" x14ac:dyDescent="0.2">
      <c r="B754" s="6"/>
      <c r="C754" s="6"/>
      <c r="D754" s="6"/>
      <c r="E754" s="9"/>
      <c r="F754" s="9"/>
      <c r="G754" s="11"/>
      <c r="H754" s="5"/>
      <c r="I754" s="8"/>
      <c r="J754" s="8"/>
      <c r="Z754" s="6"/>
      <c r="AA754" s="6"/>
    </row>
    <row r="755" spans="2:27" ht="12.75" x14ac:dyDescent="0.2">
      <c r="B755" s="6"/>
      <c r="C755" s="6"/>
      <c r="D755" s="6"/>
      <c r="E755" s="9"/>
      <c r="F755" s="9"/>
      <c r="G755" s="11"/>
      <c r="H755" s="5"/>
      <c r="I755" s="8"/>
      <c r="J755" s="8"/>
      <c r="Z755" s="6"/>
      <c r="AA755" s="6"/>
    </row>
    <row r="756" spans="2:27" ht="12.75" x14ac:dyDescent="0.2">
      <c r="B756" s="6"/>
      <c r="C756" s="6"/>
      <c r="D756" s="6"/>
      <c r="E756" s="9"/>
      <c r="F756" s="9"/>
      <c r="G756" s="11"/>
      <c r="H756" s="5"/>
      <c r="I756" s="8"/>
      <c r="J756" s="8"/>
      <c r="Z756" s="6"/>
      <c r="AA756" s="6"/>
    </row>
    <row r="757" spans="2:27" ht="12.75" x14ac:dyDescent="0.2">
      <c r="B757" s="6"/>
      <c r="C757" s="6"/>
      <c r="D757" s="6"/>
      <c r="E757" s="9"/>
      <c r="F757" s="9"/>
      <c r="G757" s="11"/>
      <c r="H757" s="5"/>
      <c r="I757" s="8"/>
      <c r="J757" s="8"/>
      <c r="Z757" s="6"/>
      <c r="AA757" s="6"/>
    </row>
    <row r="758" spans="2:27" ht="12.75" x14ac:dyDescent="0.2">
      <c r="B758" s="6"/>
      <c r="C758" s="6"/>
      <c r="D758" s="6"/>
      <c r="E758" s="9"/>
      <c r="F758" s="9"/>
      <c r="G758" s="11"/>
      <c r="H758" s="5"/>
      <c r="I758" s="8"/>
      <c r="J758" s="8"/>
      <c r="Z758" s="6"/>
      <c r="AA758" s="6"/>
    </row>
    <row r="759" spans="2:27" ht="12.75" x14ac:dyDescent="0.2">
      <c r="B759" s="6"/>
      <c r="C759" s="6"/>
      <c r="D759" s="6"/>
      <c r="E759" s="9"/>
      <c r="F759" s="9"/>
      <c r="G759" s="11"/>
      <c r="H759" s="5"/>
      <c r="I759" s="8"/>
      <c r="J759" s="8"/>
      <c r="Z759" s="6"/>
      <c r="AA759" s="6"/>
    </row>
    <row r="760" spans="2:27" ht="12.75" x14ac:dyDescent="0.2">
      <c r="B760" s="6"/>
      <c r="C760" s="6"/>
      <c r="D760" s="6"/>
      <c r="E760" s="9"/>
      <c r="F760" s="9"/>
      <c r="G760" s="11"/>
      <c r="H760" s="5"/>
      <c r="I760" s="8"/>
      <c r="J760" s="8"/>
      <c r="Z760" s="6"/>
      <c r="AA760" s="6"/>
    </row>
    <row r="761" spans="2:27" ht="12.75" x14ac:dyDescent="0.2">
      <c r="B761" s="6"/>
      <c r="C761" s="6"/>
      <c r="D761" s="6"/>
      <c r="E761" s="9"/>
      <c r="F761" s="9"/>
      <c r="G761" s="11"/>
      <c r="H761" s="5"/>
      <c r="I761" s="8"/>
      <c r="J761" s="8"/>
      <c r="Z761" s="6"/>
      <c r="AA761" s="6"/>
    </row>
    <row r="762" spans="2:27" ht="12.75" x14ac:dyDescent="0.2">
      <c r="B762" s="6"/>
      <c r="C762" s="6"/>
      <c r="D762" s="6"/>
      <c r="E762" s="9"/>
      <c r="F762" s="9"/>
      <c r="G762" s="11"/>
      <c r="H762" s="5"/>
      <c r="I762" s="8"/>
      <c r="J762" s="8"/>
      <c r="Z762" s="6"/>
      <c r="AA762" s="6"/>
    </row>
    <row r="763" spans="2:27" ht="12.75" x14ac:dyDescent="0.2">
      <c r="B763" s="6"/>
      <c r="C763" s="6"/>
      <c r="D763" s="6"/>
      <c r="E763" s="9"/>
      <c r="F763" s="9"/>
      <c r="G763" s="11"/>
      <c r="H763" s="5"/>
      <c r="I763" s="8"/>
      <c r="J763" s="8"/>
      <c r="Z763" s="6"/>
      <c r="AA763" s="6"/>
    </row>
    <row r="764" spans="2:27" ht="12.75" x14ac:dyDescent="0.2">
      <c r="B764" s="6"/>
      <c r="C764" s="6"/>
      <c r="D764" s="6"/>
      <c r="E764" s="9"/>
      <c r="F764" s="9"/>
      <c r="G764" s="11"/>
      <c r="H764" s="5"/>
      <c r="I764" s="8"/>
      <c r="J764" s="8"/>
      <c r="Z764" s="6"/>
      <c r="AA764" s="6"/>
    </row>
    <row r="765" spans="2:27" ht="12.75" x14ac:dyDescent="0.2">
      <c r="B765" s="6"/>
      <c r="C765" s="6"/>
      <c r="D765" s="6"/>
      <c r="E765" s="9"/>
      <c r="F765" s="9"/>
      <c r="G765" s="11"/>
      <c r="H765" s="5"/>
      <c r="I765" s="8"/>
      <c r="J765" s="8"/>
      <c r="Z765" s="6"/>
      <c r="AA765" s="6"/>
    </row>
    <row r="766" spans="2:27" ht="12.75" x14ac:dyDescent="0.2">
      <c r="B766" s="6"/>
      <c r="C766" s="6"/>
      <c r="D766" s="6"/>
      <c r="E766" s="9"/>
      <c r="F766" s="9"/>
      <c r="G766" s="11"/>
      <c r="H766" s="5"/>
      <c r="I766" s="8"/>
      <c r="J766" s="8"/>
      <c r="Z766" s="6"/>
      <c r="AA766" s="6"/>
    </row>
    <row r="767" spans="2:27" ht="12.75" x14ac:dyDescent="0.2">
      <c r="B767" s="6"/>
      <c r="C767" s="6"/>
      <c r="D767" s="6"/>
      <c r="E767" s="9"/>
      <c r="F767" s="9"/>
      <c r="G767" s="11"/>
      <c r="H767" s="5"/>
      <c r="I767" s="8"/>
      <c r="J767" s="8"/>
      <c r="Z767" s="6"/>
      <c r="AA767" s="6"/>
    </row>
    <row r="768" spans="2:27" ht="12.75" x14ac:dyDescent="0.2">
      <c r="B768" s="6"/>
      <c r="C768" s="6"/>
      <c r="D768" s="6"/>
      <c r="E768" s="9"/>
      <c r="F768" s="9"/>
      <c r="G768" s="11"/>
      <c r="H768" s="5"/>
      <c r="I768" s="8"/>
      <c r="J768" s="8"/>
      <c r="Z768" s="6"/>
      <c r="AA768" s="6"/>
    </row>
    <row r="769" spans="2:27" ht="12.75" x14ac:dyDescent="0.2">
      <c r="B769" s="6"/>
      <c r="C769" s="6"/>
      <c r="D769" s="6"/>
      <c r="E769" s="9"/>
      <c r="F769" s="9"/>
      <c r="G769" s="11"/>
      <c r="H769" s="5"/>
      <c r="I769" s="8"/>
      <c r="J769" s="8"/>
      <c r="Z769" s="6"/>
      <c r="AA769" s="6"/>
    </row>
    <row r="770" spans="2:27" ht="12.75" x14ac:dyDescent="0.2">
      <c r="B770" s="6"/>
      <c r="C770" s="6"/>
      <c r="D770" s="6"/>
      <c r="E770" s="9"/>
      <c r="F770" s="9"/>
      <c r="G770" s="11"/>
      <c r="H770" s="5"/>
      <c r="I770" s="8"/>
      <c r="J770" s="8"/>
      <c r="Z770" s="6"/>
      <c r="AA770" s="6"/>
    </row>
    <row r="771" spans="2:27" ht="12.75" x14ac:dyDescent="0.2">
      <c r="B771" s="6"/>
      <c r="C771" s="6"/>
      <c r="D771" s="6"/>
      <c r="E771" s="9"/>
      <c r="F771" s="9"/>
      <c r="G771" s="11"/>
      <c r="H771" s="5"/>
      <c r="I771" s="8"/>
      <c r="J771" s="8"/>
      <c r="Z771" s="6"/>
      <c r="AA771" s="6"/>
    </row>
    <row r="772" spans="2:27" ht="12.75" x14ac:dyDescent="0.2">
      <c r="B772" s="6"/>
      <c r="C772" s="6"/>
      <c r="D772" s="6"/>
      <c r="E772" s="9"/>
      <c r="F772" s="9"/>
      <c r="G772" s="11"/>
      <c r="H772" s="5"/>
      <c r="I772" s="8"/>
      <c r="J772" s="8"/>
      <c r="Z772" s="6"/>
      <c r="AA772" s="6"/>
    </row>
    <row r="773" spans="2:27" ht="12.75" x14ac:dyDescent="0.2">
      <c r="B773" s="6"/>
      <c r="C773" s="6"/>
      <c r="D773" s="6"/>
      <c r="E773" s="9"/>
      <c r="F773" s="9"/>
      <c r="G773" s="11"/>
      <c r="H773" s="5"/>
      <c r="I773" s="8"/>
      <c r="J773" s="8"/>
      <c r="Z773" s="6"/>
      <c r="AA773" s="6"/>
    </row>
    <row r="774" spans="2:27" ht="12.75" x14ac:dyDescent="0.2">
      <c r="B774" s="6"/>
      <c r="C774" s="6"/>
      <c r="D774" s="6"/>
      <c r="E774" s="9"/>
      <c r="F774" s="9"/>
      <c r="G774" s="11"/>
      <c r="H774" s="5"/>
      <c r="I774" s="8"/>
      <c r="J774" s="8"/>
      <c r="Z774" s="6"/>
      <c r="AA774" s="6"/>
    </row>
    <row r="775" spans="2:27" ht="12.75" x14ac:dyDescent="0.2">
      <c r="B775" s="6"/>
      <c r="C775" s="6"/>
      <c r="D775" s="6"/>
      <c r="E775" s="9"/>
      <c r="F775" s="9"/>
      <c r="G775" s="11"/>
      <c r="H775" s="5"/>
      <c r="I775" s="8"/>
      <c r="J775" s="8"/>
      <c r="Z775" s="6"/>
      <c r="AA775" s="6"/>
    </row>
    <row r="776" spans="2:27" ht="12.75" x14ac:dyDescent="0.2">
      <c r="B776" s="6"/>
      <c r="C776" s="6"/>
      <c r="D776" s="6"/>
      <c r="E776" s="9"/>
      <c r="F776" s="9"/>
      <c r="G776" s="11"/>
      <c r="H776" s="5"/>
      <c r="I776" s="8"/>
      <c r="J776" s="8"/>
      <c r="Z776" s="6"/>
      <c r="AA776" s="6"/>
    </row>
    <row r="777" spans="2:27" ht="12.75" x14ac:dyDescent="0.2">
      <c r="B777" s="6"/>
      <c r="C777" s="6"/>
      <c r="D777" s="6"/>
      <c r="E777" s="9"/>
      <c r="F777" s="9"/>
      <c r="G777" s="11"/>
      <c r="H777" s="5"/>
      <c r="I777" s="8"/>
      <c r="J777" s="8"/>
      <c r="Z777" s="6"/>
      <c r="AA777" s="6"/>
    </row>
    <row r="778" spans="2:27" ht="12.75" x14ac:dyDescent="0.2">
      <c r="B778" s="6"/>
      <c r="C778" s="6"/>
      <c r="D778" s="6"/>
      <c r="E778" s="9"/>
      <c r="F778" s="9"/>
      <c r="G778" s="11"/>
      <c r="H778" s="5"/>
      <c r="I778" s="8"/>
      <c r="J778" s="8"/>
      <c r="Z778" s="6"/>
      <c r="AA778" s="6"/>
    </row>
    <row r="779" spans="2:27" ht="12.75" x14ac:dyDescent="0.2">
      <c r="B779" s="6"/>
      <c r="C779" s="6"/>
      <c r="D779" s="6"/>
      <c r="E779" s="9"/>
      <c r="F779" s="9"/>
      <c r="G779" s="11"/>
      <c r="H779" s="5"/>
      <c r="I779" s="8"/>
      <c r="J779" s="8"/>
      <c r="Z779" s="6"/>
      <c r="AA779" s="6"/>
    </row>
    <row r="780" spans="2:27" ht="12.75" x14ac:dyDescent="0.2">
      <c r="B780" s="6"/>
      <c r="C780" s="6"/>
      <c r="D780" s="6"/>
      <c r="E780" s="9"/>
      <c r="F780" s="9"/>
      <c r="G780" s="11"/>
      <c r="H780" s="5"/>
      <c r="I780" s="8"/>
      <c r="J780" s="8"/>
      <c r="Z780" s="6"/>
      <c r="AA780" s="6"/>
    </row>
    <row r="781" spans="2:27" ht="12.75" x14ac:dyDescent="0.2">
      <c r="B781" s="6"/>
      <c r="C781" s="6"/>
      <c r="D781" s="6"/>
      <c r="E781" s="9"/>
      <c r="F781" s="9"/>
      <c r="G781" s="11"/>
      <c r="H781" s="5"/>
      <c r="I781" s="8"/>
      <c r="J781" s="8"/>
      <c r="Z781" s="6"/>
      <c r="AA781" s="6"/>
    </row>
    <row r="782" spans="2:27" ht="12.75" x14ac:dyDescent="0.2">
      <c r="B782" s="6"/>
      <c r="C782" s="6"/>
      <c r="D782" s="6"/>
      <c r="E782" s="9"/>
      <c r="F782" s="9"/>
      <c r="G782" s="11"/>
      <c r="H782" s="5"/>
      <c r="I782" s="8"/>
      <c r="J782" s="8"/>
      <c r="Z782" s="6"/>
      <c r="AA782" s="6"/>
    </row>
    <row r="783" spans="2:27" ht="12.75" x14ac:dyDescent="0.2">
      <c r="B783" s="6"/>
      <c r="C783" s="6"/>
      <c r="D783" s="6"/>
      <c r="E783" s="9"/>
      <c r="F783" s="9"/>
      <c r="G783" s="11"/>
      <c r="H783" s="5"/>
      <c r="I783" s="8"/>
      <c r="J783" s="8"/>
      <c r="Z783" s="6"/>
      <c r="AA783" s="6"/>
    </row>
    <row r="784" spans="2:27" ht="12.75" x14ac:dyDescent="0.2">
      <c r="B784" s="6"/>
      <c r="C784" s="6"/>
      <c r="D784" s="6"/>
      <c r="E784" s="9"/>
      <c r="F784" s="9"/>
      <c r="G784" s="11"/>
      <c r="H784" s="5"/>
      <c r="I784" s="8"/>
      <c r="J784" s="8"/>
      <c r="Z784" s="6"/>
      <c r="AA784" s="6"/>
    </row>
    <row r="785" spans="2:27" ht="12.75" x14ac:dyDescent="0.2">
      <c r="B785" s="6"/>
      <c r="C785" s="6"/>
      <c r="D785" s="6"/>
      <c r="E785" s="9"/>
      <c r="F785" s="9"/>
      <c r="G785" s="11"/>
      <c r="H785" s="5"/>
      <c r="I785" s="8"/>
      <c r="J785" s="8"/>
      <c r="Z785" s="6"/>
      <c r="AA785" s="6"/>
    </row>
    <row r="786" spans="2:27" ht="12.75" x14ac:dyDescent="0.2">
      <c r="B786" s="6"/>
      <c r="C786" s="6"/>
      <c r="D786" s="6"/>
      <c r="E786" s="9"/>
      <c r="F786" s="9"/>
      <c r="G786" s="11"/>
      <c r="H786" s="5"/>
      <c r="I786" s="8"/>
      <c r="J786" s="8"/>
      <c r="Z786" s="6"/>
      <c r="AA786" s="6"/>
    </row>
    <row r="787" spans="2:27" ht="12.75" x14ac:dyDescent="0.2">
      <c r="B787" s="6"/>
      <c r="C787" s="6"/>
      <c r="D787" s="6"/>
      <c r="E787" s="9"/>
      <c r="F787" s="9"/>
      <c r="G787" s="11"/>
      <c r="H787" s="5"/>
      <c r="I787" s="8"/>
      <c r="J787" s="8"/>
      <c r="Z787" s="6"/>
      <c r="AA787" s="6"/>
    </row>
    <row r="788" spans="2:27" ht="12.75" x14ac:dyDescent="0.2">
      <c r="B788" s="6"/>
      <c r="C788" s="6"/>
      <c r="D788" s="6"/>
      <c r="E788" s="9"/>
      <c r="F788" s="9"/>
      <c r="G788" s="11"/>
      <c r="H788" s="5"/>
      <c r="I788" s="8"/>
      <c r="J788" s="8"/>
      <c r="Z788" s="6"/>
      <c r="AA788" s="6"/>
    </row>
    <row r="789" spans="2:27" ht="12.75" x14ac:dyDescent="0.2">
      <c r="B789" s="6"/>
      <c r="C789" s="6"/>
      <c r="D789" s="6"/>
      <c r="E789" s="9"/>
      <c r="F789" s="9"/>
      <c r="G789" s="11"/>
      <c r="H789" s="5"/>
      <c r="I789" s="8"/>
      <c r="J789" s="8"/>
      <c r="Z789" s="6"/>
      <c r="AA789" s="6"/>
    </row>
    <row r="790" spans="2:27" ht="12.75" x14ac:dyDescent="0.2">
      <c r="B790" s="6"/>
      <c r="C790" s="6"/>
      <c r="D790" s="6"/>
      <c r="E790" s="9"/>
      <c r="F790" s="9"/>
      <c r="G790" s="11"/>
      <c r="H790" s="5"/>
      <c r="I790" s="8"/>
      <c r="J790" s="8"/>
      <c r="Z790" s="6"/>
      <c r="AA790" s="6"/>
    </row>
    <row r="791" spans="2:27" ht="12.75" x14ac:dyDescent="0.2">
      <c r="B791" s="6"/>
      <c r="C791" s="6"/>
      <c r="D791" s="6"/>
      <c r="E791" s="9"/>
      <c r="F791" s="9"/>
      <c r="G791" s="11"/>
      <c r="H791" s="5"/>
      <c r="I791" s="8"/>
      <c r="J791" s="8"/>
      <c r="Z791" s="6"/>
      <c r="AA791" s="6"/>
    </row>
    <row r="792" spans="2:27" ht="12.75" x14ac:dyDescent="0.2">
      <c r="B792" s="6"/>
      <c r="C792" s="6"/>
      <c r="D792" s="6"/>
      <c r="E792" s="9"/>
      <c r="F792" s="9"/>
      <c r="G792" s="11"/>
      <c r="H792" s="5"/>
      <c r="I792" s="8"/>
      <c r="J792" s="8"/>
      <c r="Z792" s="6"/>
      <c r="AA792" s="6"/>
    </row>
    <row r="793" spans="2:27" ht="12.75" x14ac:dyDescent="0.2">
      <c r="B793" s="6"/>
      <c r="C793" s="6"/>
      <c r="D793" s="6"/>
      <c r="E793" s="9"/>
      <c r="F793" s="9"/>
      <c r="G793" s="11"/>
      <c r="H793" s="5"/>
      <c r="I793" s="8"/>
      <c r="J793" s="8"/>
      <c r="Z793" s="6"/>
      <c r="AA793" s="6"/>
    </row>
    <row r="794" spans="2:27" ht="12.75" x14ac:dyDescent="0.2">
      <c r="B794" s="6"/>
      <c r="C794" s="6"/>
      <c r="D794" s="6"/>
      <c r="E794" s="9"/>
      <c r="F794" s="9"/>
      <c r="G794" s="11"/>
      <c r="H794" s="5"/>
      <c r="I794" s="8"/>
      <c r="J794" s="8"/>
      <c r="Z794" s="6"/>
      <c r="AA794" s="6"/>
    </row>
    <row r="795" spans="2:27" ht="12.75" x14ac:dyDescent="0.2">
      <c r="B795" s="6"/>
      <c r="C795" s="6"/>
      <c r="D795" s="6"/>
      <c r="E795" s="9"/>
      <c r="F795" s="9"/>
      <c r="G795" s="11"/>
      <c r="H795" s="5"/>
      <c r="I795" s="8"/>
      <c r="J795" s="8"/>
      <c r="Z795" s="6"/>
      <c r="AA795" s="6"/>
    </row>
    <row r="796" spans="2:27" ht="12.75" x14ac:dyDescent="0.2">
      <c r="B796" s="6"/>
      <c r="C796" s="6"/>
      <c r="D796" s="6"/>
      <c r="E796" s="9"/>
      <c r="F796" s="9"/>
      <c r="G796" s="11"/>
      <c r="H796" s="5"/>
      <c r="I796" s="8"/>
      <c r="J796" s="8"/>
      <c r="Z796" s="6"/>
      <c r="AA796" s="6"/>
    </row>
    <row r="797" spans="2:27" ht="12.75" x14ac:dyDescent="0.2">
      <c r="B797" s="6"/>
      <c r="C797" s="6"/>
      <c r="D797" s="6"/>
      <c r="E797" s="9"/>
      <c r="F797" s="9"/>
      <c r="G797" s="11"/>
      <c r="H797" s="5"/>
      <c r="I797" s="8"/>
      <c r="J797" s="8"/>
      <c r="Z797" s="6"/>
      <c r="AA797" s="6"/>
    </row>
    <row r="798" spans="2:27" ht="12.75" x14ac:dyDescent="0.2">
      <c r="B798" s="6"/>
      <c r="C798" s="6"/>
      <c r="D798" s="6"/>
      <c r="E798" s="9"/>
      <c r="F798" s="9"/>
      <c r="G798" s="11"/>
      <c r="H798" s="5"/>
      <c r="I798" s="8"/>
      <c r="J798" s="8"/>
      <c r="Z798" s="6"/>
      <c r="AA798" s="6"/>
    </row>
    <row r="799" spans="2:27" ht="12.75" x14ac:dyDescent="0.2">
      <c r="B799" s="6"/>
      <c r="C799" s="6"/>
      <c r="D799" s="6"/>
      <c r="E799" s="9"/>
      <c r="F799" s="9"/>
      <c r="G799" s="11"/>
      <c r="H799" s="5"/>
      <c r="I799" s="8"/>
      <c r="J799" s="8"/>
      <c r="Z799" s="6"/>
      <c r="AA799" s="6"/>
    </row>
    <row r="800" spans="2:27" ht="12.75" x14ac:dyDescent="0.2">
      <c r="B800" s="6"/>
      <c r="C800" s="6"/>
      <c r="D800" s="6"/>
      <c r="E800" s="9"/>
      <c r="F800" s="9"/>
      <c r="G800" s="11"/>
      <c r="H800" s="5"/>
      <c r="I800" s="8"/>
      <c r="J800" s="8"/>
      <c r="Z800" s="6"/>
      <c r="AA800" s="6"/>
    </row>
    <row r="801" spans="2:27" ht="12.75" x14ac:dyDescent="0.2">
      <c r="B801" s="6"/>
      <c r="C801" s="6"/>
      <c r="D801" s="6"/>
      <c r="E801" s="9"/>
      <c r="F801" s="9"/>
      <c r="G801" s="11"/>
      <c r="H801" s="5"/>
      <c r="I801" s="8"/>
      <c r="J801" s="8"/>
      <c r="Z801" s="6"/>
      <c r="AA801" s="6"/>
    </row>
    <row r="802" spans="2:27" ht="12.75" x14ac:dyDescent="0.2">
      <c r="B802" s="6"/>
      <c r="C802" s="6"/>
      <c r="D802" s="6"/>
      <c r="E802" s="9"/>
      <c r="F802" s="9"/>
      <c r="G802" s="11"/>
      <c r="H802" s="5"/>
      <c r="I802" s="8"/>
      <c r="J802" s="8"/>
      <c r="Z802" s="6"/>
      <c r="AA802" s="6"/>
    </row>
    <row r="803" spans="2:27" ht="12.75" x14ac:dyDescent="0.2">
      <c r="B803" s="6"/>
      <c r="C803" s="6"/>
      <c r="D803" s="6"/>
      <c r="E803" s="9"/>
      <c r="F803" s="9"/>
      <c r="G803" s="11"/>
      <c r="H803" s="5"/>
      <c r="I803" s="8"/>
      <c r="J803" s="8"/>
      <c r="Z803" s="6"/>
      <c r="AA803" s="6"/>
    </row>
    <row r="804" spans="2:27" ht="12.75" x14ac:dyDescent="0.2">
      <c r="B804" s="6"/>
      <c r="C804" s="6"/>
      <c r="D804" s="6"/>
      <c r="E804" s="9"/>
      <c r="F804" s="9"/>
      <c r="G804" s="11"/>
      <c r="H804" s="5"/>
      <c r="I804" s="8"/>
      <c r="J804" s="8"/>
      <c r="Z804" s="6"/>
      <c r="AA804" s="6"/>
    </row>
    <row r="805" spans="2:27" ht="12.75" x14ac:dyDescent="0.2">
      <c r="B805" s="6"/>
      <c r="C805" s="6"/>
      <c r="D805" s="6"/>
      <c r="E805" s="9"/>
      <c r="F805" s="9"/>
      <c r="G805" s="11"/>
      <c r="H805" s="5"/>
      <c r="I805" s="8"/>
      <c r="J805" s="8"/>
      <c r="Z805" s="6"/>
      <c r="AA805" s="6"/>
    </row>
    <row r="806" spans="2:27" ht="12.75" x14ac:dyDescent="0.2">
      <c r="B806" s="6"/>
      <c r="C806" s="6"/>
      <c r="D806" s="6"/>
      <c r="E806" s="9"/>
      <c r="F806" s="9"/>
      <c r="G806" s="11"/>
      <c r="H806" s="5"/>
      <c r="I806" s="8"/>
      <c r="J806" s="8"/>
      <c r="Z806" s="6"/>
      <c r="AA806" s="6"/>
    </row>
    <row r="807" spans="2:27" ht="12.75" x14ac:dyDescent="0.2">
      <c r="B807" s="6"/>
      <c r="C807" s="6"/>
      <c r="D807" s="6"/>
      <c r="E807" s="9"/>
      <c r="F807" s="9"/>
      <c r="G807" s="11"/>
      <c r="H807" s="5"/>
      <c r="I807" s="8"/>
      <c r="J807" s="8"/>
      <c r="Z807" s="6"/>
      <c r="AA807" s="6"/>
    </row>
    <row r="808" spans="2:27" ht="12.75" x14ac:dyDescent="0.2">
      <c r="B808" s="6"/>
      <c r="C808" s="6"/>
      <c r="D808" s="6"/>
      <c r="E808" s="9"/>
      <c r="F808" s="9"/>
      <c r="G808" s="11"/>
      <c r="H808" s="5"/>
      <c r="I808" s="8"/>
      <c r="J808" s="8"/>
      <c r="Z808" s="6"/>
      <c r="AA808" s="6"/>
    </row>
    <row r="809" spans="2:27" ht="12.75" x14ac:dyDescent="0.2">
      <c r="B809" s="6"/>
      <c r="C809" s="6"/>
      <c r="D809" s="6"/>
      <c r="E809" s="9"/>
      <c r="F809" s="9"/>
      <c r="G809" s="11"/>
      <c r="H809" s="5"/>
      <c r="I809" s="8"/>
      <c r="J809" s="8"/>
      <c r="Z809" s="6"/>
      <c r="AA809" s="6"/>
    </row>
    <row r="810" spans="2:27" ht="12.75" x14ac:dyDescent="0.2">
      <c r="B810" s="6"/>
      <c r="C810" s="6"/>
      <c r="D810" s="6"/>
      <c r="E810" s="9"/>
      <c r="F810" s="9"/>
      <c r="G810" s="11"/>
      <c r="H810" s="5"/>
      <c r="I810" s="8"/>
      <c r="J810" s="8"/>
      <c r="Z810" s="6"/>
      <c r="AA810" s="6"/>
    </row>
    <row r="811" spans="2:27" ht="12.75" x14ac:dyDescent="0.2">
      <c r="B811" s="6"/>
      <c r="C811" s="6"/>
      <c r="D811" s="6"/>
      <c r="E811" s="9"/>
      <c r="F811" s="9"/>
      <c r="G811" s="11"/>
      <c r="H811" s="5"/>
      <c r="I811" s="8"/>
      <c r="J811" s="8"/>
      <c r="Z811" s="6"/>
      <c r="AA811" s="6"/>
    </row>
    <row r="812" spans="2:27" ht="12.75" x14ac:dyDescent="0.2">
      <c r="B812" s="6"/>
      <c r="C812" s="6"/>
      <c r="D812" s="6"/>
      <c r="E812" s="9"/>
      <c r="F812" s="9"/>
      <c r="G812" s="11"/>
      <c r="H812" s="5"/>
      <c r="I812" s="8"/>
      <c r="J812" s="8"/>
      <c r="Z812" s="6"/>
      <c r="AA812" s="6"/>
    </row>
    <row r="813" spans="2:27" ht="12.75" x14ac:dyDescent="0.2">
      <c r="B813" s="6"/>
      <c r="C813" s="6"/>
      <c r="D813" s="6"/>
      <c r="E813" s="9"/>
      <c r="F813" s="9"/>
      <c r="G813" s="11"/>
      <c r="H813" s="5"/>
      <c r="I813" s="8"/>
      <c r="J813" s="8"/>
      <c r="Z813" s="6"/>
      <c r="AA813" s="6"/>
    </row>
    <row r="814" spans="2:27" ht="12.75" x14ac:dyDescent="0.2">
      <c r="B814" s="6"/>
      <c r="C814" s="6"/>
      <c r="D814" s="6"/>
      <c r="E814" s="9"/>
      <c r="F814" s="9"/>
      <c r="G814" s="11"/>
      <c r="H814" s="5"/>
      <c r="I814" s="8"/>
      <c r="J814" s="8"/>
      <c r="Z814" s="6"/>
      <c r="AA814" s="6"/>
    </row>
    <row r="815" spans="2:27" ht="12.75" x14ac:dyDescent="0.2">
      <c r="B815" s="6"/>
      <c r="C815" s="6"/>
      <c r="D815" s="6"/>
      <c r="E815" s="9"/>
      <c r="F815" s="9"/>
      <c r="G815" s="11"/>
      <c r="H815" s="5"/>
      <c r="I815" s="8"/>
      <c r="J815" s="8"/>
      <c r="Z815" s="6"/>
      <c r="AA815" s="6"/>
    </row>
    <row r="816" spans="2:27" ht="12.75" x14ac:dyDescent="0.2">
      <c r="B816" s="6"/>
      <c r="C816" s="6"/>
      <c r="D816" s="6"/>
      <c r="E816" s="9"/>
      <c r="F816" s="9"/>
      <c r="G816" s="11"/>
      <c r="H816" s="5"/>
      <c r="I816" s="8"/>
      <c r="J816" s="8"/>
      <c r="Z816" s="6"/>
      <c r="AA816" s="6"/>
    </row>
    <row r="817" spans="2:27" ht="12.75" x14ac:dyDescent="0.2">
      <c r="B817" s="6"/>
      <c r="C817" s="6"/>
      <c r="D817" s="6"/>
      <c r="E817" s="9"/>
      <c r="F817" s="9"/>
      <c r="G817" s="11"/>
      <c r="H817" s="5"/>
      <c r="I817" s="8"/>
      <c r="J817" s="8"/>
      <c r="Z817" s="6"/>
      <c r="AA817" s="6"/>
    </row>
    <row r="818" spans="2:27" ht="12.75" x14ac:dyDescent="0.2">
      <c r="B818" s="6"/>
      <c r="C818" s="6"/>
      <c r="D818" s="6"/>
      <c r="E818" s="9"/>
      <c r="F818" s="9"/>
      <c r="G818" s="11"/>
      <c r="H818" s="5"/>
      <c r="I818" s="8"/>
      <c r="J818" s="8"/>
      <c r="Z818" s="6"/>
      <c r="AA818" s="6"/>
    </row>
    <row r="819" spans="2:27" ht="12.75" x14ac:dyDescent="0.2">
      <c r="B819" s="6"/>
      <c r="C819" s="6"/>
      <c r="D819" s="6"/>
      <c r="E819" s="9"/>
      <c r="F819" s="9"/>
      <c r="G819" s="11"/>
      <c r="H819" s="5"/>
      <c r="I819" s="8"/>
      <c r="J819" s="8"/>
      <c r="Z819" s="6"/>
      <c r="AA819" s="6"/>
    </row>
    <row r="820" spans="2:27" ht="12.75" x14ac:dyDescent="0.2">
      <c r="B820" s="6"/>
      <c r="C820" s="6"/>
      <c r="D820" s="6"/>
      <c r="E820" s="9"/>
      <c r="F820" s="9"/>
      <c r="G820" s="11"/>
      <c r="H820" s="5"/>
      <c r="I820" s="8"/>
      <c r="J820" s="8"/>
      <c r="Z820" s="6"/>
      <c r="AA820" s="6"/>
    </row>
    <row r="821" spans="2:27" ht="12.75" x14ac:dyDescent="0.2">
      <c r="B821" s="6"/>
      <c r="C821" s="6"/>
      <c r="D821" s="6"/>
      <c r="E821" s="9"/>
      <c r="F821" s="9"/>
      <c r="G821" s="11"/>
      <c r="H821" s="5"/>
      <c r="I821" s="8"/>
      <c r="J821" s="8"/>
      <c r="Z821" s="6"/>
      <c r="AA821" s="6"/>
    </row>
    <row r="822" spans="2:27" ht="12.75" x14ac:dyDescent="0.2">
      <c r="B822" s="6"/>
      <c r="C822" s="6"/>
      <c r="D822" s="6"/>
      <c r="E822" s="9"/>
      <c r="F822" s="9"/>
      <c r="G822" s="11"/>
      <c r="H822" s="5"/>
      <c r="I822" s="8"/>
      <c r="J822" s="8"/>
      <c r="Z822" s="6"/>
      <c r="AA822" s="6"/>
    </row>
    <row r="823" spans="2:27" ht="12.75" x14ac:dyDescent="0.2">
      <c r="B823" s="6"/>
      <c r="C823" s="6"/>
      <c r="D823" s="6"/>
      <c r="E823" s="9"/>
      <c r="F823" s="9"/>
      <c r="G823" s="11"/>
      <c r="H823" s="5"/>
      <c r="I823" s="8"/>
      <c r="J823" s="8"/>
      <c r="Z823" s="6"/>
      <c r="AA823" s="6"/>
    </row>
    <row r="824" spans="2:27" ht="12.75" x14ac:dyDescent="0.2">
      <c r="B824" s="6"/>
      <c r="C824" s="6"/>
      <c r="D824" s="6"/>
      <c r="E824" s="9"/>
      <c r="F824" s="9"/>
      <c r="G824" s="11"/>
      <c r="H824" s="5"/>
      <c r="I824" s="8"/>
      <c r="J824" s="8"/>
      <c r="Z824" s="6"/>
      <c r="AA824" s="6"/>
    </row>
    <row r="825" spans="2:27" ht="12.75" x14ac:dyDescent="0.2">
      <c r="B825" s="6"/>
      <c r="C825" s="6"/>
      <c r="D825" s="6"/>
      <c r="E825" s="9"/>
      <c r="F825" s="9"/>
      <c r="G825" s="11"/>
      <c r="H825" s="5"/>
      <c r="I825" s="8"/>
      <c r="J825" s="8"/>
      <c r="Z825" s="6"/>
      <c r="AA825" s="6"/>
    </row>
    <row r="826" spans="2:27" ht="12.75" x14ac:dyDescent="0.2">
      <c r="B826" s="6"/>
      <c r="C826" s="6"/>
      <c r="D826" s="6"/>
      <c r="E826" s="9"/>
      <c r="F826" s="9"/>
      <c r="G826" s="11"/>
      <c r="H826" s="5"/>
      <c r="I826" s="8"/>
      <c r="J826" s="8"/>
      <c r="Z826" s="6"/>
      <c r="AA826" s="6"/>
    </row>
    <row r="827" spans="2:27" ht="12.75" x14ac:dyDescent="0.2">
      <c r="B827" s="6"/>
      <c r="C827" s="6"/>
      <c r="D827" s="6"/>
      <c r="E827" s="9"/>
      <c r="F827" s="9"/>
      <c r="G827" s="11"/>
      <c r="H827" s="5"/>
      <c r="I827" s="8"/>
      <c r="J827" s="8"/>
      <c r="Z827" s="6"/>
      <c r="AA827" s="6"/>
    </row>
    <row r="828" spans="2:27" ht="12.75" x14ac:dyDescent="0.2">
      <c r="B828" s="6"/>
      <c r="C828" s="6"/>
      <c r="D828" s="6"/>
      <c r="E828" s="9"/>
      <c r="F828" s="9"/>
      <c r="G828" s="11"/>
      <c r="H828" s="5"/>
      <c r="I828" s="8"/>
      <c r="J828" s="8"/>
      <c r="Z828" s="6"/>
      <c r="AA828" s="6"/>
    </row>
    <row r="829" spans="2:27" ht="12.75" x14ac:dyDescent="0.2">
      <c r="B829" s="6"/>
      <c r="C829" s="6"/>
      <c r="D829" s="6"/>
      <c r="E829" s="9"/>
      <c r="F829" s="9"/>
      <c r="G829" s="11"/>
      <c r="H829" s="5"/>
      <c r="I829" s="8"/>
      <c r="J829" s="8"/>
      <c r="Z829" s="6"/>
      <c r="AA829" s="6"/>
    </row>
    <row r="830" spans="2:27" ht="12.75" x14ac:dyDescent="0.2">
      <c r="B830" s="6"/>
      <c r="C830" s="6"/>
      <c r="D830" s="6"/>
      <c r="E830" s="9"/>
      <c r="F830" s="9"/>
      <c r="G830" s="11"/>
      <c r="H830" s="5"/>
      <c r="I830" s="8"/>
      <c r="J830" s="8"/>
      <c r="Z830" s="6"/>
      <c r="AA830" s="6"/>
    </row>
    <row r="831" spans="2:27" ht="12.75" x14ac:dyDescent="0.2">
      <c r="B831" s="6"/>
      <c r="C831" s="6"/>
      <c r="D831" s="6"/>
      <c r="E831" s="9"/>
      <c r="F831" s="9"/>
      <c r="G831" s="11"/>
      <c r="H831" s="5"/>
      <c r="I831" s="8"/>
      <c r="J831" s="8"/>
      <c r="Z831" s="6"/>
      <c r="AA831" s="6"/>
    </row>
    <row r="832" spans="2:27" ht="12.75" x14ac:dyDescent="0.2">
      <c r="B832" s="6"/>
      <c r="C832" s="6"/>
      <c r="D832" s="6"/>
      <c r="E832" s="9"/>
      <c r="F832" s="9"/>
      <c r="G832" s="11"/>
      <c r="H832" s="5"/>
      <c r="I832" s="8"/>
      <c r="J832" s="8"/>
      <c r="Z832" s="6"/>
      <c r="AA832" s="6"/>
    </row>
    <row r="833" spans="2:27" ht="12.75" x14ac:dyDescent="0.2">
      <c r="B833" s="6"/>
      <c r="C833" s="6"/>
      <c r="D833" s="6"/>
      <c r="E833" s="9"/>
      <c r="F833" s="9"/>
      <c r="G833" s="11"/>
      <c r="H833" s="5"/>
      <c r="I833" s="8"/>
      <c r="J833" s="8"/>
      <c r="Z833" s="6"/>
      <c r="AA833" s="6"/>
    </row>
    <row r="834" spans="2:27" ht="12.75" x14ac:dyDescent="0.2">
      <c r="B834" s="6"/>
      <c r="C834" s="6"/>
      <c r="D834" s="6"/>
      <c r="E834" s="9"/>
      <c r="F834" s="9"/>
      <c r="G834" s="11"/>
      <c r="H834" s="5"/>
      <c r="I834" s="8"/>
      <c r="J834" s="8"/>
      <c r="Z834" s="6"/>
      <c r="AA834" s="6"/>
    </row>
    <row r="835" spans="2:27" ht="12.75" x14ac:dyDescent="0.2">
      <c r="B835" s="6"/>
      <c r="C835" s="6"/>
      <c r="D835" s="6"/>
      <c r="E835" s="9"/>
      <c r="F835" s="9"/>
      <c r="G835" s="11"/>
      <c r="H835" s="5"/>
      <c r="I835" s="8"/>
      <c r="J835" s="8"/>
      <c r="Z835" s="6"/>
      <c r="AA835" s="6"/>
    </row>
    <row r="836" spans="2:27" ht="12.75" x14ac:dyDescent="0.2">
      <c r="B836" s="6"/>
      <c r="C836" s="6"/>
      <c r="D836" s="6"/>
      <c r="E836" s="9"/>
      <c r="F836" s="9"/>
      <c r="G836" s="11"/>
      <c r="H836" s="5"/>
      <c r="I836" s="8"/>
      <c r="J836" s="8"/>
      <c r="Z836" s="6"/>
      <c r="AA836" s="6"/>
    </row>
    <row r="837" spans="2:27" ht="12.75" x14ac:dyDescent="0.2">
      <c r="B837" s="6"/>
      <c r="C837" s="6"/>
      <c r="D837" s="6"/>
      <c r="E837" s="9"/>
      <c r="F837" s="9"/>
      <c r="G837" s="11"/>
      <c r="H837" s="5"/>
      <c r="I837" s="8"/>
      <c r="J837" s="8"/>
      <c r="Z837" s="6"/>
      <c r="AA837" s="6"/>
    </row>
    <row r="838" spans="2:27" ht="12.75" x14ac:dyDescent="0.2">
      <c r="B838" s="6"/>
      <c r="C838" s="6"/>
      <c r="D838" s="6"/>
      <c r="E838" s="9"/>
      <c r="F838" s="9"/>
      <c r="G838" s="11"/>
      <c r="H838" s="5"/>
      <c r="I838" s="8"/>
      <c r="J838" s="8"/>
      <c r="Z838" s="6"/>
      <c r="AA838" s="6"/>
    </row>
    <row r="839" spans="2:27" ht="12.75" x14ac:dyDescent="0.2">
      <c r="B839" s="6"/>
      <c r="C839" s="6"/>
      <c r="D839" s="6"/>
      <c r="E839" s="9"/>
      <c r="F839" s="9"/>
      <c r="G839" s="11"/>
      <c r="H839" s="5"/>
      <c r="I839" s="8"/>
      <c r="J839" s="8"/>
      <c r="Z839" s="6"/>
      <c r="AA839" s="6"/>
    </row>
    <row r="840" spans="2:27" ht="12.75" x14ac:dyDescent="0.2">
      <c r="B840" s="6"/>
      <c r="C840" s="6"/>
      <c r="D840" s="6"/>
      <c r="E840" s="9"/>
      <c r="F840" s="9"/>
      <c r="G840" s="11"/>
      <c r="H840" s="5"/>
      <c r="I840" s="8"/>
      <c r="J840" s="8"/>
      <c r="Z840" s="6"/>
      <c r="AA840" s="6"/>
    </row>
    <row r="841" spans="2:27" ht="12.75" x14ac:dyDescent="0.2">
      <c r="B841" s="6"/>
      <c r="C841" s="6"/>
      <c r="D841" s="6"/>
      <c r="E841" s="9"/>
      <c r="F841" s="9"/>
      <c r="G841" s="11"/>
      <c r="H841" s="5"/>
      <c r="I841" s="8"/>
      <c r="J841" s="8"/>
      <c r="Z841" s="6"/>
      <c r="AA841" s="6"/>
    </row>
    <row r="842" spans="2:27" ht="12.75" x14ac:dyDescent="0.2">
      <c r="B842" s="6"/>
      <c r="C842" s="6"/>
      <c r="D842" s="6"/>
      <c r="E842" s="9"/>
      <c r="F842" s="9"/>
      <c r="G842" s="11"/>
      <c r="H842" s="5"/>
      <c r="I842" s="8"/>
      <c r="J842" s="8"/>
      <c r="Z842" s="6"/>
      <c r="AA842" s="6"/>
    </row>
    <row r="843" spans="2:27" ht="12.75" x14ac:dyDescent="0.2">
      <c r="B843" s="6"/>
      <c r="C843" s="6"/>
      <c r="D843" s="6"/>
      <c r="E843" s="9"/>
      <c r="F843" s="9"/>
      <c r="G843" s="11"/>
      <c r="H843" s="5"/>
      <c r="I843" s="8"/>
      <c r="J843" s="8"/>
      <c r="Z843" s="6"/>
      <c r="AA843" s="6"/>
    </row>
    <row r="844" spans="2:27" ht="12.75" x14ac:dyDescent="0.2">
      <c r="B844" s="6"/>
      <c r="C844" s="6"/>
      <c r="D844" s="6"/>
      <c r="E844" s="9"/>
      <c r="F844" s="9"/>
      <c r="G844" s="11"/>
      <c r="H844" s="5"/>
      <c r="I844" s="8"/>
      <c r="J844" s="8"/>
      <c r="Z844" s="6"/>
      <c r="AA844" s="6"/>
    </row>
    <row r="845" spans="2:27" ht="12.75" x14ac:dyDescent="0.2">
      <c r="B845" s="6"/>
      <c r="C845" s="6"/>
      <c r="D845" s="6"/>
      <c r="E845" s="9"/>
      <c r="F845" s="9"/>
      <c r="G845" s="11"/>
      <c r="H845" s="5"/>
      <c r="I845" s="8"/>
      <c r="J845" s="8"/>
      <c r="Z845" s="6"/>
      <c r="AA845" s="6"/>
    </row>
    <row r="846" spans="2:27" ht="12.75" x14ac:dyDescent="0.2">
      <c r="B846" s="6"/>
      <c r="C846" s="6"/>
      <c r="D846" s="6"/>
      <c r="E846" s="9"/>
      <c r="F846" s="9"/>
      <c r="G846" s="11"/>
      <c r="H846" s="5"/>
      <c r="I846" s="8"/>
      <c r="J846" s="8"/>
      <c r="Z846" s="6"/>
      <c r="AA846" s="6"/>
    </row>
    <row r="847" spans="2:27" ht="12.75" x14ac:dyDescent="0.2">
      <c r="B847" s="6"/>
      <c r="C847" s="6"/>
      <c r="D847" s="6"/>
      <c r="E847" s="9"/>
      <c r="F847" s="9"/>
      <c r="G847" s="11"/>
      <c r="H847" s="5"/>
      <c r="I847" s="8"/>
      <c r="J847" s="8"/>
      <c r="Z847" s="6"/>
      <c r="AA847" s="6"/>
    </row>
    <row r="848" spans="2:27" ht="12.75" x14ac:dyDescent="0.2">
      <c r="B848" s="6"/>
      <c r="C848" s="6"/>
      <c r="D848" s="6"/>
      <c r="E848" s="9"/>
      <c r="F848" s="9"/>
      <c r="G848" s="11"/>
      <c r="H848" s="5"/>
      <c r="I848" s="8"/>
      <c r="J848" s="8"/>
      <c r="Z848" s="6"/>
      <c r="AA848" s="6"/>
    </row>
    <row r="849" spans="2:27" ht="12.75" x14ac:dyDescent="0.2">
      <c r="B849" s="6"/>
      <c r="C849" s="6"/>
      <c r="D849" s="6"/>
      <c r="E849" s="9"/>
      <c r="F849" s="9"/>
      <c r="G849" s="11"/>
      <c r="H849" s="5"/>
      <c r="I849" s="8"/>
      <c r="J849" s="8"/>
      <c r="Z849" s="6"/>
      <c r="AA849" s="6"/>
    </row>
    <row r="850" spans="2:27" ht="12.75" x14ac:dyDescent="0.2">
      <c r="B850" s="6"/>
      <c r="C850" s="6"/>
      <c r="D850" s="6"/>
      <c r="E850" s="9"/>
      <c r="F850" s="9"/>
      <c r="G850" s="11"/>
      <c r="H850" s="5"/>
      <c r="I850" s="8"/>
      <c r="J850" s="8"/>
      <c r="Z850" s="6"/>
      <c r="AA850" s="6"/>
    </row>
    <row r="851" spans="2:27" ht="12.75" x14ac:dyDescent="0.2">
      <c r="B851" s="6"/>
      <c r="C851" s="6"/>
      <c r="D851" s="6"/>
      <c r="E851" s="9"/>
      <c r="F851" s="9"/>
      <c r="G851" s="11"/>
      <c r="H851" s="5"/>
      <c r="I851" s="8"/>
      <c r="J851" s="8"/>
      <c r="Z851" s="6"/>
      <c r="AA851" s="6"/>
    </row>
    <row r="852" spans="2:27" ht="12.75" x14ac:dyDescent="0.2">
      <c r="B852" s="6"/>
      <c r="C852" s="6"/>
      <c r="D852" s="6"/>
      <c r="E852" s="9"/>
      <c r="F852" s="9"/>
      <c r="G852" s="11"/>
      <c r="H852" s="5"/>
      <c r="I852" s="8"/>
      <c r="J852" s="8"/>
      <c r="Z852" s="6"/>
      <c r="AA852" s="6"/>
    </row>
    <row r="853" spans="2:27" ht="12.75" x14ac:dyDescent="0.2">
      <c r="B853" s="6"/>
      <c r="C853" s="6"/>
      <c r="D853" s="6"/>
      <c r="E853" s="9"/>
      <c r="F853" s="9"/>
      <c r="G853" s="11"/>
      <c r="H853" s="5"/>
      <c r="I853" s="8"/>
      <c r="J853" s="8"/>
      <c r="Z853" s="6"/>
      <c r="AA853" s="6"/>
    </row>
    <row r="854" spans="2:27" ht="12.75" x14ac:dyDescent="0.2">
      <c r="B854" s="6"/>
      <c r="C854" s="6"/>
      <c r="D854" s="6"/>
      <c r="E854" s="9"/>
      <c r="F854" s="9"/>
      <c r="G854" s="11"/>
      <c r="H854" s="5"/>
      <c r="I854" s="8"/>
      <c r="J854" s="8"/>
      <c r="Z854" s="6"/>
      <c r="AA854" s="6"/>
    </row>
    <row r="855" spans="2:27" ht="12.75" x14ac:dyDescent="0.2">
      <c r="B855" s="6"/>
      <c r="C855" s="6"/>
      <c r="D855" s="6"/>
      <c r="E855" s="9"/>
      <c r="F855" s="9"/>
      <c r="G855" s="11"/>
      <c r="H855" s="5"/>
      <c r="I855" s="8"/>
      <c r="J855" s="8"/>
      <c r="Z855" s="6"/>
      <c r="AA855" s="6"/>
    </row>
    <row r="856" spans="2:27" ht="12.75" x14ac:dyDescent="0.2">
      <c r="B856" s="6"/>
      <c r="C856" s="6"/>
      <c r="D856" s="6"/>
      <c r="E856" s="9"/>
      <c r="F856" s="9"/>
      <c r="G856" s="11"/>
      <c r="H856" s="5"/>
      <c r="I856" s="8"/>
      <c r="J856" s="8"/>
      <c r="Z856" s="6"/>
      <c r="AA856" s="6"/>
    </row>
    <row r="857" spans="2:27" ht="12.75" x14ac:dyDescent="0.2">
      <c r="B857" s="6"/>
      <c r="C857" s="6"/>
      <c r="D857" s="6"/>
      <c r="E857" s="9"/>
      <c r="F857" s="9"/>
      <c r="G857" s="11"/>
      <c r="H857" s="5"/>
      <c r="I857" s="8"/>
      <c r="J857" s="8"/>
      <c r="Z857" s="6"/>
      <c r="AA857" s="6"/>
    </row>
    <row r="858" spans="2:27" ht="12.75" x14ac:dyDescent="0.2">
      <c r="B858" s="6"/>
      <c r="C858" s="6"/>
      <c r="D858" s="6"/>
      <c r="E858" s="9"/>
      <c r="F858" s="9"/>
      <c r="G858" s="11"/>
      <c r="H858" s="5"/>
      <c r="I858" s="8"/>
      <c r="J858" s="8"/>
      <c r="Z858" s="6"/>
      <c r="AA858" s="6"/>
    </row>
    <row r="859" spans="2:27" ht="12.75" x14ac:dyDescent="0.2">
      <c r="B859" s="6"/>
      <c r="C859" s="6"/>
      <c r="D859" s="6"/>
      <c r="E859" s="9"/>
      <c r="F859" s="9"/>
      <c r="G859" s="11"/>
      <c r="H859" s="5"/>
      <c r="I859" s="8"/>
      <c r="J859" s="8"/>
      <c r="Z859" s="6"/>
      <c r="AA859" s="6"/>
    </row>
    <row r="860" spans="2:27" ht="12.75" x14ac:dyDescent="0.2">
      <c r="B860" s="6"/>
      <c r="C860" s="6"/>
      <c r="D860" s="6"/>
      <c r="E860" s="9"/>
      <c r="F860" s="9"/>
      <c r="G860" s="11"/>
      <c r="H860" s="5"/>
      <c r="I860" s="8"/>
      <c r="J860" s="8"/>
      <c r="Z860" s="6"/>
      <c r="AA860" s="6"/>
    </row>
    <row r="861" spans="2:27" ht="12.75" x14ac:dyDescent="0.2">
      <c r="B861" s="6"/>
      <c r="C861" s="6"/>
      <c r="D861" s="6"/>
      <c r="E861" s="9"/>
      <c r="F861" s="9"/>
      <c r="G861" s="11"/>
      <c r="H861" s="5"/>
      <c r="I861" s="8"/>
      <c r="J861" s="8"/>
      <c r="Z861" s="6"/>
      <c r="AA861" s="6"/>
    </row>
  </sheetData>
  <dataValidations count="1">
    <dataValidation type="list" allowBlank="1" showErrorMessage="1" sqref="C3:C4" xr:uid="{00000000-0002-0000-0400-000000000000}">
      <formula1>"5DD,EOM,LBD,TP"</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862"/>
  <sheetViews>
    <sheetView workbookViewId="0">
      <pane ySplit="1" topLeftCell="A2" activePane="bottomLeft" state="frozen"/>
      <selection pane="bottomLeft" activeCell="B3" sqref="B3"/>
    </sheetView>
  </sheetViews>
  <sheetFormatPr defaultColWidth="12.42578125" defaultRowHeight="15.75" customHeight="1" x14ac:dyDescent="0.2"/>
  <cols>
    <col min="1" max="1" width="8.28515625" customWidth="1"/>
    <col min="2" max="2" width="6.140625" customWidth="1"/>
    <col min="3" max="3" width="9.42578125" customWidth="1"/>
    <col min="4" max="4" width="7" customWidth="1"/>
    <col min="5" max="5" width="7.42578125" customWidth="1"/>
    <col min="6" max="6" width="8" customWidth="1"/>
    <col min="7" max="7" width="8.28515625" customWidth="1"/>
    <col min="8" max="8" width="7.85546875" customWidth="1"/>
    <col min="9" max="10" width="7" customWidth="1"/>
    <col min="11" max="11" width="6.42578125" customWidth="1"/>
    <col min="12" max="12" width="5.140625" customWidth="1"/>
    <col min="13" max="13" width="7.85546875" customWidth="1"/>
    <col min="14" max="14" width="13.42578125" customWidth="1"/>
    <col min="15" max="15" width="10.85546875" customWidth="1"/>
    <col min="16" max="16" width="11.42578125" customWidth="1"/>
    <col min="17" max="17" width="6.42578125" customWidth="1"/>
    <col min="18" max="18" width="7.140625" customWidth="1"/>
    <col min="19" max="19" width="9.140625" customWidth="1"/>
    <col min="20" max="20" width="6.42578125" customWidth="1"/>
    <col min="21" max="21" width="11.140625" customWidth="1"/>
    <col min="22" max="22" width="9.28515625" customWidth="1"/>
    <col min="23" max="23" width="8.85546875" customWidth="1"/>
    <col min="24" max="25" width="7" customWidth="1"/>
    <col min="26" max="26" width="8.42578125" customWidth="1"/>
  </cols>
  <sheetData>
    <row r="1" spans="1:26" ht="15" customHeight="1" x14ac:dyDescent="0.2">
      <c r="A1" s="14" t="s">
        <v>2</v>
      </c>
      <c r="B1" s="15" t="s">
        <v>3</v>
      </c>
      <c r="C1" s="15" t="s">
        <v>4</v>
      </c>
      <c r="D1" s="15" t="s">
        <v>0</v>
      </c>
      <c r="E1" s="16" t="s">
        <v>5</v>
      </c>
      <c r="F1" s="16" t="s">
        <v>6</v>
      </c>
      <c r="G1" s="17" t="s">
        <v>7</v>
      </c>
      <c r="H1" s="18" t="s">
        <v>8</v>
      </c>
      <c r="I1" s="19" t="s">
        <v>9</v>
      </c>
      <c r="J1" s="19" t="s">
        <v>10</v>
      </c>
      <c r="K1" s="19" t="s">
        <v>11</v>
      </c>
      <c r="L1" s="18" t="s">
        <v>12</v>
      </c>
      <c r="M1" s="20"/>
      <c r="N1" s="20"/>
      <c r="O1" s="20"/>
      <c r="P1" s="20"/>
      <c r="Q1" s="20"/>
      <c r="R1" s="20"/>
      <c r="S1" s="20"/>
      <c r="T1" s="20"/>
      <c r="U1" s="20"/>
      <c r="V1" s="20"/>
      <c r="W1" s="20"/>
      <c r="X1" s="20"/>
      <c r="Y1" s="20"/>
      <c r="Z1" s="3"/>
    </row>
    <row r="2" spans="1:26" ht="12.75" x14ac:dyDescent="0.2">
      <c r="A2" s="10"/>
      <c r="B2" s="6"/>
      <c r="C2" s="6"/>
      <c r="D2" s="6"/>
      <c r="E2" s="9"/>
      <c r="F2" s="9"/>
      <c r="G2" s="11"/>
      <c r="H2" s="5"/>
      <c r="I2" s="6"/>
      <c r="J2" s="6"/>
      <c r="K2" s="20"/>
      <c r="L2" s="20"/>
      <c r="M2" s="20"/>
      <c r="Q2" s="20"/>
      <c r="X2" s="6"/>
      <c r="Y2" s="6"/>
      <c r="Z2" s="6"/>
    </row>
    <row r="3" spans="1:26" ht="12.75" x14ac:dyDescent="0.2">
      <c r="A3" s="10">
        <v>45699</v>
      </c>
      <c r="B3" s="1" t="s">
        <v>13</v>
      </c>
      <c r="C3" s="1" t="s">
        <v>14</v>
      </c>
      <c r="D3" s="6">
        <v>232.37</v>
      </c>
      <c r="E3" s="9">
        <f t="shared" ref="E3:E7" si="0">$O$3/D3</f>
        <v>1.0758703791367217</v>
      </c>
      <c r="F3" s="9">
        <f>E3</f>
        <v>1.0758703791367217</v>
      </c>
      <c r="G3" s="11">
        <f t="shared" ref="G3:G7" si="1">$O$4/D3</f>
        <v>1.0758703791367217</v>
      </c>
      <c r="H3" s="5">
        <f t="shared" ref="H3:H7" si="2">D3*G3</f>
        <v>250.00000000000003</v>
      </c>
      <c r="I3" s="6">
        <f t="shared" ref="I3:I7" si="3">D3-(D3*$O$5)</f>
        <v>223.0752</v>
      </c>
      <c r="J3" s="6">
        <f t="shared" ref="J3:J7" si="4">D3+(D3*$O$6)</f>
        <v>260.25440000000003</v>
      </c>
      <c r="K3" s="5"/>
      <c r="L3" s="5"/>
      <c r="M3" s="5"/>
      <c r="N3" s="20" t="s">
        <v>21</v>
      </c>
      <c r="O3" s="5">
        <v>250</v>
      </c>
      <c r="W3" s="6"/>
      <c r="X3" s="6"/>
      <c r="Y3" s="6"/>
      <c r="Z3" s="6"/>
    </row>
    <row r="4" spans="1:26" ht="12.75" x14ac:dyDescent="0.2">
      <c r="A4" s="10">
        <v>45699</v>
      </c>
      <c r="B4" s="1" t="s">
        <v>16</v>
      </c>
      <c r="C4" s="1" t="s">
        <v>14</v>
      </c>
      <c r="D4" s="6">
        <v>232.37</v>
      </c>
      <c r="E4" s="9">
        <f t="shared" si="0"/>
        <v>1.0758703791367217</v>
      </c>
      <c r="F4" s="9">
        <f t="shared" ref="F4:F7" si="5">F3+E4</f>
        <v>2.1517407582734434</v>
      </c>
      <c r="G4" s="11">
        <f t="shared" si="1"/>
        <v>1.0758703791367217</v>
      </c>
      <c r="H4" s="5">
        <f t="shared" si="2"/>
        <v>250.00000000000003</v>
      </c>
      <c r="I4" s="6">
        <f t="shared" si="3"/>
        <v>223.0752</v>
      </c>
      <c r="J4" s="6">
        <f t="shared" si="4"/>
        <v>260.25440000000003</v>
      </c>
      <c r="K4" s="6"/>
      <c r="L4" s="6"/>
      <c r="M4" s="6"/>
      <c r="N4" s="3" t="s">
        <v>8</v>
      </c>
      <c r="O4" s="5">
        <v>250</v>
      </c>
      <c r="P4" s="10"/>
      <c r="Q4" s="6"/>
      <c r="R4" s="6"/>
      <c r="S4" s="6"/>
      <c r="T4" s="6"/>
      <c r="U4" s="6"/>
      <c r="V4" s="6"/>
      <c r="W4" s="6"/>
      <c r="X4" s="6"/>
      <c r="Y4" s="6"/>
      <c r="Z4" s="6"/>
    </row>
    <row r="5" spans="1:26" ht="12.75" x14ac:dyDescent="0.2">
      <c r="A5" s="10">
        <v>45720</v>
      </c>
      <c r="B5" s="1" t="s">
        <v>22</v>
      </c>
      <c r="C5" s="1" t="s">
        <v>14</v>
      </c>
      <c r="D5" s="6">
        <v>205.6</v>
      </c>
      <c r="E5" s="9">
        <f t="shared" si="0"/>
        <v>1.2159533073929962</v>
      </c>
      <c r="F5" s="9">
        <f t="shared" si="5"/>
        <v>3.3676940656664396</v>
      </c>
      <c r="G5" s="11">
        <f t="shared" si="1"/>
        <v>1.2159533073929962</v>
      </c>
      <c r="H5" s="5">
        <f t="shared" si="2"/>
        <v>250.00000000000003</v>
      </c>
      <c r="I5" s="6">
        <f t="shared" si="3"/>
        <v>197.376</v>
      </c>
      <c r="J5" s="6">
        <f t="shared" si="4"/>
        <v>230.27199999999999</v>
      </c>
      <c r="K5" s="6"/>
      <c r="L5" s="6"/>
      <c r="M5" s="6"/>
      <c r="N5" s="3" t="s">
        <v>18</v>
      </c>
      <c r="O5" s="4">
        <v>0.04</v>
      </c>
      <c r="P5" s="4"/>
      <c r="Q5" s="6"/>
      <c r="R5" s="6"/>
      <c r="S5" s="6"/>
      <c r="T5" s="6"/>
      <c r="U5" s="6"/>
      <c r="V5" s="6"/>
      <c r="W5" s="6"/>
      <c r="X5" s="6"/>
      <c r="Y5" s="6"/>
      <c r="Z5" s="6"/>
    </row>
    <row r="6" spans="1:26" ht="12.75" x14ac:dyDescent="0.2">
      <c r="A6" s="10">
        <v>45722</v>
      </c>
      <c r="B6" s="1" t="s">
        <v>23</v>
      </c>
      <c r="C6" s="1" t="s">
        <v>9</v>
      </c>
      <c r="D6" s="6">
        <v>199.37</v>
      </c>
      <c r="E6" s="9">
        <f t="shared" si="0"/>
        <v>1.2539499423183027</v>
      </c>
      <c r="F6" s="9">
        <f t="shared" si="5"/>
        <v>4.6216440079847425</v>
      </c>
      <c r="G6" s="11">
        <f t="shared" si="1"/>
        <v>1.2539499423183027</v>
      </c>
      <c r="H6" s="5">
        <f t="shared" si="2"/>
        <v>250.00000000000003</v>
      </c>
      <c r="I6" s="6">
        <f t="shared" si="3"/>
        <v>191.39520000000002</v>
      </c>
      <c r="J6" s="6">
        <f t="shared" si="4"/>
        <v>223.2944</v>
      </c>
      <c r="K6" s="6"/>
      <c r="L6" s="6"/>
      <c r="M6" s="6"/>
      <c r="N6" s="3" t="s">
        <v>10</v>
      </c>
      <c r="O6" s="4">
        <f>O5*3</f>
        <v>0.12</v>
      </c>
      <c r="P6" s="4"/>
      <c r="Q6" s="4"/>
      <c r="R6" s="6"/>
      <c r="S6" s="6"/>
      <c r="T6" s="6"/>
      <c r="U6" s="6"/>
      <c r="V6" s="6"/>
      <c r="W6" s="6"/>
      <c r="X6" s="6"/>
      <c r="Y6" s="6"/>
      <c r="Z6" s="6"/>
    </row>
    <row r="7" spans="1:26" ht="12.75" x14ac:dyDescent="0.2">
      <c r="A7" s="10">
        <v>45727</v>
      </c>
      <c r="B7" s="1" t="s">
        <v>24</v>
      </c>
      <c r="C7" s="1" t="s">
        <v>25</v>
      </c>
      <c r="D7" s="6">
        <v>196.54</v>
      </c>
      <c r="E7" s="9">
        <f t="shared" si="0"/>
        <v>1.2720056985855297</v>
      </c>
      <c r="F7" s="9">
        <f t="shared" si="5"/>
        <v>5.8936497065702724</v>
      </c>
      <c r="G7" s="11">
        <f t="shared" si="1"/>
        <v>1.2720056985855297</v>
      </c>
      <c r="H7" s="5">
        <f t="shared" si="2"/>
        <v>250</v>
      </c>
      <c r="I7" s="6">
        <f t="shared" si="3"/>
        <v>188.67839999999998</v>
      </c>
      <c r="J7" s="6">
        <f t="shared" si="4"/>
        <v>220.12479999999999</v>
      </c>
      <c r="K7" s="6"/>
      <c r="L7" s="6"/>
      <c r="M7" s="6"/>
      <c r="N7" s="20" t="s">
        <v>19</v>
      </c>
      <c r="O7" s="5">
        <f>(O8/250)*O3</f>
        <v>1250</v>
      </c>
      <c r="P7" s="6"/>
      <c r="Q7" s="6"/>
      <c r="R7" s="6"/>
      <c r="S7" s="6"/>
      <c r="T7" s="6"/>
      <c r="U7" s="6"/>
      <c r="V7" s="6"/>
      <c r="W7" s="6"/>
      <c r="X7" s="6"/>
      <c r="Y7" s="6"/>
      <c r="Z7" s="6"/>
    </row>
    <row r="8" spans="1:26" ht="12.75" x14ac:dyDescent="0.2">
      <c r="A8" s="10"/>
      <c r="B8" s="1"/>
      <c r="D8" s="6"/>
      <c r="E8" s="9"/>
      <c r="F8" s="9"/>
      <c r="G8" s="11"/>
      <c r="H8" s="5"/>
      <c r="I8" s="6"/>
      <c r="K8" s="6"/>
      <c r="L8" s="6"/>
      <c r="M8" s="6"/>
      <c r="N8" s="3" t="s">
        <v>20</v>
      </c>
      <c r="O8" s="5">
        <f>SUM(H3:H43)</f>
        <v>1250</v>
      </c>
      <c r="P8" s="4"/>
      <c r="R8" s="6"/>
      <c r="S8" s="6"/>
      <c r="T8" s="6"/>
      <c r="U8" s="6"/>
      <c r="V8" s="6"/>
      <c r="W8" s="6"/>
      <c r="X8" s="6"/>
      <c r="Y8" s="6"/>
      <c r="Z8" s="6"/>
    </row>
    <row r="9" spans="1:26" ht="12.75" x14ac:dyDescent="0.2">
      <c r="A9" s="21"/>
      <c r="B9" s="22"/>
      <c r="C9" s="22"/>
      <c r="D9" s="23"/>
      <c r="E9" s="24"/>
      <c r="F9" s="24"/>
      <c r="G9" s="25"/>
      <c r="H9" s="26"/>
      <c r="I9" s="23"/>
      <c r="J9" s="22"/>
      <c r="K9" s="6"/>
      <c r="L9" s="6"/>
      <c r="M9" s="6"/>
      <c r="N9" s="20"/>
      <c r="O9" s="6"/>
      <c r="P9" s="6"/>
      <c r="Q9" s="6"/>
      <c r="R9" s="6"/>
      <c r="S9" s="6"/>
      <c r="T9" s="6"/>
      <c r="U9" s="6"/>
      <c r="V9" s="6"/>
      <c r="W9" s="6"/>
      <c r="X9" s="6"/>
      <c r="Y9" s="6"/>
      <c r="Z9" s="6"/>
    </row>
    <row r="10" spans="1:26" ht="12.75" x14ac:dyDescent="0.2">
      <c r="A10" s="21"/>
      <c r="B10" s="22"/>
      <c r="C10" s="22"/>
      <c r="D10" s="23"/>
      <c r="E10" s="24"/>
      <c r="F10" s="24"/>
      <c r="G10" s="25"/>
      <c r="H10" s="26"/>
      <c r="I10" s="23"/>
      <c r="J10" s="22"/>
      <c r="K10" s="6"/>
      <c r="L10" s="6"/>
      <c r="M10" s="6"/>
      <c r="N10" s="3"/>
      <c r="O10" s="6"/>
      <c r="P10" s="4"/>
      <c r="Q10" s="6"/>
      <c r="R10" s="6"/>
      <c r="S10" s="6"/>
      <c r="T10" s="6"/>
      <c r="U10" s="6"/>
      <c r="V10" s="6"/>
      <c r="W10" s="6"/>
      <c r="X10" s="6"/>
      <c r="Y10" s="6"/>
      <c r="Z10" s="6"/>
    </row>
    <row r="11" spans="1:26" ht="12.75" x14ac:dyDescent="0.2">
      <c r="A11" s="21"/>
      <c r="B11" s="22"/>
      <c r="C11" s="22"/>
      <c r="D11" s="23"/>
      <c r="E11" s="24"/>
      <c r="F11" s="24"/>
      <c r="G11" s="25"/>
      <c r="H11" s="26"/>
      <c r="I11" s="23"/>
      <c r="J11" s="22"/>
      <c r="K11" s="6"/>
      <c r="L11" s="6"/>
      <c r="M11" s="6"/>
      <c r="N11" s="6"/>
      <c r="O11" s="9"/>
      <c r="P11" s="6"/>
      <c r="Q11" s="6"/>
      <c r="R11" s="6"/>
      <c r="S11" s="6"/>
      <c r="T11" s="6"/>
      <c r="U11" s="6"/>
      <c r="V11" s="6"/>
      <c r="W11" s="6"/>
      <c r="X11" s="6"/>
      <c r="Y11" s="6"/>
      <c r="Z11" s="6"/>
    </row>
    <row r="12" spans="1:26" ht="12.75" x14ac:dyDescent="0.2">
      <c r="A12" s="10"/>
      <c r="B12" s="1"/>
      <c r="D12" s="6"/>
      <c r="E12" s="9"/>
      <c r="F12" s="9"/>
      <c r="G12" s="11"/>
      <c r="H12" s="5"/>
      <c r="I12" s="6"/>
      <c r="K12" s="6"/>
      <c r="L12" s="6"/>
      <c r="M12" s="6"/>
      <c r="N12" s="6"/>
      <c r="O12" s="6"/>
      <c r="P12" s="6"/>
      <c r="Q12" s="6"/>
      <c r="R12" s="6"/>
      <c r="S12" s="6"/>
      <c r="T12" s="6"/>
      <c r="U12" s="6"/>
      <c r="V12" s="6"/>
      <c r="W12" s="6"/>
      <c r="X12" s="6"/>
      <c r="Y12" s="6"/>
      <c r="Z12" s="6"/>
    </row>
    <row r="13" spans="1:26" ht="12.75" x14ac:dyDescent="0.2">
      <c r="A13" s="10"/>
      <c r="B13" s="1"/>
      <c r="D13" s="6"/>
      <c r="E13" s="9"/>
      <c r="F13" s="9"/>
      <c r="G13" s="11"/>
      <c r="H13" s="5"/>
      <c r="I13" s="6"/>
      <c r="K13" s="6"/>
      <c r="L13" s="6"/>
      <c r="M13" s="6"/>
      <c r="N13" s="6"/>
      <c r="O13" s="6"/>
      <c r="P13" s="6"/>
      <c r="Q13" s="6"/>
      <c r="R13" s="6"/>
      <c r="S13" s="6"/>
      <c r="T13" s="6"/>
      <c r="U13" s="6"/>
      <c r="V13" s="6"/>
      <c r="W13" s="6"/>
      <c r="X13" s="6"/>
      <c r="Y13" s="6"/>
      <c r="Z13" s="6"/>
    </row>
    <row r="14" spans="1:26" ht="12.75" x14ac:dyDescent="0.2">
      <c r="A14" s="21"/>
      <c r="B14" s="22"/>
      <c r="C14" s="22"/>
      <c r="D14" s="23"/>
      <c r="E14" s="24"/>
      <c r="F14" s="24"/>
      <c r="G14" s="25"/>
      <c r="H14" s="26"/>
      <c r="I14" s="23"/>
      <c r="J14" s="22"/>
      <c r="K14" s="6"/>
      <c r="L14" s="6"/>
      <c r="M14" s="6"/>
      <c r="N14" s="6"/>
      <c r="O14" s="3"/>
      <c r="P14" s="3"/>
      <c r="Q14" s="3"/>
      <c r="R14" s="3"/>
      <c r="S14" s="3"/>
      <c r="T14" s="6"/>
      <c r="U14" s="6"/>
      <c r="V14" s="6"/>
      <c r="W14" s="6"/>
      <c r="X14" s="6"/>
      <c r="Y14" s="6"/>
      <c r="Z14" s="6"/>
    </row>
    <row r="15" spans="1:26" ht="12.75" x14ac:dyDescent="0.2">
      <c r="A15" s="21"/>
      <c r="B15" s="22"/>
      <c r="C15" s="22"/>
      <c r="D15" s="23"/>
      <c r="E15" s="24"/>
      <c r="F15" s="24"/>
      <c r="G15" s="25"/>
      <c r="H15" s="26"/>
      <c r="I15" s="23"/>
      <c r="J15" s="22"/>
      <c r="N15" s="27"/>
      <c r="O15" s="5"/>
      <c r="P15" s="4"/>
      <c r="Q15" s="7"/>
      <c r="R15" s="2"/>
      <c r="S15" s="2"/>
      <c r="T15" s="6"/>
      <c r="U15" s="6"/>
      <c r="V15" s="6"/>
      <c r="W15" s="6"/>
      <c r="X15" s="6"/>
      <c r="Y15" s="6"/>
      <c r="Z15" s="6"/>
    </row>
    <row r="16" spans="1:26" ht="12.75" x14ac:dyDescent="0.2">
      <c r="A16" s="21"/>
      <c r="B16" s="22"/>
      <c r="C16" s="22"/>
      <c r="D16" s="23"/>
      <c r="E16" s="24"/>
      <c r="F16" s="24"/>
      <c r="G16" s="25"/>
      <c r="H16" s="26"/>
      <c r="I16" s="23"/>
      <c r="J16" s="22"/>
      <c r="N16" s="27"/>
      <c r="O16" s="5"/>
      <c r="P16" s="4"/>
      <c r="Q16" s="7"/>
      <c r="R16" s="2"/>
      <c r="S16" s="2"/>
      <c r="T16" s="6"/>
      <c r="U16" s="6"/>
      <c r="V16" s="6"/>
      <c r="W16" s="6"/>
      <c r="X16" s="6"/>
      <c r="Y16" s="6"/>
      <c r="Z16" s="6"/>
    </row>
    <row r="17" spans="1:26" ht="12.75" x14ac:dyDescent="0.2">
      <c r="A17" s="10"/>
      <c r="B17" s="1"/>
      <c r="D17" s="6"/>
      <c r="E17" s="9"/>
      <c r="F17" s="9"/>
      <c r="G17" s="11"/>
      <c r="H17" s="5"/>
      <c r="I17" s="6"/>
      <c r="K17" s="6"/>
      <c r="L17" s="6"/>
      <c r="M17" s="6"/>
      <c r="N17" s="27"/>
      <c r="O17" s="5"/>
      <c r="P17" s="4"/>
      <c r="R17" s="6"/>
      <c r="S17" s="6"/>
      <c r="T17" s="6"/>
      <c r="U17" s="6"/>
      <c r="V17" s="6"/>
      <c r="W17" s="6"/>
      <c r="X17" s="6"/>
      <c r="Y17" s="6"/>
      <c r="Z17" s="6"/>
    </row>
    <row r="18" spans="1:26" ht="12.75" x14ac:dyDescent="0.2">
      <c r="A18" s="10"/>
      <c r="B18" s="1"/>
      <c r="D18" s="6"/>
      <c r="E18" s="9"/>
      <c r="F18" s="9"/>
      <c r="G18" s="11"/>
      <c r="H18" s="5"/>
      <c r="I18" s="6"/>
      <c r="K18" s="9"/>
      <c r="L18" s="9"/>
      <c r="M18" s="9"/>
      <c r="N18" s="27"/>
      <c r="O18" s="5"/>
      <c r="P18" s="4"/>
      <c r="R18" s="6"/>
      <c r="S18" s="5"/>
      <c r="T18" s="5"/>
      <c r="U18" s="5"/>
      <c r="V18" s="5"/>
      <c r="W18" s="9"/>
      <c r="X18" s="5"/>
      <c r="Y18" s="5"/>
      <c r="Z18" s="4"/>
    </row>
    <row r="19" spans="1:26" ht="12.75" x14ac:dyDescent="0.2">
      <c r="A19" s="10"/>
      <c r="B19" s="1"/>
      <c r="D19" s="6"/>
      <c r="E19" s="9"/>
      <c r="F19" s="9"/>
      <c r="G19" s="11"/>
      <c r="H19" s="5"/>
      <c r="I19" s="6"/>
      <c r="K19" s="6"/>
      <c r="L19" s="6"/>
      <c r="M19" s="6"/>
      <c r="N19" s="27"/>
      <c r="O19" s="5"/>
      <c r="P19" s="4"/>
      <c r="Q19" s="7"/>
      <c r="R19" s="2"/>
      <c r="S19" s="6"/>
      <c r="T19" s="6"/>
      <c r="U19" s="6"/>
      <c r="V19" s="6"/>
      <c r="W19" s="6"/>
      <c r="X19" s="6"/>
      <c r="Y19" s="6"/>
      <c r="Z19" s="6"/>
    </row>
    <row r="20" spans="1:26" ht="12.75" x14ac:dyDescent="0.2">
      <c r="A20" s="10"/>
      <c r="B20" s="1"/>
      <c r="D20" s="6"/>
      <c r="E20" s="9"/>
      <c r="F20" s="9"/>
      <c r="G20" s="11"/>
      <c r="H20" s="5"/>
      <c r="I20" s="6"/>
      <c r="K20" s="6"/>
      <c r="L20" s="6"/>
      <c r="M20" s="6"/>
      <c r="N20" s="27"/>
      <c r="O20" s="7"/>
      <c r="P20" s="2"/>
      <c r="S20" s="6"/>
      <c r="T20" s="6"/>
      <c r="U20" s="6"/>
      <c r="V20" s="6"/>
      <c r="W20" s="6"/>
      <c r="X20" s="6"/>
      <c r="Y20" s="6"/>
      <c r="Z20" s="6"/>
    </row>
    <row r="21" spans="1:26" ht="12.75" x14ac:dyDescent="0.2">
      <c r="A21" s="10"/>
      <c r="D21" s="6"/>
      <c r="E21" s="9"/>
      <c r="F21" s="9"/>
      <c r="G21" s="11"/>
      <c r="H21" s="5"/>
      <c r="I21" s="6"/>
      <c r="K21" s="6"/>
      <c r="L21" s="6"/>
      <c r="M21" s="6"/>
      <c r="N21" s="27"/>
      <c r="O21" s="9"/>
      <c r="P21" s="9"/>
      <c r="Q21" s="9"/>
      <c r="R21" s="6"/>
      <c r="S21" s="6"/>
      <c r="T21" s="6"/>
      <c r="U21" s="6"/>
      <c r="V21" s="6"/>
      <c r="W21" s="6"/>
      <c r="X21" s="6"/>
      <c r="Y21" s="6"/>
      <c r="Z21" s="6"/>
    </row>
    <row r="22" spans="1:26" ht="12.75" x14ac:dyDescent="0.2">
      <c r="A22" s="21"/>
      <c r="B22" s="22"/>
      <c r="C22" s="22"/>
      <c r="D22" s="23"/>
      <c r="E22" s="24"/>
      <c r="F22" s="24"/>
      <c r="G22" s="25"/>
      <c r="H22" s="26"/>
      <c r="I22" s="23"/>
      <c r="J22" s="22"/>
      <c r="K22" s="6"/>
      <c r="L22" s="6"/>
      <c r="M22" s="6"/>
      <c r="N22" s="27"/>
      <c r="O22" s="6"/>
      <c r="P22" s="6"/>
      <c r="Q22" s="6"/>
      <c r="R22" s="6"/>
      <c r="S22" s="6"/>
      <c r="T22" s="6"/>
      <c r="U22" s="6"/>
      <c r="V22" s="6"/>
      <c r="W22" s="6"/>
      <c r="X22" s="6"/>
      <c r="Y22" s="6"/>
      <c r="Z22" s="6"/>
    </row>
    <row r="23" spans="1:26" ht="12.75" x14ac:dyDescent="0.2">
      <c r="A23" s="21"/>
      <c r="B23" s="22"/>
      <c r="C23" s="22"/>
      <c r="D23" s="23"/>
      <c r="E23" s="24"/>
      <c r="F23" s="24"/>
      <c r="G23" s="25"/>
      <c r="H23" s="26"/>
      <c r="I23" s="23"/>
      <c r="J23" s="22"/>
      <c r="K23" s="6"/>
      <c r="L23" s="6"/>
      <c r="M23" s="6"/>
      <c r="N23" s="27"/>
      <c r="O23" s="6"/>
      <c r="P23" s="6"/>
      <c r="Q23" s="6"/>
      <c r="R23" s="6"/>
      <c r="S23" s="6"/>
      <c r="T23" s="6"/>
      <c r="U23" s="6"/>
      <c r="V23" s="6"/>
      <c r="W23" s="6"/>
      <c r="X23" s="6"/>
      <c r="Y23" s="6"/>
      <c r="Z23" s="6"/>
    </row>
    <row r="24" spans="1:26" ht="12.75" x14ac:dyDescent="0.2">
      <c r="A24" s="10"/>
      <c r="B24" s="1"/>
      <c r="D24" s="6"/>
      <c r="E24" s="9"/>
      <c r="F24" s="9"/>
      <c r="G24" s="11"/>
      <c r="H24" s="5"/>
      <c r="I24" s="6"/>
      <c r="K24" s="6"/>
      <c r="L24" s="6"/>
      <c r="M24" s="6"/>
      <c r="N24" s="27"/>
      <c r="O24" s="6"/>
      <c r="P24" s="6"/>
      <c r="Q24" s="6"/>
      <c r="R24" s="6"/>
      <c r="S24" s="6"/>
      <c r="T24" s="6"/>
      <c r="U24" s="6"/>
      <c r="V24" s="6"/>
      <c r="W24" s="6"/>
      <c r="X24" s="6"/>
      <c r="Y24" s="6"/>
      <c r="Z24" s="6"/>
    </row>
    <row r="25" spans="1:26" ht="12.75" x14ac:dyDescent="0.2">
      <c r="A25" s="10"/>
      <c r="D25" s="6"/>
      <c r="E25" s="9"/>
      <c r="F25" s="9"/>
      <c r="G25" s="11"/>
      <c r="H25" s="5"/>
      <c r="I25" s="6"/>
      <c r="K25" s="6"/>
      <c r="L25" s="6"/>
      <c r="M25" s="6"/>
      <c r="N25" s="27"/>
      <c r="O25" s="6"/>
      <c r="P25" s="6"/>
      <c r="Q25" s="6"/>
      <c r="R25" s="6"/>
      <c r="S25" s="6"/>
      <c r="T25" s="6"/>
      <c r="U25" s="6"/>
      <c r="V25" s="6"/>
      <c r="W25" s="6"/>
      <c r="X25" s="6"/>
      <c r="Y25" s="6"/>
      <c r="Z25" s="6"/>
    </row>
    <row r="26" spans="1:26" ht="12.75" x14ac:dyDescent="0.2">
      <c r="A26" s="10"/>
      <c r="B26" s="1"/>
      <c r="D26" s="6"/>
      <c r="E26" s="9"/>
      <c r="F26" s="9"/>
      <c r="G26" s="11"/>
      <c r="H26" s="5"/>
      <c r="I26" s="6"/>
      <c r="K26" s="6"/>
      <c r="L26" s="6"/>
      <c r="M26" s="6"/>
      <c r="N26" s="27"/>
      <c r="O26" s="6"/>
      <c r="P26" s="6"/>
      <c r="Q26" s="6"/>
      <c r="R26" s="6"/>
      <c r="S26" s="6"/>
      <c r="T26" s="6"/>
      <c r="U26" s="6"/>
      <c r="V26" s="6"/>
      <c r="W26" s="6"/>
      <c r="X26" s="6"/>
      <c r="Y26" s="6"/>
      <c r="Z26" s="6"/>
    </row>
    <row r="27" spans="1:26" ht="12.75" x14ac:dyDescent="0.2">
      <c r="A27" s="10"/>
      <c r="D27" s="6"/>
      <c r="E27" s="9"/>
      <c r="F27" s="9"/>
      <c r="G27" s="11"/>
      <c r="H27" s="5"/>
      <c r="I27" s="6"/>
      <c r="K27" s="6"/>
      <c r="L27" s="6"/>
      <c r="M27" s="6"/>
      <c r="N27" s="27"/>
      <c r="O27" s="6"/>
      <c r="P27" s="6"/>
      <c r="Q27" s="6"/>
      <c r="R27" s="6"/>
      <c r="S27" s="6"/>
      <c r="T27" s="6"/>
      <c r="U27" s="6"/>
      <c r="V27" s="6"/>
      <c r="W27" s="6"/>
      <c r="X27" s="6"/>
      <c r="Y27" s="6"/>
      <c r="Z27" s="6"/>
    </row>
    <row r="28" spans="1:26" ht="12.75" x14ac:dyDescent="0.2">
      <c r="A28" s="10"/>
      <c r="D28" s="6"/>
      <c r="E28" s="9"/>
      <c r="F28" s="9"/>
      <c r="G28" s="11"/>
      <c r="H28" s="5"/>
      <c r="I28" s="6"/>
      <c r="K28" s="6"/>
      <c r="L28" s="6"/>
      <c r="M28" s="6"/>
      <c r="N28" s="6"/>
      <c r="O28" s="6"/>
      <c r="P28" s="6"/>
      <c r="Q28" s="6"/>
      <c r="R28" s="6"/>
      <c r="S28" s="6"/>
      <c r="T28" s="6"/>
      <c r="U28" s="6"/>
      <c r="V28" s="6"/>
      <c r="W28" s="6"/>
      <c r="X28" s="6"/>
      <c r="Y28" s="6"/>
      <c r="Z28" s="6"/>
    </row>
    <row r="29" spans="1:26" ht="12.75" x14ac:dyDescent="0.2">
      <c r="A29" s="10"/>
      <c r="B29" s="1"/>
      <c r="D29" s="6"/>
      <c r="E29" s="9"/>
      <c r="F29" s="9"/>
      <c r="G29" s="11"/>
      <c r="H29" s="5"/>
      <c r="I29" s="6"/>
      <c r="K29" s="6"/>
      <c r="L29" s="6"/>
      <c r="M29" s="6"/>
      <c r="N29" s="6"/>
      <c r="O29" s="6"/>
      <c r="P29" s="6"/>
      <c r="Q29" s="6"/>
      <c r="R29" s="6"/>
      <c r="S29" s="6"/>
      <c r="T29" s="6"/>
      <c r="U29" s="6"/>
      <c r="V29" s="6"/>
      <c r="W29" s="6"/>
      <c r="X29" s="6"/>
      <c r="Y29" s="6"/>
      <c r="Z29" s="6"/>
    </row>
    <row r="30" spans="1:26" ht="12.75" x14ac:dyDescent="0.2">
      <c r="A30" s="10"/>
      <c r="B30" s="1"/>
      <c r="D30" s="6"/>
      <c r="E30" s="9"/>
      <c r="F30" s="9"/>
      <c r="G30" s="11"/>
      <c r="H30" s="5"/>
      <c r="I30" s="6"/>
      <c r="K30" s="6"/>
      <c r="L30" s="6"/>
      <c r="M30" s="6"/>
      <c r="N30" s="6"/>
      <c r="O30" s="6"/>
      <c r="P30" s="6"/>
      <c r="Q30" s="6"/>
      <c r="R30" s="6"/>
      <c r="S30" s="6"/>
      <c r="T30" s="6"/>
      <c r="U30" s="6"/>
      <c r="V30" s="6"/>
      <c r="W30" s="6"/>
      <c r="X30" s="6"/>
      <c r="Y30" s="6"/>
      <c r="Z30" s="6"/>
    </row>
    <row r="31" spans="1:26" ht="12.75" x14ac:dyDescent="0.2">
      <c r="A31" s="10"/>
      <c r="B31" s="1"/>
      <c r="D31" s="6"/>
      <c r="E31" s="9"/>
      <c r="F31" s="9"/>
      <c r="G31" s="11"/>
      <c r="H31" s="5"/>
      <c r="I31" s="6"/>
      <c r="K31" s="6"/>
      <c r="L31" s="6"/>
      <c r="M31" s="6"/>
      <c r="N31" s="6"/>
      <c r="O31" s="6"/>
      <c r="P31" s="6"/>
      <c r="Q31" s="6"/>
      <c r="R31" s="6"/>
      <c r="S31" s="6"/>
      <c r="T31" s="6"/>
      <c r="U31" s="6"/>
      <c r="V31" s="6"/>
      <c r="W31" s="6"/>
      <c r="X31" s="6"/>
      <c r="Y31" s="6"/>
      <c r="Z31" s="6"/>
    </row>
    <row r="32" spans="1:26" ht="12.75" x14ac:dyDescent="0.2">
      <c r="A32" s="10"/>
      <c r="B32" s="1"/>
      <c r="D32" s="6"/>
      <c r="E32" s="9"/>
      <c r="F32" s="9"/>
      <c r="G32" s="11"/>
      <c r="H32" s="5"/>
      <c r="I32" s="6"/>
      <c r="K32" s="6"/>
      <c r="L32" s="6"/>
      <c r="M32" s="6"/>
      <c r="N32" s="6"/>
      <c r="O32" s="6"/>
      <c r="P32" s="6"/>
      <c r="Q32" s="6"/>
      <c r="R32" s="6"/>
      <c r="S32" s="6"/>
      <c r="T32" s="6"/>
      <c r="U32" s="6"/>
      <c r="V32" s="6"/>
      <c r="W32" s="6"/>
      <c r="X32" s="6"/>
      <c r="Y32" s="6"/>
      <c r="Z32" s="6"/>
    </row>
    <row r="33" spans="1:26" ht="12.75" x14ac:dyDescent="0.2">
      <c r="A33" s="10"/>
      <c r="B33" s="1"/>
      <c r="D33" s="6"/>
      <c r="E33" s="9"/>
      <c r="F33" s="9"/>
      <c r="G33" s="11"/>
      <c r="H33" s="5"/>
      <c r="I33" s="6"/>
      <c r="K33" s="6"/>
      <c r="L33" s="6"/>
      <c r="M33" s="6"/>
      <c r="N33" s="6"/>
      <c r="O33" s="6"/>
      <c r="P33" s="6"/>
      <c r="Q33" s="6"/>
      <c r="R33" s="6"/>
      <c r="S33" s="6"/>
      <c r="T33" s="6"/>
      <c r="U33" s="6"/>
      <c r="V33" s="6"/>
      <c r="W33" s="6"/>
      <c r="X33" s="6"/>
      <c r="Y33" s="6"/>
      <c r="Z33" s="6"/>
    </row>
    <row r="34" spans="1:26" ht="12.75" x14ac:dyDescent="0.2">
      <c r="A34" s="10"/>
      <c r="B34" s="1"/>
      <c r="D34" s="6"/>
      <c r="E34" s="9"/>
      <c r="F34" s="9"/>
      <c r="G34" s="11"/>
      <c r="H34" s="5"/>
      <c r="I34" s="6"/>
      <c r="K34" s="6"/>
      <c r="L34" s="6"/>
      <c r="M34" s="6"/>
      <c r="N34" s="6"/>
      <c r="O34" s="6"/>
      <c r="P34" s="6"/>
      <c r="Q34" s="6"/>
      <c r="R34" s="6"/>
      <c r="S34" s="6"/>
      <c r="T34" s="6"/>
      <c r="U34" s="6"/>
      <c r="V34" s="6"/>
      <c r="W34" s="6"/>
      <c r="X34" s="6"/>
      <c r="Y34" s="6"/>
      <c r="Z34" s="6"/>
    </row>
    <row r="35" spans="1:26" ht="12.75" x14ac:dyDescent="0.2">
      <c r="A35" s="10"/>
      <c r="B35" s="1"/>
      <c r="D35" s="6"/>
      <c r="E35" s="9"/>
      <c r="F35" s="9"/>
      <c r="G35" s="11"/>
      <c r="H35" s="5"/>
      <c r="I35" s="6"/>
      <c r="K35" s="6"/>
      <c r="L35" s="6"/>
      <c r="M35" s="6"/>
      <c r="N35" s="6"/>
      <c r="O35" s="6"/>
      <c r="P35" s="6"/>
      <c r="Q35" s="6"/>
      <c r="R35" s="6"/>
      <c r="S35" s="6"/>
      <c r="T35" s="6"/>
      <c r="U35" s="6"/>
      <c r="V35" s="6"/>
      <c r="W35" s="6"/>
      <c r="X35" s="6"/>
      <c r="Y35" s="6"/>
      <c r="Z35" s="6"/>
    </row>
    <row r="36" spans="1:26" ht="12.75" x14ac:dyDescent="0.2">
      <c r="A36" s="10"/>
      <c r="B36" s="1"/>
      <c r="D36" s="6"/>
      <c r="E36" s="9"/>
      <c r="F36" s="9"/>
      <c r="G36" s="11"/>
      <c r="H36" s="5"/>
      <c r="I36" s="6"/>
      <c r="K36" s="9"/>
      <c r="L36" s="9"/>
      <c r="M36" s="9"/>
      <c r="N36" s="6"/>
      <c r="O36" s="6"/>
      <c r="P36" s="6"/>
      <c r="Q36" s="6"/>
      <c r="R36" s="6"/>
      <c r="S36" s="5"/>
      <c r="T36" s="5"/>
      <c r="U36" s="5"/>
      <c r="V36" s="5"/>
      <c r="W36" s="9"/>
      <c r="X36" s="5"/>
      <c r="Y36" s="5"/>
      <c r="Z36" s="4"/>
    </row>
    <row r="37" spans="1:26" ht="12.75" x14ac:dyDescent="0.2">
      <c r="A37" s="10"/>
      <c r="B37" s="1"/>
      <c r="D37" s="6"/>
      <c r="E37" s="9"/>
      <c r="F37" s="9"/>
      <c r="G37" s="11"/>
      <c r="H37" s="5"/>
      <c r="I37" s="6"/>
      <c r="K37" s="6"/>
      <c r="L37" s="6"/>
      <c r="M37" s="6"/>
      <c r="N37" s="6"/>
      <c r="O37" s="6"/>
      <c r="P37" s="6"/>
      <c r="Q37" s="6"/>
      <c r="R37" s="6"/>
      <c r="S37" s="6"/>
      <c r="T37" s="6"/>
      <c r="U37" s="6"/>
      <c r="V37" s="6"/>
      <c r="W37" s="6"/>
      <c r="X37" s="6"/>
      <c r="Y37" s="6"/>
      <c r="Z37" s="6"/>
    </row>
    <row r="38" spans="1:26" ht="12.75" x14ac:dyDescent="0.2">
      <c r="A38" s="10"/>
      <c r="B38" s="1"/>
      <c r="D38" s="6"/>
      <c r="E38" s="9"/>
      <c r="F38" s="9"/>
      <c r="G38" s="11"/>
      <c r="H38" s="5"/>
      <c r="I38" s="6"/>
      <c r="K38" s="6"/>
      <c r="L38" s="6"/>
      <c r="M38" s="6"/>
      <c r="N38" s="6"/>
      <c r="O38" s="6"/>
      <c r="P38" s="6"/>
      <c r="Q38" s="6"/>
      <c r="R38" s="5"/>
      <c r="S38" s="6"/>
      <c r="T38" s="6"/>
      <c r="U38" s="6"/>
      <c r="V38" s="6"/>
      <c r="W38" s="6"/>
      <c r="X38" s="6"/>
      <c r="Y38" s="6"/>
      <c r="Z38" s="6"/>
    </row>
    <row r="39" spans="1:26" ht="12.75" x14ac:dyDescent="0.2">
      <c r="A39" s="10"/>
      <c r="B39" s="1"/>
      <c r="D39" s="6"/>
      <c r="E39" s="9"/>
      <c r="F39" s="9"/>
      <c r="G39" s="11"/>
      <c r="H39" s="5"/>
      <c r="I39" s="6"/>
      <c r="K39" s="6"/>
      <c r="L39" s="6"/>
      <c r="M39" s="6"/>
      <c r="N39" s="9"/>
      <c r="O39" s="9"/>
      <c r="P39" s="6"/>
      <c r="Q39" s="9"/>
      <c r="R39" s="6"/>
      <c r="S39" s="6"/>
      <c r="T39" s="6"/>
      <c r="U39" s="6"/>
      <c r="V39" s="6"/>
      <c r="W39" s="6"/>
      <c r="X39" s="6"/>
      <c r="Y39" s="6"/>
      <c r="Z39" s="6"/>
    </row>
    <row r="40" spans="1:26" ht="12.75" x14ac:dyDescent="0.2">
      <c r="A40" s="10"/>
      <c r="B40" s="1"/>
      <c r="D40" s="6"/>
      <c r="E40" s="9"/>
      <c r="F40" s="9"/>
      <c r="G40" s="11"/>
      <c r="H40" s="5"/>
      <c r="I40" s="6"/>
      <c r="K40" s="6"/>
      <c r="L40" s="6"/>
      <c r="M40" s="6"/>
      <c r="N40" s="6"/>
      <c r="O40" s="6"/>
      <c r="P40" s="6"/>
      <c r="Q40" s="6"/>
      <c r="R40" s="6"/>
      <c r="S40" s="6"/>
      <c r="T40" s="6"/>
      <c r="U40" s="6"/>
      <c r="V40" s="6"/>
      <c r="W40" s="6"/>
      <c r="X40" s="6"/>
      <c r="Y40" s="6"/>
      <c r="Z40" s="6"/>
    </row>
    <row r="41" spans="1:26" ht="12.75" x14ac:dyDescent="0.2">
      <c r="A41" s="10"/>
      <c r="B41" s="1"/>
      <c r="D41" s="6"/>
      <c r="E41" s="9"/>
      <c r="F41" s="9"/>
      <c r="G41" s="11"/>
      <c r="H41" s="5"/>
      <c r="I41" s="6"/>
      <c r="K41" s="6"/>
      <c r="L41" s="6"/>
      <c r="M41" s="6"/>
      <c r="N41" s="6"/>
      <c r="O41" s="6"/>
      <c r="P41" s="6"/>
      <c r="Q41" s="6"/>
      <c r="R41" s="6"/>
      <c r="S41" s="6"/>
      <c r="T41" s="6"/>
      <c r="U41" s="6"/>
      <c r="V41" s="6"/>
      <c r="W41" s="6"/>
      <c r="X41" s="6"/>
      <c r="Y41" s="6"/>
      <c r="Z41" s="6"/>
    </row>
    <row r="42" spans="1:26" ht="12.75" x14ac:dyDescent="0.2">
      <c r="A42" s="10"/>
      <c r="B42" s="1"/>
      <c r="D42" s="6"/>
      <c r="E42" s="9"/>
      <c r="F42" s="9"/>
      <c r="G42" s="11"/>
      <c r="H42" s="5"/>
      <c r="I42" s="6"/>
      <c r="K42" s="6"/>
      <c r="L42" s="6"/>
      <c r="M42" s="6"/>
      <c r="N42" s="6"/>
      <c r="O42" s="6"/>
      <c r="P42" s="6"/>
      <c r="Q42" s="6"/>
      <c r="R42" s="6"/>
      <c r="S42" s="6"/>
      <c r="T42" s="6"/>
      <c r="U42" s="6"/>
      <c r="V42" s="6"/>
      <c r="W42" s="6"/>
      <c r="X42" s="6"/>
      <c r="Y42" s="6"/>
      <c r="Z42" s="6"/>
    </row>
    <row r="43" spans="1:26" ht="12.75" x14ac:dyDescent="0.2">
      <c r="A43" s="10"/>
      <c r="B43" s="1"/>
      <c r="D43" s="6"/>
      <c r="E43" s="9"/>
      <c r="F43" s="9"/>
      <c r="G43" s="11"/>
      <c r="H43" s="5"/>
      <c r="I43" s="6"/>
      <c r="K43" s="6"/>
      <c r="L43" s="6"/>
      <c r="M43" s="6"/>
      <c r="N43" s="6"/>
      <c r="O43" s="6"/>
      <c r="P43" s="6"/>
      <c r="Q43" s="6"/>
      <c r="R43" s="6"/>
      <c r="S43" s="6"/>
      <c r="T43" s="6"/>
      <c r="U43" s="6"/>
      <c r="V43" s="6"/>
      <c r="W43" s="6"/>
      <c r="X43" s="6"/>
      <c r="Y43" s="6"/>
      <c r="Z43" s="6"/>
    </row>
    <row r="44" spans="1:26" ht="12.75" x14ac:dyDescent="0.2">
      <c r="A44" s="10"/>
      <c r="B44" s="1"/>
      <c r="D44" s="6"/>
      <c r="E44" s="9"/>
      <c r="F44" s="9"/>
      <c r="G44" s="11"/>
      <c r="H44" s="5"/>
      <c r="I44" s="6"/>
      <c r="K44" s="6"/>
      <c r="L44" s="6"/>
      <c r="M44" s="6"/>
      <c r="N44" s="6"/>
      <c r="O44" s="6"/>
      <c r="P44" s="6"/>
      <c r="Q44" s="6"/>
      <c r="R44" s="6"/>
      <c r="S44" s="6"/>
      <c r="T44" s="6"/>
      <c r="U44" s="6"/>
      <c r="V44" s="6"/>
      <c r="W44" s="6"/>
      <c r="X44" s="6"/>
      <c r="Y44" s="6"/>
      <c r="Z44" s="6"/>
    </row>
    <row r="45" spans="1:26" ht="12.75" x14ac:dyDescent="0.2">
      <c r="A45" s="10"/>
      <c r="B45" s="1"/>
      <c r="D45" s="6"/>
      <c r="E45" s="9"/>
      <c r="F45" s="9"/>
      <c r="G45" s="11"/>
      <c r="H45" s="5"/>
      <c r="I45" s="6"/>
      <c r="K45" s="6"/>
      <c r="L45" s="6"/>
      <c r="M45" s="6"/>
      <c r="N45" s="6"/>
      <c r="O45" s="6"/>
      <c r="P45" s="6"/>
      <c r="Q45" s="6"/>
      <c r="R45" s="6"/>
      <c r="S45" s="6"/>
      <c r="T45" s="6"/>
      <c r="U45" s="6"/>
      <c r="V45" s="6"/>
      <c r="W45" s="6"/>
      <c r="X45" s="6"/>
      <c r="Y45" s="6"/>
      <c r="Z45" s="6"/>
    </row>
    <row r="46" spans="1:26" ht="12.75" x14ac:dyDescent="0.2">
      <c r="A46" s="10"/>
      <c r="B46" s="1"/>
      <c r="D46" s="6"/>
      <c r="E46" s="9"/>
      <c r="F46" s="9"/>
      <c r="G46" s="11"/>
      <c r="H46" s="5"/>
      <c r="I46" s="6"/>
      <c r="K46" s="6"/>
      <c r="L46" s="6"/>
      <c r="M46" s="6"/>
      <c r="N46" s="6"/>
      <c r="O46" s="6"/>
      <c r="P46" s="6"/>
      <c r="Q46" s="6"/>
      <c r="R46" s="6"/>
      <c r="S46" s="6"/>
      <c r="T46" s="6"/>
      <c r="U46" s="6"/>
      <c r="V46" s="6"/>
      <c r="W46" s="6"/>
      <c r="X46" s="6"/>
      <c r="Y46" s="6"/>
      <c r="Z46" s="6"/>
    </row>
    <row r="47" spans="1:26" ht="12.75" x14ac:dyDescent="0.2">
      <c r="A47" s="10"/>
      <c r="B47" s="1"/>
      <c r="D47" s="6"/>
      <c r="E47" s="9"/>
      <c r="F47" s="9"/>
      <c r="G47" s="11"/>
      <c r="H47" s="5"/>
      <c r="I47" s="6"/>
      <c r="K47" s="6"/>
      <c r="L47" s="6"/>
      <c r="M47" s="6"/>
      <c r="N47" s="6"/>
      <c r="O47" s="6"/>
      <c r="P47" s="6"/>
      <c r="Q47" s="6"/>
      <c r="R47" s="6"/>
      <c r="S47" s="6"/>
      <c r="T47" s="6"/>
      <c r="U47" s="6"/>
      <c r="V47" s="6"/>
      <c r="W47" s="6"/>
      <c r="X47" s="6"/>
      <c r="Y47" s="6"/>
      <c r="Z47" s="6"/>
    </row>
    <row r="48" spans="1:26" ht="12.75" x14ac:dyDescent="0.2">
      <c r="A48" s="10"/>
      <c r="B48" s="1"/>
      <c r="D48" s="6"/>
      <c r="E48" s="9"/>
      <c r="F48" s="9"/>
      <c r="G48" s="11"/>
      <c r="H48" s="5"/>
      <c r="I48" s="6"/>
      <c r="K48" s="6"/>
      <c r="L48" s="6"/>
      <c r="M48" s="6"/>
      <c r="N48" s="6"/>
      <c r="O48" s="6"/>
      <c r="P48" s="6"/>
      <c r="Q48" s="6"/>
      <c r="R48" s="6"/>
      <c r="S48" s="6"/>
      <c r="T48" s="6"/>
      <c r="U48" s="6"/>
      <c r="V48" s="6"/>
      <c r="W48" s="6"/>
      <c r="X48" s="6"/>
      <c r="Y48" s="6"/>
      <c r="Z48" s="6"/>
    </row>
    <row r="49" spans="1:26" ht="12.75" x14ac:dyDescent="0.2">
      <c r="A49" s="10"/>
      <c r="B49" s="1"/>
      <c r="D49" s="6"/>
      <c r="E49" s="9"/>
      <c r="F49" s="9"/>
      <c r="G49" s="11"/>
      <c r="H49" s="5"/>
      <c r="I49" s="6"/>
      <c r="K49" s="6"/>
      <c r="L49" s="6"/>
      <c r="M49" s="6"/>
      <c r="N49" s="6"/>
      <c r="O49" s="6"/>
      <c r="P49" s="6"/>
      <c r="Q49" s="6"/>
      <c r="R49" s="6"/>
      <c r="S49" s="6"/>
      <c r="T49" s="6"/>
      <c r="U49" s="6"/>
      <c r="V49" s="6"/>
      <c r="W49" s="6"/>
      <c r="X49" s="6"/>
      <c r="Y49" s="6"/>
      <c r="Z49" s="6"/>
    </row>
    <row r="50" spans="1:26" ht="12.75" x14ac:dyDescent="0.2">
      <c r="A50" s="10"/>
      <c r="B50" s="1"/>
      <c r="D50" s="6"/>
      <c r="E50" s="9"/>
      <c r="F50" s="9"/>
      <c r="G50" s="11"/>
      <c r="H50" s="5"/>
      <c r="I50" s="6"/>
      <c r="K50" s="9"/>
      <c r="L50" s="9"/>
      <c r="M50" s="9"/>
      <c r="N50" s="6"/>
      <c r="O50" s="6"/>
      <c r="P50" s="6"/>
      <c r="Q50" s="6"/>
      <c r="R50" s="6"/>
      <c r="S50" s="5"/>
      <c r="T50" s="5"/>
      <c r="U50" s="5"/>
      <c r="V50" s="5"/>
      <c r="W50" s="9"/>
      <c r="X50" s="5"/>
      <c r="Y50" s="5"/>
      <c r="Z50" s="4"/>
    </row>
    <row r="51" spans="1:26" ht="12.75" x14ac:dyDescent="0.2">
      <c r="A51" s="10"/>
      <c r="B51" s="1"/>
      <c r="D51" s="6"/>
      <c r="E51" s="9"/>
      <c r="F51" s="9"/>
      <c r="G51" s="11"/>
      <c r="H51" s="5"/>
      <c r="I51" s="6"/>
      <c r="K51" s="6"/>
      <c r="L51" s="6"/>
      <c r="M51" s="6"/>
      <c r="N51" s="6"/>
      <c r="O51" s="6"/>
      <c r="P51" s="6"/>
      <c r="Q51" s="6"/>
      <c r="R51" s="6"/>
      <c r="S51" s="6"/>
      <c r="T51" s="6"/>
      <c r="U51" s="6"/>
      <c r="V51" s="6"/>
      <c r="W51" s="6"/>
      <c r="X51" s="6"/>
      <c r="Y51" s="6"/>
      <c r="Z51" s="6"/>
    </row>
    <row r="52" spans="1:26" ht="12.75" x14ac:dyDescent="0.2">
      <c r="A52" s="10"/>
      <c r="B52" s="1"/>
      <c r="D52" s="6"/>
      <c r="E52" s="9"/>
      <c r="F52" s="9"/>
      <c r="G52" s="11"/>
      <c r="H52" s="5"/>
      <c r="I52" s="6"/>
      <c r="K52" s="6"/>
      <c r="L52" s="6"/>
      <c r="M52" s="6"/>
      <c r="N52" s="6"/>
      <c r="O52" s="6"/>
      <c r="P52" s="6"/>
      <c r="Q52" s="6"/>
      <c r="R52" s="5"/>
      <c r="S52" s="6"/>
      <c r="T52" s="6"/>
      <c r="U52" s="6"/>
      <c r="V52" s="6"/>
      <c r="W52" s="6"/>
      <c r="X52" s="6"/>
      <c r="Y52" s="6"/>
      <c r="Z52" s="6"/>
    </row>
    <row r="53" spans="1:26" ht="12.75" x14ac:dyDescent="0.2">
      <c r="A53" s="10"/>
      <c r="B53" s="1"/>
      <c r="D53" s="6"/>
      <c r="E53" s="9"/>
      <c r="F53" s="9"/>
      <c r="G53" s="11"/>
      <c r="H53" s="5"/>
      <c r="I53" s="6"/>
      <c r="K53" s="6"/>
      <c r="L53" s="6"/>
      <c r="M53" s="6"/>
      <c r="N53" s="9"/>
      <c r="O53" s="9"/>
      <c r="P53" s="9"/>
      <c r="Q53" s="9"/>
      <c r="R53" s="6"/>
      <c r="S53" s="6"/>
      <c r="T53" s="6"/>
      <c r="U53" s="6"/>
      <c r="V53" s="6"/>
      <c r="W53" s="6"/>
      <c r="X53" s="6"/>
      <c r="Y53" s="6"/>
      <c r="Z53" s="6"/>
    </row>
    <row r="54" spans="1:26" ht="12.75" x14ac:dyDescent="0.2">
      <c r="A54" s="10"/>
      <c r="B54" s="1"/>
      <c r="D54" s="6"/>
      <c r="E54" s="9"/>
      <c r="F54" s="9"/>
      <c r="G54" s="11"/>
      <c r="H54" s="5"/>
      <c r="I54" s="6"/>
      <c r="K54" s="6"/>
      <c r="L54" s="6"/>
      <c r="M54" s="6"/>
      <c r="N54" s="6"/>
      <c r="O54" s="6"/>
      <c r="P54" s="6"/>
      <c r="Q54" s="6"/>
      <c r="R54" s="6"/>
      <c r="S54" s="6"/>
      <c r="T54" s="6"/>
      <c r="U54" s="6"/>
      <c r="V54" s="6"/>
      <c r="W54" s="6"/>
      <c r="X54" s="6"/>
      <c r="Y54" s="6"/>
      <c r="Z54" s="6"/>
    </row>
    <row r="55" spans="1:26" ht="12.75" x14ac:dyDescent="0.2">
      <c r="A55" s="10"/>
      <c r="B55" s="1"/>
      <c r="D55" s="6"/>
      <c r="E55" s="9"/>
      <c r="F55" s="9"/>
      <c r="G55" s="11"/>
      <c r="H55" s="5"/>
      <c r="I55" s="6"/>
      <c r="K55" s="6"/>
      <c r="L55" s="6"/>
      <c r="M55" s="6"/>
      <c r="N55" s="6"/>
      <c r="O55" s="6"/>
      <c r="P55" s="6"/>
      <c r="Q55" s="6"/>
      <c r="R55" s="6"/>
      <c r="S55" s="6"/>
      <c r="T55" s="6"/>
      <c r="U55" s="6"/>
      <c r="V55" s="6"/>
      <c r="W55" s="6"/>
      <c r="X55" s="6"/>
      <c r="Y55" s="6"/>
      <c r="Z55" s="6"/>
    </row>
    <row r="56" spans="1:26" ht="12.75" x14ac:dyDescent="0.2">
      <c r="A56" s="10"/>
      <c r="B56" s="1"/>
      <c r="D56" s="6"/>
      <c r="E56" s="9"/>
      <c r="F56" s="9"/>
      <c r="G56" s="11"/>
      <c r="H56" s="5"/>
      <c r="I56" s="6"/>
      <c r="K56" s="6"/>
      <c r="L56" s="6"/>
      <c r="M56" s="6"/>
      <c r="N56" s="6"/>
      <c r="O56" s="6"/>
      <c r="P56" s="6"/>
      <c r="Q56" s="6"/>
      <c r="R56" s="6"/>
      <c r="S56" s="6"/>
      <c r="T56" s="6"/>
      <c r="U56" s="6"/>
      <c r="V56" s="6"/>
      <c r="W56" s="6"/>
      <c r="X56" s="6"/>
      <c r="Y56" s="6"/>
      <c r="Z56" s="6"/>
    </row>
    <row r="57" spans="1:26" ht="12.75" x14ac:dyDescent="0.2">
      <c r="A57" s="10"/>
      <c r="B57" s="1"/>
      <c r="D57" s="6"/>
      <c r="E57" s="9"/>
      <c r="F57" s="9"/>
      <c r="G57" s="11"/>
      <c r="H57" s="5"/>
      <c r="I57" s="6"/>
      <c r="K57" s="6"/>
      <c r="L57" s="6"/>
      <c r="M57" s="6"/>
      <c r="N57" s="6"/>
      <c r="O57" s="6"/>
      <c r="P57" s="6"/>
      <c r="Q57" s="6"/>
      <c r="R57" s="6"/>
      <c r="S57" s="6"/>
      <c r="T57" s="6"/>
      <c r="U57" s="6"/>
      <c r="V57" s="6"/>
      <c r="W57" s="6"/>
      <c r="X57" s="6"/>
      <c r="Y57" s="6"/>
      <c r="Z57" s="6"/>
    </row>
    <row r="58" spans="1:26" ht="12.75" x14ac:dyDescent="0.2">
      <c r="A58" s="10"/>
      <c r="B58" s="6"/>
      <c r="C58" s="6"/>
      <c r="D58" s="6"/>
      <c r="E58" s="9"/>
      <c r="F58" s="9"/>
      <c r="G58" s="11"/>
      <c r="H58" s="5"/>
      <c r="I58" s="6"/>
      <c r="J58" s="6"/>
      <c r="K58" s="6"/>
      <c r="L58" s="6"/>
      <c r="M58" s="6"/>
      <c r="N58" s="6"/>
      <c r="O58" s="6"/>
      <c r="P58" s="6"/>
      <c r="Q58" s="6"/>
      <c r="R58" s="6"/>
      <c r="S58" s="6"/>
      <c r="T58" s="6"/>
      <c r="U58" s="6"/>
      <c r="V58" s="6"/>
      <c r="W58" s="6"/>
      <c r="X58" s="6"/>
      <c r="Y58" s="6"/>
      <c r="Z58" s="6"/>
    </row>
    <row r="59" spans="1:26" ht="12.75" x14ac:dyDescent="0.2">
      <c r="A59" s="10"/>
      <c r="B59" s="6"/>
      <c r="C59" s="6"/>
      <c r="D59" s="6"/>
      <c r="E59" s="9"/>
      <c r="F59" s="9"/>
      <c r="G59" s="11"/>
      <c r="H59" s="5"/>
      <c r="I59" s="6"/>
      <c r="J59" s="6"/>
      <c r="K59" s="6"/>
      <c r="L59" s="6"/>
      <c r="M59" s="6"/>
      <c r="N59" s="6"/>
      <c r="O59" s="6"/>
      <c r="P59" s="6"/>
      <c r="Q59" s="6"/>
      <c r="R59" s="6"/>
      <c r="S59" s="6"/>
      <c r="T59" s="6"/>
      <c r="U59" s="6"/>
      <c r="V59" s="6"/>
      <c r="W59" s="6"/>
      <c r="X59" s="6"/>
      <c r="Y59" s="6"/>
      <c r="Z59" s="6"/>
    </row>
    <row r="60" spans="1:26" ht="12.75" x14ac:dyDescent="0.2">
      <c r="A60" s="10"/>
      <c r="B60" s="6"/>
      <c r="C60" s="6"/>
      <c r="D60" s="6"/>
      <c r="E60" s="9"/>
      <c r="F60" s="9"/>
      <c r="G60" s="11"/>
      <c r="H60" s="5"/>
      <c r="I60" s="6"/>
      <c r="J60" s="6"/>
      <c r="K60" s="6"/>
      <c r="L60" s="6"/>
      <c r="M60" s="6"/>
      <c r="N60" s="6"/>
      <c r="O60" s="6"/>
      <c r="P60" s="6"/>
      <c r="Q60" s="6"/>
      <c r="R60" s="6"/>
      <c r="S60" s="6"/>
      <c r="T60" s="6"/>
      <c r="U60" s="6"/>
      <c r="V60" s="6"/>
      <c r="W60" s="6"/>
      <c r="X60" s="6"/>
      <c r="Y60" s="6"/>
      <c r="Z60" s="6"/>
    </row>
    <row r="61" spans="1:26" ht="12.75" x14ac:dyDescent="0.2">
      <c r="A61" s="10"/>
      <c r="B61" s="6"/>
      <c r="C61" s="6"/>
      <c r="D61" s="6"/>
      <c r="E61" s="9"/>
      <c r="F61" s="9"/>
      <c r="G61" s="11"/>
      <c r="H61" s="5"/>
      <c r="I61" s="6"/>
      <c r="J61" s="6"/>
      <c r="K61" s="6"/>
      <c r="L61" s="6"/>
      <c r="M61" s="6"/>
      <c r="N61" s="6"/>
      <c r="O61" s="6"/>
      <c r="P61" s="6"/>
      <c r="Q61" s="6"/>
      <c r="R61" s="6"/>
      <c r="S61" s="6"/>
      <c r="T61" s="6"/>
      <c r="U61" s="6"/>
      <c r="V61" s="6"/>
      <c r="W61" s="6"/>
      <c r="X61" s="6"/>
      <c r="Y61" s="6"/>
      <c r="Z61" s="6"/>
    </row>
    <row r="62" spans="1:26" ht="12.75" x14ac:dyDescent="0.2">
      <c r="A62" s="10"/>
      <c r="B62" s="6"/>
      <c r="C62" s="6"/>
      <c r="D62" s="6"/>
      <c r="E62" s="9"/>
      <c r="F62" s="9"/>
      <c r="G62" s="11"/>
      <c r="H62" s="5"/>
      <c r="I62" s="6"/>
      <c r="J62" s="6"/>
      <c r="K62" s="6"/>
      <c r="L62" s="6"/>
      <c r="M62" s="6"/>
      <c r="N62" s="6"/>
      <c r="O62" s="6"/>
      <c r="P62" s="6"/>
      <c r="Q62" s="6"/>
      <c r="R62" s="6"/>
      <c r="S62" s="6"/>
      <c r="T62" s="6"/>
      <c r="U62" s="6"/>
      <c r="V62" s="6"/>
      <c r="W62" s="6"/>
      <c r="X62" s="6"/>
      <c r="Y62" s="6"/>
      <c r="Z62" s="6"/>
    </row>
    <row r="63" spans="1:26" ht="12.75" x14ac:dyDescent="0.2">
      <c r="A63" s="10"/>
      <c r="B63" s="6"/>
      <c r="C63" s="6"/>
      <c r="D63" s="6"/>
      <c r="E63" s="9"/>
      <c r="F63" s="9"/>
      <c r="G63" s="11"/>
      <c r="H63" s="5"/>
      <c r="I63" s="6"/>
      <c r="J63" s="6"/>
      <c r="K63" s="6"/>
      <c r="L63" s="6"/>
      <c r="M63" s="6"/>
      <c r="N63" s="6"/>
      <c r="O63" s="6"/>
      <c r="P63" s="6"/>
      <c r="Q63" s="6"/>
      <c r="R63" s="6"/>
      <c r="S63" s="6"/>
      <c r="T63" s="6"/>
      <c r="U63" s="6"/>
      <c r="V63" s="6"/>
      <c r="W63" s="6"/>
      <c r="X63" s="6"/>
      <c r="Y63" s="6"/>
      <c r="Z63" s="6"/>
    </row>
    <row r="64" spans="1:26" ht="12.75" x14ac:dyDescent="0.2">
      <c r="A64" s="10"/>
      <c r="B64" s="6"/>
      <c r="C64" s="6"/>
      <c r="D64" s="6"/>
      <c r="E64" s="9"/>
      <c r="F64" s="9"/>
      <c r="G64" s="11"/>
      <c r="H64" s="5"/>
      <c r="I64" s="6"/>
      <c r="J64" s="6"/>
      <c r="K64" s="6"/>
      <c r="L64" s="6"/>
      <c r="M64" s="6"/>
      <c r="N64" s="6"/>
      <c r="O64" s="6"/>
      <c r="P64" s="6"/>
      <c r="Q64" s="6"/>
      <c r="R64" s="6"/>
      <c r="S64" s="6"/>
      <c r="T64" s="6"/>
      <c r="U64" s="6"/>
      <c r="V64" s="6"/>
      <c r="W64" s="6"/>
      <c r="X64" s="6"/>
      <c r="Y64" s="6"/>
      <c r="Z64" s="6"/>
    </row>
    <row r="65" spans="1:26" ht="12.75" x14ac:dyDescent="0.2">
      <c r="A65" s="10"/>
      <c r="B65" s="6"/>
      <c r="C65" s="6"/>
      <c r="D65" s="6"/>
      <c r="E65" s="9"/>
      <c r="F65" s="9"/>
      <c r="G65" s="11"/>
      <c r="H65" s="5"/>
      <c r="I65" s="6"/>
      <c r="J65" s="6"/>
      <c r="K65" s="6"/>
      <c r="L65" s="6"/>
      <c r="M65" s="6"/>
      <c r="N65" s="6"/>
      <c r="O65" s="6"/>
      <c r="P65" s="6"/>
      <c r="Q65" s="6"/>
      <c r="R65" s="6"/>
      <c r="S65" s="6"/>
      <c r="T65" s="6"/>
      <c r="U65" s="6"/>
      <c r="V65" s="6"/>
      <c r="W65" s="6"/>
      <c r="X65" s="6"/>
      <c r="Y65" s="6"/>
      <c r="Z65" s="6"/>
    </row>
    <row r="66" spans="1:26" ht="12.75" x14ac:dyDescent="0.2">
      <c r="A66" s="10"/>
      <c r="B66" s="6"/>
      <c r="C66" s="6"/>
      <c r="D66" s="6"/>
      <c r="E66" s="9"/>
      <c r="F66" s="9"/>
      <c r="G66" s="11"/>
      <c r="H66" s="5"/>
      <c r="I66" s="6"/>
      <c r="J66" s="6"/>
      <c r="K66" s="6"/>
      <c r="L66" s="6"/>
      <c r="M66" s="6"/>
      <c r="N66" s="6"/>
      <c r="O66" s="6"/>
      <c r="P66" s="6"/>
      <c r="Q66" s="6"/>
      <c r="R66" s="6"/>
      <c r="S66" s="6"/>
      <c r="T66" s="6"/>
      <c r="U66" s="6"/>
      <c r="V66" s="6"/>
      <c r="W66" s="6"/>
      <c r="X66" s="6"/>
      <c r="Y66" s="6"/>
      <c r="Z66" s="6"/>
    </row>
    <row r="67" spans="1:26" ht="12.75" x14ac:dyDescent="0.2">
      <c r="A67" s="10"/>
      <c r="B67" s="6"/>
      <c r="C67" s="6"/>
      <c r="D67" s="6"/>
      <c r="E67" s="9"/>
      <c r="F67" s="9"/>
      <c r="G67" s="11"/>
      <c r="H67" s="5"/>
      <c r="I67" s="6"/>
      <c r="J67" s="6"/>
      <c r="K67" s="6"/>
      <c r="L67" s="6"/>
      <c r="M67" s="6"/>
      <c r="N67" s="6"/>
      <c r="O67" s="6"/>
      <c r="P67" s="6"/>
      <c r="Q67" s="6"/>
      <c r="R67" s="6"/>
      <c r="S67" s="6"/>
      <c r="T67" s="6"/>
      <c r="U67" s="6"/>
      <c r="V67" s="6"/>
      <c r="W67" s="6"/>
      <c r="X67" s="6"/>
      <c r="Y67" s="6"/>
      <c r="Z67" s="6"/>
    </row>
    <row r="68" spans="1:26" ht="12.75" x14ac:dyDescent="0.2">
      <c r="A68" s="10"/>
      <c r="B68" s="6"/>
      <c r="C68" s="6"/>
      <c r="D68" s="6"/>
      <c r="E68" s="9"/>
      <c r="F68" s="9"/>
      <c r="G68" s="11"/>
      <c r="H68" s="5"/>
      <c r="I68" s="6"/>
      <c r="J68" s="6"/>
      <c r="K68" s="9"/>
      <c r="L68" s="9"/>
      <c r="M68" s="9"/>
      <c r="N68" s="6"/>
      <c r="O68" s="6"/>
      <c r="P68" s="6"/>
      <c r="Q68" s="6"/>
      <c r="R68" s="6"/>
      <c r="S68" s="5"/>
      <c r="T68" s="5"/>
      <c r="U68" s="5"/>
      <c r="V68" s="5"/>
      <c r="W68" s="9"/>
      <c r="X68" s="5"/>
      <c r="Y68" s="5"/>
      <c r="Z68" s="4"/>
    </row>
    <row r="69" spans="1:26" ht="12.75" x14ac:dyDescent="0.2">
      <c r="A69" s="10"/>
      <c r="B69" s="6"/>
      <c r="C69" s="6"/>
      <c r="D69" s="6"/>
      <c r="E69" s="9"/>
      <c r="F69" s="9"/>
      <c r="G69" s="11"/>
      <c r="H69" s="5"/>
      <c r="I69" s="6"/>
      <c r="J69" s="6"/>
      <c r="K69" s="6"/>
      <c r="L69" s="6"/>
      <c r="M69" s="6"/>
      <c r="N69" s="6"/>
      <c r="O69" s="6"/>
      <c r="P69" s="6"/>
      <c r="Q69" s="6"/>
      <c r="R69" s="6"/>
      <c r="S69" s="6"/>
      <c r="T69" s="6"/>
      <c r="U69" s="6"/>
      <c r="V69" s="6"/>
      <c r="W69" s="6"/>
      <c r="X69" s="6"/>
      <c r="Y69" s="6"/>
      <c r="Z69" s="6"/>
    </row>
    <row r="70" spans="1:26" ht="12.75" x14ac:dyDescent="0.2">
      <c r="A70" s="10"/>
      <c r="B70" s="6"/>
      <c r="C70" s="6"/>
      <c r="D70" s="6"/>
      <c r="E70" s="9"/>
      <c r="F70" s="9"/>
      <c r="G70" s="11"/>
      <c r="H70" s="5"/>
      <c r="I70" s="6"/>
      <c r="J70" s="6"/>
      <c r="K70" s="6"/>
      <c r="L70" s="6"/>
      <c r="M70" s="6"/>
      <c r="N70" s="6"/>
      <c r="O70" s="6"/>
      <c r="P70" s="6"/>
      <c r="Q70" s="6"/>
      <c r="R70" s="5"/>
      <c r="S70" s="6"/>
      <c r="T70" s="6"/>
      <c r="U70" s="6"/>
      <c r="V70" s="6"/>
      <c r="W70" s="6"/>
      <c r="X70" s="6"/>
      <c r="Y70" s="6"/>
      <c r="Z70" s="6"/>
    </row>
    <row r="71" spans="1:26" ht="12.75" x14ac:dyDescent="0.2">
      <c r="A71" s="10"/>
      <c r="B71" s="6"/>
      <c r="C71" s="6"/>
      <c r="D71" s="6"/>
      <c r="E71" s="9"/>
      <c r="F71" s="9"/>
      <c r="G71" s="11"/>
      <c r="H71" s="5"/>
      <c r="I71" s="6"/>
      <c r="J71" s="6"/>
      <c r="K71" s="6"/>
      <c r="L71" s="6"/>
      <c r="M71" s="6"/>
      <c r="N71" s="9"/>
      <c r="O71" s="9"/>
      <c r="P71" s="9"/>
      <c r="Q71" s="9"/>
      <c r="R71" s="6"/>
      <c r="S71" s="6"/>
      <c r="T71" s="6"/>
      <c r="U71" s="6"/>
      <c r="V71" s="6"/>
      <c r="W71" s="6"/>
      <c r="X71" s="6"/>
      <c r="Y71" s="6"/>
      <c r="Z71" s="6"/>
    </row>
    <row r="72" spans="1:26" ht="12.75" x14ac:dyDescent="0.2">
      <c r="A72" s="10"/>
      <c r="B72" s="6"/>
      <c r="C72" s="6"/>
      <c r="D72" s="6"/>
      <c r="E72" s="9"/>
      <c r="F72" s="9"/>
      <c r="G72" s="11"/>
      <c r="H72" s="5"/>
      <c r="I72" s="6"/>
      <c r="J72" s="6"/>
      <c r="K72" s="6"/>
      <c r="L72" s="6"/>
      <c r="M72" s="6"/>
      <c r="N72" s="6"/>
      <c r="O72" s="6"/>
      <c r="P72" s="6"/>
      <c r="Q72" s="6"/>
      <c r="R72" s="6"/>
      <c r="S72" s="6"/>
      <c r="T72" s="6"/>
      <c r="U72" s="6"/>
      <c r="V72" s="6"/>
      <c r="W72" s="6"/>
      <c r="X72" s="6"/>
      <c r="Y72" s="6"/>
      <c r="Z72" s="6"/>
    </row>
    <row r="73" spans="1:26" ht="12.75" x14ac:dyDescent="0.2">
      <c r="A73" s="10"/>
      <c r="B73" s="6"/>
      <c r="C73" s="6"/>
      <c r="D73" s="6"/>
      <c r="E73" s="9"/>
      <c r="F73" s="9"/>
      <c r="G73" s="11"/>
      <c r="H73" s="5"/>
      <c r="I73" s="6"/>
      <c r="J73" s="6"/>
      <c r="K73" s="6"/>
      <c r="L73" s="6"/>
      <c r="M73" s="6"/>
      <c r="N73" s="6"/>
      <c r="O73" s="6"/>
      <c r="P73" s="6"/>
      <c r="Q73" s="6"/>
      <c r="R73" s="6"/>
      <c r="S73" s="6"/>
      <c r="T73" s="6"/>
      <c r="U73" s="6"/>
      <c r="V73" s="6"/>
      <c r="W73" s="6"/>
      <c r="X73" s="6"/>
      <c r="Y73" s="6"/>
      <c r="Z73" s="6"/>
    </row>
    <row r="74" spans="1:26" ht="12.75" x14ac:dyDescent="0.2">
      <c r="A74" s="10"/>
      <c r="B74" s="6"/>
      <c r="C74" s="6"/>
      <c r="D74" s="6"/>
      <c r="E74" s="9"/>
      <c r="F74" s="9"/>
      <c r="G74" s="11"/>
      <c r="H74" s="5"/>
      <c r="I74" s="6"/>
      <c r="J74" s="6"/>
      <c r="K74" s="6"/>
      <c r="L74" s="6"/>
      <c r="M74" s="6"/>
      <c r="N74" s="6"/>
      <c r="O74" s="6"/>
      <c r="P74" s="6"/>
      <c r="Q74" s="6"/>
      <c r="R74" s="6"/>
      <c r="S74" s="6"/>
      <c r="T74" s="6"/>
      <c r="U74" s="6"/>
      <c r="V74" s="6"/>
      <c r="W74" s="6"/>
      <c r="X74" s="6"/>
      <c r="Y74" s="6"/>
      <c r="Z74" s="6"/>
    </row>
    <row r="75" spans="1:26" ht="12.75" x14ac:dyDescent="0.2">
      <c r="B75" s="6"/>
      <c r="C75" s="6"/>
      <c r="D75" s="6"/>
      <c r="E75" s="9"/>
      <c r="F75" s="9"/>
      <c r="G75" s="11"/>
      <c r="H75" s="5"/>
      <c r="I75" s="6"/>
      <c r="J75" s="6"/>
      <c r="K75" s="6"/>
      <c r="L75" s="6"/>
      <c r="M75" s="6"/>
      <c r="N75" s="6"/>
      <c r="O75" s="6"/>
      <c r="P75" s="6"/>
      <c r="Q75" s="6"/>
      <c r="R75" s="6"/>
      <c r="S75" s="6"/>
      <c r="T75" s="6"/>
      <c r="U75" s="6"/>
      <c r="V75" s="6"/>
      <c r="W75" s="6"/>
      <c r="X75" s="6"/>
      <c r="Y75" s="6"/>
      <c r="Z75" s="6"/>
    </row>
    <row r="76" spans="1:26" ht="12.75" x14ac:dyDescent="0.2">
      <c r="B76" s="6"/>
      <c r="C76" s="6"/>
      <c r="D76" s="6"/>
      <c r="E76" s="9"/>
      <c r="F76" s="9"/>
      <c r="G76" s="11"/>
      <c r="H76" s="5"/>
      <c r="K76" s="6"/>
      <c r="L76" s="6"/>
      <c r="M76" s="6"/>
      <c r="N76" s="6"/>
      <c r="O76" s="6"/>
      <c r="P76" s="6"/>
      <c r="Q76" s="6"/>
      <c r="R76" s="6"/>
      <c r="S76" s="6"/>
      <c r="T76" s="6"/>
      <c r="U76" s="6"/>
      <c r="V76" s="6"/>
      <c r="W76" s="6"/>
      <c r="X76" s="6"/>
      <c r="Y76" s="6"/>
      <c r="Z76" s="6"/>
    </row>
    <row r="77" spans="1:26" ht="12.75" x14ac:dyDescent="0.2">
      <c r="A77" s="10"/>
      <c r="B77" s="6"/>
      <c r="C77" s="6"/>
      <c r="D77" s="6"/>
      <c r="E77" s="9"/>
      <c r="F77" s="9"/>
      <c r="G77" s="11"/>
      <c r="H77" s="5"/>
      <c r="I77" s="6"/>
      <c r="J77" s="6"/>
      <c r="K77" s="6"/>
      <c r="L77" s="6"/>
      <c r="M77" s="6"/>
      <c r="N77" s="6"/>
      <c r="O77" s="6"/>
      <c r="P77" s="6"/>
      <c r="Q77" s="6"/>
      <c r="R77" s="6"/>
      <c r="S77" s="6"/>
      <c r="T77" s="6"/>
      <c r="U77" s="6"/>
      <c r="V77" s="6"/>
      <c r="W77" s="6"/>
      <c r="X77" s="6"/>
      <c r="Y77" s="6"/>
      <c r="Z77" s="6"/>
    </row>
    <row r="78" spans="1:26" ht="12.75" x14ac:dyDescent="0.2">
      <c r="A78" s="10"/>
      <c r="B78" s="6"/>
      <c r="C78" s="6"/>
      <c r="D78" s="6"/>
      <c r="E78" s="9"/>
      <c r="F78" s="9"/>
      <c r="G78" s="11"/>
      <c r="H78" s="5"/>
      <c r="I78" s="6"/>
      <c r="J78" s="6"/>
      <c r="K78" s="6"/>
      <c r="L78" s="6"/>
      <c r="M78" s="6"/>
      <c r="N78" s="6"/>
      <c r="O78" s="6"/>
      <c r="P78" s="6"/>
      <c r="Q78" s="6"/>
      <c r="R78" s="6"/>
      <c r="S78" s="6"/>
      <c r="T78" s="6"/>
      <c r="U78" s="6"/>
      <c r="V78" s="6"/>
      <c r="W78" s="6"/>
      <c r="X78" s="6"/>
      <c r="Y78" s="6"/>
      <c r="Z78" s="6"/>
    </row>
    <row r="79" spans="1:26" ht="12.75" x14ac:dyDescent="0.2">
      <c r="A79" s="10"/>
      <c r="B79" s="6"/>
      <c r="C79" s="6"/>
      <c r="D79" s="6"/>
      <c r="E79" s="9"/>
      <c r="F79" s="9"/>
      <c r="G79" s="11"/>
      <c r="H79" s="5"/>
      <c r="I79" s="6"/>
      <c r="J79" s="6"/>
      <c r="K79" s="6"/>
      <c r="L79" s="6"/>
      <c r="M79" s="6"/>
      <c r="N79" s="6"/>
      <c r="O79" s="6"/>
      <c r="P79" s="6"/>
      <c r="Q79" s="6"/>
      <c r="R79" s="6"/>
      <c r="S79" s="6"/>
      <c r="T79" s="6"/>
      <c r="U79" s="6"/>
      <c r="V79" s="6"/>
      <c r="W79" s="6"/>
      <c r="X79" s="6"/>
      <c r="Y79" s="6"/>
      <c r="Z79" s="6"/>
    </row>
    <row r="80" spans="1:26" ht="12.75" x14ac:dyDescent="0.2">
      <c r="A80" s="10"/>
      <c r="B80" s="6"/>
      <c r="C80" s="6"/>
      <c r="D80" s="6"/>
      <c r="E80" s="9"/>
      <c r="F80" s="9"/>
      <c r="G80" s="11"/>
      <c r="H80" s="5"/>
      <c r="I80" s="6"/>
      <c r="J80" s="6"/>
      <c r="K80" s="6"/>
      <c r="L80" s="6"/>
      <c r="M80" s="6"/>
      <c r="N80" s="6"/>
      <c r="O80" s="6"/>
      <c r="P80" s="6"/>
      <c r="Q80" s="6"/>
      <c r="R80" s="6"/>
      <c r="S80" s="6"/>
      <c r="T80" s="6"/>
      <c r="U80" s="6"/>
      <c r="V80" s="6"/>
      <c r="W80" s="6"/>
      <c r="X80" s="6"/>
      <c r="Y80" s="6"/>
      <c r="Z80" s="6"/>
    </row>
    <row r="81" spans="1:26" ht="12.75" x14ac:dyDescent="0.2">
      <c r="A81" s="10"/>
      <c r="B81" s="6"/>
      <c r="C81" s="6"/>
      <c r="D81" s="6"/>
      <c r="E81" s="9"/>
      <c r="F81" s="9"/>
      <c r="G81" s="11"/>
      <c r="H81" s="5"/>
      <c r="I81" s="6"/>
      <c r="J81" s="6"/>
      <c r="K81" s="6"/>
      <c r="L81" s="6"/>
      <c r="M81" s="6"/>
      <c r="N81" s="6"/>
      <c r="O81" s="6"/>
      <c r="P81" s="6"/>
      <c r="Q81" s="6"/>
      <c r="R81" s="6"/>
      <c r="S81" s="6"/>
      <c r="T81" s="6"/>
      <c r="U81" s="6"/>
      <c r="V81" s="6"/>
      <c r="W81" s="6"/>
      <c r="X81" s="6"/>
      <c r="Y81" s="6"/>
      <c r="Z81" s="6"/>
    </row>
    <row r="82" spans="1:26" ht="12.75" x14ac:dyDescent="0.2">
      <c r="A82" s="10"/>
      <c r="B82" s="6"/>
      <c r="C82" s="6"/>
      <c r="D82" s="6"/>
      <c r="E82" s="9"/>
      <c r="F82" s="9"/>
      <c r="G82" s="11"/>
      <c r="H82" s="5"/>
      <c r="I82" s="6"/>
      <c r="J82" s="6"/>
      <c r="K82" s="6"/>
      <c r="L82" s="6"/>
      <c r="M82" s="6"/>
      <c r="N82" s="6"/>
      <c r="O82" s="6"/>
      <c r="P82" s="6"/>
      <c r="Q82" s="6"/>
      <c r="R82" s="6"/>
      <c r="S82" s="6"/>
      <c r="T82" s="6"/>
      <c r="U82" s="6"/>
      <c r="V82" s="6"/>
      <c r="W82" s="6"/>
      <c r="X82" s="6"/>
      <c r="Y82" s="6"/>
      <c r="Z82" s="6"/>
    </row>
    <row r="83" spans="1:26" ht="12.75" x14ac:dyDescent="0.2">
      <c r="A83" s="10"/>
      <c r="B83" s="6"/>
      <c r="C83" s="6"/>
      <c r="D83" s="6"/>
      <c r="E83" s="9"/>
      <c r="F83" s="9"/>
      <c r="G83" s="11"/>
      <c r="H83" s="5"/>
      <c r="I83" s="6"/>
      <c r="J83" s="6"/>
      <c r="K83" s="6"/>
      <c r="L83" s="6"/>
      <c r="M83" s="6"/>
      <c r="N83" s="6"/>
      <c r="O83" s="6"/>
      <c r="P83" s="6"/>
      <c r="Q83" s="6"/>
      <c r="R83" s="6"/>
      <c r="S83" s="6"/>
      <c r="T83" s="6"/>
      <c r="U83" s="6"/>
      <c r="V83" s="6"/>
      <c r="W83" s="6"/>
      <c r="X83" s="6"/>
      <c r="Y83" s="6"/>
      <c r="Z83" s="6"/>
    </row>
    <row r="84" spans="1:26" ht="12.75" x14ac:dyDescent="0.2">
      <c r="A84" s="10"/>
      <c r="B84" s="6"/>
      <c r="C84" s="6"/>
      <c r="D84" s="6"/>
      <c r="E84" s="9"/>
      <c r="F84" s="9"/>
      <c r="G84" s="11"/>
      <c r="H84" s="5"/>
      <c r="I84" s="6"/>
      <c r="J84" s="6"/>
      <c r="K84" s="6"/>
      <c r="L84" s="6"/>
      <c r="M84" s="6"/>
      <c r="N84" s="6"/>
      <c r="O84" s="6"/>
      <c r="P84" s="6"/>
      <c r="Q84" s="6"/>
      <c r="R84" s="6"/>
      <c r="S84" s="6"/>
      <c r="T84" s="6"/>
      <c r="U84" s="6"/>
      <c r="V84" s="6"/>
      <c r="W84" s="6"/>
      <c r="X84" s="6"/>
      <c r="Y84" s="6"/>
      <c r="Z84" s="6"/>
    </row>
    <row r="85" spans="1:26" ht="12.75" x14ac:dyDescent="0.2">
      <c r="A85" s="10"/>
      <c r="B85" s="6"/>
      <c r="C85" s="6"/>
      <c r="D85" s="6"/>
      <c r="E85" s="9"/>
      <c r="F85" s="9"/>
      <c r="G85" s="11"/>
      <c r="H85" s="5"/>
      <c r="I85" s="6"/>
      <c r="J85" s="6"/>
      <c r="K85" s="9"/>
      <c r="L85" s="9"/>
      <c r="M85" s="9"/>
      <c r="N85" s="6"/>
      <c r="O85" s="6"/>
      <c r="P85" s="6"/>
      <c r="Q85" s="6"/>
      <c r="R85" s="6"/>
      <c r="S85" s="5"/>
      <c r="T85" s="5"/>
      <c r="U85" s="5"/>
      <c r="V85" s="5"/>
      <c r="W85" s="9"/>
      <c r="X85" s="5"/>
      <c r="Y85" s="5"/>
      <c r="Z85" s="4"/>
    </row>
    <row r="86" spans="1:26" ht="12.75" x14ac:dyDescent="0.2">
      <c r="A86" s="10"/>
      <c r="B86" s="6"/>
      <c r="C86" s="6"/>
      <c r="D86" s="6"/>
      <c r="E86" s="9"/>
      <c r="F86" s="9"/>
      <c r="G86" s="11"/>
      <c r="H86" s="5"/>
      <c r="I86" s="6"/>
      <c r="J86" s="6"/>
      <c r="K86" s="6"/>
      <c r="L86" s="6"/>
      <c r="M86" s="6"/>
      <c r="N86" s="6"/>
      <c r="O86" s="6"/>
      <c r="P86" s="6"/>
      <c r="Q86" s="6"/>
      <c r="R86" s="6"/>
      <c r="S86" s="6"/>
      <c r="T86" s="6"/>
      <c r="U86" s="6"/>
      <c r="V86" s="6"/>
      <c r="W86" s="6"/>
      <c r="X86" s="6"/>
      <c r="Y86" s="6"/>
      <c r="Z86" s="6"/>
    </row>
    <row r="87" spans="1:26" ht="12.75" x14ac:dyDescent="0.2">
      <c r="A87" s="10"/>
      <c r="B87" s="6"/>
      <c r="C87" s="6"/>
      <c r="D87" s="6"/>
      <c r="E87" s="9"/>
      <c r="F87" s="9"/>
      <c r="G87" s="11"/>
      <c r="H87" s="5"/>
      <c r="I87" s="6"/>
      <c r="J87" s="6"/>
      <c r="K87" s="6"/>
      <c r="L87" s="6"/>
      <c r="M87" s="6"/>
      <c r="N87" s="6"/>
      <c r="O87" s="6"/>
      <c r="P87" s="6"/>
      <c r="Q87" s="6"/>
      <c r="R87" s="5"/>
      <c r="S87" s="6"/>
      <c r="T87" s="6"/>
      <c r="U87" s="6"/>
      <c r="V87" s="6"/>
      <c r="W87" s="6"/>
      <c r="X87" s="6"/>
      <c r="Y87" s="6"/>
      <c r="Z87" s="6"/>
    </row>
    <row r="88" spans="1:26" ht="12.75" x14ac:dyDescent="0.2">
      <c r="A88" s="10"/>
      <c r="B88" s="6"/>
      <c r="C88" s="6"/>
      <c r="D88" s="6"/>
      <c r="E88" s="9"/>
      <c r="F88" s="9"/>
      <c r="G88" s="11"/>
      <c r="H88" s="5"/>
      <c r="I88" s="6"/>
      <c r="J88" s="6"/>
      <c r="K88" s="6"/>
      <c r="L88" s="6"/>
      <c r="M88" s="6"/>
      <c r="N88" s="9"/>
      <c r="O88" s="9"/>
      <c r="P88" s="9"/>
      <c r="Q88" s="9"/>
      <c r="R88" s="6"/>
      <c r="S88" s="6"/>
      <c r="T88" s="6"/>
      <c r="U88" s="6"/>
      <c r="V88" s="6"/>
      <c r="W88" s="6"/>
      <c r="X88" s="6"/>
      <c r="Y88" s="6"/>
      <c r="Z88" s="6"/>
    </row>
    <row r="89" spans="1:26" ht="12.75" x14ac:dyDescent="0.2">
      <c r="A89" s="10"/>
      <c r="B89" s="6"/>
      <c r="C89" s="6"/>
      <c r="D89" s="6"/>
      <c r="E89" s="9"/>
      <c r="F89" s="9"/>
      <c r="G89" s="11"/>
      <c r="H89" s="5"/>
      <c r="I89" s="6"/>
      <c r="J89" s="6"/>
      <c r="K89" s="6"/>
      <c r="L89" s="6"/>
      <c r="M89" s="6"/>
      <c r="N89" s="6"/>
      <c r="O89" s="6"/>
      <c r="P89" s="6"/>
      <c r="Q89" s="6"/>
      <c r="R89" s="6"/>
      <c r="S89" s="6"/>
      <c r="T89" s="6"/>
      <c r="U89" s="6"/>
      <c r="V89" s="6"/>
      <c r="W89" s="6"/>
      <c r="X89" s="6"/>
      <c r="Y89" s="6"/>
      <c r="Z89" s="6"/>
    </row>
    <row r="90" spans="1:26" ht="12.75" x14ac:dyDescent="0.2">
      <c r="A90" s="10"/>
      <c r="B90" s="6"/>
      <c r="C90" s="6"/>
      <c r="D90" s="6"/>
      <c r="E90" s="9"/>
      <c r="F90" s="9"/>
      <c r="G90" s="11"/>
      <c r="H90" s="5"/>
      <c r="I90" s="6"/>
      <c r="J90" s="6"/>
      <c r="K90" s="6"/>
      <c r="L90" s="6"/>
      <c r="M90" s="6"/>
      <c r="N90" s="6"/>
      <c r="O90" s="6"/>
      <c r="P90" s="6"/>
      <c r="Q90" s="6"/>
      <c r="R90" s="6"/>
      <c r="S90" s="6"/>
      <c r="T90" s="6"/>
      <c r="U90" s="6"/>
      <c r="V90" s="6"/>
      <c r="W90" s="6"/>
      <c r="X90" s="6"/>
      <c r="Y90" s="6"/>
      <c r="Z90" s="6"/>
    </row>
    <row r="91" spans="1:26" ht="12.75" x14ac:dyDescent="0.2">
      <c r="A91" s="10"/>
      <c r="B91" s="6"/>
      <c r="C91" s="6"/>
      <c r="D91" s="6"/>
      <c r="E91" s="9"/>
      <c r="F91" s="9"/>
      <c r="G91" s="11"/>
      <c r="H91" s="5"/>
      <c r="I91" s="6"/>
      <c r="J91" s="6"/>
      <c r="K91" s="6"/>
      <c r="L91" s="6"/>
      <c r="M91" s="6"/>
      <c r="N91" s="6"/>
      <c r="O91" s="6"/>
      <c r="P91" s="6"/>
      <c r="Q91" s="6"/>
      <c r="R91" s="6"/>
      <c r="S91" s="6"/>
      <c r="T91" s="6"/>
      <c r="U91" s="6"/>
      <c r="V91" s="6"/>
      <c r="W91" s="6"/>
      <c r="X91" s="6"/>
      <c r="Y91" s="6"/>
      <c r="Z91" s="6"/>
    </row>
    <row r="92" spans="1:26" ht="12.75" x14ac:dyDescent="0.2">
      <c r="B92" s="6"/>
      <c r="C92" s="6"/>
      <c r="D92" s="6"/>
      <c r="E92" s="9"/>
      <c r="F92" s="9"/>
      <c r="G92" s="11"/>
      <c r="H92" s="5"/>
      <c r="I92" s="6"/>
      <c r="J92" s="6"/>
      <c r="K92" s="6"/>
      <c r="L92" s="6"/>
      <c r="M92" s="6"/>
      <c r="N92" s="6"/>
      <c r="O92" s="6"/>
      <c r="P92" s="6"/>
      <c r="Q92" s="6"/>
      <c r="R92" s="6"/>
      <c r="S92" s="6"/>
      <c r="T92" s="6"/>
      <c r="U92" s="6"/>
      <c r="V92" s="6"/>
      <c r="W92" s="6"/>
      <c r="X92" s="6"/>
      <c r="Y92" s="6"/>
      <c r="Z92" s="6"/>
    </row>
    <row r="93" spans="1:26" ht="12.75" x14ac:dyDescent="0.2">
      <c r="A93" s="10"/>
      <c r="B93" s="6"/>
      <c r="C93" s="6"/>
      <c r="D93" s="6"/>
      <c r="E93" s="9"/>
      <c r="F93" s="9"/>
      <c r="G93" s="11"/>
      <c r="H93" s="5"/>
      <c r="I93" s="6"/>
      <c r="J93" s="6"/>
      <c r="K93" s="6"/>
      <c r="L93" s="6"/>
      <c r="M93" s="6"/>
      <c r="N93" s="6"/>
      <c r="O93" s="6"/>
      <c r="P93" s="6"/>
      <c r="Q93" s="6"/>
      <c r="R93" s="6"/>
      <c r="S93" s="6"/>
      <c r="T93" s="6"/>
      <c r="U93" s="6"/>
      <c r="V93" s="6"/>
      <c r="W93" s="6"/>
      <c r="X93" s="6"/>
      <c r="Y93" s="6"/>
      <c r="Z93" s="6"/>
    </row>
    <row r="94" spans="1:26" ht="12.75" x14ac:dyDescent="0.2">
      <c r="A94" s="10"/>
      <c r="B94" s="6"/>
      <c r="C94" s="6"/>
      <c r="D94" s="6"/>
      <c r="E94" s="9"/>
      <c r="F94" s="9"/>
      <c r="G94" s="11"/>
      <c r="H94" s="5"/>
      <c r="I94" s="6"/>
      <c r="J94" s="6"/>
      <c r="K94" s="6"/>
      <c r="L94" s="6"/>
      <c r="M94" s="6"/>
      <c r="N94" s="6"/>
      <c r="O94" s="6"/>
      <c r="P94" s="6"/>
      <c r="Q94" s="6"/>
      <c r="R94" s="6"/>
      <c r="S94" s="6"/>
      <c r="T94" s="6"/>
      <c r="U94" s="6"/>
      <c r="V94" s="6"/>
      <c r="W94" s="6"/>
      <c r="X94" s="6"/>
      <c r="Y94" s="6"/>
      <c r="Z94" s="6"/>
    </row>
    <row r="95" spans="1:26" ht="12.75" x14ac:dyDescent="0.2">
      <c r="A95" s="10"/>
      <c r="B95" s="6"/>
      <c r="C95" s="6"/>
      <c r="D95" s="6"/>
      <c r="E95" s="9"/>
      <c r="F95" s="9"/>
      <c r="G95" s="11"/>
      <c r="H95" s="5"/>
      <c r="I95" s="6"/>
      <c r="J95" s="6"/>
      <c r="K95" s="6"/>
      <c r="L95" s="6"/>
      <c r="M95" s="6"/>
      <c r="N95" s="6"/>
      <c r="O95" s="6"/>
      <c r="P95" s="6"/>
      <c r="Q95" s="6"/>
      <c r="R95" s="6"/>
      <c r="S95" s="6"/>
      <c r="T95" s="6"/>
      <c r="U95" s="6"/>
      <c r="V95" s="6"/>
      <c r="W95" s="6"/>
      <c r="X95" s="6"/>
      <c r="Y95" s="6"/>
      <c r="Z95" s="6"/>
    </row>
    <row r="96" spans="1:26" ht="12.75" x14ac:dyDescent="0.2">
      <c r="A96" s="10"/>
      <c r="B96" s="6"/>
      <c r="C96" s="6"/>
      <c r="D96" s="6"/>
      <c r="E96" s="9"/>
      <c r="F96" s="9"/>
      <c r="G96" s="11"/>
      <c r="H96" s="5"/>
      <c r="I96" s="6"/>
      <c r="J96" s="6"/>
      <c r="K96" s="6"/>
      <c r="L96" s="6"/>
      <c r="M96" s="6"/>
      <c r="N96" s="6"/>
      <c r="O96" s="6"/>
      <c r="P96" s="6"/>
      <c r="Q96" s="6"/>
      <c r="R96" s="6"/>
      <c r="S96" s="6"/>
      <c r="T96" s="6"/>
      <c r="U96" s="6"/>
      <c r="V96" s="6"/>
      <c r="W96" s="6"/>
      <c r="X96" s="6"/>
      <c r="Y96" s="6"/>
      <c r="Z96" s="6"/>
    </row>
    <row r="97" spans="1:26" ht="12.75" x14ac:dyDescent="0.2">
      <c r="A97" s="10"/>
      <c r="B97" s="6"/>
      <c r="C97" s="6"/>
      <c r="D97" s="6"/>
      <c r="E97" s="9"/>
      <c r="F97" s="9"/>
      <c r="G97" s="11"/>
      <c r="H97" s="5"/>
      <c r="I97" s="6"/>
      <c r="J97" s="6"/>
      <c r="K97" s="6"/>
      <c r="L97" s="6"/>
      <c r="M97" s="6"/>
      <c r="N97" s="6"/>
      <c r="O97" s="6"/>
      <c r="P97" s="6"/>
      <c r="Q97" s="6"/>
      <c r="R97" s="6"/>
      <c r="S97" s="6"/>
      <c r="T97" s="6"/>
      <c r="U97" s="6"/>
      <c r="V97" s="6"/>
      <c r="W97" s="6"/>
      <c r="X97" s="6"/>
      <c r="Y97" s="6"/>
      <c r="Z97" s="6"/>
    </row>
    <row r="98" spans="1:26" ht="12.75" x14ac:dyDescent="0.2">
      <c r="A98" s="10"/>
      <c r="B98" s="6"/>
      <c r="C98" s="6"/>
      <c r="D98" s="6"/>
      <c r="E98" s="9"/>
      <c r="F98" s="9"/>
      <c r="G98" s="11"/>
      <c r="H98" s="5"/>
      <c r="I98" s="6"/>
      <c r="J98" s="6"/>
      <c r="K98" s="6"/>
      <c r="L98" s="6"/>
      <c r="M98" s="6"/>
      <c r="N98" s="6"/>
      <c r="O98" s="6"/>
      <c r="P98" s="6"/>
      <c r="Q98" s="6"/>
      <c r="R98" s="6"/>
      <c r="S98" s="6"/>
      <c r="T98" s="6"/>
      <c r="U98" s="6"/>
      <c r="V98" s="6"/>
      <c r="W98" s="6"/>
      <c r="X98" s="6"/>
      <c r="Y98" s="6"/>
      <c r="Z98" s="6"/>
    </row>
    <row r="99" spans="1:26" ht="12.75" x14ac:dyDescent="0.2">
      <c r="A99" s="10"/>
      <c r="B99" s="6"/>
      <c r="C99" s="6"/>
      <c r="D99" s="6"/>
      <c r="E99" s="9"/>
      <c r="F99" s="9"/>
      <c r="G99" s="11"/>
      <c r="H99" s="5"/>
      <c r="I99" s="6"/>
      <c r="J99" s="6"/>
      <c r="K99" s="6"/>
      <c r="L99" s="6"/>
      <c r="M99" s="6"/>
      <c r="N99" s="6"/>
      <c r="O99" s="6"/>
      <c r="P99" s="6"/>
      <c r="Q99" s="6"/>
      <c r="R99" s="6"/>
      <c r="S99" s="6"/>
      <c r="T99" s="6"/>
      <c r="U99" s="6"/>
      <c r="V99" s="6"/>
      <c r="W99" s="6"/>
      <c r="X99" s="6"/>
      <c r="Y99" s="6"/>
      <c r="Z99" s="6"/>
    </row>
    <row r="100" spans="1:26" ht="12.75" x14ac:dyDescent="0.2">
      <c r="A100" s="10"/>
      <c r="B100" s="6"/>
      <c r="C100" s="6"/>
      <c r="D100" s="6"/>
      <c r="E100" s="9"/>
      <c r="F100" s="9"/>
      <c r="G100" s="11"/>
      <c r="H100" s="5"/>
      <c r="I100" s="6"/>
      <c r="J100" s="6"/>
      <c r="K100" s="6"/>
      <c r="L100" s="6"/>
      <c r="M100" s="6"/>
      <c r="N100" s="6"/>
      <c r="O100" s="6"/>
      <c r="P100" s="6"/>
      <c r="Q100" s="6"/>
      <c r="R100" s="6"/>
      <c r="S100" s="6"/>
      <c r="T100" s="6"/>
      <c r="U100" s="6"/>
      <c r="V100" s="6"/>
      <c r="W100" s="6"/>
      <c r="X100" s="6"/>
      <c r="Y100" s="6"/>
      <c r="Z100" s="6"/>
    </row>
    <row r="101" spans="1:26" ht="12.75" x14ac:dyDescent="0.2">
      <c r="A101" s="10"/>
      <c r="B101" s="6"/>
      <c r="C101" s="6"/>
      <c r="D101" s="6"/>
      <c r="E101" s="9"/>
      <c r="F101" s="9"/>
      <c r="G101" s="11"/>
      <c r="H101" s="5"/>
      <c r="I101" s="6"/>
      <c r="J101" s="6"/>
      <c r="K101" s="6"/>
      <c r="L101" s="6"/>
      <c r="M101" s="6"/>
      <c r="N101" s="6"/>
      <c r="O101" s="6"/>
      <c r="P101" s="6"/>
      <c r="Q101" s="6"/>
      <c r="R101" s="6"/>
      <c r="S101" s="6"/>
      <c r="T101" s="6"/>
      <c r="U101" s="6"/>
      <c r="V101" s="6"/>
      <c r="W101" s="6"/>
      <c r="X101" s="6"/>
      <c r="Y101" s="6"/>
      <c r="Z101" s="6"/>
    </row>
    <row r="102" spans="1:26" ht="12.75" x14ac:dyDescent="0.2">
      <c r="A102" s="10"/>
      <c r="B102" s="6"/>
      <c r="C102" s="6"/>
      <c r="D102" s="6"/>
      <c r="E102" s="9"/>
      <c r="F102" s="9"/>
      <c r="G102" s="11"/>
      <c r="H102" s="5"/>
      <c r="I102" s="6"/>
      <c r="J102" s="6"/>
      <c r="N102" s="6"/>
      <c r="O102" s="6"/>
      <c r="P102" s="6"/>
      <c r="Q102" s="6"/>
      <c r="R102" s="6"/>
      <c r="Z102" s="6"/>
    </row>
    <row r="103" spans="1:26" ht="12.75" x14ac:dyDescent="0.2">
      <c r="A103" s="10"/>
      <c r="B103" s="6"/>
      <c r="C103" s="6"/>
      <c r="D103" s="6"/>
      <c r="E103" s="9"/>
      <c r="F103" s="9"/>
      <c r="G103" s="11"/>
      <c r="H103" s="5"/>
      <c r="I103" s="6"/>
      <c r="J103" s="6"/>
      <c r="K103" s="6"/>
      <c r="L103" s="6"/>
      <c r="M103" s="6"/>
      <c r="N103" s="6"/>
      <c r="O103" s="6"/>
      <c r="P103" s="6"/>
      <c r="Q103" s="6"/>
      <c r="R103" s="6"/>
      <c r="S103" s="6"/>
      <c r="T103" s="6"/>
      <c r="U103" s="6"/>
      <c r="V103" s="6"/>
      <c r="W103" s="6"/>
      <c r="X103" s="6"/>
      <c r="Y103" s="6"/>
      <c r="Z103" s="6"/>
    </row>
    <row r="104" spans="1:26" ht="12.75" x14ac:dyDescent="0.2">
      <c r="A104" s="10"/>
      <c r="B104" s="6"/>
      <c r="C104" s="6"/>
      <c r="D104" s="6"/>
      <c r="E104" s="9"/>
      <c r="F104" s="9"/>
      <c r="G104" s="11"/>
      <c r="H104" s="5"/>
      <c r="I104" s="6"/>
      <c r="J104" s="6"/>
      <c r="N104" s="6"/>
      <c r="O104" s="6"/>
      <c r="P104" s="6"/>
      <c r="Q104" s="6"/>
      <c r="Z104" s="6"/>
    </row>
    <row r="105" spans="1:26" ht="12.75" x14ac:dyDescent="0.2">
      <c r="A105" s="10"/>
      <c r="B105" s="6"/>
      <c r="C105" s="6"/>
      <c r="D105" s="6"/>
      <c r="E105" s="9"/>
      <c r="F105" s="9"/>
      <c r="G105" s="11"/>
      <c r="H105" s="5"/>
      <c r="I105" s="6"/>
      <c r="J105" s="6"/>
      <c r="K105" s="6"/>
      <c r="L105" s="6"/>
      <c r="M105" s="6"/>
      <c r="R105" s="6"/>
      <c r="S105" s="6"/>
      <c r="T105" s="6"/>
      <c r="U105" s="6"/>
      <c r="V105" s="6"/>
      <c r="W105" s="6"/>
      <c r="X105" s="6"/>
      <c r="Y105" s="6"/>
      <c r="Z105" s="6"/>
    </row>
    <row r="106" spans="1:26" ht="12.75" x14ac:dyDescent="0.2">
      <c r="A106" s="10"/>
      <c r="B106" s="6"/>
      <c r="C106" s="6"/>
      <c r="D106" s="6"/>
      <c r="E106" s="9"/>
      <c r="F106" s="9"/>
      <c r="G106" s="11"/>
      <c r="H106" s="5"/>
      <c r="I106" s="6"/>
      <c r="J106" s="6"/>
      <c r="N106" s="6"/>
      <c r="O106" s="6"/>
      <c r="P106" s="6"/>
      <c r="Q106" s="6"/>
      <c r="Z106" s="6"/>
    </row>
    <row r="107" spans="1:26" ht="12.75" x14ac:dyDescent="0.2">
      <c r="A107" s="10"/>
      <c r="B107" s="6"/>
      <c r="C107" s="6"/>
      <c r="D107" s="6"/>
      <c r="E107" s="9"/>
      <c r="F107" s="9"/>
      <c r="G107" s="11"/>
      <c r="H107" s="5"/>
      <c r="I107" s="8"/>
      <c r="J107" s="8"/>
      <c r="K107" s="6"/>
      <c r="L107" s="6"/>
      <c r="M107" s="6"/>
      <c r="R107" s="6"/>
      <c r="S107" s="6"/>
      <c r="T107" s="6"/>
      <c r="U107" s="6"/>
      <c r="V107" s="6"/>
      <c r="W107" s="6"/>
      <c r="X107" s="6"/>
      <c r="Y107" s="6"/>
      <c r="Z107" s="6"/>
    </row>
    <row r="108" spans="1:26" ht="12.75" x14ac:dyDescent="0.2">
      <c r="A108" s="10"/>
      <c r="B108" s="6"/>
      <c r="C108" s="6"/>
      <c r="D108" s="6"/>
      <c r="E108" s="9"/>
      <c r="F108" s="9"/>
      <c r="G108" s="11"/>
      <c r="H108" s="5"/>
      <c r="I108" s="6"/>
      <c r="J108" s="6"/>
      <c r="N108" s="6"/>
      <c r="O108" s="6"/>
      <c r="P108" s="6"/>
      <c r="Q108" s="6"/>
      <c r="Z108" s="6"/>
    </row>
    <row r="109" spans="1:26" ht="12.75" x14ac:dyDescent="0.2">
      <c r="A109" s="10"/>
      <c r="B109" s="6"/>
      <c r="C109" s="6"/>
      <c r="D109" s="6"/>
      <c r="E109" s="9"/>
      <c r="F109" s="9"/>
      <c r="G109" s="11"/>
      <c r="H109" s="5"/>
      <c r="I109" s="8"/>
      <c r="J109" s="8"/>
      <c r="R109" s="6"/>
      <c r="Z109" s="6"/>
    </row>
    <row r="110" spans="1:26" ht="12.75" x14ac:dyDescent="0.2">
      <c r="B110" s="6"/>
      <c r="C110" s="6"/>
      <c r="D110" s="6"/>
      <c r="E110" s="9"/>
      <c r="F110" s="9"/>
      <c r="G110" s="11"/>
      <c r="H110" s="5"/>
      <c r="I110" s="6"/>
      <c r="J110" s="6"/>
      <c r="N110" s="6"/>
      <c r="O110" s="6"/>
      <c r="P110" s="6"/>
      <c r="Q110" s="6"/>
      <c r="Z110" s="6"/>
    </row>
    <row r="111" spans="1:26" ht="12.75" x14ac:dyDescent="0.2">
      <c r="B111" s="6"/>
      <c r="C111" s="6"/>
      <c r="D111" s="6"/>
      <c r="E111" s="9"/>
      <c r="F111" s="9"/>
      <c r="G111" s="11"/>
      <c r="H111" s="5"/>
      <c r="I111" s="8"/>
      <c r="J111" s="8"/>
      <c r="Z111" s="6"/>
    </row>
    <row r="112" spans="1:26" ht="12.75" x14ac:dyDescent="0.2">
      <c r="B112" s="6"/>
      <c r="C112" s="6"/>
      <c r="D112" s="6"/>
      <c r="E112" s="9"/>
      <c r="F112" s="9"/>
      <c r="G112" s="11"/>
      <c r="H112" s="5"/>
      <c r="I112" s="6"/>
      <c r="J112" s="6"/>
      <c r="Z112" s="6"/>
    </row>
    <row r="113" spans="2:26" ht="12.75" x14ac:dyDescent="0.2">
      <c r="B113" s="6"/>
      <c r="C113" s="6"/>
      <c r="D113" s="6"/>
      <c r="E113" s="9"/>
      <c r="F113" s="9"/>
      <c r="G113" s="11"/>
      <c r="H113" s="5"/>
      <c r="I113" s="8"/>
      <c r="J113" s="8"/>
      <c r="Z113" s="6"/>
    </row>
    <row r="114" spans="2:26" ht="12.75" x14ac:dyDescent="0.2">
      <c r="B114" s="6"/>
      <c r="C114" s="6"/>
      <c r="D114" s="6"/>
      <c r="E114" s="9"/>
      <c r="F114" s="9"/>
      <c r="G114" s="11"/>
      <c r="H114" s="5"/>
      <c r="I114" s="8"/>
      <c r="J114" s="8"/>
      <c r="Z114" s="6"/>
    </row>
    <row r="115" spans="2:26" ht="12.75" x14ac:dyDescent="0.2">
      <c r="B115" s="6"/>
      <c r="C115" s="6"/>
      <c r="D115" s="6"/>
      <c r="E115" s="9"/>
      <c r="F115" s="9"/>
      <c r="G115" s="11"/>
      <c r="H115" s="5"/>
      <c r="I115" s="8"/>
      <c r="J115" s="8"/>
      <c r="Z115" s="6"/>
    </row>
    <row r="116" spans="2:26" ht="12.75" x14ac:dyDescent="0.2">
      <c r="B116" s="6"/>
      <c r="C116" s="6"/>
      <c r="D116" s="6"/>
      <c r="E116" s="9"/>
      <c r="F116" s="9"/>
      <c r="G116" s="11"/>
      <c r="H116" s="5"/>
      <c r="I116" s="8"/>
      <c r="J116" s="8"/>
      <c r="Z116" s="6"/>
    </row>
    <row r="117" spans="2:26" ht="12.75" x14ac:dyDescent="0.2">
      <c r="B117" s="6"/>
      <c r="C117" s="6"/>
      <c r="D117" s="6"/>
      <c r="E117" s="9"/>
      <c r="F117" s="9"/>
      <c r="G117" s="11"/>
      <c r="H117" s="5"/>
      <c r="I117" s="8"/>
      <c r="J117" s="8"/>
      <c r="Z117" s="6"/>
    </row>
    <row r="118" spans="2:26" ht="12.75" x14ac:dyDescent="0.2">
      <c r="B118" s="6"/>
      <c r="C118" s="6"/>
      <c r="D118" s="6"/>
      <c r="E118" s="9"/>
      <c r="F118" s="9"/>
      <c r="G118" s="11"/>
      <c r="H118" s="5"/>
      <c r="I118" s="8"/>
      <c r="J118" s="8"/>
      <c r="Z118" s="6"/>
    </row>
    <row r="119" spans="2:26" ht="12.75" x14ac:dyDescent="0.2">
      <c r="B119" s="6"/>
      <c r="C119" s="6"/>
      <c r="D119" s="6"/>
      <c r="E119" s="9"/>
      <c r="F119" s="9"/>
      <c r="G119" s="11"/>
      <c r="H119" s="5"/>
      <c r="I119" s="8"/>
      <c r="J119" s="8"/>
      <c r="Z119" s="6"/>
    </row>
    <row r="120" spans="2:26" ht="12.75" x14ac:dyDescent="0.2">
      <c r="B120" s="6"/>
      <c r="C120" s="6"/>
      <c r="D120" s="6"/>
      <c r="E120" s="9"/>
      <c r="F120" s="9"/>
      <c r="G120" s="11"/>
      <c r="H120" s="5"/>
      <c r="I120" s="8"/>
      <c r="J120" s="8"/>
      <c r="Z120" s="6"/>
    </row>
    <row r="121" spans="2:26" ht="12.75" x14ac:dyDescent="0.2">
      <c r="B121" s="6"/>
      <c r="C121" s="6"/>
      <c r="D121" s="6"/>
      <c r="E121" s="9"/>
      <c r="F121" s="9"/>
      <c r="G121" s="11"/>
      <c r="H121" s="5"/>
      <c r="I121" s="8"/>
      <c r="J121" s="8"/>
      <c r="Z121" s="6"/>
    </row>
    <row r="122" spans="2:26" ht="12.75" x14ac:dyDescent="0.2">
      <c r="B122" s="6"/>
      <c r="C122" s="6"/>
      <c r="D122" s="6"/>
      <c r="E122" s="9"/>
      <c r="F122" s="9"/>
      <c r="G122" s="11"/>
      <c r="H122" s="5"/>
      <c r="I122" s="8"/>
      <c r="J122" s="8"/>
      <c r="Z122" s="6"/>
    </row>
    <row r="123" spans="2:26" ht="12.75" x14ac:dyDescent="0.2">
      <c r="B123" s="6"/>
      <c r="C123" s="6"/>
      <c r="D123" s="6"/>
      <c r="E123" s="9"/>
      <c r="F123" s="9"/>
      <c r="G123" s="11"/>
      <c r="H123" s="5"/>
      <c r="I123" s="8"/>
      <c r="J123" s="8"/>
      <c r="Z123" s="6"/>
    </row>
    <row r="124" spans="2:26" ht="12.75" x14ac:dyDescent="0.2">
      <c r="B124" s="6"/>
      <c r="C124" s="6"/>
      <c r="D124" s="6"/>
      <c r="E124" s="9"/>
      <c r="F124" s="9"/>
      <c r="G124" s="11"/>
      <c r="H124" s="5"/>
      <c r="I124" s="8"/>
      <c r="J124" s="8"/>
      <c r="Z124" s="6"/>
    </row>
    <row r="125" spans="2:26" ht="12.75" x14ac:dyDescent="0.2">
      <c r="B125" s="6"/>
      <c r="C125" s="6"/>
      <c r="D125" s="6"/>
      <c r="E125" s="9"/>
      <c r="F125" s="9"/>
      <c r="G125" s="11"/>
      <c r="H125" s="5"/>
      <c r="I125" s="8"/>
      <c r="J125" s="8"/>
      <c r="Z125" s="6"/>
    </row>
    <row r="126" spans="2:26" ht="12.75" x14ac:dyDescent="0.2">
      <c r="B126" s="6"/>
      <c r="C126" s="6"/>
      <c r="D126" s="6"/>
      <c r="E126" s="9"/>
      <c r="F126" s="9"/>
      <c r="G126" s="11"/>
      <c r="H126" s="5"/>
      <c r="I126" s="8"/>
      <c r="J126" s="8"/>
      <c r="Z126" s="6"/>
    </row>
    <row r="127" spans="2:26" ht="12.75" x14ac:dyDescent="0.2">
      <c r="B127" s="6"/>
      <c r="C127" s="6"/>
      <c r="D127" s="6"/>
      <c r="E127" s="9"/>
      <c r="F127" s="9"/>
      <c r="G127" s="11"/>
      <c r="H127" s="5"/>
      <c r="I127" s="8"/>
      <c r="J127" s="8"/>
      <c r="Z127" s="6"/>
    </row>
    <row r="128" spans="2:26" ht="12.75" x14ac:dyDescent="0.2">
      <c r="B128" s="6"/>
      <c r="C128" s="6"/>
      <c r="D128" s="6"/>
      <c r="E128" s="9"/>
      <c r="F128" s="9"/>
      <c r="G128" s="11"/>
      <c r="H128" s="5"/>
      <c r="I128" s="8"/>
      <c r="J128" s="8"/>
      <c r="Z128" s="6"/>
    </row>
    <row r="129" spans="2:26" ht="12.75" x14ac:dyDescent="0.2">
      <c r="B129" s="6"/>
      <c r="C129" s="6"/>
      <c r="D129" s="6"/>
      <c r="E129" s="9"/>
      <c r="F129" s="9"/>
      <c r="G129" s="11"/>
      <c r="H129" s="5"/>
      <c r="I129" s="8"/>
      <c r="J129" s="8"/>
      <c r="Z129" s="6"/>
    </row>
    <row r="130" spans="2:26" ht="12.75" x14ac:dyDescent="0.2">
      <c r="B130" s="6"/>
      <c r="C130" s="6"/>
      <c r="D130" s="6"/>
      <c r="E130" s="9"/>
      <c r="F130" s="9"/>
      <c r="G130" s="11"/>
      <c r="H130" s="5"/>
      <c r="I130" s="8"/>
      <c r="J130" s="8"/>
      <c r="Z130" s="6"/>
    </row>
    <row r="131" spans="2:26" ht="12.75" x14ac:dyDescent="0.2">
      <c r="B131" s="6"/>
      <c r="C131" s="6"/>
      <c r="D131" s="6"/>
      <c r="E131" s="9"/>
      <c r="F131" s="9"/>
      <c r="G131" s="11"/>
      <c r="H131" s="5"/>
      <c r="I131" s="8"/>
      <c r="J131" s="8"/>
      <c r="Z131" s="6"/>
    </row>
    <row r="132" spans="2:26" ht="12.75" x14ac:dyDescent="0.2">
      <c r="B132" s="6"/>
      <c r="C132" s="6"/>
      <c r="D132" s="6"/>
      <c r="E132" s="9"/>
      <c r="F132" s="9"/>
      <c r="G132" s="11"/>
      <c r="H132" s="5"/>
      <c r="I132" s="8"/>
      <c r="J132" s="8"/>
      <c r="Z132" s="6"/>
    </row>
    <row r="133" spans="2:26" ht="12.75" x14ac:dyDescent="0.2">
      <c r="B133" s="6"/>
      <c r="C133" s="6"/>
      <c r="D133" s="6"/>
      <c r="E133" s="9"/>
      <c r="F133" s="9"/>
      <c r="G133" s="11"/>
      <c r="H133" s="5"/>
      <c r="I133" s="8"/>
      <c r="J133" s="8"/>
      <c r="Z133" s="6"/>
    </row>
    <row r="134" spans="2:26" ht="12.75" x14ac:dyDescent="0.2">
      <c r="B134" s="6"/>
      <c r="C134" s="6"/>
      <c r="D134" s="6"/>
      <c r="E134" s="9"/>
      <c r="F134" s="9"/>
      <c r="G134" s="11"/>
      <c r="H134" s="5"/>
      <c r="I134" s="8"/>
      <c r="J134" s="8"/>
      <c r="Z134" s="6"/>
    </row>
    <row r="135" spans="2:26" ht="12.75" x14ac:dyDescent="0.2">
      <c r="B135" s="6"/>
      <c r="C135" s="6"/>
      <c r="D135" s="6"/>
      <c r="E135" s="9"/>
      <c r="F135" s="9"/>
      <c r="G135" s="11"/>
      <c r="H135" s="5"/>
      <c r="I135" s="8"/>
      <c r="J135" s="8"/>
      <c r="Z135" s="6"/>
    </row>
    <row r="136" spans="2:26" ht="12.75" x14ac:dyDescent="0.2">
      <c r="B136" s="6"/>
      <c r="C136" s="6"/>
      <c r="D136" s="6"/>
      <c r="E136" s="9"/>
      <c r="F136" s="9"/>
      <c r="G136" s="11"/>
      <c r="H136" s="5"/>
      <c r="I136" s="8"/>
      <c r="J136" s="8"/>
      <c r="Z136" s="6"/>
    </row>
    <row r="137" spans="2:26" ht="12.75" x14ac:dyDescent="0.2">
      <c r="B137" s="6"/>
      <c r="C137" s="6"/>
      <c r="D137" s="6"/>
      <c r="E137" s="9"/>
      <c r="F137" s="9"/>
      <c r="G137" s="11"/>
      <c r="H137" s="5"/>
      <c r="I137" s="8"/>
      <c r="J137" s="8"/>
      <c r="Z137" s="6"/>
    </row>
    <row r="138" spans="2:26" ht="12.75" x14ac:dyDescent="0.2">
      <c r="B138" s="6"/>
      <c r="C138" s="6"/>
      <c r="D138" s="6"/>
      <c r="E138" s="9"/>
      <c r="F138" s="9"/>
      <c r="G138" s="11"/>
      <c r="H138" s="5"/>
      <c r="I138" s="8"/>
      <c r="J138" s="8"/>
      <c r="Z138" s="6"/>
    </row>
    <row r="139" spans="2:26" ht="12.75" x14ac:dyDescent="0.2">
      <c r="B139" s="6"/>
      <c r="C139" s="6"/>
      <c r="D139" s="6"/>
      <c r="E139" s="9"/>
      <c r="F139" s="9"/>
      <c r="G139" s="11"/>
      <c r="H139" s="5"/>
      <c r="I139" s="8"/>
      <c r="J139" s="8"/>
      <c r="Z139" s="6"/>
    </row>
    <row r="140" spans="2:26" ht="12.75" x14ac:dyDescent="0.2">
      <c r="B140" s="6"/>
      <c r="C140" s="6"/>
      <c r="D140" s="6"/>
      <c r="E140" s="9"/>
      <c r="F140" s="9"/>
      <c r="G140" s="11"/>
      <c r="H140" s="5"/>
      <c r="I140" s="8"/>
      <c r="J140" s="8"/>
      <c r="Z140" s="6"/>
    </row>
    <row r="141" spans="2:26" ht="12.75" x14ac:dyDescent="0.2">
      <c r="B141" s="6"/>
      <c r="C141" s="6"/>
      <c r="D141" s="6"/>
      <c r="E141" s="9"/>
      <c r="F141" s="9"/>
      <c r="G141" s="11"/>
      <c r="H141" s="5"/>
      <c r="I141" s="8"/>
      <c r="J141" s="8"/>
      <c r="Z141" s="6"/>
    </row>
    <row r="142" spans="2:26" ht="12.75" x14ac:dyDescent="0.2">
      <c r="B142" s="6"/>
      <c r="C142" s="6"/>
      <c r="D142" s="6"/>
      <c r="E142" s="9"/>
      <c r="F142" s="9"/>
      <c r="G142" s="11"/>
      <c r="H142" s="5"/>
      <c r="I142" s="8"/>
      <c r="J142" s="8"/>
      <c r="Z142" s="6"/>
    </row>
    <row r="143" spans="2:26" ht="12.75" x14ac:dyDescent="0.2">
      <c r="B143" s="6"/>
      <c r="C143" s="6"/>
      <c r="D143" s="6"/>
      <c r="E143" s="9"/>
      <c r="F143" s="9"/>
      <c r="G143" s="11"/>
      <c r="H143" s="5"/>
      <c r="I143" s="8"/>
      <c r="J143" s="8"/>
      <c r="Z143" s="6"/>
    </row>
    <row r="144" spans="2:26" ht="12.75" x14ac:dyDescent="0.2">
      <c r="B144" s="6"/>
      <c r="C144" s="6"/>
      <c r="D144" s="6"/>
      <c r="E144" s="9"/>
      <c r="F144" s="9"/>
      <c r="G144" s="11"/>
      <c r="H144" s="5"/>
      <c r="I144" s="8"/>
      <c r="J144" s="8"/>
      <c r="Z144" s="6"/>
    </row>
    <row r="145" spans="2:26" ht="12.75" x14ac:dyDescent="0.2">
      <c r="B145" s="6"/>
      <c r="C145" s="6"/>
      <c r="D145" s="6"/>
      <c r="E145" s="9"/>
      <c r="F145" s="9"/>
      <c r="G145" s="11"/>
      <c r="H145" s="5"/>
      <c r="I145" s="8"/>
      <c r="J145" s="8"/>
      <c r="Z145" s="6"/>
    </row>
    <row r="146" spans="2:26" ht="12.75" x14ac:dyDescent="0.2">
      <c r="B146" s="6"/>
      <c r="C146" s="6"/>
      <c r="D146" s="6"/>
      <c r="E146" s="9"/>
      <c r="F146" s="9"/>
      <c r="G146" s="11"/>
      <c r="H146" s="5"/>
      <c r="I146" s="8"/>
      <c r="J146" s="8"/>
      <c r="Z146" s="6"/>
    </row>
    <row r="147" spans="2:26" ht="12.75" x14ac:dyDescent="0.2">
      <c r="B147" s="6"/>
      <c r="C147" s="6"/>
      <c r="D147" s="6"/>
      <c r="E147" s="9"/>
      <c r="F147" s="9"/>
      <c r="G147" s="11"/>
      <c r="H147" s="5"/>
      <c r="I147" s="8"/>
      <c r="J147" s="8"/>
      <c r="Z147" s="6"/>
    </row>
    <row r="148" spans="2:26" ht="12.75" x14ac:dyDescent="0.2">
      <c r="B148" s="6"/>
      <c r="C148" s="6"/>
      <c r="D148" s="6"/>
      <c r="E148" s="9"/>
      <c r="F148" s="9"/>
      <c r="G148" s="11"/>
      <c r="H148" s="5"/>
      <c r="I148" s="8"/>
      <c r="J148" s="8"/>
      <c r="Z148" s="6"/>
    </row>
    <row r="149" spans="2:26" ht="12.75" x14ac:dyDescent="0.2">
      <c r="B149" s="6"/>
      <c r="C149" s="6"/>
      <c r="D149" s="6"/>
      <c r="E149" s="9"/>
      <c r="F149" s="9"/>
      <c r="G149" s="11"/>
      <c r="H149" s="5"/>
      <c r="I149" s="8"/>
      <c r="J149" s="8"/>
      <c r="Z149" s="6"/>
    </row>
    <row r="150" spans="2:26" ht="12.75" x14ac:dyDescent="0.2">
      <c r="B150" s="6"/>
      <c r="C150" s="6"/>
      <c r="D150" s="6"/>
      <c r="E150" s="9"/>
      <c r="F150" s="9"/>
      <c r="G150" s="11"/>
      <c r="H150" s="5"/>
      <c r="I150" s="8"/>
      <c r="J150" s="8"/>
      <c r="Z150" s="6"/>
    </row>
    <row r="151" spans="2:26" ht="12.75" x14ac:dyDescent="0.2">
      <c r="B151" s="6"/>
      <c r="C151" s="6"/>
      <c r="D151" s="6"/>
      <c r="E151" s="9"/>
      <c r="F151" s="9"/>
      <c r="G151" s="11"/>
      <c r="H151" s="5"/>
      <c r="I151" s="8"/>
      <c r="J151" s="8"/>
      <c r="Z151" s="6"/>
    </row>
    <row r="152" spans="2:26" ht="12.75" x14ac:dyDescent="0.2">
      <c r="B152" s="6"/>
      <c r="C152" s="6"/>
      <c r="D152" s="6"/>
      <c r="E152" s="9"/>
      <c r="F152" s="9"/>
      <c r="G152" s="11"/>
      <c r="H152" s="5"/>
      <c r="I152" s="8"/>
      <c r="J152" s="8"/>
      <c r="Z152" s="6"/>
    </row>
    <row r="153" spans="2:26" ht="12.75" x14ac:dyDescent="0.2">
      <c r="B153" s="6"/>
      <c r="C153" s="6"/>
      <c r="D153" s="6"/>
      <c r="E153" s="9"/>
      <c r="F153" s="9"/>
      <c r="G153" s="11"/>
      <c r="H153" s="5"/>
      <c r="I153" s="8"/>
      <c r="J153" s="8"/>
      <c r="Z153" s="6"/>
    </row>
    <row r="154" spans="2:26" ht="12.75" x14ac:dyDescent="0.2">
      <c r="B154" s="6"/>
      <c r="C154" s="6"/>
      <c r="D154" s="6"/>
      <c r="E154" s="9"/>
      <c r="F154" s="9"/>
      <c r="G154" s="11"/>
      <c r="H154" s="5"/>
      <c r="I154" s="8"/>
      <c r="J154" s="8"/>
      <c r="Z154" s="6"/>
    </row>
    <row r="155" spans="2:26" ht="12.75" x14ac:dyDescent="0.2">
      <c r="B155" s="6"/>
      <c r="C155" s="6"/>
      <c r="D155" s="6"/>
      <c r="E155" s="9"/>
      <c r="F155" s="9"/>
      <c r="G155" s="11"/>
      <c r="H155" s="5"/>
      <c r="I155" s="8"/>
      <c r="J155" s="8"/>
      <c r="Z155" s="6"/>
    </row>
    <row r="156" spans="2:26" ht="12.75" x14ac:dyDescent="0.2">
      <c r="B156" s="6"/>
      <c r="C156" s="6"/>
      <c r="D156" s="6"/>
      <c r="E156" s="9"/>
      <c r="F156" s="9"/>
      <c r="G156" s="11"/>
      <c r="H156" s="5"/>
      <c r="I156" s="8"/>
      <c r="J156" s="8"/>
      <c r="Z156" s="6"/>
    </row>
    <row r="157" spans="2:26" ht="12.75" x14ac:dyDescent="0.2">
      <c r="B157" s="6"/>
      <c r="C157" s="6"/>
      <c r="D157" s="6"/>
      <c r="E157" s="9"/>
      <c r="F157" s="9"/>
      <c r="G157" s="11"/>
      <c r="H157" s="5"/>
      <c r="I157" s="8"/>
      <c r="J157" s="8"/>
      <c r="Z157" s="6"/>
    </row>
    <row r="158" spans="2:26" ht="12.75" x14ac:dyDescent="0.2">
      <c r="B158" s="6"/>
      <c r="C158" s="6"/>
      <c r="D158" s="6"/>
      <c r="E158" s="9"/>
      <c r="F158" s="9"/>
      <c r="G158" s="11"/>
      <c r="H158" s="5"/>
      <c r="I158" s="8"/>
      <c r="J158" s="8"/>
      <c r="Z158" s="6"/>
    </row>
    <row r="159" spans="2:26" ht="12.75" x14ac:dyDescent="0.2">
      <c r="B159" s="6"/>
      <c r="C159" s="6"/>
      <c r="D159" s="6"/>
      <c r="E159" s="9"/>
      <c r="F159" s="9"/>
      <c r="G159" s="11"/>
      <c r="H159" s="5"/>
      <c r="I159" s="8"/>
      <c r="J159" s="8"/>
      <c r="Z159" s="6"/>
    </row>
    <row r="160" spans="2:26" ht="12.75" x14ac:dyDescent="0.2">
      <c r="B160" s="6"/>
      <c r="C160" s="6"/>
      <c r="D160" s="6"/>
      <c r="E160" s="9"/>
      <c r="F160" s="9"/>
      <c r="G160" s="11"/>
      <c r="H160" s="5"/>
      <c r="I160" s="8"/>
      <c r="J160" s="8"/>
      <c r="Z160" s="6"/>
    </row>
    <row r="161" spans="2:26" ht="12.75" x14ac:dyDescent="0.2">
      <c r="B161" s="6"/>
      <c r="C161" s="6"/>
      <c r="D161" s="6"/>
      <c r="E161" s="9"/>
      <c r="F161" s="9"/>
      <c r="G161" s="11"/>
      <c r="H161" s="5"/>
      <c r="I161" s="8"/>
      <c r="J161" s="8"/>
      <c r="Z161" s="6"/>
    </row>
    <row r="162" spans="2:26" ht="12.75" x14ac:dyDescent="0.2">
      <c r="B162" s="6"/>
      <c r="C162" s="6"/>
      <c r="D162" s="6"/>
      <c r="E162" s="9"/>
      <c r="F162" s="9"/>
      <c r="G162" s="11"/>
      <c r="H162" s="5"/>
      <c r="I162" s="8"/>
      <c r="J162" s="8"/>
      <c r="Z162" s="6"/>
    </row>
    <row r="163" spans="2:26" ht="12.75" x14ac:dyDescent="0.2">
      <c r="B163" s="6"/>
      <c r="C163" s="6"/>
      <c r="D163" s="6"/>
      <c r="E163" s="9"/>
      <c r="F163" s="9"/>
      <c r="G163" s="11"/>
      <c r="H163" s="5"/>
      <c r="I163" s="8"/>
      <c r="J163" s="8"/>
      <c r="Z163" s="6"/>
    </row>
    <row r="164" spans="2:26" ht="12.75" x14ac:dyDescent="0.2">
      <c r="B164" s="6"/>
      <c r="C164" s="6"/>
      <c r="D164" s="6"/>
      <c r="E164" s="9"/>
      <c r="F164" s="9"/>
      <c r="G164" s="11"/>
      <c r="H164" s="5"/>
      <c r="I164" s="8"/>
      <c r="J164" s="8"/>
      <c r="Z164" s="6"/>
    </row>
    <row r="165" spans="2:26" ht="12.75" x14ac:dyDescent="0.2">
      <c r="B165" s="6"/>
      <c r="C165" s="6"/>
      <c r="D165" s="6"/>
      <c r="E165" s="9"/>
      <c r="F165" s="9"/>
      <c r="G165" s="11"/>
      <c r="H165" s="5"/>
      <c r="I165" s="8"/>
      <c r="J165" s="8"/>
      <c r="Z165" s="6"/>
    </row>
    <row r="166" spans="2:26" ht="12.75" x14ac:dyDescent="0.2">
      <c r="B166" s="6"/>
      <c r="C166" s="6"/>
      <c r="D166" s="6"/>
      <c r="E166" s="9"/>
      <c r="F166" s="9"/>
      <c r="G166" s="11"/>
      <c r="H166" s="5"/>
      <c r="I166" s="8"/>
      <c r="J166" s="8"/>
      <c r="Z166" s="6"/>
    </row>
    <row r="167" spans="2:26" ht="12.75" x14ac:dyDescent="0.2">
      <c r="B167" s="6"/>
      <c r="C167" s="6"/>
      <c r="D167" s="6"/>
      <c r="E167" s="9"/>
      <c r="F167" s="9"/>
      <c r="G167" s="11"/>
      <c r="H167" s="5"/>
      <c r="I167" s="8"/>
      <c r="J167" s="8"/>
      <c r="Z167" s="6"/>
    </row>
    <row r="168" spans="2:26" ht="12.75" x14ac:dyDescent="0.2">
      <c r="B168" s="6"/>
      <c r="C168" s="6"/>
      <c r="D168" s="6"/>
      <c r="E168" s="9"/>
      <c r="F168" s="9"/>
      <c r="G168" s="11"/>
      <c r="H168" s="5"/>
      <c r="I168" s="8"/>
      <c r="J168" s="8"/>
      <c r="Z168" s="6"/>
    </row>
    <row r="169" spans="2:26" ht="12.75" x14ac:dyDescent="0.2">
      <c r="B169" s="6"/>
      <c r="C169" s="6"/>
      <c r="D169" s="6"/>
      <c r="E169" s="9"/>
      <c r="F169" s="9"/>
      <c r="G169" s="11"/>
      <c r="H169" s="5"/>
      <c r="I169" s="8"/>
      <c r="J169" s="8"/>
      <c r="Z169" s="6"/>
    </row>
    <row r="170" spans="2:26" ht="12.75" x14ac:dyDescent="0.2">
      <c r="B170" s="6"/>
      <c r="C170" s="6"/>
      <c r="D170" s="6"/>
      <c r="E170" s="9"/>
      <c r="F170" s="9"/>
      <c r="G170" s="11"/>
      <c r="H170" s="5"/>
      <c r="I170" s="8"/>
      <c r="J170" s="8"/>
      <c r="Z170" s="6"/>
    </row>
    <row r="171" spans="2:26" ht="12.75" x14ac:dyDescent="0.2">
      <c r="B171" s="6"/>
      <c r="C171" s="6"/>
      <c r="D171" s="6"/>
      <c r="E171" s="9"/>
      <c r="F171" s="9"/>
      <c r="G171" s="11"/>
      <c r="H171" s="5"/>
      <c r="I171" s="8"/>
      <c r="J171" s="8"/>
      <c r="Z171" s="6"/>
    </row>
    <row r="172" spans="2:26" ht="12.75" x14ac:dyDescent="0.2">
      <c r="B172" s="6"/>
      <c r="C172" s="6"/>
      <c r="D172" s="6"/>
      <c r="E172" s="9"/>
      <c r="F172" s="9"/>
      <c r="G172" s="11"/>
      <c r="H172" s="5"/>
      <c r="I172" s="8"/>
      <c r="J172" s="8"/>
      <c r="Z172" s="6"/>
    </row>
    <row r="173" spans="2:26" ht="12.75" x14ac:dyDescent="0.2">
      <c r="B173" s="6"/>
      <c r="C173" s="6"/>
      <c r="D173" s="6"/>
      <c r="E173" s="9"/>
      <c r="F173" s="9"/>
      <c r="G173" s="11"/>
      <c r="H173" s="5"/>
      <c r="I173" s="8"/>
      <c r="J173" s="8"/>
      <c r="Z173" s="6"/>
    </row>
    <row r="174" spans="2:26" ht="12.75" x14ac:dyDescent="0.2">
      <c r="B174" s="6"/>
      <c r="C174" s="6"/>
      <c r="D174" s="6"/>
      <c r="E174" s="9"/>
      <c r="F174" s="9"/>
      <c r="G174" s="11"/>
      <c r="H174" s="5"/>
      <c r="I174" s="8"/>
      <c r="J174" s="8"/>
      <c r="Z174" s="6"/>
    </row>
    <row r="175" spans="2:26" ht="12.75" x14ac:dyDescent="0.2">
      <c r="B175" s="6"/>
      <c r="C175" s="6"/>
      <c r="D175" s="6"/>
      <c r="E175" s="9"/>
      <c r="F175" s="9"/>
      <c r="G175" s="11"/>
      <c r="H175" s="5"/>
      <c r="I175" s="8"/>
      <c r="J175" s="8"/>
      <c r="Z175" s="6"/>
    </row>
    <row r="176" spans="2:26" ht="12.75" x14ac:dyDescent="0.2">
      <c r="B176" s="6"/>
      <c r="C176" s="6"/>
      <c r="D176" s="6"/>
      <c r="E176" s="9"/>
      <c r="F176" s="9"/>
      <c r="G176" s="11"/>
      <c r="H176" s="5"/>
      <c r="I176" s="8"/>
      <c r="J176" s="8"/>
      <c r="Z176" s="6"/>
    </row>
    <row r="177" spans="2:26" ht="12.75" x14ac:dyDescent="0.2">
      <c r="B177" s="6"/>
      <c r="C177" s="6"/>
      <c r="D177" s="6"/>
      <c r="E177" s="9"/>
      <c r="F177" s="9"/>
      <c r="G177" s="11"/>
      <c r="H177" s="5"/>
      <c r="I177" s="8"/>
      <c r="J177" s="8"/>
      <c r="Z177" s="6"/>
    </row>
    <row r="178" spans="2:26" ht="12.75" x14ac:dyDescent="0.2">
      <c r="B178" s="6"/>
      <c r="C178" s="6"/>
      <c r="D178" s="6"/>
      <c r="E178" s="9"/>
      <c r="F178" s="9"/>
      <c r="G178" s="11"/>
      <c r="H178" s="5"/>
      <c r="I178" s="8"/>
      <c r="J178" s="8"/>
      <c r="Z178" s="6"/>
    </row>
    <row r="179" spans="2:26" ht="12.75" x14ac:dyDescent="0.2">
      <c r="B179" s="6"/>
      <c r="C179" s="6"/>
      <c r="D179" s="6"/>
      <c r="E179" s="9"/>
      <c r="F179" s="9"/>
      <c r="G179" s="11"/>
      <c r="H179" s="5"/>
      <c r="I179" s="8"/>
      <c r="J179" s="8"/>
      <c r="Z179" s="6"/>
    </row>
    <row r="180" spans="2:26" ht="12.75" x14ac:dyDescent="0.2">
      <c r="B180" s="6"/>
      <c r="C180" s="6"/>
      <c r="D180" s="6"/>
      <c r="E180" s="9"/>
      <c r="F180" s="9"/>
      <c r="G180" s="11"/>
      <c r="H180" s="5"/>
      <c r="I180" s="8"/>
      <c r="J180" s="8"/>
      <c r="Z180" s="6"/>
    </row>
    <row r="181" spans="2:26" ht="12.75" x14ac:dyDescent="0.2">
      <c r="B181" s="6"/>
      <c r="C181" s="6"/>
      <c r="D181" s="6"/>
      <c r="E181" s="9"/>
      <c r="F181" s="9"/>
      <c r="G181" s="11"/>
      <c r="H181" s="5"/>
      <c r="I181" s="8"/>
      <c r="J181" s="8"/>
      <c r="Z181" s="6"/>
    </row>
    <row r="182" spans="2:26" ht="12.75" x14ac:dyDescent="0.2">
      <c r="B182" s="6"/>
      <c r="C182" s="6"/>
      <c r="D182" s="6"/>
      <c r="E182" s="9"/>
      <c r="F182" s="9"/>
      <c r="G182" s="11"/>
      <c r="H182" s="5"/>
      <c r="I182" s="8"/>
      <c r="J182" s="8"/>
      <c r="Z182" s="6"/>
    </row>
    <row r="183" spans="2:26" ht="12.75" x14ac:dyDescent="0.2">
      <c r="B183" s="6"/>
      <c r="C183" s="6"/>
      <c r="D183" s="6"/>
      <c r="E183" s="9"/>
      <c r="F183" s="9"/>
      <c r="G183" s="11"/>
      <c r="H183" s="5"/>
      <c r="I183" s="8"/>
      <c r="J183" s="8"/>
      <c r="Z183" s="6"/>
    </row>
    <row r="184" spans="2:26" ht="12.75" x14ac:dyDescent="0.2">
      <c r="B184" s="6"/>
      <c r="C184" s="6"/>
      <c r="D184" s="6"/>
      <c r="E184" s="9"/>
      <c r="F184" s="9"/>
      <c r="G184" s="11"/>
      <c r="H184" s="5"/>
      <c r="I184" s="8"/>
      <c r="J184" s="8"/>
      <c r="Z184" s="6"/>
    </row>
    <row r="185" spans="2:26" ht="12.75" x14ac:dyDescent="0.2">
      <c r="B185" s="6"/>
      <c r="C185" s="6"/>
      <c r="D185" s="6"/>
      <c r="E185" s="9"/>
      <c r="F185" s="9"/>
      <c r="G185" s="11"/>
      <c r="H185" s="5"/>
      <c r="I185" s="8"/>
      <c r="J185" s="8"/>
      <c r="Z185" s="6"/>
    </row>
    <row r="186" spans="2:26" ht="12.75" x14ac:dyDescent="0.2">
      <c r="B186" s="6"/>
      <c r="C186" s="6"/>
      <c r="D186" s="6"/>
      <c r="E186" s="9"/>
      <c r="F186" s="9"/>
      <c r="G186" s="11"/>
      <c r="H186" s="5"/>
      <c r="I186" s="8"/>
      <c r="J186" s="8"/>
      <c r="Z186" s="6"/>
    </row>
    <row r="187" spans="2:26" ht="12.75" x14ac:dyDescent="0.2">
      <c r="B187" s="6"/>
      <c r="C187" s="6"/>
      <c r="D187" s="6"/>
      <c r="E187" s="9"/>
      <c r="F187" s="9"/>
      <c r="G187" s="11"/>
      <c r="H187" s="5"/>
      <c r="I187" s="8"/>
      <c r="J187" s="8"/>
      <c r="Z187" s="6"/>
    </row>
    <row r="188" spans="2:26" ht="12.75" x14ac:dyDescent="0.2">
      <c r="B188" s="6"/>
      <c r="C188" s="6"/>
      <c r="D188" s="6"/>
      <c r="E188" s="9"/>
      <c r="F188" s="9"/>
      <c r="G188" s="11"/>
      <c r="H188" s="5"/>
      <c r="I188" s="8"/>
      <c r="J188" s="8"/>
      <c r="Z188" s="6"/>
    </row>
    <row r="189" spans="2:26" ht="12.75" x14ac:dyDescent="0.2">
      <c r="B189" s="6"/>
      <c r="C189" s="6"/>
      <c r="D189" s="6"/>
      <c r="E189" s="9"/>
      <c r="F189" s="9"/>
      <c r="G189" s="11"/>
      <c r="H189" s="5"/>
      <c r="I189" s="8"/>
      <c r="J189" s="8"/>
      <c r="Z189" s="6"/>
    </row>
    <row r="190" spans="2:26" ht="12.75" x14ac:dyDescent="0.2">
      <c r="B190" s="6"/>
      <c r="C190" s="6"/>
      <c r="D190" s="6"/>
      <c r="E190" s="9"/>
      <c r="F190" s="9"/>
      <c r="G190" s="11"/>
      <c r="H190" s="5"/>
      <c r="I190" s="8"/>
      <c r="J190" s="8"/>
      <c r="Z190" s="6"/>
    </row>
    <row r="191" spans="2:26" ht="12.75" x14ac:dyDescent="0.2">
      <c r="B191" s="6"/>
      <c r="C191" s="6"/>
      <c r="D191" s="6"/>
      <c r="E191" s="9"/>
      <c r="F191" s="9"/>
      <c r="G191" s="11"/>
      <c r="H191" s="5"/>
      <c r="I191" s="8"/>
      <c r="J191" s="8"/>
      <c r="Z191" s="6"/>
    </row>
    <row r="192" spans="2:26" ht="12.75" x14ac:dyDescent="0.2">
      <c r="B192" s="6"/>
      <c r="C192" s="6"/>
      <c r="D192" s="6"/>
      <c r="E192" s="9"/>
      <c r="F192" s="9"/>
      <c r="G192" s="11"/>
      <c r="H192" s="5"/>
      <c r="I192" s="8"/>
      <c r="J192" s="8"/>
      <c r="Z192" s="6"/>
    </row>
    <row r="193" spans="2:26" ht="12.75" x14ac:dyDescent="0.2">
      <c r="B193" s="6"/>
      <c r="C193" s="6"/>
      <c r="D193" s="6"/>
      <c r="E193" s="9"/>
      <c r="F193" s="9"/>
      <c r="G193" s="11"/>
      <c r="H193" s="5"/>
      <c r="I193" s="8"/>
      <c r="J193" s="8"/>
      <c r="Z193" s="6"/>
    </row>
    <row r="194" spans="2:26" ht="12.75" x14ac:dyDescent="0.2">
      <c r="B194" s="6"/>
      <c r="C194" s="6"/>
      <c r="D194" s="6"/>
      <c r="E194" s="9"/>
      <c r="F194" s="9"/>
      <c r="G194" s="11"/>
      <c r="H194" s="5"/>
      <c r="I194" s="8"/>
      <c r="J194" s="8"/>
      <c r="Z194" s="6"/>
    </row>
    <row r="195" spans="2:26" ht="12.75" x14ac:dyDescent="0.2">
      <c r="B195" s="6"/>
      <c r="C195" s="6"/>
      <c r="D195" s="6"/>
      <c r="E195" s="9"/>
      <c r="F195" s="9"/>
      <c r="G195" s="11"/>
      <c r="H195" s="5"/>
      <c r="I195" s="8"/>
      <c r="J195" s="8"/>
      <c r="Z195" s="6"/>
    </row>
    <row r="196" spans="2:26" ht="12.75" x14ac:dyDescent="0.2">
      <c r="B196" s="6"/>
      <c r="C196" s="6"/>
      <c r="D196" s="6"/>
      <c r="E196" s="9"/>
      <c r="F196" s="9"/>
      <c r="G196" s="11"/>
      <c r="H196" s="5"/>
      <c r="I196" s="8"/>
      <c r="J196" s="8"/>
      <c r="Z196" s="6"/>
    </row>
    <row r="197" spans="2:26" ht="12.75" x14ac:dyDescent="0.2">
      <c r="B197" s="6"/>
      <c r="C197" s="6"/>
      <c r="D197" s="6"/>
      <c r="E197" s="9"/>
      <c r="F197" s="9"/>
      <c r="G197" s="11"/>
      <c r="H197" s="5"/>
      <c r="I197" s="8"/>
      <c r="J197" s="8"/>
      <c r="Z197" s="6"/>
    </row>
    <row r="198" spans="2:26" ht="12.75" x14ac:dyDescent="0.2">
      <c r="B198" s="6"/>
      <c r="C198" s="6"/>
      <c r="D198" s="6"/>
      <c r="E198" s="9"/>
      <c r="F198" s="9"/>
      <c r="G198" s="11"/>
      <c r="H198" s="5"/>
      <c r="I198" s="8"/>
      <c r="J198" s="8"/>
      <c r="Z198" s="6"/>
    </row>
    <row r="199" spans="2:26" ht="12.75" x14ac:dyDescent="0.2">
      <c r="B199" s="6"/>
      <c r="C199" s="6"/>
      <c r="D199" s="6"/>
      <c r="E199" s="9"/>
      <c r="F199" s="9"/>
      <c r="G199" s="11"/>
      <c r="H199" s="5"/>
      <c r="I199" s="8"/>
      <c r="J199" s="8"/>
      <c r="Z199" s="6"/>
    </row>
    <row r="200" spans="2:26" ht="12.75" x14ac:dyDescent="0.2">
      <c r="B200" s="6"/>
      <c r="C200" s="6"/>
      <c r="D200" s="6"/>
      <c r="E200" s="9"/>
      <c r="F200" s="9"/>
      <c r="G200" s="11"/>
      <c r="H200" s="5"/>
      <c r="I200" s="8"/>
      <c r="J200" s="8"/>
      <c r="Z200" s="6"/>
    </row>
    <row r="201" spans="2:26" ht="12.75" x14ac:dyDescent="0.2">
      <c r="B201" s="6"/>
      <c r="C201" s="6"/>
      <c r="D201" s="6"/>
      <c r="E201" s="9"/>
      <c r="F201" s="9"/>
      <c r="G201" s="11"/>
      <c r="H201" s="5"/>
      <c r="I201" s="8"/>
      <c r="J201" s="8"/>
      <c r="Z201" s="6"/>
    </row>
    <row r="202" spans="2:26" ht="12.75" x14ac:dyDescent="0.2">
      <c r="B202" s="6"/>
      <c r="C202" s="6"/>
      <c r="D202" s="6"/>
      <c r="E202" s="9"/>
      <c r="F202" s="9"/>
      <c r="G202" s="11"/>
      <c r="H202" s="5"/>
      <c r="I202" s="8"/>
      <c r="J202" s="8"/>
      <c r="Z202" s="6"/>
    </row>
    <row r="203" spans="2:26" ht="12.75" x14ac:dyDescent="0.2">
      <c r="B203" s="6"/>
      <c r="C203" s="6"/>
      <c r="D203" s="6"/>
      <c r="E203" s="9"/>
      <c r="F203" s="9"/>
      <c r="G203" s="11"/>
      <c r="H203" s="5"/>
      <c r="I203" s="8"/>
      <c r="J203" s="8"/>
      <c r="Z203" s="6"/>
    </row>
    <row r="204" spans="2:26" ht="12.75" x14ac:dyDescent="0.2">
      <c r="B204" s="6"/>
      <c r="C204" s="6"/>
      <c r="D204" s="6"/>
      <c r="E204" s="9"/>
      <c r="F204" s="9"/>
      <c r="G204" s="11"/>
      <c r="H204" s="5"/>
      <c r="I204" s="8"/>
      <c r="J204" s="8"/>
      <c r="Z204" s="6"/>
    </row>
    <row r="205" spans="2:26" ht="12.75" x14ac:dyDescent="0.2">
      <c r="B205" s="6"/>
      <c r="C205" s="6"/>
      <c r="D205" s="6"/>
      <c r="E205" s="9"/>
      <c r="F205" s="9"/>
      <c r="G205" s="11"/>
      <c r="H205" s="5"/>
      <c r="I205" s="8"/>
      <c r="J205" s="8"/>
      <c r="Z205" s="6"/>
    </row>
    <row r="206" spans="2:26" ht="12.75" x14ac:dyDescent="0.2">
      <c r="B206" s="6"/>
      <c r="C206" s="6"/>
      <c r="D206" s="6"/>
      <c r="E206" s="9"/>
      <c r="F206" s="9"/>
      <c r="G206" s="11"/>
      <c r="H206" s="5"/>
      <c r="I206" s="8"/>
      <c r="J206" s="8"/>
      <c r="Z206" s="6"/>
    </row>
    <row r="207" spans="2:26" ht="12.75" x14ac:dyDescent="0.2">
      <c r="B207" s="6"/>
      <c r="C207" s="6"/>
      <c r="D207" s="6"/>
      <c r="E207" s="9"/>
      <c r="F207" s="9"/>
      <c r="G207" s="11"/>
      <c r="H207" s="5"/>
      <c r="I207" s="8"/>
      <c r="J207" s="8"/>
      <c r="Z207" s="6"/>
    </row>
    <row r="208" spans="2:26" ht="12.75" x14ac:dyDescent="0.2">
      <c r="B208" s="6"/>
      <c r="C208" s="6"/>
      <c r="D208" s="6"/>
      <c r="E208" s="9"/>
      <c r="F208" s="9"/>
      <c r="G208" s="11"/>
      <c r="H208" s="5"/>
      <c r="I208" s="8"/>
      <c r="J208" s="8"/>
      <c r="Z208" s="6"/>
    </row>
    <row r="209" spans="2:26" ht="12.75" x14ac:dyDescent="0.2">
      <c r="B209" s="6"/>
      <c r="C209" s="6"/>
      <c r="D209" s="6"/>
      <c r="E209" s="9"/>
      <c r="F209" s="9"/>
      <c r="G209" s="11"/>
      <c r="H209" s="5"/>
      <c r="I209" s="8"/>
      <c r="J209" s="8"/>
      <c r="Z209" s="6"/>
    </row>
    <row r="210" spans="2:26" ht="12.75" x14ac:dyDescent="0.2">
      <c r="B210" s="6"/>
      <c r="C210" s="6"/>
      <c r="D210" s="6"/>
      <c r="E210" s="9"/>
      <c r="F210" s="9"/>
      <c r="G210" s="11"/>
      <c r="H210" s="5"/>
      <c r="I210" s="8"/>
      <c r="J210" s="8"/>
      <c r="Z210" s="6"/>
    </row>
    <row r="211" spans="2:26" ht="12.75" x14ac:dyDescent="0.2">
      <c r="B211" s="6"/>
      <c r="C211" s="6"/>
      <c r="D211" s="6"/>
      <c r="E211" s="9"/>
      <c r="F211" s="9"/>
      <c r="G211" s="11"/>
      <c r="H211" s="5"/>
      <c r="I211" s="8"/>
      <c r="J211" s="8"/>
      <c r="Z211" s="6"/>
    </row>
    <row r="212" spans="2:26" ht="12.75" x14ac:dyDescent="0.2">
      <c r="B212" s="6"/>
      <c r="C212" s="6"/>
      <c r="D212" s="6"/>
      <c r="E212" s="9"/>
      <c r="F212" s="9"/>
      <c r="G212" s="11"/>
      <c r="H212" s="5"/>
      <c r="I212" s="8"/>
      <c r="J212" s="8"/>
      <c r="Z212" s="6"/>
    </row>
    <row r="213" spans="2:26" ht="12.75" x14ac:dyDescent="0.2">
      <c r="B213" s="6"/>
      <c r="C213" s="6"/>
      <c r="D213" s="6"/>
      <c r="E213" s="9"/>
      <c r="F213" s="9"/>
      <c r="G213" s="11"/>
      <c r="H213" s="5"/>
      <c r="I213" s="8"/>
      <c r="J213" s="8"/>
      <c r="Z213" s="6"/>
    </row>
    <row r="214" spans="2:26" ht="12.75" x14ac:dyDescent="0.2">
      <c r="B214" s="6"/>
      <c r="C214" s="6"/>
      <c r="D214" s="6"/>
      <c r="E214" s="9"/>
      <c r="F214" s="9"/>
      <c r="G214" s="11"/>
      <c r="H214" s="5"/>
      <c r="I214" s="8"/>
      <c r="J214" s="8"/>
      <c r="Z214" s="6"/>
    </row>
    <row r="215" spans="2:26" ht="12.75" x14ac:dyDescent="0.2">
      <c r="B215" s="6"/>
      <c r="C215" s="6"/>
      <c r="D215" s="6"/>
      <c r="E215" s="9"/>
      <c r="F215" s="9"/>
      <c r="G215" s="11"/>
      <c r="H215" s="5"/>
      <c r="I215" s="8"/>
      <c r="J215" s="8"/>
      <c r="Z215" s="6"/>
    </row>
    <row r="216" spans="2:26" ht="12.75" x14ac:dyDescent="0.2">
      <c r="B216" s="6"/>
      <c r="C216" s="6"/>
      <c r="D216" s="6"/>
      <c r="E216" s="9"/>
      <c r="F216" s="9"/>
      <c r="G216" s="11"/>
      <c r="H216" s="5"/>
      <c r="I216" s="8"/>
      <c r="J216" s="8"/>
      <c r="Z216" s="6"/>
    </row>
    <row r="217" spans="2:26" ht="12.75" x14ac:dyDescent="0.2">
      <c r="B217" s="6"/>
      <c r="C217" s="6"/>
      <c r="D217" s="6"/>
      <c r="E217" s="9"/>
      <c r="F217" s="9"/>
      <c r="G217" s="11"/>
      <c r="H217" s="5"/>
      <c r="I217" s="8"/>
      <c r="J217" s="8"/>
      <c r="Z217" s="6"/>
    </row>
    <row r="218" spans="2:26" ht="12.75" x14ac:dyDescent="0.2">
      <c r="B218" s="6"/>
      <c r="C218" s="6"/>
      <c r="D218" s="6"/>
      <c r="E218" s="9"/>
      <c r="F218" s="9"/>
      <c r="G218" s="11"/>
      <c r="H218" s="5"/>
      <c r="I218" s="8"/>
      <c r="J218" s="8"/>
      <c r="Z218" s="6"/>
    </row>
    <row r="219" spans="2:26" ht="12.75" x14ac:dyDescent="0.2">
      <c r="B219" s="6"/>
      <c r="C219" s="6"/>
      <c r="D219" s="6"/>
      <c r="E219" s="9"/>
      <c r="F219" s="9"/>
      <c r="G219" s="11"/>
      <c r="H219" s="5"/>
      <c r="I219" s="8"/>
      <c r="J219" s="8"/>
      <c r="Z219" s="6"/>
    </row>
    <row r="220" spans="2:26" ht="12.75" x14ac:dyDescent="0.2">
      <c r="B220" s="6"/>
      <c r="C220" s="6"/>
      <c r="D220" s="6"/>
      <c r="E220" s="9"/>
      <c r="F220" s="9"/>
      <c r="G220" s="11"/>
      <c r="H220" s="5"/>
      <c r="I220" s="8"/>
      <c r="J220" s="8"/>
      <c r="Z220" s="6"/>
    </row>
    <row r="221" spans="2:26" ht="12.75" x14ac:dyDescent="0.2">
      <c r="B221" s="6"/>
      <c r="C221" s="6"/>
      <c r="D221" s="6"/>
      <c r="E221" s="9"/>
      <c r="F221" s="9"/>
      <c r="G221" s="11"/>
      <c r="H221" s="5"/>
      <c r="I221" s="8"/>
      <c r="J221" s="8"/>
      <c r="Z221" s="6"/>
    </row>
    <row r="222" spans="2:26" ht="12.75" x14ac:dyDescent="0.2">
      <c r="B222" s="6"/>
      <c r="C222" s="6"/>
      <c r="D222" s="6"/>
      <c r="E222" s="9"/>
      <c r="F222" s="9"/>
      <c r="G222" s="11"/>
      <c r="H222" s="5"/>
      <c r="I222" s="8"/>
      <c r="J222" s="8"/>
      <c r="Z222" s="6"/>
    </row>
    <row r="223" spans="2:26" ht="12.75" x14ac:dyDescent="0.2">
      <c r="B223" s="6"/>
      <c r="C223" s="6"/>
      <c r="D223" s="6"/>
      <c r="E223" s="9"/>
      <c r="F223" s="9"/>
      <c r="G223" s="11"/>
      <c r="H223" s="5"/>
      <c r="I223" s="8"/>
      <c r="J223" s="8"/>
      <c r="Z223" s="6"/>
    </row>
    <row r="224" spans="2:26" ht="12.75" x14ac:dyDescent="0.2">
      <c r="B224" s="6"/>
      <c r="C224" s="6"/>
      <c r="D224" s="6"/>
      <c r="E224" s="9"/>
      <c r="F224" s="9"/>
      <c r="G224" s="11"/>
      <c r="H224" s="5"/>
      <c r="I224" s="8"/>
      <c r="J224" s="8"/>
      <c r="Z224" s="6"/>
    </row>
    <row r="225" spans="2:26" ht="12.75" x14ac:dyDescent="0.2">
      <c r="B225" s="6"/>
      <c r="C225" s="6"/>
      <c r="D225" s="6"/>
      <c r="E225" s="9"/>
      <c r="F225" s="9"/>
      <c r="G225" s="11"/>
      <c r="H225" s="5"/>
      <c r="I225" s="8"/>
      <c r="J225" s="8"/>
      <c r="Z225" s="6"/>
    </row>
    <row r="226" spans="2:26" ht="12.75" x14ac:dyDescent="0.2">
      <c r="B226" s="6"/>
      <c r="C226" s="6"/>
      <c r="D226" s="6"/>
      <c r="E226" s="9"/>
      <c r="F226" s="9"/>
      <c r="G226" s="11"/>
      <c r="H226" s="5"/>
      <c r="I226" s="8"/>
      <c r="J226" s="8"/>
      <c r="Z226" s="6"/>
    </row>
    <row r="227" spans="2:26" ht="12.75" x14ac:dyDescent="0.2">
      <c r="B227" s="6"/>
      <c r="C227" s="6"/>
      <c r="D227" s="6"/>
      <c r="E227" s="9"/>
      <c r="F227" s="9"/>
      <c r="G227" s="11"/>
      <c r="H227" s="5"/>
      <c r="I227" s="8"/>
      <c r="J227" s="8"/>
      <c r="Z227" s="6"/>
    </row>
    <row r="228" spans="2:26" ht="12.75" x14ac:dyDescent="0.2">
      <c r="B228" s="6"/>
      <c r="C228" s="6"/>
      <c r="D228" s="6"/>
      <c r="E228" s="9"/>
      <c r="F228" s="9"/>
      <c r="G228" s="11"/>
      <c r="H228" s="5"/>
      <c r="I228" s="8"/>
      <c r="J228" s="8"/>
      <c r="Z228" s="6"/>
    </row>
    <row r="229" spans="2:26" ht="12.75" x14ac:dyDescent="0.2">
      <c r="B229" s="6"/>
      <c r="C229" s="6"/>
      <c r="D229" s="6"/>
      <c r="E229" s="9"/>
      <c r="F229" s="9"/>
      <c r="G229" s="11"/>
      <c r="H229" s="5"/>
      <c r="I229" s="8"/>
      <c r="J229" s="8"/>
      <c r="Z229" s="6"/>
    </row>
    <row r="230" spans="2:26" ht="12.75" x14ac:dyDescent="0.2">
      <c r="B230" s="6"/>
      <c r="C230" s="6"/>
      <c r="D230" s="6"/>
      <c r="E230" s="9"/>
      <c r="F230" s="9"/>
      <c r="G230" s="11"/>
      <c r="H230" s="5"/>
      <c r="I230" s="8"/>
      <c r="J230" s="8"/>
      <c r="Z230" s="6"/>
    </row>
    <row r="231" spans="2:26" ht="12.75" x14ac:dyDescent="0.2">
      <c r="B231" s="6"/>
      <c r="C231" s="6"/>
      <c r="D231" s="6"/>
      <c r="E231" s="9"/>
      <c r="F231" s="9"/>
      <c r="G231" s="11"/>
      <c r="H231" s="5"/>
      <c r="I231" s="8"/>
      <c r="J231" s="8"/>
      <c r="Z231" s="6"/>
    </row>
    <row r="232" spans="2:26" ht="12.75" x14ac:dyDescent="0.2">
      <c r="B232" s="6"/>
      <c r="C232" s="6"/>
      <c r="D232" s="6"/>
      <c r="E232" s="9"/>
      <c r="F232" s="9"/>
      <c r="G232" s="11"/>
      <c r="H232" s="5"/>
      <c r="I232" s="8"/>
      <c r="J232" s="8"/>
      <c r="Z232" s="6"/>
    </row>
    <row r="233" spans="2:26" ht="12.75" x14ac:dyDescent="0.2">
      <c r="B233" s="6"/>
      <c r="C233" s="6"/>
      <c r="D233" s="6"/>
      <c r="E233" s="9"/>
      <c r="F233" s="9"/>
      <c r="G233" s="11"/>
      <c r="H233" s="5"/>
      <c r="I233" s="8"/>
      <c r="J233" s="8"/>
      <c r="Z233" s="6"/>
    </row>
    <row r="234" spans="2:26" ht="12.75" x14ac:dyDescent="0.2">
      <c r="B234" s="6"/>
      <c r="C234" s="6"/>
      <c r="D234" s="6"/>
      <c r="E234" s="9"/>
      <c r="F234" s="9"/>
      <c r="G234" s="11"/>
      <c r="H234" s="5"/>
      <c r="I234" s="8"/>
      <c r="J234" s="8"/>
      <c r="Z234" s="6"/>
    </row>
    <row r="235" spans="2:26" ht="12.75" x14ac:dyDescent="0.2">
      <c r="B235" s="6"/>
      <c r="C235" s="6"/>
      <c r="D235" s="6"/>
      <c r="E235" s="9"/>
      <c r="F235" s="9"/>
      <c r="G235" s="11"/>
      <c r="H235" s="5"/>
      <c r="I235" s="8"/>
      <c r="J235" s="8"/>
      <c r="Z235" s="6"/>
    </row>
    <row r="236" spans="2:26" ht="12.75" x14ac:dyDescent="0.2">
      <c r="B236" s="6"/>
      <c r="C236" s="6"/>
      <c r="D236" s="6"/>
      <c r="E236" s="9"/>
      <c r="F236" s="9"/>
      <c r="G236" s="11"/>
      <c r="H236" s="5"/>
      <c r="I236" s="8"/>
      <c r="J236" s="8"/>
      <c r="Z236" s="6"/>
    </row>
    <row r="237" spans="2:26" ht="12.75" x14ac:dyDescent="0.2">
      <c r="B237" s="6"/>
      <c r="C237" s="6"/>
      <c r="D237" s="6"/>
      <c r="E237" s="9"/>
      <c r="F237" s="9"/>
      <c r="G237" s="11"/>
      <c r="H237" s="5"/>
      <c r="I237" s="8"/>
      <c r="J237" s="8"/>
      <c r="Z237" s="6"/>
    </row>
    <row r="238" spans="2:26" ht="12.75" x14ac:dyDescent="0.2">
      <c r="B238" s="6"/>
      <c r="C238" s="6"/>
      <c r="D238" s="6"/>
      <c r="E238" s="9"/>
      <c r="F238" s="9"/>
      <c r="G238" s="11"/>
      <c r="H238" s="5"/>
      <c r="I238" s="8"/>
      <c r="J238" s="8"/>
      <c r="Z238" s="6"/>
    </row>
    <row r="239" spans="2:26" ht="12.75" x14ac:dyDescent="0.2">
      <c r="B239" s="6"/>
      <c r="C239" s="6"/>
      <c r="D239" s="6"/>
      <c r="E239" s="9"/>
      <c r="F239" s="9"/>
      <c r="G239" s="11"/>
      <c r="H239" s="5"/>
      <c r="I239" s="8"/>
      <c r="J239" s="8"/>
      <c r="Z239" s="6"/>
    </row>
    <row r="240" spans="2:26" ht="12.75" x14ac:dyDescent="0.2">
      <c r="B240" s="6"/>
      <c r="C240" s="6"/>
      <c r="D240" s="6"/>
      <c r="E240" s="9"/>
      <c r="F240" s="9"/>
      <c r="G240" s="11"/>
      <c r="H240" s="5"/>
      <c r="I240" s="8"/>
      <c r="J240" s="8"/>
      <c r="Z240" s="6"/>
    </row>
    <row r="241" spans="2:26" ht="12.75" x14ac:dyDescent="0.2">
      <c r="B241" s="6"/>
      <c r="C241" s="6"/>
      <c r="D241" s="6"/>
      <c r="E241" s="9"/>
      <c r="F241" s="9"/>
      <c r="G241" s="11"/>
      <c r="H241" s="5"/>
      <c r="I241" s="8"/>
      <c r="J241" s="8"/>
      <c r="Z241" s="6"/>
    </row>
    <row r="242" spans="2:26" ht="12.75" x14ac:dyDescent="0.2">
      <c r="B242" s="6"/>
      <c r="C242" s="6"/>
      <c r="D242" s="6"/>
      <c r="E242" s="9"/>
      <c r="F242" s="9"/>
      <c r="G242" s="11"/>
      <c r="H242" s="5"/>
      <c r="I242" s="8"/>
      <c r="J242" s="8"/>
      <c r="Z242" s="6"/>
    </row>
    <row r="243" spans="2:26" ht="12.75" x14ac:dyDescent="0.2">
      <c r="B243" s="6"/>
      <c r="C243" s="6"/>
      <c r="D243" s="6"/>
      <c r="E243" s="9"/>
      <c r="F243" s="9"/>
      <c r="G243" s="11"/>
      <c r="H243" s="5"/>
      <c r="I243" s="8"/>
      <c r="J243" s="8"/>
      <c r="Z243" s="6"/>
    </row>
    <row r="244" spans="2:26" ht="12.75" x14ac:dyDescent="0.2">
      <c r="B244" s="6"/>
      <c r="C244" s="6"/>
      <c r="D244" s="6"/>
      <c r="E244" s="9"/>
      <c r="F244" s="9"/>
      <c r="G244" s="11"/>
      <c r="H244" s="5"/>
      <c r="I244" s="8"/>
      <c r="J244" s="8"/>
      <c r="Z244" s="6"/>
    </row>
    <row r="245" spans="2:26" ht="12.75" x14ac:dyDescent="0.2">
      <c r="B245" s="6"/>
      <c r="C245" s="6"/>
      <c r="D245" s="6"/>
      <c r="E245" s="9"/>
      <c r="F245" s="9"/>
      <c r="G245" s="11"/>
      <c r="H245" s="5"/>
      <c r="I245" s="8"/>
      <c r="J245" s="8"/>
      <c r="Z245" s="6"/>
    </row>
    <row r="246" spans="2:26" ht="12.75" x14ac:dyDescent="0.2">
      <c r="B246" s="6"/>
      <c r="C246" s="6"/>
      <c r="D246" s="6"/>
      <c r="E246" s="9"/>
      <c r="F246" s="9"/>
      <c r="G246" s="11"/>
      <c r="H246" s="5"/>
      <c r="I246" s="8"/>
      <c r="J246" s="8"/>
      <c r="Z246" s="6"/>
    </row>
    <row r="247" spans="2:26" ht="12.75" x14ac:dyDescent="0.2">
      <c r="B247" s="6"/>
      <c r="C247" s="6"/>
      <c r="D247" s="6"/>
      <c r="E247" s="9"/>
      <c r="F247" s="9"/>
      <c r="G247" s="11"/>
      <c r="H247" s="5"/>
      <c r="I247" s="8"/>
      <c r="J247" s="8"/>
      <c r="Z247" s="6"/>
    </row>
    <row r="248" spans="2:26" ht="12.75" x14ac:dyDescent="0.2">
      <c r="B248" s="6"/>
      <c r="C248" s="6"/>
      <c r="D248" s="6"/>
      <c r="E248" s="9"/>
      <c r="F248" s="9"/>
      <c r="G248" s="11"/>
      <c r="H248" s="5"/>
      <c r="I248" s="8"/>
      <c r="J248" s="8"/>
      <c r="Z248" s="6"/>
    </row>
    <row r="249" spans="2:26" ht="12.75" x14ac:dyDescent="0.2">
      <c r="B249" s="6"/>
      <c r="C249" s="6"/>
      <c r="D249" s="6"/>
      <c r="E249" s="9"/>
      <c r="F249" s="9"/>
      <c r="G249" s="11"/>
      <c r="H249" s="5"/>
      <c r="I249" s="8"/>
      <c r="J249" s="8"/>
      <c r="Z249" s="6"/>
    </row>
    <row r="250" spans="2:26" ht="12.75" x14ac:dyDescent="0.2">
      <c r="B250" s="6"/>
      <c r="C250" s="6"/>
      <c r="D250" s="6"/>
      <c r="E250" s="9"/>
      <c r="F250" s="9"/>
      <c r="G250" s="11"/>
      <c r="H250" s="5"/>
      <c r="I250" s="8"/>
      <c r="J250" s="8"/>
      <c r="Z250" s="6"/>
    </row>
    <row r="251" spans="2:26" ht="12.75" x14ac:dyDescent="0.2">
      <c r="B251" s="6"/>
      <c r="C251" s="6"/>
      <c r="D251" s="6"/>
      <c r="E251" s="9"/>
      <c r="F251" s="9"/>
      <c r="G251" s="11"/>
      <c r="H251" s="5"/>
      <c r="I251" s="8"/>
      <c r="J251" s="8"/>
      <c r="Z251" s="6"/>
    </row>
    <row r="252" spans="2:26" ht="12.75" x14ac:dyDescent="0.2">
      <c r="B252" s="6"/>
      <c r="C252" s="6"/>
      <c r="D252" s="6"/>
      <c r="E252" s="9"/>
      <c r="F252" s="9"/>
      <c r="G252" s="11"/>
      <c r="H252" s="5"/>
      <c r="I252" s="8"/>
      <c r="J252" s="8"/>
      <c r="Z252" s="6"/>
    </row>
    <row r="253" spans="2:26" ht="12.75" x14ac:dyDescent="0.2">
      <c r="B253" s="6"/>
      <c r="C253" s="6"/>
      <c r="D253" s="6"/>
      <c r="E253" s="9"/>
      <c r="F253" s="9"/>
      <c r="G253" s="11"/>
      <c r="H253" s="5"/>
      <c r="I253" s="8"/>
      <c r="J253" s="8"/>
      <c r="Z253" s="6"/>
    </row>
    <row r="254" spans="2:26" ht="12.75" x14ac:dyDescent="0.2">
      <c r="B254" s="6"/>
      <c r="C254" s="6"/>
      <c r="D254" s="6"/>
      <c r="E254" s="9"/>
      <c r="F254" s="9"/>
      <c r="G254" s="11"/>
      <c r="H254" s="5"/>
      <c r="I254" s="8"/>
      <c r="J254" s="8"/>
      <c r="Z254" s="6"/>
    </row>
    <row r="255" spans="2:26" ht="12.75" x14ac:dyDescent="0.2">
      <c r="B255" s="6"/>
      <c r="C255" s="6"/>
      <c r="D255" s="6"/>
      <c r="E255" s="9"/>
      <c r="F255" s="9"/>
      <c r="G255" s="11"/>
      <c r="H255" s="5"/>
      <c r="I255" s="8"/>
      <c r="J255" s="8"/>
      <c r="Z255" s="6"/>
    </row>
    <row r="256" spans="2:26" ht="12.75" x14ac:dyDescent="0.2">
      <c r="B256" s="6"/>
      <c r="C256" s="6"/>
      <c r="D256" s="6"/>
      <c r="E256" s="9"/>
      <c r="F256" s="9"/>
      <c r="G256" s="11"/>
      <c r="H256" s="5"/>
      <c r="I256" s="8"/>
      <c r="J256" s="8"/>
      <c r="Z256" s="6"/>
    </row>
    <row r="257" spans="2:26" ht="12.75" x14ac:dyDescent="0.2">
      <c r="B257" s="6"/>
      <c r="C257" s="6"/>
      <c r="D257" s="6"/>
      <c r="E257" s="9"/>
      <c r="F257" s="9"/>
      <c r="G257" s="11"/>
      <c r="H257" s="5"/>
      <c r="I257" s="8"/>
      <c r="J257" s="8"/>
      <c r="Z257" s="6"/>
    </row>
    <row r="258" spans="2:26" ht="12.75" x14ac:dyDescent="0.2">
      <c r="B258" s="6"/>
      <c r="C258" s="6"/>
      <c r="D258" s="6"/>
      <c r="E258" s="9"/>
      <c r="F258" s="9"/>
      <c r="G258" s="11"/>
      <c r="H258" s="5"/>
      <c r="I258" s="8"/>
      <c r="J258" s="8"/>
      <c r="Z258" s="6"/>
    </row>
    <row r="259" spans="2:26" ht="12.75" x14ac:dyDescent="0.2">
      <c r="B259" s="6"/>
      <c r="C259" s="6"/>
      <c r="D259" s="6"/>
      <c r="E259" s="9"/>
      <c r="F259" s="9"/>
      <c r="G259" s="11"/>
      <c r="H259" s="5"/>
      <c r="I259" s="8"/>
      <c r="J259" s="8"/>
      <c r="Z259" s="6"/>
    </row>
    <row r="260" spans="2:26" ht="12.75" x14ac:dyDescent="0.2">
      <c r="B260" s="6"/>
      <c r="C260" s="6"/>
      <c r="D260" s="6"/>
      <c r="E260" s="9"/>
      <c r="F260" s="9"/>
      <c r="G260" s="11"/>
      <c r="H260" s="5"/>
      <c r="I260" s="8"/>
      <c r="J260" s="8"/>
      <c r="Z260" s="6"/>
    </row>
    <row r="261" spans="2:26" ht="12.75" x14ac:dyDescent="0.2">
      <c r="B261" s="6"/>
      <c r="C261" s="6"/>
      <c r="D261" s="6"/>
      <c r="E261" s="9"/>
      <c r="F261" s="9"/>
      <c r="G261" s="11"/>
      <c r="H261" s="5"/>
      <c r="I261" s="8"/>
      <c r="J261" s="8"/>
      <c r="Z261" s="6"/>
    </row>
    <row r="262" spans="2:26" ht="12.75" x14ac:dyDescent="0.2">
      <c r="B262" s="6"/>
      <c r="C262" s="6"/>
      <c r="D262" s="6"/>
      <c r="E262" s="9"/>
      <c r="F262" s="9"/>
      <c r="G262" s="11"/>
      <c r="H262" s="5"/>
      <c r="I262" s="8"/>
      <c r="J262" s="8"/>
      <c r="Z262" s="6"/>
    </row>
    <row r="263" spans="2:26" ht="12.75" x14ac:dyDescent="0.2">
      <c r="B263" s="6"/>
      <c r="C263" s="6"/>
      <c r="D263" s="6"/>
      <c r="E263" s="9"/>
      <c r="F263" s="9"/>
      <c r="G263" s="11"/>
      <c r="H263" s="5"/>
      <c r="I263" s="8"/>
      <c r="J263" s="8"/>
      <c r="Z263" s="6"/>
    </row>
    <row r="264" spans="2:26" ht="12.75" x14ac:dyDescent="0.2">
      <c r="B264" s="6"/>
      <c r="C264" s="6"/>
      <c r="D264" s="6"/>
      <c r="E264" s="9"/>
      <c r="F264" s="9"/>
      <c r="G264" s="11"/>
      <c r="H264" s="5"/>
      <c r="I264" s="8"/>
      <c r="J264" s="8"/>
      <c r="Z264" s="6"/>
    </row>
    <row r="265" spans="2:26" ht="12.75" x14ac:dyDescent="0.2">
      <c r="B265" s="6"/>
      <c r="C265" s="6"/>
      <c r="D265" s="6"/>
      <c r="E265" s="9"/>
      <c r="F265" s="9"/>
      <c r="G265" s="11"/>
      <c r="H265" s="5"/>
      <c r="I265" s="8"/>
      <c r="J265" s="8"/>
      <c r="Z265" s="6"/>
    </row>
    <row r="266" spans="2:26" ht="12.75" x14ac:dyDescent="0.2">
      <c r="B266" s="6"/>
      <c r="C266" s="6"/>
      <c r="D266" s="6"/>
      <c r="E266" s="9"/>
      <c r="F266" s="9"/>
      <c r="G266" s="11"/>
      <c r="H266" s="5"/>
      <c r="I266" s="8"/>
      <c r="J266" s="8"/>
      <c r="Z266" s="6"/>
    </row>
    <row r="267" spans="2:26" ht="12.75" x14ac:dyDescent="0.2">
      <c r="B267" s="6"/>
      <c r="C267" s="6"/>
      <c r="D267" s="6"/>
      <c r="E267" s="9"/>
      <c r="F267" s="9"/>
      <c r="G267" s="11"/>
      <c r="H267" s="5"/>
      <c r="I267" s="8"/>
      <c r="J267" s="8"/>
      <c r="Z267" s="6"/>
    </row>
    <row r="268" spans="2:26" ht="12.75" x14ac:dyDescent="0.2">
      <c r="B268" s="6"/>
      <c r="C268" s="6"/>
      <c r="D268" s="6"/>
      <c r="E268" s="9"/>
      <c r="F268" s="9"/>
      <c r="G268" s="11"/>
      <c r="H268" s="5"/>
      <c r="I268" s="8"/>
      <c r="J268" s="8"/>
      <c r="Z268" s="6"/>
    </row>
    <row r="269" spans="2:26" ht="12.75" x14ac:dyDescent="0.2">
      <c r="B269" s="6"/>
      <c r="C269" s="6"/>
      <c r="D269" s="6"/>
      <c r="E269" s="9"/>
      <c r="F269" s="9"/>
      <c r="G269" s="11"/>
      <c r="H269" s="5"/>
      <c r="I269" s="8"/>
      <c r="J269" s="8"/>
      <c r="Z269" s="6"/>
    </row>
    <row r="270" spans="2:26" ht="12.75" x14ac:dyDescent="0.2">
      <c r="B270" s="6"/>
      <c r="C270" s="6"/>
      <c r="D270" s="6"/>
      <c r="E270" s="9"/>
      <c r="F270" s="9"/>
      <c r="G270" s="11"/>
      <c r="H270" s="5"/>
      <c r="I270" s="8"/>
      <c r="J270" s="8"/>
      <c r="Z270" s="6"/>
    </row>
    <row r="271" spans="2:26" ht="12.75" x14ac:dyDescent="0.2">
      <c r="B271" s="6"/>
      <c r="C271" s="6"/>
      <c r="D271" s="6"/>
      <c r="E271" s="9"/>
      <c r="F271" s="9"/>
      <c r="G271" s="11"/>
      <c r="H271" s="5"/>
      <c r="I271" s="8"/>
      <c r="J271" s="8"/>
      <c r="Z271" s="6"/>
    </row>
    <row r="272" spans="2:26" ht="12.75" x14ac:dyDescent="0.2">
      <c r="B272" s="6"/>
      <c r="C272" s="6"/>
      <c r="D272" s="6"/>
      <c r="E272" s="9"/>
      <c r="F272" s="9"/>
      <c r="G272" s="11"/>
      <c r="H272" s="5"/>
      <c r="I272" s="8"/>
      <c r="J272" s="8"/>
      <c r="Z272" s="6"/>
    </row>
    <row r="273" spans="2:26" ht="12.75" x14ac:dyDescent="0.2">
      <c r="B273" s="6"/>
      <c r="C273" s="6"/>
      <c r="D273" s="6"/>
      <c r="E273" s="9"/>
      <c r="F273" s="9"/>
      <c r="G273" s="11"/>
      <c r="H273" s="5"/>
      <c r="I273" s="8"/>
      <c r="J273" s="8"/>
      <c r="Z273" s="6"/>
    </row>
    <row r="274" spans="2:26" ht="12.75" x14ac:dyDescent="0.2">
      <c r="B274" s="6"/>
      <c r="C274" s="6"/>
      <c r="D274" s="6"/>
      <c r="E274" s="9"/>
      <c r="F274" s="9"/>
      <c r="G274" s="11"/>
      <c r="H274" s="5"/>
      <c r="I274" s="8"/>
      <c r="J274" s="8"/>
      <c r="Z274" s="6"/>
    </row>
    <row r="275" spans="2:26" ht="12.75" x14ac:dyDescent="0.2">
      <c r="B275" s="6"/>
      <c r="C275" s="6"/>
      <c r="D275" s="6"/>
      <c r="E275" s="9"/>
      <c r="F275" s="9"/>
      <c r="G275" s="11"/>
      <c r="H275" s="5"/>
      <c r="I275" s="8"/>
      <c r="J275" s="8"/>
      <c r="Z275" s="6"/>
    </row>
    <row r="276" spans="2:26" ht="12.75" x14ac:dyDescent="0.2">
      <c r="B276" s="6"/>
      <c r="C276" s="6"/>
      <c r="D276" s="6"/>
      <c r="E276" s="9"/>
      <c r="F276" s="9"/>
      <c r="G276" s="11"/>
      <c r="H276" s="5"/>
      <c r="I276" s="8"/>
      <c r="J276" s="8"/>
      <c r="Z276" s="6"/>
    </row>
    <row r="277" spans="2:26" ht="12.75" x14ac:dyDescent="0.2">
      <c r="B277" s="6"/>
      <c r="C277" s="6"/>
      <c r="D277" s="6"/>
      <c r="E277" s="9"/>
      <c r="F277" s="9"/>
      <c r="G277" s="11"/>
      <c r="H277" s="5"/>
      <c r="I277" s="8"/>
      <c r="J277" s="8"/>
      <c r="Z277" s="6"/>
    </row>
    <row r="278" spans="2:26" ht="12.75" x14ac:dyDescent="0.2">
      <c r="B278" s="6"/>
      <c r="C278" s="6"/>
      <c r="D278" s="6"/>
      <c r="E278" s="9"/>
      <c r="F278" s="9"/>
      <c r="G278" s="11"/>
      <c r="H278" s="5"/>
      <c r="I278" s="8"/>
      <c r="J278" s="8"/>
      <c r="Z278" s="6"/>
    </row>
    <row r="279" spans="2:26" ht="12.75" x14ac:dyDescent="0.2">
      <c r="B279" s="6"/>
      <c r="C279" s="6"/>
      <c r="D279" s="6"/>
      <c r="E279" s="9"/>
      <c r="F279" s="9"/>
      <c r="G279" s="11"/>
      <c r="H279" s="5"/>
      <c r="I279" s="8"/>
      <c r="J279" s="8"/>
      <c r="Z279" s="6"/>
    </row>
    <row r="280" spans="2:26" ht="12.75" x14ac:dyDescent="0.2">
      <c r="B280" s="6"/>
      <c r="C280" s="6"/>
      <c r="D280" s="6"/>
      <c r="E280" s="9"/>
      <c r="F280" s="9"/>
      <c r="G280" s="11"/>
      <c r="H280" s="5"/>
      <c r="I280" s="8"/>
      <c r="J280" s="8"/>
      <c r="Z280" s="6"/>
    </row>
    <row r="281" spans="2:26" ht="12.75" x14ac:dyDescent="0.2">
      <c r="B281" s="6"/>
      <c r="C281" s="6"/>
      <c r="D281" s="6"/>
      <c r="E281" s="9"/>
      <c r="F281" s="9"/>
      <c r="G281" s="11"/>
      <c r="H281" s="5"/>
      <c r="I281" s="8"/>
      <c r="J281" s="8"/>
      <c r="Z281" s="6"/>
    </row>
    <row r="282" spans="2:26" ht="12.75" x14ac:dyDescent="0.2">
      <c r="B282" s="6"/>
      <c r="C282" s="6"/>
      <c r="D282" s="6"/>
      <c r="E282" s="9"/>
      <c r="F282" s="9"/>
      <c r="G282" s="11"/>
      <c r="H282" s="5"/>
      <c r="I282" s="8"/>
      <c r="J282" s="8"/>
      <c r="Z282" s="6"/>
    </row>
    <row r="283" spans="2:26" ht="12.75" x14ac:dyDescent="0.2">
      <c r="B283" s="6"/>
      <c r="C283" s="6"/>
      <c r="D283" s="6"/>
      <c r="E283" s="9"/>
      <c r="F283" s="9"/>
      <c r="G283" s="11"/>
      <c r="H283" s="5"/>
      <c r="I283" s="8"/>
      <c r="J283" s="8"/>
      <c r="Z283" s="6"/>
    </row>
    <row r="284" spans="2:26" ht="12.75" x14ac:dyDescent="0.2">
      <c r="B284" s="6"/>
      <c r="C284" s="6"/>
      <c r="D284" s="6"/>
      <c r="E284" s="9"/>
      <c r="F284" s="9"/>
      <c r="G284" s="11"/>
      <c r="H284" s="5"/>
      <c r="I284" s="8"/>
      <c r="J284" s="8"/>
      <c r="Z284" s="6"/>
    </row>
    <row r="285" spans="2:26" ht="12.75" x14ac:dyDescent="0.2">
      <c r="B285" s="6"/>
      <c r="C285" s="6"/>
      <c r="D285" s="6"/>
      <c r="E285" s="9"/>
      <c r="F285" s="9"/>
      <c r="G285" s="11"/>
      <c r="H285" s="5"/>
      <c r="I285" s="8"/>
      <c r="J285" s="8"/>
      <c r="Z285" s="6"/>
    </row>
    <row r="286" spans="2:26" ht="12.75" x14ac:dyDescent="0.2">
      <c r="B286" s="6"/>
      <c r="C286" s="6"/>
      <c r="D286" s="6"/>
      <c r="E286" s="9"/>
      <c r="F286" s="9"/>
      <c r="G286" s="11"/>
      <c r="H286" s="5"/>
      <c r="I286" s="8"/>
      <c r="J286" s="8"/>
      <c r="Z286" s="6"/>
    </row>
    <row r="287" spans="2:26" ht="12.75" x14ac:dyDescent="0.2">
      <c r="B287" s="6"/>
      <c r="C287" s="6"/>
      <c r="D287" s="6"/>
      <c r="E287" s="9"/>
      <c r="F287" s="9"/>
      <c r="G287" s="11"/>
      <c r="H287" s="5"/>
      <c r="I287" s="8"/>
      <c r="J287" s="8"/>
      <c r="Z287" s="6"/>
    </row>
    <row r="288" spans="2:26" ht="12.75" x14ac:dyDescent="0.2">
      <c r="B288" s="6"/>
      <c r="C288" s="6"/>
      <c r="D288" s="6"/>
      <c r="E288" s="9"/>
      <c r="F288" s="9"/>
      <c r="G288" s="11"/>
      <c r="H288" s="5"/>
      <c r="I288" s="8"/>
      <c r="J288" s="8"/>
      <c r="Z288" s="6"/>
    </row>
    <row r="289" spans="2:26" ht="12.75" x14ac:dyDescent="0.2">
      <c r="B289" s="6"/>
      <c r="C289" s="6"/>
      <c r="D289" s="6"/>
      <c r="E289" s="9"/>
      <c r="F289" s="9"/>
      <c r="G289" s="11"/>
      <c r="H289" s="5"/>
      <c r="I289" s="8"/>
      <c r="J289" s="8"/>
      <c r="Z289" s="6"/>
    </row>
    <row r="290" spans="2:26" ht="12.75" x14ac:dyDescent="0.2">
      <c r="B290" s="6"/>
      <c r="C290" s="6"/>
      <c r="D290" s="6"/>
      <c r="E290" s="9"/>
      <c r="F290" s="9"/>
      <c r="G290" s="11"/>
      <c r="H290" s="5"/>
      <c r="I290" s="8"/>
      <c r="J290" s="8"/>
      <c r="Z290" s="6"/>
    </row>
    <row r="291" spans="2:26" ht="12.75" x14ac:dyDescent="0.2">
      <c r="B291" s="6"/>
      <c r="C291" s="6"/>
      <c r="D291" s="6"/>
      <c r="E291" s="9"/>
      <c r="F291" s="9"/>
      <c r="G291" s="11"/>
      <c r="H291" s="5"/>
      <c r="I291" s="8"/>
      <c r="J291" s="8"/>
      <c r="Z291" s="6"/>
    </row>
    <row r="292" spans="2:26" ht="12.75" x14ac:dyDescent="0.2">
      <c r="B292" s="6"/>
      <c r="C292" s="6"/>
      <c r="D292" s="6"/>
      <c r="E292" s="9"/>
      <c r="F292" s="9"/>
      <c r="G292" s="11"/>
      <c r="H292" s="5"/>
      <c r="I292" s="8"/>
      <c r="J292" s="8"/>
      <c r="Z292" s="6"/>
    </row>
    <row r="293" spans="2:26" ht="12.75" x14ac:dyDescent="0.2">
      <c r="B293" s="6"/>
      <c r="C293" s="6"/>
      <c r="D293" s="6"/>
      <c r="E293" s="9"/>
      <c r="F293" s="9"/>
      <c r="G293" s="11"/>
      <c r="H293" s="5"/>
      <c r="I293" s="8"/>
      <c r="J293" s="8"/>
      <c r="Z293" s="6"/>
    </row>
    <row r="294" spans="2:26" ht="12.75" x14ac:dyDescent="0.2">
      <c r="B294" s="6"/>
      <c r="C294" s="6"/>
      <c r="D294" s="6"/>
      <c r="E294" s="9"/>
      <c r="F294" s="9"/>
      <c r="G294" s="11"/>
      <c r="H294" s="5"/>
      <c r="I294" s="8"/>
      <c r="J294" s="8"/>
      <c r="Z294" s="6"/>
    </row>
    <row r="295" spans="2:26" ht="12.75" x14ac:dyDescent="0.2">
      <c r="B295" s="6"/>
      <c r="C295" s="6"/>
      <c r="D295" s="6"/>
      <c r="E295" s="9"/>
      <c r="F295" s="9"/>
      <c r="G295" s="11"/>
      <c r="H295" s="5"/>
      <c r="I295" s="8"/>
      <c r="J295" s="8"/>
      <c r="Z295" s="6"/>
    </row>
    <row r="296" spans="2:26" ht="12.75" x14ac:dyDescent="0.2">
      <c r="B296" s="6"/>
      <c r="C296" s="6"/>
      <c r="D296" s="6"/>
      <c r="E296" s="9"/>
      <c r="F296" s="9"/>
      <c r="G296" s="11"/>
      <c r="H296" s="5"/>
      <c r="I296" s="8"/>
      <c r="J296" s="8"/>
      <c r="Z296" s="6"/>
    </row>
    <row r="297" spans="2:26" ht="12.75" x14ac:dyDescent="0.2">
      <c r="B297" s="6"/>
      <c r="C297" s="6"/>
      <c r="D297" s="6"/>
      <c r="E297" s="9"/>
      <c r="F297" s="9"/>
      <c r="G297" s="11"/>
      <c r="H297" s="5"/>
      <c r="I297" s="8"/>
      <c r="J297" s="8"/>
      <c r="Z297" s="6"/>
    </row>
    <row r="298" spans="2:26" ht="12.75" x14ac:dyDescent="0.2">
      <c r="B298" s="6"/>
      <c r="C298" s="6"/>
      <c r="D298" s="6"/>
      <c r="E298" s="9"/>
      <c r="F298" s="9"/>
      <c r="G298" s="11"/>
      <c r="H298" s="5"/>
      <c r="I298" s="8"/>
      <c r="J298" s="8"/>
      <c r="Z298" s="6"/>
    </row>
    <row r="299" spans="2:26" ht="12.75" x14ac:dyDescent="0.2">
      <c r="B299" s="6"/>
      <c r="C299" s="6"/>
      <c r="D299" s="6"/>
      <c r="E299" s="9"/>
      <c r="F299" s="9"/>
      <c r="G299" s="11"/>
      <c r="H299" s="5"/>
      <c r="I299" s="8"/>
      <c r="J299" s="8"/>
      <c r="Z299" s="6"/>
    </row>
    <row r="300" spans="2:26" ht="12.75" x14ac:dyDescent="0.2">
      <c r="B300" s="6"/>
      <c r="C300" s="6"/>
      <c r="D300" s="6"/>
      <c r="E300" s="9"/>
      <c r="F300" s="9"/>
      <c r="G300" s="11"/>
      <c r="H300" s="5"/>
      <c r="I300" s="8"/>
      <c r="J300" s="8"/>
      <c r="Z300" s="6"/>
    </row>
    <row r="301" spans="2:26" ht="12.75" x14ac:dyDescent="0.2">
      <c r="B301" s="6"/>
      <c r="C301" s="6"/>
      <c r="D301" s="6"/>
      <c r="E301" s="9"/>
      <c r="F301" s="9"/>
      <c r="G301" s="11"/>
      <c r="H301" s="5"/>
      <c r="I301" s="8"/>
      <c r="J301" s="8"/>
      <c r="Z301" s="6"/>
    </row>
    <row r="302" spans="2:26" ht="12.75" x14ac:dyDescent="0.2">
      <c r="B302" s="6"/>
      <c r="C302" s="6"/>
      <c r="D302" s="6"/>
      <c r="E302" s="9"/>
      <c r="F302" s="9"/>
      <c r="G302" s="11"/>
      <c r="H302" s="5"/>
      <c r="I302" s="8"/>
      <c r="J302" s="8"/>
      <c r="Z302" s="6"/>
    </row>
    <row r="303" spans="2:26" ht="12.75" x14ac:dyDescent="0.2">
      <c r="B303" s="6"/>
      <c r="C303" s="6"/>
      <c r="D303" s="6"/>
      <c r="E303" s="9"/>
      <c r="F303" s="9"/>
      <c r="G303" s="11"/>
      <c r="H303" s="5"/>
      <c r="I303" s="8"/>
      <c r="J303" s="8"/>
      <c r="Z303" s="6"/>
    </row>
    <row r="304" spans="2:26" ht="12.75" x14ac:dyDescent="0.2">
      <c r="B304" s="6"/>
      <c r="C304" s="6"/>
      <c r="D304" s="6"/>
      <c r="E304" s="9"/>
      <c r="F304" s="9"/>
      <c r="G304" s="11"/>
      <c r="H304" s="5"/>
      <c r="I304" s="8"/>
      <c r="J304" s="8"/>
      <c r="Z304" s="6"/>
    </row>
    <row r="305" spans="2:26" ht="12.75" x14ac:dyDescent="0.2">
      <c r="B305" s="6"/>
      <c r="C305" s="6"/>
      <c r="D305" s="6"/>
      <c r="E305" s="9"/>
      <c r="F305" s="9"/>
      <c r="G305" s="11"/>
      <c r="H305" s="5"/>
      <c r="I305" s="8"/>
      <c r="J305" s="8"/>
      <c r="Z305" s="6"/>
    </row>
    <row r="306" spans="2:26" ht="12.75" x14ac:dyDescent="0.2">
      <c r="B306" s="6"/>
      <c r="C306" s="6"/>
      <c r="D306" s="6"/>
      <c r="E306" s="9"/>
      <c r="F306" s="9"/>
      <c r="G306" s="11"/>
      <c r="H306" s="5"/>
      <c r="I306" s="8"/>
      <c r="J306" s="8"/>
      <c r="Z306" s="6"/>
    </row>
    <row r="307" spans="2:26" ht="12.75" x14ac:dyDescent="0.2">
      <c r="B307" s="6"/>
      <c r="C307" s="6"/>
      <c r="D307" s="6"/>
      <c r="E307" s="9"/>
      <c r="F307" s="9"/>
      <c r="G307" s="11"/>
      <c r="H307" s="5"/>
      <c r="I307" s="8"/>
      <c r="J307" s="8"/>
      <c r="Z307" s="6"/>
    </row>
    <row r="308" spans="2:26" ht="12.75" x14ac:dyDescent="0.2">
      <c r="B308" s="6"/>
      <c r="C308" s="6"/>
      <c r="D308" s="6"/>
      <c r="E308" s="9"/>
      <c r="F308" s="9"/>
      <c r="G308" s="11"/>
      <c r="H308" s="5"/>
      <c r="I308" s="8"/>
      <c r="J308" s="8"/>
      <c r="Z308" s="6"/>
    </row>
    <row r="309" spans="2:26" ht="12.75" x14ac:dyDescent="0.2">
      <c r="B309" s="6"/>
      <c r="C309" s="6"/>
      <c r="D309" s="6"/>
      <c r="E309" s="9"/>
      <c r="F309" s="9"/>
      <c r="G309" s="11"/>
      <c r="H309" s="5"/>
      <c r="I309" s="8"/>
      <c r="J309" s="8"/>
      <c r="Z309" s="6"/>
    </row>
    <row r="310" spans="2:26" ht="12.75" x14ac:dyDescent="0.2">
      <c r="B310" s="6"/>
      <c r="C310" s="6"/>
      <c r="D310" s="6"/>
      <c r="E310" s="9"/>
      <c r="F310" s="9"/>
      <c r="G310" s="11"/>
      <c r="H310" s="5"/>
      <c r="I310" s="8"/>
      <c r="J310" s="8"/>
      <c r="Z310" s="6"/>
    </row>
    <row r="311" spans="2:26" ht="12.75" x14ac:dyDescent="0.2">
      <c r="B311" s="6"/>
      <c r="C311" s="6"/>
      <c r="D311" s="6"/>
      <c r="E311" s="9"/>
      <c r="F311" s="9"/>
      <c r="G311" s="11"/>
      <c r="H311" s="5"/>
      <c r="I311" s="8"/>
      <c r="J311" s="8"/>
      <c r="Z311" s="6"/>
    </row>
    <row r="312" spans="2:26" ht="12.75" x14ac:dyDescent="0.2">
      <c r="B312" s="6"/>
      <c r="C312" s="6"/>
      <c r="D312" s="6"/>
      <c r="E312" s="9"/>
      <c r="F312" s="9"/>
      <c r="G312" s="11"/>
      <c r="H312" s="5"/>
      <c r="I312" s="8"/>
      <c r="J312" s="8"/>
      <c r="Z312" s="6"/>
    </row>
    <row r="313" spans="2:26" ht="12.75" x14ac:dyDescent="0.2">
      <c r="B313" s="6"/>
      <c r="C313" s="6"/>
      <c r="D313" s="6"/>
      <c r="E313" s="9"/>
      <c r="F313" s="9"/>
      <c r="G313" s="11"/>
      <c r="H313" s="5"/>
      <c r="I313" s="8"/>
      <c r="J313" s="8"/>
      <c r="Z313" s="6"/>
    </row>
    <row r="314" spans="2:26" ht="12.75" x14ac:dyDescent="0.2">
      <c r="B314" s="6"/>
      <c r="C314" s="6"/>
      <c r="D314" s="6"/>
      <c r="E314" s="9"/>
      <c r="F314" s="9"/>
      <c r="G314" s="11"/>
      <c r="H314" s="5"/>
      <c r="I314" s="8"/>
      <c r="J314" s="8"/>
      <c r="Z314" s="6"/>
    </row>
    <row r="315" spans="2:26" ht="12.75" x14ac:dyDescent="0.2">
      <c r="B315" s="6"/>
      <c r="C315" s="6"/>
      <c r="D315" s="6"/>
      <c r="E315" s="9"/>
      <c r="F315" s="9"/>
      <c r="G315" s="11"/>
      <c r="H315" s="5"/>
      <c r="I315" s="8"/>
      <c r="J315" s="8"/>
      <c r="Z315" s="6"/>
    </row>
    <row r="316" spans="2:26" ht="12.75" x14ac:dyDescent="0.2">
      <c r="B316" s="6"/>
      <c r="C316" s="6"/>
      <c r="D316" s="6"/>
      <c r="E316" s="9"/>
      <c r="F316" s="9"/>
      <c r="G316" s="11"/>
      <c r="H316" s="5"/>
      <c r="I316" s="8"/>
      <c r="J316" s="8"/>
      <c r="Z316" s="6"/>
    </row>
    <row r="317" spans="2:26" ht="12.75" x14ac:dyDescent="0.2">
      <c r="B317" s="6"/>
      <c r="C317" s="6"/>
      <c r="D317" s="6"/>
      <c r="E317" s="9"/>
      <c r="F317" s="9"/>
      <c r="G317" s="11"/>
      <c r="H317" s="5"/>
      <c r="I317" s="8"/>
      <c r="J317" s="8"/>
      <c r="Z317" s="6"/>
    </row>
    <row r="318" spans="2:26" ht="12.75" x14ac:dyDescent="0.2">
      <c r="B318" s="6"/>
      <c r="C318" s="6"/>
      <c r="D318" s="6"/>
      <c r="E318" s="9"/>
      <c r="F318" s="9"/>
      <c r="G318" s="11"/>
      <c r="H318" s="5"/>
      <c r="I318" s="8"/>
      <c r="J318" s="8"/>
      <c r="Z318" s="6"/>
    </row>
    <row r="319" spans="2:26" ht="12.75" x14ac:dyDescent="0.2">
      <c r="B319" s="6"/>
      <c r="C319" s="6"/>
      <c r="D319" s="6"/>
      <c r="E319" s="9"/>
      <c r="F319" s="9"/>
      <c r="G319" s="11"/>
      <c r="H319" s="5"/>
      <c r="I319" s="8"/>
      <c r="J319" s="8"/>
      <c r="Z319" s="6"/>
    </row>
    <row r="320" spans="2:26" ht="12.75" x14ac:dyDescent="0.2">
      <c r="B320" s="6"/>
      <c r="C320" s="6"/>
      <c r="D320" s="6"/>
      <c r="E320" s="9"/>
      <c r="F320" s="9"/>
      <c r="G320" s="11"/>
      <c r="H320" s="5"/>
      <c r="I320" s="8"/>
      <c r="J320" s="8"/>
      <c r="Z320" s="6"/>
    </row>
    <row r="321" spans="2:26" ht="12.75" x14ac:dyDescent="0.2">
      <c r="B321" s="6"/>
      <c r="C321" s="6"/>
      <c r="D321" s="6"/>
      <c r="E321" s="9"/>
      <c r="F321" s="9"/>
      <c r="G321" s="11"/>
      <c r="H321" s="5"/>
      <c r="I321" s="8"/>
      <c r="J321" s="8"/>
      <c r="Z321" s="6"/>
    </row>
    <row r="322" spans="2:26" ht="12.75" x14ac:dyDescent="0.2">
      <c r="B322" s="6"/>
      <c r="C322" s="6"/>
      <c r="D322" s="6"/>
      <c r="E322" s="9"/>
      <c r="F322" s="9"/>
      <c r="G322" s="11"/>
      <c r="H322" s="5"/>
      <c r="I322" s="8"/>
      <c r="J322" s="8"/>
      <c r="Z322" s="6"/>
    </row>
    <row r="323" spans="2:26" ht="12.75" x14ac:dyDescent="0.2">
      <c r="B323" s="6"/>
      <c r="C323" s="6"/>
      <c r="D323" s="6"/>
      <c r="E323" s="9"/>
      <c r="F323" s="9"/>
      <c r="G323" s="11"/>
      <c r="H323" s="5"/>
      <c r="I323" s="8"/>
      <c r="J323" s="8"/>
      <c r="Z323" s="6"/>
    </row>
    <row r="324" spans="2:26" ht="12.75" x14ac:dyDescent="0.2">
      <c r="B324" s="6"/>
      <c r="C324" s="6"/>
      <c r="D324" s="6"/>
      <c r="E324" s="9"/>
      <c r="F324" s="9"/>
      <c r="G324" s="11"/>
      <c r="H324" s="5"/>
      <c r="I324" s="8"/>
      <c r="J324" s="8"/>
      <c r="Z324" s="6"/>
    </row>
    <row r="325" spans="2:26" ht="12.75" x14ac:dyDescent="0.2">
      <c r="B325" s="6"/>
      <c r="C325" s="6"/>
      <c r="D325" s="6"/>
      <c r="E325" s="9"/>
      <c r="F325" s="9"/>
      <c r="G325" s="11"/>
      <c r="H325" s="5"/>
      <c r="I325" s="8"/>
      <c r="J325" s="8"/>
      <c r="Z325" s="6"/>
    </row>
    <row r="326" spans="2:26" ht="12.75" x14ac:dyDescent="0.2">
      <c r="B326" s="6"/>
      <c r="C326" s="6"/>
      <c r="D326" s="6"/>
      <c r="E326" s="9"/>
      <c r="F326" s="9"/>
      <c r="G326" s="11"/>
      <c r="H326" s="5"/>
      <c r="I326" s="8"/>
      <c r="J326" s="8"/>
      <c r="Z326" s="6"/>
    </row>
    <row r="327" spans="2:26" ht="12.75" x14ac:dyDescent="0.2">
      <c r="B327" s="6"/>
      <c r="C327" s="6"/>
      <c r="D327" s="6"/>
      <c r="E327" s="9"/>
      <c r="F327" s="9"/>
      <c r="G327" s="11"/>
      <c r="H327" s="5"/>
      <c r="I327" s="8"/>
      <c r="J327" s="8"/>
      <c r="Z327" s="6"/>
    </row>
    <row r="328" spans="2:26" ht="12.75" x14ac:dyDescent="0.2">
      <c r="B328" s="6"/>
      <c r="C328" s="6"/>
      <c r="D328" s="6"/>
      <c r="E328" s="9"/>
      <c r="F328" s="9"/>
      <c r="G328" s="11"/>
      <c r="H328" s="5"/>
      <c r="I328" s="8"/>
      <c r="J328" s="8"/>
      <c r="Z328" s="6"/>
    </row>
    <row r="329" spans="2:26" ht="12.75" x14ac:dyDescent="0.2">
      <c r="B329" s="6"/>
      <c r="C329" s="6"/>
      <c r="D329" s="6"/>
      <c r="E329" s="9"/>
      <c r="F329" s="9"/>
      <c r="G329" s="11"/>
      <c r="H329" s="5"/>
      <c r="I329" s="8"/>
      <c r="J329" s="8"/>
      <c r="Z329" s="6"/>
    </row>
    <row r="330" spans="2:26" ht="12.75" x14ac:dyDescent="0.2">
      <c r="B330" s="6"/>
      <c r="C330" s="6"/>
      <c r="D330" s="6"/>
      <c r="E330" s="9"/>
      <c r="F330" s="9"/>
      <c r="G330" s="11"/>
      <c r="H330" s="5"/>
      <c r="I330" s="8"/>
      <c r="J330" s="8"/>
      <c r="Z330" s="6"/>
    </row>
    <row r="331" spans="2:26" ht="12.75" x14ac:dyDescent="0.2">
      <c r="B331" s="6"/>
      <c r="C331" s="6"/>
      <c r="D331" s="6"/>
      <c r="E331" s="9"/>
      <c r="F331" s="9"/>
      <c r="G331" s="11"/>
      <c r="H331" s="5"/>
      <c r="I331" s="8"/>
      <c r="J331" s="8"/>
      <c r="Z331" s="6"/>
    </row>
    <row r="332" spans="2:26" ht="12.75" x14ac:dyDescent="0.2">
      <c r="B332" s="6"/>
      <c r="C332" s="6"/>
      <c r="D332" s="6"/>
      <c r="E332" s="9"/>
      <c r="F332" s="9"/>
      <c r="G332" s="11"/>
      <c r="H332" s="5"/>
      <c r="I332" s="8"/>
      <c r="J332" s="8"/>
      <c r="Z332" s="6"/>
    </row>
    <row r="333" spans="2:26" ht="12.75" x14ac:dyDescent="0.2">
      <c r="B333" s="6"/>
      <c r="C333" s="6"/>
      <c r="D333" s="6"/>
      <c r="E333" s="9"/>
      <c r="F333" s="9"/>
      <c r="G333" s="11"/>
      <c r="H333" s="5"/>
      <c r="I333" s="8"/>
      <c r="J333" s="8"/>
      <c r="Z333" s="6"/>
    </row>
    <row r="334" spans="2:26" ht="12.75" x14ac:dyDescent="0.2">
      <c r="B334" s="6"/>
      <c r="C334" s="6"/>
      <c r="D334" s="6"/>
      <c r="E334" s="9"/>
      <c r="F334" s="9"/>
      <c r="G334" s="11"/>
      <c r="H334" s="5"/>
      <c r="I334" s="8"/>
      <c r="J334" s="8"/>
      <c r="Z334" s="6"/>
    </row>
    <row r="335" spans="2:26" ht="12.75" x14ac:dyDescent="0.2">
      <c r="B335" s="6"/>
      <c r="C335" s="6"/>
      <c r="D335" s="6"/>
      <c r="E335" s="9"/>
      <c r="F335" s="9"/>
      <c r="G335" s="11"/>
      <c r="H335" s="5"/>
      <c r="I335" s="8"/>
      <c r="J335" s="8"/>
      <c r="Z335" s="6"/>
    </row>
    <row r="336" spans="2:26" ht="12.75" x14ac:dyDescent="0.2">
      <c r="B336" s="6"/>
      <c r="C336" s="6"/>
      <c r="D336" s="6"/>
      <c r="E336" s="9"/>
      <c r="F336" s="9"/>
      <c r="G336" s="11"/>
      <c r="H336" s="5"/>
      <c r="I336" s="8"/>
      <c r="J336" s="8"/>
      <c r="Z336" s="6"/>
    </row>
    <row r="337" spans="2:26" ht="12.75" x14ac:dyDescent="0.2">
      <c r="B337" s="6"/>
      <c r="C337" s="6"/>
      <c r="D337" s="6"/>
      <c r="E337" s="9"/>
      <c r="F337" s="9"/>
      <c r="G337" s="11"/>
      <c r="H337" s="5"/>
      <c r="I337" s="8"/>
      <c r="J337" s="8"/>
      <c r="Z337" s="6"/>
    </row>
    <row r="338" spans="2:26" ht="12.75" x14ac:dyDescent="0.2">
      <c r="B338" s="6"/>
      <c r="C338" s="6"/>
      <c r="D338" s="6"/>
      <c r="E338" s="9"/>
      <c r="F338" s="9"/>
      <c r="G338" s="11"/>
      <c r="H338" s="5"/>
      <c r="I338" s="8"/>
      <c r="J338" s="8"/>
      <c r="Z338" s="6"/>
    </row>
    <row r="339" spans="2:26" ht="12.75" x14ac:dyDescent="0.2">
      <c r="B339" s="6"/>
      <c r="C339" s="6"/>
      <c r="D339" s="6"/>
      <c r="E339" s="9"/>
      <c r="F339" s="9"/>
      <c r="G339" s="11"/>
      <c r="H339" s="5"/>
      <c r="I339" s="8"/>
      <c r="J339" s="8"/>
      <c r="Z339" s="6"/>
    </row>
    <row r="340" spans="2:26" ht="12.75" x14ac:dyDescent="0.2">
      <c r="B340" s="6"/>
      <c r="C340" s="6"/>
      <c r="D340" s="6"/>
      <c r="E340" s="9"/>
      <c r="F340" s="9"/>
      <c r="G340" s="11"/>
      <c r="H340" s="5"/>
      <c r="I340" s="8"/>
      <c r="J340" s="8"/>
      <c r="Z340" s="6"/>
    </row>
    <row r="341" spans="2:26" ht="12.75" x14ac:dyDescent="0.2">
      <c r="B341" s="6"/>
      <c r="C341" s="6"/>
      <c r="D341" s="6"/>
      <c r="E341" s="9"/>
      <c r="F341" s="9"/>
      <c r="G341" s="11"/>
      <c r="H341" s="5"/>
      <c r="I341" s="8"/>
      <c r="J341" s="8"/>
      <c r="Z341" s="6"/>
    </row>
    <row r="342" spans="2:26" ht="12.75" x14ac:dyDescent="0.2">
      <c r="B342" s="6"/>
      <c r="C342" s="6"/>
      <c r="D342" s="6"/>
      <c r="E342" s="9"/>
      <c r="F342" s="9"/>
      <c r="G342" s="11"/>
      <c r="H342" s="5"/>
      <c r="I342" s="8"/>
      <c r="J342" s="8"/>
      <c r="Z342" s="6"/>
    </row>
    <row r="343" spans="2:26" ht="12.75" x14ac:dyDescent="0.2">
      <c r="B343" s="6"/>
      <c r="C343" s="6"/>
      <c r="D343" s="6"/>
      <c r="E343" s="9"/>
      <c r="F343" s="9"/>
      <c r="G343" s="11"/>
      <c r="H343" s="5"/>
      <c r="I343" s="8"/>
      <c r="J343" s="8"/>
      <c r="Z343" s="6"/>
    </row>
    <row r="344" spans="2:26" ht="12.75" x14ac:dyDescent="0.2">
      <c r="B344" s="6"/>
      <c r="C344" s="6"/>
      <c r="D344" s="6"/>
      <c r="E344" s="9"/>
      <c r="F344" s="9"/>
      <c r="G344" s="11"/>
      <c r="H344" s="5"/>
      <c r="I344" s="8"/>
      <c r="J344" s="8"/>
      <c r="Z344" s="6"/>
    </row>
    <row r="345" spans="2:26" ht="12.75" x14ac:dyDescent="0.2">
      <c r="B345" s="6"/>
      <c r="C345" s="6"/>
      <c r="D345" s="6"/>
      <c r="E345" s="9"/>
      <c r="F345" s="9"/>
      <c r="G345" s="11"/>
      <c r="H345" s="5"/>
      <c r="I345" s="8"/>
      <c r="J345" s="8"/>
      <c r="Z345" s="6"/>
    </row>
    <row r="346" spans="2:26" ht="12.75" x14ac:dyDescent="0.2">
      <c r="B346" s="6"/>
      <c r="C346" s="6"/>
      <c r="D346" s="6"/>
      <c r="E346" s="9"/>
      <c r="F346" s="9"/>
      <c r="G346" s="11"/>
      <c r="H346" s="5"/>
      <c r="I346" s="8"/>
      <c r="J346" s="8"/>
      <c r="Z346" s="6"/>
    </row>
    <row r="347" spans="2:26" ht="12.75" x14ac:dyDescent="0.2">
      <c r="B347" s="6"/>
      <c r="C347" s="6"/>
      <c r="D347" s="6"/>
      <c r="E347" s="9"/>
      <c r="F347" s="9"/>
      <c r="G347" s="11"/>
      <c r="H347" s="5"/>
      <c r="I347" s="8"/>
      <c r="J347" s="8"/>
      <c r="Z347" s="6"/>
    </row>
    <row r="348" spans="2:26" ht="12.75" x14ac:dyDescent="0.2">
      <c r="B348" s="6"/>
      <c r="C348" s="6"/>
      <c r="D348" s="6"/>
      <c r="E348" s="9"/>
      <c r="F348" s="9"/>
      <c r="G348" s="11"/>
      <c r="H348" s="5"/>
      <c r="I348" s="8"/>
      <c r="J348" s="8"/>
      <c r="Z348" s="6"/>
    </row>
    <row r="349" spans="2:26" ht="12.75" x14ac:dyDescent="0.2">
      <c r="B349" s="6"/>
      <c r="C349" s="6"/>
      <c r="D349" s="6"/>
      <c r="E349" s="9"/>
      <c r="F349" s="9"/>
      <c r="G349" s="11"/>
      <c r="H349" s="5"/>
      <c r="I349" s="8"/>
      <c r="J349" s="8"/>
      <c r="Z349" s="6"/>
    </row>
    <row r="350" spans="2:26" ht="12.75" x14ac:dyDescent="0.2">
      <c r="B350" s="6"/>
      <c r="C350" s="6"/>
      <c r="D350" s="6"/>
      <c r="E350" s="9"/>
      <c r="F350" s="9"/>
      <c r="G350" s="11"/>
      <c r="H350" s="5"/>
      <c r="I350" s="8"/>
      <c r="J350" s="8"/>
      <c r="Z350" s="6"/>
    </row>
    <row r="351" spans="2:26" ht="12.75" x14ac:dyDescent="0.2">
      <c r="B351" s="6"/>
      <c r="C351" s="6"/>
      <c r="D351" s="6"/>
      <c r="E351" s="9"/>
      <c r="F351" s="9"/>
      <c r="G351" s="11"/>
      <c r="H351" s="5"/>
      <c r="I351" s="8"/>
      <c r="J351" s="8"/>
      <c r="Z351" s="6"/>
    </row>
    <row r="352" spans="2:26" ht="12.75" x14ac:dyDescent="0.2">
      <c r="B352" s="6"/>
      <c r="C352" s="6"/>
      <c r="D352" s="6"/>
      <c r="E352" s="9"/>
      <c r="F352" s="9"/>
      <c r="G352" s="11"/>
      <c r="H352" s="5"/>
      <c r="I352" s="8"/>
      <c r="J352" s="8"/>
      <c r="Z352" s="6"/>
    </row>
    <row r="353" spans="2:26" ht="12.75" x14ac:dyDescent="0.2">
      <c r="B353" s="6"/>
      <c r="C353" s="6"/>
      <c r="D353" s="6"/>
      <c r="E353" s="9"/>
      <c r="F353" s="9"/>
      <c r="G353" s="11"/>
      <c r="H353" s="5"/>
      <c r="I353" s="8"/>
      <c r="J353" s="8"/>
      <c r="Z353" s="6"/>
    </row>
    <row r="354" spans="2:26" ht="12.75" x14ac:dyDescent="0.2">
      <c r="B354" s="6"/>
      <c r="C354" s="6"/>
      <c r="D354" s="6"/>
      <c r="E354" s="9"/>
      <c r="F354" s="9"/>
      <c r="G354" s="11"/>
      <c r="H354" s="5"/>
      <c r="I354" s="8"/>
      <c r="J354" s="8"/>
      <c r="Z354" s="6"/>
    </row>
    <row r="355" spans="2:26" ht="12.75" x14ac:dyDescent="0.2">
      <c r="B355" s="6"/>
      <c r="C355" s="6"/>
      <c r="D355" s="6"/>
      <c r="E355" s="9"/>
      <c r="F355" s="9"/>
      <c r="G355" s="11"/>
      <c r="H355" s="5"/>
      <c r="I355" s="8"/>
      <c r="J355" s="8"/>
      <c r="Z355" s="6"/>
    </row>
    <row r="356" spans="2:26" ht="12.75" x14ac:dyDescent="0.2">
      <c r="B356" s="6"/>
      <c r="C356" s="6"/>
      <c r="D356" s="6"/>
      <c r="E356" s="9"/>
      <c r="F356" s="9"/>
      <c r="G356" s="11"/>
      <c r="H356" s="5"/>
      <c r="I356" s="8"/>
      <c r="J356" s="8"/>
      <c r="Z356" s="6"/>
    </row>
    <row r="357" spans="2:26" ht="12.75" x14ac:dyDescent="0.2">
      <c r="B357" s="6"/>
      <c r="C357" s="6"/>
      <c r="D357" s="6"/>
      <c r="E357" s="9"/>
      <c r="F357" s="9"/>
      <c r="G357" s="11"/>
      <c r="H357" s="5"/>
      <c r="I357" s="8"/>
      <c r="J357" s="8"/>
      <c r="Z357" s="6"/>
    </row>
    <row r="358" spans="2:26" ht="12.75" x14ac:dyDescent="0.2">
      <c r="B358" s="6"/>
      <c r="C358" s="6"/>
      <c r="D358" s="6"/>
      <c r="E358" s="9"/>
      <c r="F358" s="9"/>
      <c r="G358" s="11"/>
      <c r="H358" s="5"/>
      <c r="I358" s="8"/>
      <c r="J358" s="8"/>
      <c r="Z358" s="6"/>
    </row>
    <row r="359" spans="2:26" ht="12.75" x14ac:dyDescent="0.2">
      <c r="B359" s="6"/>
      <c r="C359" s="6"/>
      <c r="D359" s="6"/>
      <c r="E359" s="9"/>
      <c r="F359" s="9"/>
      <c r="G359" s="11"/>
      <c r="H359" s="5"/>
      <c r="I359" s="8"/>
      <c r="J359" s="8"/>
      <c r="Z359" s="6"/>
    </row>
    <row r="360" spans="2:26" ht="12.75" x14ac:dyDescent="0.2">
      <c r="B360" s="6"/>
      <c r="C360" s="6"/>
      <c r="D360" s="6"/>
      <c r="E360" s="9"/>
      <c r="F360" s="9"/>
      <c r="G360" s="11"/>
      <c r="H360" s="5"/>
      <c r="I360" s="8"/>
      <c r="J360" s="8"/>
      <c r="Z360" s="6"/>
    </row>
    <row r="361" spans="2:26" ht="12.75" x14ac:dyDescent="0.2">
      <c r="B361" s="6"/>
      <c r="C361" s="6"/>
      <c r="D361" s="6"/>
      <c r="E361" s="9"/>
      <c r="F361" s="9"/>
      <c r="G361" s="11"/>
      <c r="H361" s="5"/>
      <c r="I361" s="8"/>
      <c r="J361" s="8"/>
      <c r="Z361" s="6"/>
    </row>
    <row r="362" spans="2:26" ht="12.75" x14ac:dyDescent="0.2">
      <c r="B362" s="6"/>
      <c r="C362" s="6"/>
      <c r="D362" s="6"/>
      <c r="E362" s="9"/>
      <c r="F362" s="9"/>
      <c r="G362" s="11"/>
      <c r="H362" s="5"/>
      <c r="I362" s="8"/>
      <c r="J362" s="8"/>
      <c r="Z362" s="6"/>
    </row>
    <row r="363" spans="2:26" ht="12.75" x14ac:dyDescent="0.2">
      <c r="B363" s="6"/>
      <c r="C363" s="6"/>
      <c r="D363" s="6"/>
      <c r="E363" s="9"/>
      <c r="F363" s="9"/>
      <c r="G363" s="11"/>
      <c r="H363" s="5"/>
      <c r="I363" s="8"/>
      <c r="J363" s="8"/>
      <c r="Z363" s="6"/>
    </row>
    <row r="364" spans="2:26" ht="12.75" x14ac:dyDescent="0.2">
      <c r="B364" s="6"/>
      <c r="C364" s="6"/>
      <c r="D364" s="6"/>
      <c r="E364" s="9"/>
      <c r="F364" s="9"/>
      <c r="G364" s="11"/>
      <c r="H364" s="5"/>
      <c r="I364" s="8"/>
      <c r="J364" s="8"/>
      <c r="Z364" s="6"/>
    </row>
    <row r="365" spans="2:26" ht="12.75" x14ac:dyDescent="0.2">
      <c r="B365" s="6"/>
      <c r="C365" s="6"/>
      <c r="D365" s="6"/>
      <c r="E365" s="9"/>
      <c r="F365" s="9"/>
      <c r="G365" s="11"/>
      <c r="H365" s="5"/>
      <c r="I365" s="8"/>
      <c r="J365" s="8"/>
      <c r="Z365" s="6"/>
    </row>
    <row r="366" spans="2:26" ht="12.75" x14ac:dyDescent="0.2">
      <c r="B366" s="6"/>
      <c r="C366" s="6"/>
      <c r="D366" s="6"/>
      <c r="E366" s="9"/>
      <c r="F366" s="9"/>
      <c r="G366" s="11"/>
      <c r="H366" s="5"/>
      <c r="I366" s="8"/>
      <c r="J366" s="8"/>
      <c r="Z366" s="6"/>
    </row>
    <row r="367" spans="2:26" ht="12.75" x14ac:dyDescent="0.2">
      <c r="B367" s="6"/>
      <c r="C367" s="6"/>
      <c r="D367" s="6"/>
      <c r="E367" s="9"/>
      <c r="F367" s="9"/>
      <c r="G367" s="11"/>
      <c r="H367" s="5"/>
      <c r="I367" s="8"/>
      <c r="J367" s="8"/>
      <c r="Z367" s="6"/>
    </row>
    <row r="368" spans="2:26" ht="12.75" x14ac:dyDescent="0.2">
      <c r="B368" s="6"/>
      <c r="C368" s="6"/>
      <c r="D368" s="6"/>
      <c r="E368" s="9"/>
      <c r="F368" s="9"/>
      <c r="G368" s="11"/>
      <c r="H368" s="5"/>
      <c r="I368" s="8"/>
      <c r="J368" s="8"/>
      <c r="Z368" s="6"/>
    </row>
    <row r="369" spans="2:26" ht="12.75" x14ac:dyDescent="0.2">
      <c r="B369" s="6"/>
      <c r="C369" s="6"/>
      <c r="D369" s="6"/>
      <c r="E369" s="9"/>
      <c r="F369" s="9"/>
      <c r="G369" s="11"/>
      <c r="H369" s="5"/>
      <c r="I369" s="8"/>
      <c r="J369" s="8"/>
      <c r="Z369" s="6"/>
    </row>
    <row r="370" spans="2:26" ht="12.75" x14ac:dyDescent="0.2">
      <c r="B370" s="6"/>
      <c r="C370" s="6"/>
      <c r="D370" s="6"/>
      <c r="E370" s="9"/>
      <c r="F370" s="9"/>
      <c r="G370" s="11"/>
      <c r="H370" s="5"/>
      <c r="I370" s="8"/>
      <c r="J370" s="8"/>
      <c r="Z370" s="6"/>
    </row>
    <row r="371" spans="2:26" ht="12.75" x14ac:dyDescent="0.2">
      <c r="B371" s="6"/>
      <c r="C371" s="6"/>
      <c r="D371" s="6"/>
      <c r="E371" s="9"/>
      <c r="F371" s="9"/>
      <c r="G371" s="11"/>
      <c r="H371" s="5"/>
      <c r="I371" s="8"/>
      <c r="J371" s="8"/>
      <c r="Z371" s="6"/>
    </row>
    <row r="372" spans="2:26" ht="12.75" x14ac:dyDescent="0.2">
      <c r="B372" s="6"/>
      <c r="C372" s="6"/>
      <c r="D372" s="6"/>
      <c r="E372" s="9"/>
      <c r="F372" s="9"/>
      <c r="G372" s="11"/>
      <c r="H372" s="5"/>
      <c r="I372" s="8"/>
      <c r="J372" s="8"/>
      <c r="Z372" s="6"/>
    </row>
    <row r="373" spans="2:26" ht="12.75" x14ac:dyDescent="0.2">
      <c r="B373" s="6"/>
      <c r="C373" s="6"/>
      <c r="D373" s="6"/>
      <c r="E373" s="9"/>
      <c r="F373" s="9"/>
      <c r="G373" s="11"/>
      <c r="H373" s="5"/>
      <c r="I373" s="8"/>
      <c r="J373" s="8"/>
      <c r="Z373" s="6"/>
    </row>
    <row r="374" spans="2:26" ht="12.75" x14ac:dyDescent="0.2">
      <c r="B374" s="6"/>
      <c r="C374" s="6"/>
      <c r="D374" s="6"/>
      <c r="E374" s="9"/>
      <c r="F374" s="9"/>
      <c r="G374" s="11"/>
      <c r="H374" s="5"/>
      <c r="I374" s="8"/>
      <c r="J374" s="8"/>
      <c r="Z374" s="6"/>
    </row>
    <row r="375" spans="2:26" ht="12.75" x14ac:dyDescent="0.2">
      <c r="B375" s="6"/>
      <c r="C375" s="6"/>
      <c r="D375" s="6"/>
      <c r="E375" s="9"/>
      <c r="F375" s="9"/>
      <c r="G375" s="11"/>
      <c r="H375" s="5"/>
      <c r="I375" s="8"/>
      <c r="J375" s="8"/>
      <c r="Z375" s="6"/>
    </row>
    <row r="376" spans="2:26" ht="12.75" x14ac:dyDescent="0.2">
      <c r="B376" s="6"/>
      <c r="C376" s="6"/>
      <c r="D376" s="6"/>
      <c r="E376" s="9"/>
      <c r="F376" s="9"/>
      <c r="G376" s="11"/>
      <c r="H376" s="5"/>
      <c r="I376" s="8"/>
      <c r="J376" s="8"/>
      <c r="Z376" s="6"/>
    </row>
    <row r="377" spans="2:26" ht="12.75" x14ac:dyDescent="0.2">
      <c r="B377" s="6"/>
      <c r="C377" s="6"/>
      <c r="D377" s="6"/>
      <c r="E377" s="9"/>
      <c r="F377" s="9"/>
      <c r="G377" s="11"/>
      <c r="H377" s="5"/>
      <c r="I377" s="8"/>
      <c r="J377" s="8"/>
      <c r="Z377" s="6"/>
    </row>
    <row r="378" spans="2:26" ht="12.75" x14ac:dyDescent="0.2">
      <c r="B378" s="6"/>
      <c r="C378" s="6"/>
      <c r="D378" s="6"/>
      <c r="E378" s="9"/>
      <c r="F378" s="9"/>
      <c r="G378" s="11"/>
      <c r="H378" s="5"/>
      <c r="I378" s="8"/>
      <c r="J378" s="8"/>
      <c r="Z378" s="6"/>
    </row>
    <row r="379" spans="2:26" ht="12.75" x14ac:dyDescent="0.2">
      <c r="B379" s="6"/>
      <c r="C379" s="6"/>
      <c r="D379" s="6"/>
      <c r="E379" s="9"/>
      <c r="F379" s="9"/>
      <c r="G379" s="11"/>
      <c r="H379" s="5"/>
      <c r="I379" s="8"/>
      <c r="J379" s="8"/>
      <c r="Z379" s="6"/>
    </row>
    <row r="380" spans="2:26" ht="12.75" x14ac:dyDescent="0.2">
      <c r="B380" s="6"/>
      <c r="C380" s="6"/>
      <c r="D380" s="6"/>
      <c r="E380" s="9"/>
      <c r="F380" s="9"/>
      <c r="G380" s="11"/>
      <c r="H380" s="5"/>
      <c r="I380" s="8"/>
      <c r="J380" s="8"/>
      <c r="Z380" s="6"/>
    </row>
    <row r="381" spans="2:26" ht="12.75" x14ac:dyDescent="0.2">
      <c r="B381" s="6"/>
      <c r="C381" s="6"/>
      <c r="D381" s="6"/>
      <c r="E381" s="9"/>
      <c r="F381" s="9"/>
      <c r="G381" s="11"/>
      <c r="H381" s="5"/>
      <c r="I381" s="8"/>
      <c r="J381" s="8"/>
      <c r="Z381" s="6"/>
    </row>
    <row r="382" spans="2:26" ht="12.75" x14ac:dyDescent="0.2">
      <c r="B382" s="6"/>
      <c r="C382" s="6"/>
      <c r="D382" s="6"/>
      <c r="E382" s="9"/>
      <c r="F382" s="9"/>
      <c r="G382" s="11"/>
      <c r="H382" s="5"/>
      <c r="I382" s="8"/>
      <c r="J382" s="8"/>
      <c r="Z382" s="6"/>
    </row>
    <row r="383" spans="2:26" ht="12.75" x14ac:dyDescent="0.2">
      <c r="B383" s="6"/>
      <c r="C383" s="6"/>
      <c r="D383" s="6"/>
      <c r="E383" s="9"/>
      <c r="F383" s="9"/>
      <c r="G383" s="11"/>
      <c r="H383" s="5"/>
      <c r="I383" s="8"/>
      <c r="J383" s="8"/>
      <c r="Z383" s="6"/>
    </row>
    <row r="384" spans="2:26" ht="12.75" x14ac:dyDescent="0.2">
      <c r="B384" s="6"/>
      <c r="C384" s="6"/>
      <c r="D384" s="6"/>
      <c r="E384" s="9"/>
      <c r="F384" s="9"/>
      <c r="G384" s="11"/>
      <c r="H384" s="5"/>
      <c r="I384" s="8"/>
      <c r="J384" s="8"/>
      <c r="Z384" s="6"/>
    </row>
    <row r="385" spans="2:26" ht="12.75" x14ac:dyDescent="0.2">
      <c r="B385" s="6"/>
      <c r="C385" s="6"/>
      <c r="D385" s="6"/>
      <c r="E385" s="9"/>
      <c r="F385" s="9"/>
      <c r="G385" s="11"/>
      <c r="H385" s="5"/>
      <c r="I385" s="8"/>
      <c r="J385" s="8"/>
      <c r="Z385" s="6"/>
    </row>
    <row r="386" spans="2:26" ht="12.75" x14ac:dyDescent="0.2">
      <c r="B386" s="6"/>
      <c r="C386" s="6"/>
      <c r="D386" s="6"/>
      <c r="E386" s="9"/>
      <c r="F386" s="9"/>
      <c r="G386" s="11"/>
      <c r="H386" s="5"/>
      <c r="I386" s="8"/>
      <c r="J386" s="8"/>
      <c r="Z386" s="6"/>
    </row>
    <row r="387" spans="2:26" ht="12.75" x14ac:dyDescent="0.2">
      <c r="B387" s="6"/>
      <c r="C387" s="6"/>
      <c r="D387" s="6"/>
      <c r="E387" s="9"/>
      <c r="F387" s="9"/>
      <c r="G387" s="11"/>
      <c r="H387" s="5"/>
      <c r="I387" s="8"/>
      <c r="J387" s="8"/>
      <c r="Z387" s="6"/>
    </row>
    <row r="388" spans="2:26" ht="12.75" x14ac:dyDescent="0.2">
      <c r="B388" s="6"/>
      <c r="C388" s="6"/>
      <c r="D388" s="6"/>
      <c r="E388" s="9"/>
      <c r="F388" s="9"/>
      <c r="G388" s="11"/>
      <c r="H388" s="5"/>
      <c r="I388" s="8"/>
      <c r="J388" s="8"/>
      <c r="Z388" s="6"/>
    </row>
    <row r="389" spans="2:26" ht="12.75" x14ac:dyDescent="0.2">
      <c r="B389" s="6"/>
      <c r="C389" s="6"/>
      <c r="D389" s="6"/>
      <c r="E389" s="9"/>
      <c r="F389" s="9"/>
      <c r="G389" s="11"/>
      <c r="H389" s="5"/>
      <c r="I389" s="8"/>
      <c r="J389" s="8"/>
      <c r="Z389" s="6"/>
    </row>
    <row r="390" spans="2:26" ht="12.75" x14ac:dyDescent="0.2">
      <c r="B390" s="6"/>
      <c r="C390" s="6"/>
      <c r="D390" s="6"/>
      <c r="E390" s="9"/>
      <c r="F390" s="9"/>
      <c r="G390" s="11"/>
      <c r="H390" s="5"/>
      <c r="I390" s="8"/>
      <c r="J390" s="8"/>
      <c r="Z390" s="6"/>
    </row>
    <row r="391" spans="2:26" ht="12.75" x14ac:dyDescent="0.2">
      <c r="B391" s="6"/>
      <c r="C391" s="6"/>
      <c r="D391" s="6"/>
      <c r="E391" s="9"/>
      <c r="F391" s="9"/>
      <c r="G391" s="11"/>
      <c r="H391" s="5"/>
      <c r="I391" s="8"/>
      <c r="J391" s="8"/>
      <c r="Z391" s="6"/>
    </row>
    <row r="392" spans="2:26" ht="12.75" x14ac:dyDescent="0.2">
      <c r="B392" s="6"/>
      <c r="C392" s="6"/>
      <c r="D392" s="6"/>
      <c r="E392" s="9"/>
      <c r="F392" s="9"/>
      <c r="G392" s="11"/>
      <c r="H392" s="5"/>
      <c r="I392" s="8"/>
      <c r="J392" s="8"/>
      <c r="Z392" s="6"/>
    </row>
    <row r="393" spans="2:26" ht="12.75" x14ac:dyDescent="0.2">
      <c r="B393" s="6"/>
      <c r="C393" s="6"/>
      <c r="D393" s="6"/>
      <c r="E393" s="9"/>
      <c r="F393" s="9"/>
      <c r="G393" s="11"/>
      <c r="H393" s="5"/>
      <c r="I393" s="8"/>
      <c r="J393" s="8"/>
      <c r="Z393" s="6"/>
    </row>
    <row r="394" spans="2:26" ht="12.75" x14ac:dyDescent="0.2">
      <c r="B394" s="6"/>
      <c r="C394" s="6"/>
      <c r="D394" s="6"/>
      <c r="E394" s="9"/>
      <c r="F394" s="9"/>
      <c r="G394" s="11"/>
      <c r="H394" s="5"/>
      <c r="I394" s="8"/>
      <c r="J394" s="8"/>
      <c r="Z394" s="6"/>
    </row>
    <row r="395" spans="2:26" ht="12.75" x14ac:dyDescent="0.2">
      <c r="B395" s="6"/>
      <c r="C395" s="6"/>
      <c r="D395" s="6"/>
      <c r="E395" s="9"/>
      <c r="F395" s="9"/>
      <c r="G395" s="11"/>
      <c r="H395" s="5"/>
      <c r="I395" s="8"/>
      <c r="J395" s="8"/>
      <c r="Z395" s="6"/>
    </row>
    <row r="396" spans="2:26" ht="12.75" x14ac:dyDescent="0.2">
      <c r="B396" s="6"/>
      <c r="C396" s="6"/>
      <c r="D396" s="6"/>
      <c r="E396" s="9"/>
      <c r="F396" s="9"/>
      <c r="G396" s="11"/>
      <c r="H396" s="5"/>
      <c r="I396" s="8"/>
      <c r="J396" s="8"/>
      <c r="Z396" s="6"/>
    </row>
    <row r="397" spans="2:26" ht="12.75" x14ac:dyDescent="0.2">
      <c r="B397" s="6"/>
      <c r="C397" s="6"/>
      <c r="D397" s="6"/>
      <c r="E397" s="9"/>
      <c r="F397" s="9"/>
      <c r="G397" s="11"/>
      <c r="H397" s="5"/>
      <c r="I397" s="8"/>
      <c r="J397" s="8"/>
      <c r="Z397" s="6"/>
    </row>
    <row r="398" spans="2:26" ht="12.75" x14ac:dyDescent="0.2">
      <c r="B398" s="6"/>
      <c r="C398" s="6"/>
      <c r="D398" s="6"/>
      <c r="E398" s="9"/>
      <c r="F398" s="9"/>
      <c r="G398" s="11"/>
      <c r="H398" s="5"/>
      <c r="I398" s="8"/>
      <c r="J398" s="8"/>
      <c r="Z398" s="6"/>
    </row>
    <row r="399" spans="2:26" ht="12.75" x14ac:dyDescent="0.2">
      <c r="B399" s="6"/>
      <c r="C399" s="6"/>
      <c r="D399" s="6"/>
      <c r="E399" s="9"/>
      <c r="F399" s="9"/>
      <c r="G399" s="11"/>
      <c r="H399" s="5"/>
      <c r="I399" s="8"/>
      <c r="J399" s="8"/>
      <c r="Z399" s="6"/>
    </row>
    <row r="400" spans="2:26" ht="12.75" x14ac:dyDescent="0.2">
      <c r="B400" s="6"/>
      <c r="C400" s="6"/>
      <c r="D400" s="6"/>
      <c r="E400" s="9"/>
      <c r="F400" s="9"/>
      <c r="G400" s="11"/>
      <c r="H400" s="5"/>
      <c r="I400" s="8"/>
      <c r="J400" s="8"/>
      <c r="Z400" s="6"/>
    </row>
    <row r="401" spans="2:26" ht="12.75" x14ac:dyDescent="0.2">
      <c r="B401" s="6"/>
      <c r="C401" s="6"/>
      <c r="D401" s="6"/>
      <c r="E401" s="9"/>
      <c r="F401" s="9"/>
      <c r="G401" s="11"/>
      <c r="H401" s="5"/>
      <c r="I401" s="8"/>
      <c r="J401" s="8"/>
      <c r="Z401" s="6"/>
    </row>
    <row r="402" spans="2:26" ht="12.75" x14ac:dyDescent="0.2">
      <c r="B402" s="6"/>
      <c r="C402" s="6"/>
      <c r="D402" s="6"/>
      <c r="E402" s="9"/>
      <c r="F402" s="9"/>
      <c r="G402" s="11"/>
      <c r="H402" s="5"/>
      <c r="I402" s="8"/>
      <c r="J402" s="8"/>
      <c r="Z402" s="6"/>
    </row>
    <row r="403" spans="2:26" ht="12.75" x14ac:dyDescent="0.2">
      <c r="B403" s="6"/>
      <c r="C403" s="6"/>
      <c r="D403" s="6"/>
      <c r="E403" s="9"/>
      <c r="F403" s="9"/>
      <c r="G403" s="11"/>
      <c r="H403" s="5"/>
      <c r="I403" s="8"/>
      <c r="J403" s="8"/>
      <c r="Z403" s="6"/>
    </row>
    <row r="404" spans="2:26" ht="12.75" x14ac:dyDescent="0.2">
      <c r="B404" s="6"/>
      <c r="C404" s="6"/>
      <c r="D404" s="6"/>
      <c r="E404" s="9"/>
      <c r="F404" s="9"/>
      <c r="G404" s="11"/>
      <c r="H404" s="5"/>
      <c r="I404" s="8"/>
      <c r="J404" s="8"/>
      <c r="Z404" s="6"/>
    </row>
    <row r="405" spans="2:26" ht="12.75" x14ac:dyDescent="0.2">
      <c r="B405" s="6"/>
      <c r="C405" s="6"/>
      <c r="D405" s="6"/>
      <c r="E405" s="9"/>
      <c r="F405" s="9"/>
      <c r="G405" s="11"/>
      <c r="H405" s="5"/>
      <c r="I405" s="8"/>
      <c r="J405" s="8"/>
      <c r="Z405" s="6"/>
    </row>
    <row r="406" spans="2:26" ht="12.75" x14ac:dyDescent="0.2">
      <c r="B406" s="6"/>
      <c r="C406" s="6"/>
      <c r="D406" s="6"/>
      <c r="E406" s="9"/>
      <c r="F406" s="9"/>
      <c r="G406" s="11"/>
      <c r="H406" s="5"/>
      <c r="I406" s="8"/>
      <c r="J406" s="8"/>
      <c r="Z406" s="6"/>
    </row>
    <row r="407" spans="2:26" ht="12.75" x14ac:dyDescent="0.2">
      <c r="B407" s="6"/>
      <c r="C407" s="6"/>
      <c r="D407" s="6"/>
      <c r="E407" s="9"/>
      <c r="F407" s="9"/>
      <c r="G407" s="11"/>
      <c r="H407" s="5"/>
      <c r="I407" s="8"/>
      <c r="J407" s="8"/>
      <c r="Z407" s="6"/>
    </row>
    <row r="408" spans="2:26" ht="12.75" x14ac:dyDescent="0.2">
      <c r="B408" s="6"/>
      <c r="C408" s="6"/>
      <c r="D408" s="6"/>
      <c r="E408" s="9"/>
      <c r="F408" s="9"/>
      <c r="G408" s="11"/>
      <c r="H408" s="5"/>
      <c r="I408" s="8"/>
      <c r="J408" s="8"/>
      <c r="Z408" s="6"/>
    </row>
    <row r="409" spans="2:26" ht="12.75" x14ac:dyDescent="0.2">
      <c r="B409" s="6"/>
      <c r="C409" s="6"/>
      <c r="D409" s="6"/>
      <c r="E409" s="9"/>
      <c r="F409" s="9"/>
      <c r="G409" s="11"/>
      <c r="H409" s="5"/>
      <c r="I409" s="8"/>
      <c r="J409" s="8"/>
      <c r="Z409" s="6"/>
    </row>
    <row r="410" spans="2:26" ht="12.75" x14ac:dyDescent="0.2">
      <c r="B410" s="6"/>
      <c r="C410" s="6"/>
      <c r="D410" s="6"/>
      <c r="E410" s="9"/>
      <c r="F410" s="9"/>
      <c r="G410" s="11"/>
      <c r="H410" s="5"/>
      <c r="I410" s="8"/>
      <c r="J410" s="8"/>
      <c r="Z410" s="6"/>
    </row>
    <row r="411" spans="2:26" ht="12.75" x14ac:dyDescent="0.2">
      <c r="B411" s="6"/>
      <c r="C411" s="6"/>
      <c r="D411" s="6"/>
      <c r="E411" s="9"/>
      <c r="F411" s="9"/>
      <c r="G411" s="11"/>
      <c r="H411" s="5"/>
      <c r="I411" s="8"/>
      <c r="J411" s="8"/>
      <c r="Z411" s="6"/>
    </row>
    <row r="412" spans="2:26" ht="12.75" x14ac:dyDescent="0.2">
      <c r="B412" s="6"/>
      <c r="C412" s="6"/>
      <c r="D412" s="6"/>
      <c r="E412" s="9"/>
      <c r="F412" s="9"/>
      <c r="G412" s="11"/>
      <c r="H412" s="5"/>
      <c r="I412" s="8"/>
      <c r="J412" s="8"/>
      <c r="Z412" s="6"/>
    </row>
    <row r="413" spans="2:26" ht="12.75" x14ac:dyDescent="0.2">
      <c r="B413" s="6"/>
      <c r="C413" s="6"/>
      <c r="D413" s="6"/>
      <c r="E413" s="9"/>
      <c r="F413" s="9"/>
      <c r="G413" s="11"/>
      <c r="H413" s="5"/>
      <c r="I413" s="8"/>
      <c r="J413" s="8"/>
      <c r="Z413" s="6"/>
    </row>
    <row r="414" spans="2:26" ht="12.75" x14ac:dyDescent="0.2">
      <c r="B414" s="6"/>
      <c r="C414" s="6"/>
      <c r="D414" s="6"/>
      <c r="E414" s="9"/>
      <c r="F414" s="9"/>
      <c r="G414" s="11"/>
      <c r="H414" s="5"/>
      <c r="I414" s="8"/>
      <c r="J414" s="8"/>
      <c r="Z414" s="6"/>
    </row>
    <row r="415" spans="2:26" ht="12.75" x14ac:dyDescent="0.2">
      <c r="B415" s="6"/>
      <c r="C415" s="6"/>
      <c r="D415" s="6"/>
      <c r="E415" s="9"/>
      <c r="F415" s="9"/>
      <c r="G415" s="11"/>
      <c r="H415" s="5"/>
      <c r="I415" s="8"/>
      <c r="J415" s="8"/>
      <c r="Z415" s="6"/>
    </row>
    <row r="416" spans="2:26" ht="12.75" x14ac:dyDescent="0.2">
      <c r="B416" s="6"/>
      <c r="C416" s="6"/>
      <c r="D416" s="6"/>
      <c r="E416" s="9"/>
      <c r="F416" s="9"/>
      <c r="G416" s="11"/>
      <c r="H416" s="5"/>
      <c r="I416" s="8"/>
      <c r="J416" s="8"/>
      <c r="Z416" s="6"/>
    </row>
    <row r="417" spans="2:26" ht="12.75" x14ac:dyDescent="0.2">
      <c r="B417" s="6"/>
      <c r="C417" s="6"/>
      <c r="D417" s="6"/>
      <c r="E417" s="9"/>
      <c r="F417" s="9"/>
      <c r="G417" s="11"/>
      <c r="H417" s="5"/>
      <c r="I417" s="8"/>
      <c r="J417" s="8"/>
      <c r="Z417" s="6"/>
    </row>
    <row r="418" spans="2:26" ht="12.75" x14ac:dyDescent="0.2">
      <c r="B418" s="6"/>
      <c r="C418" s="6"/>
      <c r="D418" s="6"/>
      <c r="E418" s="9"/>
      <c r="F418" s="9"/>
      <c r="G418" s="11"/>
      <c r="H418" s="5"/>
      <c r="I418" s="8"/>
      <c r="J418" s="8"/>
      <c r="Z418" s="6"/>
    </row>
    <row r="419" spans="2:26" ht="12.75" x14ac:dyDescent="0.2">
      <c r="B419" s="6"/>
      <c r="C419" s="6"/>
      <c r="D419" s="6"/>
      <c r="E419" s="9"/>
      <c r="F419" s="9"/>
      <c r="G419" s="11"/>
      <c r="H419" s="5"/>
      <c r="I419" s="8"/>
      <c r="J419" s="8"/>
      <c r="Z419" s="6"/>
    </row>
    <row r="420" spans="2:26" ht="12.75" x14ac:dyDescent="0.2">
      <c r="B420" s="6"/>
      <c r="C420" s="6"/>
      <c r="D420" s="6"/>
      <c r="E420" s="9"/>
      <c r="F420" s="9"/>
      <c r="G420" s="11"/>
      <c r="H420" s="5"/>
      <c r="I420" s="8"/>
      <c r="J420" s="8"/>
      <c r="Z420" s="6"/>
    </row>
    <row r="421" spans="2:26" ht="12.75" x14ac:dyDescent="0.2">
      <c r="B421" s="6"/>
      <c r="C421" s="6"/>
      <c r="D421" s="6"/>
      <c r="E421" s="9"/>
      <c r="F421" s="9"/>
      <c r="G421" s="11"/>
      <c r="H421" s="5"/>
      <c r="I421" s="8"/>
      <c r="J421" s="8"/>
      <c r="Z421" s="6"/>
    </row>
    <row r="422" spans="2:26" ht="12.75" x14ac:dyDescent="0.2">
      <c r="B422" s="6"/>
      <c r="C422" s="6"/>
      <c r="D422" s="6"/>
      <c r="E422" s="9"/>
      <c r="F422" s="9"/>
      <c r="G422" s="11"/>
      <c r="H422" s="5"/>
      <c r="I422" s="8"/>
      <c r="J422" s="8"/>
      <c r="Z422" s="6"/>
    </row>
    <row r="423" spans="2:26" ht="12.75" x14ac:dyDescent="0.2">
      <c r="B423" s="6"/>
      <c r="C423" s="6"/>
      <c r="D423" s="6"/>
      <c r="E423" s="9"/>
      <c r="F423" s="9"/>
      <c r="G423" s="11"/>
      <c r="H423" s="5"/>
      <c r="I423" s="8"/>
      <c r="J423" s="8"/>
      <c r="Z423" s="6"/>
    </row>
    <row r="424" spans="2:26" ht="12.75" x14ac:dyDescent="0.2">
      <c r="B424" s="6"/>
      <c r="C424" s="6"/>
      <c r="D424" s="6"/>
      <c r="E424" s="9"/>
      <c r="F424" s="9"/>
      <c r="G424" s="11"/>
      <c r="H424" s="5"/>
      <c r="I424" s="8"/>
      <c r="J424" s="8"/>
      <c r="Z424" s="6"/>
    </row>
    <row r="425" spans="2:26" ht="12.75" x14ac:dyDescent="0.2">
      <c r="B425" s="6"/>
      <c r="C425" s="6"/>
      <c r="D425" s="6"/>
      <c r="E425" s="9"/>
      <c r="F425" s="9"/>
      <c r="G425" s="11"/>
      <c r="H425" s="5"/>
      <c r="I425" s="8"/>
      <c r="J425" s="8"/>
      <c r="Z425" s="6"/>
    </row>
    <row r="426" spans="2:26" ht="12.75" x14ac:dyDescent="0.2">
      <c r="B426" s="6"/>
      <c r="C426" s="6"/>
      <c r="D426" s="6"/>
      <c r="E426" s="9"/>
      <c r="F426" s="9"/>
      <c r="G426" s="11"/>
      <c r="H426" s="5"/>
      <c r="I426" s="8"/>
      <c r="J426" s="8"/>
      <c r="Z426" s="6"/>
    </row>
    <row r="427" spans="2:26" ht="12.75" x14ac:dyDescent="0.2">
      <c r="B427" s="6"/>
      <c r="C427" s="6"/>
      <c r="D427" s="6"/>
      <c r="E427" s="9"/>
      <c r="F427" s="9"/>
      <c r="G427" s="11"/>
      <c r="H427" s="5"/>
      <c r="I427" s="8"/>
      <c r="J427" s="8"/>
      <c r="Z427" s="6"/>
    </row>
    <row r="428" spans="2:26" ht="12.75" x14ac:dyDescent="0.2">
      <c r="B428" s="6"/>
      <c r="C428" s="6"/>
      <c r="D428" s="6"/>
      <c r="E428" s="9"/>
      <c r="F428" s="9"/>
      <c r="G428" s="11"/>
      <c r="H428" s="5"/>
      <c r="I428" s="8"/>
      <c r="J428" s="8"/>
      <c r="Z428" s="6"/>
    </row>
    <row r="429" spans="2:26" ht="12.75" x14ac:dyDescent="0.2">
      <c r="B429" s="6"/>
      <c r="C429" s="6"/>
      <c r="D429" s="6"/>
      <c r="E429" s="9"/>
      <c r="F429" s="9"/>
      <c r="G429" s="11"/>
      <c r="H429" s="5"/>
      <c r="I429" s="8"/>
      <c r="J429" s="8"/>
      <c r="Z429" s="6"/>
    </row>
    <row r="430" spans="2:26" ht="12.75" x14ac:dyDescent="0.2">
      <c r="B430" s="6"/>
      <c r="C430" s="6"/>
      <c r="D430" s="6"/>
      <c r="E430" s="9"/>
      <c r="F430" s="9"/>
      <c r="G430" s="11"/>
      <c r="H430" s="5"/>
      <c r="I430" s="8"/>
      <c r="J430" s="8"/>
      <c r="Z430" s="6"/>
    </row>
    <row r="431" spans="2:26" ht="12.75" x14ac:dyDescent="0.2">
      <c r="B431" s="6"/>
      <c r="C431" s="6"/>
      <c r="D431" s="6"/>
      <c r="E431" s="9"/>
      <c r="F431" s="9"/>
      <c r="G431" s="11"/>
      <c r="H431" s="5"/>
      <c r="I431" s="8"/>
      <c r="J431" s="8"/>
      <c r="Z431" s="6"/>
    </row>
    <row r="432" spans="2:26" ht="12.75" x14ac:dyDescent="0.2">
      <c r="B432" s="6"/>
      <c r="C432" s="6"/>
      <c r="D432" s="6"/>
      <c r="E432" s="9"/>
      <c r="F432" s="9"/>
      <c r="G432" s="11"/>
      <c r="H432" s="5"/>
      <c r="I432" s="8"/>
      <c r="J432" s="8"/>
      <c r="Z432" s="6"/>
    </row>
    <row r="433" spans="2:26" ht="12.75" x14ac:dyDescent="0.2">
      <c r="B433" s="6"/>
      <c r="C433" s="6"/>
      <c r="D433" s="6"/>
      <c r="E433" s="9"/>
      <c r="F433" s="9"/>
      <c r="G433" s="11"/>
      <c r="H433" s="5"/>
      <c r="I433" s="8"/>
      <c r="J433" s="8"/>
      <c r="Z433" s="6"/>
    </row>
    <row r="434" spans="2:26" ht="12.75" x14ac:dyDescent="0.2">
      <c r="B434" s="6"/>
      <c r="C434" s="6"/>
      <c r="D434" s="6"/>
      <c r="E434" s="9"/>
      <c r="F434" s="9"/>
      <c r="G434" s="11"/>
      <c r="H434" s="5"/>
      <c r="I434" s="8"/>
      <c r="J434" s="8"/>
      <c r="Z434" s="6"/>
    </row>
    <row r="435" spans="2:26" ht="12.75" x14ac:dyDescent="0.2">
      <c r="B435" s="6"/>
      <c r="C435" s="6"/>
      <c r="D435" s="6"/>
      <c r="E435" s="9"/>
      <c r="F435" s="9"/>
      <c r="G435" s="11"/>
      <c r="H435" s="5"/>
      <c r="I435" s="8"/>
      <c r="J435" s="8"/>
      <c r="Z435" s="6"/>
    </row>
    <row r="436" spans="2:26" ht="12.75" x14ac:dyDescent="0.2">
      <c r="B436" s="6"/>
      <c r="C436" s="6"/>
      <c r="D436" s="6"/>
      <c r="E436" s="9"/>
      <c r="F436" s="9"/>
      <c r="G436" s="11"/>
      <c r="H436" s="5"/>
      <c r="I436" s="8"/>
      <c r="J436" s="8"/>
      <c r="Z436" s="6"/>
    </row>
    <row r="437" spans="2:26" ht="12.75" x14ac:dyDescent="0.2">
      <c r="B437" s="6"/>
      <c r="C437" s="6"/>
      <c r="D437" s="6"/>
      <c r="E437" s="9"/>
      <c r="F437" s="9"/>
      <c r="G437" s="11"/>
      <c r="H437" s="5"/>
      <c r="I437" s="8"/>
      <c r="J437" s="8"/>
      <c r="Z437" s="6"/>
    </row>
    <row r="438" spans="2:26" ht="12.75" x14ac:dyDescent="0.2">
      <c r="B438" s="6"/>
      <c r="C438" s="6"/>
      <c r="D438" s="6"/>
      <c r="E438" s="9"/>
      <c r="F438" s="9"/>
      <c r="G438" s="11"/>
      <c r="H438" s="5"/>
      <c r="I438" s="8"/>
      <c r="J438" s="8"/>
      <c r="Z438" s="6"/>
    </row>
    <row r="439" spans="2:26" ht="12.75" x14ac:dyDescent="0.2">
      <c r="B439" s="6"/>
      <c r="C439" s="6"/>
      <c r="D439" s="6"/>
      <c r="E439" s="9"/>
      <c r="F439" s="9"/>
      <c r="G439" s="11"/>
      <c r="H439" s="5"/>
      <c r="I439" s="8"/>
      <c r="J439" s="8"/>
      <c r="Z439" s="6"/>
    </row>
    <row r="440" spans="2:26" ht="12.75" x14ac:dyDescent="0.2">
      <c r="B440" s="6"/>
      <c r="C440" s="6"/>
      <c r="D440" s="6"/>
      <c r="E440" s="9"/>
      <c r="F440" s="9"/>
      <c r="G440" s="11"/>
      <c r="H440" s="5"/>
      <c r="I440" s="8"/>
      <c r="J440" s="8"/>
      <c r="Z440" s="6"/>
    </row>
    <row r="441" spans="2:26" ht="12.75" x14ac:dyDescent="0.2">
      <c r="B441" s="6"/>
      <c r="C441" s="6"/>
      <c r="D441" s="6"/>
      <c r="E441" s="9"/>
      <c r="F441" s="9"/>
      <c r="G441" s="11"/>
      <c r="H441" s="5"/>
      <c r="I441" s="8"/>
      <c r="J441" s="8"/>
      <c r="Z441" s="6"/>
    </row>
    <row r="442" spans="2:26" ht="12.75" x14ac:dyDescent="0.2">
      <c r="B442" s="6"/>
      <c r="C442" s="6"/>
      <c r="D442" s="6"/>
      <c r="E442" s="9"/>
      <c r="F442" s="9"/>
      <c r="G442" s="11"/>
      <c r="H442" s="5"/>
      <c r="I442" s="8"/>
      <c r="J442" s="8"/>
      <c r="Z442" s="6"/>
    </row>
    <row r="443" spans="2:26" ht="12.75" x14ac:dyDescent="0.2">
      <c r="B443" s="6"/>
      <c r="C443" s="6"/>
      <c r="D443" s="6"/>
      <c r="E443" s="9"/>
      <c r="F443" s="9"/>
      <c r="G443" s="11"/>
      <c r="H443" s="5"/>
      <c r="I443" s="8"/>
      <c r="J443" s="8"/>
      <c r="Z443" s="6"/>
    </row>
    <row r="444" spans="2:26" ht="12.75" x14ac:dyDescent="0.2">
      <c r="B444" s="6"/>
      <c r="C444" s="6"/>
      <c r="D444" s="6"/>
      <c r="E444" s="9"/>
      <c r="F444" s="9"/>
      <c r="G444" s="11"/>
      <c r="H444" s="5"/>
      <c r="I444" s="8"/>
      <c r="J444" s="8"/>
      <c r="Z444" s="6"/>
    </row>
    <row r="445" spans="2:26" ht="12.75" x14ac:dyDescent="0.2">
      <c r="B445" s="6"/>
      <c r="C445" s="6"/>
      <c r="D445" s="6"/>
      <c r="E445" s="9"/>
      <c r="F445" s="9"/>
      <c r="G445" s="11"/>
      <c r="H445" s="5"/>
      <c r="I445" s="8"/>
      <c r="J445" s="8"/>
      <c r="Z445" s="6"/>
    </row>
    <row r="446" spans="2:26" ht="12.75" x14ac:dyDescent="0.2">
      <c r="B446" s="6"/>
      <c r="C446" s="6"/>
      <c r="D446" s="6"/>
      <c r="E446" s="9"/>
      <c r="F446" s="9"/>
      <c r="G446" s="11"/>
      <c r="H446" s="5"/>
      <c r="I446" s="8"/>
      <c r="J446" s="8"/>
      <c r="Z446" s="6"/>
    </row>
    <row r="447" spans="2:26" ht="12.75" x14ac:dyDescent="0.2">
      <c r="B447" s="6"/>
      <c r="C447" s="6"/>
      <c r="D447" s="6"/>
      <c r="E447" s="9"/>
      <c r="F447" s="9"/>
      <c r="G447" s="11"/>
      <c r="H447" s="5"/>
      <c r="I447" s="8"/>
      <c r="J447" s="8"/>
      <c r="Z447" s="6"/>
    </row>
    <row r="448" spans="2:26" ht="12.75" x14ac:dyDescent="0.2">
      <c r="B448" s="6"/>
      <c r="C448" s="6"/>
      <c r="D448" s="6"/>
      <c r="E448" s="9"/>
      <c r="F448" s="9"/>
      <c r="G448" s="11"/>
      <c r="H448" s="5"/>
      <c r="I448" s="8"/>
      <c r="J448" s="8"/>
      <c r="Z448" s="6"/>
    </row>
    <row r="449" spans="2:26" ht="12.75" x14ac:dyDescent="0.2">
      <c r="B449" s="6"/>
      <c r="C449" s="6"/>
      <c r="D449" s="6"/>
      <c r="E449" s="9"/>
      <c r="F449" s="9"/>
      <c r="G449" s="11"/>
      <c r="H449" s="5"/>
      <c r="I449" s="8"/>
      <c r="J449" s="8"/>
      <c r="Z449" s="6"/>
    </row>
    <row r="450" spans="2:26" ht="12.75" x14ac:dyDescent="0.2">
      <c r="B450" s="6"/>
      <c r="C450" s="6"/>
      <c r="D450" s="6"/>
      <c r="E450" s="9"/>
      <c r="F450" s="9"/>
      <c r="G450" s="11"/>
      <c r="H450" s="5"/>
      <c r="I450" s="8"/>
      <c r="J450" s="8"/>
      <c r="Z450" s="6"/>
    </row>
    <row r="451" spans="2:26" ht="12.75" x14ac:dyDescent="0.2">
      <c r="B451" s="6"/>
      <c r="C451" s="6"/>
      <c r="D451" s="6"/>
      <c r="E451" s="9"/>
      <c r="F451" s="9"/>
      <c r="G451" s="11"/>
      <c r="H451" s="5"/>
      <c r="I451" s="8"/>
      <c r="J451" s="8"/>
      <c r="Z451" s="6"/>
    </row>
    <row r="452" spans="2:26" ht="12.75" x14ac:dyDescent="0.2">
      <c r="B452" s="6"/>
      <c r="C452" s="6"/>
      <c r="D452" s="6"/>
      <c r="E452" s="9"/>
      <c r="F452" s="9"/>
      <c r="G452" s="11"/>
      <c r="H452" s="5"/>
      <c r="I452" s="8"/>
      <c r="J452" s="8"/>
      <c r="Z452" s="6"/>
    </row>
    <row r="453" spans="2:26" ht="12.75" x14ac:dyDescent="0.2">
      <c r="B453" s="6"/>
      <c r="C453" s="6"/>
      <c r="D453" s="6"/>
      <c r="E453" s="9"/>
      <c r="F453" s="9"/>
      <c r="G453" s="11"/>
      <c r="H453" s="5"/>
      <c r="I453" s="8"/>
      <c r="J453" s="8"/>
      <c r="Z453" s="6"/>
    </row>
    <row r="454" spans="2:26" ht="12.75" x14ac:dyDescent="0.2">
      <c r="B454" s="6"/>
      <c r="C454" s="6"/>
      <c r="D454" s="6"/>
      <c r="E454" s="9"/>
      <c r="F454" s="9"/>
      <c r="G454" s="11"/>
      <c r="H454" s="5"/>
      <c r="I454" s="8"/>
      <c r="J454" s="8"/>
      <c r="Z454" s="6"/>
    </row>
    <row r="455" spans="2:26" ht="12.75" x14ac:dyDescent="0.2">
      <c r="B455" s="6"/>
      <c r="C455" s="6"/>
      <c r="D455" s="6"/>
      <c r="E455" s="9"/>
      <c r="F455" s="9"/>
      <c r="G455" s="11"/>
      <c r="H455" s="5"/>
      <c r="I455" s="8"/>
      <c r="J455" s="8"/>
      <c r="Z455" s="6"/>
    </row>
    <row r="456" spans="2:26" ht="12.75" x14ac:dyDescent="0.2">
      <c r="B456" s="6"/>
      <c r="C456" s="6"/>
      <c r="D456" s="6"/>
      <c r="E456" s="9"/>
      <c r="F456" s="9"/>
      <c r="G456" s="11"/>
      <c r="H456" s="5"/>
      <c r="I456" s="8"/>
      <c r="J456" s="8"/>
      <c r="Z456" s="6"/>
    </row>
    <row r="457" spans="2:26" ht="12.75" x14ac:dyDescent="0.2">
      <c r="B457" s="6"/>
      <c r="C457" s="6"/>
      <c r="D457" s="6"/>
      <c r="E457" s="9"/>
      <c r="F457" s="9"/>
      <c r="G457" s="11"/>
      <c r="H457" s="5"/>
      <c r="I457" s="8"/>
      <c r="J457" s="8"/>
      <c r="Z457" s="6"/>
    </row>
    <row r="458" spans="2:26" ht="12.75" x14ac:dyDescent="0.2">
      <c r="B458" s="6"/>
      <c r="C458" s="6"/>
      <c r="D458" s="6"/>
      <c r="E458" s="9"/>
      <c r="F458" s="9"/>
      <c r="G458" s="11"/>
      <c r="H458" s="5"/>
      <c r="I458" s="8"/>
      <c r="J458" s="8"/>
      <c r="Z458" s="6"/>
    </row>
    <row r="459" spans="2:26" ht="12.75" x14ac:dyDescent="0.2">
      <c r="B459" s="6"/>
      <c r="C459" s="6"/>
      <c r="D459" s="6"/>
      <c r="E459" s="9"/>
      <c r="F459" s="9"/>
      <c r="G459" s="11"/>
      <c r="H459" s="5"/>
      <c r="I459" s="8"/>
      <c r="J459" s="8"/>
      <c r="Z459" s="6"/>
    </row>
    <row r="460" spans="2:26" ht="12.75" x14ac:dyDescent="0.2">
      <c r="B460" s="6"/>
      <c r="C460" s="6"/>
      <c r="D460" s="6"/>
      <c r="E460" s="9"/>
      <c r="F460" s="9"/>
      <c r="G460" s="11"/>
      <c r="H460" s="5"/>
      <c r="I460" s="8"/>
      <c r="J460" s="8"/>
      <c r="Z460" s="6"/>
    </row>
    <row r="461" spans="2:26" ht="12.75" x14ac:dyDescent="0.2">
      <c r="B461" s="6"/>
      <c r="C461" s="6"/>
      <c r="D461" s="6"/>
      <c r="E461" s="9"/>
      <c r="F461" s="9"/>
      <c r="G461" s="11"/>
      <c r="H461" s="5"/>
      <c r="I461" s="8"/>
      <c r="J461" s="8"/>
      <c r="Z461" s="6"/>
    </row>
    <row r="462" spans="2:26" ht="12.75" x14ac:dyDescent="0.2">
      <c r="B462" s="6"/>
      <c r="C462" s="6"/>
      <c r="D462" s="6"/>
      <c r="E462" s="9"/>
      <c r="F462" s="9"/>
      <c r="G462" s="11"/>
      <c r="H462" s="5"/>
      <c r="I462" s="8"/>
      <c r="J462" s="8"/>
      <c r="Z462" s="6"/>
    </row>
    <row r="463" spans="2:26" ht="12.75" x14ac:dyDescent="0.2">
      <c r="B463" s="6"/>
      <c r="C463" s="6"/>
      <c r="D463" s="6"/>
      <c r="E463" s="9"/>
      <c r="F463" s="9"/>
      <c r="G463" s="11"/>
      <c r="H463" s="5"/>
      <c r="I463" s="8"/>
      <c r="J463" s="8"/>
      <c r="Z463" s="6"/>
    </row>
    <row r="464" spans="2:26" ht="12.75" x14ac:dyDescent="0.2">
      <c r="B464" s="6"/>
      <c r="C464" s="6"/>
      <c r="D464" s="6"/>
      <c r="E464" s="9"/>
      <c r="F464" s="9"/>
      <c r="G464" s="11"/>
      <c r="H464" s="5"/>
      <c r="I464" s="8"/>
      <c r="J464" s="8"/>
      <c r="Z464" s="6"/>
    </row>
    <row r="465" spans="2:26" ht="12.75" x14ac:dyDescent="0.2">
      <c r="B465" s="6"/>
      <c r="C465" s="6"/>
      <c r="D465" s="6"/>
      <c r="E465" s="9"/>
      <c r="F465" s="9"/>
      <c r="G465" s="11"/>
      <c r="H465" s="5"/>
      <c r="I465" s="8"/>
      <c r="J465" s="8"/>
      <c r="Z465" s="6"/>
    </row>
    <row r="466" spans="2:26" ht="12.75" x14ac:dyDescent="0.2">
      <c r="B466" s="6"/>
      <c r="C466" s="6"/>
      <c r="D466" s="6"/>
      <c r="E466" s="9"/>
      <c r="F466" s="9"/>
      <c r="G466" s="11"/>
      <c r="H466" s="5"/>
      <c r="I466" s="8"/>
      <c r="J466" s="8"/>
      <c r="Z466" s="6"/>
    </row>
    <row r="467" spans="2:26" ht="12.75" x14ac:dyDescent="0.2">
      <c r="B467" s="6"/>
      <c r="C467" s="6"/>
      <c r="D467" s="6"/>
      <c r="E467" s="9"/>
      <c r="F467" s="9"/>
      <c r="G467" s="11"/>
      <c r="H467" s="5"/>
      <c r="I467" s="8"/>
      <c r="J467" s="8"/>
      <c r="Z467" s="6"/>
    </row>
    <row r="468" spans="2:26" ht="12.75" x14ac:dyDescent="0.2">
      <c r="B468" s="6"/>
      <c r="C468" s="6"/>
      <c r="D468" s="6"/>
      <c r="E468" s="9"/>
      <c r="F468" s="9"/>
      <c r="G468" s="11"/>
      <c r="H468" s="5"/>
      <c r="I468" s="8"/>
      <c r="J468" s="8"/>
      <c r="Z468" s="6"/>
    </row>
    <row r="469" spans="2:26" ht="12.75" x14ac:dyDescent="0.2">
      <c r="B469" s="6"/>
      <c r="C469" s="6"/>
      <c r="D469" s="6"/>
      <c r="E469" s="9"/>
      <c r="F469" s="9"/>
      <c r="G469" s="11"/>
      <c r="H469" s="5"/>
      <c r="I469" s="8"/>
      <c r="J469" s="8"/>
      <c r="Z469" s="6"/>
    </row>
    <row r="470" spans="2:26" ht="12.75" x14ac:dyDescent="0.2">
      <c r="B470" s="6"/>
      <c r="C470" s="6"/>
      <c r="D470" s="6"/>
      <c r="E470" s="9"/>
      <c r="F470" s="9"/>
      <c r="G470" s="11"/>
      <c r="H470" s="5"/>
      <c r="I470" s="8"/>
      <c r="J470" s="8"/>
      <c r="Z470" s="6"/>
    </row>
    <row r="471" spans="2:26" ht="12.75" x14ac:dyDescent="0.2">
      <c r="B471" s="6"/>
      <c r="C471" s="6"/>
      <c r="D471" s="6"/>
      <c r="E471" s="9"/>
      <c r="F471" s="9"/>
      <c r="G471" s="11"/>
      <c r="H471" s="5"/>
      <c r="I471" s="8"/>
      <c r="J471" s="8"/>
      <c r="Z471" s="6"/>
    </row>
    <row r="472" spans="2:26" ht="12.75" x14ac:dyDescent="0.2">
      <c r="B472" s="6"/>
      <c r="C472" s="6"/>
      <c r="D472" s="6"/>
      <c r="E472" s="9"/>
      <c r="F472" s="9"/>
      <c r="G472" s="11"/>
      <c r="H472" s="5"/>
      <c r="I472" s="8"/>
      <c r="J472" s="8"/>
      <c r="Z472" s="6"/>
    </row>
    <row r="473" spans="2:26" ht="12.75" x14ac:dyDescent="0.2">
      <c r="B473" s="6"/>
      <c r="C473" s="6"/>
      <c r="D473" s="6"/>
      <c r="E473" s="9"/>
      <c r="F473" s="9"/>
      <c r="G473" s="11"/>
      <c r="H473" s="5"/>
      <c r="I473" s="8"/>
      <c r="J473" s="8"/>
      <c r="Z473" s="6"/>
    </row>
    <row r="474" spans="2:26" ht="12.75" x14ac:dyDescent="0.2">
      <c r="B474" s="6"/>
      <c r="C474" s="6"/>
      <c r="D474" s="6"/>
      <c r="E474" s="9"/>
      <c r="F474" s="9"/>
      <c r="G474" s="11"/>
      <c r="H474" s="5"/>
      <c r="I474" s="8"/>
      <c r="J474" s="8"/>
      <c r="Z474" s="6"/>
    </row>
    <row r="475" spans="2:26" ht="12.75" x14ac:dyDescent="0.2">
      <c r="B475" s="6"/>
      <c r="C475" s="6"/>
      <c r="D475" s="6"/>
      <c r="E475" s="9"/>
      <c r="F475" s="9"/>
      <c r="G475" s="11"/>
      <c r="H475" s="5"/>
      <c r="I475" s="8"/>
      <c r="J475" s="8"/>
      <c r="Z475" s="6"/>
    </row>
    <row r="476" spans="2:26" ht="12.75" x14ac:dyDescent="0.2">
      <c r="B476" s="6"/>
      <c r="C476" s="6"/>
      <c r="D476" s="6"/>
      <c r="E476" s="9"/>
      <c r="F476" s="9"/>
      <c r="G476" s="11"/>
      <c r="H476" s="5"/>
      <c r="I476" s="8"/>
      <c r="J476" s="8"/>
      <c r="Z476" s="6"/>
    </row>
    <row r="477" spans="2:26" ht="12.75" x14ac:dyDescent="0.2">
      <c r="B477" s="6"/>
      <c r="C477" s="6"/>
      <c r="D477" s="6"/>
      <c r="E477" s="9"/>
      <c r="F477" s="9"/>
      <c r="G477" s="11"/>
      <c r="H477" s="5"/>
      <c r="I477" s="8"/>
      <c r="J477" s="8"/>
      <c r="Z477" s="6"/>
    </row>
    <row r="478" spans="2:26" ht="12.75" x14ac:dyDescent="0.2">
      <c r="B478" s="6"/>
      <c r="C478" s="6"/>
      <c r="D478" s="6"/>
      <c r="E478" s="9"/>
      <c r="F478" s="9"/>
      <c r="G478" s="11"/>
      <c r="H478" s="5"/>
      <c r="I478" s="8"/>
      <c r="J478" s="8"/>
      <c r="Z478" s="6"/>
    </row>
    <row r="479" spans="2:26" ht="12.75" x14ac:dyDescent="0.2">
      <c r="B479" s="6"/>
      <c r="C479" s="6"/>
      <c r="D479" s="6"/>
      <c r="E479" s="9"/>
      <c r="F479" s="9"/>
      <c r="G479" s="11"/>
      <c r="H479" s="5"/>
      <c r="I479" s="8"/>
      <c r="J479" s="8"/>
      <c r="Z479" s="6"/>
    </row>
    <row r="480" spans="2:26" ht="12.75" x14ac:dyDescent="0.2">
      <c r="B480" s="6"/>
      <c r="C480" s="6"/>
      <c r="D480" s="6"/>
      <c r="E480" s="9"/>
      <c r="F480" s="9"/>
      <c r="G480" s="11"/>
      <c r="H480" s="5"/>
      <c r="I480" s="8"/>
      <c r="J480" s="8"/>
      <c r="Z480" s="6"/>
    </row>
    <row r="481" spans="2:26" ht="12.75" x14ac:dyDescent="0.2">
      <c r="B481" s="6"/>
      <c r="C481" s="6"/>
      <c r="D481" s="6"/>
      <c r="E481" s="9"/>
      <c r="F481" s="9"/>
      <c r="G481" s="11"/>
      <c r="H481" s="5"/>
      <c r="I481" s="8"/>
      <c r="J481" s="8"/>
      <c r="Z481" s="6"/>
    </row>
    <row r="482" spans="2:26" ht="12.75" x14ac:dyDescent="0.2">
      <c r="B482" s="6"/>
      <c r="C482" s="6"/>
      <c r="D482" s="6"/>
      <c r="E482" s="9"/>
      <c r="F482" s="9"/>
      <c r="G482" s="11"/>
      <c r="H482" s="5"/>
      <c r="I482" s="8"/>
      <c r="J482" s="8"/>
      <c r="Z482" s="6"/>
    </row>
    <row r="483" spans="2:26" ht="12.75" x14ac:dyDescent="0.2">
      <c r="B483" s="6"/>
      <c r="C483" s="6"/>
      <c r="D483" s="6"/>
      <c r="E483" s="9"/>
      <c r="F483" s="9"/>
      <c r="G483" s="11"/>
      <c r="H483" s="5"/>
      <c r="I483" s="8"/>
      <c r="J483" s="8"/>
      <c r="Z483" s="6"/>
    </row>
    <row r="484" spans="2:26" ht="12.75" x14ac:dyDescent="0.2">
      <c r="B484" s="6"/>
      <c r="C484" s="6"/>
      <c r="D484" s="6"/>
      <c r="E484" s="9"/>
      <c r="F484" s="9"/>
      <c r="G484" s="11"/>
      <c r="H484" s="5"/>
      <c r="I484" s="8"/>
      <c r="J484" s="8"/>
      <c r="Z484" s="6"/>
    </row>
    <row r="485" spans="2:26" ht="12.75" x14ac:dyDescent="0.2">
      <c r="B485" s="6"/>
      <c r="C485" s="6"/>
      <c r="D485" s="6"/>
      <c r="E485" s="9"/>
      <c r="F485" s="9"/>
      <c r="G485" s="11"/>
      <c r="H485" s="5"/>
      <c r="I485" s="8"/>
      <c r="J485" s="8"/>
      <c r="Z485" s="6"/>
    </row>
    <row r="486" spans="2:26" ht="12.75" x14ac:dyDescent="0.2">
      <c r="B486" s="6"/>
      <c r="C486" s="6"/>
      <c r="D486" s="6"/>
      <c r="E486" s="9"/>
      <c r="F486" s="9"/>
      <c r="G486" s="11"/>
      <c r="H486" s="5"/>
      <c r="I486" s="8"/>
      <c r="J486" s="8"/>
      <c r="Z486" s="6"/>
    </row>
    <row r="487" spans="2:26" ht="12.75" x14ac:dyDescent="0.2">
      <c r="B487" s="6"/>
      <c r="C487" s="6"/>
      <c r="D487" s="6"/>
      <c r="E487" s="9"/>
      <c r="F487" s="9"/>
      <c r="G487" s="11"/>
      <c r="H487" s="5"/>
      <c r="I487" s="8"/>
      <c r="J487" s="8"/>
      <c r="Z487" s="6"/>
    </row>
    <row r="488" spans="2:26" ht="12.75" x14ac:dyDescent="0.2">
      <c r="B488" s="6"/>
      <c r="C488" s="6"/>
      <c r="D488" s="6"/>
      <c r="E488" s="9"/>
      <c r="F488" s="9"/>
      <c r="G488" s="11"/>
      <c r="H488" s="5"/>
      <c r="I488" s="8"/>
      <c r="J488" s="8"/>
      <c r="Z488" s="6"/>
    </row>
    <row r="489" spans="2:26" ht="12.75" x14ac:dyDescent="0.2">
      <c r="B489" s="6"/>
      <c r="C489" s="6"/>
      <c r="D489" s="6"/>
      <c r="E489" s="9"/>
      <c r="F489" s="9"/>
      <c r="G489" s="11"/>
      <c r="H489" s="5"/>
      <c r="I489" s="8"/>
      <c r="J489" s="8"/>
      <c r="Z489" s="6"/>
    </row>
    <row r="490" spans="2:26" ht="12.75" x14ac:dyDescent="0.2">
      <c r="B490" s="6"/>
      <c r="C490" s="6"/>
      <c r="D490" s="6"/>
      <c r="E490" s="9"/>
      <c r="F490" s="9"/>
      <c r="G490" s="11"/>
      <c r="H490" s="5"/>
      <c r="I490" s="8"/>
      <c r="J490" s="8"/>
      <c r="Z490" s="6"/>
    </row>
    <row r="491" spans="2:26" ht="12.75" x14ac:dyDescent="0.2">
      <c r="B491" s="6"/>
      <c r="C491" s="6"/>
      <c r="D491" s="6"/>
      <c r="E491" s="9"/>
      <c r="F491" s="9"/>
      <c r="G491" s="11"/>
      <c r="H491" s="5"/>
      <c r="I491" s="8"/>
      <c r="J491" s="8"/>
      <c r="Z491" s="6"/>
    </row>
    <row r="492" spans="2:26" ht="12.75" x14ac:dyDescent="0.2">
      <c r="B492" s="6"/>
      <c r="C492" s="6"/>
      <c r="D492" s="6"/>
      <c r="E492" s="9"/>
      <c r="F492" s="9"/>
      <c r="G492" s="11"/>
      <c r="H492" s="5"/>
      <c r="I492" s="8"/>
      <c r="J492" s="8"/>
      <c r="Z492" s="6"/>
    </row>
    <row r="493" spans="2:26" ht="12.75" x14ac:dyDescent="0.2">
      <c r="B493" s="6"/>
      <c r="C493" s="6"/>
      <c r="D493" s="6"/>
      <c r="E493" s="9"/>
      <c r="F493" s="9"/>
      <c r="G493" s="11"/>
      <c r="H493" s="5"/>
      <c r="I493" s="8"/>
      <c r="J493" s="8"/>
      <c r="Z493" s="6"/>
    </row>
    <row r="494" spans="2:26" ht="12.75" x14ac:dyDescent="0.2">
      <c r="B494" s="6"/>
      <c r="C494" s="6"/>
      <c r="D494" s="6"/>
      <c r="E494" s="9"/>
      <c r="F494" s="9"/>
      <c r="G494" s="11"/>
      <c r="H494" s="5"/>
      <c r="I494" s="8"/>
      <c r="J494" s="8"/>
      <c r="Z494" s="6"/>
    </row>
    <row r="495" spans="2:26" ht="12.75" x14ac:dyDescent="0.2">
      <c r="B495" s="6"/>
      <c r="C495" s="6"/>
      <c r="D495" s="6"/>
      <c r="E495" s="9"/>
      <c r="F495" s="9"/>
      <c r="G495" s="11"/>
      <c r="H495" s="5"/>
      <c r="I495" s="8"/>
      <c r="J495" s="8"/>
      <c r="Z495" s="6"/>
    </row>
    <row r="496" spans="2:26" ht="12.75" x14ac:dyDescent="0.2">
      <c r="B496" s="6"/>
      <c r="C496" s="6"/>
      <c r="D496" s="6"/>
      <c r="E496" s="9"/>
      <c r="F496" s="9"/>
      <c r="G496" s="11"/>
      <c r="H496" s="5"/>
      <c r="I496" s="8"/>
      <c r="J496" s="8"/>
      <c r="Z496" s="6"/>
    </row>
    <row r="497" spans="2:26" ht="12.75" x14ac:dyDescent="0.2">
      <c r="B497" s="6"/>
      <c r="C497" s="6"/>
      <c r="D497" s="6"/>
      <c r="E497" s="9"/>
      <c r="F497" s="9"/>
      <c r="G497" s="11"/>
      <c r="H497" s="5"/>
      <c r="I497" s="8"/>
      <c r="J497" s="8"/>
      <c r="Z497" s="6"/>
    </row>
    <row r="498" spans="2:26" ht="12.75" x14ac:dyDescent="0.2">
      <c r="B498" s="6"/>
      <c r="C498" s="6"/>
      <c r="D498" s="6"/>
      <c r="E498" s="9"/>
      <c r="F498" s="9"/>
      <c r="G498" s="11"/>
      <c r="H498" s="5"/>
      <c r="I498" s="8"/>
      <c r="J498" s="8"/>
      <c r="Z498" s="6"/>
    </row>
    <row r="499" spans="2:26" ht="12.75" x14ac:dyDescent="0.2">
      <c r="B499" s="6"/>
      <c r="C499" s="6"/>
      <c r="D499" s="6"/>
      <c r="E499" s="9"/>
      <c r="F499" s="9"/>
      <c r="G499" s="11"/>
      <c r="H499" s="5"/>
      <c r="I499" s="8"/>
      <c r="J499" s="8"/>
      <c r="Z499" s="6"/>
    </row>
    <row r="500" spans="2:26" ht="12.75" x14ac:dyDescent="0.2">
      <c r="B500" s="6"/>
      <c r="C500" s="6"/>
      <c r="D500" s="6"/>
      <c r="E500" s="9"/>
      <c r="F500" s="9"/>
      <c r="G500" s="11"/>
      <c r="H500" s="5"/>
      <c r="I500" s="8"/>
      <c r="J500" s="8"/>
      <c r="Z500" s="6"/>
    </row>
    <row r="501" spans="2:26" ht="12.75" x14ac:dyDescent="0.2">
      <c r="B501" s="6"/>
      <c r="C501" s="6"/>
      <c r="D501" s="6"/>
      <c r="E501" s="9"/>
      <c r="F501" s="9"/>
      <c r="G501" s="11"/>
      <c r="H501" s="5"/>
      <c r="I501" s="8"/>
      <c r="J501" s="8"/>
      <c r="Z501" s="6"/>
    </row>
    <row r="502" spans="2:26" ht="12.75" x14ac:dyDescent="0.2">
      <c r="B502" s="6"/>
      <c r="C502" s="6"/>
      <c r="D502" s="6"/>
      <c r="E502" s="9"/>
      <c r="F502" s="9"/>
      <c r="G502" s="11"/>
      <c r="H502" s="5"/>
      <c r="I502" s="8"/>
      <c r="J502" s="8"/>
      <c r="Z502" s="6"/>
    </row>
    <row r="503" spans="2:26" ht="12.75" x14ac:dyDescent="0.2">
      <c r="B503" s="6"/>
      <c r="C503" s="6"/>
      <c r="D503" s="6"/>
      <c r="E503" s="9"/>
      <c r="F503" s="9"/>
      <c r="G503" s="11"/>
      <c r="H503" s="5"/>
      <c r="I503" s="8"/>
      <c r="J503" s="8"/>
      <c r="Z503" s="6"/>
    </row>
    <row r="504" spans="2:26" ht="12.75" x14ac:dyDescent="0.2">
      <c r="B504" s="6"/>
      <c r="C504" s="6"/>
      <c r="D504" s="6"/>
      <c r="E504" s="9"/>
      <c r="F504" s="9"/>
      <c r="G504" s="11"/>
      <c r="H504" s="5"/>
      <c r="I504" s="8"/>
      <c r="J504" s="8"/>
      <c r="Z504" s="6"/>
    </row>
    <row r="505" spans="2:26" ht="12.75" x14ac:dyDescent="0.2">
      <c r="B505" s="6"/>
      <c r="C505" s="6"/>
      <c r="D505" s="6"/>
      <c r="E505" s="9"/>
      <c r="F505" s="9"/>
      <c r="G505" s="11"/>
      <c r="H505" s="5"/>
      <c r="I505" s="8"/>
      <c r="J505" s="8"/>
      <c r="Z505" s="6"/>
    </row>
    <row r="506" spans="2:26" ht="12.75" x14ac:dyDescent="0.2">
      <c r="B506" s="6"/>
      <c r="C506" s="6"/>
      <c r="D506" s="6"/>
      <c r="E506" s="9"/>
      <c r="F506" s="9"/>
      <c r="G506" s="11"/>
      <c r="H506" s="5"/>
      <c r="I506" s="8"/>
      <c r="J506" s="8"/>
      <c r="Z506" s="6"/>
    </row>
    <row r="507" spans="2:26" ht="12.75" x14ac:dyDescent="0.2">
      <c r="B507" s="6"/>
      <c r="C507" s="6"/>
      <c r="D507" s="6"/>
      <c r="E507" s="9"/>
      <c r="F507" s="9"/>
      <c r="G507" s="11"/>
      <c r="H507" s="5"/>
      <c r="I507" s="8"/>
      <c r="J507" s="8"/>
      <c r="Z507" s="6"/>
    </row>
    <row r="508" spans="2:26" ht="12.75" x14ac:dyDescent="0.2">
      <c r="B508" s="6"/>
      <c r="C508" s="6"/>
      <c r="D508" s="6"/>
      <c r="E508" s="9"/>
      <c r="F508" s="9"/>
      <c r="G508" s="11"/>
      <c r="H508" s="5"/>
      <c r="I508" s="8"/>
      <c r="J508" s="8"/>
      <c r="Z508" s="6"/>
    </row>
    <row r="509" spans="2:26" ht="12.75" x14ac:dyDescent="0.2">
      <c r="B509" s="6"/>
      <c r="C509" s="6"/>
      <c r="D509" s="6"/>
      <c r="E509" s="9"/>
      <c r="F509" s="9"/>
      <c r="G509" s="11"/>
      <c r="H509" s="5"/>
      <c r="I509" s="8"/>
      <c r="J509" s="8"/>
      <c r="Z509" s="6"/>
    </row>
    <row r="510" spans="2:26" ht="12.75" x14ac:dyDescent="0.2">
      <c r="B510" s="6"/>
      <c r="C510" s="6"/>
      <c r="D510" s="6"/>
      <c r="E510" s="9"/>
      <c r="F510" s="9"/>
      <c r="G510" s="11"/>
      <c r="H510" s="5"/>
      <c r="I510" s="8"/>
      <c r="J510" s="8"/>
      <c r="Z510" s="6"/>
    </row>
    <row r="511" spans="2:26" ht="12.75" x14ac:dyDescent="0.2">
      <c r="B511" s="6"/>
      <c r="C511" s="6"/>
      <c r="D511" s="6"/>
      <c r="E511" s="9"/>
      <c r="F511" s="9"/>
      <c r="G511" s="11"/>
      <c r="H511" s="5"/>
      <c r="I511" s="8"/>
      <c r="J511" s="8"/>
      <c r="Z511" s="6"/>
    </row>
    <row r="512" spans="2:26" ht="12.75" x14ac:dyDescent="0.2">
      <c r="B512" s="6"/>
      <c r="C512" s="6"/>
      <c r="D512" s="6"/>
      <c r="E512" s="9"/>
      <c r="F512" s="9"/>
      <c r="G512" s="11"/>
      <c r="H512" s="5"/>
      <c r="I512" s="8"/>
      <c r="J512" s="8"/>
      <c r="Z512" s="6"/>
    </row>
    <row r="513" spans="2:26" ht="12.75" x14ac:dyDescent="0.2">
      <c r="B513" s="6"/>
      <c r="C513" s="6"/>
      <c r="D513" s="6"/>
      <c r="E513" s="9"/>
      <c r="F513" s="9"/>
      <c r="G513" s="11"/>
      <c r="H513" s="5"/>
      <c r="I513" s="8"/>
      <c r="J513" s="8"/>
      <c r="Z513" s="6"/>
    </row>
    <row r="514" spans="2:26" ht="12.75" x14ac:dyDescent="0.2">
      <c r="B514" s="6"/>
      <c r="C514" s="6"/>
      <c r="D514" s="6"/>
      <c r="E514" s="9"/>
      <c r="F514" s="9"/>
      <c r="G514" s="11"/>
      <c r="H514" s="5"/>
      <c r="I514" s="8"/>
      <c r="J514" s="8"/>
      <c r="Z514" s="6"/>
    </row>
    <row r="515" spans="2:26" ht="12.75" x14ac:dyDescent="0.2">
      <c r="B515" s="6"/>
      <c r="C515" s="6"/>
      <c r="D515" s="6"/>
      <c r="E515" s="9"/>
      <c r="F515" s="9"/>
      <c r="G515" s="11"/>
      <c r="H515" s="5"/>
      <c r="I515" s="8"/>
      <c r="J515" s="8"/>
      <c r="Z515" s="6"/>
    </row>
    <row r="516" spans="2:26" ht="12.75" x14ac:dyDescent="0.2">
      <c r="B516" s="6"/>
      <c r="C516" s="6"/>
      <c r="D516" s="6"/>
      <c r="E516" s="9"/>
      <c r="F516" s="9"/>
      <c r="G516" s="11"/>
      <c r="H516" s="5"/>
      <c r="I516" s="8"/>
      <c r="J516" s="8"/>
      <c r="Z516" s="6"/>
    </row>
    <row r="517" spans="2:26" ht="12.75" x14ac:dyDescent="0.2">
      <c r="B517" s="6"/>
      <c r="C517" s="6"/>
      <c r="D517" s="6"/>
      <c r="E517" s="9"/>
      <c r="F517" s="9"/>
      <c r="G517" s="11"/>
      <c r="H517" s="5"/>
      <c r="I517" s="8"/>
      <c r="J517" s="8"/>
      <c r="Z517" s="6"/>
    </row>
    <row r="518" spans="2:26" ht="12.75" x14ac:dyDescent="0.2">
      <c r="B518" s="6"/>
      <c r="C518" s="6"/>
      <c r="D518" s="6"/>
      <c r="E518" s="9"/>
      <c r="F518" s="9"/>
      <c r="G518" s="11"/>
      <c r="H518" s="5"/>
      <c r="I518" s="8"/>
      <c r="J518" s="8"/>
      <c r="Z518" s="6"/>
    </row>
    <row r="519" spans="2:26" ht="12.75" x14ac:dyDescent="0.2">
      <c r="B519" s="6"/>
      <c r="C519" s="6"/>
      <c r="D519" s="6"/>
      <c r="E519" s="9"/>
      <c r="F519" s="9"/>
      <c r="G519" s="11"/>
      <c r="H519" s="5"/>
      <c r="I519" s="8"/>
      <c r="J519" s="8"/>
      <c r="Z519" s="6"/>
    </row>
    <row r="520" spans="2:26" ht="12.75" x14ac:dyDescent="0.2">
      <c r="B520" s="6"/>
      <c r="C520" s="6"/>
      <c r="D520" s="6"/>
      <c r="E520" s="9"/>
      <c r="F520" s="9"/>
      <c r="G520" s="11"/>
      <c r="H520" s="5"/>
      <c r="I520" s="8"/>
      <c r="J520" s="8"/>
      <c r="Z520" s="6"/>
    </row>
    <row r="521" spans="2:26" ht="12.75" x14ac:dyDescent="0.2">
      <c r="B521" s="6"/>
      <c r="C521" s="6"/>
      <c r="D521" s="6"/>
      <c r="E521" s="9"/>
      <c r="F521" s="9"/>
      <c r="G521" s="11"/>
      <c r="H521" s="5"/>
      <c r="I521" s="8"/>
      <c r="J521" s="8"/>
      <c r="Z521" s="6"/>
    </row>
    <row r="522" spans="2:26" ht="12.75" x14ac:dyDescent="0.2">
      <c r="B522" s="6"/>
      <c r="C522" s="6"/>
      <c r="D522" s="6"/>
      <c r="E522" s="9"/>
      <c r="F522" s="9"/>
      <c r="G522" s="11"/>
      <c r="H522" s="5"/>
      <c r="I522" s="8"/>
      <c r="J522" s="8"/>
      <c r="Z522" s="6"/>
    </row>
    <row r="523" spans="2:26" ht="12.75" x14ac:dyDescent="0.2">
      <c r="B523" s="6"/>
      <c r="C523" s="6"/>
      <c r="D523" s="6"/>
      <c r="E523" s="9"/>
      <c r="F523" s="9"/>
      <c r="G523" s="11"/>
      <c r="H523" s="5"/>
      <c r="I523" s="8"/>
      <c r="J523" s="8"/>
      <c r="Z523" s="6"/>
    </row>
    <row r="524" spans="2:26" ht="12.75" x14ac:dyDescent="0.2">
      <c r="B524" s="6"/>
      <c r="C524" s="6"/>
      <c r="D524" s="6"/>
      <c r="E524" s="9"/>
      <c r="F524" s="9"/>
      <c r="G524" s="11"/>
      <c r="H524" s="5"/>
      <c r="I524" s="8"/>
      <c r="J524" s="8"/>
      <c r="Z524" s="6"/>
    </row>
    <row r="525" spans="2:26" ht="12.75" x14ac:dyDescent="0.2">
      <c r="B525" s="6"/>
      <c r="C525" s="6"/>
      <c r="D525" s="6"/>
      <c r="E525" s="9"/>
      <c r="F525" s="9"/>
      <c r="G525" s="11"/>
      <c r="H525" s="5"/>
      <c r="I525" s="8"/>
      <c r="J525" s="8"/>
      <c r="Z525" s="6"/>
    </row>
    <row r="526" spans="2:26" ht="12.75" x14ac:dyDescent="0.2">
      <c r="B526" s="6"/>
      <c r="C526" s="6"/>
      <c r="D526" s="6"/>
      <c r="E526" s="9"/>
      <c r="F526" s="9"/>
      <c r="G526" s="11"/>
      <c r="H526" s="5"/>
      <c r="I526" s="8"/>
      <c r="J526" s="8"/>
      <c r="Z526" s="6"/>
    </row>
    <row r="527" spans="2:26" ht="12.75" x14ac:dyDescent="0.2">
      <c r="B527" s="6"/>
      <c r="C527" s="6"/>
      <c r="D527" s="6"/>
      <c r="E527" s="9"/>
      <c r="F527" s="9"/>
      <c r="G527" s="11"/>
      <c r="H527" s="5"/>
      <c r="I527" s="8"/>
      <c r="J527" s="8"/>
      <c r="Z527" s="6"/>
    </row>
    <row r="528" spans="2:26" ht="12.75" x14ac:dyDescent="0.2">
      <c r="B528" s="6"/>
      <c r="C528" s="6"/>
      <c r="D528" s="6"/>
      <c r="E528" s="9"/>
      <c r="F528" s="9"/>
      <c r="G528" s="11"/>
      <c r="H528" s="5"/>
      <c r="I528" s="8"/>
      <c r="J528" s="8"/>
      <c r="Z528" s="6"/>
    </row>
    <row r="529" spans="2:26" ht="12.75" x14ac:dyDescent="0.2">
      <c r="B529" s="6"/>
      <c r="C529" s="6"/>
      <c r="D529" s="6"/>
      <c r="E529" s="9"/>
      <c r="F529" s="9"/>
      <c r="G529" s="11"/>
      <c r="H529" s="5"/>
      <c r="I529" s="8"/>
      <c r="J529" s="8"/>
      <c r="Z529" s="6"/>
    </row>
    <row r="530" spans="2:26" ht="12.75" x14ac:dyDescent="0.2">
      <c r="B530" s="6"/>
      <c r="C530" s="6"/>
      <c r="D530" s="6"/>
      <c r="E530" s="9"/>
      <c r="F530" s="9"/>
      <c r="G530" s="11"/>
      <c r="H530" s="5"/>
      <c r="I530" s="8"/>
      <c r="J530" s="8"/>
      <c r="Z530" s="6"/>
    </row>
    <row r="531" spans="2:26" ht="12.75" x14ac:dyDescent="0.2">
      <c r="B531" s="6"/>
      <c r="C531" s="6"/>
      <c r="D531" s="6"/>
      <c r="E531" s="9"/>
      <c r="F531" s="9"/>
      <c r="G531" s="11"/>
      <c r="H531" s="5"/>
      <c r="I531" s="8"/>
      <c r="J531" s="8"/>
      <c r="Z531" s="6"/>
    </row>
    <row r="532" spans="2:26" ht="12.75" x14ac:dyDescent="0.2">
      <c r="B532" s="6"/>
      <c r="C532" s="6"/>
      <c r="D532" s="6"/>
      <c r="E532" s="9"/>
      <c r="F532" s="9"/>
      <c r="G532" s="11"/>
      <c r="H532" s="5"/>
      <c r="I532" s="8"/>
      <c r="J532" s="8"/>
      <c r="Z532" s="6"/>
    </row>
    <row r="533" spans="2:26" ht="12.75" x14ac:dyDescent="0.2">
      <c r="B533" s="6"/>
      <c r="C533" s="6"/>
      <c r="D533" s="6"/>
      <c r="E533" s="9"/>
      <c r="F533" s="9"/>
      <c r="G533" s="11"/>
      <c r="H533" s="5"/>
      <c r="I533" s="8"/>
      <c r="J533" s="8"/>
      <c r="Z533" s="6"/>
    </row>
    <row r="534" spans="2:26" ht="12.75" x14ac:dyDescent="0.2">
      <c r="B534" s="6"/>
      <c r="C534" s="6"/>
      <c r="D534" s="6"/>
      <c r="E534" s="9"/>
      <c r="F534" s="9"/>
      <c r="G534" s="11"/>
      <c r="H534" s="5"/>
      <c r="I534" s="8"/>
      <c r="J534" s="8"/>
      <c r="Z534" s="6"/>
    </row>
    <row r="535" spans="2:26" ht="12.75" x14ac:dyDescent="0.2">
      <c r="B535" s="6"/>
      <c r="C535" s="6"/>
      <c r="D535" s="6"/>
      <c r="E535" s="9"/>
      <c r="F535" s="9"/>
      <c r="G535" s="11"/>
      <c r="H535" s="5"/>
      <c r="I535" s="8"/>
      <c r="J535" s="8"/>
      <c r="Z535" s="6"/>
    </row>
    <row r="536" spans="2:26" ht="12.75" x14ac:dyDescent="0.2">
      <c r="B536" s="6"/>
      <c r="C536" s="6"/>
      <c r="D536" s="6"/>
      <c r="E536" s="9"/>
      <c r="F536" s="9"/>
      <c r="G536" s="11"/>
      <c r="H536" s="5"/>
      <c r="I536" s="8"/>
      <c r="J536" s="8"/>
      <c r="Z536" s="6"/>
    </row>
    <row r="537" spans="2:26" ht="12.75" x14ac:dyDescent="0.2">
      <c r="B537" s="6"/>
      <c r="C537" s="6"/>
      <c r="D537" s="6"/>
      <c r="E537" s="9"/>
      <c r="F537" s="9"/>
      <c r="G537" s="11"/>
      <c r="H537" s="5"/>
      <c r="I537" s="8"/>
      <c r="J537" s="8"/>
      <c r="Z537" s="6"/>
    </row>
    <row r="538" spans="2:26" ht="12.75" x14ac:dyDescent="0.2">
      <c r="B538" s="6"/>
      <c r="C538" s="6"/>
      <c r="D538" s="6"/>
      <c r="E538" s="9"/>
      <c r="F538" s="9"/>
      <c r="G538" s="11"/>
      <c r="H538" s="5"/>
      <c r="I538" s="8"/>
      <c r="J538" s="8"/>
      <c r="Z538" s="6"/>
    </row>
    <row r="539" spans="2:26" ht="12.75" x14ac:dyDescent="0.2">
      <c r="B539" s="6"/>
      <c r="C539" s="6"/>
      <c r="D539" s="6"/>
      <c r="E539" s="9"/>
      <c r="F539" s="9"/>
      <c r="G539" s="11"/>
      <c r="H539" s="5"/>
      <c r="I539" s="8"/>
      <c r="J539" s="8"/>
      <c r="Z539" s="6"/>
    </row>
    <row r="540" spans="2:26" ht="12.75" x14ac:dyDescent="0.2">
      <c r="B540" s="6"/>
      <c r="C540" s="6"/>
      <c r="D540" s="6"/>
      <c r="E540" s="9"/>
      <c r="F540" s="9"/>
      <c r="G540" s="11"/>
      <c r="H540" s="5"/>
      <c r="I540" s="8"/>
      <c r="J540" s="8"/>
      <c r="Z540" s="6"/>
    </row>
    <row r="541" spans="2:26" ht="12.75" x14ac:dyDescent="0.2">
      <c r="B541" s="6"/>
      <c r="C541" s="6"/>
      <c r="D541" s="6"/>
      <c r="E541" s="9"/>
      <c r="F541" s="9"/>
      <c r="G541" s="11"/>
      <c r="H541" s="5"/>
      <c r="I541" s="8"/>
      <c r="J541" s="8"/>
      <c r="Z541" s="6"/>
    </row>
    <row r="542" spans="2:26" ht="12.75" x14ac:dyDescent="0.2">
      <c r="B542" s="6"/>
      <c r="C542" s="6"/>
      <c r="D542" s="6"/>
      <c r="E542" s="9"/>
      <c r="F542" s="9"/>
      <c r="G542" s="11"/>
      <c r="H542" s="5"/>
      <c r="I542" s="8"/>
      <c r="J542" s="8"/>
      <c r="Z542" s="6"/>
    </row>
    <row r="543" spans="2:26" ht="12.75" x14ac:dyDescent="0.2">
      <c r="B543" s="6"/>
      <c r="C543" s="6"/>
      <c r="D543" s="6"/>
      <c r="E543" s="9"/>
      <c r="F543" s="9"/>
      <c r="G543" s="11"/>
      <c r="H543" s="5"/>
      <c r="I543" s="8"/>
      <c r="J543" s="8"/>
      <c r="Z543" s="6"/>
    </row>
    <row r="544" spans="2:26" ht="12.75" x14ac:dyDescent="0.2">
      <c r="B544" s="6"/>
      <c r="C544" s="6"/>
      <c r="D544" s="6"/>
      <c r="E544" s="9"/>
      <c r="F544" s="9"/>
      <c r="G544" s="11"/>
      <c r="H544" s="5"/>
      <c r="I544" s="8"/>
      <c r="J544" s="8"/>
      <c r="Z544" s="6"/>
    </row>
    <row r="545" spans="2:26" ht="12.75" x14ac:dyDescent="0.2">
      <c r="B545" s="6"/>
      <c r="C545" s="6"/>
      <c r="D545" s="6"/>
      <c r="E545" s="9"/>
      <c r="F545" s="9"/>
      <c r="G545" s="11"/>
      <c r="H545" s="5"/>
      <c r="I545" s="8"/>
      <c r="J545" s="8"/>
      <c r="Z545" s="6"/>
    </row>
    <row r="546" spans="2:26" ht="12.75" x14ac:dyDescent="0.2">
      <c r="B546" s="6"/>
      <c r="C546" s="6"/>
      <c r="D546" s="6"/>
      <c r="E546" s="9"/>
      <c r="F546" s="9"/>
      <c r="G546" s="11"/>
      <c r="H546" s="5"/>
      <c r="I546" s="8"/>
      <c r="J546" s="8"/>
      <c r="Z546" s="6"/>
    </row>
    <row r="547" spans="2:26" ht="12.75" x14ac:dyDescent="0.2">
      <c r="B547" s="6"/>
      <c r="C547" s="6"/>
      <c r="D547" s="6"/>
      <c r="E547" s="9"/>
      <c r="F547" s="9"/>
      <c r="G547" s="11"/>
      <c r="H547" s="5"/>
      <c r="I547" s="8"/>
      <c r="J547" s="8"/>
      <c r="Z547" s="6"/>
    </row>
    <row r="548" spans="2:26" ht="12.75" x14ac:dyDescent="0.2">
      <c r="B548" s="6"/>
      <c r="C548" s="6"/>
      <c r="D548" s="6"/>
      <c r="E548" s="9"/>
      <c r="F548" s="9"/>
      <c r="G548" s="11"/>
      <c r="H548" s="5"/>
      <c r="I548" s="8"/>
      <c r="J548" s="8"/>
      <c r="Z548" s="6"/>
    </row>
    <row r="549" spans="2:26" ht="12.75" x14ac:dyDescent="0.2">
      <c r="B549" s="6"/>
      <c r="C549" s="6"/>
      <c r="D549" s="6"/>
      <c r="E549" s="9"/>
      <c r="F549" s="9"/>
      <c r="G549" s="11"/>
      <c r="H549" s="5"/>
      <c r="I549" s="8"/>
      <c r="J549" s="8"/>
      <c r="Z549" s="6"/>
    </row>
    <row r="550" spans="2:26" ht="12.75" x14ac:dyDescent="0.2">
      <c r="B550" s="6"/>
      <c r="C550" s="6"/>
      <c r="D550" s="6"/>
      <c r="E550" s="9"/>
      <c r="F550" s="9"/>
      <c r="G550" s="11"/>
      <c r="H550" s="5"/>
      <c r="I550" s="8"/>
      <c r="J550" s="8"/>
      <c r="Z550" s="6"/>
    </row>
    <row r="551" spans="2:26" ht="12.75" x14ac:dyDescent="0.2">
      <c r="B551" s="6"/>
      <c r="C551" s="6"/>
      <c r="D551" s="6"/>
      <c r="E551" s="9"/>
      <c r="F551" s="9"/>
      <c r="G551" s="11"/>
      <c r="H551" s="5"/>
      <c r="I551" s="8"/>
      <c r="J551" s="8"/>
      <c r="Z551" s="6"/>
    </row>
    <row r="552" spans="2:26" ht="12.75" x14ac:dyDescent="0.2">
      <c r="B552" s="6"/>
      <c r="C552" s="6"/>
      <c r="D552" s="6"/>
      <c r="E552" s="9"/>
      <c r="F552" s="9"/>
      <c r="G552" s="11"/>
      <c r="H552" s="5"/>
      <c r="I552" s="8"/>
      <c r="J552" s="8"/>
      <c r="Z552" s="6"/>
    </row>
    <row r="553" spans="2:26" ht="12.75" x14ac:dyDescent="0.2">
      <c r="B553" s="6"/>
      <c r="C553" s="6"/>
      <c r="D553" s="6"/>
      <c r="E553" s="9"/>
      <c r="F553" s="9"/>
      <c r="G553" s="11"/>
      <c r="H553" s="5"/>
      <c r="I553" s="8"/>
      <c r="J553" s="8"/>
      <c r="Z553" s="6"/>
    </row>
    <row r="554" spans="2:26" ht="12.75" x14ac:dyDescent="0.2">
      <c r="B554" s="6"/>
      <c r="C554" s="6"/>
      <c r="D554" s="6"/>
      <c r="E554" s="9"/>
      <c r="F554" s="9"/>
      <c r="G554" s="11"/>
      <c r="H554" s="5"/>
      <c r="I554" s="8"/>
      <c r="J554" s="8"/>
      <c r="Z554" s="6"/>
    </row>
    <row r="555" spans="2:26" ht="12.75" x14ac:dyDescent="0.2">
      <c r="B555" s="6"/>
      <c r="C555" s="6"/>
      <c r="D555" s="6"/>
      <c r="E555" s="9"/>
      <c r="F555" s="9"/>
      <c r="G555" s="11"/>
      <c r="H555" s="5"/>
      <c r="I555" s="8"/>
      <c r="J555" s="8"/>
      <c r="Z555" s="6"/>
    </row>
    <row r="556" spans="2:26" ht="12.75" x14ac:dyDescent="0.2">
      <c r="B556" s="6"/>
      <c r="C556" s="6"/>
      <c r="D556" s="6"/>
      <c r="E556" s="9"/>
      <c r="F556" s="9"/>
      <c r="G556" s="11"/>
      <c r="H556" s="5"/>
      <c r="I556" s="8"/>
      <c r="J556" s="8"/>
      <c r="Z556" s="6"/>
    </row>
    <row r="557" spans="2:26" ht="12.75" x14ac:dyDescent="0.2">
      <c r="B557" s="6"/>
      <c r="C557" s="6"/>
      <c r="D557" s="6"/>
      <c r="E557" s="9"/>
      <c r="F557" s="9"/>
      <c r="G557" s="11"/>
      <c r="H557" s="5"/>
      <c r="I557" s="8"/>
      <c r="J557" s="8"/>
      <c r="Z557" s="6"/>
    </row>
    <row r="558" spans="2:26" ht="12.75" x14ac:dyDescent="0.2">
      <c r="B558" s="6"/>
      <c r="C558" s="6"/>
      <c r="D558" s="6"/>
      <c r="E558" s="9"/>
      <c r="F558" s="9"/>
      <c r="G558" s="11"/>
      <c r="H558" s="5"/>
      <c r="I558" s="8"/>
      <c r="J558" s="8"/>
      <c r="Z558" s="6"/>
    </row>
    <row r="559" spans="2:26" ht="12.75" x14ac:dyDescent="0.2">
      <c r="B559" s="6"/>
      <c r="C559" s="6"/>
      <c r="D559" s="6"/>
      <c r="E559" s="9"/>
      <c r="F559" s="9"/>
      <c r="G559" s="11"/>
      <c r="H559" s="5"/>
      <c r="I559" s="8"/>
      <c r="J559" s="8"/>
      <c r="Z559" s="6"/>
    </row>
    <row r="560" spans="2:26" ht="12.75" x14ac:dyDescent="0.2">
      <c r="B560" s="6"/>
      <c r="C560" s="6"/>
      <c r="D560" s="6"/>
      <c r="E560" s="9"/>
      <c r="F560" s="9"/>
      <c r="G560" s="11"/>
      <c r="H560" s="5"/>
      <c r="I560" s="8"/>
      <c r="J560" s="8"/>
      <c r="Z560" s="6"/>
    </row>
    <row r="561" spans="2:26" ht="12.75" x14ac:dyDescent="0.2">
      <c r="B561" s="6"/>
      <c r="C561" s="6"/>
      <c r="D561" s="6"/>
      <c r="E561" s="9"/>
      <c r="F561" s="9"/>
      <c r="G561" s="11"/>
      <c r="H561" s="5"/>
      <c r="I561" s="8"/>
      <c r="J561" s="8"/>
      <c r="Z561" s="6"/>
    </row>
    <row r="562" spans="2:26" ht="12.75" x14ac:dyDescent="0.2">
      <c r="B562" s="6"/>
      <c r="C562" s="6"/>
      <c r="D562" s="6"/>
      <c r="E562" s="9"/>
      <c r="F562" s="9"/>
      <c r="G562" s="11"/>
      <c r="H562" s="5"/>
      <c r="I562" s="8"/>
      <c r="J562" s="8"/>
      <c r="Z562" s="6"/>
    </row>
    <row r="563" spans="2:26" ht="12.75" x14ac:dyDescent="0.2">
      <c r="B563" s="6"/>
      <c r="C563" s="6"/>
      <c r="D563" s="6"/>
      <c r="E563" s="9"/>
      <c r="F563" s="9"/>
      <c r="G563" s="11"/>
      <c r="H563" s="5"/>
      <c r="I563" s="8"/>
      <c r="J563" s="8"/>
      <c r="Z563" s="6"/>
    </row>
    <row r="564" spans="2:26" ht="12.75" x14ac:dyDescent="0.2">
      <c r="B564" s="6"/>
      <c r="C564" s="6"/>
      <c r="D564" s="6"/>
      <c r="E564" s="9"/>
      <c r="F564" s="9"/>
      <c r="G564" s="11"/>
      <c r="H564" s="5"/>
      <c r="I564" s="8"/>
      <c r="J564" s="8"/>
      <c r="Z564" s="6"/>
    </row>
    <row r="565" spans="2:26" ht="12.75" x14ac:dyDescent="0.2">
      <c r="B565" s="6"/>
      <c r="C565" s="6"/>
      <c r="D565" s="6"/>
      <c r="E565" s="9"/>
      <c r="F565" s="9"/>
      <c r="G565" s="11"/>
      <c r="H565" s="5"/>
      <c r="I565" s="8"/>
      <c r="J565" s="8"/>
      <c r="Z565" s="6"/>
    </row>
    <row r="566" spans="2:26" ht="12.75" x14ac:dyDescent="0.2">
      <c r="B566" s="6"/>
      <c r="C566" s="6"/>
      <c r="D566" s="6"/>
      <c r="E566" s="9"/>
      <c r="F566" s="9"/>
      <c r="G566" s="11"/>
      <c r="H566" s="5"/>
      <c r="I566" s="8"/>
      <c r="J566" s="8"/>
      <c r="Z566" s="6"/>
    </row>
    <row r="567" spans="2:26" ht="12.75" x14ac:dyDescent="0.2">
      <c r="B567" s="6"/>
      <c r="C567" s="6"/>
      <c r="D567" s="6"/>
      <c r="E567" s="9"/>
      <c r="F567" s="9"/>
      <c r="G567" s="11"/>
      <c r="H567" s="5"/>
      <c r="I567" s="8"/>
      <c r="J567" s="8"/>
      <c r="Z567" s="6"/>
    </row>
    <row r="568" spans="2:26" ht="12.75" x14ac:dyDescent="0.2">
      <c r="B568" s="6"/>
      <c r="C568" s="6"/>
      <c r="D568" s="6"/>
      <c r="E568" s="9"/>
      <c r="F568" s="9"/>
      <c r="G568" s="11"/>
      <c r="H568" s="5"/>
      <c r="I568" s="8"/>
      <c r="J568" s="8"/>
      <c r="Z568" s="6"/>
    </row>
    <row r="569" spans="2:26" ht="12.75" x14ac:dyDescent="0.2">
      <c r="B569" s="6"/>
      <c r="C569" s="6"/>
      <c r="D569" s="6"/>
      <c r="E569" s="9"/>
      <c r="F569" s="9"/>
      <c r="G569" s="11"/>
      <c r="H569" s="5"/>
      <c r="I569" s="8"/>
      <c r="J569" s="8"/>
      <c r="Z569" s="6"/>
    </row>
    <row r="570" spans="2:26" ht="12.75" x14ac:dyDescent="0.2">
      <c r="B570" s="6"/>
      <c r="C570" s="6"/>
      <c r="D570" s="6"/>
      <c r="E570" s="9"/>
      <c r="F570" s="9"/>
      <c r="G570" s="11"/>
      <c r="H570" s="5"/>
      <c r="I570" s="8"/>
      <c r="J570" s="8"/>
      <c r="Z570" s="6"/>
    </row>
    <row r="571" spans="2:26" ht="12.75" x14ac:dyDescent="0.2">
      <c r="B571" s="6"/>
      <c r="C571" s="6"/>
      <c r="D571" s="6"/>
      <c r="E571" s="9"/>
      <c r="F571" s="9"/>
      <c r="G571" s="11"/>
      <c r="H571" s="5"/>
      <c r="I571" s="8"/>
      <c r="J571" s="8"/>
      <c r="Z571" s="6"/>
    </row>
    <row r="572" spans="2:26" ht="12.75" x14ac:dyDescent="0.2">
      <c r="B572" s="6"/>
      <c r="C572" s="6"/>
      <c r="D572" s="6"/>
      <c r="E572" s="9"/>
      <c r="F572" s="9"/>
      <c r="G572" s="11"/>
      <c r="H572" s="5"/>
      <c r="I572" s="8"/>
      <c r="J572" s="8"/>
      <c r="Z572" s="6"/>
    </row>
    <row r="573" spans="2:26" ht="12.75" x14ac:dyDescent="0.2">
      <c r="B573" s="6"/>
      <c r="C573" s="6"/>
      <c r="D573" s="6"/>
      <c r="E573" s="9"/>
      <c r="F573" s="9"/>
      <c r="G573" s="11"/>
      <c r="H573" s="5"/>
      <c r="I573" s="8"/>
      <c r="J573" s="8"/>
      <c r="Z573" s="6"/>
    </row>
    <row r="574" spans="2:26" ht="12.75" x14ac:dyDescent="0.2">
      <c r="B574" s="6"/>
      <c r="C574" s="6"/>
      <c r="D574" s="6"/>
      <c r="E574" s="9"/>
      <c r="F574" s="9"/>
      <c r="G574" s="11"/>
      <c r="H574" s="5"/>
      <c r="I574" s="8"/>
      <c r="J574" s="8"/>
      <c r="Z574" s="6"/>
    </row>
    <row r="575" spans="2:26" ht="12.75" x14ac:dyDescent="0.2">
      <c r="B575" s="6"/>
      <c r="C575" s="6"/>
      <c r="D575" s="6"/>
      <c r="E575" s="9"/>
      <c r="F575" s="9"/>
      <c r="G575" s="11"/>
      <c r="H575" s="5"/>
      <c r="I575" s="8"/>
      <c r="J575" s="8"/>
      <c r="Z575" s="6"/>
    </row>
    <row r="576" spans="2:26" ht="12.75" x14ac:dyDescent="0.2">
      <c r="B576" s="6"/>
      <c r="C576" s="6"/>
      <c r="D576" s="6"/>
      <c r="E576" s="9"/>
      <c r="F576" s="9"/>
      <c r="G576" s="11"/>
      <c r="H576" s="5"/>
      <c r="I576" s="8"/>
      <c r="J576" s="8"/>
      <c r="Z576" s="6"/>
    </row>
    <row r="577" spans="2:26" ht="12.75" x14ac:dyDescent="0.2">
      <c r="B577" s="6"/>
      <c r="C577" s="6"/>
      <c r="D577" s="6"/>
      <c r="E577" s="9"/>
      <c r="F577" s="9"/>
      <c r="G577" s="11"/>
      <c r="H577" s="5"/>
      <c r="I577" s="8"/>
      <c r="J577" s="8"/>
      <c r="Z577" s="6"/>
    </row>
    <row r="578" spans="2:26" ht="12.75" x14ac:dyDescent="0.2">
      <c r="B578" s="6"/>
      <c r="C578" s="6"/>
      <c r="D578" s="6"/>
      <c r="E578" s="9"/>
      <c r="F578" s="9"/>
      <c r="G578" s="11"/>
      <c r="H578" s="5"/>
      <c r="I578" s="8"/>
      <c r="J578" s="8"/>
      <c r="Z578" s="6"/>
    </row>
    <row r="579" spans="2:26" ht="12.75" x14ac:dyDescent="0.2">
      <c r="B579" s="6"/>
      <c r="C579" s="6"/>
      <c r="D579" s="6"/>
      <c r="E579" s="9"/>
      <c r="F579" s="9"/>
      <c r="G579" s="11"/>
      <c r="H579" s="5"/>
      <c r="I579" s="8"/>
      <c r="J579" s="8"/>
      <c r="Z579" s="6"/>
    </row>
    <row r="580" spans="2:26" ht="12.75" x14ac:dyDescent="0.2">
      <c r="B580" s="6"/>
      <c r="C580" s="6"/>
      <c r="D580" s="6"/>
      <c r="E580" s="9"/>
      <c r="F580" s="9"/>
      <c r="G580" s="11"/>
      <c r="H580" s="5"/>
      <c r="I580" s="8"/>
      <c r="J580" s="8"/>
      <c r="Z580" s="6"/>
    </row>
    <row r="581" spans="2:26" ht="12.75" x14ac:dyDescent="0.2">
      <c r="B581" s="6"/>
      <c r="C581" s="6"/>
      <c r="D581" s="6"/>
      <c r="E581" s="9"/>
      <c r="F581" s="9"/>
      <c r="G581" s="11"/>
      <c r="H581" s="5"/>
      <c r="I581" s="8"/>
      <c r="J581" s="8"/>
      <c r="Z581" s="6"/>
    </row>
    <row r="582" spans="2:26" ht="12.75" x14ac:dyDescent="0.2">
      <c r="B582" s="6"/>
      <c r="C582" s="6"/>
      <c r="D582" s="6"/>
      <c r="E582" s="9"/>
      <c r="F582" s="9"/>
      <c r="G582" s="11"/>
      <c r="H582" s="5"/>
      <c r="I582" s="8"/>
      <c r="J582" s="8"/>
      <c r="Z582" s="6"/>
    </row>
    <row r="583" spans="2:26" ht="12.75" x14ac:dyDescent="0.2">
      <c r="B583" s="6"/>
      <c r="C583" s="6"/>
      <c r="D583" s="6"/>
      <c r="E583" s="9"/>
      <c r="F583" s="9"/>
      <c r="G583" s="11"/>
      <c r="H583" s="5"/>
      <c r="I583" s="8"/>
      <c r="J583" s="8"/>
      <c r="Z583" s="6"/>
    </row>
    <row r="584" spans="2:26" ht="12.75" x14ac:dyDescent="0.2">
      <c r="B584" s="6"/>
      <c r="C584" s="6"/>
      <c r="D584" s="6"/>
      <c r="E584" s="9"/>
      <c r="F584" s="9"/>
      <c r="G584" s="11"/>
      <c r="H584" s="5"/>
      <c r="I584" s="8"/>
      <c r="J584" s="8"/>
      <c r="Z584" s="6"/>
    </row>
    <row r="585" spans="2:26" ht="12.75" x14ac:dyDescent="0.2">
      <c r="B585" s="6"/>
      <c r="C585" s="6"/>
      <c r="D585" s="6"/>
      <c r="E585" s="9"/>
      <c r="F585" s="9"/>
      <c r="G585" s="11"/>
      <c r="H585" s="5"/>
      <c r="I585" s="8"/>
      <c r="J585" s="8"/>
      <c r="Z585" s="6"/>
    </row>
    <row r="586" spans="2:26" ht="12.75" x14ac:dyDescent="0.2">
      <c r="B586" s="6"/>
      <c r="C586" s="6"/>
      <c r="D586" s="6"/>
      <c r="E586" s="9"/>
      <c r="F586" s="9"/>
      <c r="G586" s="11"/>
      <c r="H586" s="5"/>
      <c r="I586" s="8"/>
      <c r="J586" s="8"/>
      <c r="Z586" s="6"/>
    </row>
    <row r="587" spans="2:26" ht="12.75" x14ac:dyDescent="0.2">
      <c r="B587" s="6"/>
      <c r="C587" s="6"/>
      <c r="D587" s="6"/>
      <c r="E587" s="9"/>
      <c r="F587" s="9"/>
      <c r="G587" s="11"/>
      <c r="H587" s="5"/>
      <c r="I587" s="8"/>
      <c r="J587" s="8"/>
      <c r="Z587" s="6"/>
    </row>
    <row r="588" spans="2:26" ht="12.75" x14ac:dyDescent="0.2">
      <c r="B588" s="6"/>
      <c r="C588" s="6"/>
      <c r="D588" s="6"/>
      <c r="E588" s="9"/>
      <c r="F588" s="9"/>
      <c r="G588" s="11"/>
      <c r="H588" s="5"/>
      <c r="I588" s="8"/>
      <c r="J588" s="8"/>
      <c r="Z588" s="6"/>
    </row>
    <row r="589" spans="2:26" ht="12.75" x14ac:dyDescent="0.2">
      <c r="B589" s="6"/>
      <c r="C589" s="6"/>
      <c r="D589" s="6"/>
      <c r="E589" s="9"/>
      <c r="F589" s="9"/>
      <c r="G589" s="11"/>
      <c r="H589" s="5"/>
      <c r="I589" s="8"/>
      <c r="J589" s="8"/>
      <c r="Z589" s="6"/>
    </row>
    <row r="590" spans="2:26" ht="12.75" x14ac:dyDescent="0.2">
      <c r="B590" s="6"/>
      <c r="C590" s="6"/>
      <c r="D590" s="6"/>
      <c r="E590" s="9"/>
      <c r="F590" s="9"/>
      <c r="G590" s="11"/>
      <c r="H590" s="5"/>
      <c r="I590" s="8"/>
      <c r="J590" s="8"/>
      <c r="Z590" s="6"/>
    </row>
    <row r="591" spans="2:26" ht="12.75" x14ac:dyDescent="0.2">
      <c r="B591" s="6"/>
      <c r="C591" s="6"/>
      <c r="D591" s="6"/>
      <c r="E591" s="9"/>
      <c r="F591" s="9"/>
      <c r="G591" s="11"/>
      <c r="H591" s="5"/>
      <c r="I591" s="8"/>
      <c r="J591" s="8"/>
      <c r="Z591" s="6"/>
    </row>
    <row r="592" spans="2:26" ht="12.75" x14ac:dyDescent="0.2">
      <c r="B592" s="6"/>
      <c r="C592" s="6"/>
      <c r="D592" s="6"/>
      <c r="E592" s="9"/>
      <c r="F592" s="9"/>
      <c r="G592" s="11"/>
      <c r="H592" s="5"/>
      <c r="I592" s="8"/>
      <c r="J592" s="8"/>
      <c r="Z592" s="6"/>
    </row>
    <row r="593" spans="2:26" ht="12.75" x14ac:dyDescent="0.2">
      <c r="B593" s="6"/>
      <c r="C593" s="6"/>
      <c r="D593" s="6"/>
      <c r="E593" s="9"/>
      <c r="F593" s="9"/>
      <c r="G593" s="11"/>
      <c r="H593" s="5"/>
      <c r="I593" s="8"/>
      <c r="J593" s="8"/>
      <c r="Z593" s="6"/>
    </row>
    <row r="594" spans="2:26" ht="12.75" x14ac:dyDescent="0.2">
      <c r="B594" s="6"/>
      <c r="C594" s="6"/>
      <c r="D594" s="6"/>
      <c r="E594" s="9"/>
      <c r="F594" s="9"/>
      <c r="G594" s="11"/>
      <c r="H594" s="5"/>
      <c r="I594" s="8"/>
      <c r="J594" s="8"/>
      <c r="Z594" s="6"/>
    </row>
    <row r="595" spans="2:26" ht="12.75" x14ac:dyDescent="0.2">
      <c r="B595" s="6"/>
      <c r="C595" s="6"/>
      <c r="D595" s="6"/>
      <c r="E595" s="9"/>
      <c r="F595" s="9"/>
      <c r="G595" s="11"/>
      <c r="H595" s="5"/>
      <c r="I595" s="8"/>
      <c r="J595" s="8"/>
      <c r="Z595" s="6"/>
    </row>
    <row r="596" spans="2:26" ht="12.75" x14ac:dyDescent="0.2">
      <c r="B596" s="6"/>
      <c r="C596" s="6"/>
      <c r="D596" s="6"/>
      <c r="E596" s="9"/>
      <c r="F596" s="9"/>
      <c r="G596" s="11"/>
      <c r="H596" s="5"/>
      <c r="I596" s="8"/>
      <c r="J596" s="8"/>
      <c r="Z596" s="6"/>
    </row>
    <row r="597" spans="2:26" ht="12.75" x14ac:dyDescent="0.2">
      <c r="B597" s="6"/>
      <c r="C597" s="6"/>
      <c r="D597" s="6"/>
      <c r="E597" s="9"/>
      <c r="F597" s="9"/>
      <c r="G597" s="11"/>
      <c r="H597" s="5"/>
      <c r="I597" s="8"/>
      <c r="J597" s="8"/>
      <c r="Z597" s="6"/>
    </row>
    <row r="598" spans="2:26" ht="12.75" x14ac:dyDescent="0.2">
      <c r="B598" s="6"/>
      <c r="C598" s="6"/>
      <c r="D598" s="6"/>
      <c r="E598" s="9"/>
      <c r="F598" s="9"/>
      <c r="G598" s="11"/>
      <c r="H598" s="5"/>
      <c r="I598" s="8"/>
      <c r="J598" s="8"/>
      <c r="Z598" s="6"/>
    </row>
    <row r="599" spans="2:26" ht="12.75" x14ac:dyDescent="0.2">
      <c r="B599" s="6"/>
      <c r="C599" s="6"/>
      <c r="D599" s="6"/>
      <c r="E599" s="9"/>
      <c r="F599" s="9"/>
      <c r="G599" s="11"/>
      <c r="H599" s="5"/>
      <c r="I599" s="8"/>
      <c r="J599" s="8"/>
      <c r="Z599" s="6"/>
    </row>
    <row r="600" spans="2:26" ht="12.75" x14ac:dyDescent="0.2">
      <c r="B600" s="6"/>
      <c r="C600" s="6"/>
      <c r="D600" s="6"/>
      <c r="E600" s="9"/>
      <c r="F600" s="9"/>
      <c r="G600" s="11"/>
      <c r="H600" s="5"/>
      <c r="I600" s="8"/>
      <c r="J600" s="8"/>
      <c r="Z600" s="6"/>
    </row>
    <row r="601" spans="2:26" ht="12.75" x14ac:dyDescent="0.2">
      <c r="B601" s="6"/>
      <c r="C601" s="6"/>
      <c r="D601" s="6"/>
      <c r="E601" s="9"/>
      <c r="F601" s="9"/>
      <c r="G601" s="11"/>
      <c r="H601" s="5"/>
      <c r="I601" s="8"/>
      <c r="J601" s="8"/>
      <c r="Z601" s="6"/>
    </row>
    <row r="602" spans="2:26" ht="12.75" x14ac:dyDescent="0.2">
      <c r="B602" s="6"/>
      <c r="C602" s="6"/>
      <c r="D602" s="6"/>
      <c r="E602" s="9"/>
      <c r="F602" s="9"/>
      <c r="G602" s="11"/>
      <c r="H602" s="5"/>
      <c r="I602" s="8"/>
      <c r="J602" s="8"/>
      <c r="Z602" s="6"/>
    </row>
    <row r="603" spans="2:26" ht="12.75" x14ac:dyDescent="0.2">
      <c r="B603" s="6"/>
      <c r="C603" s="6"/>
      <c r="D603" s="6"/>
      <c r="E603" s="9"/>
      <c r="F603" s="9"/>
      <c r="G603" s="11"/>
      <c r="H603" s="5"/>
      <c r="I603" s="8"/>
      <c r="J603" s="8"/>
      <c r="Z603" s="6"/>
    </row>
    <row r="604" spans="2:26" ht="12.75" x14ac:dyDescent="0.2">
      <c r="B604" s="6"/>
      <c r="C604" s="6"/>
      <c r="D604" s="6"/>
      <c r="E604" s="9"/>
      <c r="F604" s="9"/>
      <c r="G604" s="11"/>
      <c r="H604" s="5"/>
      <c r="I604" s="8"/>
      <c r="J604" s="8"/>
      <c r="Z604" s="6"/>
    </row>
    <row r="605" spans="2:26" ht="12.75" x14ac:dyDescent="0.2">
      <c r="B605" s="6"/>
      <c r="C605" s="6"/>
      <c r="D605" s="6"/>
      <c r="E605" s="9"/>
      <c r="F605" s="9"/>
      <c r="G605" s="11"/>
      <c r="H605" s="5"/>
      <c r="I605" s="8"/>
      <c r="J605" s="8"/>
      <c r="Z605" s="6"/>
    </row>
    <row r="606" spans="2:26" ht="12.75" x14ac:dyDescent="0.2">
      <c r="B606" s="6"/>
      <c r="C606" s="6"/>
      <c r="D606" s="6"/>
      <c r="E606" s="9"/>
      <c r="F606" s="9"/>
      <c r="G606" s="11"/>
      <c r="H606" s="5"/>
      <c r="I606" s="8"/>
      <c r="J606" s="8"/>
      <c r="Z606" s="6"/>
    </row>
    <row r="607" spans="2:26" ht="12.75" x14ac:dyDescent="0.2">
      <c r="B607" s="6"/>
      <c r="C607" s="6"/>
      <c r="D607" s="6"/>
      <c r="E607" s="9"/>
      <c r="F607" s="9"/>
      <c r="G607" s="11"/>
      <c r="H607" s="5"/>
      <c r="I607" s="8"/>
      <c r="J607" s="8"/>
      <c r="Z607" s="6"/>
    </row>
    <row r="608" spans="2:26" ht="12.75" x14ac:dyDescent="0.2">
      <c r="B608" s="6"/>
      <c r="C608" s="6"/>
      <c r="D608" s="6"/>
      <c r="E608" s="9"/>
      <c r="F608" s="9"/>
      <c r="G608" s="11"/>
      <c r="H608" s="5"/>
      <c r="I608" s="8"/>
      <c r="J608" s="8"/>
      <c r="Z608" s="6"/>
    </row>
    <row r="609" spans="2:26" ht="12.75" x14ac:dyDescent="0.2">
      <c r="B609" s="6"/>
      <c r="C609" s="6"/>
      <c r="D609" s="6"/>
      <c r="E609" s="9"/>
      <c r="F609" s="9"/>
      <c r="G609" s="11"/>
      <c r="H609" s="5"/>
      <c r="I609" s="8"/>
      <c r="J609" s="8"/>
      <c r="Z609" s="6"/>
    </row>
    <row r="610" spans="2:26" ht="12.75" x14ac:dyDescent="0.2">
      <c r="B610" s="6"/>
      <c r="C610" s="6"/>
      <c r="D610" s="6"/>
      <c r="E610" s="9"/>
      <c r="F610" s="9"/>
      <c r="G610" s="11"/>
      <c r="H610" s="5"/>
      <c r="I610" s="8"/>
      <c r="J610" s="8"/>
      <c r="Z610" s="6"/>
    </row>
    <row r="611" spans="2:26" ht="12.75" x14ac:dyDescent="0.2">
      <c r="B611" s="6"/>
      <c r="C611" s="6"/>
      <c r="D611" s="6"/>
      <c r="E611" s="9"/>
      <c r="F611" s="9"/>
      <c r="G611" s="11"/>
      <c r="H611" s="5"/>
      <c r="I611" s="8"/>
      <c r="J611" s="8"/>
      <c r="Z611" s="6"/>
    </row>
    <row r="612" spans="2:26" ht="12.75" x14ac:dyDescent="0.2">
      <c r="B612" s="6"/>
      <c r="C612" s="6"/>
      <c r="D612" s="6"/>
      <c r="E612" s="9"/>
      <c r="F612" s="9"/>
      <c r="G612" s="11"/>
      <c r="H612" s="5"/>
      <c r="I612" s="8"/>
      <c r="J612" s="8"/>
      <c r="Z612" s="6"/>
    </row>
    <row r="613" spans="2:26" ht="12.75" x14ac:dyDescent="0.2">
      <c r="B613" s="6"/>
      <c r="C613" s="6"/>
      <c r="D613" s="6"/>
      <c r="E613" s="9"/>
      <c r="F613" s="9"/>
      <c r="G613" s="11"/>
      <c r="H613" s="5"/>
      <c r="I613" s="8"/>
      <c r="J613" s="8"/>
      <c r="Z613" s="6"/>
    </row>
    <row r="614" spans="2:26" ht="12.75" x14ac:dyDescent="0.2">
      <c r="B614" s="6"/>
      <c r="C614" s="6"/>
      <c r="D614" s="6"/>
      <c r="E614" s="9"/>
      <c r="F614" s="9"/>
      <c r="G614" s="11"/>
      <c r="H614" s="5"/>
      <c r="I614" s="8"/>
      <c r="J614" s="8"/>
      <c r="Z614" s="6"/>
    </row>
    <row r="615" spans="2:26" ht="12.75" x14ac:dyDescent="0.2">
      <c r="B615" s="6"/>
      <c r="C615" s="6"/>
      <c r="D615" s="6"/>
      <c r="E615" s="9"/>
      <c r="F615" s="9"/>
      <c r="G615" s="11"/>
      <c r="H615" s="5"/>
      <c r="I615" s="8"/>
      <c r="J615" s="8"/>
      <c r="Z615" s="6"/>
    </row>
    <row r="616" spans="2:26" ht="12.75" x14ac:dyDescent="0.2">
      <c r="B616" s="6"/>
      <c r="C616" s="6"/>
      <c r="D616" s="6"/>
      <c r="E616" s="9"/>
      <c r="F616" s="9"/>
      <c r="G616" s="11"/>
      <c r="H616" s="5"/>
      <c r="I616" s="8"/>
      <c r="J616" s="8"/>
      <c r="Z616" s="6"/>
    </row>
    <row r="617" spans="2:26" ht="12.75" x14ac:dyDescent="0.2">
      <c r="B617" s="6"/>
      <c r="C617" s="6"/>
      <c r="D617" s="6"/>
      <c r="E617" s="9"/>
      <c r="F617" s="9"/>
      <c r="G617" s="11"/>
      <c r="H617" s="5"/>
      <c r="I617" s="8"/>
      <c r="J617" s="8"/>
      <c r="Z617" s="6"/>
    </row>
    <row r="618" spans="2:26" ht="12.75" x14ac:dyDescent="0.2">
      <c r="B618" s="6"/>
      <c r="C618" s="6"/>
      <c r="D618" s="6"/>
      <c r="E618" s="9"/>
      <c r="F618" s="9"/>
      <c r="G618" s="11"/>
      <c r="H618" s="5"/>
      <c r="I618" s="8"/>
      <c r="J618" s="8"/>
      <c r="Z618" s="6"/>
    </row>
    <row r="619" spans="2:26" ht="12.75" x14ac:dyDescent="0.2">
      <c r="B619" s="6"/>
      <c r="C619" s="6"/>
      <c r="D619" s="6"/>
      <c r="E619" s="9"/>
      <c r="F619" s="9"/>
      <c r="G619" s="11"/>
      <c r="H619" s="5"/>
      <c r="I619" s="8"/>
      <c r="J619" s="8"/>
      <c r="Z619" s="6"/>
    </row>
    <row r="620" spans="2:26" ht="12.75" x14ac:dyDescent="0.2">
      <c r="B620" s="6"/>
      <c r="C620" s="6"/>
      <c r="D620" s="6"/>
      <c r="E620" s="9"/>
      <c r="F620" s="9"/>
      <c r="G620" s="11"/>
      <c r="H620" s="5"/>
      <c r="I620" s="8"/>
      <c r="J620" s="8"/>
      <c r="Z620" s="6"/>
    </row>
    <row r="621" spans="2:26" ht="12.75" x14ac:dyDescent="0.2">
      <c r="B621" s="6"/>
      <c r="C621" s="6"/>
      <c r="D621" s="6"/>
      <c r="E621" s="9"/>
      <c r="F621" s="9"/>
      <c r="G621" s="11"/>
      <c r="H621" s="5"/>
      <c r="I621" s="8"/>
      <c r="J621" s="8"/>
      <c r="Z621" s="6"/>
    </row>
    <row r="622" spans="2:26" ht="12.75" x14ac:dyDescent="0.2">
      <c r="B622" s="6"/>
      <c r="C622" s="6"/>
      <c r="D622" s="6"/>
      <c r="E622" s="9"/>
      <c r="F622" s="9"/>
      <c r="G622" s="11"/>
      <c r="H622" s="5"/>
      <c r="I622" s="8"/>
      <c r="J622" s="8"/>
      <c r="Z622" s="6"/>
    </row>
    <row r="623" spans="2:26" ht="12.75" x14ac:dyDescent="0.2">
      <c r="B623" s="6"/>
      <c r="C623" s="6"/>
      <c r="D623" s="6"/>
      <c r="E623" s="9"/>
      <c r="F623" s="9"/>
      <c r="G623" s="11"/>
      <c r="H623" s="5"/>
      <c r="I623" s="8"/>
      <c r="J623" s="8"/>
      <c r="Z623" s="6"/>
    </row>
    <row r="624" spans="2:26" ht="12.75" x14ac:dyDescent="0.2">
      <c r="B624" s="6"/>
      <c r="C624" s="6"/>
      <c r="D624" s="6"/>
      <c r="E624" s="9"/>
      <c r="F624" s="9"/>
      <c r="G624" s="11"/>
      <c r="H624" s="5"/>
      <c r="I624" s="8"/>
      <c r="J624" s="8"/>
      <c r="Z624" s="6"/>
    </row>
    <row r="625" spans="2:26" ht="12.75" x14ac:dyDescent="0.2">
      <c r="B625" s="6"/>
      <c r="C625" s="6"/>
      <c r="D625" s="6"/>
      <c r="E625" s="9"/>
      <c r="F625" s="9"/>
      <c r="G625" s="11"/>
      <c r="H625" s="5"/>
      <c r="I625" s="8"/>
      <c r="J625" s="8"/>
      <c r="Z625" s="6"/>
    </row>
    <row r="626" spans="2:26" ht="12.75" x14ac:dyDescent="0.2">
      <c r="B626" s="6"/>
      <c r="C626" s="6"/>
      <c r="D626" s="6"/>
      <c r="E626" s="9"/>
      <c r="F626" s="9"/>
      <c r="G626" s="11"/>
      <c r="H626" s="5"/>
      <c r="I626" s="8"/>
      <c r="J626" s="8"/>
      <c r="Z626" s="6"/>
    </row>
    <row r="627" spans="2:26" ht="12.75" x14ac:dyDescent="0.2">
      <c r="B627" s="6"/>
      <c r="C627" s="6"/>
      <c r="D627" s="6"/>
      <c r="E627" s="9"/>
      <c r="F627" s="9"/>
      <c r="G627" s="11"/>
      <c r="H627" s="5"/>
      <c r="I627" s="8"/>
      <c r="J627" s="8"/>
      <c r="Z627" s="6"/>
    </row>
    <row r="628" spans="2:26" ht="12.75" x14ac:dyDescent="0.2">
      <c r="B628" s="6"/>
      <c r="C628" s="6"/>
      <c r="D628" s="6"/>
      <c r="E628" s="9"/>
      <c r="F628" s="9"/>
      <c r="G628" s="11"/>
      <c r="H628" s="5"/>
      <c r="I628" s="8"/>
      <c r="J628" s="8"/>
      <c r="Z628" s="6"/>
    </row>
    <row r="629" spans="2:26" ht="12.75" x14ac:dyDescent="0.2">
      <c r="B629" s="6"/>
      <c r="C629" s="6"/>
      <c r="D629" s="6"/>
      <c r="E629" s="9"/>
      <c r="F629" s="9"/>
      <c r="G629" s="11"/>
      <c r="H629" s="5"/>
      <c r="I629" s="8"/>
      <c r="J629" s="8"/>
      <c r="Z629" s="6"/>
    </row>
    <row r="630" spans="2:26" ht="12.75" x14ac:dyDescent="0.2">
      <c r="B630" s="6"/>
      <c r="C630" s="6"/>
      <c r="D630" s="6"/>
      <c r="E630" s="9"/>
      <c r="F630" s="9"/>
      <c r="G630" s="11"/>
      <c r="H630" s="5"/>
      <c r="I630" s="8"/>
      <c r="J630" s="8"/>
      <c r="Z630" s="6"/>
    </row>
    <row r="631" spans="2:26" ht="12.75" x14ac:dyDescent="0.2">
      <c r="B631" s="6"/>
      <c r="C631" s="6"/>
      <c r="D631" s="6"/>
      <c r="E631" s="9"/>
      <c r="F631" s="9"/>
      <c r="G631" s="11"/>
      <c r="H631" s="5"/>
      <c r="I631" s="8"/>
      <c r="J631" s="8"/>
      <c r="Z631" s="6"/>
    </row>
    <row r="632" spans="2:26" ht="12.75" x14ac:dyDescent="0.2">
      <c r="B632" s="6"/>
      <c r="C632" s="6"/>
      <c r="D632" s="6"/>
      <c r="E632" s="9"/>
      <c r="F632" s="9"/>
      <c r="G632" s="11"/>
      <c r="H632" s="5"/>
      <c r="I632" s="8"/>
      <c r="J632" s="8"/>
      <c r="Z632" s="6"/>
    </row>
    <row r="633" spans="2:26" ht="12.75" x14ac:dyDescent="0.2">
      <c r="B633" s="6"/>
      <c r="C633" s="6"/>
      <c r="D633" s="6"/>
      <c r="E633" s="9"/>
      <c r="F633" s="9"/>
      <c r="G633" s="11"/>
      <c r="H633" s="5"/>
      <c r="I633" s="8"/>
      <c r="J633" s="8"/>
      <c r="Z633" s="6"/>
    </row>
    <row r="634" spans="2:26" ht="12.75" x14ac:dyDescent="0.2">
      <c r="B634" s="6"/>
      <c r="C634" s="6"/>
      <c r="D634" s="6"/>
      <c r="E634" s="9"/>
      <c r="F634" s="9"/>
      <c r="G634" s="11"/>
      <c r="H634" s="5"/>
      <c r="I634" s="8"/>
      <c r="J634" s="8"/>
      <c r="Z634" s="6"/>
    </row>
    <row r="635" spans="2:26" ht="12.75" x14ac:dyDescent="0.2">
      <c r="B635" s="6"/>
      <c r="C635" s="6"/>
      <c r="D635" s="6"/>
      <c r="E635" s="9"/>
      <c r="F635" s="9"/>
      <c r="G635" s="11"/>
      <c r="H635" s="5"/>
      <c r="I635" s="8"/>
      <c r="J635" s="8"/>
      <c r="Z635" s="6"/>
    </row>
    <row r="636" spans="2:26" ht="12.75" x14ac:dyDescent="0.2">
      <c r="B636" s="6"/>
      <c r="C636" s="6"/>
      <c r="D636" s="6"/>
      <c r="E636" s="9"/>
      <c r="F636" s="9"/>
      <c r="G636" s="11"/>
      <c r="H636" s="5"/>
      <c r="I636" s="8"/>
      <c r="J636" s="8"/>
      <c r="Z636" s="6"/>
    </row>
    <row r="637" spans="2:26" ht="12.75" x14ac:dyDescent="0.2">
      <c r="B637" s="6"/>
      <c r="C637" s="6"/>
      <c r="D637" s="6"/>
      <c r="E637" s="9"/>
      <c r="F637" s="9"/>
      <c r="G637" s="11"/>
      <c r="H637" s="5"/>
      <c r="I637" s="8"/>
      <c r="J637" s="8"/>
      <c r="Z637" s="6"/>
    </row>
    <row r="638" spans="2:26" ht="12.75" x14ac:dyDescent="0.2">
      <c r="B638" s="6"/>
      <c r="C638" s="6"/>
      <c r="D638" s="6"/>
      <c r="E638" s="9"/>
      <c r="F638" s="9"/>
      <c r="G638" s="11"/>
      <c r="H638" s="5"/>
      <c r="I638" s="8"/>
      <c r="J638" s="8"/>
      <c r="Z638" s="6"/>
    </row>
    <row r="639" spans="2:26" ht="12.75" x14ac:dyDescent="0.2">
      <c r="B639" s="6"/>
      <c r="C639" s="6"/>
      <c r="D639" s="6"/>
      <c r="E639" s="9"/>
      <c r="F639" s="9"/>
      <c r="G639" s="11"/>
      <c r="H639" s="5"/>
      <c r="I639" s="8"/>
      <c r="J639" s="8"/>
      <c r="Z639" s="6"/>
    </row>
    <row r="640" spans="2:26" ht="12.75" x14ac:dyDescent="0.2">
      <c r="B640" s="6"/>
      <c r="C640" s="6"/>
      <c r="D640" s="6"/>
      <c r="E640" s="9"/>
      <c r="F640" s="9"/>
      <c r="G640" s="11"/>
      <c r="H640" s="5"/>
      <c r="I640" s="8"/>
      <c r="J640" s="8"/>
      <c r="Z640" s="6"/>
    </row>
    <row r="641" spans="2:26" ht="12.75" x14ac:dyDescent="0.2">
      <c r="B641" s="6"/>
      <c r="C641" s="6"/>
      <c r="D641" s="6"/>
      <c r="E641" s="9"/>
      <c r="F641" s="9"/>
      <c r="G641" s="11"/>
      <c r="H641" s="5"/>
      <c r="I641" s="8"/>
      <c r="J641" s="8"/>
      <c r="Z641" s="6"/>
    </row>
    <row r="642" spans="2:26" ht="12.75" x14ac:dyDescent="0.2">
      <c r="B642" s="6"/>
      <c r="C642" s="6"/>
      <c r="D642" s="6"/>
      <c r="E642" s="9"/>
      <c r="F642" s="9"/>
      <c r="G642" s="11"/>
      <c r="H642" s="5"/>
      <c r="I642" s="8"/>
      <c r="J642" s="8"/>
      <c r="Z642" s="6"/>
    </row>
    <row r="643" spans="2:26" ht="12.75" x14ac:dyDescent="0.2">
      <c r="B643" s="6"/>
      <c r="C643" s="6"/>
      <c r="D643" s="6"/>
      <c r="E643" s="9"/>
      <c r="F643" s="9"/>
      <c r="G643" s="11"/>
      <c r="H643" s="5"/>
      <c r="I643" s="8"/>
      <c r="J643" s="8"/>
      <c r="Z643" s="6"/>
    </row>
    <row r="644" spans="2:26" ht="12.75" x14ac:dyDescent="0.2">
      <c r="B644" s="6"/>
      <c r="C644" s="6"/>
      <c r="D644" s="6"/>
      <c r="E644" s="9"/>
      <c r="F644" s="9"/>
      <c r="G644" s="11"/>
      <c r="H644" s="5"/>
      <c r="I644" s="8"/>
      <c r="J644" s="8"/>
      <c r="Z644" s="6"/>
    </row>
    <row r="645" spans="2:26" ht="12.75" x14ac:dyDescent="0.2">
      <c r="B645" s="6"/>
      <c r="C645" s="6"/>
      <c r="D645" s="6"/>
      <c r="E645" s="9"/>
      <c r="F645" s="9"/>
      <c r="G645" s="11"/>
      <c r="H645" s="5"/>
      <c r="I645" s="8"/>
      <c r="J645" s="8"/>
      <c r="Z645" s="6"/>
    </row>
    <row r="646" spans="2:26" ht="12.75" x14ac:dyDescent="0.2">
      <c r="B646" s="6"/>
      <c r="C646" s="6"/>
      <c r="D646" s="6"/>
      <c r="E646" s="9"/>
      <c r="F646" s="9"/>
      <c r="G646" s="11"/>
      <c r="H646" s="5"/>
      <c r="I646" s="8"/>
      <c r="J646" s="8"/>
      <c r="Z646" s="6"/>
    </row>
    <row r="647" spans="2:26" ht="12.75" x14ac:dyDescent="0.2">
      <c r="B647" s="6"/>
      <c r="C647" s="6"/>
      <c r="D647" s="6"/>
      <c r="E647" s="9"/>
      <c r="F647" s="9"/>
      <c r="G647" s="11"/>
      <c r="H647" s="5"/>
      <c r="I647" s="8"/>
      <c r="J647" s="8"/>
      <c r="Z647" s="6"/>
    </row>
    <row r="648" spans="2:26" ht="12.75" x14ac:dyDescent="0.2">
      <c r="B648" s="6"/>
      <c r="C648" s="6"/>
      <c r="D648" s="6"/>
      <c r="E648" s="9"/>
      <c r="F648" s="9"/>
      <c r="G648" s="11"/>
      <c r="H648" s="5"/>
      <c r="I648" s="8"/>
      <c r="J648" s="8"/>
      <c r="Z648" s="6"/>
    </row>
    <row r="649" spans="2:26" ht="12.75" x14ac:dyDescent="0.2">
      <c r="B649" s="6"/>
      <c r="C649" s="6"/>
      <c r="D649" s="6"/>
      <c r="E649" s="9"/>
      <c r="F649" s="9"/>
      <c r="G649" s="11"/>
      <c r="H649" s="5"/>
      <c r="I649" s="8"/>
      <c r="J649" s="8"/>
      <c r="Z649" s="6"/>
    </row>
    <row r="650" spans="2:26" ht="12.75" x14ac:dyDescent="0.2">
      <c r="B650" s="6"/>
      <c r="C650" s="6"/>
      <c r="D650" s="6"/>
      <c r="E650" s="9"/>
      <c r="F650" s="9"/>
      <c r="G650" s="11"/>
      <c r="H650" s="5"/>
      <c r="I650" s="8"/>
      <c r="J650" s="8"/>
      <c r="Z650" s="6"/>
    </row>
    <row r="651" spans="2:26" ht="12.75" x14ac:dyDescent="0.2">
      <c r="B651" s="6"/>
      <c r="C651" s="6"/>
      <c r="D651" s="6"/>
      <c r="E651" s="9"/>
      <c r="F651" s="9"/>
      <c r="G651" s="11"/>
      <c r="H651" s="5"/>
      <c r="I651" s="8"/>
      <c r="J651" s="8"/>
      <c r="Z651" s="6"/>
    </row>
    <row r="652" spans="2:26" ht="12.75" x14ac:dyDescent="0.2">
      <c r="B652" s="6"/>
      <c r="C652" s="6"/>
      <c r="D652" s="6"/>
      <c r="E652" s="9"/>
      <c r="F652" s="9"/>
      <c r="G652" s="11"/>
      <c r="H652" s="5"/>
      <c r="I652" s="8"/>
      <c r="J652" s="8"/>
      <c r="Z652" s="6"/>
    </row>
    <row r="653" spans="2:26" ht="12.75" x14ac:dyDescent="0.2">
      <c r="B653" s="6"/>
      <c r="C653" s="6"/>
      <c r="D653" s="6"/>
      <c r="E653" s="9"/>
      <c r="F653" s="9"/>
      <c r="G653" s="11"/>
      <c r="H653" s="5"/>
      <c r="I653" s="8"/>
      <c r="J653" s="8"/>
      <c r="Z653" s="6"/>
    </row>
    <row r="654" spans="2:26" ht="12.75" x14ac:dyDescent="0.2">
      <c r="B654" s="6"/>
      <c r="C654" s="6"/>
      <c r="D654" s="6"/>
      <c r="E654" s="9"/>
      <c r="F654" s="9"/>
      <c r="G654" s="11"/>
      <c r="H654" s="5"/>
      <c r="I654" s="8"/>
      <c r="J654" s="8"/>
      <c r="Z654" s="6"/>
    </row>
    <row r="655" spans="2:26" ht="12.75" x14ac:dyDescent="0.2">
      <c r="B655" s="6"/>
      <c r="C655" s="6"/>
      <c r="D655" s="6"/>
      <c r="E655" s="9"/>
      <c r="F655" s="9"/>
      <c r="G655" s="11"/>
      <c r="H655" s="5"/>
      <c r="I655" s="8"/>
      <c r="J655" s="8"/>
      <c r="Z655" s="6"/>
    </row>
    <row r="656" spans="2:26" ht="12.75" x14ac:dyDescent="0.2">
      <c r="B656" s="6"/>
      <c r="C656" s="6"/>
      <c r="D656" s="6"/>
      <c r="E656" s="9"/>
      <c r="F656" s="9"/>
      <c r="G656" s="11"/>
      <c r="H656" s="5"/>
      <c r="I656" s="8"/>
      <c r="J656" s="8"/>
      <c r="Z656" s="6"/>
    </row>
    <row r="657" spans="2:26" ht="12.75" x14ac:dyDescent="0.2">
      <c r="B657" s="6"/>
      <c r="C657" s="6"/>
      <c r="D657" s="6"/>
      <c r="E657" s="9"/>
      <c r="F657" s="9"/>
      <c r="G657" s="11"/>
      <c r="H657" s="5"/>
      <c r="I657" s="8"/>
      <c r="J657" s="8"/>
      <c r="Z657" s="6"/>
    </row>
    <row r="658" spans="2:26" ht="12.75" x14ac:dyDescent="0.2">
      <c r="B658" s="6"/>
      <c r="C658" s="6"/>
      <c r="D658" s="6"/>
      <c r="E658" s="9"/>
      <c r="F658" s="9"/>
      <c r="G658" s="11"/>
      <c r="H658" s="5"/>
      <c r="I658" s="8"/>
      <c r="J658" s="8"/>
      <c r="Z658" s="6"/>
    </row>
    <row r="659" spans="2:26" ht="12.75" x14ac:dyDescent="0.2">
      <c r="B659" s="6"/>
      <c r="C659" s="6"/>
      <c r="D659" s="6"/>
      <c r="E659" s="9"/>
      <c r="F659" s="9"/>
      <c r="G659" s="11"/>
      <c r="H659" s="5"/>
      <c r="I659" s="8"/>
      <c r="J659" s="8"/>
      <c r="Z659" s="6"/>
    </row>
    <row r="660" spans="2:26" ht="12.75" x14ac:dyDescent="0.2">
      <c r="B660" s="6"/>
      <c r="C660" s="6"/>
      <c r="D660" s="6"/>
      <c r="E660" s="9"/>
      <c r="F660" s="9"/>
      <c r="G660" s="11"/>
      <c r="H660" s="5"/>
      <c r="I660" s="8"/>
      <c r="J660" s="8"/>
      <c r="Z660" s="6"/>
    </row>
    <row r="661" spans="2:26" ht="12.75" x14ac:dyDescent="0.2">
      <c r="B661" s="6"/>
      <c r="C661" s="6"/>
      <c r="D661" s="6"/>
      <c r="E661" s="9"/>
      <c r="F661" s="9"/>
      <c r="G661" s="11"/>
      <c r="H661" s="5"/>
      <c r="I661" s="8"/>
      <c r="J661" s="8"/>
      <c r="Z661" s="6"/>
    </row>
    <row r="662" spans="2:26" ht="12.75" x14ac:dyDescent="0.2">
      <c r="B662" s="6"/>
      <c r="C662" s="6"/>
      <c r="D662" s="6"/>
      <c r="E662" s="9"/>
      <c r="F662" s="9"/>
      <c r="G662" s="11"/>
      <c r="H662" s="5"/>
      <c r="I662" s="8"/>
      <c r="J662" s="8"/>
      <c r="Z662" s="6"/>
    </row>
    <row r="663" spans="2:26" ht="12.75" x14ac:dyDescent="0.2">
      <c r="B663" s="6"/>
      <c r="C663" s="6"/>
      <c r="D663" s="6"/>
      <c r="E663" s="9"/>
      <c r="F663" s="9"/>
      <c r="G663" s="11"/>
      <c r="H663" s="5"/>
      <c r="I663" s="8"/>
      <c r="J663" s="8"/>
      <c r="Z663" s="6"/>
    </row>
    <row r="664" spans="2:26" ht="12.75" x14ac:dyDescent="0.2">
      <c r="B664" s="6"/>
      <c r="C664" s="6"/>
      <c r="D664" s="6"/>
      <c r="E664" s="9"/>
      <c r="F664" s="9"/>
      <c r="G664" s="11"/>
      <c r="H664" s="5"/>
      <c r="I664" s="8"/>
      <c r="J664" s="8"/>
      <c r="Z664" s="6"/>
    </row>
    <row r="665" spans="2:26" ht="12.75" x14ac:dyDescent="0.2">
      <c r="B665" s="6"/>
      <c r="C665" s="6"/>
      <c r="D665" s="6"/>
      <c r="E665" s="9"/>
      <c r="F665" s="9"/>
      <c r="G665" s="11"/>
      <c r="H665" s="5"/>
      <c r="I665" s="8"/>
      <c r="J665" s="8"/>
      <c r="Z665" s="6"/>
    </row>
    <row r="666" spans="2:26" ht="12.75" x14ac:dyDescent="0.2">
      <c r="B666" s="6"/>
      <c r="C666" s="6"/>
      <c r="D666" s="6"/>
      <c r="E666" s="9"/>
      <c r="F666" s="9"/>
      <c r="G666" s="11"/>
      <c r="H666" s="5"/>
      <c r="I666" s="8"/>
      <c r="J666" s="8"/>
      <c r="Z666" s="6"/>
    </row>
    <row r="667" spans="2:26" ht="12.75" x14ac:dyDescent="0.2">
      <c r="B667" s="6"/>
      <c r="C667" s="6"/>
      <c r="D667" s="6"/>
      <c r="E667" s="9"/>
      <c r="F667" s="9"/>
      <c r="G667" s="11"/>
      <c r="H667" s="5"/>
      <c r="I667" s="8"/>
      <c r="J667" s="8"/>
      <c r="Z667" s="6"/>
    </row>
    <row r="668" spans="2:26" ht="12.75" x14ac:dyDescent="0.2">
      <c r="B668" s="6"/>
      <c r="C668" s="6"/>
      <c r="D668" s="6"/>
      <c r="E668" s="9"/>
      <c r="F668" s="9"/>
      <c r="G668" s="11"/>
      <c r="H668" s="5"/>
      <c r="I668" s="8"/>
      <c r="J668" s="8"/>
      <c r="Z668" s="6"/>
    </row>
    <row r="669" spans="2:26" ht="12.75" x14ac:dyDescent="0.2">
      <c r="B669" s="6"/>
      <c r="C669" s="6"/>
      <c r="D669" s="6"/>
      <c r="E669" s="9"/>
      <c r="F669" s="9"/>
      <c r="G669" s="11"/>
      <c r="H669" s="5"/>
      <c r="I669" s="8"/>
      <c r="J669" s="8"/>
      <c r="Z669" s="6"/>
    </row>
    <row r="670" spans="2:26" ht="12.75" x14ac:dyDescent="0.2">
      <c r="B670" s="6"/>
      <c r="C670" s="6"/>
      <c r="D670" s="6"/>
      <c r="E670" s="9"/>
      <c r="F670" s="9"/>
      <c r="G670" s="11"/>
      <c r="H670" s="5"/>
      <c r="I670" s="8"/>
      <c r="J670" s="8"/>
      <c r="Z670" s="6"/>
    </row>
    <row r="671" spans="2:26" ht="12.75" x14ac:dyDescent="0.2">
      <c r="B671" s="6"/>
      <c r="C671" s="6"/>
      <c r="D671" s="6"/>
      <c r="E671" s="9"/>
      <c r="F671" s="9"/>
      <c r="G671" s="11"/>
      <c r="H671" s="5"/>
      <c r="I671" s="8"/>
      <c r="J671" s="8"/>
      <c r="Z671" s="6"/>
    </row>
    <row r="672" spans="2:26" ht="12.75" x14ac:dyDescent="0.2">
      <c r="B672" s="6"/>
      <c r="C672" s="6"/>
      <c r="D672" s="6"/>
      <c r="E672" s="9"/>
      <c r="F672" s="9"/>
      <c r="G672" s="11"/>
      <c r="H672" s="5"/>
      <c r="I672" s="8"/>
      <c r="J672" s="8"/>
      <c r="Z672" s="6"/>
    </row>
    <row r="673" spans="2:26" ht="12.75" x14ac:dyDescent="0.2">
      <c r="B673" s="6"/>
      <c r="C673" s="6"/>
      <c r="D673" s="6"/>
      <c r="E673" s="9"/>
      <c r="F673" s="9"/>
      <c r="G673" s="11"/>
      <c r="H673" s="5"/>
      <c r="I673" s="8"/>
      <c r="J673" s="8"/>
      <c r="Z673" s="6"/>
    </row>
    <row r="674" spans="2:26" ht="12.75" x14ac:dyDescent="0.2">
      <c r="B674" s="6"/>
      <c r="C674" s="6"/>
      <c r="D674" s="6"/>
      <c r="E674" s="9"/>
      <c r="F674" s="9"/>
      <c r="G674" s="11"/>
      <c r="H674" s="5"/>
      <c r="I674" s="8"/>
      <c r="J674" s="8"/>
      <c r="Z674" s="6"/>
    </row>
    <row r="675" spans="2:26" ht="12.75" x14ac:dyDescent="0.2">
      <c r="B675" s="6"/>
      <c r="C675" s="6"/>
      <c r="D675" s="6"/>
      <c r="E675" s="9"/>
      <c r="F675" s="9"/>
      <c r="G675" s="11"/>
      <c r="H675" s="5"/>
      <c r="I675" s="8"/>
      <c r="J675" s="8"/>
      <c r="Z675" s="6"/>
    </row>
    <row r="676" spans="2:26" ht="12.75" x14ac:dyDescent="0.2">
      <c r="B676" s="6"/>
      <c r="C676" s="6"/>
      <c r="D676" s="6"/>
      <c r="E676" s="9"/>
      <c r="F676" s="9"/>
      <c r="G676" s="11"/>
      <c r="H676" s="5"/>
      <c r="I676" s="8"/>
      <c r="J676" s="8"/>
      <c r="Z676" s="6"/>
    </row>
    <row r="677" spans="2:26" ht="12.75" x14ac:dyDescent="0.2">
      <c r="B677" s="6"/>
      <c r="C677" s="6"/>
      <c r="D677" s="6"/>
      <c r="E677" s="9"/>
      <c r="F677" s="9"/>
      <c r="G677" s="11"/>
      <c r="H677" s="5"/>
      <c r="I677" s="8"/>
      <c r="J677" s="8"/>
      <c r="Z677" s="6"/>
    </row>
    <row r="678" spans="2:26" ht="12.75" x14ac:dyDescent="0.2">
      <c r="B678" s="6"/>
      <c r="C678" s="6"/>
      <c r="D678" s="6"/>
      <c r="E678" s="9"/>
      <c r="F678" s="9"/>
      <c r="G678" s="11"/>
      <c r="H678" s="5"/>
      <c r="I678" s="8"/>
      <c r="J678" s="8"/>
      <c r="Z678" s="6"/>
    </row>
    <row r="679" spans="2:26" ht="12.75" x14ac:dyDescent="0.2">
      <c r="B679" s="6"/>
      <c r="C679" s="6"/>
      <c r="D679" s="6"/>
      <c r="E679" s="9"/>
      <c r="F679" s="9"/>
      <c r="G679" s="11"/>
      <c r="H679" s="5"/>
      <c r="I679" s="8"/>
      <c r="J679" s="8"/>
      <c r="Z679" s="6"/>
    </row>
    <row r="680" spans="2:26" ht="12.75" x14ac:dyDescent="0.2">
      <c r="B680" s="6"/>
      <c r="C680" s="6"/>
      <c r="D680" s="6"/>
      <c r="E680" s="9"/>
      <c r="F680" s="9"/>
      <c r="G680" s="11"/>
      <c r="H680" s="5"/>
      <c r="I680" s="8"/>
      <c r="J680" s="8"/>
      <c r="Z680" s="6"/>
    </row>
    <row r="681" spans="2:26" ht="12.75" x14ac:dyDescent="0.2">
      <c r="B681" s="6"/>
      <c r="C681" s="6"/>
      <c r="D681" s="6"/>
      <c r="E681" s="9"/>
      <c r="F681" s="9"/>
      <c r="G681" s="11"/>
      <c r="H681" s="5"/>
      <c r="I681" s="8"/>
      <c r="J681" s="8"/>
      <c r="Z681" s="6"/>
    </row>
    <row r="682" spans="2:26" ht="12.75" x14ac:dyDescent="0.2">
      <c r="B682" s="6"/>
      <c r="C682" s="6"/>
      <c r="D682" s="6"/>
      <c r="E682" s="9"/>
      <c r="F682" s="9"/>
      <c r="G682" s="11"/>
      <c r="H682" s="5"/>
      <c r="I682" s="8"/>
      <c r="J682" s="8"/>
      <c r="Z682" s="6"/>
    </row>
    <row r="683" spans="2:26" ht="12.75" x14ac:dyDescent="0.2">
      <c r="B683" s="6"/>
      <c r="C683" s="6"/>
      <c r="D683" s="6"/>
      <c r="E683" s="9"/>
      <c r="F683" s="9"/>
      <c r="G683" s="11"/>
      <c r="H683" s="5"/>
      <c r="I683" s="8"/>
      <c r="J683" s="8"/>
      <c r="Z683" s="6"/>
    </row>
    <row r="684" spans="2:26" ht="12.75" x14ac:dyDescent="0.2">
      <c r="B684" s="6"/>
      <c r="C684" s="6"/>
      <c r="D684" s="6"/>
      <c r="E684" s="9"/>
      <c r="F684" s="9"/>
      <c r="G684" s="11"/>
      <c r="H684" s="5"/>
      <c r="I684" s="8"/>
      <c r="J684" s="8"/>
      <c r="Z684" s="6"/>
    </row>
    <row r="685" spans="2:26" ht="12.75" x14ac:dyDescent="0.2">
      <c r="B685" s="6"/>
      <c r="C685" s="6"/>
      <c r="D685" s="6"/>
      <c r="E685" s="9"/>
      <c r="F685" s="9"/>
      <c r="G685" s="11"/>
      <c r="H685" s="5"/>
      <c r="I685" s="8"/>
      <c r="J685" s="8"/>
      <c r="Z685" s="6"/>
    </row>
    <row r="686" spans="2:26" ht="12.75" x14ac:dyDescent="0.2">
      <c r="B686" s="6"/>
      <c r="C686" s="6"/>
      <c r="D686" s="6"/>
      <c r="E686" s="9"/>
      <c r="F686" s="9"/>
      <c r="G686" s="11"/>
      <c r="H686" s="5"/>
      <c r="I686" s="8"/>
      <c r="J686" s="8"/>
      <c r="Z686" s="6"/>
    </row>
    <row r="687" spans="2:26" ht="12.75" x14ac:dyDescent="0.2">
      <c r="B687" s="6"/>
      <c r="C687" s="6"/>
      <c r="D687" s="6"/>
      <c r="E687" s="9"/>
      <c r="F687" s="9"/>
      <c r="G687" s="11"/>
      <c r="H687" s="5"/>
      <c r="I687" s="8"/>
      <c r="J687" s="8"/>
      <c r="Z687" s="6"/>
    </row>
    <row r="688" spans="2:26" ht="12.75" x14ac:dyDescent="0.2">
      <c r="B688" s="6"/>
      <c r="C688" s="6"/>
      <c r="D688" s="6"/>
      <c r="E688" s="9"/>
      <c r="F688" s="9"/>
      <c r="G688" s="11"/>
      <c r="H688" s="5"/>
      <c r="I688" s="8"/>
      <c r="J688" s="8"/>
      <c r="Z688" s="6"/>
    </row>
    <row r="689" spans="2:26" ht="12.75" x14ac:dyDescent="0.2">
      <c r="B689" s="6"/>
      <c r="C689" s="6"/>
      <c r="D689" s="6"/>
      <c r="E689" s="9"/>
      <c r="F689" s="9"/>
      <c r="G689" s="11"/>
      <c r="H689" s="5"/>
      <c r="I689" s="8"/>
      <c r="J689" s="8"/>
      <c r="Z689" s="6"/>
    </row>
    <row r="690" spans="2:26" ht="12.75" x14ac:dyDescent="0.2">
      <c r="B690" s="6"/>
      <c r="C690" s="6"/>
      <c r="D690" s="6"/>
      <c r="E690" s="9"/>
      <c r="F690" s="9"/>
      <c r="G690" s="11"/>
      <c r="H690" s="5"/>
      <c r="I690" s="8"/>
      <c r="J690" s="8"/>
      <c r="Z690" s="6"/>
    </row>
    <row r="691" spans="2:26" ht="12.75" x14ac:dyDescent="0.2">
      <c r="B691" s="6"/>
      <c r="C691" s="6"/>
      <c r="D691" s="6"/>
      <c r="E691" s="9"/>
      <c r="F691" s="9"/>
      <c r="G691" s="11"/>
      <c r="H691" s="5"/>
      <c r="I691" s="8"/>
      <c r="J691" s="8"/>
      <c r="Z691" s="6"/>
    </row>
    <row r="692" spans="2:26" ht="12.75" x14ac:dyDescent="0.2">
      <c r="B692" s="6"/>
      <c r="C692" s="6"/>
      <c r="D692" s="6"/>
      <c r="E692" s="9"/>
      <c r="F692" s="9"/>
      <c r="G692" s="11"/>
      <c r="H692" s="5"/>
      <c r="I692" s="8"/>
      <c r="J692" s="8"/>
      <c r="Z692" s="6"/>
    </row>
    <row r="693" spans="2:26" ht="12.75" x14ac:dyDescent="0.2">
      <c r="B693" s="6"/>
      <c r="C693" s="6"/>
      <c r="D693" s="6"/>
      <c r="E693" s="9"/>
      <c r="F693" s="9"/>
      <c r="G693" s="11"/>
      <c r="H693" s="5"/>
      <c r="I693" s="8"/>
      <c r="J693" s="8"/>
      <c r="Z693" s="6"/>
    </row>
    <row r="694" spans="2:26" ht="12.75" x14ac:dyDescent="0.2">
      <c r="B694" s="6"/>
      <c r="C694" s="6"/>
      <c r="D694" s="6"/>
      <c r="E694" s="9"/>
      <c r="F694" s="9"/>
      <c r="G694" s="11"/>
      <c r="H694" s="5"/>
      <c r="I694" s="8"/>
      <c r="J694" s="8"/>
      <c r="Z694" s="6"/>
    </row>
    <row r="695" spans="2:26" ht="12.75" x14ac:dyDescent="0.2">
      <c r="B695" s="6"/>
      <c r="C695" s="6"/>
      <c r="D695" s="6"/>
      <c r="E695" s="9"/>
      <c r="F695" s="9"/>
      <c r="G695" s="11"/>
      <c r="H695" s="5"/>
      <c r="I695" s="8"/>
      <c r="J695" s="8"/>
      <c r="Z695" s="6"/>
    </row>
    <row r="696" spans="2:26" ht="12.75" x14ac:dyDescent="0.2">
      <c r="B696" s="6"/>
      <c r="C696" s="6"/>
      <c r="D696" s="6"/>
      <c r="E696" s="9"/>
      <c r="F696" s="9"/>
      <c r="G696" s="11"/>
      <c r="H696" s="5"/>
      <c r="I696" s="8"/>
      <c r="J696" s="8"/>
      <c r="Z696" s="6"/>
    </row>
    <row r="697" spans="2:26" ht="12.75" x14ac:dyDescent="0.2">
      <c r="B697" s="6"/>
      <c r="C697" s="6"/>
      <c r="D697" s="6"/>
      <c r="E697" s="9"/>
      <c r="F697" s="9"/>
      <c r="G697" s="11"/>
      <c r="H697" s="5"/>
      <c r="I697" s="8"/>
      <c r="J697" s="8"/>
      <c r="Z697" s="6"/>
    </row>
    <row r="698" spans="2:26" ht="12.75" x14ac:dyDescent="0.2">
      <c r="B698" s="6"/>
      <c r="C698" s="6"/>
      <c r="D698" s="6"/>
      <c r="E698" s="9"/>
      <c r="F698" s="9"/>
      <c r="G698" s="11"/>
      <c r="H698" s="5"/>
      <c r="I698" s="8"/>
      <c r="J698" s="8"/>
      <c r="Z698" s="6"/>
    </row>
    <row r="699" spans="2:26" ht="12.75" x14ac:dyDescent="0.2">
      <c r="B699" s="6"/>
      <c r="C699" s="6"/>
      <c r="D699" s="6"/>
      <c r="E699" s="9"/>
      <c r="F699" s="9"/>
      <c r="G699" s="11"/>
      <c r="H699" s="5"/>
      <c r="I699" s="8"/>
      <c r="J699" s="8"/>
      <c r="Z699" s="6"/>
    </row>
    <row r="700" spans="2:26" ht="12.75" x14ac:dyDescent="0.2">
      <c r="B700" s="6"/>
      <c r="C700" s="6"/>
      <c r="D700" s="6"/>
      <c r="E700" s="9"/>
      <c r="F700" s="9"/>
      <c r="G700" s="11"/>
      <c r="H700" s="5"/>
      <c r="I700" s="8"/>
      <c r="J700" s="8"/>
      <c r="Z700" s="6"/>
    </row>
    <row r="701" spans="2:26" ht="12.75" x14ac:dyDescent="0.2">
      <c r="B701" s="6"/>
      <c r="C701" s="6"/>
      <c r="D701" s="6"/>
      <c r="E701" s="9"/>
      <c r="F701" s="9"/>
      <c r="G701" s="11"/>
      <c r="H701" s="5"/>
      <c r="I701" s="8"/>
      <c r="J701" s="8"/>
      <c r="Z701" s="6"/>
    </row>
    <row r="702" spans="2:26" ht="12.75" x14ac:dyDescent="0.2">
      <c r="B702" s="6"/>
      <c r="C702" s="6"/>
      <c r="D702" s="6"/>
      <c r="E702" s="9"/>
      <c r="F702" s="9"/>
      <c r="G702" s="11"/>
      <c r="H702" s="5"/>
      <c r="I702" s="8"/>
      <c r="J702" s="8"/>
      <c r="Z702" s="6"/>
    </row>
    <row r="703" spans="2:26" ht="12.75" x14ac:dyDescent="0.2">
      <c r="B703" s="6"/>
      <c r="C703" s="6"/>
      <c r="D703" s="6"/>
      <c r="E703" s="9"/>
      <c r="F703" s="9"/>
      <c r="G703" s="11"/>
      <c r="H703" s="5"/>
      <c r="I703" s="8"/>
      <c r="J703" s="8"/>
      <c r="Z703" s="6"/>
    </row>
    <row r="704" spans="2:26" ht="12.75" x14ac:dyDescent="0.2">
      <c r="B704" s="6"/>
      <c r="C704" s="6"/>
      <c r="D704" s="6"/>
      <c r="E704" s="9"/>
      <c r="F704" s="9"/>
      <c r="G704" s="11"/>
      <c r="H704" s="5"/>
      <c r="I704" s="8"/>
      <c r="J704" s="8"/>
      <c r="Z704" s="6"/>
    </row>
    <row r="705" spans="2:26" ht="12.75" x14ac:dyDescent="0.2">
      <c r="B705" s="6"/>
      <c r="C705" s="6"/>
      <c r="D705" s="6"/>
      <c r="E705" s="9"/>
      <c r="F705" s="9"/>
      <c r="G705" s="11"/>
      <c r="H705" s="5"/>
      <c r="I705" s="8"/>
      <c r="J705" s="8"/>
      <c r="Z705" s="6"/>
    </row>
    <row r="706" spans="2:26" ht="12.75" x14ac:dyDescent="0.2">
      <c r="B706" s="6"/>
      <c r="C706" s="6"/>
      <c r="D706" s="6"/>
      <c r="E706" s="9"/>
      <c r="F706" s="9"/>
      <c r="G706" s="11"/>
      <c r="H706" s="5"/>
      <c r="I706" s="8"/>
      <c r="J706" s="8"/>
      <c r="Z706" s="6"/>
    </row>
    <row r="707" spans="2:26" ht="12.75" x14ac:dyDescent="0.2">
      <c r="B707" s="6"/>
      <c r="C707" s="6"/>
      <c r="D707" s="6"/>
      <c r="E707" s="9"/>
      <c r="F707" s="9"/>
      <c r="G707" s="11"/>
      <c r="H707" s="5"/>
      <c r="I707" s="8"/>
      <c r="J707" s="8"/>
      <c r="Z707" s="6"/>
    </row>
    <row r="708" spans="2:26" ht="12.75" x14ac:dyDescent="0.2">
      <c r="B708" s="6"/>
      <c r="C708" s="6"/>
      <c r="D708" s="6"/>
      <c r="E708" s="9"/>
      <c r="F708" s="9"/>
      <c r="G708" s="11"/>
      <c r="H708" s="5"/>
      <c r="I708" s="8"/>
      <c r="J708" s="8"/>
      <c r="Z708" s="6"/>
    </row>
    <row r="709" spans="2:26" ht="12.75" x14ac:dyDescent="0.2">
      <c r="B709" s="6"/>
      <c r="C709" s="6"/>
      <c r="D709" s="6"/>
      <c r="E709" s="9"/>
      <c r="F709" s="9"/>
      <c r="G709" s="11"/>
      <c r="H709" s="5"/>
      <c r="I709" s="8"/>
      <c r="J709" s="8"/>
      <c r="Z709" s="6"/>
    </row>
    <row r="710" spans="2:26" ht="12.75" x14ac:dyDescent="0.2">
      <c r="B710" s="6"/>
      <c r="C710" s="6"/>
      <c r="D710" s="6"/>
      <c r="E710" s="9"/>
      <c r="F710" s="9"/>
      <c r="G710" s="11"/>
      <c r="H710" s="5"/>
      <c r="I710" s="8"/>
      <c r="J710" s="8"/>
      <c r="Z710" s="6"/>
    </row>
    <row r="711" spans="2:26" ht="12.75" x14ac:dyDescent="0.2">
      <c r="B711" s="6"/>
      <c r="C711" s="6"/>
      <c r="D711" s="6"/>
      <c r="E711" s="9"/>
      <c r="F711" s="9"/>
      <c r="G711" s="11"/>
      <c r="H711" s="5"/>
      <c r="I711" s="8"/>
      <c r="J711" s="8"/>
      <c r="Z711" s="6"/>
    </row>
    <row r="712" spans="2:26" ht="12.75" x14ac:dyDescent="0.2">
      <c r="B712" s="6"/>
      <c r="C712" s="6"/>
      <c r="D712" s="6"/>
      <c r="E712" s="9"/>
      <c r="F712" s="9"/>
      <c r="G712" s="11"/>
      <c r="H712" s="5"/>
      <c r="I712" s="8"/>
      <c r="J712" s="8"/>
      <c r="Z712" s="6"/>
    </row>
    <row r="713" spans="2:26" ht="12.75" x14ac:dyDescent="0.2">
      <c r="B713" s="6"/>
      <c r="C713" s="6"/>
      <c r="D713" s="6"/>
      <c r="E713" s="9"/>
      <c r="F713" s="9"/>
      <c r="G713" s="11"/>
      <c r="H713" s="5"/>
      <c r="I713" s="8"/>
      <c r="J713" s="8"/>
      <c r="Z713" s="6"/>
    </row>
    <row r="714" spans="2:26" ht="12.75" x14ac:dyDescent="0.2">
      <c r="B714" s="6"/>
      <c r="C714" s="6"/>
      <c r="D714" s="6"/>
      <c r="E714" s="9"/>
      <c r="F714" s="9"/>
      <c r="G714" s="11"/>
      <c r="H714" s="5"/>
      <c r="I714" s="8"/>
      <c r="J714" s="8"/>
      <c r="Z714" s="6"/>
    </row>
    <row r="715" spans="2:26" ht="12.75" x14ac:dyDescent="0.2">
      <c r="B715" s="6"/>
      <c r="C715" s="6"/>
      <c r="D715" s="6"/>
      <c r="E715" s="9"/>
      <c r="F715" s="9"/>
      <c r="G715" s="11"/>
      <c r="H715" s="5"/>
      <c r="I715" s="8"/>
      <c r="J715" s="8"/>
      <c r="Z715" s="6"/>
    </row>
    <row r="716" spans="2:26" ht="12.75" x14ac:dyDescent="0.2">
      <c r="B716" s="6"/>
      <c r="C716" s="6"/>
      <c r="D716" s="6"/>
      <c r="E716" s="9"/>
      <c r="F716" s="9"/>
      <c r="G716" s="11"/>
      <c r="H716" s="5"/>
      <c r="I716" s="8"/>
      <c r="J716" s="8"/>
      <c r="Z716" s="6"/>
    </row>
    <row r="717" spans="2:26" ht="12.75" x14ac:dyDescent="0.2">
      <c r="B717" s="6"/>
      <c r="C717" s="6"/>
      <c r="D717" s="6"/>
      <c r="E717" s="9"/>
      <c r="F717" s="9"/>
      <c r="G717" s="11"/>
      <c r="H717" s="5"/>
      <c r="I717" s="8"/>
      <c r="J717" s="8"/>
      <c r="Z717" s="6"/>
    </row>
    <row r="718" spans="2:26" ht="12.75" x14ac:dyDescent="0.2">
      <c r="B718" s="6"/>
      <c r="C718" s="6"/>
      <c r="D718" s="6"/>
      <c r="E718" s="9"/>
      <c r="F718" s="9"/>
      <c r="G718" s="11"/>
      <c r="H718" s="5"/>
      <c r="I718" s="8"/>
      <c r="J718" s="8"/>
      <c r="Z718" s="6"/>
    </row>
    <row r="719" spans="2:26" ht="12.75" x14ac:dyDescent="0.2">
      <c r="B719" s="6"/>
      <c r="C719" s="6"/>
      <c r="D719" s="6"/>
      <c r="E719" s="9"/>
      <c r="F719" s="9"/>
      <c r="G719" s="11"/>
      <c r="H719" s="5"/>
      <c r="I719" s="8"/>
      <c r="J719" s="8"/>
      <c r="Z719" s="6"/>
    </row>
    <row r="720" spans="2:26" ht="12.75" x14ac:dyDescent="0.2">
      <c r="B720" s="6"/>
      <c r="C720" s="6"/>
      <c r="D720" s="6"/>
      <c r="E720" s="9"/>
      <c r="F720" s="9"/>
      <c r="G720" s="11"/>
      <c r="H720" s="5"/>
      <c r="I720" s="8"/>
      <c r="J720" s="8"/>
      <c r="Z720" s="6"/>
    </row>
    <row r="721" spans="2:26" ht="12.75" x14ac:dyDescent="0.2">
      <c r="B721" s="6"/>
      <c r="C721" s="6"/>
      <c r="D721" s="6"/>
      <c r="E721" s="9"/>
      <c r="F721" s="9"/>
      <c r="G721" s="11"/>
      <c r="H721" s="5"/>
      <c r="I721" s="8"/>
      <c r="J721" s="8"/>
      <c r="Z721" s="6"/>
    </row>
    <row r="722" spans="2:26" ht="12.75" x14ac:dyDescent="0.2">
      <c r="B722" s="6"/>
      <c r="C722" s="6"/>
      <c r="D722" s="6"/>
      <c r="E722" s="9"/>
      <c r="F722" s="9"/>
      <c r="G722" s="11"/>
      <c r="H722" s="5"/>
      <c r="I722" s="8"/>
      <c r="J722" s="8"/>
      <c r="Z722" s="6"/>
    </row>
    <row r="723" spans="2:26" ht="12.75" x14ac:dyDescent="0.2">
      <c r="B723" s="6"/>
      <c r="C723" s="6"/>
      <c r="D723" s="6"/>
      <c r="E723" s="9"/>
      <c r="F723" s="9"/>
      <c r="G723" s="11"/>
      <c r="H723" s="5"/>
      <c r="I723" s="8"/>
      <c r="J723" s="8"/>
      <c r="Z723" s="6"/>
    </row>
    <row r="724" spans="2:26" ht="12.75" x14ac:dyDescent="0.2">
      <c r="B724" s="6"/>
      <c r="C724" s="6"/>
      <c r="D724" s="6"/>
      <c r="E724" s="9"/>
      <c r="F724" s="9"/>
      <c r="G724" s="11"/>
      <c r="H724" s="5"/>
      <c r="I724" s="8"/>
      <c r="J724" s="8"/>
      <c r="Z724" s="6"/>
    </row>
    <row r="725" spans="2:26" ht="12.75" x14ac:dyDescent="0.2">
      <c r="B725" s="6"/>
      <c r="C725" s="6"/>
      <c r="D725" s="6"/>
      <c r="E725" s="9"/>
      <c r="F725" s="9"/>
      <c r="G725" s="11"/>
      <c r="H725" s="5"/>
      <c r="I725" s="8"/>
      <c r="J725" s="8"/>
      <c r="Z725" s="6"/>
    </row>
    <row r="726" spans="2:26" ht="12.75" x14ac:dyDescent="0.2">
      <c r="B726" s="6"/>
      <c r="C726" s="6"/>
      <c r="D726" s="6"/>
      <c r="E726" s="9"/>
      <c r="F726" s="9"/>
      <c r="G726" s="11"/>
      <c r="H726" s="5"/>
      <c r="I726" s="8"/>
      <c r="J726" s="8"/>
      <c r="Z726" s="6"/>
    </row>
    <row r="727" spans="2:26" ht="12.75" x14ac:dyDescent="0.2">
      <c r="B727" s="6"/>
      <c r="C727" s="6"/>
      <c r="D727" s="6"/>
      <c r="E727" s="9"/>
      <c r="F727" s="9"/>
      <c r="G727" s="11"/>
      <c r="H727" s="5"/>
      <c r="I727" s="8"/>
      <c r="J727" s="8"/>
      <c r="Z727" s="6"/>
    </row>
    <row r="728" spans="2:26" ht="12.75" x14ac:dyDescent="0.2">
      <c r="B728" s="6"/>
      <c r="C728" s="6"/>
      <c r="D728" s="6"/>
      <c r="E728" s="9"/>
      <c r="F728" s="9"/>
      <c r="G728" s="11"/>
      <c r="H728" s="5"/>
      <c r="I728" s="8"/>
      <c r="J728" s="8"/>
      <c r="Z728" s="6"/>
    </row>
    <row r="729" spans="2:26" ht="12.75" x14ac:dyDescent="0.2">
      <c r="B729" s="6"/>
      <c r="C729" s="6"/>
      <c r="D729" s="6"/>
      <c r="E729" s="9"/>
      <c r="F729" s="9"/>
      <c r="G729" s="11"/>
      <c r="H729" s="5"/>
      <c r="I729" s="8"/>
      <c r="J729" s="8"/>
      <c r="Z729" s="6"/>
    </row>
    <row r="730" spans="2:26" ht="12.75" x14ac:dyDescent="0.2">
      <c r="B730" s="6"/>
      <c r="C730" s="6"/>
      <c r="D730" s="6"/>
      <c r="E730" s="9"/>
      <c r="F730" s="9"/>
      <c r="G730" s="11"/>
      <c r="H730" s="5"/>
      <c r="I730" s="8"/>
      <c r="J730" s="8"/>
      <c r="Z730" s="6"/>
    </row>
    <row r="731" spans="2:26" ht="12.75" x14ac:dyDescent="0.2">
      <c r="B731" s="6"/>
      <c r="C731" s="6"/>
      <c r="D731" s="6"/>
      <c r="E731" s="9"/>
      <c r="F731" s="9"/>
      <c r="G731" s="11"/>
      <c r="H731" s="5"/>
      <c r="I731" s="8"/>
      <c r="J731" s="8"/>
      <c r="Z731" s="6"/>
    </row>
    <row r="732" spans="2:26" ht="12.75" x14ac:dyDescent="0.2">
      <c r="B732" s="6"/>
      <c r="C732" s="6"/>
      <c r="D732" s="6"/>
      <c r="E732" s="9"/>
      <c r="F732" s="9"/>
      <c r="G732" s="11"/>
      <c r="H732" s="5"/>
      <c r="I732" s="8"/>
      <c r="J732" s="8"/>
      <c r="Z732" s="6"/>
    </row>
    <row r="733" spans="2:26" ht="12.75" x14ac:dyDescent="0.2">
      <c r="B733" s="6"/>
      <c r="C733" s="6"/>
      <c r="D733" s="6"/>
      <c r="E733" s="9"/>
      <c r="F733" s="9"/>
      <c r="G733" s="11"/>
      <c r="H733" s="5"/>
      <c r="I733" s="8"/>
      <c r="J733" s="8"/>
      <c r="Z733" s="6"/>
    </row>
    <row r="734" spans="2:26" ht="12.75" x14ac:dyDescent="0.2">
      <c r="B734" s="6"/>
      <c r="C734" s="6"/>
      <c r="D734" s="6"/>
      <c r="E734" s="9"/>
      <c r="F734" s="9"/>
      <c r="G734" s="11"/>
      <c r="H734" s="5"/>
      <c r="I734" s="8"/>
      <c r="J734" s="8"/>
      <c r="Z734" s="6"/>
    </row>
    <row r="735" spans="2:26" ht="12.75" x14ac:dyDescent="0.2">
      <c r="B735" s="6"/>
      <c r="C735" s="6"/>
      <c r="D735" s="6"/>
      <c r="E735" s="9"/>
      <c r="F735" s="9"/>
      <c r="G735" s="11"/>
      <c r="H735" s="5"/>
      <c r="I735" s="8"/>
      <c r="J735" s="8"/>
      <c r="Z735" s="6"/>
    </row>
    <row r="736" spans="2:26" ht="12.75" x14ac:dyDescent="0.2">
      <c r="B736" s="6"/>
      <c r="C736" s="6"/>
      <c r="D736" s="6"/>
      <c r="E736" s="9"/>
      <c r="F736" s="9"/>
      <c r="G736" s="11"/>
      <c r="H736" s="5"/>
      <c r="I736" s="8"/>
      <c r="J736" s="8"/>
      <c r="Z736" s="6"/>
    </row>
    <row r="737" spans="2:26" ht="12.75" x14ac:dyDescent="0.2">
      <c r="B737" s="6"/>
      <c r="C737" s="6"/>
      <c r="D737" s="6"/>
      <c r="E737" s="9"/>
      <c r="F737" s="9"/>
      <c r="G737" s="11"/>
      <c r="H737" s="5"/>
      <c r="I737" s="8"/>
      <c r="J737" s="8"/>
      <c r="Z737" s="6"/>
    </row>
    <row r="738" spans="2:26" ht="12.75" x14ac:dyDescent="0.2">
      <c r="B738" s="6"/>
      <c r="C738" s="6"/>
      <c r="D738" s="6"/>
      <c r="E738" s="9"/>
      <c r="F738" s="9"/>
      <c r="G738" s="11"/>
      <c r="H738" s="5"/>
      <c r="I738" s="8"/>
      <c r="J738" s="8"/>
      <c r="Z738" s="6"/>
    </row>
    <row r="739" spans="2:26" ht="12.75" x14ac:dyDescent="0.2">
      <c r="B739" s="6"/>
      <c r="C739" s="6"/>
      <c r="D739" s="6"/>
      <c r="E739" s="9"/>
      <c r="F739" s="9"/>
      <c r="G739" s="11"/>
      <c r="H739" s="5"/>
      <c r="I739" s="8"/>
      <c r="J739" s="8"/>
      <c r="Z739" s="6"/>
    </row>
    <row r="740" spans="2:26" ht="12.75" x14ac:dyDescent="0.2">
      <c r="B740" s="6"/>
      <c r="C740" s="6"/>
      <c r="D740" s="6"/>
      <c r="E740" s="9"/>
      <c r="F740" s="9"/>
      <c r="G740" s="11"/>
      <c r="H740" s="5"/>
      <c r="I740" s="8"/>
      <c r="J740" s="8"/>
      <c r="Z740" s="6"/>
    </row>
    <row r="741" spans="2:26" ht="12.75" x14ac:dyDescent="0.2">
      <c r="B741" s="6"/>
      <c r="C741" s="6"/>
      <c r="D741" s="6"/>
      <c r="E741" s="9"/>
      <c r="F741" s="9"/>
      <c r="G741" s="11"/>
      <c r="H741" s="5"/>
      <c r="I741" s="8"/>
      <c r="J741" s="8"/>
      <c r="Z741" s="6"/>
    </row>
    <row r="742" spans="2:26" ht="12.75" x14ac:dyDescent="0.2">
      <c r="B742" s="6"/>
      <c r="C742" s="6"/>
      <c r="D742" s="6"/>
      <c r="E742" s="9"/>
      <c r="F742" s="9"/>
      <c r="G742" s="11"/>
      <c r="H742" s="5"/>
      <c r="I742" s="8"/>
      <c r="J742" s="8"/>
      <c r="Z742" s="6"/>
    </row>
    <row r="743" spans="2:26" ht="12.75" x14ac:dyDescent="0.2">
      <c r="B743" s="6"/>
      <c r="C743" s="6"/>
      <c r="D743" s="6"/>
      <c r="E743" s="9"/>
      <c r="F743" s="9"/>
      <c r="G743" s="11"/>
      <c r="H743" s="5"/>
      <c r="I743" s="8"/>
      <c r="J743" s="8"/>
      <c r="Z743" s="6"/>
    </row>
    <row r="744" spans="2:26" ht="12.75" x14ac:dyDescent="0.2">
      <c r="B744" s="6"/>
      <c r="C744" s="6"/>
      <c r="D744" s="6"/>
      <c r="E744" s="9"/>
      <c r="F744" s="9"/>
      <c r="G744" s="11"/>
      <c r="H744" s="5"/>
      <c r="I744" s="8"/>
      <c r="J744" s="8"/>
      <c r="Z744" s="6"/>
    </row>
    <row r="745" spans="2:26" ht="12.75" x14ac:dyDescent="0.2">
      <c r="B745" s="6"/>
      <c r="C745" s="6"/>
      <c r="D745" s="6"/>
      <c r="E745" s="9"/>
      <c r="F745" s="9"/>
      <c r="G745" s="11"/>
      <c r="H745" s="5"/>
      <c r="I745" s="8"/>
      <c r="J745" s="8"/>
      <c r="Z745" s="6"/>
    </row>
    <row r="746" spans="2:26" ht="12.75" x14ac:dyDescent="0.2">
      <c r="B746" s="6"/>
      <c r="C746" s="6"/>
      <c r="D746" s="6"/>
      <c r="E746" s="9"/>
      <c r="F746" s="9"/>
      <c r="G746" s="11"/>
      <c r="H746" s="5"/>
      <c r="I746" s="8"/>
      <c r="J746" s="8"/>
      <c r="Z746" s="6"/>
    </row>
    <row r="747" spans="2:26" ht="12.75" x14ac:dyDescent="0.2">
      <c r="B747" s="6"/>
      <c r="C747" s="6"/>
      <c r="D747" s="6"/>
      <c r="E747" s="9"/>
      <c r="F747" s="9"/>
      <c r="G747" s="11"/>
      <c r="H747" s="5"/>
      <c r="I747" s="8"/>
      <c r="J747" s="8"/>
      <c r="Z747" s="6"/>
    </row>
    <row r="748" spans="2:26" ht="12.75" x14ac:dyDescent="0.2">
      <c r="B748" s="6"/>
      <c r="C748" s="6"/>
      <c r="D748" s="6"/>
      <c r="E748" s="9"/>
      <c r="F748" s="9"/>
      <c r="G748" s="11"/>
      <c r="H748" s="5"/>
      <c r="I748" s="8"/>
      <c r="J748" s="8"/>
      <c r="Z748" s="6"/>
    </row>
    <row r="749" spans="2:26" ht="12.75" x14ac:dyDescent="0.2">
      <c r="B749" s="6"/>
      <c r="C749" s="6"/>
      <c r="D749" s="6"/>
      <c r="E749" s="9"/>
      <c r="F749" s="9"/>
      <c r="G749" s="11"/>
      <c r="H749" s="5"/>
      <c r="I749" s="8"/>
      <c r="J749" s="8"/>
      <c r="Z749" s="6"/>
    </row>
    <row r="750" spans="2:26" ht="12.75" x14ac:dyDescent="0.2">
      <c r="B750" s="6"/>
      <c r="C750" s="6"/>
      <c r="D750" s="6"/>
      <c r="E750" s="9"/>
      <c r="F750" s="9"/>
      <c r="G750" s="11"/>
      <c r="H750" s="5"/>
      <c r="I750" s="8"/>
      <c r="J750" s="8"/>
      <c r="Z750" s="6"/>
    </row>
    <row r="751" spans="2:26" ht="12.75" x14ac:dyDescent="0.2">
      <c r="B751" s="6"/>
      <c r="C751" s="6"/>
      <c r="D751" s="6"/>
      <c r="E751" s="9"/>
      <c r="F751" s="9"/>
      <c r="G751" s="11"/>
      <c r="H751" s="5"/>
      <c r="I751" s="8"/>
      <c r="J751" s="8"/>
      <c r="Z751" s="6"/>
    </row>
    <row r="752" spans="2:26" ht="12.75" x14ac:dyDescent="0.2">
      <c r="B752" s="6"/>
      <c r="C752" s="6"/>
      <c r="D752" s="6"/>
      <c r="E752" s="9"/>
      <c r="F752" s="9"/>
      <c r="G752" s="11"/>
      <c r="H752" s="5"/>
      <c r="I752" s="8"/>
      <c r="J752" s="8"/>
      <c r="Z752" s="6"/>
    </row>
    <row r="753" spans="2:26" ht="12.75" x14ac:dyDescent="0.2">
      <c r="B753" s="6"/>
      <c r="C753" s="6"/>
      <c r="D753" s="6"/>
      <c r="E753" s="9"/>
      <c r="F753" s="9"/>
      <c r="G753" s="11"/>
      <c r="H753" s="5"/>
      <c r="I753" s="8"/>
      <c r="J753" s="8"/>
      <c r="Z753" s="6"/>
    </row>
    <row r="754" spans="2:26" ht="12.75" x14ac:dyDescent="0.2">
      <c r="B754" s="6"/>
      <c r="C754" s="6"/>
      <c r="D754" s="6"/>
      <c r="E754" s="9"/>
      <c r="F754" s="9"/>
      <c r="G754" s="11"/>
      <c r="H754" s="5"/>
      <c r="I754" s="8"/>
      <c r="J754" s="8"/>
      <c r="Z754" s="6"/>
    </row>
    <row r="755" spans="2:26" ht="12.75" x14ac:dyDescent="0.2">
      <c r="B755" s="6"/>
      <c r="C755" s="6"/>
      <c r="D755" s="6"/>
      <c r="E755" s="9"/>
      <c r="F755" s="9"/>
      <c r="G755" s="11"/>
      <c r="H755" s="5"/>
      <c r="I755" s="8"/>
      <c r="J755" s="8"/>
      <c r="Z755" s="6"/>
    </row>
    <row r="756" spans="2:26" ht="12.75" x14ac:dyDescent="0.2">
      <c r="B756" s="6"/>
      <c r="C756" s="6"/>
      <c r="D756" s="6"/>
      <c r="E756" s="9"/>
      <c r="F756" s="9"/>
      <c r="G756" s="11"/>
      <c r="H756" s="5"/>
      <c r="I756" s="8"/>
      <c r="J756" s="8"/>
      <c r="Z756" s="6"/>
    </row>
    <row r="757" spans="2:26" ht="12.75" x14ac:dyDescent="0.2">
      <c r="B757" s="6"/>
      <c r="C757" s="6"/>
      <c r="D757" s="6"/>
      <c r="E757" s="9"/>
      <c r="F757" s="9"/>
      <c r="G757" s="11"/>
      <c r="H757" s="5"/>
      <c r="I757" s="8"/>
      <c r="J757" s="8"/>
      <c r="Z757" s="6"/>
    </row>
    <row r="758" spans="2:26" ht="12.75" x14ac:dyDescent="0.2">
      <c r="B758" s="6"/>
      <c r="C758" s="6"/>
      <c r="D758" s="6"/>
      <c r="E758" s="9"/>
      <c r="F758" s="9"/>
      <c r="G758" s="11"/>
      <c r="H758" s="5"/>
      <c r="I758" s="8"/>
      <c r="J758" s="8"/>
      <c r="Z758" s="6"/>
    </row>
    <row r="759" spans="2:26" ht="12.75" x14ac:dyDescent="0.2">
      <c r="B759" s="6"/>
      <c r="C759" s="6"/>
      <c r="D759" s="6"/>
      <c r="E759" s="9"/>
      <c r="F759" s="9"/>
      <c r="G759" s="11"/>
      <c r="H759" s="5"/>
      <c r="I759" s="8"/>
      <c r="J759" s="8"/>
      <c r="Z759" s="6"/>
    </row>
    <row r="760" spans="2:26" ht="12.75" x14ac:dyDescent="0.2">
      <c r="B760" s="6"/>
      <c r="C760" s="6"/>
      <c r="D760" s="6"/>
      <c r="E760" s="9"/>
      <c r="F760" s="9"/>
      <c r="G760" s="11"/>
      <c r="H760" s="5"/>
      <c r="I760" s="8"/>
      <c r="J760" s="8"/>
      <c r="Z760" s="6"/>
    </row>
    <row r="761" spans="2:26" ht="12.75" x14ac:dyDescent="0.2">
      <c r="B761" s="6"/>
      <c r="C761" s="6"/>
      <c r="D761" s="6"/>
      <c r="E761" s="9"/>
      <c r="F761" s="9"/>
      <c r="G761" s="11"/>
      <c r="H761" s="5"/>
      <c r="I761" s="8"/>
      <c r="J761" s="8"/>
      <c r="Z761" s="6"/>
    </row>
    <row r="762" spans="2:26" ht="12.75" x14ac:dyDescent="0.2">
      <c r="B762" s="6"/>
      <c r="C762" s="6"/>
      <c r="D762" s="6"/>
      <c r="E762" s="9"/>
      <c r="F762" s="9"/>
      <c r="G762" s="11"/>
      <c r="H762" s="5"/>
      <c r="I762" s="8"/>
      <c r="J762" s="8"/>
      <c r="Z762" s="6"/>
    </row>
    <row r="763" spans="2:26" ht="12.75" x14ac:dyDescent="0.2">
      <c r="B763" s="6"/>
      <c r="C763" s="6"/>
      <c r="D763" s="6"/>
      <c r="E763" s="9"/>
      <c r="F763" s="9"/>
      <c r="G763" s="11"/>
      <c r="H763" s="5"/>
      <c r="I763" s="8"/>
      <c r="J763" s="8"/>
      <c r="Z763" s="6"/>
    </row>
    <row r="764" spans="2:26" ht="12.75" x14ac:dyDescent="0.2">
      <c r="B764" s="6"/>
      <c r="C764" s="6"/>
      <c r="D764" s="6"/>
      <c r="E764" s="9"/>
      <c r="F764" s="9"/>
      <c r="G764" s="11"/>
      <c r="H764" s="5"/>
      <c r="I764" s="8"/>
      <c r="J764" s="8"/>
      <c r="Z764" s="6"/>
    </row>
    <row r="765" spans="2:26" ht="12.75" x14ac:dyDescent="0.2">
      <c r="B765" s="6"/>
      <c r="C765" s="6"/>
      <c r="D765" s="6"/>
      <c r="E765" s="9"/>
      <c r="F765" s="9"/>
      <c r="G765" s="11"/>
      <c r="H765" s="5"/>
      <c r="I765" s="8"/>
      <c r="J765" s="8"/>
      <c r="Z765" s="6"/>
    </row>
    <row r="766" spans="2:26" ht="12.75" x14ac:dyDescent="0.2">
      <c r="B766" s="6"/>
      <c r="C766" s="6"/>
      <c r="D766" s="6"/>
      <c r="E766" s="9"/>
      <c r="F766" s="9"/>
      <c r="G766" s="11"/>
      <c r="H766" s="5"/>
      <c r="I766" s="8"/>
      <c r="J766" s="8"/>
      <c r="Z766" s="6"/>
    </row>
    <row r="767" spans="2:26" ht="12.75" x14ac:dyDescent="0.2">
      <c r="B767" s="6"/>
      <c r="C767" s="6"/>
      <c r="D767" s="6"/>
      <c r="E767" s="9"/>
      <c r="F767" s="9"/>
      <c r="G767" s="11"/>
      <c r="H767" s="5"/>
      <c r="I767" s="8"/>
      <c r="J767" s="8"/>
      <c r="Z767" s="6"/>
    </row>
    <row r="768" spans="2:26" ht="12.75" x14ac:dyDescent="0.2">
      <c r="B768" s="6"/>
      <c r="C768" s="6"/>
      <c r="D768" s="6"/>
      <c r="E768" s="9"/>
      <c r="F768" s="9"/>
      <c r="G768" s="11"/>
      <c r="H768" s="5"/>
      <c r="I768" s="8"/>
      <c r="J768" s="8"/>
      <c r="Z768" s="6"/>
    </row>
    <row r="769" spans="2:26" ht="12.75" x14ac:dyDescent="0.2">
      <c r="B769" s="6"/>
      <c r="C769" s="6"/>
      <c r="D769" s="6"/>
      <c r="E769" s="9"/>
      <c r="F769" s="9"/>
      <c r="G769" s="11"/>
      <c r="H769" s="5"/>
      <c r="I769" s="8"/>
      <c r="J769" s="8"/>
      <c r="Z769" s="6"/>
    </row>
    <row r="770" spans="2:26" ht="12.75" x14ac:dyDescent="0.2">
      <c r="B770" s="6"/>
      <c r="C770" s="6"/>
      <c r="D770" s="6"/>
      <c r="E770" s="9"/>
      <c r="F770" s="9"/>
      <c r="G770" s="11"/>
      <c r="H770" s="5"/>
      <c r="I770" s="8"/>
      <c r="J770" s="8"/>
      <c r="Z770" s="6"/>
    </row>
    <row r="771" spans="2:26" ht="12.75" x14ac:dyDescent="0.2">
      <c r="B771" s="6"/>
      <c r="C771" s="6"/>
      <c r="D771" s="6"/>
      <c r="E771" s="9"/>
      <c r="F771" s="9"/>
      <c r="G771" s="11"/>
      <c r="H771" s="5"/>
      <c r="I771" s="8"/>
      <c r="J771" s="8"/>
      <c r="Z771" s="6"/>
    </row>
    <row r="772" spans="2:26" ht="12.75" x14ac:dyDescent="0.2">
      <c r="B772" s="6"/>
      <c r="C772" s="6"/>
      <c r="D772" s="6"/>
      <c r="E772" s="9"/>
      <c r="F772" s="9"/>
      <c r="G772" s="11"/>
      <c r="H772" s="5"/>
      <c r="I772" s="8"/>
      <c r="J772" s="8"/>
      <c r="Z772" s="6"/>
    </row>
    <row r="773" spans="2:26" ht="12.75" x14ac:dyDescent="0.2">
      <c r="B773" s="6"/>
      <c r="C773" s="6"/>
      <c r="D773" s="6"/>
      <c r="E773" s="9"/>
      <c r="F773" s="9"/>
      <c r="G773" s="11"/>
      <c r="H773" s="5"/>
      <c r="I773" s="8"/>
      <c r="J773" s="8"/>
      <c r="Z773" s="6"/>
    </row>
    <row r="774" spans="2:26" ht="12.75" x14ac:dyDescent="0.2">
      <c r="B774" s="6"/>
      <c r="C774" s="6"/>
      <c r="D774" s="6"/>
      <c r="E774" s="9"/>
      <c r="F774" s="9"/>
      <c r="G774" s="11"/>
      <c r="H774" s="5"/>
      <c r="I774" s="8"/>
      <c r="J774" s="8"/>
      <c r="Z774" s="6"/>
    </row>
    <row r="775" spans="2:26" ht="12.75" x14ac:dyDescent="0.2">
      <c r="B775" s="6"/>
      <c r="C775" s="6"/>
      <c r="D775" s="6"/>
      <c r="E775" s="9"/>
      <c r="F775" s="9"/>
      <c r="G775" s="11"/>
      <c r="H775" s="5"/>
      <c r="I775" s="8"/>
      <c r="J775" s="8"/>
      <c r="Z775" s="6"/>
    </row>
    <row r="776" spans="2:26" ht="12.75" x14ac:dyDescent="0.2">
      <c r="B776" s="6"/>
      <c r="C776" s="6"/>
      <c r="D776" s="6"/>
      <c r="E776" s="9"/>
      <c r="F776" s="9"/>
      <c r="G776" s="11"/>
      <c r="H776" s="5"/>
      <c r="I776" s="8"/>
      <c r="J776" s="8"/>
      <c r="Z776" s="6"/>
    </row>
    <row r="777" spans="2:26" ht="12.75" x14ac:dyDescent="0.2">
      <c r="B777" s="6"/>
      <c r="C777" s="6"/>
      <c r="D777" s="6"/>
      <c r="E777" s="9"/>
      <c r="F777" s="9"/>
      <c r="G777" s="11"/>
      <c r="H777" s="5"/>
      <c r="I777" s="8"/>
      <c r="J777" s="8"/>
      <c r="Z777" s="6"/>
    </row>
    <row r="778" spans="2:26" ht="12.75" x14ac:dyDescent="0.2">
      <c r="B778" s="6"/>
      <c r="C778" s="6"/>
      <c r="D778" s="6"/>
      <c r="E778" s="9"/>
      <c r="F778" s="9"/>
      <c r="G778" s="11"/>
      <c r="H778" s="5"/>
      <c r="I778" s="8"/>
      <c r="J778" s="8"/>
      <c r="Z778" s="6"/>
    </row>
    <row r="779" spans="2:26" ht="12.75" x14ac:dyDescent="0.2">
      <c r="B779" s="6"/>
      <c r="C779" s="6"/>
      <c r="D779" s="6"/>
      <c r="E779" s="9"/>
      <c r="F779" s="9"/>
      <c r="G779" s="11"/>
      <c r="H779" s="5"/>
      <c r="I779" s="8"/>
      <c r="J779" s="8"/>
      <c r="Z779" s="6"/>
    </row>
    <row r="780" spans="2:26" ht="12.75" x14ac:dyDescent="0.2">
      <c r="B780" s="6"/>
      <c r="C780" s="6"/>
      <c r="D780" s="6"/>
      <c r="E780" s="9"/>
      <c r="F780" s="9"/>
      <c r="G780" s="11"/>
      <c r="H780" s="5"/>
      <c r="I780" s="8"/>
      <c r="J780" s="8"/>
      <c r="Z780" s="6"/>
    </row>
    <row r="781" spans="2:26" ht="12.75" x14ac:dyDescent="0.2">
      <c r="B781" s="6"/>
      <c r="C781" s="6"/>
      <c r="D781" s="6"/>
      <c r="E781" s="9"/>
      <c r="F781" s="9"/>
      <c r="G781" s="11"/>
      <c r="H781" s="5"/>
      <c r="I781" s="8"/>
      <c r="J781" s="8"/>
      <c r="Z781" s="6"/>
    </row>
    <row r="782" spans="2:26" ht="12.75" x14ac:dyDescent="0.2">
      <c r="B782" s="6"/>
      <c r="C782" s="6"/>
      <c r="D782" s="6"/>
      <c r="E782" s="9"/>
      <c r="F782" s="9"/>
      <c r="G782" s="11"/>
      <c r="H782" s="5"/>
      <c r="I782" s="8"/>
      <c r="J782" s="8"/>
      <c r="Z782" s="6"/>
    </row>
    <row r="783" spans="2:26" ht="12.75" x14ac:dyDescent="0.2">
      <c r="B783" s="6"/>
      <c r="C783" s="6"/>
      <c r="D783" s="6"/>
      <c r="E783" s="9"/>
      <c r="F783" s="9"/>
      <c r="G783" s="11"/>
      <c r="H783" s="5"/>
      <c r="I783" s="8"/>
      <c r="J783" s="8"/>
      <c r="Z783" s="6"/>
    </row>
    <row r="784" spans="2:26" ht="12.75" x14ac:dyDescent="0.2">
      <c r="B784" s="6"/>
      <c r="C784" s="6"/>
      <c r="D784" s="6"/>
      <c r="E784" s="9"/>
      <c r="F784" s="9"/>
      <c r="G784" s="11"/>
      <c r="H784" s="5"/>
      <c r="I784" s="8"/>
      <c r="J784" s="8"/>
      <c r="Z784" s="6"/>
    </row>
    <row r="785" spans="2:26" ht="12.75" x14ac:dyDescent="0.2">
      <c r="B785" s="6"/>
      <c r="C785" s="6"/>
      <c r="D785" s="6"/>
      <c r="E785" s="9"/>
      <c r="F785" s="9"/>
      <c r="G785" s="11"/>
      <c r="H785" s="5"/>
      <c r="I785" s="8"/>
      <c r="J785" s="8"/>
      <c r="Z785" s="6"/>
    </row>
    <row r="786" spans="2:26" ht="12.75" x14ac:dyDescent="0.2">
      <c r="B786" s="6"/>
      <c r="C786" s="6"/>
      <c r="D786" s="6"/>
      <c r="E786" s="9"/>
      <c r="F786" s="9"/>
      <c r="G786" s="11"/>
      <c r="H786" s="5"/>
      <c r="I786" s="8"/>
      <c r="J786" s="8"/>
      <c r="Z786" s="6"/>
    </row>
    <row r="787" spans="2:26" ht="12.75" x14ac:dyDescent="0.2">
      <c r="B787" s="6"/>
      <c r="C787" s="6"/>
      <c r="D787" s="6"/>
      <c r="E787" s="9"/>
      <c r="F787" s="9"/>
      <c r="G787" s="11"/>
      <c r="H787" s="5"/>
      <c r="I787" s="8"/>
      <c r="J787" s="8"/>
      <c r="Z787" s="6"/>
    </row>
    <row r="788" spans="2:26" ht="12.75" x14ac:dyDescent="0.2">
      <c r="B788" s="6"/>
      <c r="C788" s="6"/>
      <c r="D788" s="6"/>
      <c r="E788" s="9"/>
      <c r="F788" s="9"/>
      <c r="G788" s="11"/>
      <c r="H788" s="5"/>
      <c r="I788" s="8"/>
      <c r="J788" s="8"/>
      <c r="Z788" s="6"/>
    </row>
    <row r="789" spans="2:26" ht="12.75" x14ac:dyDescent="0.2">
      <c r="B789" s="6"/>
      <c r="C789" s="6"/>
      <c r="D789" s="6"/>
      <c r="E789" s="9"/>
      <c r="F789" s="9"/>
      <c r="G789" s="11"/>
      <c r="H789" s="5"/>
      <c r="I789" s="8"/>
      <c r="J789" s="8"/>
      <c r="Z789" s="6"/>
    </row>
    <row r="790" spans="2:26" ht="12.75" x14ac:dyDescent="0.2">
      <c r="B790" s="6"/>
      <c r="C790" s="6"/>
      <c r="D790" s="6"/>
      <c r="E790" s="9"/>
      <c r="F790" s="9"/>
      <c r="G790" s="11"/>
      <c r="H790" s="5"/>
      <c r="I790" s="8"/>
      <c r="J790" s="8"/>
      <c r="Z790" s="6"/>
    </row>
    <row r="791" spans="2:26" ht="12.75" x14ac:dyDescent="0.2">
      <c r="B791" s="6"/>
      <c r="C791" s="6"/>
      <c r="D791" s="6"/>
      <c r="E791" s="9"/>
      <c r="F791" s="9"/>
      <c r="G791" s="11"/>
      <c r="H791" s="5"/>
      <c r="I791" s="8"/>
      <c r="J791" s="8"/>
      <c r="Z791" s="6"/>
    </row>
    <row r="792" spans="2:26" ht="12.75" x14ac:dyDescent="0.2">
      <c r="B792" s="6"/>
      <c r="C792" s="6"/>
      <c r="D792" s="6"/>
      <c r="E792" s="9"/>
      <c r="F792" s="9"/>
      <c r="G792" s="11"/>
      <c r="H792" s="5"/>
      <c r="I792" s="8"/>
      <c r="J792" s="8"/>
      <c r="Z792" s="6"/>
    </row>
    <row r="793" spans="2:26" ht="12.75" x14ac:dyDescent="0.2">
      <c r="B793" s="6"/>
      <c r="C793" s="6"/>
      <c r="D793" s="6"/>
      <c r="E793" s="9"/>
      <c r="F793" s="9"/>
      <c r="G793" s="11"/>
      <c r="H793" s="5"/>
      <c r="I793" s="8"/>
      <c r="J793" s="8"/>
      <c r="Z793" s="6"/>
    </row>
    <row r="794" spans="2:26" ht="12.75" x14ac:dyDescent="0.2">
      <c r="B794" s="6"/>
      <c r="C794" s="6"/>
      <c r="D794" s="6"/>
      <c r="E794" s="9"/>
      <c r="F794" s="9"/>
      <c r="G794" s="11"/>
      <c r="H794" s="5"/>
      <c r="I794" s="8"/>
      <c r="J794" s="8"/>
      <c r="Z794" s="6"/>
    </row>
    <row r="795" spans="2:26" ht="12.75" x14ac:dyDescent="0.2">
      <c r="B795" s="6"/>
      <c r="C795" s="6"/>
      <c r="D795" s="6"/>
      <c r="E795" s="9"/>
      <c r="F795" s="9"/>
      <c r="G795" s="11"/>
      <c r="H795" s="5"/>
      <c r="I795" s="8"/>
      <c r="J795" s="8"/>
      <c r="Z795" s="6"/>
    </row>
    <row r="796" spans="2:26" ht="12.75" x14ac:dyDescent="0.2">
      <c r="B796" s="6"/>
      <c r="C796" s="6"/>
      <c r="D796" s="6"/>
      <c r="E796" s="9"/>
      <c r="F796" s="9"/>
      <c r="G796" s="11"/>
      <c r="H796" s="5"/>
      <c r="I796" s="8"/>
      <c r="J796" s="8"/>
      <c r="Z796" s="6"/>
    </row>
    <row r="797" spans="2:26" ht="12.75" x14ac:dyDescent="0.2">
      <c r="B797" s="6"/>
      <c r="C797" s="6"/>
      <c r="D797" s="6"/>
      <c r="E797" s="9"/>
      <c r="F797" s="9"/>
      <c r="G797" s="11"/>
      <c r="H797" s="5"/>
      <c r="I797" s="8"/>
      <c r="J797" s="8"/>
      <c r="Z797" s="6"/>
    </row>
    <row r="798" spans="2:26" ht="12.75" x14ac:dyDescent="0.2">
      <c r="B798" s="6"/>
      <c r="C798" s="6"/>
      <c r="D798" s="6"/>
      <c r="E798" s="9"/>
      <c r="F798" s="9"/>
      <c r="G798" s="11"/>
      <c r="H798" s="5"/>
      <c r="I798" s="8"/>
      <c r="J798" s="8"/>
      <c r="Z798" s="6"/>
    </row>
    <row r="799" spans="2:26" ht="12.75" x14ac:dyDescent="0.2">
      <c r="B799" s="6"/>
      <c r="C799" s="6"/>
      <c r="D799" s="6"/>
      <c r="E799" s="9"/>
      <c r="F799" s="9"/>
      <c r="G799" s="11"/>
      <c r="H799" s="5"/>
      <c r="I799" s="8"/>
      <c r="J799" s="8"/>
      <c r="Z799" s="6"/>
    </row>
    <row r="800" spans="2:26" ht="12.75" x14ac:dyDescent="0.2">
      <c r="B800" s="6"/>
      <c r="C800" s="6"/>
      <c r="D800" s="6"/>
      <c r="E800" s="9"/>
      <c r="F800" s="9"/>
      <c r="G800" s="11"/>
      <c r="H800" s="5"/>
      <c r="I800" s="8"/>
      <c r="J800" s="8"/>
      <c r="Z800" s="6"/>
    </row>
    <row r="801" spans="2:26" ht="12.75" x14ac:dyDescent="0.2">
      <c r="B801" s="6"/>
      <c r="C801" s="6"/>
      <c r="D801" s="6"/>
      <c r="E801" s="9"/>
      <c r="F801" s="9"/>
      <c r="G801" s="11"/>
      <c r="H801" s="5"/>
      <c r="I801" s="8"/>
      <c r="J801" s="8"/>
      <c r="Z801" s="6"/>
    </row>
    <row r="802" spans="2:26" ht="12.75" x14ac:dyDescent="0.2">
      <c r="B802" s="6"/>
      <c r="C802" s="6"/>
      <c r="D802" s="6"/>
      <c r="E802" s="9"/>
      <c r="F802" s="9"/>
      <c r="G802" s="11"/>
      <c r="H802" s="5"/>
      <c r="I802" s="8"/>
      <c r="J802" s="8"/>
      <c r="Z802" s="6"/>
    </row>
    <row r="803" spans="2:26" ht="12.75" x14ac:dyDescent="0.2">
      <c r="B803" s="6"/>
      <c r="C803" s="6"/>
      <c r="D803" s="6"/>
      <c r="E803" s="9"/>
      <c r="F803" s="9"/>
      <c r="G803" s="11"/>
      <c r="H803" s="5"/>
      <c r="I803" s="8"/>
      <c r="J803" s="8"/>
      <c r="Z803" s="6"/>
    </row>
    <row r="804" spans="2:26" ht="12.75" x14ac:dyDescent="0.2">
      <c r="B804" s="6"/>
      <c r="C804" s="6"/>
      <c r="D804" s="6"/>
      <c r="E804" s="9"/>
      <c r="F804" s="9"/>
      <c r="G804" s="11"/>
      <c r="H804" s="5"/>
      <c r="I804" s="8"/>
      <c r="J804" s="8"/>
      <c r="Z804" s="6"/>
    </row>
    <row r="805" spans="2:26" ht="12.75" x14ac:dyDescent="0.2">
      <c r="B805" s="6"/>
      <c r="C805" s="6"/>
      <c r="D805" s="6"/>
      <c r="E805" s="9"/>
      <c r="F805" s="9"/>
      <c r="G805" s="11"/>
      <c r="H805" s="5"/>
      <c r="I805" s="8"/>
      <c r="J805" s="8"/>
      <c r="Z805" s="6"/>
    </row>
    <row r="806" spans="2:26" ht="12.75" x14ac:dyDescent="0.2">
      <c r="B806" s="6"/>
      <c r="C806" s="6"/>
      <c r="D806" s="6"/>
      <c r="E806" s="9"/>
      <c r="F806" s="9"/>
      <c r="G806" s="11"/>
      <c r="H806" s="5"/>
      <c r="I806" s="8"/>
      <c r="J806" s="8"/>
      <c r="Z806" s="6"/>
    </row>
    <row r="807" spans="2:26" ht="12.75" x14ac:dyDescent="0.2">
      <c r="B807" s="6"/>
      <c r="C807" s="6"/>
      <c r="D807" s="6"/>
      <c r="E807" s="9"/>
      <c r="F807" s="9"/>
      <c r="G807" s="11"/>
      <c r="H807" s="5"/>
      <c r="I807" s="8"/>
      <c r="J807" s="8"/>
      <c r="Z807" s="6"/>
    </row>
    <row r="808" spans="2:26" ht="12.75" x14ac:dyDescent="0.2">
      <c r="B808" s="6"/>
      <c r="C808" s="6"/>
      <c r="D808" s="6"/>
      <c r="E808" s="9"/>
      <c r="F808" s="9"/>
      <c r="G808" s="11"/>
      <c r="H808" s="5"/>
      <c r="I808" s="8"/>
      <c r="J808" s="8"/>
      <c r="Z808" s="6"/>
    </row>
    <row r="809" spans="2:26" ht="12.75" x14ac:dyDescent="0.2">
      <c r="B809" s="6"/>
      <c r="C809" s="6"/>
      <c r="D809" s="6"/>
      <c r="E809" s="9"/>
      <c r="F809" s="9"/>
      <c r="G809" s="11"/>
      <c r="H809" s="5"/>
      <c r="I809" s="8"/>
      <c r="J809" s="8"/>
      <c r="Z809" s="6"/>
    </row>
    <row r="810" spans="2:26" ht="12.75" x14ac:dyDescent="0.2">
      <c r="B810" s="6"/>
      <c r="C810" s="6"/>
      <c r="D810" s="6"/>
      <c r="E810" s="9"/>
      <c r="F810" s="9"/>
      <c r="G810" s="11"/>
      <c r="H810" s="5"/>
      <c r="I810" s="8"/>
      <c r="J810" s="8"/>
      <c r="Z810" s="6"/>
    </row>
    <row r="811" spans="2:26" ht="12.75" x14ac:dyDescent="0.2">
      <c r="B811" s="6"/>
      <c r="C811" s="6"/>
      <c r="D811" s="6"/>
      <c r="E811" s="9"/>
      <c r="F811" s="9"/>
      <c r="G811" s="11"/>
      <c r="H811" s="5"/>
      <c r="I811" s="8"/>
      <c r="J811" s="8"/>
      <c r="Z811" s="6"/>
    </row>
    <row r="812" spans="2:26" ht="12.75" x14ac:dyDescent="0.2">
      <c r="B812" s="6"/>
      <c r="C812" s="6"/>
      <c r="D812" s="6"/>
      <c r="E812" s="9"/>
      <c r="F812" s="9"/>
      <c r="G812" s="11"/>
      <c r="H812" s="5"/>
      <c r="I812" s="8"/>
      <c r="J812" s="8"/>
      <c r="Z812" s="6"/>
    </row>
    <row r="813" spans="2:26" ht="12.75" x14ac:dyDescent="0.2">
      <c r="B813" s="6"/>
      <c r="C813" s="6"/>
      <c r="D813" s="6"/>
      <c r="E813" s="9"/>
      <c r="F813" s="9"/>
      <c r="G813" s="11"/>
      <c r="H813" s="5"/>
      <c r="I813" s="8"/>
      <c r="J813" s="8"/>
      <c r="Z813" s="6"/>
    </row>
    <row r="814" spans="2:26" ht="12.75" x14ac:dyDescent="0.2">
      <c r="B814" s="6"/>
      <c r="C814" s="6"/>
      <c r="D814" s="6"/>
      <c r="E814" s="9"/>
      <c r="F814" s="9"/>
      <c r="G814" s="11"/>
      <c r="H814" s="5"/>
      <c r="I814" s="8"/>
      <c r="J814" s="8"/>
      <c r="Z814" s="6"/>
    </row>
    <row r="815" spans="2:26" ht="12.75" x14ac:dyDescent="0.2">
      <c r="B815" s="6"/>
      <c r="C815" s="6"/>
      <c r="D815" s="6"/>
      <c r="E815" s="9"/>
      <c r="F815" s="9"/>
      <c r="G815" s="11"/>
      <c r="H815" s="5"/>
      <c r="I815" s="8"/>
      <c r="J815" s="8"/>
      <c r="Z815" s="6"/>
    </row>
    <row r="816" spans="2:26" ht="12.75" x14ac:dyDescent="0.2">
      <c r="B816" s="6"/>
      <c r="C816" s="6"/>
      <c r="D816" s="6"/>
      <c r="E816" s="9"/>
      <c r="F816" s="9"/>
      <c r="G816" s="11"/>
      <c r="H816" s="5"/>
      <c r="I816" s="8"/>
      <c r="J816" s="8"/>
      <c r="Z816" s="6"/>
    </row>
    <row r="817" spans="2:26" ht="12.75" x14ac:dyDescent="0.2">
      <c r="B817" s="6"/>
      <c r="C817" s="6"/>
      <c r="D817" s="6"/>
      <c r="E817" s="9"/>
      <c r="F817" s="9"/>
      <c r="G817" s="11"/>
      <c r="H817" s="5"/>
      <c r="I817" s="8"/>
      <c r="J817" s="8"/>
      <c r="Z817" s="6"/>
    </row>
    <row r="818" spans="2:26" ht="12.75" x14ac:dyDescent="0.2">
      <c r="B818" s="6"/>
      <c r="C818" s="6"/>
      <c r="D818" s="6"/>
      <c r="E818" s="9"/>
      <c r="F818" s="9"/>
      <c r="G818" s="11"/>
      <c r="H818" s="5"/>
      <c r="I818" s="8"/>
      <c r="J818" s="8"/>
      <c r="Z818" s="6"/>
    </row>
    <row r="819" spans="2:26" ht="12.75" x14ac:dyDescent="0.2">
      <c r="B819" s="6"/>
      <c r="C819" s="6"/>
      <c r="D819" s="6"/>
      <c r="E819" s="9"/>
      <c r="F819" s="9"/>
      <c r="G819" s="11"/>
      <c r="H819" s="5"/>
      <c r="I819" s="8"/>
      <c r="J819" s="8"/>
      <c r="Z819" s="6"/>
    </row>
    <row r="820" spans="2:26" ht="12.75" x14ac:dyDescent="0.2">
      <c r="B820" s="6"/>
      <c r="C820" s="6"/>
      <c r="D820" s="6"/>
      <c r="E820" s="9"/>
      <c r="F820" s="9"/>
      <c r="G820" s="11"/>
      <c r="H820" s="5"/>
      <c r="I820" s="8"/>
      <c r="J820" s="8"/>
      <c r="Z820" s="6"/>
    </row>
    <row r="821" spans="2:26" ht="12.75" x14ac:dyDescent="0.2">
      <c r="B821" s="6"/>
      <c r="C821" s="6"/>
      <c r="D821" s="6"/>
      <c r="E821" s="9"/>
      <c r="F821" s="9"/>
      <c r="G821" s="11"/>
      <c r="H821" s="5"/>
      <c r="I821" s="8"/>
      <c r="J821" s="8"/>
      <c r="Z821" s="6"/>
    </row>
    <row r="822" spans="2:26" ht="12.75" x14ac:dyDescent="0.2">
      <c r="B822" s="6"/>
      <c r="C822" s="6"/>
      <c r="D822" s="6"/>
      <c r="E822" s="9"/>
      <c r="F822" s="9"/>
      <c r="G822" s="11"/>
      <c r="H822" s="5"/>
      <c r="I822" s="8"/>
      <c r="J822" s="8"/>
      <c r="Z822" s="6"/>
    </row>
    <row r="823" spans="2:26" ht="12.75" x14ac:dyDescent="0.2">
      <c r="B823" s="6"/>
      <c r="C823" s="6"/>
      <c r="D823" s="6"/>
      <c r="E823" s="9"/>
      <c r="F823" s="9"/>
      <c r="G823" s="11"/>
      <c r="H823" s="5"/>
      <c r="I823" s="8"/>
      <c r="J823" s="8"/>
      <c r="Z823" s="6"/>
    </row>
    <row r="824" spans="2:26" ht="12.75" x14ac:dyDescent="0.2">
      <c r="B824" s="6"/>
      <c r="C824" s="6"/>
      <c r="D824" s="6"/>
      <c r="E824" s="9"/>
      <c r="F824" s="9"/>
      <c r="G824" s="11"/>
      <c r="H824" s="5"/>
      <c r="I824" s="8"/>
      <c r="J824" s="8"/>
      <c r="Z824" s="6"/>
    </row>
    <row r="825" spans="2:26" ht="12.75" x14ac:dyDescent="0.2">
      <c r="B825" s="6"/>
      <c r="C825" s="6"/>
      <c r="D825" s="6"/>
      <c r="E825" s="9"/>
      <c r="F825" s="9"/>
      <c r="G825" s="11"/>
      <c r="H825" s="5"/>
      <c r="I825" s="8"/>
      <c r="J825" s="8"/>
      <c r="Z825" s="6"/>
    </row>
    <row r="826" spans="2:26" ht="12.75" x14ac:dyDescent="0.2">
      <c r="B826" s="6"/>
      <c r="C826" s="6"/>
      <c r="D826" s="6"/>
      <c r="E826" s="9"/>
      <c r="F826" s="9"/>
      <c r="G826" s="11"/>
      <c r="H826" s="5"/>
      <c r="I826" s="8"/>
      <c r="J826" s="8"/>
      <c r="Z826" s="6"/>
    </row>
    <row r="827" spans="2:26" ht="12.75" x14ac:dyDescent="0.2">
      <c r="B827" s="6"/>
      <c r="C827" s="6"/>
      <c r="D827" s="6"/>
      <c r="E827" s="9"/>
      <c r="F827" s="9"/>
      <c r="G827" s="11"/>
      <c r="H827" s="5"/>
      <c r="I827" s="8"/>
      <c r="J827" s="8"/>
      <c r="Z827" s="6"/>
    </row>
    <row r="828" spans="2:26" ht="12.75" x14ac:dyDescent="0.2">
      <c r="B828" s="6"/>
      <c r="C828" s="6"/>
      <c r="D828" s="6"/>
      <c r="E828" s="9"/>
      <c r="F828" s="9"/>
      <c r="G828" s="11"/>
      <c r="H828" s="5"/>
      <c r="I828" s="8"/>
      <c r="J828" s="8"/>
      <c r="Z828" s="6"/>
    </row>
    <row r="829" spans="2:26" ht="12.75" x14ac:dyDescent="0.2">
      <c r="B829" s="6"/>
      <c r="C829" s="6"/>
      <c r="D829" s="6"/>
      <c r="E829" s="9"/>
      <c r="F829" s="9"/>
      <c r="G829" s="11"/>
      <c r="H829" s="5"/>
      <c r="I829" s="8"/>
      <c r="J829" s="8"/>
      <c r="Z829" s="6"/>
    </row>
    <row r="830" spans="2:26" ht="12.75" x14ac:dyDescent="0.2">
      <c r="B830" s="6"/>
      <c r="C830" s="6"/>
      <c r="D830" s="6"/>
      <c r="E830" s="9"/>
      <c r="F830" s="9"/>
      <c r="G830" s="11"/>
      <c r="H830" s="5"/>
      <c r="I830" s="8"/>
      <c r="J830" s="8"/>
      <c r="Z830" s="6"/>
    </row>
    <row r="831" spans="2:26" ht="12.75" x14ac:dyDescent="0.2">
      <c r="B831" s="6"/>
      <c r="C831" s="6"/>
      <c r="D831" s="6"/>
      <c r="E831" s="9"/>
      <c r="F831" s="9"/>
      <c r="G831" s="11"/>
      <c r="H831" s="5"/>
      <c r="I831" s="8"/>
      <c r="J831" s="8"/>
      <c r="Z831" s="6"/>
    </row>
    <row r="832" spans="2:26" ht="12.75" x14ac:dyDescent="0.2">
      <c r="B832" s="6"/>
      <c r="C832" s="6"/>
      <c r="D832" s="6"/>
      <c r="E832" s="9"/>
      <c r="F832" s="9"/>
      <c r="G832" s="11"/>
      <c r="H832" s="5"/>
      <c r="I832" s="8"/>
      <c r="J832" s="8"/>
      <c r="Z832" s="6"/>
    </row>
    <row r="833" spans="2:26" ht="12.75" x14ac:dyDescent="0.2">
      <c r="B833" s="6"/>
      <c r="C833" s="6"/>
      <c r="D833" s="6"/>
      <c r="E833" s="9"/>
      <c r="F833" s="9"/>
      <c r="G833" s="11"/>
      <c r="H833" s="5"/>
      <c r="I833" s="8"/>
      <c r="J833" s="8"/>
      <c r="Z833" s="6"/>
    </row>
    <row r="834" spans="2:26" ht="12.75" x14ac:dyDescent="0.2">
      <c r="B834" s="6"/>
      <c r="C834" s="6"/>
      <c r="D834" s="6"/>
      <c r="E834" s="9"/>
      <c r="F834" s="9"/>
      <c r="G834" s="11"/>
      <c r="H834" s="5"/>
      <c r="I834" s="8"/>
      <c r="J834" s="8"/>
      <c r="Z834" s="6"/>
    </row>
    <row r="835" spans="2:26" ht="12.75" x14ac:dyDescent="0.2">
      <c r="B835" s="6"/>
      <c r="C835" s="6"/>
      <c r="D835" s="6"/>
      <c r="E835" s="9"/>
      <c r="F835" s="9"/>
      <c r="G835" s="11"/>
      <c r="H835" s="5"/>
      <c r="I835" s="8"/>
      <c r="J835" s="8"/>
      <c r="Z835" s="6"/>
    </row>
    <row r="836" spans="2:26" ht="12.75" x14ac:dyDescent="0.2">
      <c r="B836" s="6"/>
      <c r="C836" s="6"/>
      <c r="D836" s="6"/>
      <c r="E836" s="9"/>
      <c r="F836" s="9"/>
      <c r="G836" s="11"/>
      <c r="H836" s="5"/>
      <c r="I836" s="8"/>
      <c r="J836" s="8"/>
      <c r="Z836" s="6"/>
    </row>
    <row r="837" spans="2:26" ht="12.75" x14ac:dyDescent="0.2">
      <c r="B837" s="6"/>
      <c r="C837" s="6"/>
      <c r="D837" s="6"/>
      <c r="E837" s="9"/>
      <c r="F837" s="9"/>
      <c r="G837" s="11"/>
      <c r="H837" s="5"/>
      <c r="I837" s="8"/>
      <c r="J837" s="8"/>
      <c r="Z837" s="6"/>
    </row>
    <row r="838" spans="2:26" ht="12.75" x14ac:dyDescent="0.2">
      <c r="B838" s="6"/>
      <c r="C838" s="6"/>
      <c r="D838" s="6"/>
      <c r="E838" s="9"/>
      <c r="F838" s="9"/>
      <c r="G838" s="11"/>
      <c r="H838" s="5"/>
      <c r="I838" s="8"/>
      <c r="J838" s="8"/>
      <c r="Z838" s="6"/>
    </row>
    <row r="839" spans="2:26" ht="12.75" x14ac:dyDescent="0.2">
      <c r="B839" s="6"/>
      <c r="C839" s="6"/>
      <c r="D839" s="6"/>
      <c r="E839" s="9"/>
      <c r="F839" s="9"/>
      <c r="G839" s="11"/>
      <c r="H839" s="5"/>
      <c r="I839" s="8"/>
      <c r="J839" s="8"/>
      <c r="Z839" s="6"/>
    </row>
    <row r="840" spans="2:26" ht="12.75" x14ac:dyDescent="0.2">
      <c r="B840" s="6"/>
      <c r="C840" s="6"/>
      <c r="D840" s="6"/>
      <c r="E840" s="9"/>
      <c r="F840" s="9"/>
      <c r="G840" s="11"/>
      <c r="H840" s="5"/>
      <c r="I840" s="8"/>
      <c r="J840" s="8"/>
      <c r="Z840" s="6"/>
    </row>
    <row r="841" spans="2:26" ht="12.75" x14ac:dyDescent="0.2">
      <c r="B841" s="6"/>
      <c r="C841" s="6"/>
      <c r="D841" s="6"/>
      <c r="E841" s="9"/>
      <c r="F841" s="9"/>
      <c r="G841" s="11"/>
      <c r="H841" s="5"/>
      <c r="I841" s="8"/>
      <c r="J841" s="8"/>
      <c r="Z841" s="6"/>
    </row>
    <row r="842" spans="2:26" ht="12.75" x14ac:dyDescent="0.2">
      <c r="B842" s="6"/>
      <c r="C842" s="6"/>
      <c r="D842" s="6"/>
      <c r="E842" s="9"/>
      <c r="F842" s="9"/>
      <c r="G842" s="11"/>
      <c r="H842" s="5"/>
      <c r="I842" s="8"/>
      <c r="J842" s="8"/>
      <c r="Z842" s="6"/>
    </row>
    <row r="843" spans="2:26" ht="12.75" x14ac:dyDescent="0.2">
      <c r="B843" s="6"/>
      <c r="C843" s="6"/>
      <c r="D843" s="6"/>
      <c r="E843" s="9"/>
      <c r="F843" s="9"/>
      <c r="G843" s="11"/>
      <c r="H843" s="5"/>
      <c r="I843" s="8"/>
      <c r="J843" s="8"/>
      <c r="Z843" s="6"/>
    </row>
    <row r="844" spans="2:26" ht="12.75" x14ac:dyDescent="0.2">
      <c r="B844" s="6"/>
      <c r="C844" s="6"/>
      <c r="D844" s="6"/>
      <c r="E844" s="9"/>
      <c r="F844" s="9"/>
      <c r="G844" s="11"/>
      <c r="H844" s="5"/>
      <c r="I844" s="8"/>
      <c r="J844" s="8"/>
      <c r="Z844" s="6"/>
    </row>
    <row r="845" spans="2:26" ht="12.75" x14ac:dyDescent="0.2">
      <c r="B845" s="6"/>
      <c r="C845" s="6"/>
      <c r="D845" s="6"/>
      <c r="E845" s="9"/>
      <c r="F845" s="9"/>
      <c r="G845" s="11"/>
      <c r="H845" s="5"/>
      <c r="I845" s="8"/>
      <c r="J845" s="8"/>
      <c r="Z845" s="6"/>
    </row>
    <row r="846" spans="2:26" ht="12.75" x14ac:dyDescent="0.2">
      <c r="B846" s="6"/>
      <c r="C846" s="6"/>
      <c r="D846" s="6"/>
      <c r="E846" s="9"/>
      <c r="F846" s="9"/>
      <c r="G846" s="11"/>
      <c r="H846" s="5"/>
      <c r="I846" s="8"/>
      <c r="J846" s="8"/>
      <c r="Z846" s="6"/>
    </row>
    <row r="847" spans="2:26" ht="12.75" x14ac:dyDescent="0.2">
      <c r="B847" s="6"/>
      <c r="C847" s="6"/>
      <c r="D847" s="6"/>
      <c r="E847" s="9"/>
      <c r="F847" s="9"/>
      <c r="G847" s="11"/>
      <c r="H847" s="5"/>
      <c r="I847" s="8"/>
      <c r="J847" s="8"/>
      <c r="Z847" s="6"/>
    </row>
    <row r="848" spans="2:26" ht="12.75" x14ac:dyDescent="0.2">
      <c r="B848" s="6"/>
      <c r="C848" s="6"/>
      <c r="D848" s="6"/>
      <c r="E848" s="9"/>
      <c r="F848" s="9"/>
      <c r="G848" s="11"/>
      <c r="H848" s="5"/>
      <c r="I848" s="8"/>
      <c r="J848" s="8"/>
      <c r="Z848" s="6"/>
    </row>
    <row r="849" spans="2:26" ht="12.75" x14ac:dyDescent="0.2">
      <c r="B849" s="6"/>
      <c r="C849" s="6"/>
      <c r="D849" s="6"/>
      <c r="E849" s="9"/>
      <c r="F849" s="9"/>
      <c r="G849" s="11"/>
      <c r="H849" s="5"/>
      <c r="I849" s="8"/>
      <c r="J849" s="8"/>
      <c r="Z849" s="6"/>
    </row>
    <row r="850" spans="2:26" ht="12.75" x14ac:dyDescent="0.2">
      <c r="B850" s="6"/>
      <c r="C850" s="6"/>
      <c r="D850" s="6"/>
      <c r="E850" s="9"/>
      <c r="F850" s="9"/>
      <c r="G850" s="11"/>
      <c r="H850" s="5"/>
      <c r="I850" s="8"/>
      <c r="J850" s="8"/>
      <c r="Z850" s="6"/>
    </row>
    <row r="851" spans="2:26" ht="12.75" x14ac:dyDescent="0.2">
      <c r="B851" s="6"/>
      <c r="C851" s="6"/>
      <c r="D851" s="6"/>
      <c r="E851" s="9"/>
      <c r="F851" s="9"/>
      <c r="G851" s="11"/>
      <c r="H851" s="5"/>
      <c r="I851" s="8"/>
      <c r="J851" s="8"/>
      <c r="Z851" s="6"/>
    </row>
    <row r="852" spans="2:26" ht="12.75" x14ac:dyDescent="0.2">
      <c r="B852" s="6"/>
      <c r="C852" s="6"/>
      <c r="D852" s="6"/>
      <c r="E852" s="9"/>
      <c r="F852" s="9"/>
      <c r="G852" s="11"/>
      <c r="H852" s="5"/>
      <c r="I852" s="8"/>
      <c r="J852" s="8"/>
      <c r="Z852" s="6"/>
    </row>
    <row r="853" spans="2:26" ht="12.75" x14ac:dyDescent="0.2">
      <c r="B853" s="6"/>
      <c r="C853" s="6"/>
      <c r="D853" s="6"/>
      <c r="E853" s="9"/>
      <c r="F853" s="9"/>
      <c r="G853" s="11"/>
      <c r="H853" s="5"/>
      <c r="I853" s="8"/>
      <c r="J853" s="8"/>
      <c r="Z853" s="6"/>
    </row>
    <row r="854" spans="2:26" ht="12.75" x14ac:dyDescent="0.2">
      <c r="B854" s="6"/>
      <c r="C854" s="6"/>
      <c r="D854" s="6"/>
      <c r="E854" s="9"/>
      <c r="F854" s="9"/>
      <c r="G854" s="11"/>
      <c r="H854" s="5"/>
      <c r="I854" s="8"/>
      <c r="J854" s="8"/>
      <c r="Z854" s="6"/>
    </row>
    <row r="855" spans="2:26" ht="12.75" x14ac:dyDescent="0.2">
      <c r="B855" s="6"/>
      <c r="C855" s="6"/>
      <c r="D855" s="6"/>
      <c r="E855" s="9"/>
      <c r="F855" s="9"/>
      <c r="G855" s="11"/>
      <c r="H855" s="5"/>
      <c r="I855" s="8"/>
      <c r="J855" s="8"/>
      <c r="Z855" s="6"/>
    </row>
    <row r="856" spans="2:26" ht="12.75" x14ac:dyDescent="0.2">
      <c r="B856" s="6"/>
      <c r="C856" s="6"/>
      <c r="D856" s="6"/>
      <c r="E856" s="9"/>
      <c r="F856" s="9"/>
      <c r="G856" s="11"/>
      <c r="H856" s="5"/>
      <c r="I856" s="8"/>
      <c r="J856" s="8"/>
      <c r="Z856" s="6"/>
    </row>
    <row r="857" spans="2:26" ht="12.75" x14ac:dyDescent="0.2">
      <c r="B857" s="6"/>
      <c r="C857" s="6"/>
      <c r="D857" s="6"/>
      <c r="E857" s="9"/>
      <c r="F857" s="9"/>
      <c r="G857" s="11"/>
      <c r="H857" s="5"/>
      <c r="I857" s="8"/>
      <c r="J857" s="8"/>
      <c r="Z857" s="6"/>
    </row>
    <row r="858" spans="2:26" ht="12.75" x14ac:dyDescent="0.2">
      <c r="B858" s="6"/>
      <c r="C858" s="6"/>
      <c r="D858" s="6"/>
      <c r="E858" s="9"/>
      <c r="F858" s="9"/>
      <c r="G858" s="11"/>
      <c r="H858" s="5"/>
      <c r="I858" s="8"/>
      <c r="J858" s="8"/>
      <c r="Z858" s="6"/>
    </row>
    <row r="859" spans="2:26" ht="12.75" x14ac:dyDescent="0.2">
      <c r="B859" s="6"/>
      <c r="C859" s="6"/>
      <c r="D859" s="6"/>
      <c r="E859" s="9"/>
      <c r="F859" s="9"/>
      <c r="G859" s="11"/>
      <c r="H859" s="5"/>
      <c r="I859" s="8"/>
      <c r="J859" s="8"/>
      <c r="Z859" s="6"/>
    </row>
    <row r="860" spans="2:26" ht="12.75" x14ac:dyDescent="0.2">
      <c r="B860" s="6"/>
      <c r="C860" s="6"/>
      <c r="D860" s="6"/>
      <c r="E860" s="9"/>
      <c r="F860" s="9"/>
      <c r="G860" s="11"/>
      <c r="H860" s="5"/>
      <c r="I860" s="8"/>
      <c r="J860" s="8"/>
      <c r="Z860" s="6"/>
    </row>
    <row r="861" spans="2:26" ht="12.75" x14ac:dyDescent="0.2">
      <c r="B861" s="6"/>
      <c r="C861" s="6"/>
      <c r="D861" s="6"/>
      <c r="E861" s="9"/>
      <c r="F861" s="9"/>
      <c r="G861" s="11"/>
      <c r="H861" s="5"/>
      <c r="I861" s="8"/>
      <c r="J861" s="8"/>
      <c r="Z861" s="6"/>
    </row>
    <row r="862" spans="2:26" ht="12.75" x14ac:dyDescent="0.2">
      <c r="B862" s="6"/>
      <c r="C862" s="6"/>
      <c r="D862" s="6"/>
      <c r="E862" s="9"/>
      <c r="F862" s="9"/>
      <c r="G862" s="11"/>
      <c r="H862" s="5"/>
      <c r="I862" s="8"/>
      <c r="J862" s="8"/>
      <c r="Z862" s="6"/>
    </row>
  </sheetData>
  <dataValidations count="1">
    <dataValidation type="list" allowBlank="1" showErrorMessage="1" sqref="C3:C7" xr:uid="{00000000-0002-0000-0500-000000000000}">
      <formula1>"5DD,EOM,LBD,TP"</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861"/>
  <sheetViews>
    <sheetView workbookViewId="0"/>
  </sheetViews>
  <sheetFormatPr defaultColWidth="12.42578125" defaultRowHeight="15.75" customHeight="1" x14ac:dyDescent="0.2"/>
  <cols>
    <col min="1" max="1" width="7.42578125" customWidth="1"/>
    <col min="2" max="2" width="6.140625" customWidth="1"/>
    <col min="3" max="3" width="9.28515625" customWidth="1"/>
    <col min="4" max="4" width="7" customWidth="1"/>
    <col min="5" max="5" width="7.42578125" customWidth="1"/>
    <col min="6" max="6" width="8" customWidth="1"/>
    <col min="7" max="7" width="8.28515625" customWidth="1"/>
    <col min="8" max="8" width="7.85546875" customWidth="1"/>
    <col min="9" max="10" width="7" customWidth="1"/>
    <col min="11" max="11" width="6.42578125" customWidth="1"/>
    <col min="12" max="12" width="5.140625" customWidth="1"/>
    <col min="13" max="13" width="7.85546875" customWidth="1"/>
    <col min="14" max="14" width="13.42578125" customWidth="1"/>
    <col min="15" max="15" width="10.85546875" customWidth="1"/>
    <col min="16" max="16" width="11.42578125" customWidth="1"/>
    <col min="17" max="17" width="6.42578125" customWidth="1"/>
    <col min="18" max="18" width="7.140625" customWidth="1"/>
    <col min="19" max="19" width="9.140625" customWidth="1"/>
    <col min="20" max="20" width="6.42578125" customWidth="1"/>
    <col min="21" max="21" width="11.140625" customWidth="1"/>
    <col min="22" max="22" width="9.28515625" customWidth="1"/>
    <col min="23" max="23" width="8.85546875" customWidth="1"/>
    <col min="24" max="25" width="7" customWidth="1"/>
    <col min="26" max="26" width="8.42578125" customWidth="1"/>
  </cols>
  <sheetData>
    <row r="1" spans="1:26" ht="15" customHeight="1" x14ac:dyDescent="0.2">
      <c r="A1" s="14" t="s">
        <v>2</v>
      </c>
      <c r="B1" s="15" t="s">
        <v>3</v>
      </c>
      <c r="C1" s="15" t="s">
        <v>4</v>
      </c>
      <c r="D1" s="15" t="s">
        <v>0</v>
      </c>
      <c r="E1" s="16" t="s">
        <v>5</v>
      </c>
      <c r="F1" s="16" t="s">
        <v>6</v>
      </c>
      <c r="G1" s="17" t="s">
        <v>7</v>
      </c>
      <c r="H1" s="18" t="s">
        <v>8</v>
      </c>
      <c r="I1" s="19" t="s">
        <v>9</v>
      </c>
      <c r="J1" s="19" t="s">
        <v>10</v>
      </c>
      <c r="K1" s="19" t="s">
        <v>11</v>
      </c>
      <c r="L1" s="18" t="s">
        <v>12</v>
      </c>
      <c r="M1" s="20"/>
      <c r="N1" s="20"/>
      <c r="O1" s="20"/>
      <c r="P1" s="20"/>
      <c r="Q1" s="20"/>
      <c r="R1" s="20"/>
      <c r="S1" s="20"/>
      <c r="T1" s="20"/>
      <c r="U1" s="20"/>
      <c r="V1" s="20"/>
      <c r="W1" s="20"/>
      <c r="X1" s="20"/>
      <c r="Y1" s="20"/>
      <c r="Z1" s="3"/>
    </row>
    <row r="2" spans="1:26" ht="12.75" x14ac:dyDescent="0.2">
      <c r="A2" s="10"/>
      <c r="B2" s="6"/>
      <c r="C2" s="6"/>
      <c r="D2" s="6"/>
      <c r="E2" s="9"/>
      <c r="F2" s="9"/>
      <c r="G2" s="11"/>
      <c r="H2" s="5"/>
      <c r="I2" s="6"/>
      <c r="J2" s="6"/>
      <c r="K2" s="20"/>
      <c r="L2" s="20"/>
      <c r="M2" s="20"/>
      <c r="Q2" s="20"/>
      <c r="X2" s="6"/>
      <c r="Y2" s="6"/>
      <c r="Z2" s="6"/>
    </row>
    <row r="3" spans="1:26" ht="12.75" x14ac:dyDescent="0.2">
      <c r="A3" s="10">
        <v>45723</v>
      </c>
      <c r="B3" s="1" t="s">
        <v>13</v>
      </c>
      <c r="C3" s="1" t="s">
        <v>14</v>
      </c>
      <c r="D3" s="6">
        <v>170.79</v>
      </c>
      <c r="E3" s="9">
        <v>15</v>
      </c>
      <c r="F3" s="9">
        <v>15</v>
      </c>
      <c r="G3" s="11">
        <v>15</v>
      </c>
      <c r="H3" s="5">
        <f>D3*G3</f>
        <v>2561.85</v>
      </c>
      <c r="I3" s="6">
        <f>D3-(D3*$O$5)</f>
        <v>161.39654999999999</v>
      </c>
      <c r="J3" s="6">
        <f>D3+(D3*$O$6)</f>
        <v>198.97035</v>
      </c>
      <c r="K3" s="5"/>
      <c r="L3" s="5"/>
      <c r="M3" s="5"/>
      <c r="N3" s="20" t="s">
        <v>21</v>
      </c>
      <c r="O3" s="5">
        <v>250</v>
      </c>
      <c r="W3" s="6"/>
      <c r="X3" s="6"/>
      <c r="Y3" s="6"/>
      <c r="Z3" s="6"/>
    </row>
    <row r="4" spans="1:26" ht="12.75" x14ac:dyDescent="0.2">
      <c r="A4" s="10"/>
      <c r="D4" s="6"/>
      <c r="E4" s="9"/>
      <c r="F4" s="9"/>
      <c r="G4" s="11"/>
      <c r="H4" s="5"/>
      <c r="I4" s="6"/>
      <c r="K4" s="6"/>
      <c r="L4" s="6"/>
      <c r="M4" s="6"/>
      <c r="N4" s="3" t="s">
        <v>8</v>
      </c>
      <c r="O4" s="5">
        <v>250</v>
      </c>
      <c r="P4" s="10"/>
      <c r="Q4" s="6"/>
      <c r="R4" s="6"/>
      <c r="S4" s="6"/>
      <c r="T4" s="6"/>
      <c r="U4" s="6"/>
      <c r="V4" s="6"/>
      <c r="W4" s="6"/>
      <c r="X4" s="6"/>
      <c r="Y4" s="6"/>
      <c r="Z4" s="6"/>
    </row>
    <row r="5" spans="1:26" ht="12.75" x14ac:dyDescent="0.2">
      <c r="A5" s="10"/>
      <c r="D5" s="6"/>
      <c r="E5" s="9"/>
      <c r="F5" s="9"/>
      <c r="G5" s="11"/>
      <c r="H5" s="5"/>
      <c r="I5" s="6"/>
      <c r="K5" s="6"/>
      <c r="L5" s="6"/>
      <c r="M5" s="6"/>
      <c r="N5" s="3" t="s">
        <v>18</v>
      </c>
      <c r="O5" s="4">
        <v>5.5E-2</v>
      </c>
      <c r="P5" s="4"/>
      <c r="Q5" s="6"/>
      <c r="R5" s="6"/>
      <c r="S5" s="6"/>
      <c r="T5" s="6"/>
      <c r="U5" s="6"/>
      <c r="V5" s="6"/>
      <c r="W5" s="6"/>
      <c r="X5" s="6"/>
      <c r="Y5" s="6"/>
      <c r="Z5" s="6"/>
    </row>
    <row r="6" spans="1:26" ht="12.75" x14ac:dyDescent="0.2">
      <c r="A6" s="21"/>
      <c r="B6" s="22"/>
      <c r="C6" s="22"/>
      <c r="D6" s="23"/>
      <c r="E6" s="24"/>
      <c r="F6" s="24"/>
      <c r="G6" s="25"/>
      <c r="H6" s="26"/>
      <c r="I6" s="23"/>
      <c r="J6" s="22"/>
      <c r="K6" s="6"/>
      <c r="L6" s="6"/>
      <c r="M6" s="6"/>
      <c r="N6" s="3" t="s">
        <v>10</v>
      </c>
      <c r="O6" s="4">
        <f>O5*3</f>
        <v>0.16500000000000001</v>
      </c>
      <c r="P6" s="4"/>
      <c r="Q6" s="4"/>
      <c r="R6" s="6"/>
      <c r="S6" s="6"/>
      <c r="T6" s="6"/>
      <c r="U6" s="6"/>
      <c r="V6" s="6"/>
      <c r="W6" s="6"/>
      <c r="X6" s="6"/>
      <c r="Y6" s="6"/>
      <c r="Z6" s="6"/>
    </row>
    <row r="7" spans="1:26" ht="12.75" x14ac:dyDescent="0.2">
      <c r="A7" s="10"/>
      <c r="B7" s="1"/>
      <c r="D7" s="6"/>
      <c r="E7" s="9"/>
      <c r="F7" s="9"/>
      <c r="G7" s="11"/>
      <c r="H7" s="5"/>
      <c r="I7" s="6"/>
      <c r="K7" s="6"/>
      <c r="L7" s="6"/>
      <c r="M7" s="6"/>
      <c r="N7" s="20" t="s">
        <v>19</v>
      </c>
      <c r="O7" s="5">
        <f>(O8/250)*O3</f>
        <v>2561.85</v>
      </c>
      <c r="P7" s="6"/>
      <c r="Q7" s="6"/>
      <c r="R7" s="6"/>
      <c r="S7" s="6"/>
      <c r="T7" s="6"/>
      <c r="U7" s="6"/>
      <c r="V7" s="6"/>
      <c r="W7" s="6"/>
      <c r="X7" s="6"/>
      <c r="Y7" s="6"/>
      <c r="Z7" s="6"/>
    </row>
    <row r="8" spans="1:26" ht="12.75" x14ac:dyDescent="0.2">
      <c r="A8" s="21"/>
      <c r="B8" s="22"/>
      <c r="C8" s="22"/>
      <c r="D8" s="23"/>
      <c r="E8" s="24"/>
      <c r="F8" s="24"/>
      <c r="G8" s="25"/>
      <c r="H8" s="26"/>
      <c r="I8" s="23"/>
      <c r="J8" s="22"/>
      <c r="K8" s="6"/>
      <c r="L8" s="6"/>
      <c r="M8" s="6"/>
      <c r="N8" s="3" t="s">
        <v>20</v>
      </c>
      <c r="O8" s="5">
        <f>SUM(H3:H42)</f>
        <v>2561.85</v>
      </c>
      <c r="P8" s="4"/>
      <c r="R8" s="6"/>
      <c r="S8" s="6"/>
      <c r="T8" s="6"/>
      <c r="U8" s="6"/>
      <c r="V8" s="6"/>
      <c r="W8" s="6"/>
      <c r="X8" s="6"/>
      <c r="Y8" s="6"/>
      <c r="Z8" s="6"/>
    </row>
    <row r="9" spans="1:26" ht="12.75" x14ac:dyDescent="0.2">
      <c r="A9" s="21"/>
      <c r="B9" s="22"/>
      <c r="C9" s="22"/>
      <c r="D9" s="23"/>
      <c r="E9" s="24"/>
      <c r="F9" s="24"/>
      <c r="G9" s="25"/>
      <c r="H9" s="26"/>
      <c r="I9" s="23"/>
      <c r="J9" s="22"/>
      <c r="K9" s="6"/>
      <c r="L9" s="6"/>
      <c r="M9" s="6"/>
      <c r="N9" s="20"/>
      <c r="O9" s="6">
        <f>SUM(O7:O8)</f>
        <v>5123.7</v>
      </c>
      <c r="P9" s="6"/>
      <c r="Q9" s="6"/>
      <c r="R9" s="6"/>
      <c r="S9" s="6"/>
      <c r="T9" s="6"/>
      <c r="U9" s="6"/>
      <c r="V9" s="6"/>
      <c r="W9" s="6"/>
      <c r="X9" s="6"/>
      <c r="Y9" s="6"/>
      <c r="Z9" s="6"/>
    </row>
    <row r="10" spans="1:26" ht="12.75" x14ac:dyDescent="0.2">
      <c r="A10" s="21"/>
      <c r="B10" s="22"/>
      <c r="C10" s="22"/>
      <c r="D10" s="23"/>
      <c r="E10" s="24"/>
      <c r="F10" s="24"/>
      <c r="G10" s="25"/>
      <c r="H10" s="26"/>
      <c r="I10" s="23"/>
      <c r="J10" s="22"/>
      <c r="K10" s="6"/>
      <c r="L10" s="6"/>
      <c r="M10" s="6"/>
      <c r="N10" s="1" t="s">
        <v>26</v>
      </c>
      <c r="O10" s="6"/>
      <c r="P10" s="4"/>
      <c r="Q10" s="6"/>
      <c r="R10" s="6"/>
      <c r="S10" s="6"/>
      <c r="T10" s="6"/>
      <c r="U10" s="6"/>
      <c r="V10" s="6"/>
      <c r="W10" s="6"/>
      <c r="X10" s="6"/>
      <c r="Y10" s="6"/>
      <c r="Z10" s="6"/>
    </row>
    <row r="11" spans="1:26" ht="12.75" x14ac:dyDescent="0.2">
      <c r="B11" s="1"/>
      <c r="D11" s="6"/>
      <c r="E11" s="9"/>
      <c r="F11" s="9"/>
      <c r="G11" s="11"/>
      <c r="H11" s="5"/>
      <c r="I11" s="6"/>
      <c r="K11" s="6"/>
      <c r="L11" s="6"/>
      <c r="M11" s="6"/>
      <c r="N11" s="6"/>
      <c r="O11" s="9"/>
      <c r="P11" s="6"/>
      <c r="Q11" s="6"/>
      <c r="R11" s="6"/>
      <c r="S11" s="6"/>
      <c r="T11" s="6"/>
      <c r="U11" s="6"/>
      <c r="V11" s="6"/>
      <c r="W11" s="6"/>
      <c r="X11" s="6"/>
      <c r="Y11" s="6"/>
      <c r="Z11" s="6"/>
    </row>
    <row r="12" spans="1:26" ht="12.75" x14ac:dyDescent="0.2">
      <c r="A12" s="10"/>
      <c r="B12" s="1"/>
      <c r="D12" s="6"/>
      <c r="E12" s="9"/>
      <c r="F12" s="9"/>
      <c r="G12" s="11"/>
      <c r="H12" s="5"/>
      <c r="I12" s="6"/>
      <c r="K12" s="6"/>
      <c r="L12" s="6"/>
      <c r="M12" s="6"/>
      <c r="N12" s="6"/>
      <c r="O12" s="6"/>
      <c r="P12" s="6"/>
      <c r="Q12" s="6"/>
      <c r="R12" s="6"/>
      <c r="S12" s="6"/>
      <c r="T12" s="6"/>
      <c r="U12" s="6"/>
      <c r="V12" s="6"/>
      <c r="W12" s="6"/>
      <c r="X12" s="6"/>
      <c r="Y12" s="6"/>
      <c r="Z12" s="6"/>
    </row>
    <row r="13" spans="1:26" ht="12.75" x14ac:dyDescent="0.2">
      <c r="A13" s="21"/>
      <c r="B13" s="22"/>
      <c r="C13" s="22"/>
      <c r="D13" s="23"/>
      <c r="E13" s="24"/>
      <c r="F13" s="24"/>
      <c r="G13" s="25"/>
      <c r="H13" s="26"/>
      <c r="I13" s="23"/>
      <c r="J13" s="22"/>
      <c r="K13" s="6"/>
      <c r="L13" s="6"/>
      <c r="M13" s="6"/>
      <c r="N13" s="6"/>
      <c r="O13" s="6"/>
      <c r="P13" s="6"/>
      <c r="Q13" s="6"/>
      <c r="R13" s="6"/>
      <c r="S13" s="6"/>
      <c r="T13" s="6"/>
      <c r="U13" s="6"/>
      <c r="V13" s="6"/>
      <c r="W13" s="6"/>
      <c r="X13" s="6"/>
      <c r="Y13" s="6"/>
      <c r="Z13" s="6"/>
    </row>
    <row r="14" spans="1:26" ht="12.75" x14ac:dyDescent="0.2">
      <c r="A14" s="21"/>
      <c r="B14" s="22"/>
      <c r="C14" s="22"/>
      <c r="D14" s="23"/>
      <c r="E14" s="24"/>
      <c r="F14" s="24"/>
      <c r="G14" s="25"/>
      <c r="H14" s="26"/>
      <c r="I14" s="23"/>
      <c r="J14" s="22"/>
      <c r="K14" s="6"/>
      <c r="L14" s="6"/>
      <c r="M14" s="6"/>
      <c r="N14" s="6"/>
      <c r="O14" s="3"/>
      <c r="P14" s="3"/>
      <c r="Q14" s="3"/>
      <c r="R14" s="3"/>
      <c r="S14" s="3"/>
      <c r="T14" s="6"/>
      <c r="U14" s="6"/>
      <c r="V14" s="6"/>
      <c r="W14" s="6"/>
      <c r="X14" s="6"/>
      <c r="Y14" s="6"/>
      <c r="Z14" s="6"/>
    </row>
    <row r="15" spans="1:26" ht="12.75" x14ac:dyDescent="0.2">
      <c r="A15" s="21"/>
      <c r="B15" s="22"/>
      <c r="C15" s="22"/>
      <c r="D15" s="23"/>
      <c r="E15" s="24"/>
      <c r="F15" s="24"/>
      <c r="G15" s="25"/>
      <c r="H15" s="26"/>
      <c r="I15" s="23"/>
      <c r="J15" s="22"/>
      <c r="N15" s="27"/>
      <c r="O15" s="5"/>
      <c r="P15" s="4"/>
      <c r="Q15" s="7"/>
      <c r="R15" s="2"/>
      <c r="S15" s="2"/>
      <c r="T15" s="6"/>
      <c r="U15" s="6"/>
      <c r="V15" s="6"/>
      <c r="W15" s="6"/>
      <c r="X15" s="6"/>
      <c r="Y15" s="6"/>
      <c r="Z15" s="6"/>
    </row>
    <row r="16" spans="1:26" ht="12.75" x14ac:dyDescent="0.2">
      <c r="A16" s="10"/>
      <c r="B16" s="1"/>
      <c r="D16" s="6"/>
      <c r="E16" s="9"/>
      <c r="F16" s="9"/>
      <c r="G16" s="11"/>
      <c r="H16" s="5"/>
      <c r="I16" s="6"/>
      <c r="N16" s="27"/>
      <c r="O16" s="5"/>
      <c r="P16" s="4"/>
      <c r="Q16" s="7"/>
      <c r="R16" s="2"/>
      <c r="S16" s="2"/>
      <c r="T16" s="6"/>
      <c r="U16" s="6"/>
      <c r="V16" s="6"/>
      <c r="W16" s="6"/>
      <c r="X16" s="6"/>
      <c r="Y16" s="6"/>
      <c r="Z16" s="6"/>
    </row>
    <row r="17" spans="1:26" ht="12.75" x14ac:dyDescent="0.2">
      <c r="A17" s="10"/>
      <c r="B17" s="1"/>
      <c r="D17" s="6"/>
      <c r="E17" s="9"/>
      <c r="F17" s="9"/>
      <c r="G17" s="11"/>
      <c r="H17" s="5"/>
      <c r="I17" s="6"/>
      <c r="K17" s="6"/>
      <c r="L17" s="6"/>
      <c r="M17" s="6"/>
      <c r="N17" s="27"/>
      <c r="O17" s="5"/>
      <c r="P17" s="4"/>
      <c r="R17" s="6"/>
      <c r="S17" s="6"/>
      <c r="T17" s="6"/>
      <c r="U17" s="6"/>
      <c r="V17" s="6"/>
      <c r="W17" s="6"/>
      <c r="X17" s="6"/>
      <c r="Y17" s="6"/>
      <c r="Z17" s="6"/>
    </row>
    <row r="18" spans="1:26" ht="12.75" x14ac:dyDescent="0.2">
      <c r="A18" s="10"/>
      <c r="B18" s="1"/>
      <c r="D18" s="6"/>
      <c r="E18" s="9"/>
      <c r="F18" s="9"/>
      <c r="G18" s="11"/>
      <c r="H18" s="5"/>
      <c r="I18" s="6"/>
      <c r="K18" s="9"/>
      <c r="L18" s="9"/>
      <c r="M18" s="9"/>
      <c r="N18" s="27"/>
      <c r="O18" s="5"/>
      <c r="P18" s="4"/>
      <c r="R18" s="6"/>
      <c r="S18" s="5"/>
      <c r="T18" s="5"/>
      <c r="U18" s="5"/>
      <c r="V18" s="5"/>
      <c r="W18" s="9"/>
      <c r="X18" s="5"/>
      <c r="Y18" s="5"/>
      <c r="Z18" s="4"/>
    </row>
    <row r="19" spans="1:26" ht="12.75" x14ac:dyDescent="0.2">
      <c r="A19" s="10"/>
      <c r="B19" s="1"/>
      <c r="D19" s="6"/>
      <c r="E19" s="9"/>
      <c r="F19" s="9"/>
      <c r="G19" s="11"/>
      <c r="H19" s="5"/>
      <c r="I19" s="6"/>
      <c r="K19" s="6"/>
      <c r="L19" s="6"/>
      <c r="M19" s="6"/>
      <c r="N19" s="27"/>
      <c r="O19" s="5"/>
      <c r="P19" s="4"/>
      <c r="Q19" s="7"/>
      <c r="R19" s="2"/>
      <c r="S19" s="6"/>
      <c r="T19" s="6"/>
      <c r="U19" s="6"/>
      <c r="V19" s="6"/>
      <c r="W19" s="6"/>
      <c r="X19" s="6"/>
      <c r="Y19" s="6"/>
      <c r="Z19" s="6"/>
    </row>
    <row r="20" spans="1:26" ht="12.75" x14ac:dyDescent="0.2">
      <c r="A20" s="10"/>
      <c r="D20" s="6"/>
      <c r="E20" s="9"/>
      <c r="F20" s="9"/>
      <c r="G20" s="11"/>
      <c r="H20" s="5"/>
      <c r="I20" s="6"/>
      <c r="K20" s="6"/>
      <c r="L20" s="6"/>
      <c r="M20" s="6"/>
      <c r="N20" s="27"/>
      <c r="O20" s="7"/>
      <c r="P20" s="2"/>
      <c r="S20" s="6"/>
      <c r="T20" s="6"/>
      <c r="U20" s="6"/>
      <c r="V20" s="6"/>
      <c r="W20" s="6"/>
      <c r="X20" s="6"/>
      <c r="Y20" s="6"/>
      <c r="Z20" s="6"/>
    </row>
    <row r="21" spans="1:26" ht="12.75" x14ac:dyDescent="0.2">
      <c r="A21" s="21"/>
      <c r="B21" s="22"/>
      <c r="C21" s="22"/>
      <c r="D21" s="23"/>
      <c r="E21" s="24"/>
      <c r="F21" s="24"/>
      <c r="G21" s="25"/>
      <c r="H21" s="26"/>
      <c r="I21" s="23"/>
      <c r="J21" s="22"/>
      <c r="K21" s="6"/>
      <c r="L21" s="6"/>
      <c r="M21" s="6"/>
      <c r="N21" s="27"/>
      <c r="O21" s="9"/>
      <c r="P21" s="9"/>
      <c r="Q21" s="9"/>
      <c r="R21" s="6"/>
      <c r="S21" s="6"/>
      <c r="T21" s="6"/>
      <c r="U21" s="6"/>
      <c r="V21" s="6"/>
      <c r="W21" s="6"/>
      <c r="X21" s="6"/>
      <c r="Y21" s="6"/>
      <c r="Z21" s="6"/>
    </row>
    <row r="22" spans="1:26" ht="12.75" x14ac:dyDescent="0.2">
      <c r="A22" s="21"/>
      <c r="B22" s="22"/>
      <c r="C22" s="22"/>
      <c r="D22" s="23"/>
      <c r="E22" s="24"/>
      <c r="F22" s="24"/>
      <c r="G22" s="25"/>
      <c r="H22" s="26"/>
      <c r="I22" s="23"/>
      <c r="J22" s="22"/>
      <c r="K22" s="6"/>
      <c r="L22" s="6"/>
      <c r="M22" s="6"/>
      <c r="N22" s="27"/>
      <c r="O22" s="6"/>
      <c r="P22" s="6"/>
      <c r="Q22" s="6"/>
      <c r="R22" s="6"/>
      <c r="S22" s="6"/>
      <c r="T22" s="6"/>
      <c r="U22" s="6"/>
      <c r="V22" s="6"/>
      <c r="W22" s="6"/>
      <c r="X22" s="6"/>
      <c r="Y22" s="6"/>
      <c r="Z22" s="6"/>
    </row>
    <row r="23" spans="1:26" ht="12.75" x14ac:dyDescent="0.2">
      <c r="A23" s="10"/>
      <c r="B23" s="1"/>
      <c r="D23" s="6"/>
      <c r="E23" s="9"/>
      <c r="F23" s="9"/>
      <c r="G23" s="11"/>
      <c r="H23" s="5"/>
      <c r="I23" s="6"/>
      <c r="K23" s="6"/>
      <c r="L23" s="6"/>
      <c r="M23" s="6"/>
      <c r="N23" s="27"/>
      <c r="O23" s="6"/>
      <c r="P23" s="6"/>
      <c r="Q23" s="6"/>
      <c r="R23" s="6"/>
      <c r="S23" s="6"/>
      <c r="T23" s="6"/>
      <c r="U23" s="6"/>
      <c r="V23" s="6"/>
      <c r="W23" s="6"/>
      <c r="X23" s="6"/>
      <c r="Y23" s="6"/>
      <c r="Z23" s="6"/>
    </row>
    <row r="24" spans="1:26" ht="12.75" x14ac:dyDescent="0.2">
      <c r="A24" s="10"/>
      <c r="D24" s="6"/>
      <c r="E24" s="9"/>
      <c r="F24" s="9"/>
      <c r="G24" s="11"/>
      <c r="H24" s="5"/>
      <c r="I24" s="6"/>
      <c r="K24" s="6"/>
      <c r="L24" s="6"/>
      <c r="M24" s="6"/>
      <c r="N24" s="27"/>
      <c r="O24" s="6"/>
      <c r="P24" s="6"/>
      <c r="Q24" s="6"/>
      <c r="R24" s="6"/>
      <c r="S24" s="6"/>
      <c r="T24" s="6"/>
      <c r="U24" s="6"/>
      <c r="V24" s="6"/>
      <c r="W24" s="6"/>
      <c r="X24" s="6"/>
      <c r="Y24" s="6"/>
      <c r="Z24" s="6"/>
    </row>
    <row r="25" spans="1:26" ht="12.75" x14ac:dyDescent="0.2">
      <c r="A25" s="10"/>
      <c r="B25" s="1"/>
      <c r="D25" s="6"/>
      <c r="E25" s="9"/>
      <c r="F25" s="9"/>
      <c r="G25" s="11"/>
      <c r="H25" s="5"/>
      <c r="I25" s="6"/>
      <c r="K25" s="6"/>
      <c r="L25" s="6"/>
      <c r="M25" s="6"/>
      <c r="N25" s="27"/>
      <c r="O25" s="6"/>
      <c r="P25" s="6"/>
      <c r="Q25" s="6"/>
      <c r="R25" s="6"/>
      <c r="S25" s="6"/>
      <c r="T25" s="6"/>
      <c r="U25" s="6"/>
      <c r="V25" s="6"/>
      <c r="W25" s="6"/>
      <c r="X25" s="6"/>
      <c r="Y25" s="6"/>
      <c r="Z25" s="6"/>
    </row>
    <row r="26" spans="1:26" ht="12.75" x14ac:dyDescent="0.2">
      <c r="A26" s="10"/>
      <c r="D26" s="6"/>
      <c r="E26" s="9"/>
      <c r="F26" s="9"/>
      <c r="G26" s="11"/>
      <c r="H26" s="5"/>
      <c r="I26" s="6"/>
      <c r="K26" s="6"/>
      <c r="L26" s="6"/>
      <c r="M26" s="6"/>
      <c r="N26" s="27"/>
      <c r="O26" s="6"/>
      <c r="P26" s="6"/>
      <c r="Q26" s="6"/>
      <c r="R26" s="6"/>
      <c r="S26" s="6"/>
      <c r="T26" s="6"/>
      <c r="U26" s="6"/>
      <c r="V26" s="6"/>
      <c r="W26" s="6"/>
      <c r="X26" s="6"/>
      <c r="Y26" s="6"/>
      <c r="Z26" s="6"/>
    </row>
    <row r="27" spans="1:26" ht="12.75" x14ac:dyDescent="0.2">
      <c r="A27" s="10"/>
      <c r="D27" s="6"/>
      <c r="E27" s="9"/>
      <c r="F27" s="9"/>
      <c r="G27" s="11"/>
      <c r="H27" s="5"/>
      <c r="I27" s="6"/>
      <c r="K27" s="6"/>
      <c r="L27" s="6"/>
      <c r="M27" s="6"/>
      <c r="N27" s="27"/>
      <c r="O27" s="6"/>
      <c r="P27" s="6"/>
      <c r="Q27" s="6"/>
      <c r="R27" s="6"/>
      <c r="S27" s="6"/>
      <c r="T27" s="6"/>
      <c r="U27" s="6"/>
      <c r="V27" s="6"/>
      <c r="W27" s="6"/>
      <c r="X27" s="6"/>
      <c r="Y27" s="6"/>
      <c r="Z27" s="6"/>
    </row>
    <row r="28" spans="1:26" ht="12.75" x14ac:dyDescent="0.2">
      <c r="A28" s="10"/>
      <c r="B28" s="1"/>
      <c r="D28" s="6"/>
      <c r="E28" s="9"/>
      <c r="F28" s="9"/>
      <c r="G28" s="11"/>
      <c r="H28" s="5"/>
      <c r="I28" s="6"/>
      <c r="K28" s="6"/>
      <c r="L28" s="6"/>
      <c r="M28" s="6"/>
      <c r="N28" s="6"/>
      <c r="O28" s="6"/>
      <c r="P28" s="6"/>
      <c r="Q28" s="6"/>
      <c r="R28" s="6"/>
      <c r="S28" s="6"/>
      <c r="T28" s="6"/>
      <c r="U28" s="6"/>
      <c r="V28" s="6"/>
      <c r="W28" s="6"/>
      <c r="X28" s="6"/>
      <c r="Y28" s="6"/>
      <c r="Z28" s="6"/>
    </row>
    <row r="29" spans="1:26" ht="12.75" x14ac:dyDescent="0.2">
      <c r="A29" s="10"/>
      <c r="B29" s="1"/>
      <c r="D29" s="6"/>
      <c r="E29" s="9"/>
      <c r="F29" s="9"/>
      <c r="G29" s="11"/>
      <c r="H29" s="5"/>
      <c r="I29" s="6"/>
      <c r="K29" s="6"/>
      <c r="L29" s="6"/>
      <c r="M29" s="6"/>
      <c r="N29" s="6"/>
      <c r="O29" s="6"/>
      <c r="P29" s="6"/>
      <c r="Q29" s="6"/>
      <c r="R29" s="6"/>
      <c r="S29" s="6"/>
      <c r="T29" s="6"/>
      <c r="U29" s="6"/>
      <c r="V29" s="6"/>
      <c r="W29" s="6"/>
      <c r="X29" s="6"/>
      <c r="Y29" s="6"/>
      <c r="Z29" s="6"/>
    </row>
    <row r="30" spans="1:26" ht="12.75" x14ac:dyDescent="0.2">
      <c r="A30" s="10"/>
      <c r="B30" s="1"/>
      <c r="D30" s="6"/>
      <c r="E30" s="9"/>
      <c r="F30" s="9"/>
      <c r="G30" s="11"/>
      <c r="H30" s="5"/>
      <c r="I30" s="6"/>
      <c r="K30" s="6"/>
      <c r="L30" s="6"/>
      <c r="M30" s="6"/>
      <c r="N30" s="6"/>
      <c r="O30" s="6"/>
      <c r="P30" s="6"/>
      <c r="Q30" s="6"/>
      <c r="R30" s="6"/>
      <c r="S30" s="6"/>
      <c r="T30" s="6"/>
      <c r="U30" s="6"/>
      <c r="V30" s="6"/>
      <c r="W30" s="6"/>
      <c r="X30" s="6"/>
      <c r="Y30" s="6"/>
      <c r="Z30" s="6"/>
    </row>
    <row r="31" spans="1:26" ht="12.75" x14ac:dyDescent="0.2">
      <c r="A31" s="10"/>
      <c r="B31" s="1"/>
      <c r="D31" s="6"/>
      <c r="E31" s="9"/>
      <c r="F31" s="9"/>
      <c r="G31" s="11"/>
      <c r="H31" s="5"/>
      <c r="I31" s="6"/>
      <c r="K31" s="6"/>
      <c r="L31" s="6"/>
      <c r="M31" s="6"/>
      <c r="N31" s="6"/>
      <c r="O31" s="6"/>
      <c r="P31" s="6"/>
      <c r="Q31" s="6"/>
      <c r="R31" s="6"/>
      <c r="S31" s="6"/>
      <c r="T31" s="6"/>
      <c r="U31" s="6"/>
      <c r="V31" s="6"/>
      <c r="W31" s="6"/>
      <c r="X31" s="6"/>
      <c r="Y31" s="6"/>
      <c r="Z31" s="6"/>
    </row>
    <row r="32" spans="1:26" ht="12.75" x14ac:dyDescent="0.2">
      <c r="A32" s="10"/>
      <c r="B32" s="1"/>
      <c r="D32" s="6"/>
      <c r="E32" s="9"/>
      <c r="F32" s="9"/>
      <c r="G32" s="11"/>
      <c r="H32" s="5"/>
      <c r="I32" s="6"/>
      <c r="K32" s="6"/>
      <c r="L32" s="6"/>
      <c r="M32" s="6"/>
      <c r="N32" s="6"/>
      <c r="O32" s="6"/>
      <c r="P32" s="6"/>
      <c r="Q32" s="6"/>
      <c r="R32" s="6"/>
      <c r="S32" s="6"/>
      <c r="T32" s="6"/>
      <c r="U32" s="6"/>
      <c r="V32" s="6"/>
      <c r="W32" s="6"/>
      <c r="X32" s="6"/>
      <c r="Y32" s="6"/>
      <c r="Z32" s="6"/>
    </row>
    <row r="33" spans="1:26" ht="12.75" x14ac:dyDescent="0.2">
      <c r="A33" s="10"/>
      <c r="B33" s="1"/>
      <c r="D33" s="6"/>
      <c r="E33" s="9"/>
      <c r="F33" s="9"/>
      <c r="G33" s="11"/>
      <c r="H33" s="5"/>
      <c r="I33" s="6"/>
      <c r="K33" s="6"/>
      <c r="L33" s="6"/>
      <c r="M33" s="6"/>
      <c r="N33" s="6"/>
      <c r="O33" s="6"/>
      <c r="P33" s="6"/>
      <c r="Q33" s="6"/>
      <c r="R33" s="6"/>
      <c r="S33" s="6"/>
      <c r="T33" s="6"/>
      <c r="U33" s="6"/>
      <c r="V33" s="6"/>
      <c r="W33" s="6"/>
      <c r="X33" s="6"/>
      <c r="Y33" s="6"/>
      <c r="Z33" s="6"/>
    </row>
    <row r="34" spans="1:26" ht="12.75" x14ac:dyDescent="0.2">
      <c r="A34" s="10"/>
      <c r="B34" s="1"/>
      <c r="D34" s="6"/>
      <c r="E34" s="9"/>
      <c r="F34" s="9"/>
      <c r="G34" s="11"/>
      <c r="H34" s="5"/>
      <c r="I34" s="6"/>
      <c r="K34" s="6"/>
      <c r="L34" s="6"/>
      <c r="M34" s="6"/>
      <c r="N34" s="6"/>
      <c r="O34" s="6"/>
      <c r="P34" s="6"/>
      <c r="Q34" s="6"/>
      <c r="R34" s="6"/>
      <c r="S34" s="6"/>
      <c r="T34" s="6"/>
      <c r="U34" s="6"/>
      <c r="V34" s="6"/>
      <c r="W34" s="6"/>
      <c r="X34" s="6"/>
      <c r="Y34" s="6"/>
      <c r="Z34" s="6"/>
    </row>
    <row r="35" spans="1:26" ht="12.75" x14ac:dyDescent="0.2">
      <c r="A35" s="10"/>
      <c r="B35" s="1"/>
      <c r="D35" s="6"/>
      <c r="E35" s="9"/>
      <c r="F35" s="9"/>
      <c r="G35" s="11"/>
      <c r="H35" s="5"/>
      <c r="I35" s="6"/>
      <c r="K35" s="6"/>
      <c r="L35" s="6"/>
      <c r="M35" s="6"/>
      <c r="N35" s="6"/>
      <c r="O35" s="6"/>
      <c r="P35" s="6"/>
      <c r="Q35" s="6"/>
      <c r="R35" s="6"/>
      <c r="S35" s="6"/>
      <c r="T35" s="6"/>
      <c r="U35" s="6"/>
      <c r="V35" s="6"/>
      <c r="W35" s="6"/>
      <c r="X35" s="6"/>
      <c r="Y35" s="6"/>
      <c r="Z35" s="6"/>
    </row>
    <row r="36" spans="1:26" ht="12.75" x14ac:dyDescent="0.2">
      <c r="A36" s="10"/>
      <c r="B36" s="1"/>
      <c r="D36" s="6"/>
      <c r="E36" s="9"/>
      <c r="F36" s="9"/>
      <c r="G36" s="11"/>
      <c r="H36" s="5"/>
      <c r="I36" s="6"/>
      <c r="K36" s="9"/>
      <c r="L36" s="9"/>
      <c r="M36" s="9"/>
      <c r="N36" s="6"/>
      <c r="O36" s="6"/>
      <c r="P36" s="6"/>
      <c r="Q36" s="6"/>
      <c r="R36" s="6"/>
      <c r="S36" s="5"/>
      <c r="T36" s="5"/>
      <c r="U36" s="5"/>
      <c r="V36" s="5"/>
      <c r="W36" s="9"/>
      <c r="X36" s="5"/>
      <c r="Y36" s="5"/>
      <c r="Z36" s="4"/>
    </row>
    <row r="37" spans="1:26" ht="12.75" x14ac:dyDescent="0.2">
      <c r="A37" s="10"/>
      <c r="B37" s="1"/>
      <c r="D37" s="6"/>
      <c r="E37" s="9"/>
      <c r="F37" s="9"/>
      <c r="G37" s="11"/>
      <c r="H37" s="5"/>
      <c r="I37" s="6"/>
      <c r="K37" s="6"/>
      <c r="L37" s="6"/>
      <c r="M37" s="6"/>
      <c r="N37" s="6"/>
      <c r="O37" s="6"/>
      <c r="P37" s="6"/>
      <c r="Q37" s="6"/>
      <c r="R37" s="6"/>
      <c r="S37" s="6"/>
      <c r="T37" s="6"/>
      <c r="U37" s="6"/>
      <c r="V37" s="6"/>
      <c r="W37" s="6"/>
      <c r="X37" s="6"/>
      <c r="Y37" s="6"/>
      <c r="Z37" s="6"/>
    </row>
    <row r="38" spans="1:26" ht="12.75" x14ac:dyDescent="0.2">
      <c r="A38" s="10"/>
      <c r="B38" s="1"/>
      <c r="D38" s="6"/>
      <c r="E38" s="9"/>
      <c r="F38" s="9"/>
      <c r="G38" s="11"/>
      <c r="H38" s="5"/>
      <c r="I38" s="6"/>
      <c r="K38" s="6"/>
      <c r="L38" s="6"/>
      <c r="M38" s="6"/>
      <c r="N38" s="6"/>
      <c r="O38" s="6"/>
      <c r="P38" s="6"/>
      <c r="Q38" s="6"/>
      <c r="R38" s="5"/>
      <c r="S38" s="6"/>
      <c r="T38" s="6"/>
      <c r="U38" s="6"/>
      <c r="V38" s="6"/>
      <c r="W38" s="6"/>
      <c r="X38" s="6"/>
      <c r="Y38" s="6"/>
      <c r="Z38" s="6"/>
    </row>
    <row r="39" spans="1:26" ht="12.75" x14ac:dyDescent="0.2">
      <c r="A39" s="10"/>
      <c r="B39" s="1"/>
      <c r="D39" s="6"/>
      <c r="E39" s="9"/>
      <c r="F39" s="9"/>
      <c r="G39" s="11"/>
      <c r="H39" s="5"/>
      <c r="I39" s="6"/>
      <c r="K39" s="6"/>
      <c r="L39" s="6"/>
      <c r="M39" s="6"/>
      <c r="N39" s="9"/>
      <c r="O39" s="9"/>
      <c r="P39" s="6"/>
      <c r="Q39" s="9"/>
      <c r="R39" s="6"/>
      <c r="S39" s="6"/>
      <c r="T39" s="6"/>
      <c r="U39" s="6"/>
      <c r="V39" s="6"/>
      <c r="W39" s="6"/>
      <c r="X39" s="6"/>
      <c r="Y39" s="6"/>
      <c r="Z39" s="6"/>
    </row>
    <row r="40" spans="1:26" ht="12.75" x14ac:dyDescent="0.2">
      <c r="A40" s="10"/>
      <c r="B40" s="1"/>
      <c r="D40" s="6"/>
      <c r="E40" s="9"/>
      <c r="F40" s="9"/>
      <c r="G40" s="11"/>
      <c r="H40" s="5"/>
      <c r="I40" s="6"/>
      <c r="K40" s="6"/>
      <c r="L40" s="6"/>
      <c r="M40" s="6"/>
      <c r="N40" s="6"/>
      <c r="O40" s="6"/>
      <c r="P40" s="6"/>
      <c r="Q40" s="6"/>
      <c r="R40" s="6"/>
      <c r="S40" s="6"/>
      <c r="T40" s="6"/>
      <c r="U40" s="6"/>
      <c r="V40" s="6"/>
      <c r="W40" s="6"/>
      <c r="X40" s="6"/>
      <c r="Y40" s="6"/>
      <c r="Z40" s="6"/>
    </row>
    <row r="41" spans="1:26" ht="12.75" x14ac:dyDescent="0.2">
      <c r="A41" s="10"/>
      <c r="B41" s="1"/>
      <c r="D41" s="6"/>
      <c r="E41" s="9"/>
      <c r="F41" s="9"/>
      <c r="G41" s="11"/>
      <c r="H41" s="5"/>
      <c r="I41" s="6"/>
      <c r="K41" s="6"/>
      <c r="L41" s="6"/>
      <c r="M41" s="6"/>
      <c r="N41" s="6"/>
      <c r="O41" s="6"/>
      <c r="P41" s="6"/>
      <c r="Q41" s="6"/>
      <c r="R41" s="6"/>
      <c r="S41" s="6"/>
      <c r="T41" s="6"/>
      <c r="U41" s="6"/>
      <c r="V41" s="6"/>
      <c r="W41" s="6"/>
      <c r="X41" s="6"/>
      <c r="Y41" s="6"/>
      <c r="Z41" s="6"/>
    </row>
    <row r="42" spans="1:26" ht="12.75" x14ac:dyDescent="0.2">
      <c r="A42" s="10"/>
      <c r="B42" s="1"/>
      <c r="D42" s="6"/>
      <c r="E42" s="9"/>
      <c r="F42" s="9"/>
      <c r="G42" s="11"/>
      <c r="H42" s="5"/>
      <c r="I42" s="6"/>
      <c r="K42" s="6"/>
      <c r="L42" s="6"/>
      <c r="M42" s="6"/>
      <c r="N42" s="6"/>
      <c r="O42" s="6"/>
      <c r="P42" s="6"/>
      <c r="Q42" s="6"/>
      <c r="R42" s="6"/>
      <c r="S42" s="6"/>
      <c r="T42" s="6"/>
      <c r="U42" s="6"/>
      <c r="V42" s="6"/>
      <c r="W42" s="6"/>
      <c r="X42" s="6"/>
      <c r="Y42" s="6"/>
      <c r="Z42" s="6"/>
    </row>
    <row r="43" spans="1:26" ht="12.75" x14ac:dyDescent="0.2">
      <c r="A43" s="10"/>
      <c r="B43" s="1"/>
      <c r="D43" s="6"/>
      <c r="E43" s="9"/>
      <c r="F43" s="9"/>
      <c r="G43" s="11"/>
      <c r="H43" s="5"/>
      <c r="I43" s="6"/>
      <c r="K43" s="6"/>
      <c r="L43" s="6"/>
      <c r="M43" s="6"/>
      <c r="N43" s="6"/>
      <c r="O43" s="6"/>
      <c r="P43" s="6"/>
      <c r="Q43" s="6"/>
      <c r="R43" s="6"/>
      <c r="S43" s="6"/>
      <c r="T43" s="6"/>
      <c r="U43" s="6"/>
      <c r="V43" s="6"/>
      <c r="W43" s="6"/>
      <c r="X43" s="6"/>
      <c r="Y43" s="6"/>
      <c r="Z43" s="6"/>
    </row>
    <row r="44" spans="1:26" ht="12.75" x14ac:dyDescent="0.2">
      <c r="A44" s="10"/>
      <c r="B44" s="1"/>
      <c r="D44" s="6"/>
      <c r="E44" s="9"/>
      <c r="F44" s="9"/>
      <c r="G44" s="11"/>
      <c r="H44" s="5"/>
      <c r="I44" s="6"/>
      <c r="K44" s="6"/>
      <c r="L44" s="6"/>
      <c r="M44" s="6"/>
      <c r="N44" s="6"/>
      <c r="O44" s="6"/>
      <c r="P44" s="6"/>
      <c r="Q44" s="6"/>
      <c r="R44" s="6"/>
      <c r="S44" s="6"/>
      <c r="T44" s="6"/>
      <c r="U44" s="6"/>
      <c r="V44" s="6"/>
      <c r="W44" s="6"/>
      <c r="X44" s="6"/>
      <c r="Y44" s="6"/>
      <c r="Z44" s="6"/>
    </row>
    <row r="45" spans="1:26" ht="12.75" x14ac:dyDescent="0.2">
      <c r="A45" s="10"/>
      <c r="B45" s="1"/>
      <c r="D45" s="6"/>
      <c r="E45" s="9"/>
      <c r="F45" s="9"/>
      <c r="G45" s="11"/>
      <c r="H45" s="5"/>
      <c r="I45" s="6"/>
      <c r="K45" s="6"/>
      <c r="L45" s="6"/>
      <c r="M45" s="6"/>
      <c r="N45" s="6"/>
      <c r="O45" s="6"/>
      <c r="P45" s="6"/>
      <c r="Q45" s="6"/>
      <c r="R45" s="6"/>
      <c r="S45" s="6"/>
      <c r="T45" s="6"/>
      <c r="U45" s="6"/>
      <c r="V45" s="6"/>
      <c r="W45" s="6"/>
      <c r="X45" s="6"/>
      <c r="Y45" s="6"/>
      <c r="Z45" s="6"/>
    </row>
    <row r="46" spans="1:26" ht="12.75" x14ac:dyDescent="0.2">
      <c r="A46" s="10"/>
      <c r="B46" s="1"/>
      <c r="D46" s="6"/>
      <c r="E46" s="9"/>
      <c r="F46" s="9"/>
      <c r="G46" s="11"/>
      <c r="H46" s="5"/>
      <c r="I46" s="6"/>
      <c r="K46" s="6"/>
      <c r="L46" s="6"/>
      <c r="M46" s="6"/>
      <c r="N46" s="6"/>
      <c r="O46" s="6"/>
      <c r="P46" s="6"/>
      <c r="Q46" s="6"/>
      <c r="R46" s="6"/>
      <c r="S46" s="6"/>
      <c r="T46" s="6"/>
      <c r="U46" s="6"/>
      <c r="V46" s="6"/>
      <c r="W46" s="6"/>
      <c r="X46" s="6"/>
      <c r="Y46" s="6"/>
      <c r="Z46" s="6"/>
    </row>
    <row r="47" spans="1:26" ht="12.75" x14ac:dyDescent="0.2">
      <c r="A47" s="10"/>
      <c r="B47" s="1"/>
      <c r="D47" s="6"/>
      <c r="E47" s="9"/>
      <c r="F47" s="9"/>
      <c r="G47" s="11"/>
      <c r="H47" s="5"/>
      <c r="I47" s="6"/>
      <c r="K47" s="6"/>
      <c r="L47" s="6"/>
      <c r="M47" s="6"/>
      <c r="N47" s="6"/>
      <c r="O47" s="6"/>
      <c r="P47" s="6"/>
      <c r="Q47" s="6"/>
      <c r="R47" s="6"/>
      <c r="S47" s="6"/>
      <c r="T47" s="6"/>
      <c r="U47" s="6"/>
      <c r="V47" s="6"/>
      <c r="W47" s="6"/>
      <c r="X47" s="6"/>
      <c r="Y47" s="6"/>
      <c r="Z47" s="6"/>
    </row>
    <row r="48" spans="1:26" ht="12.75" x14ac:dyDescent="0.2">
      <c r="A48" s="10"/>
      <c r="B48" s="1"/>
      <c r="D48" s="6"/>
      <c r="E48" s="9"/>
      <c r="F48" s="9"/>
      <c r="G48" s="11"/>
      <c r="H48" s="5"/>
      <c r="I48" s="6"/>
      <c r="K48" s="6"/>
      <c r="L48" s="6"/>
      <c r="M48" s="6"/>
      <c r="N48" s="6"/>
      <c r="O48" s="6"/>
      <c r="P48" s="6"/>
      <c r="Q48" s="6"/>
      <c r="R48" s="6"/>
      <c r="S48" s="6"/>
      <c r="T48" s="6"/>
      <c r="U48" s="6"/>
      <c r="V48" s="6"/>
      <c r="W48" s="6"/>
      <c r="X48" s="6"/>
      <c r="Y48" s="6"/>
      <c r="Z48" s="6"/>
    </row>
    <row r="49" spans="1:26" ht="12.75" x14ac:dyDescent="0.2">
      <c r="A49" s="10"/>
      <c r="B49" s="1"/>
      <c r="D49" s="6"/>
      <c r="E49" s="9"/>
      <c r="F49" s="9"/>
      <c r="G49" s="11"/>
      <c r="H49" s="5"/>
      <c r="I49" s="6"/>
      <c r="K49" s="6"/>
      <c r="L49" s="6"/>
      <c r="M49" s="6"/>
      <c r="N49" s="6"/>
      <c r="O49" s="6"/>
      <c r="P49" s="6"/>
      <c r="Q49" s="6"/>
      <c r="R49" s="6"/>
      <c r="S49" s="6"/>
      <c r="T49" s="6"/>
      <c r="U49" s="6"/>
      <c r="V49" s="6"/>
      <c r="W49" s="6"/>
      <c r="X49" s="6"/>
      <c r="Y49" s="6"/>
      <c r="Z49" s="6"/>
    </row>
    <row r="50" spans="1:26" ht="12.75" x14ac:dyDescent="0.2">
      <c r="A50" s="10"/>
      <c r="B50" s="1"/>
      <c r="D50" s="6"/>
      <c r="E50" s="9"/>
      <c r="F50" s="9"/>
      <c r="G50" s="11"/>
      <c r="H50" s="5"/>
      <c r="I50" s="6"/>
      <c r="K50" s="9"/>
      <c r="L50" s="9"/>
      <c r="M50" s="9"/>
      <c r="N50" s="6"/>
      <c r="O50" s="6"/>
      <c r="P50" s="6"/>
      <c r="Q50" s="6"/>
      <c r="R50" s="6"/>
      <c r="S50" s="5"/>
      <c r="T50" s="5"/>
      <c r="U50" s="5"/>
      <c r="V50" s="5"/>
      <c r="W50" s="9"/>
      <c r="X50" s="5"/>
      <c r="Y50" s="5"/>
      <c r="Z50" s="4"/>
    </row>
    <row r="51" spans="1:26" ht="12.75" x14ac:dyDescent="0.2">
      <c r="A51" s="10"/>
      <c r="B51" s="1"/>
      <c r="D51" s="6"/>
      <c r="E51" s="9"/>
      <c r="F51" s="9"/>
      <c r="G51" s="11"/>
      <c r="H51" s="5"/>
      <c r="I51" s="6"/>
      <c r="K51" s="6"/>
      <c r="L51" s="6"/>
      <c r="M51" s="6"/>
      <c r="N51" s="6"/>
      <c r="O51" s="6"/>
      <c r="P51" s="6"/>
      <c r="Q51" s="6"/>
      <c r="R51" s="6"/>
      <c r="S51" s="6"/>
      <c r="T51" s="6"/>
      <c r="U51" s="6"/>
      <c r="V51" s="6"/>
      <c r="W51" s="6"/>
      <c r="X51" s="6"/>
      <c r="Y51" s="6"/>
      <c r="Z51" s="6"/>
    </row>
    <row r="52" spans="1:26" ht="12.75" x14ac:dyDescent="0.2">
      <c r="A52" s="10"/>
      <c r="B52" s="1"/>
      <c r="D52" s="6"/>
      <c r="E52" s="9"/>
      <c r="F52" s="9"/>
      <c r="G52" s="11"/>
      <c r="H52" s="5"/>
      <c r="I52" s="6"/>
      <c r="K52" s="6"/>
      <c r="L52" s="6"/>
      <c r="M52" s="6"/>
      <c r="N52" s="6"/>
      <c r="O52" s="6"/>
      <c r="P52" s="6"/>
      <c r="Q52" s="6"/>
      <c r="R52" s="5"/>
      <c r="S52" s="6"/>
      <c r="T52" s="6"/>
      <c r="U52" s="6"/>
      <c r="V52" s="6"/>
      <c r="W52" s="6"/>
      <c r="X52" s="6"/>
      <c r="Y52" s="6"/>
      <c r="Z52" s="6"/>
    </row>
    <row r="53" spans="1:26" ht="12.75" x14ac:dyDescent="0.2">
      <c r="A53" s="10"/>
      <c r="B53" s="1"/>
      <c r="D53" s="6"/>
      <c r="E53" s="9"/>
      <c r="F53" s="9"/>
      <c r="G53" s="11"/>
      <c r="H53" s="5"/>
      <c r="I53" s="6"/>
      <c r="K53" s="6"/>
      <c r="L53" s="6"/>
      <c r="M53" s="6"/>
      <c r="N53" s="9"/>
      <c r="O53" s="9"/>
      <c r="P53" s="9"/>
      <c r="Q53" s="9"/>
      <c r="R53" s="6"/>
      <c r="S53" s="6"/>
      <c r="T53" s="6"/>
      <c r="U53" s="6"/>
      <c r="V53" s="6"/>
      <c r="W53" s="6"/>
      <c r="X53" s="6"/>
      <c r="Y53" s="6"/>
      <c r="Z53" s="6"/>
    </row>
    <row r="54" spans="1:26" ht="12.75" x14ac:dyDescent="0.2">
      <c r="A54" s="10"/>
      <c r="B54" s="1"/>
      <c r="D54" s="6"/>
      <c r="E54" s="9"/>
      <c r="F54" s="9"/>
      <c r="G54" s="11"/>
      <c r="H54" s="5"/>
      <c r="I54" s="6"/>
      <c r="K54" s="6"/>
      <c r="L54" s="6"/>
      <c r="M54" s="6"/>
      <c r="N54" s="6"/>
      <c r="O54" s="6"/>
      <c r="P54" s="6"/>
      <c r="Q54" s="6"/>
      <c r="R54" s="6"/>
      <c r="S54" s="6"/>
      <c r="T54" s="6"/>
      <c r="U54" s="6"/>
      <c r="V54" s="6"/>
      <c r="W54" s="6"/>
      <c r="X54" s="6"/>
      <c r="Y54" s="6"/>
      <c r="Z54" s="6"/>
    </row>
    <row r="55" spans="1:26" ht="12.75" x14ac:dyDescent="0.2">
      <c r="A55" s="10"/>
      <c r="B55" s="1"/>
      <c r="D55" s="6"/>
      <c r="E55" s="9"/>
      <c r="F55" s="9"/>
      <c r="G55" s="11"/>
      <c r="H55" s="5"/>
      <c r="I55" s="6"/>
      <c r="K55" s="6"/>
      <c r="L55" s="6"/>
      <c r="M55" s="6"/>
      <c r="N55" s="6"/>
      <c r="O55" s="6"/>
      <c r="P55" s="6"/>
      <c r="Q55" s="6"/>
      <c r="R55" s="6"/>
      <c r="S55" s="6"/>
      <c r="T55" s="6"/>
      <c r="U55" s="6"/>
      <c r="V55" s="6"/>
      <c r="W55" s="6"/>
      <c r="X55" s="6"/>
      <c r="Y55" s="6"/>
      <c r="Z55" s="6"/>
    </row>
    <row r="56" spans="1:26" ht="12.75" x14ac:dyDescent="0.2">
      <c r="A56" s="10"/>
      <c r="B56" s="1"/>
      <c r="D56" s="6"/>
      <c r="E56" s="9"/>
      <c r="F56" s="9"/>
      <c r="G56" s="11"/>
      <c r="H56" s="5"/>
      <c r="I56" s="6"/>
      <c r="K56" s="6"/>
      <c r="L56" s="6"/>
      <c r="M56" s="6"/>
      <c r="N56" s="6"/>
      <c r="O56" s="6"/>
      <c r="P56" s="6"/>
      <c r="Q56" s="6"/>
      <c r="R56" s="6"/>
      <c r="S56" s="6"/>
      <c r="T56" s="6"/>
      <c r="U56" s="6"/>
      <c r="V56" s="6"/>
      <c r="W56" s="6"/>
      <c r="X56" s="6"/>
      <c r="Y56" s="6"/>
      <c r="Z56" s="6"/>
    </row>
    <row r="57" spans="1:26" ht="12.75" x14ac:dyDescent="0.2">
      <c r="A57" s="10"/>
      <c r="B57" s="6"/>
      <c r="C57" s="6"/>
      <c r="D57" s="6"/>
      <c r="E57" s="9"/>
      <c r="F57" s="9"/>
      <c r="G57" s="11"/>
      <c r="H57" s="5"/>
      <c r="I57" s="6"/>
      <c r="J57" s="6"/>
      <c r="K57" s="6"/>
      <c r="L57" s="6"/>
      <c r="M57" s="6"/>
      <c r="N57" s="6"/>
      <c r="O57" s="6"/>
      <c r="P57" s="6"/>
      <c r="Q57" s="6"/>
      <c r="R57" s="6"/>
      <c r="S57" s="6"/>
      <c r="T57" s="6"/>
      <c r="U57" s="6"/>
      <c r="V57" s="6"/>
      <c r="W57" s="6"/>
      <c r="X57" s="6"/>
      <c r="Y57" s="6"/>
      <c r="Z57" s="6"/>
    </row>
    <row r="58" spans="1:26" ht="12.75" x14ac:dyDescent="0.2">
      <c r="A58" s="10"/>
      <c r="B58" s="6"/>
      <c r="C58" s="6"/>
      <c r="D58" s="6"/>
      <c r="E58" s="9"/>
      <c r="F58" s="9"/>
      <c r="G58" s="11"/>
      <c r="H58" s="5"/>
      <c r="I58" s="6"/>
      <c r="J58" s="6"/>
      <c r="K58" s="6"/>
      <c r="L58" s="6"/>
      <c r="M58" s="6"/>
      <c r="N58" s="6"/>
      <c r="O58" s="6"/>
      <c r="P58" s="6"/>
      <c r="Q58" s="6"/>
      <c r="R58" s="6"/>
      <c r="S58" s="6"/>
      <c r="T58" s="6"/>
      <c r="U58" s="6"/>
      <c r="V58" s="6"/>
      <c r="W58" s="6"/>
      <c r="X58" s="6"/>
      <c r="Y58" s="6"/>
      <c r="Z58" s="6"/>
    </row>
    <row r="59" spans="1:26" ht="12.75" x14ac:dyDescent="0.2">
      <c r="A59" s="10"/>
      <c r="B59" s="6"/>
      <c r="C59" s="6"/>
      <c r="D59" s="6"/>
      <c r="E59" s="9"/>
      <c r="F59" s="9"/>
      <c r="G59" s="11"/>
      <c r="H59" s="5"/>
      <c r="I59" s="6"/>
      <c r="J59" s="6"/>
      <c r="K59" s="6"/>
      <c r="L59" s="6"/>
      <c r="M59" s="6"/>
      <c r="N59" s="6"/>
      <c r="O59" s="6"/>
      <c r="P59" s="6"/>
      <c r="Q59" s="6"/>
      <c r="R59" s="6"/>
      <c r="S59" s="6"/>
      <c r="T59" s="6"/>
      <c r="U59" s="6"/>
      <c r="V59" s="6"/>
      <c r="W59" s="6"/>
      <c r="X59" s="6"/>
      <c r="Y59" s="6"/>
      <c r="Z59" s="6"/>
    </row>
    <row r="60" spans="1:26" ht="12.75" x14ac:dyDescent="0.2">
      <c r="A60" s="10"/>
      <c r="B60" s="6"/>
      <c r="C60" s="6"/>
      <c r="D60" s="6"/>
      <c r="E60" s="9"/>
      <c r="F60" s="9"/>
      <c r="G60" s="11"/>
      <c r="H60" s="5"/>
      <c r="I60" s="6"/>
      <c r="J60" s="6"/>
      <c r="K60" s="6"/>
      <c r="L60" s="6"/>
      <c r="M60" s="6"/>
      <c r="N60" s="6"/>
      <c r="O60" s="6"/>
      <c r="P60" s="6"/>
      <c r="Q60" s="6"/>
      <c r="R60" s="6"/>
      <c r="S60" s="6"/>
      <c r="T60" s="6"/>
      <c r="U60" s="6"/>
      <c r="V60" s="6"/>
      <c r="W60" s="6"/>
      <c r="X60" s="6"/>
      <c r="Y60" s="6"/>
      <c r="Z60" s="6"/>
    </row>
    <row r="61" spans="1:26" ht="12.75" x14ac:dyDescent="0.2">
      <c r="A61" s="10"/>
      <c r="B61" s="6"/>
      <c r="C61" s="6"/>
      <c r="D61" s="6"/>
      <c r="E61" s="9"/>
      <c r="F61" s="9"/>
      <c r="G61" s="11"/>
      <c r="H61" s="5"/>
      <c r="I61" s="6"/>
      <c r="J61" s="6"/>
      <c r="K61" s="6"/>
      <c r="L61" s="6"/>
      <c r="M61" s="6"/>
      <c r="N61" s="6"/>
      <c r="O61" s="6"/>
      <c r="P61" s="6"/>
      <c r="Q61" s="6"/>
      <c r="R61" s="6"/>
      <c r="S61" s="6"/>
      <c r="T61" s="6"/>
      <c r="U61" s="6"/>
      <c r="V61" s="6"/>
      <c r="W61" s="6"/>
      <c r="X61" s="6"/>
      <c r="Y61" s="6"/>
      <c r="Z61" s="6"/>
    </row>
    <row r="62" spans="1:26" ht="12.75" x14ac:dyDescent="0.2">
      <c r="A62" s="10"/>
      <c r="B62" s="6"/>
      <c r="C62" s="6"/>
      <c r="D62" s="6"/>
      <c r="E62" s="9"/>
      <c r="F62" s="9"/>
      <c r="G62" s="11"/>
      <c r="H62" s="5"/>
      <c r="I62" s="6"/>
      <c r="J62" s="6"/>
      <c r="K62" s="6"/>
      <c r="L62" s="6"/>
      <c r="M62" s="6"/>
      <c r="N62" s="6"/>
      <c r="O62" s="6"/>
      <c r="P62" s="6"/>
      <c r="Q62" s="6"/>
      <c r="R62" s="6"/>
      <c r="S62" s="6"/>
      <c r="T62" s="6"/>
      <c r="U62" s="6"/>
      <c r="V62" s="6"/>
      <c r="W62" s="6"/>
      <c r="X62" s="6"/>
      <c r="Y62" s="6"/>
      <c r="Z62" s="6"/>
    </row>
    <row r="63" spans="1:26" ht="12.75" x14ac:dyDescent="0.2">
      <c r="A63" s="10"/>
      <c r="B63" s="6"/>
      <c r="C63" s="6"/>
      <c r="D63" s="6"/>
      <c r="E63" s="9"/>
      <c r="F63" s="9"/>
      <c r="G63" s="11"/>
      <c r="H63" s="5"/>
      <c r="I63" s="6"/>
      <c r="J63" s="6"/>
      <c r="K63" s="6"/>
      <c r="L63" s="6"/>
      <c r="M63" s="6"/>
      <c r="N63" s="6"/>
      <c r="O63" s="6"/>
      <c r="P63" s="6"/>
      <c r="Q63" s="6"/>
      <c r="R63" s="6"/>
      <c r="S63" s="6"/>
      <c r="T63" s="6"/>
      <c r="U63" s="6"/>
      <c r="V63" s="6"/>
      <c r="W63" s="6"/>
      <c r="X63" s="6"/>
      <c r="Y63" s="6"/>
      <c r="Z63" s="6"/>
    </row>
    <row r="64" spans="1:26" ht="12.75" x14ac:dyDescent="0.2">
      <c r="A64" s="10"/>
      <c r="B64" s="6"/>
      <c r="C64" s="6"/>
      <c r="D64" s="6"/>
      <c r="E64" s="9"/>
      <c r="F64" s="9"/>
      <c r="G64" s="11"/>
      <c r="H64" s="5"/>
      <c r="I64" s="6"/>
      <c r="J64" s="6"/>
      <c r="K64" s="6"/>
      <c r="L64" s="6"/>
      <c r="M64" s="6"/>
      <c r="N64" s="6"/>
      <c r="O64" s="6"/>
      <c r="P64" s="6"/>
      <c r="Q64" s="6"/>
      <c r="R64" s="6"/>
      <c r="S64" s="6"/>
      <c r="T64" s="6"/>
      <c r="U64" s="6"/>
      <c r="V64" s="6"/>
      <c r="W64" s="6"/>
      <c r="X64" s="6"/>
      <c r="Y64" s="6"/>
      <c r="Z64" s="6"/>
    </row>
    <row r="65" spans="1:26" ht="12.75" x14ac:dyDescent="0.2">
      <c r="A65" s="10"/>
      <c r="B65" s="6"/>
      <c r="C65" s="6"/>
      <c r="D65" s="6"/>
      <c r="E65" s="9"/>
      <c r="F65" s="9"/>
      <c r="G65" s="11"/>
      <c r="H65" s="5"/>
      <c r="I65" s="6"/>
      <c r="J65" s="6"/>
      <c r="K65" s="6"/>
      <c r="L65" s="6"/>
      <c r="M65" s="6"/>
      <c r="N65" s="6"/>
      <c r="O65" s="6"/>
      <c r="P65" s="6"/>
      <c r="Q65" s="6"/>
      <c r="R65" s="6"/>
      <c r="S65" s="6"/>
      <c r="T65" s="6"/>
      <c r="U65" s="6"/>
      <c r="V65" s="6"/>
      <c r="W65" s="6"/>
      <c r="X65" s="6"/>
      <c r="Y65" s="6"/>
      <c r="Z65" s="6"/>
    </row>
    <row r="66" spans="1:26" ht="12.75" x14ac:dyDescent="0.2">
      <c r="A66" s="10"/>
      <c r="B66" s="6"/>
      <c r="C66" s="6"/>
      <c r="D66" s="6"/>
      <c r="E66" s="9"/>
      <c r="F66" s="9"/>
      <c r="G66" s="11"/>
      <c r="H66" s="5"/>
      <c r="I66" s="6"/>
      <c r="J66" s="6"/>
      <c r="K66" s="6"/>
      <c r="L66" s="6"/>
      <c r="M66" s="6"/>
      <c r="N66" s="6"/>
      <c r="O66" s="6"/>
      <c r="P66" s="6"/>
      <c r="Q66" s="6"/>
      <c r="R66" s="6"/>
      <c r="S66" s="6"/>
      <c r="T66" s="6"/>
      <c r="U66" s="6"/>
      <c r="V66" s="6"/>
      <c r="W66" s="6"/>
      <c r="X66" s="6"/>
      <c r="Y66" s="6"/>
      <c r="Z66" s="6"/>
    </row>
    <row r="67" spans="1:26" ht="12.75" x14ac:dyDescent="0.2">
      <c r="A67" s="10"/>
      <c r="B67" s="6"/>
      <c r="C67" s="6"/>
      <c r="D67" s="6"/>
      <c r="E67" s="9"/>
      <c r="F67" s="9"/>
      <c r="G67" s="11"/>
      <c r="H67" s="5"/>
      <c r="I67" s="6"/>
      <c r="J67" s="6"/>
      <c r="K67" s="6"/>
      <c r="L67" s="6"/>
      <c r="M67" s="6"/>
      <c r="N67" s="6"/>
      <c r="O67" s="6"/>
      <c r="P67" s="6"/>
      <c r="Q67" s="6"/>
      <c r="R67" s="6"/>
      <c r="S67" s="6"/>
      <c r="T67" s="6"/>
      <c r="U67" s="6"/>
      <c r="V67" s="6"/>
      <c r="W67" s="6"/>
      <c r="X67" s="6"/>
      <c r="Y67" s="6"/>
      <c r="Z67" s="6"/>
    </row>
    <row r="68" spans="1:26" ht="12.75" x14ac:dyDescent="0.2">
      <c r="A68" s="10"/>
      <c r="B68" s="6"/>
      <c r="C68" s="6"/>
      <c r="D68" s="6"/>
      <c r="E68" s="9"/>
      <c r="F68" s="9"/>
      <c r="G68" s="11"/>
      <c r="H68" s="5"/>
      <c r="I68" s="6"/>
      <c r="J68" s="6"/>
      <c r="K68" s="9"/>
      <c r="L68" s="9"/>
      <c r="M68" s="9"/>
      <c r="N68" s="6"/>
      <c r="O68" s="6"/>
      <c r="P68" s="6"/>
      <c r="Q68" s="6"/>
      <c r="R68" s="6"/>
      <c r="S68" s="5"/>
      <c r="T68" s="5"/>
      <c r="U68" s="5"/>
      <c r="V68" s="5"/>
      <c r="W68" s="9"/>
      <c r="X68" s="5"/>
      <c r="Y68" s="5"/>
      <c r="Z68" s="4"/>
    </row>
    <row r="69" spans="1:26" ht="12.75" x14ac:dyDescent="0.2">
      <c r="A69" s="10"/>
      <c r="B69" s="6"/>
      <c r="C69" s="6"/>
      <c r="D69" s="6"/>
      <c r="E69" s="9"/>
      <c r="F69" s="9"/>
      <c r="G69" s="11"/>
      <c r="H69" s="5"/>
      <c r="I69" s="6"/>
      <c r="J69" s="6"/>
      <c r="K69" s="6"/>
      <c r="L69" s="6"/>
      <c r="M69" s="6"/>
      <c r="N69" s="6"/>
      <c r="O69" s="6"/>
      <c r="P69" s="6"/>
      <c r="Q69" s="6"/>
      <c r="R69" s="6"/>
      <c r="S69" s="6"/>
      <c r="T69" s="6"/>
      <c r="U69" s="6"/>
      <c r="V69" s="6"/>
      <c r="W69" s="6"/>
      <c r="X69" s="6"/>
      <c r="Y69" s="6"/>
      <c r="Z69" s="6"/>
    </row>
    <row r="70" spans="1:26" ht="12.75" x14ac:dyDescent="0.2">
      <c r="A70" s="10"/>
      <c r="B70" s="6"/>
      <c r="C70" s="6"/>
      <c r="D70" s="6"/>
      <c r="E70" s="9"/>
      <c r="F70" s="9"/>
      <c r="G70" s="11"/>
      <c r="H70" s="5"/>
      <c r="I70" s="6"/>
      <c r="J70" s="6"/>
      <c r="K70" s="6"/>
      <c r="L70" s="6"/>
      <c r="M70" s="6"/>
      <c r="N70" s="6"/>
      <c r="O70" s="6"/>
      <c r="P70" s="6"/>
      <c r="Q70" s="6"/>
      <c r="R70" s="5"/>
      <c r="S70" s="6"/>
      <c r="T70" s="6"/>
      <c r="U70" s="6"/>
      <c r="V70" s="6"/>
      <c r="W70" s="6"/>
      <c r="X70" s="6"/>
      <c r="Y70" s="6"/>
      <c r="Z70" s="6"/>
    </row>
    <row r="71" spans="1:26" ht="12.75" x14ac:dyDescent="0.2">
      <c r="A71" s="10"/>
      <c r="B71" s="6"/>
      <c r="C71" s="6"/>
      <c r="D71" s="6"/>
      <c r="E71" s="9"/>
      <c r="F71" s="9"/>
      <c r="G71" s="11"/>
      <c r="H71" s="5"/>
      <c r="I71" s="6"/>
      <c r="J71" s="6"/>
      <c r="K71" s="6"/>
      <c r="L71" s="6"/>
      <c r="M71" s="6"/>
      <c r="N71" s="9"/>
      <c r="O71" s="9"/>
      <c r="P71" s="9"/>
      <c r="Q71" s="9"/>
      <c r="R71" s="6"/>
      <c r="S71" s="6"/>
      <c r="T71" s="6"/>
      <c r="U71" s="6"/>
      <c r="V71" s="6"/>
      <c r="W71" s="6"/>
      <c r="X71" s="6"/>
      <c r="Y71" s="6"/>
      <c r="Z71" s="6"/>
    </row>
    <row r="72" spans="1:26" ht="12.75" x14ac:dyDescent="0.2">
      <c r="A72" s="10"/>
      <c r="B72" s="6"/>
      <c r="C72" s="6"/>
      <c r="D72" s="6"/>
      <c r="E72" s="9"/>
      <c r="F72" s="9"/>
      <c r="G72" s="11"/>
      <c r="H72" s="5"/>
      <c r="I72" s="6"/>
      <c r="J72" s="6"/>
      <c r="K72" s="6"/>
      <c r="L72" s="6"/>
      <c r="M72" s="6"/>
      <c r="N72" s="6"/>
      <c r="O72" s="6"/>
      <c r="P72" s="6"/>
      <c r="Q72" s="6"/>
      <c r="R72" s="6"/>
      <c r="S72" s="6"/>
      <c r="T72" s="6"/>
      <c r="U72" s="6"/>
      <c r="V72" s="6"/>
      <c r="W72" s="6"/>
      <c r="X72" s="6"/>
      <c r="Y72" s="6"/>
      <c r="Z72" s="6"/>
    </row>
    <row r="73" spans="1:26" ht="12.75" x14ac:dyDescent="0.2">
      <c r="A73" s="10"/>
      <c r="B73" s="6"/>
      <c r="C73" s="6"/>
      <c r="D73" s="6"/>
      <c r="E73" s="9"/>
      <c r="F73" s="9"/>
      <c r="G73" s="11"/>
      <c r="H73" s="5"/>
      <c r="I73" s="6"/>
      <c r="J73" s="6"/>
      <c r="K73" s="6"/>
      <c r="L73" s="6"/>
      <c r="M73" s="6"/>
      <c r="N73" s="6"/>
      <c r="O73" s="6"/>
      <c r="P73" s="6"/>
      <c r="Q73" s="6"/>
      <c r="R73" s="6"/>
      <c r="S73" s="6"/>
      <c r="T73" s="6"/>
      <c r="U73" s="6"/>
      <c r="V73" s="6"/>
      <c r="W73" s="6"/>
      <c r="X73" s="6"/>
      <c r="Y73" s="6"/>
      <c r="Z73" s="6"/>
    </row>
    <row r="74" spans="1:26" ht="12.75" x14ac:dyDescent="0.2">
      <c r="B74" s="6"/>
      <c r="C74" s="6"/>
      <c r="D74" s="6"/>
      <c r="E74" s="9"/>
      <c r="F74" s="9"/>
      <c r="G74" s="11"/>
      <c r="H74" s="5"/>
      <c r="I74" s="6"/>
      <c r="J74" s="6"/>
      <c r="K74" s="6"/>
      <c r="L74" s="6"/>
      <c r="M74" s="6"/>
      <c r="N74" s="6"/>
      <c r="O74" s="6"/>
      <c r="P74" s="6"/>
      <c r="Q74" s="6"/>
      <c r="R74" s="6"/>
      <c r="S74" s="6"/>
      <c r="T74" s="6"/>
      <c r="U74" s="6"/>
      <c r="V74" s="6"/>
      <c r="W74" s="6"/>
      <c r="X74" s="6"/>
      <c r="Y74" s="6"/>
      <c r="Z74" s="6"/>
    </row>
    <row r="75" spans="1:26" ht="12.75" x14ac:dyDescent="0.2">
      <c r="B75" s="6"/>
      <c r="C75" s="6"/>
      <c r="D75" s="6"/>
      <c r="E75" s="9"/>
      <c r="F75" s="9"/>
      <c r="G75" s="11"/>
      <c r="H75" s="5"/>
      <c r="K75" s="6"/>
      <c r="L75" s="6"/>
      <c r="M75" s="6"/>
      <c r="N75" s="6"/>
      <c r="O75" s="6"/>
      <c r="P75" s="6"/>
      <c r="Q75" s="6"/>
      <c r="R75" s="6"/>
      <c r="S75" s="6"/>
      <c r="T75" s="6"/>
      <c r="U75" s="6"/>
      <c r="V75" s="6"/>
      <c r="W75" s="6"/>
      <c r="X75" s="6"/>
      <c r="Y75" s="6"/>
      <c r="Z75" s="6"/>
    </row>
    <row r="76" spans="1:26" ht="12.75" x14ac:dyDescent="0.2">
      <c r="A76" s="10"/>
      <c r="B76" s="6"/>
      <c r="C76" s="6"/>
      <c r="D76" s="6"/>
      <c r="E76" s="9"/>
      <c r="F76" s="9"/>
      <c r="G76" s="11"/>
      <c r="H76" s="5"/>
      <c r="I76" s="6"/>
      <c r="J76" s="6"/>
      <c r="K76" s="6"/>
      <c r="L76" s="6"/>
      <c r="M76" s="6"/>
      <c r="N76" s="6"/>
      <c r="O76" s="6"/>
      <c r="P76" s="6"/>
      <c r="Q76" s="6"/>
      <c r="R76" s="6"/>
      <c r="S76" s="6"/>
      <c r="T76" s="6"/>
      <c r="U76" s="6"/>
      <c r="V76" s="6"/>
      <c r="W76" s="6"/>
      <c r="X76" s="6"/>
      <c r="Y76" s="6"/>
      <c r="Z76" s="6"/>
    </row>
    <row r="77" spans="1:26" ht="12.75" x14ac:dyDescent="0.2">
      <c r="A77" s="10"/>
      <c r="B77" s="6"/>
      <c r="C77" s="6"/>
      <c r="D77" s="6"/>
      <c r="E77" s="9"/>
      <c r="F77" s="9"/>
      <c r="G77" s="11"/>
      <c r="H77" s="5"/>
      <c r="I77" s="6"/>
      <c r="J77" s="6"/>
      <c r="K77" s="6"/>
      <c r="L77" s="6"/>
      <c r="M77" s="6"/>
      <c r="N77" s="6"/>
      <c r="O77" s="6"/>
      <c r="P77" s="6"/>
      <c r="Q77" s="6"/>
      <c r="R77" s="6"/>
      <c r="S77" s="6"/>
      <c r="T77" s="6"/>
      <c r="U77" s="6"/>
      <c r="V77" s="6"/>
      <c r="W77" s="6"/>
      <c r="X77" s="6"/>
      <c r="Y77" s="6"/>
      <c r="Z77" s="6"/>
    </row>
    <row r="78" spans="1:26" ht="12.75" x14ac:dyDescent="0.2">
      <c r="A78" s="10"/>
      <c r="B78" s="6"/>
      <c r="C78" s="6"/>
      <c r="D78" s="6"/>
      <c r="E78" s="9"/>
      <c r="F78" s="9"/>
      <c r="G78" s="11"/>
      <c r="H78" s="5"/>
      <c r="I78" s="6"/>
      <c r="J78" s="6"/>
      <c r="K78" s="6"/>
      <c r="L78" s="6"/>
      <c r="M78" s="6"/>
      <c r="N78" s="6"/>
      <c r="O78" s="6"/>
      <c r="P78" s="6"/>
      <c r="Q78" s="6"/>
      <c r="R78" s="6"/>
      <c r="S78" s="6"/>
      <c r="T78" s="6"/>
      <c r="U78" s="6"/>
      <c r="V78" s="6"/>
      <c r="W78" s="6"/>
      <c r="X78" s="6"/>
      <c r="Y78" s="6"/>
      <c r="Z78" s="6"/>
    </row>
    <row r="79" spans="1:26" ht="12.75" x14ac:dyDescent="0.2">
      <c r="A79" s="10"/>
      <c r="B79" s="6"/>
      <c r="C79" s="6"/>
      <c r="D79" s="6"/>
      <c r="E79" s="9"/>
      <c r="F79" s="9"/>
      <c r="G79" s="11"/>
      <c r="H79" s="5"/>
      <c r="I79" s="6"/>
      <c r="J79" s="6"/>
      <c r="K79" s="6"/>
      <c r="L79" s="6"/>
      <c r="M79" s="6"/>
      <c r="N79" s="6"/>
      <c r="O79" s="6"/>
      <c r="P79" s="6"/>
      <c r="Q79" s="6"/>
      <c r="R79" s="6"/>
      <c r="S79" s="6"/>
      <c r="T79" s="6"/>
      <c r="U79" s="6"/>
      <c r="V79" s="6"/>
      <c r="W79" s="6"/>
      <c r="X79" s="6"/>
      <c r="Y79" s="6"/>
      <c r="Z79" s="6"/>
    </row>
    <row r="80" spans="1:26" ht="12.75" x14ac:dyDescent="0.2">
      <c r="A80" s="10"/>
      <c r="B80" s="6"/>
      <c r="C80" s="6"/>
      <c r="D80" s="6"/>
      <c r="E80" s="9"/>
      <c r="F80" s="9"/>
      <c r="G80" s="11"/>
      <c r="H80" s="5"/>
      <c r="I80" s="6"/>
      <c r="J80" s="6"/>
      <c r="K80" s="6"/>
      <c r="L80" s="6"/>
      <c r="M80" s="6"/>
      <c r="N80" s="6"/>
      <c r="O80" s="6"/>
      <c r="P80" s="6"/>
      <c r="Q80" s="6"/>
      <c r="R80" s="6"/>
      <c r="S80" s="6"/>
      <c r="T80" s="6"/>
      <c r="U80" s="6"/>
      <c r="V80" s="6"/>
      <c r="W80" s="6"/>
      <c r="X80" s="6"/>
      <c r="Y80" s="6"/>
      <c r="Z80" s="6"/>
    </row>
    <row r="81" spans="1:26" ht="12.75" x14ac:dyDescent="0.2">
      <c r="A81" s="10"/>
      <c r="B81" s="6"/>
      <c r="C81" s="6"/>
      <c r="D81" s="6"/>
      <c r="E81" s="9"/>
      <c r="F81" s="9"/>
      <c r="G81" s="11"/>
      <c r="H81" s="5"/>
      <c r="I81" s="6"/>
      <c r="J81" s="6"/>
      <c r="K81" s="6"/>
      <c r="L81" s="6"/>
      <c r="M81" s="6"/>
      <c r="N81" s="6"/>
      <c r="O81" s="6"/>
      <c r="P81" s="6"/>
      <c r="Q81" s="6"/>
      <c r="R81" s="6"/>
      <c r="S81" s="6"/>
      <c r="T81" s="6"/>
      <c r="U81" s="6"/>
      <c r="V81" s="6"/>
      <c r="W81" s="6"/>
      <c r="X81" s="6"/>
      <c r="Y81" s="6"/>
      <c r="Z81" s="6"/>
    </row>
    <row r="82" spans="1:26" ht="12.75" x14ac:dyDescent="0.2">
      <c r="A82" s="10"/>
      <c r="B82" s="6"/>
      <c r="C82" s="6"/>
      <c r="D82" s="6"/>
      <c r="E82" s="9"/>
      <c r="F82" s="9"/>
      <c r="G82" s="11"/>
      <c r="H82" s="5"/>
      <c r="I82" s="6"/>
      <c r="J82" s="6"/>
      <c r="K82" s="6"/>
      <c r="L82" s="6"/>
      <c r="M82" s="6"/>
      <c r="N82" s="6"/>
      <c r="O82" s="6"/>
      <c r="P82" s="6"/>
      <c r="Q82" s="6"/>
      <c r="R82" s="6"/>
      <c r="S82" s="6"/>
      <c r="T82" s="6"/>
      <c r="U82" s="6"/>
      <c r="V82" s="6"/>
      <c r="W82" s="6"/>
      <c r="X82" s="6"/>
      <c r="Y82" s="6"/>
      <c r="Z82" s="6"/>
    </row>
    <row r="83" spans="1:26" ht="12.75" x14ac:dyDescent="0.2">
      <c r="A83" s="10"/>
      <c r="B83" s="6"/>
      <c r="C83" s="6"/>
      <c r="D83" s="6"/>
      <c r="E83" s="9"/>
      <c r="F83" s="9"/>
      <c r="G83" s="11"/>
      <c r="H83" s="5"/>
      <c r="I83" s="6"/>
      <c r="J83" s="6"/>
      <c r="K83" s="6"/>
      <c r="L83" s="6"/>
      <c r="M83" s="6"/>
      <c r="N83" s="6"/>
      <c r="O83" s="6"/>
      <c r="P83" s="6"/>
      <c r="Q83" s="6"/>
      <c r="R83" s="6"/>
      <c r="S83" s="6"/>
      <c r="T83" s="6"/>
      <c r="U83" s="6"/>
      <c r="V83" s="6"/>
      <c r="W83" s="6"/>
      <c r="X83" s="6"/>
      <c r="Y83" s="6"/>
      <c r="Z83" s="6"/>
    </row>
    <row r="84" spans="1:26" ht="12.75" x14ac:dyDescent="0.2">
      <c r="A84" s="10"/>
      <c r="B84" s="6"/>
      <c r="C84" s="6"/>
      <c r="D84" s="6"/>
      <c r="E84" s="9"/>
      <c r="F84" s="9"/>
      <c r="G84" s="11"/>
      <c r="H84" s="5"/>
      <c r="I84" s="6"/>
      <c r="J84" s="6"/>
      <c r="K84" s="6"/>
      <c r="L84" s="6"/>
      <c r="M84" s="6"/>
      <c r="N84" s="6"/>
      <c r="O84" s="6"/>
      <c r="P84" s="6"/>
      <c r="Q84" s="6"/>
      <c r="R84" s="6"/>
      <c r="S84" s="6"/>
      <c r="T84" s="6"/>
      <c r="U84" s="6"/>
      <c r="V84" s="6"/>
      <c r="W84" s="6"/>
      <c r="X84" s="6"/>
      <c r="Y84" s="6"/>
      <c r="Z84" s="6"/>
    </row>
    <row r="85" spans="1:26" ht="12.75" x14ac:dyDescent="0.2">
      <c r="A85" s="10"/>
      <c r="B85" s="6"/>
      <c r="C85" s="6"/>
      <c r="D85" s="6"/>
      <c r="E85" s="9"/>
      <c r="F85" s="9"/>
      <c r="G85" s="11"/>
      <c r="H85" s="5"/>
      <c r="I85" s="6"/>
      <c r="J85" s="6"/>
      <c r="K85" s="9"/>
      <c r="L85" s="9"/>
      <c r="M85" s="9"/>
      <c r="N85" s="6"/>
      <c r="O85" s="6"/>
      <c r="P85" s="6"/>
      <c r="Q85" s="6"/>
      <c r="R85" s="6"/>
      <c r="S85" s="5"/>
      <c r="T85" s="5"/>
      <c r="U85" s="5"/>
      <c r="V85" s="5"/>
      <c r="W85" s="9"/>
      <c r="X85" s="5"/>
      <c r="Y85" s="5"/>
      <c r="Z85" s="4"/>
    </row>
    <row r="86" spans="1:26" ht="12.75" x14ac:dyDescent="0.2">
      <c r="A86" s="10"/>
      <c r="B86" s="6"/>
      <c r="C86" s="6"/>
      <c r="D86" s="6"/>
      <c r="E86" s="9"/>
      <c r="F86" s="9"/>
      <c r="G86" s="11"/>
      <c r="H86" s="5"/>
      <c r="I86" s="6"/>
      <c r="J86" s="6"/>
      <c r="K86" s="6"/>
      <c r="L86" s="6"/>
      <c r="M86" s="6"/>
      <c r="N86" s="6"/>
      <c r="O86" s="6"/>
      <c r="P86" s="6"/>
      <c r="Q86" s="6"/>
      <c r="R86" s="6"/>
      <c r="S86" s="6"/>
      <c r="T86" s="6"/>
      <c r="U86" s="6"/>
      <c r="V86" s="6"/>
      <c r="W86" s="6"/>
      <c r="X86" s="6"/>
      <c r="Y86" s="6"/>
      <c r="Z86" s="6"/>
    </row>
    <row r="87" spans="1:26" ht="12.75" x14ac:dyDescent="0.2">
      <c r="A87" s="10"/>
      <c r="B87" s="6"/>
      <c r="C87" s="6"/>
      <c r="D87" s="6"/>
      <c r="E87" s="9"/>
      <c r="F87" s="9"/>
      <c r="G87" s="11"/>
      <c r="H87" s="5"/>
      <c r="I87" s="6"/>
      <c r="J87" s="6"/>
      <c r="K87" s="6"/>
      <c r="L87" s="6"/>
      <c r="M87" s="6"/>
      <c r="N87" s="6"/>
      <c r="O87" s="6"/>
      <c r="P87" s="6"/>
      <c r="Q87" s="6"/>
      <c r="R87" s="5"/>
      <c r="S87" s="6"/>
      <c r="T87" s="6"/>
      <c r="U87" s="6"/>
      <c r="V87" s="6"/>
      <c r="W87" s="6"/>
      <c r="X87" s="6"/>
      <c r="Y87" s="6"/>
      <c r="Z87" s="6"/>
    </row>
    <row r="88" spans="1:26" ht="12.75" x14ac:dyDescent="0.2">
      <c r="A88" s="10"/>
      <c r="B88" s="6"/>
      <c r="C88" s="6"/>
      <c r="D88" s="6"/>
      <c r="E88" s="9"/>
      <c r="F88" s="9"/>
      <c r="G88" s="11"/>
      <c r="H88" s="5"/>
      <c r="I88" s="6"/>
      <c r="J88" s="6"/>
      <c r="K88" s="6"/>
      <c r="L88" s="6"/>
      <c r="M88" s="6"/>
      <c r="N88" s="9"/>
      <c r="O88" s="9"/>
      <c r="P88" s="9"/>
      <c r="Q88" s="9"/>
      <c r="R88" s="6"/>
      <c r="S88" s="6"/>
      <c r="T88" s="6"/>
      <c r="U88" s="6"/>
      <c r="V88" s="6"/>
      <c r="W88" s="6"/>
      <c r="X88" s="6"/>
      <c r="Y88" s="6"/>
      <c r="Z88" s="6"/>
    </row>
    <row r="89" spans="1:26" ht="12.75" x14ac:dyDescent="0.2">
      <c r="A89" s="10"/>
      <c r="B89" s="6"/>
      <c r="C89" s="6"/>
      <c r="D89" s="6"/>
      <c r="E89" s="9"/>
      <c r="F89" s="9"/>
      <c r="G89" s="11"/>
      <c r="H89" s="5"/>
      <c r="I89" s="6"/>
      <c r="J89" s="6"/>
      <c r="K89" s="6"/>
      <c r="L89" s="6"/>
      <c r="M89" s="6"/>
      <c r="N89" s="6"/>
      <c r="O89" s="6"/>
      <c r="P89" s="6"/>
      <c r="Q89" s="6"/>
      <c r="R89" s="6"/>
      <c r="S89" s="6"/>
      <c r="T89" s="6"/>
      <c r="U89" s="6"/>
      <c r="V89" s="6"/>
      <c r="W89" s="6"/>
      <c r="X89" s="6"/>
      <c r="Y89" s="6"/>
      <c r="Z89" s="6"/>
    </row>
    <row r="90" spans="1:26" ht="12.75" x14ac:dyDescent="0.2">
      <c r="A90" s="10"/>
      <c r="B90" s="6"/>
      <c r="C90" s="6"/>
      <c r="D90" s="6"/>
      <c r="E90" s="9"/>
      <c r="F90" s="9"/>
      <c r="G90" s="11"/>
      <c r="H90" s="5"/>
      <c r="I90" s="6"/>
      <c r="J90" s="6"/>
      <c r="K90" s="6"/>
      <c r="L90" s="6"/>
      <c r="M90" s="6"/>
      <c r="N90" s="6"/>
      <c r="O90" s="6"/>
      <c r="P90" s="6"/>
      <c r="Q90" s="6"/>
      <c r="R90" s="6"/>
      <c r="S90" s="6"/>
      <c r="T90" s="6"/>
      <c r="U90" s="6"/>
      <c r="V90" s="6"/>
      <c r="W90" s="6"/>
      <c r="X90" s="6"/>
      <c r="Y90" s="6"/>
      <c r="Z90" s="6"/>
    </row>
    <row r="91" spans="1:26" ht="12.75" x14ac:dyDescent="0.2">
      <c r="B91" s="6"/>
      <c r="C91" s="6"/>
      <c r="D91" s="6"/>
      <c r="E91" s="9"/>
      <c r="F91" s="9"/>
      <c r="G91" s="11"/>
      <c r="H91" s="5"/>
      <c r="I91" s="6"/>
      <c r="J91" s="6"/>
      <c r="K91" s="6"/>
      <c r="L91" s="6"/>
      <c r="M91" s="6"/>
      <c r="N91" s="6"/>
      <c r="O91" s="6"/>
      <c r="P91" s="6"/>
      <c r="Q91" s="6"/>
      <c r="R91" s="6"/>
      <c r="S91" s="6"/>
      <c r="T91" s="6"/>
      <c r="U91" s="6"/>
      <c r="V91" s="6"/>
      <c r="W91" s="6"/>
      <c r="X91" s="6"/>
      <c r="Y91" s="6"/>
      <c r="Z91" s="6"/>
    </row>
    <row r="92" spans="1:26" ht="12.75" x14ac:dyDescent="0.2">
      <c r="A92" s="10"/>
      <c r="B92" s="6"/>
      <c r="C92" s="6"/>
      <c r="D92" s="6"/>
      <c r="E92" s="9"/>
      <c r="F92" s="9"/>
      <c r="G92" s="11"/>
      <c r="H92" s="5"/>
      <c r="I92" s="6"/>
      <c r="J92" s="6"/>
      <c r="K92" s="6"/>
      <c r="L92" s="6"/>
      <c r="M92" s="6"/>
      <c r="N92" s="6"/>
      <c r="O92" s="6"/>
      <c r="P92" s="6"/>
      <c r="Q92" s="6"/>
      <c r="R92" s="6"/>
      <c r="S92" s="6"/>
      <c r="T92" s="6"/>
      <c r="U92" s="6"/>
      <c r="V92" s="6"/>
      <c r="W92" s="6"/>
      <c r="X92" s="6"/>
      <c r="Y92" s="6"/>
      <c r="Z92" s="6"/>
    </row>
    <row r="93" spans="1:26" ht="12.75" x14ac:dyDescent="0.2">
      <c r="A93" s="10"/>
      <c r="B93" s="6"/>
      <c r="C93" s="6"/>
      <c r="D93" s="6"/>
      <c r="E93" s="9"/>
      <c r="F93" s="9"/>
      <c r="G93" s="11"/>
      <c r="H93" s="5"/>
      <c r="I93" s="6"/>
      <c r="J93" s="6"/>
      <c r="K93" s="6"/>
      <c r="L93" s="6"/>
      <c r="M93" s="6"/>
      <c r="N93" s="6"/>
      <c r="O93" s="6"/>
      <c r="P93" s="6"/>
      <c r="Q93" s="6"/>
      <c r="R93" s="6"/>
      <c r="S93" s="6"/>
      <c r="T93" s="6"/>
      <c r="U93" s="6"/>
      <c r="V93" s="6"/>
      <c r="W93" s="6"/>
      <c r="X93" s="6"/>
      <c r="Y93" s="6"/>
      <c r="Z93" s="6"/>
    </row>
    <row r="94" spans="1:26" ht="12.75" x14ac:dyDescent="0.2">
      <c r="A94" s="10"/>
      <c r="B94" s="6"/>
      <c r="C94" s="6"/>
      <c r="D94" s="6"/>
      <c r="E94" s="9"/>
      <c r="F94" s="9"/>
      <c r="G94" s="11"/>
      <c r="H94" s="5"/>
      <c r="I94" s="6"/>
      <c r="J94" s="6"/>
      <c r="K94" s="6"/>
      <c r="L94" s="6"/>
      <c r="M94" s="6"/>
      <c r="N94" s="6"/>
      <c r="O94" s="6"/>
      <c r="P94" s="6"/>
      <c r="Q94" s="6"/>
      <c r="R94" s="6"/>
      <c r="S94" s="6"/>
      <c r="T94" s="6"/>
      <c r="U94" s="6"/>
      <c r="V94" s="6"/>
      <c r="W94" s="6"/>
      <c r="X94" s="6"/>
      <c r="Y94" s="6"/>
      <c r="Z94" s="6"/>
    </row>
    <row r="95" spans="1:26" ht="12.75" x14ac:dyDescent="0.2">
      <c r="A95" s="10"/>
      <c r="B95" s="6"/>
      <c r="C95" s="6"/>
      <c r="D95" s="6"/>
      <c r="E95" s="9"/>
      <c r="F95" s="9"/>
      <c r="G95" s="11"/>
      <c r="H95" s="5"/>
      <c r="I95" s="6"/>
      <c r="J95" s="6"/>
      <c r="K95" s="6"/>
      <c r="L95" s="6"/>
      <c r="M95" s="6"/>
      <c r="N95" s="6"/>
      <c r="O95" s="6"/>
      <c r="P95" s="6"/>
      <c r="Q95" s="6"/>
      <c r="R95" s="6"/>
      <c r="S95" s="6"/>
      <c r="T95" s="6"/>
      <c r="U95" s="6"/>
      <c r="V95" s="6"/>
      <c r="W95" s="6"/>
      <c r="X95" s="6"/>
      <c r="Y95" s="6"/>
      <c r="Z95" s="6"/>
    </row>
    <row r="96" spans="1:26" ht="12.75" x14ac:dyDescent="0.2">
      <c r="A96" s="10"/>
      <c r="B96" s="6"/>
      <c r="C96" s="6"/>
      <c r="D96" s="6"/>
      <c r="E96" s="9"/>
      <c r="F96" s="9"/>
      <c r="G96" s="11"/>
      <c r="H96" s="5"/>
      <c r="I96" s="6"/>
      <c r="J96" s="6"/>
      <c r="K96" s="6"/>
      <c r="L96" s="6"/>
      <c r="M96" s="6"/>
      <c r="N96" s="6"/>
      <c r="O96" s="6"/>
      <c r="P96" s="6"/>
      <c r="Q96" s="6"/>
      <c r="R96" s="6"/>
      <c r="S96" s="6"/>
      <c r="T96" s="6"/>
      <c r="U96" s="6"/>
      <c r="V96" s="6"/>
      <c r="W96" s="6"/>
      <c r="X96" s="6"/>
      <c r="Y96" s="6"/>
      <c r="Z96" s="6"/>
    </row>
    <row r="97" spans="1:26" ht="12.75" x14ac:dyDescent="0.2">
      <c r="A97" s="10"/>
      <c r="B97" s="6"/>
      <c r="C97" s="6"/>
      <c r="D97" s="6"/>
      <c r="E97" s="9"/>
      <c r="F97" s="9"/>
      <c r="G97" s="11"/>
      <c r="H97" s="5"/>
      <c r="I97" s="6"/>
      <c r="J97" s="6"/>
      <c r="K97" s="6"/>
      <c r="L97" s="6"/>
      <c r="M97" s="6"/>
      <c r="N97" s="6"/>
      <c r="O97" s="6"/>
      <c r="P97" s="6"/>
      <c r="Q97" s="6"/>
      <c r="R97" s="6"/>
      <c r="S97" s="6"/>
      <c r="T97" s="6"/>
      <c r="U97" s="6"/>
      <c r="V97" s="6"/>
      <c r="W97" s="6"/>
      <c r="X97" s="6"/>
      <c r="Y97" s="6"/>
      <c r="Z97" s="6"/>
    </row>
    <row r="98" spans="1:26" ht="12.75" x14ac:dyDescent="0.2">
      <c r="A98" s="10"/>
      <c r="B98" s="6"/>
      <c r="C98" s="6"/>
      <c r="D98" s="6"/>
      <c r="E98" s="9"/>
      <c r="F98" s="9"/>
      <c r="G98" s="11"/>
      <c r="H98" s="5"/>
      <c r="I98" s="6"/>
      <c r="J98" s="6"/>
      <c r="K98" s="6"/>
      <c r="L98" s="6"/>
      <c r="M98" s="6"/>
      <c r="N98" s="6"/>
      <c r="O98" s="6"/>
      <c r="P98" s="6"/>
      <c r="Q98" s="6"/>
      <c r="R98" s="6"/>
      <c r="S98" s="6"/>
      <c r="T98" s="6"/>
      <c r="U98" s="6"/>
      <c r="V98" s="6"/>
      <c r="W98" s="6"/>
      <c r="X98" s="6"/>
      <c r="Y98" s="6"/>
      <c r="Z98" s="6"/>
    </row>
    <row r="99" spans="1:26" ht="12.75" x14ac:dyDescent="0.2">
      <c r="A99" s="10"/>
      <c r="B99" s="6"/>
      <c r="C99" s="6"/>
      <c r="D99" s="6"/>
      <c r="E99" s="9"/>
      <c r="F99" s="9"/>
      <c r="G99" s="11"/>
      <c r="H99" s="5"/>
      <c r="I99" s="6"/>
      <c r="J99" s="6"/>
      <c r="K99" s="6"/>
      <c r="L99" s="6"/>
      <c r="M99" s="6"/>
      <c r="N99" s="6"/>
      <c r="O99" s="6"/>
      <c r="P99" s="6"/>
      <c r="Q99" s="6"/>
      <c r="R99" s="6"/>
      <c r="S99" s="6"/>
      <c r="T99" s="6"/>
      <c r="U99" s="6"/>
      <c r="V99" s="6"/>
      <c r="W99" s="6"/>
      <c r="X99" s="6"/>
      <c r="Y99" s="6"/>
      <c r="Z99" s="6"/>
    </row>
    <row r="100" spans="1:26" ht="12.75" x14ac:dyDescent="0.2">
      <c r="A100" s="10"/>
      <c r="B100" s="6"/>
      <c r="C100" s="6"/>
      <c r="D100" s="6"/>
      <c r="E100" s="9"/>
      <c r="F100" s="9"/>
      <c r="G100" s="11"/>
      <c r="H100" s="5"/>
      <c r="I100" s="6"/>
      <c r="J100" s="6"/>
      <c r="K100" s="6"/>
      <c r="L100" s="6"/>
      <c r="M100" s="6"/>
      <c r="N100" s="6"/>
      <c r="O100" s="6"/>
      <c r="P100" s="6"/>
      <c r="Q100" s="6"/>
      <c r="R100" s="6"/>
      <c r="S100" s="6"/>
      <c r="T100" s="6"/>
      <c r="U100" s="6"/>
      <c r="V100" s="6"/>
      <c r="W100" s="6"/>
      <c r="X100" s="6"/>
      <c r="Y100" s="6"/>
      <c r="Z100" s="6"/>
    </row>
    <row r="101" spans="1:26" ht="12.75" x14ac:dyDescent="0.2">
      <c r="A101" s="10"/>
      <c r="B101" s="6"/>
      <c r="C101" s="6"/>
      <c r="D101" s="6"/>
      <c r="E101" s="9"/>
      <c r="F101" s="9"/>
      <c r="G101" s="11"/>
      <c r="H101" s="5"/>
      <c r="I101" s="6"/>
      <c r="J101" s="6"/>
      <c r="K101" s="6"/>
      <c r="L101" s="6"/>
      <c r="M101" s="6"/>
      <c r="N101" s="6"/>
      <c r="O101" s="6"/>
      <c r="P101" s="6"/>
      <c r="Q101" s="6"/>
      <c r="R101" s="6"/>
      <c r="S101" s="6"/>
      <c r="T101" s="6"/>
      <c r="U101" s="6"/>
      <c r="V101" s="6"/>
      <c r="W101" s="6"/>
      <c r="X101" s="6"/>
      <c r="Y101" s="6"/>
      <c r="Z101" s="6"/>
    </row>
    <row r="102" spans="1:26" ht="12.75" x14ac:dyDescent="0.2">
      <c r="A102" s="10"/>
      <c r="B102" s="6"/>
      <c r="C102" s="6"/>
      <c r="D102" s="6"/>
      <c r="E102" s="9"/>
      <c r="F102" s="9"/>
      <c r="G102" s="11"/>
      <c r="H102" s="5"/>
      <c r="I102" s="6"/>
      <c r="J102" s="6"/>
      <c r="N102" s="6"/>
      <c r="O102" s="6"/>
      <c r="P102" s="6"/>
      <c r="Q102" s="6"/>
      <c r="R102" s="6"/>
      <c r="Z102" s="6"/>
    </row>
    <row r="103" spans="1:26" ht="12.75" x14ac:dyDescent="0.2">
      <c r="A103" s="10"/>
      <c r="B103" s="6"/>
      <c r="C103" s="6"/>
      <c r="D103" s="6"/>
      <c r="E103" s="9"/>
      <c r="F103" s="9"/>
      <c r="G103" s="11"/>
      <c r="H103" s="5"/>
      <c r="I103" s="6"/>
      <c r="J103" s="6"/>
      <c r="K103" s="6"/>
      <c r="L103" s="6"/>
      <c r="M103" s="6"/>
      <c r="N103" s="6"/>
      <c r="O103" s="6"/>
      <c r="P103" s="6"/>
      <c r="Q103" s="6"/>
      <c r="R103" s="6"/>
      <c r="S103" s="6"/>
      <c r="T103" s="6"/>
      <c r="U103" s="6"/>
      <c r="V103" s="6"/>
      <c r="W103" s="6"/>
      <c r="X103" s="6"/>
      <c r="Y103" s="6"/>
      <c r="Z103" s="6"/>
    </row>
    <row r="104" spans="1:26" ht="12.75" x14ac:dyDescent="0.2">
      <c r="A104" s="10"/>
      <c r="B104" s="6"/>
      <c r="C104" s="6"/>
      <c r="D104" s="6"/>
      <c r="E104" s="9"/>
      <c r="F104" s="9"/>
      <c r="G104" s="11"/>
      <c r="H104" s="5"/>
      <c r="I104" s="6"/>
      <c r="J104" s="6"/>
      <c r="N104" s="6"/>
      <c r="O104" s="6"/>
      <c r="P104" s="6"/>
      <c r="Q104" s="6"/>
      <c r="Z104" s="6"/>
    </row>
    <row r="105" spans="1:26" ht="12.75" x14ac:dyDescent="0.2">
      <c r="A105" s="10"/>
      <c r="B105" s="6"/>
      <c r="C105" s="6"/>
      <c r="D105" s="6"/>
      <c r="E105" s="9"/>
      <c r="F105" s="9"/>
      <c r="G105" s="11"/>
      <c r="H105" s="5"/>
      <c r="I105" s="6"/>
      <c r="J105" s="6"/>
      <c r="K105" s="6"/>
      <c r="L105" s="6"/>
      <c r="M105" s="6"/>
      <c r="R105" s="6"/>
      <c r="S105" s="6"/>
      <c r="T105" s="6"/>
      <c r="U105" s="6"/>
      <c r="V105" s="6"/>
      <c r="W105" s="6"/>
      <c r="X105" s="6"/>
      <c r="Y105" s="6"/>
      <c r="Z105" s="6"/>
    </row>
    <row r="106" spans="1:26" ht="12.75" x14ac:dyDescent="0.2">
      <c r="A106" s="10"/>
      <c r="B106" s="6"/>
      <c r="C106" s="6"/>
      <c r="D106" s="6"/>
      <c r="E106" s="9"/>
      <c r="F106" s="9"/>
      <c r="G106" s="11"/>
      <c r="H106" s="5"/>
      <c r="I106" s="8"/>
      <c r="J106" s="8"/>
      <c r="N106" s="6"/>
      <c r="O106" s="6"/>
      <c r="P106" s="6"/>
      <c r="Q106" s="6"/>
      <c r="Z106" s="6"/>
    </row>
    <row r="107" spans="1:26" ht="12.75" x14ac:dyDescent="0.2">
      <c r="A107" s="10"/>
      <c r="B107" s="6"/>
      <c r="C107" s="6"/>
      <c r="D107" s="6"/>
      <c r="E107" s="9"/>
      <c r="F107" s="9"/>
      <c r="G107" s="11"/>
      <c r="H107" s="5"/>
      <c r="I107" s="6"/>
      <c r="J107" s="6"/>
      <c r="K107" s="6"/>
      <c r="L107" s="6"/>
      <c r="M107" s="6"/>
      <c r="R107" s="6"/>
      <c r="S107" s="6"/>
      <c r="T107" s="6"/>
      <c r="U107" s="6"/>
      <c r="V107" s="6"/>
      <c r="W107" s="6"/>
      <c r="X107" s="6"/>
      <c r="Y107" s="6"/>
      <c r="Z107" s="6"/>
    </row>
    <row r="108" spans="1:26" ht="12.75" x14ac:dyDescent="0.2">
      <c r="A108" s="10"/>
      <c r="B108" s="6"/>
      <c r="C108" s="6"/>
      <c r="D108" s="6"/>
      <c r="E108" s="9"/>
      <c r="F108" s="9"/>
      <c r="G108" s="11"/>
      <c r="H108" s="5"/>
      <c r="I108" s="8"/>
      <c r="J108" s="8"/>
      <c r="N108" s="6"/>
      <c r="O108" s="6"/>
      <c r="P108" s="6"/>
      <c r="Q108" s="6"/>
      <c r="Z108" s="6"/>
    </row>
    <row r="109" spans="1:26" ht="12.75" x14ac:dyDescent="0.2">
      <c r="B109" s="6"/>
      <c r="C109" s="6"/>
      <c r="D109" s="6"/>
      <c r="E109" s="9"/>
      <c r="F109" s="9"/>
      <c r="G109" s="11"/>
      <c r="H109" s="5"/>
      <c r="I109" s="6"/>
      <c r="J109" s="6"/>
      <c r="R109" s="6"/>
      <c r="Z109" s="6"/>
    </row>
    <row r="110" spans="1:26" ht="12.75" x14ac:dyDescent="0.2">
      <c r="B110" s="6"/>
      <c r="C110" s="6"/>
      <c r="D110" s="6"/>
      <c r="E110" s="9"/>
      <c r="F110" s="9"/>
      <c r="G110" s="11"/>
      <c r="H110" s="5"/>
      <c r="I110" s="8"/>
      <c r="J110" s="8"/>
      <c r="N110" s="6"/>
      <c r="O110" s="6"/>
      <c r="P110" s="6"/>
      <c r="Q110" s="6"/>
      <c r="Z110" s="6"/>
    </row>
    <row r="111" spans="1:26" ht="12.75" x14ac:dyDescent="0.2">
      <c r="B111" s="6"/>
      <c r="C111" s="6"/>
      <c r="D111" s="6"/>
      <c r="E111" s="9"/>
      <c r="F111" s="9"/>
      <c r="G111" s="11"/>
      <c r="H111" s="5"/>
      <c r="I111" s="6"/>
      <c r="J111" s="6"/>
      <c r="Z111" s="6"/>
    </row>
    <row r="112" spans="1:26" ht="12.75" x14ac:dyDescent="0.2">
      <c r="B112" s="6"/>
      <c r="C112" s="6"/>
      <c r="D112" s="6"/>
      <c r="E112" s="9"/>
      <c r="F112" s="9"/>
      <c r="G112" s="11"/>
      <c r="H112" s="5"/>
      <c r="I112" s="8"/>
      <c r="J112" s="8"/>
      <c r="Z112" s="6"/>
    </row>
    <row r="113" spans="2:26" ht="12.75" x14ac:dyDescent="0.2">
      <c r="B113" s="6"/>
      <c r="C113" s="6"/>
      <c r="D113" s="6"/>
      <c r="E113" s="9"/>
      <c r="F113" s="9"/>
      <c r="G113" s="11"/>
      <c r="H113" s="5"/>
      <c r="I113" s="8"/>
      <c r="J113" s="8"/>
      <c r="Z113" s="6"/>
    </row>
    <row r="114" spans="2:26" ht="12.75" x14ac:dyDescent="0.2">
      <c r="B114" s="6"/>
      <c r="C114" s="6"/>
      <c r="D114" s="6"/>
      <c r="E114" s="9"/>
      <c r="F114" s="9"/>
      <c r="G114" s="11"/>
      <c r="H114" s="5"/>
      <c r="I114" s="8"/>
      <c r="J114" s="8"/>
      <c r="Z114" s="6"/>
    </row>
    <row r="115" spans="2:26" ht="12.75" x14ac:dyDescent="0.2">
      <c r="B115" s="6"/>
      <c r="C115" s="6"/>
      <c r="D115" s="6"/>
      <c r="E115" s="9"/>
      <c r="F115" s="9"/>
      <c r="G115" s="11"/>
      <c r="H115" s="5"/>
      <c r="I115" s="8"/>
      <c r="J115" s="8"/>
      <c r="Z115" s="6"/>
    </row>
    <row r="116" spans="2:26" ht="12.75" x14ac:dyDescent="0.2">
      <c r="B116" s="6"/>
      <c r="C116" s="6"/>
      <c r="D116" s="6"/>
      <c r="E116" s="9"/>
      <c r="F116" s="9"/>
      <c r="G116" s="11"/>
      <c r="H116" s="5"/>
      <c r="I116" s="8"/>
      <c r="J116" s="8"/>
      <c r="Z116" s="6"/>
    </row>
    <row r="117" spans="2:26" ht="12.75" x14ac:dyDescent="0.2">
      <c r="B117" s="6"/>
      <c r="C117" s="6"/>
      <c r="D117" s="6"/>
      <c r="E117" s="9"/>
      <c r="F117" s="9"/>
      <c r="G117" s="11"/>
      <c r="H117" s="5"/>
      <c r="I117" s="8"/>
      <c r="J117" s="8"/>
      <c r="Z117" s="6"/>
    </row>
    <row r="118" spans="2:26" ht="12.75" x14ac:dyDescent="0.2">
      <c r="B118" s="6"/>
      <c r="C118" s="6"/>
      <c r="D118" s="6"/>
      <c r="E118" s="9"/>
      <c r="F118" s="9"/>
      <c r="G118" s="11"/>
      <c r="H118" s="5"/>
      <c r="I118" s="8"/>
      <c r="J118" s="8"/>
      <c r="Z118" s="6"/>
    </row>
    <row r="119" spans="2:26" ht="12.75" x14ac:dyDescent="0.2">
      <c r="B119" s="6"/>
      <c r="C119" s="6"/>
      <c r="D119" s="6"/>
      <c r="E119" s="9"/>
      <c r="F119" s="9"/>
      <c r="G119" s="11"/>
      <c r="H119" s="5"/>
      <c r="I119" s="8"/>
      <c r="J119" s="8"/>
      <c r="Z119" s="6"/>
    </row>
    <row r="120" spans="2:26" ht="12.75" x14ac:dyDescent="0.2">
      <c r="B120" s="6"/>
      <c r="C120" s="6"/>
      <c r="D120" s="6"/>
      <c r="E120" s="9"/>
      <c r="F120" s="9"/>
      <c r="G120" s="11"/>
      <c r="H120" s="5"/>
      <c r="I120" s="8"/>
      <c r="J120" s="8"/>
      <c r="Z120" s="6"/>
    </row>
    <row r="121" spans="2:26" ht="12.75" x14ac:dyDescent="0.2">
      <c r="B121" s="6"/>
      <c r="C121" s="6"/>
      <c r="D121" s="6"/>
      <c r="E121" s="9"/>
      <c r="F121" s="9"/>
      <c r="G121" s="11"/>
      <c r="H121" s="5"/>
      <c r="I121" s="8"/>
      <c r="J121" s="8"/>
      <c r="Z121" s="6"/>
    </row>
    <row r="122" spans="2:26" ht="12.75" x14ac:dyDescent="0.2">
      <c r="B122" s="6"/>
      <c r="C122" s="6"/>
      <c r="D122" s="6"/>
      <c r="E122" s="9"/>
      <c r="F122" s="9"/>
      <c r="G122" s="11"/>
      <c r="H122" s="5"/>
      <c r="I122" s="8"/>
      <c r="J122" s="8"/>
      <c r="Z122" s="6"/>
    </row>
    <row r="123" spans="2:26" ht="12.75" x14ac:dyDescent="0.2">
      <c r="B123" s="6"/>
      <c r="C123" s="6"/>
      <c r="D123" s="6"/>
      <c r="E123" s="9"/>
      <c r="F123" s="9"/>
      <c r="G123" s="11"/>
      <c r="H123" s="5"/>
      <c r="I123" s="8"/>
      <c r="J123" s="8"/>
      <c r="Z123" s="6"/>
    </row>
    <row r="124" spans="2:26" ht="12.75" x14ac:dyDescent="0.2">
      <c r="B124" s="6"/>
      <c r="C124" s="6"/>
      <c r="D124" s="6"/>
      <c r="E124" s="9"/>
      <c r="F124" s="9"/>
      <c r="G124" s="11"/>
      <c r="H124" s="5"/>
      <c r="I124" s="8"/>
      <c r="J124" s="8"/>
      <c r="Z124" s="6"/>
    </row>
    <row r="125" spans="2:26" ht="12.75" x14ac:dyDescent="0.2">
      <c r="B125" s="6"/>
      <c r="C125" s="6"/>
      <c r="D125" s="6"/>
      <c r="E125" s="9"/>
      <c r="F125" s="9"/>
      <c r="G125" s="11"/>
      <c r="H125" s="5"/>
      <c r="I125" s="8"/>
      <c r="J125" s="8"/>
      <c r="Z125" s="6"/>
    </row>
    <row r="126" spans="2:26" ht="12.75" x14ac:dyDescent="0.2">
      <c r="B126" s="6"/>
      <c r="C126" s="6"/>
      <c r="D126" s="6"/>
      <c r="E126" s="9"/>
      <c r="F126" s="9"/>
      <c r="G126" s="11"/>
      <c r="H126" s="5"/>
      <c r="I126" s="8"/>
      <c r="J126" s="8"/>
      <c r="Z126" s="6"/>
    </row>
    <row r="127" spans="2:26" ht="12.75" x14ac:dyDescent="0.2">
      <c r="B127" s="6"/>
      <c r="C127" s="6"/>
      <c r="D127" s="6"/>
      <c r="E127" s="9"/>
      <c r="F127" s="9"/>
      <c r="G127" s="11"/>
      <c r="H127" s="5"/>
      <c r="I127" s="8"/>
      <c r="J127" s="8"/>
      <c r="Z127" s="6"/>
    </row>
    <row r="128" spans="2:26" ht="12.75" x14ac:dyDescent="0.2">
      <c r="B128" s="6"/>
      <c r="C128" s="6"/>
      <c r="D128" s="6"/>
      <c r="E128" s="9"/>
      <c r="F128" s="9"/>
      <c r="G128" s="11"/>
      <c r="H128" s="5"/>
      <c r="I128" s="8"/>
      <c r="J128" s="8"/>
      <c r="Z128" s="6"/>
    </row>
    <row r="129" spans="2:26" ht="12.75" x14ac:dyDescent="0.2">
      <c r="B129" s="6"/>
      <c r="C129" s="6"/>
      <c r="D129" s="6"/>
      <c r="E129" s="9"/>
      <c r="F129" s="9"/>
      <c r="G129" s="11"/>
      <c r="H129" s="5"/>
      <c r="I129" s="8"/>
      <c r="J129" s="8"/>
      <c r="Z129" s="6"/>
    </row>
    <row r="130" spans="2:26" ht="12.75" x14ac:dyDescent="0.2">
      <c r="B130" s="6"/>
      <c r="C130" s="6"/>
      <c r="D130" s="6"/>
      <c r="E130" s="9"/>
      <c r="F130" s="9"/>
      <c r="G130" s="11"/>
      <c r="H130" s="5"/>
      <c r="I130" s="8"/>
      <c r="J130" s="8"/>
      <c r="Z130" s="6"/>
    </row>
    <row r="131" spans="2:26" ht="12.75" x14ac:dyDescent="0.2">
      <c r="B131" s="6"/>
      <c r="C131" s="6"/>
      <c r="D131" s="6"/>
      <c r="E131" s="9"/>
      <c r="F131" s="9"/>
      <c r="G131" s="11"/>
      <c r="H131" s="5"/>
      <c r="I131" s="8"/>
      <c r="J131" s="8"/>
      <c r="Z131" s="6"/>
    </row>
    <row r="132" spans="2:26" ht="12.75" x14ac:dyDescent="0.2">
      <c r="B132" s="6"/>
      <c r="C132" s="6"/>
      <c r="D132" s="6"/>
      <c r="E132" s="9"/>
      <c r="F132" s="9"/>
      <c r="G132" s="11"/>
      <c r="H132" s="5"/>
      <c r="I132" s="8"/>
      <c r="J132" s="8"/>
      <c r="Z132" s="6"/>
    </row>
    <row r="133" spans="2:26" ht="12.75" x14ac:dyDescent="0.2">
      <c r="B133" s="6"/>
      <c r="C133" s="6"/>
      <c r="D133" s="6"/>
      <c r="E133" s="9"/>
      <c r="F133" s="9"/>
      <c r="G133" s="11"/>
      <c r="H133" s="5"/>
      <c r="I133" s="8"/>
      <c r="J133" s="8"/>
      <c r="Z133" s="6"/>
    </row>
    <row r="134" spans="2:26" ht="12.75" x14ac:dyDescent="0.2">
      <c r="B134" s="6"/>
      <c r="C134" s="6"/>
      <c r="D134" s="6"/>
      <c r="E134" s="9"/>
      <c r="F134" s="9"/>
      <c r="G134" s="11"/>
      <c r="H134" s="5"/>
      <c r="I134" s="8"/>
      <c r="J134" s="8"/>
      <c r="Z134" s="6"/>
    </row>
    <row r="135" spans="2:26" ht="12.75" x14ac:dyDescent="0.2">
      <c r="B135" s="6"/>
      <c r="C135" s="6"/>
      <c r="D135" s="6"/>
      <c r="E135" s="9"/>
      <c r="F135" s="9"/>
      <c r="G135" s="11"/>
      <c r="H135" s="5"/>
      <c r="I135" s="8"/>
      <c r="J135" s="8"/>
      <c r="Z135" s="6"/>
    </row>
    <row r="136" spans="2:26" ht="12.75" x14ac:dyDescent="0.2">
      <c r="B136" s="6"/>
      <c r="C136" s="6"/>
      <c r="D136" s="6"/>
      <c r="E136" s="9"/>
      <c r="F136" s="9"/>
      <c r="G136" s="11"/>
      <c r="H136" s="5"/>
      <c r="I136" s="8"/>
      <c r="J136" s="8"/>
      <c r="Z136" s="6"/>
    </row>
    <row r="137" spans="2:26" ht="12.75" x14ac:dyDescent="0.2">
      <c r="B137" s="6"/>
      <c r="C137" s="6"/>
      <c r="D137" s="6"/>
      <c r="E137" s="9"/>
      <c r="F137" s="9"/>
      <c r="G137" s="11"/>
      <c r="H137" s="5"/>
      <c r="I137" s="8"/>
      <c r="J137" s="8"/>
      <c r="Z137" s="6"/>
    </row>
    <row r="138" spans="2:26" ht="12.75" x14ac:dyDescent="0.2">
      <c r="B138" s="6"/>
      <c r="C138" s="6"/>
      <c r="D138" s="6"/>
      <c r="E138" s="9"/>
      <c r="F138" s="9"/>
      <c r="G138" s="11"/>
      <c r="H138" s="5"/>
      <c r="I138" s="8"/>
      <c r="J138" s="8"/>
      <c r="Z138" s="6"/>
    </row>
    <row r="139" spans="2:26" ht="12.75" x14ac:dyDescent="0.2">
      <c r="B139" s="6"/>
      <c r="C139" s="6"/>
      <c r="D139" s="6"/>
      <c r="E139" s="9"/>
      <c r="F139" s="9"/>
      <c r="G139" s="11"/>
      <c r="H139" s="5"/>
      <c r="I139" s="8"/>
      <c r="J139" s="8"/>
      <c r="Z139" s="6"/>
    </row>
    <row r="140" spans="2:26" ht="12.75" x14ac:dyDescent="0.2">
      <c r="B140" s="6"/>
      <c r="C140" s="6"/>
      <c r="D140" s="6"/>
      <c r="E140" s="9"/>
      <c r="F140" s="9"/>
      <c r="G140" s="11"/>
      <c r="H140" s="5"/>
      <c r="I140" s="8"/>
      <c r="J140" s="8"/>
      <c r="Z140" s="6"/>
    </row>
    <row r="141" spans="2:26" ht="12.75" x14ac:dyDescent="0.2">
      <c r="B141" s="6"/>
      <c r="C141" s="6"/>
      <c r="D141" s="6"/>
      <c r="E141" s="9"/>
      <c r="F141" s="9"/>
      <c r="G141" s="11"/>
      <c r="H141" s="5"/>
      <c r="I141" s="8"/>
      <c r="J141" s="8"/>
      <c r="Z141" s="6"/>
    </row>
    <row r="142" spans="2:26" ht="12.75" x14ac:dyDescent="0.2">
      <c r="B142" s="6"/>
      <c r="C142" s="6"/>
      <c r="D142" s="6"/>
      <c r="E142" s="9"/>
      <c r="F142" s="9"/>
      <c r="G142" s="11"/>
      <c r="H142" s="5"/>
      <c r="I142" s="8"/>
      <c r="J142" s="8"/>
      <c r="Z142" s="6"/>
    </row>
    <row r="143" spans="2:26" ht="12.75" x14ac:dyDescent="0.2">
      <c r="B143" s="6"/>
      <c r="C143" s="6"/>
      <c r="D143" s="6"/>
      <c r="E143" s="9"/>
      <c r="F143" s="9"/>
      <c r="G143" s="11"/>
      <c r="H143" s="5"/>
      <c r="I143" s="8"/>
      <c r="J143" s="8"/>
      <c r="Z143" s="6"/>
    </row>
    <row r="144" spans="2:26" ht="12.75" x14ac:dyDescent="0.2">
      <c r="B144" s="6"/>
      <c r="C144" s="6"/>
      <c r="D144" s="6"/>
      <c r="E144" s="9"/>
      <c r="F144" s="9"/>
      <c r="G144" s="11"/>
      <c r="H144" s="5"/>
      <c r="I144" s="8"/>
      <c r="J144" s="8"/>
      <c r="Z144" s="6"/>
    </row>
    <row r="145" spans="2:26" ht="12.75" x14ac:dyDescent="0.2">
      <c r="B145" s="6"/>
      <c r="C145" s="6"/>
      <c r="D145" s="6"/>
      <c r="E145" s="9"/>
      <c r="F145" s="9"/>
      <c r="G145" s="11"/>
      <c r="H145" s="5"/>
      <c r="I145" s="8"/>
      <c r="J145" s="8"/>
      <c r="Z145" s="6"/>
    </row>
    <row r="146" spans="2:26" ht="12.75" x14ac:dyDescent="0.2">
      <c r="B146" s="6"/>
      <c r="C146" s="6"/>
      <c r="D146" s="6"/>
      <c r="E146" s="9"/>
      <c r="F146" s="9"/>
      <c r="G146" s="11"/>
      <c r="H146" s="5"/>
      <c r="I146" s="8"/>
      <c r="J146" s="8"/>
      <c r="Z146" s="6"/>
    </row>
    <row r="147" spans="2:26" ht="12.75" x14ac:dyDescent="0.2">
      <c r="B147" s="6"/>
      <c r="C147" s="6"/>
      <c r="D147" s="6"/>
      <c r="E147" s="9"/>
      <c r="F147" s="9"/>
      <c r="G147" s="11"/>
      <c r="H147" s="5"/>
      <c r="I147" s="8"/>
      <c r="J147" s="8"/>
      <c r="Z147" s="6"/>
    </row>
    <row r="148" spans="2:26" ht="12.75" x14ac:dyDescent="0.2">
      <c r="B148" s="6"/>
      <c r="C148" s="6"/>
      <c r="D148" s="6"/>
      <c r="E148" s="9"/>
      <c r="F148" s="9"/>
      <c r="G148" s="11"/>
      <c r="H148" s="5"/>
      <c r="I148" s="8"/>
      <c r="J148" s="8"/>
      <c r="Z148" s="6"/>
    </row>
    <row r="149" spans="2:26" ht="12.75" x14ac:dyDescent="0.2">
      <c r="B149" s="6"/>
      <c r="C149" s="6"/>
      <c r="D149" s="6"/>
      <c r="E149" s="9"/>
      <c r="F149" s="9"/>
      <c r="G149" s="11"/>
      <c r="H149" s="5"/>
      <c r="I149" s="8"/>
      <c r="J149" s="8"/>
      <c r="Z149" s="6"/>
    </row>
    <row r="150" spans="2:26" ht="12.75" x14ac:dyDescent="0.2">
      <c r="B150" s="6"/>
      <c r="C150" s="6"/>
      <c r="D150" s="6"/>
      <c r="E150" s="9"/>
      <c r="F150" s="9"/>
      <c r="G150" s="11"/>
      <c r="H150" s="5"/>
      <c r="I150" s="8"/>
      <c r="J150" s="8"/>
      <c r="Z150" s="6"/>
    </row>
    <row r="151" spans="2:26" ht="12.75" x14ac:dyDescent="0.2">
      <c r="B151" s="6"/>
      <c r="C151" s="6"/>
      <c r="D151" s="6"/>
      <c r="E151" s="9"/>
      <c r="F151" s="9"/>
      <c r="G151" s="11"/>
      <c r="H151" s="5"/>
      <c r="I151" s="8"/>
      <c r="J151" s="8"/>
      <c r="Z151" s="6"/>
    </row>
    <row r="152" spans="2:26" ht="12.75" x14ac:dyDescent="0.2">
      <c r="B152" s="6"/>
      <c r="C152" s="6"/>
      <c r="D152" s="6"/>
      <c r="E152" s="9"/>
      <c r="F152" s="9"/>
      <c r="G152" s="11"/>
      <c r="H152" s="5"/>
      <c r="I152" s="8"/>
      <c r="J152" s="8"/>
      <c r="Z152" s="6"/>
    </row>
    <row r="153" spans="2:26" ht="12.75" x14ac:dyDescent="0.2">
      <c r="B153" s="6"/>
      <c r="C153" s="6"/>
      <c r="D153" s="6"/>
      <c r="E153" s="9"/>
      <c r="F153" s="9"/>
      <c r="G153" s="11"/>
      <c r="H153" s="5"/>
      <c r="I153" s="8"/>
      <c r="J153" s="8"/>
      <c r="Z153" s="6"/>
    </row>
    <row r="154" spans="2:26" ht="12.75" x14ac:dyDescent="0.2">
      <c r="B154" s="6"/>
      <c r="C154" s="6"/>
      <c r="D154" s="6"/>
      <c r="E154" s="9"/>
      <c r="F154" s="9"/>
      <c r="G154" s="11"/>
      <c r="H154" s="5"/>
      <c r="I154" s="8"/>
      <c r="J154" s="8"/>
      <c r="Z154" s="6"/>
    </row>
    <row r="155" spans="2:26" ht="12.75" x14ac:dyDescent="0.2">
      <c r="B155" s="6"/>
      <c r="C155" s="6"/>
      <c r="D155" s="6"/>
      <c r="E155" s="9"/>
      <c r="F155" s="9"/>
      <c r="G155" s="11"/>
      <c r="H155" s="5"/>
      <c r="I155" s="8"/>
      <c r="J155" s="8"/>
      <c r="Z155" s="6"/>
    </row>
    <row r="156" spans="2:26" ht="12.75" x14ac:dyDescent="0.2">
      <c r="B156" s="6"/>
      <c r="C156" s="6"/>
      <c r="D156" s="6"/>
      <c r="E156" s="9"/>
      <c r="F156" s="9"/>
      <c r="G156" s="11"/>
      <c r="H156" s="5"/>
      <c r="I156" s="8"/>
      <c r="J156" s="8"/>
      <c r="Z156" s="6"/>
    </row>
    <row r="157" spans="2:26" ht="12.75" x14ac:dyDescent="0.2">
      <c r="B157" s="6"/>
      <c r="C157" s="6"/>
      <c r="D157" s="6"/>
      <c r="E157" s="9"/>
      <c r="F157" s="9"/>
      <c r="G157" s="11"/>
      <c r="H157" s="5"/>
      <c r="I157" s="8"/>
      <c r="J157" s="8"/>
      <c r="Z157" s="6"/>
    </row>
    <row r="158" spans="2:26" ht="12.75" x14ac:dyDescent="0.2">
      <c r="B158" s="6"/>
      <c r="C158" s="6"/>
      <c r="D158" s="6"/>
      <c r="E158" s="9"/>
      <c r="F158" s="9"/>
      <c r="G158" s="11"/>
      <c r="H158" s="5"/>
      <c r="I158" s="8"/>
      <c r="J158" s="8"/>
      <c r="Z158" s="6"/>
    </row>
    <row r="159" spans="2:26" ht="12.75" x14ac:dyDescent="0.2">
      <c r="B159" s="6"/>
      <c r="C159" s="6"/>
      <c r="D159" s="6"/>
      <c r="E159" s="9"/>
      <c r="F159" s="9"/>
      <c r="G159" s="11"/>
      <c r="H159" s="5"/>
      <c r="I159" s="8"/>
      <c r="J159" s="8"/>
      <c r="Z159" s="6"/>
    </row>
    <row r="160" spans="2:26" ht="12.75" x14ac:dyDescent="0.2">
      <c r="B160" s="6"/>
      <c r="C160" s="6"/>
      <c r="D160" s="6"/>
      <c r="E160" s="9"/>
      <c r="F160" s="9"/>
      <c r="G160" s="11"/>
      <c r="H160" s="5"/>
      <c r="I160" s="8"/>
      <c r="J160" s="8"/>
      <c r="Z160" s="6"/>
    </row>
    <row r="161" spans="2:26" ht="12.75" x14ac:dyDescent="0.2">
      <c r="B161" s="6"/>
      <c r="C161" s="6"/>
      <c r="D161" s="6"/>
      <c r="E161" s="9"/>
      <c r="F161" s="9"/>
      <c r="G161" s="11"/>
      <c r="H161" s="5"/>
      <c r="I161" s="8"/>
      <c r="J161" s="8"/>
      <c r="Z161" s="6"/>
    </row>
    <row r="162" spans="2:26" ht="12.75" x14ac:dyDescent="0.2">
      <c r="B162" s="6"/>
      <c r="C162" s="6"/>
      <c r="D162" s="6"/>
      <c r="E162" s="9"/>
      <c r="F162" s="9"/>
      <c r="G162" s="11"/>
      <c r="H162" s="5"/>
      <c r="I162" s="8"/>
      <c r="J162" s="8"/>
      <c r="Z162" s="6"/>
    </row>
    <row r="163" spans="2:26" ht="12.75" x14ac:dyDescent="0.2">
      <c r="B163" s="6"/>
      <c r="C163" s="6"/>
      <c r="D163" s="6"/>
      <c r="E163" s="9"/>
      <c r="F163" s="9"/>
      <c r="G163" s="11"/>
      <c r="H163" s="5"/>
      <c r="I163" s="8"/>
      <c r="J163" s="8"/>
      <c r="Z163" s="6"/>
    </row>
    <row r="164" spans="2:26" ht="12.75" x14ac:dyDescent="0.2">
      <c r="B164" s="6"/>
      <c r="C164" s="6"/>
      <c r="D164" s="6"/>
      <c r="E164" s="9"/>
      <c r="F164" s="9"/>
      <c r="G164" s="11"/>
      <c r="H164" s="5"/>
      <c r="I164" s="8"/>
      <c r="J164" s="8"/>
      <c r="Z164" s="6"/>
    </row>
    <row r="165" spans="2:26" ht="12.75" x14ac:dyDescent="0.2">
      <c r="B165" s="6"/>
      <c r="C165" s="6"/>
      <c r="D165" s="6"/>
      <c r="E165" s="9"/>
      <c r="F165" s="9"/>
      <c r="G165" s="11"/>
      <c r="H165" s="5"/>
      <c r="I165" s="8"/>
      <c r="J165" s="8"/>
      <c r="Z165" s="6"/>
    </row>
    <row r="166" spans="2:26" ht="12.75" x14ac:dyDescent="0.2">
      <c r="B166" s="6"/>
      <c r="C166" s="6"/>
      <c r="D166" s="6"/>
      <c r="E166" s="9"/>
      <c r="F166" s="9"/>
      <c r="G166" s="11"/>
      <c r="H166" s="5"/>
      <c r="I166" s="8"/>
      <c r="J166" s="8"/>
      <c r="Z166" s="6"/>
    </row>
    <row r="167" spans="2:26" ht="12.75" x14ac:dyDescent="0.2">
      <c r="B167" s="6"/>
      <c r="C167" s="6"/>
      <c r="D167" s="6"/>
      <c r="E167" s="9"/>
      <c r="F167" s="9"/>
      <c r="G167" s="11"/>
      <c r="H167" s="5"/>
      <c r="I167" s="8"/>
      <c r="J167" s="8"/>
      <c r="Z167" s="6"/>
    </row>
    <row r="168" spans="2:26" ht="12.75" x14ac:dyDescent="0.2">
      <c r="B168" s="6"/>
      <c r="C168" s="6"/>
      <c r="D168" s="6"/>
      <c r="E168" s="9"/>
      <c r="F168" s="9"/>
      <c r="G168" s="11"/>
      <c r="H168" s="5"/>
      <c r="I168" s="8"/>
      <c r="J168" s="8"/>
      <c r="Z168" s="6"/>
    </row>
    <row r="169" spans="2:26" ht="12.75" x14ac:dyDescent="0.2">
      <c r="B169" s="6"/>
      <c r="C169" s="6"/>
      <c r="D169" s="6"/>
      <c r="E169" s="9"/>
      <c r="F169" s="9"/>
      <c r="G169" s="11"/>
      <c r="H169" s="5"/>
      <c r="I169" s="8"/>
      <c r="J169" s="8"/>
      <c r="Z169" s="6"/>
    </row>
    <row r="170" spans="2:26" ht="12.75" x14ac:dyDescent="0.2">
      <c r="B170" s="6"/>
      <c r="C170" s="6"/>
      <c r="D170" s="6"/>
      <c r="E170" s="9"/>
      <c r="F170" s="9"/>
      <c r="G170" s="11"/>
      <c r="H170" s="5"/>
      <c r="I170" s="8"/>
      <c r="J170" s="8"/>
      <c r="Z170" s="6"/>
    </row>
    <row r="171" spans="2:26" ht="12.75" x14ac:dyDescent="0.2">
      <c r="B171" s="6"/>
      <c r="C171" s="6"/>
      <c r="D171" s="6"/>
      <c r="E171" s="9"/>
      <c r="F171" s="9"/>
      <c r="G171" s="11"/>
      <c r="H171" s="5"/>
      <c r="I171" s="8"/>
      <c r="J171" s="8"/>
      <c r="Z171" s="6"/>
    </row>
    <row r="172" spans="2:26" ht="12.75" x14ac:dyDescent="0.2">
      <c r="B172" s="6"/>
      <c r="C172" s="6"/>
      <c r="D172" s="6"/>
      <c r="E172" s="9"/>
      <c r="F172" s="9"/>
      <c r="G172" s="11"/>
      <c r="H172" s="5"/>
      <c r="I172" s="8"/>
      <c r="J172" s="8"/>
      <c r="Z172" s="6"/>
    </row>
    <row r="173" spans="2:26" ht="12.75" x14ac:dyDescent="0.2">
      <c r="B173" s="6"/>
      <c r="C173" s="6"/>
      <c r="D173" s="6"/>
      <c r="E173" s="9"/>
      <c r="F173" s="9"/>
      <c r="G173" s="11"/>
      <c r="H173" s="5"/>
      <c r="I173" s="8"/>
      <c r="J173" s="8"/>
      <c r="Z173" s="6"/>
    </row>
    <row r="174" spans="2:26" ht="12.75" x14ac:dyDescent="0.2">
      <c r="B174" s="6"/>
      <c r="C174" s="6"/>
      <c r="D174" s="6"/>
      <c r="E174" s="9"/>
      <c r="F174" s="9"/>
      <c r="G174" s="11"/>
      <c r="H174" s="5"/>
      <c r="I174" s="8"/>
      <c r="J174" s="8"/>
      <c r="Z174" s="6"/>
    </row>
    <row r="175" spans="2:26" ht="12.75" x14ac:dyDescent="0.2">
      <c r="B175" s="6"/>
      <c r="C175" s="6"/>
      <c r="D175" s="6"/>
      <c r="E175" s="9"/>
      <c r="F175" s="9"/>
      <c r="G175" s="11"/>
      <c r="H175" s="5"/>
      <c r="I175" s="8"/>
      <c r="J175" s="8"/>
      <c r="Z175" s="6"/>
    </row>
    <row r="176" spans="2:26" ht="12.75" x14ac:dyDescent="0.2">
      <c r="B176" s="6"/>
      <c r="C176" s="6"/>
      <c r="D176" s="6"/>
      <c r="E176" s="9"/>
      <c r="F176" s="9"/>
      <c r="G176" s="11"/>
      <c r="H176" s="5"/>
      <c r="I176" s="8"/>
      <c r="J176" s="8"/>
      <c r="Z176" s="6"/>
    </row>
    <row r="177" spans="2:26" ht="12.75" x14ac:dyDescent="0.2">
      <c r="B177" s="6"/>
      <c r="C177" s="6"/>
      <c r="D177" s="6"/>
      <c r="E177" s="9"/>
      <c r="F177" s="9"/>
      <c r="G177" s="11"/>
      <c r="H177" s="5"/>
      <c r="I177" s="8"/>
      <c r="J177" s="8"/>
      <c r="Z177" s="6"/>
    </row>
    <row r="178" spans="2:26" ht="12.75" x14ac:dyDescent="0.2">
      <c r="B178" s="6"/>
      <c r="C178" s="6"/>
      <c r="D178" s="6"/>
      <c r="E178" s="9"/>
      <c r="F178" s="9"/>
      <c r="G178" s="11"/>
      <c r="H178" s="5"/>
      <c r="I178" s="8"/>
      <c r="J178" s="8"/>
      <c r="Z178" s="6"/>
    </row>
    <row r="179" spans="2:26" ht="12.75" x14ac:dyDescent="0.2">
      <c r="B179" s="6"/>
      <c r="C179" s="6"/>
      <c r="D179" s="6"/>
      <c r="E179" s="9"/>
      <c r="F179" s="9"/>
      <c r="G179" s="11"/>
      <c r="H179" s="5"/>
      <c r="I179" s="8"/>
      <c r="J179" s="8"/>
      <c r="Z179" s="6"/>
    </row>
    <row r="180" spans="2:26" ht="12.75" x14ac:dyDescent="0.2">
      <c r="B180" s="6"/>
      <c r="C180" s="6"/>
      <c r="D180" s="6"/>
      <c r="E180" s="9"/>
      <c r="F180" s="9"/>
      <c r="G180" s="11"/>
      <c r="H180" s="5"/>
      <c r="I180" s="8"/>
      <c r="J180" s="8"/>
      <c r="Z180" s="6"/>
    </row>
    <row r="181" spans="2:26" ht="12.75" x14ac:dyDescent="0.2">
      <c r="B181" s="6"/>
      <c r="C181" s="6"/>
      <c r="D181" s="6"/>
      <c r="E181" s="9"/>
      <c r="F181" s="9"/>
      <c r="G181" s="11"/>
      <c r="H181" s="5"/>
      <c r="I181" s="8"/>
      <c r="J181" s="8"/>
      <c r="Z181" s="6"/>
    </row>
    <row r="182" spans="2:26" ht="12.75" x14ac:dyDescent="0.2">
      <c r="B182" s="6"/>
      <c r="C182" s="6"/>
      <c r="D182" s="6"/>
      <c r="E182" s="9"/>
      <c r="F182" s="9"/>
      <c r="G182" s="11"/>
      <c r="H182" s="5"/>
      <c r="I182" s="8"/>
      <c r="J182" s="8"/>
      <c r="Z182" s="6"/>
    </row>
    <row r="183" spans="2:26" ht="12.75" x14ac:dyDescent="0.2">
      <c r="B183" s="6"/>
      <c r="C183" s="6"/>
      <c r="D183" s="6"/>
      <c r="E183" s="9"/>
      <c r="F183" s="9"/>
      <c r="G183" s="11"/>
      <c r="H183" s="5"/>
      <c r="I183" s="8"/>
      <c r="J183" s="8"/>
      <c r="Z183" s="6"/>
    </row>
    <row r="184" spans="2:26" ht="12.75" x14ac:dyDescent="0.2">
      <c r="B184" s="6"/>
      <c r="C184" s="6"/>
      <c r="D184" s="6"/>
      <c r="E184" s="9"/>
      <c r="F184" s="9"/>
      <c r="G184" s="11"/>
      <c r="H184" s="5"/>
      <c r="I184" s="8"/>
      <c r="J184" s="8"/>
      <c r="Z184" s="6"/>
    </row>
    <row r="185" spans="2:26" ht="12.75" x14ac:dyDescent="0.2">
      <c r="B185" s="6"/>
      <c r="C185" s="6"/>
      <c r="D185" s="6"/>
      <c r="E185" s="9"/>
      <c r="F185" s="9"/>
      <c r="G185" s="11"/>
      <c r="H185" s="5"/>
      <c r="I185" s="8"/>
      <c r="J185" s="8"/>
      <c r="Z185" s="6"/>
    </row>
    <row r="186" spans="2:26" ht="12.75" x14ac:dyDescent="0.2">
      <c r="B186" s="6"/>
      <c r="C186" s="6"/>
      <c r="D186" s="6"/>
      <c r="E186" s="9"/>
      <c r="F186" s="9"/>
      <c r="G186" s="11"/>
      <c r="H186" s="5"/>
      <c r="I186" s="8"/>
      <c r="J186" s="8"/>
      <c r="Z186" s="6"/>
    </row>
    <row r="187" spans="2:26" ht="12.75" x14ac:dyDescent="0.2">
      <c r="B187" s="6"/>
      <c r="C187" s="6"/>
      <c r="D187" s="6"/>
      <c r="E187" s="9"/>
      <c r="F187" s="9"/>
      <c r="G187" s="11"/>
      <c r="H187" s="5"/>
      <c r="I187" s="8"/>
      <c r="J187" s="8"/>
      <c r="Z187" s="6"/>
    </row>
    <row r="188" spans="2:26" ht="12.75" x14ac:dyDescent="0.2">
      <c r="B188" s="6"/>
      <c r="C188" s="6"/>
      <c r="D188" s="6"/>
      <c r="E188" s="9"/>
      <c r="F188" s="9"/>
      <c r="G188" s="11"/>
      <c r="H188" s="5"/>
      <c r="I188" s="8"/>
      <c r="J188" s="8"/>
      <c r="Z188" s="6"/>
    </row>
    <row r="189" spans="2:26" ht="12.75" x14ac:dyDescent="0.2">
      <c r="B189" s="6"/>
      <c r="C189" s="6"/>
      <c r="D189" s="6"/>
      <c r="E189" s="9"/>
      <c r="F189" s="9"/>
      <c r="G189" s="11"/>
      <c r="H189" s="5"/>
      <c r="I189" s="8"/>
      <c r="J189" s="8"/>
      <c r="Z189" s="6"/>
    </row>
    <row r="190" spans="2:26" ht="12.75" x14ac:dyDescent="0.2">
      <c r="B190" s="6"/>
      <c r="C190" s="6"/>
      <c r="D190" s="6"/>
      <c r="E190" s="9"/>
      <c r="F190" s="9"/>
      <c r="G190" s="11"/>
      <c r="H190" s="5"/>
      <c r="I190" s="8"/>
      <c r="J190" s="8"/>
      <c r="Z190" s="6"/>
    </row>
    <row r="191" spans="2:26" ht="12.75" x14ac:dyDescent="0.2">
      <c r="B191" s="6"/>
      <c r="C191" s="6"/>
      <c r="D191" s="6"/>
      <c r="E191" s="9"/>
      <c r="F191" s="9"/>
      <c r="G191" s="11"/>
      <c r="H191" s="5"/>
      <c r="I191" s="8"/>
      <c r="J191" s="8"/>
      <c r="Z191" s="6"/>
    </row>
    <row r="192" spans="2:26" ht="12.75" x14ac:dyDescent="0.2">
      <c r="B192" s="6"/>
      <c r="C192" s="6"/>
      <c r="D192" s="6"/>
      <c r="E192" s="9"/>
      <c r="F192" s="9"/>
      <c r="G192" s="11"/>
      <c r="H192" s="5"/>
      <c r="I192" s="8"/>
      <c r="J192" s="8"/>
      <c r="Z192" s="6"/>
    </row>
    <row r="193" spans="2:26" ht="12.75" x14ac:dyDescent="0.2">
      <c r="B193" s="6"/>
      <c r="C193" s="6"/>
      <c r="D193" s="6"/>
      <c r="E193" s="9"/>
      <c r="F193" s="9"/>
      <c r="G193" s="11"/>
      <c r="H193" s="5"/>
      <c r="I193" s="8"/>
      <c r="J193" s="8"/>
      <c r="Z193" s="6"/>
    </row>
    <row r="194" spans="2:26" ht="12.75" x14ac:dyDescent="0.2">
      <c r="B194" s="6"/>
      <c r="C194" s="6"/>
      <c r="D194" s="6"/>
      <c r="E194" s="9"/>
      <c r="F194" s="9"/>
      <c r="G194" s="11"/>
      <c r="H194" s="5"/>
      <c r="I194" s="8"/>
      <c r="J194" s="8"/>
      <c r="Z194" s="6"/>
    </row>
    <row r="195" spans="2:26" ht="12.75" x14ac:dyDescent="0.2">
      <c r="B195" s="6"/>
      <c r="C195" s="6"/>
      <c r="D195" s="6"/>
      <c r="E195" s="9"/>
      <c r="F195" s="9"/>
      <c r="G195" s="11"/>
      <c r="H195" s="5"/>
      <c r="I195" s="8"/>
      <c r="J195" s="8"/>
      <c r="Z195" s="6"/>
    </row>
    <row r="196" spans="2:26" ht="12.75" x14ac:dyDescent="0.2">
      <c r="B196" s="6"/>
      <c r="C196" s="6"/>
      <c r="D196" s="6"/>
      <c r="E196" s="9"/>
      <c r="F196" s="9"/>
      <c r="G196" s="11"/>
      <c r="H196" s="5"/>
      <c r="I196" s="8"/>
      <c r="J196" s="8"/>
      <c r="Z196" s="6"/>
    </row>
    <row r="197" spans="2:26" ht="12.75" x14ac:dyDescent="0.2">
      <c r="B197" s="6"/>
      <c r="C197" s="6"/>
      <c r="D197" s="6"/>
      <c r="E197" s="9"/>
      <c r="F197" s="9"/>
      <c r="G197" s="11"/>
      <c r="H197" s="5"/>
      <c r="I197" s="8"/>
      <c r="J197" s="8"/>
      <c r="Z197" s="6"/>
    </row>
    <row r="198" spans="2:26" ht="12.75" x14ac:dyDescent="0.2">
      <c r="B198" s="6"/>
      <c r="C198" s="6"/>
      <c r="D198" s="6"/>
      <c r="E198" s="9"/>
      <c r="F198" s="9"/>
      <c r="G198" s="11"/>
      <c r="H198" s="5"/>
      <c r="I198" s="8"/>
      <c r="J198" s="8"/>
      <c r="Z198" s="6"/>
    </row>
    <row r="199" spans="2:26" ht="12.75" x14ac:dyDescent="0.2">
      <c r="B199" s="6"/>
      <c r="C199" s="6"/>
      <c r="D199" s="6"/>
      <c r="E199" s="9"/>
      <c r="F199" s="9"/>
      <c r="G199" s="11"/>
      <c r="H199" s="5"/>
      <c r="I199" s="8"/>
      <c r="J199" s="8"/>
      <c r="Z199" s="6"/>
    </row>
    <row r="200" spans="2:26" ht="12.75" x14ac:dyDescent="0.2">
      <c r="B200" s="6"/>
      <c r="C200" s="6"/>
      <c r="D200" s="6"/>
      <c r="E200" s="9"/>
      <c r="F200" s="9"/>
      <c r="G200" s="11"/>
      <c r="H200" s="5"/>
      <c r="I200" s="8"/>
      <c r="J200" s="8"/>
      <c r="Z200" s="6"/>
    </row>
    <row r="201" spans="2:26" ht="12.75" x14ac:dyDescent="0.2">
      <c r="B201" s="6"/>
      <c r="C201" s="6"/>
      <c r="D201" s="6"/>
      <c r="E201" s="9"/>
      <c r="F201" s="9"/>
      <c r="G201" s="11"/>
      <c r="H201" s="5"/>
      <c r="I201" s="8"/>
      <c r="J201" s="8"/>
      <c r="Z201" s="6"/>
    </row>
    <row r="202" spans="2:26" ht="12.75" x14ac:dyDescent="0.2">
      <c r="B202" s="6"/>
      <c r="C202" s="6"/>
      <c r="D202" s="6"/>
      <c r="E202" s="9"/>
      <c r="F202" s="9"/>
      <c r="G202" s="11"/>
      <c r="H202" s="5"/>
      <c r="I202" s="8"/>
      <c r="J202" s="8"/>
      <c r="Z202" s="6"/>
    </row>
    <row r="203" spans="2:26" ht="12.75" x14ac:dyDescent="0.2">
      <c r="B203" s="6"/>
      <c r="C203" s="6"/>
      <c r="D203" s="6"/>
      <c r="E203" s="9"/>
      <c r="F203" s="9"/>
      <c r="G203" s="11"/>
      <c r="H203" s="5"/>
      <c r="I203" s="8"/>
      <c r="J203" s="8"/>
      <c r="Z203" s="6"/>
    </row>
    <row r="204" spans="2:26" ht="12.75" x14ac:dyDescent="0.2">
      <c r="B204" s="6"/>
      <c r="C204" s="6"/>
      <c r="D204" s="6"/>
      <c r="E204" s="9"/>
      <c r="F204" s="9"/>
      <c r="G204" s="11"/>
      <c r="H204" s="5"/>
      <c r="I204" s="8"/>
      <c r="J204" s="8"/>
      <c r="Z204" s="6"/>
    </row>
    <row r="205" spans="2:26" ht="12.75" x14ac:dyDescent="0.2">
      <c r="B205" s="6"/>
      <c r="C205" s="6"/>
      <c r="D205" s="6"/>
      <c r="E205" s="9"/>
      <c r="F205" s="9"/>
      <c r="G205" s="11"/>
      <c r="H205" s="5"/>
      <c r="I205" s="8"/>
      <c r="J205" s="8"/>
      <c r="Z205" s="6"/>
    </row>
    <row r="206" spans="2:26" ht="12.75" x14ac:dyDescent="0.2">
      <c r="B206" s="6"/>
      <c r="C206" s="6"/>
      <c r="D206" s="6"/>
      <c r="E206" s="9"/>
      <c r="F206" s="9"/>
      <c r="G206" s="11"/>
      <c r="H206" s="5"/>
      <c r="I206" s="8"/>
      <c r="J206" s="8"/>
      <c r="Z206" s="6"/>
    </row>
    <row r="207" spans="2:26" ht="12.75" x14ac:dyDescent="0.2">
      <c r="B207" s="6"/>
      <c r="C207" s="6"/>
      <c r="D207" s="6"/>
      <c r="E207" s="9"/>
      <c r="F207" s="9"/>
      <c r="G207" s="11"/>
      <c r="H207" s="5"/>
      <c r="I207" s="8"/>
      <c r="J207" s="8"/>
      <c r="Z207" s="6"/>
    </row>
    <row r="208" spans="2:26" ht="12.75" x14ac:dyDescent="0.2">
      <c r="B208" s="6"/>
      <c r="C208" s="6"/>
      <c r="D208" s="6"/>
      <c r="E208" s="9"/>
      <c r="F208" s="9"/>
      <c r="G208" s="11"/>
      <c r="H208" s="5"/>
      <c r="I208" s="8"/>
      <c r="J208" s="8"/>
      <c r="Z208" s="6"/>
    </row>
    <row r="209" spans="2:26" ht="12.75" x14ac:dyDescent="0.2">
      <c r="B209" s="6"/>
      <c r="C209" s="6"/>
      <c r="D209" s="6"/>
      <c r="E209" s="9"/>
      <c r="F209" s="9"/>
      <c r="G209" s="11"/>
      <c r="H209" s="5"/>
      <c r="I209" s="8"/>
      <c r="J209" s="8"/>
      <c r="Z209" s="6"/>
    </row>
    <row r="210" spans="2:26" ht="12.75" x14ac:dyDescent="0.2">
      <c r="B210" s="6"/>
      <c r="C210" s="6"/>
      <c r="D210" s="6"/>
      <c r="E210" s="9"/>
      <c r="F210" s="9"/>
      <c r="G210" s="11"/>
      <c r="H210" s="5"/>
      <c r="I210" s="8"/>
      <c r="J210" s="8"/>
      <c r="Z210" s="6"/>
    </row>
    <row r="211" spans="2:26" ht="12.75" x14ac:dyDescent="0.2">
      <c r="B211" s="6"/>
      <c r="C211" s="6"/>
      <c r="D211" s="6"/>
      <c r="E211" s="9"/>
      <c r="F211" s="9"/>
      <c r="G211" s="11"/>
      <c r="H211" s="5"/>
      <c r="I211" s="8"/>
      <c r="J211" s="8"/>
      <c r="Z211" s="6"/>
    </row>
    <row r="212" spans="2:26" ht="12.75" x14ac:dyDescent="0.2">
      <c r="B212" s="6"/>
      <c r="C212" s="6"/>
      <c r="D212" s="6"/>
      <c r="E212" s="9"/>
      <c r="F212" s="9"/>
      <c r="G212" s="11"/>
      <c r="H212" s="5"/>
      <c r="I212" s="8"/>
      <c r="J212" s="8"/>
      <c r="Z212" s="6"/>
    </row>
    <row r="213" spans="2:26" ht="12.75" x14ac:dyDescent="0.2">
      <c r="B213" s="6"/>
      <c r="C213" s="6"/>
      <c r="D213" s="6"/>
      <c r="E213" s="9"/>
      <c r="F213" s="9"/>
      <c r="G213" s="11"/>
      <c r="H213" s="5"/>
      <c r="I213" s="8"/>
      <c r="J213" s="8"/>
      <c r="Z213" s="6"/>
    </row>
    <row r="214" spans="2:26" ht="12.75" x14ac:dyDescent="0.2">
      <c r="B214" s="6"/>
      <c r="C214" s="6"/>
      <c r="D214" s="6"/>
      <c r="E214" s="9"/>
      <c r="F214" s="9"/>
      <c r="G214" s="11"/>
      <c r="H214" s="5"/>
      <c r="I214" s="8"/>
      <c r="J214" s="8"/>
      <c r="Z214" s="6"/>
    </row>
    <row r="215" spans="2:26" ht="12.75" x14ac:dyDescent="0.2">
      <c r="B215" s="6"/>
      <c r="C215" s="6"/>
      <c r="D215" s="6"/>
      <c r="E215" s="9"/>
      <c r="F215" s="9"/>
      <c r="G215" s="11"/>
      <c r="H215" s="5"/>
      <c r="I215" s="8"/>
      <c r="J215" s="8"/>
      <c r="Z215" s="6"/>
    </row>
    <row r="216" spans="2:26" ht="12.75" x14ac:dyDescent="0.2">
      <c r="B216" s="6"/>
      <c r="C216" s="6"/>
      <c r="D216" s="6"/>
      <c r="E216" s="9"/>
      <c r="F216" s="9"/>
      <c r="G216" s="11"/>
      <c r="H216" s="5"/>
      <c r="I216" s="8"/>
      <c r="J216" s="8"/>
      <c r="Z216" s="6"/>
    </row>
    <row r="217" spans="2:26" ht="12.75" x14ac:dyDescent="0.2">
      <c r="B217" s="6"/>
      <c r="C217" s="6"/>
      <c r="D217" s="6"/>
      <c r="E217" s="9"/>
      <c r="F217" s="9"/>
      <c r="G217" s="11"/>
      <c r="H217" s="5"/>
      <c r="I217" s="8"/>
      <c r="J217" s="8"/>
      <c r="Z217" s="6"/>
    </row>
    <row r="218" spans="2:26" ht="12.75" x14ac:dyDescent="0.2">
      <c r="B218" s="6"/>
      <c r="C218" s="6"/>
      <c r="D218" s="6"/>
      <c r="E218" s="9"/>
      <c r="F218" s="9"/>
      <c r="G218" s="11"/>
      <c r="H218" s="5"/>
      <c r="I218" s="8"/>
      <c r="J218" s="8"/>
      <c r="Z218" s="6"/>
    </row>
    <row r="219" spans="2:26" ht="12.75" x14ac:dyDescent="0.2">
      <c r="B219" s="6"/>
      <c r="C219" s="6"/>
      <c r="D219" s="6"/>
      <c r="E219" s="9"/>
      <c r="F219" s="9"/>
      <c r="G219" s="11"/>
      <c r="H219" s="5"/>
      <c r="I219" s="8"/>
      <c r="J219" s="8"/>
      <c r="Z219" s="6"/>
    </row>
    <row r="220" spans="2:26" ht="12.75" x14ac:dyDescent="0.2">
      <c r="B220" s="6"/>
      <c r="C220" s="6"/>
      <c r="D220" s="6"/>
      <c r="E220" s="9"/>
      <c r="F220" s="9"/>
      <c r="G220" s="11"/>
      <c r="H220" s="5"/>
      <c r="I220" s="8"/>
      <c r="J220" s="8"/>
      <c r="Z220" s="6"/>
    </row>
    <row r="221" spans="2:26" ht="12.75" x14ac:dyDescent="0.2">
      <c r="B221" s="6"/>
      <c r="C221" s="6"/>
      <c r="D221" s="6"/>
      <c r="E221" s="9"/>
      <c r="F221" s="9"/>
      <c r="G221" s="11"/>
      <c r="H221" s="5"/>
      <c r="I221" s="8"/>
      <c r="J221" s="8"/>
      <c r="Z221" s="6"/>
    </row>
    <row r="222" spans="2:26" ht="12.75" x14ac:dyDescent="0.2">
      <c r="B222" s="6"/>
      <c r="C222" s="6"/>
      <c r="D222" s="6"/>
      <c r="E222" s="9"/>
      <c r="F222" s="9"/>
      <c r="G222" s="11"/>
      <c r="H222" s="5"/>
      <c r="I222" s="8"/>
      <c r="J222" s="8"/>
      <c r="Z222" s="6"/>
    </row>
    <row r="223" spans="2:26" ht="12.75" x14ac:dyDescent="0.2">
      <c r="B223" s="6"/>
      <c r="C223" s="6"/>
      <c r="D223" s="6"/>
      <c r="E223" s="9"/>
      <c r="F223" s="9"/>
      <c r="G223" s="11"/>
      <c r="H223" s="5"/>
      <c r="I223" s="8"/>
      <c r="J223" s="8"/>
      <c r="Z223" s="6"/>
    </row>
    <row r="224" spans="2:26" ht="12.75" x14ac:dyDescent="0.2">
      <c r="B224" s="6"/>
      <c r="C224" s="6"/>
      <c r="D224" s="6"/>
      <c r="E224" s="9"/>
      <c r="F224" s="9"/>
      <c r="G224" s="11"/>
      <c r="H224" s="5"/>
      <c r="I224" s="8"/>
      <c r="J224" s="8"/>
      <c r="Z224" s="6"/>
    </row>
    <row r="225" spans="2:26" ht="12.75" x14ac:dyDescent="0.2">
      <c r="B225" s="6"/>
      <c r="C225" s="6"/>
      <c r="D225" s="6"/>
      <c r="E225" s="9"/>
      <c r="F225" s="9"/>
      <c r="G225" s="11"/>
      <c r="H225" s="5"/>
      <c r="I225" s="8"/>
      <c r="J225" s="8"/>
      <c r="Z225" s="6"/>
    </row>
    <row r="226" spans="2:26" ht="12.75" x14ac:dyDescent="0.2">
      <c r="B226" s="6"/>
      <c r="C226" s="6"/>
      <c r="D226" s="6"/>
      <c r="E226" s="9"/>
      <c r="F226" s="9"/>
      <c r="G226" s="11"/>
      <c r="H226" s="5"/>
      <c r="I226" s="8"/>
      <c r="J226" s="8"/>
      <c r="Z226" s="6"/>
    </row>
    <row r="227" spans="2:26" ht="12.75" x14ac:dyDescent="0.2">
      <c r="B227" s="6"/>
      <c r="C227" s="6"/>
      <c r="D227" s="6"/>
      <c r="E227" s="9"/>
      <c r="F227" s="9"/>
      <c r="G227" s="11"/>
      <c r="H227" s="5"/>
      <c r="I227" s="8"/>
      <c r="J227" s="8"/>
      <c r="Z227" s="6"/>
    </row>
    <row r="228" spans="2:26" ht="12.75" x14ac:dyDescent="0.2">
      <c r="B228" s="6"/>
      <c r="C228" s="6"/>
      <c r="D228" s="6"/>
      <c r="E228" s="9"/>
      <c r="F228" s="9"/>
      <c r="G228" s="11"/>
      <c r="H228" s="5"/>
      <c r="I228" s="8"/>
      <c r="J228" s="8"/>
      <c r="Z228" s="6"/>
    </row>
    <row r="229" spans="2:26" ht="12.75" x14ac:dyDescent="0.2">
      <c r="B229" s="6"/>
      <c r="C229" s="6"/>
      <c r="D229" s="6"/>
      <c r="E229" s="9"/>
      <c r="F229" s="9"/>
      <c r="G229" s="11"/>
      <c r="H229" s="5"/>
      <c r="I229" s="8"/>
      <c r="J229" s="8"/>
      <c r="Z229" s="6"/>
    </row>
    <row r="230" spans="2:26" ht="12.75" x14ac:dyDescent="0.2">
      <c r="B230" s="6"/>
      <c r="C230" s="6"/>
      <c r="D230" s="6"/>
      <c r="E230" s="9"/>
      <c r="F230" s="9"/>
      <c r="G230" s="11"/>
      <c r="H230" s="5"/>
      <c r="I230" s="8"/>
      <c r="J230" s="8"/>
      <c r="Z230" s="6"/>
    </row>
    <row r="231" spans="2:26" ht="12.75" x14ac:dyDescent="0.2">
      <c r="B231" s="6"/>
      <c r="C231" s="6"/>
      <c r="D231" s="6"/>
      <c r="E231" s="9"/>
      <c r="F231" s="9"/>
      <c r="G231" s="11"/>
      <c r="H231" s="5"/>
      <c r="I231" s="8"/>
      <c r="J231" s="8"/>
      <c r="Z231" s="6"/>
    </row>
    <row r="232" spans="2:26" ht="12.75" x14ac:dyDescent="0.2">
      <c r="B232" s="6"/>
      <c r="C232" s="6"/>
      <c r="D232" s="6"/>
      <c r="E232" s="9"/>
      <c r="F232" s="9"/>
      <c r="G232" s="11"/>
      <c r="H232" s="5"/>
      <c r="I232" s="8"/>
      <c r="J232" s="8"/>
      <c r="Z232" s="6"/>
    </row>
    <row r="233" spans="2:26" ht="12.75" x14ac:dyDescent="0.2">
      <c r="B233" s="6"/>
      <c r="C233" s="6"/>
      <c r="D233" s="6"/>
      <c r="E233" s="9"/>
      <c r="F233" s="9"/>
      <c r="G233" s="11"/>
      <c r="H233" s="5"/>
      <c r="I233" s="8"/>
      <c r="J233" s="8"/>
      <c r="Z233" s="6"/>
    </row>
    <row r="234" spans="2:26" ht="12.75" x14ac:dyDescent="0.2">
      <c r="B234" s="6"/>
      <c r="C234" s="6"/>
      <c r="D234" s="6"/>
      <c r="E234" s="9"/>
      <c r="F234" s="9"/>
      <c r="G234" s="11"/>
      <c r="H234" s="5"/>
      <c r="I234" s="8"/>
      <c r="J234" s="8"/>
      <c r="Z234" s="6"/>
    </row>
    <row r="235" spans="2:26" ht="12.75" x14ac:dyDescent="0.2">
      <c r="B235" s="6"/>
      <c r="C235" s="6"/>
      <c r="D235" s="6"/>
      <c r="E235" s="9"/>
      <c r="F235" s="9"/>
      <c r="G235" s="11"/>
      <c r="H235" s="5"/>
      <c r="I235" s="8"/>
      <c r="J235" s="8"/>
      <c r="Z235" s="6"/>
    </row>
    <row r="236" spans="2:26" ht="12.75" x14ac:dyDescent="0.2">
      <c r="B236" s="6"/>
      <c r="C236" s="6"/>
      <c r="D236" s="6"/>
      <c r="E236" s="9"/>
      <c r="F236" s="9"/>
      <c r="G236" s="11"/>
      <c r="H236" s="5"/>
      <c r="I236" s="8"/>
      <c r="J236" s="8"/>
      <c r="Z236" s="6"/>
    </row>
    <row r="237" spans="2:26" ht="12.75" x14ac:dyDescent="0.2">
      <c r="B237" s="6"/>
      <c r="C237" s="6"/>
      <c r="D237" s="6"/>
      <c r="E237" s="9"/>
      <c r="F237" s="9"/>
      <c r="G237" s="11"/>
      <c r="H237" s="5"/>
      <c r="I237" s="8"/>
      <c r="J237" s="8"/>
      <c r="Z237" s="6"/>
    </row>
    <row r="238" spans="2:26" ht="12.75" x14ac:dyDescent="0.2">
      <c r="B238" s="6"/>
      <c r="C238" s="6"/>
      <c r="D238" s="6"/>
      <c r="E238" s="9"/>
      <c r="F238" s="9"/>
      <c r="G238" s="11"/>
      <c r="H238" s="5"/>
      <c r="I238" s="8"/>
      <c r="J238" s="8"/>
      <c r="Z238" s="6"/>
    </row>
    <row r="239" spans="2:26" ht="12.75" x14ac:dyDescent="0.2">
      <c r="B239" s="6"/>
      <c r="C239" s="6"/>
      <c r="D239" s="6"/>
      <c r="E239" s="9"/>
      <c r="F239" s="9"/>
      <c r="G239" s="11"/>
      <c r="H239" s="5"/>
      <c r="I239" s="8"/>
      <c r="J239" s="8"/>
      <c r="Z239" s="6"/>
    </row>
    <row r="240" spans="2:26" ht="12.75" x14ac:dyDescent="0.2">
      <c r="B240" s="6"/>
      <c r="C240" s="6"/>
      <c r="D240" s="6"/>
      <c r="E240" s="9"/>
      <c r="F240" s="9"/>
      <c r="G240" s="11"/>
      <c r="H240" s="5"/>
      <c r="I240" s="8"/>
      <c r="J240" s="8"/>
      <c r="Z240" s="6"/>
    </row>
    <row r="241" spans="2:26" ht="12.75" x14ac:dyDescent="0.2">
      <c r="B241" s="6"/>
      <c r="C241" s="6"/>
      <c r="D241" s="6"/>
      <c r="E241" s="9"/>
      <c r="F241" s="9"/>
      <c r="G241" s="11"/>
      <c r="H241" s="5"/>
      <c r="I241" s="8"/>
      <c r="J241" s="8"/>
      <c r="Z241" s="6"/>
    </row>
    <row r="242" spans="2:26" ht="12.75" x14ac:dyDescent="0.2">
      <c r="B242" s="6"/>
      <c r="C242" s="6"/>
      <c r="D242" s="6"/>
      <c r="E242" s="9"/>
      <c r="F242" s="9"/>
      <c r="G242" s="11"/>
      <c r="H242" s="5"/>
      <c r="I242" s="8"/>
      <c r="J242" s="8"/>
      <c r="Z242" s="6"/>
    </row>
    <row r="243" spans="2:26" ht="12.75" x14ac:dyDescent="0.2">
      <c r="B243" s="6"/>
      <c r="C243" s="6"/>
      <c r="D243" s="6"/>
      <c r="E243" s="9"/>
      <c r="F243" s="9"/>
      <c r="G243" s="11"/>
      <c r="H243" s="5"/>
      <c r="I243" s="8"/>
      <c r="J243" s="8"/>
      <c r="Z243" s="6"/>
    </row>
    <row r="244" spans="2:26" ht="12.75" x14ac:dyDescent="0.2">
      <c r="B244" s="6"/>
      <c r="C244" s="6"/>
      <c r="D244" s="6"/>
      <c r="E244" s="9"/>
      <c r="F244" s="9"/>
      <c r="G244" s="11"/>
      <c r="H244" s="5"/>
      <c r="I244" s="8"/>
      <c r="J244" s="8"/>
      <c r="Z244" s="6"/>
    </row>
    <row r="245" spans="2:26" ht="12.75" x14ac:dyDescent="0.2">
      <c r="B245" s="6"/>
      <c r="C245" s="6"/>
      <c r="D245" s="6"/>
      <c r="E245" s="9"/>
      <c r="F245" s="9"/>
      <c r="G245" s="11"/>
      <c r="H245" s="5"/>
      <c r="I245" s="8"/>
      <c r="J245" s="8"/>
      <c r="Z245" s="6"/>
    </row>
    <row r="246" spans="2:26" ht="12.75" x14ac:dyDescent="0.2">
      <c r="B246" s="6"/>
      <c r="C246" s="6"/>
      <c r="D246" s="6"/>
      <c r="E246" s="9"/>
      <c r="F246" s="9"/>
      <c r="G246" s="11"/>
      <c r="H246" s="5"/>
      <c r="I246" s="8"/>
      <c r="J246" s="8"/>
      <c r="Z246" s="6"/>
    </row>
    <row r="247" spans="2:26" ht="12.75" x14ac:dyDescent="0.2">
      <c r="B247" s="6"/>
      <c r="C247" s="6"/>
      <c r="D247" s="6"/>
      <c r="E247" s="9"/>
      <c r="F247" s="9"/>
      <c r="G247" s="11"/>
      <c r="H247" s="5"/>
      <c r="I247" s="8"/>
      <c r="J247" s="8"/>
      <c r="Z247" s="6"/>
    </row>
    <row r="248" spans="2:26" ht="12.75" x14ac:dyDescent="0.2">
      <c r="B248" s="6"/>
      <c r="C248" s="6"/>
      <c r="D248" s="6"/>
      <c r="E248" s="9"/>
      <c r="F248" s="9"/>
      <c r="G248" s="11"/>
      <c r="H248" s="5"/>
      <c r="I248" s="8"/>
      <c r="J248" s="8"/>
      <c r="Z248" s="6"/>
    </row>
    <row r="249" spans="2:26" ht="12.75" x14ac:dyDescent="0.2">
      <c r="B249" s="6"/>
      <c r="C249" s="6"/>
      <c r="D249" s="6"/>
      <c r="E249" s="9"/>
      <c r="F249" s="9"/>
      <c r="G249" s="11"/>
      <c r="H249" s="5"/>
      <c r="I249" s="8"/>
      <c r="J249" s="8"/>
      <c r="Z249" s="6"/>
    </row>
    <row r="250" spans="2:26" ht="12.75" x14ac:dyDescent="0.2">
      <c r="B250" s="6"/>
      <c r="C250" s="6"/>
      <c r="D250" s="6"/>
      <c r="E250" s="9"/>
      <c r="F250" s="9"/>
      <c r="G250" s="11"/>
      <c r="H250" s="5"/>
      <c r="I250" s="8"/>
      <c r="J250" s="8"/>
      <c r="Z250" s="6"/>
    </row>
    <row r="251" spans="2:26" ht="12.75" x14ac:dyDescent="0.2">
      <c r="B251" s="6"/>
      <c r="C251" s="6"/>
      <c r="D251" s="6"/>
      <c r="E251" s="9"/>
      <c r="F251" s="9"/>
      <c r="G251" s="11"/>
      <c r="H251" s="5"/>
      <c r="I251" s="8"/>
      <c r="J251" s="8"/>
      <c r="Z251" s="6"/>
    </row>
    <row r="252" spans="2:26" ht="12.75" x14ac:dyDescent="0.2">
      <c r="B252" s="6"/>
      <c r="C252" s="6"/>
      <c r="D252" s="6"/>
      <c r="E252" s="9"/>
      <c r="F252" s="9"/>
      <c r="G252" s="11"/>
      <c r="H252" s="5"/>
      <c r="I252" s="8"/>
      <c r="J252" s="8"/>
      <c r="Z252" s="6"/>
    </row>
    <row r="253" spans="2:26" ht="12.75" x14ac:dyDescent="0.2">
      <c r="B253" s="6"/>
      <c r="C253" s="6"/>
      <c r="D253" s="6"/>
      <c r="E253" s="9"/>
      <c r="F253" s="9"/>
      <c r="G253" s="11"/>
      <c r="H253" s="5"/>
      <c r="I253" s="8"/>
      <c r="J253" s="8"/>
      <c r="Z253" s="6"/>
    </row>
    <row r="254" spans="2:26" ht="12.75" x14ac:dyDescent="0.2">
      <c r="B254" s="6"/>
      <c r="C254" s="6"/>
      <c r="D254" s="6"/>
      <c r="E254" s="9"/>
      <c r="F254" s="9"/>
      <c r="G254" s="11"/>
      <c r="H254" s="5"/>
      <c r="I254" s="8"/>
      <c r="J254" s="8"/>
      <c r="Z254" s="6"/>
    </row>
    <row r="255" spans="2:26" ht="12.75" x14ac:dyDescent="0.2">
      <c r="B255" s="6"/>
      <c r="C255" s="6"/>
      <c r="D255" s="6"/>
      <c r="E255" s="9"/>
      <c r="F255" s="9"/>
      <c r="G255" s="11"/>
      <c r="H255" s="5"/>
      <c r="I255" s="8"/>
      <c r="J255" s="8"/>
      <c r="Z255" s="6"/>
    </row>
    <row r="256" spans="2:26" ht="12.75" x14ac:dyDescent="0.2">
      <c r="B256" s="6"/>
      <c r="C256" s="6"/>
      <c r="D256" s="6"/>
      <c r="E256" s="9"/>
      <c r="F256" s="9"/>
      <c r="G256" s="11"/>
      <c r="H256" s="5"/>
      <c r="I256" s="8"/>
      <c r="J256" s="8"/>
      <c r="Z256" s="6"/>
    </row>
    <row r="257" spans="2:26" ht="12.75" x14ac:dyDescent="0.2">
      <c r="B257" s="6"/>
      <c r="C257" s="6"/>
      <c r="D257" s="6"/>
      <c r="E257" s="9"/>
      <c r="F257" s="9"/>
      <c r="G257" s="11"/>
      <c r="H257" s="5"/>
      <c r="I257" s="8"/>
      <c r="J257" s="8"/>
      <c r="Z257" s="6"/>
    </row>
    <row r="258" spans="2:26" ht="12.75" x14ac:dyDescent="0.2">
      <c r="B258" s="6"/>
      <c r="C258" s="6"/>
      <c r="D258" s="6"/>
      <c r="E258" s="9"/>
      <c r="F258" s="9"/>
      <c r="G258" s="11"/>
      <c r="H258" s="5"/>
      <c r="I258" s="8"/>
      <c r="J258" s="8"/>
      <c r="Z258" s="6"/>
    </row>
    <row r="259" spans="2:26" ht="12.75" x14ac:dyDescent="0.2">
      <c r="B259" s="6"/>
      <c r="C259" s="6"/>
      <c r="D259" s="6"/>
      <c r="E259" s="9"/>
      <c r="F259" s="9"/>
      <c r="G259" s="11"/>
      <c r="H259" s="5"/>
      <c r="I259" s="8"/>
      <c r="J259" s="8"/>
      <c r="Z259" s="6"/>
    </row>
    <row r="260" spans="2:26" ht="12.75" x14ac:dyDescent="0.2">
      <c r="B260" s="6"/>
      <c r="C260" s="6"/>
      <c r="D260" s="6"/>
      <c r="E260" s="9"/>
      <c r="F260" s="9"/>
      <c r="G260" s="11"/>
      <c r="H260" s="5"/>
      <c r="I260" s="8"/>
      <c r="J260" s="8"/>
      <c r="Z260" s="6"/>
    </row>
    <row r="261" spans="2:26" ht="12.75" x14ac:dyDescent="0.2">
      <c r="B261" s="6"/>
      <c r="C261" s="6"/>
      <c r="D261" s="6"/>
      <c r="E261" s="9"/>
      <c r="F261" s="9"/>
      <c r="G261" s="11"/>
      <c r="H261" s="5"/>
      <c r="I261" s="8"/>
      <c r="J261" s="8"/>
      <c r="Z261" s="6"/>
    </row>
    <row r="262" spans="2:26" ht="12.75" x14ac:dyDescent="0.2">
      <c r="B262" s="6"/>
      <c r="C262" s="6"/>
      <c r="D262" s="6"/>
      <c r="E262" s="9"/>
      <c r="F262" s="9"/>
      <c r="G262" s="11"/>
      <c r="H262" s="5"/>
      <c r="I262" s="8"/>
      <c r="J262" s="8"/>
      <c r="Z262" s="6"/>
    </row>
    <row r="263" spans="2:26" ht="12.75" x14ac:dyDescent="0.2">
      <c r="B263" s="6"/>
      <c r="C263" s="6"/>
      <c r="D263" s="6"/>
      <c r="E263" s="9"/>
      <c r="F263" s="9"/>
      <c r="G263" s="11"/>
      <c r="H263" s="5"/>
      <c r="I263" s="8"/>
      <c r="J263" s="8"/>
      <c r="Z263" s="6"/>
    </row>
    <row r="264" spans="2:26" ht="12.75" x14ac:dyDescent="0.2">
      <c r="B264" s="6"/>
      <c r="C264" s="6"/>
      <c r="D264" s="6"/>
      <c r="E264" s="9"/>
      <c r="F264" s="9"/>
      <c r="G264" s="11"/>
      <c r="H264" s="5"/>
      <c r="I264" s="8"/>
      <c r="J264" s="8"/>
      <c r="Z264" s="6"/>
    </row>
    <row r="265" spans="2:26" ht="12.75" x14ac:dyDescent="0.2">
      <c r="B265" s="6"/>
      <c r="C265" s="6"/>
      <c r="D265" s="6"/>
      <c r="E265" s="9"/>
      <c r="F265" s="9"/>
      <c r="G265" s="11"/>
      <c r="H265" s="5"/>
      <c r="I265" s="8"/>
      <c r="J265" s="8"/>
      <c r="Z265" s="6"/>
    </row>
    <row r="266" spans="2:26" ht="12.75" x14ac:dyDescent="0.2">
      <c r="B266" s="6"/>
      <c r="C266" s="6"/>
      <c r="D266" s="6"/>
      <c r="E266" s="9"/>
      <c r="F266" s="9"/>
      <c r="G266" s="11"/>
      <c r="H266" s="5"/>
      <c r="I266" s="8"/>
      <c r="J266" s="8"/>
      <c r="Z266" s="6"/>
    </row>
    <row r="267" spans="2:26" ht="12.75" x14ac:dyDescent="0.2">
      <c r="B267" s="6"/>
      <c r="C267" s="6"/>
      <c r="D267" s="6"/>
      <c r="E267" s="9"/>
      <c r="F267" s="9"/>
      <c r="G267" s="11"/>
      <c r="H267" s="5"/>
      <c r="I267" s="8"/>
      <c r="J267" s="8"/>
      <c r="Z267" s="6"/>
    </row>
    <row r="268" spans="2:26" ht="12.75" x14ac:dyDescent="0.2">
      <c r="B268" s="6"/>
      <c r="C268" s="6"/>
      <c r="D268" s="6"/>
      <c r="E268" s="9"/>
      <c r="F268" s="9"/>
      <c r="G268" s="11"/>
      <c r="H268" s="5"/>
      <c r="I268" s="8"/>
      <c r="J268" s="8"/>
      <c r="Z268" s="6"/>
    </row>
    <row r="269" spans="2:26" ht="12.75" x14ac:dyDescent="0.2">
      <c r="B269" s="6"/>
      <c r="C269" s="6"/>
      <c r="D269" s="6"/>
      <c r="E269" s="9"/>
      <c r="F269" s="9"/>
      <c r="G269" s="11"/>
      <c r="H269" s="5"/>
      <c r="I269" s="8"/>
      <c r="J269" s="8"/>
      <c r="Z269" s="6"/>
    </row>
    <row r="270" spans="2:26" ht="12.75" x14ac:dyDescent="0.2">
      <c r="B270" s="6"/>
      <c r="C270" s="6"/>
      <c r="D270" s="6"/>
      <c r="E270" s="9"/>
      <c r="F270" s="9"/>
      <c r="G270" s="11"/>
      <c r="H270" s="5"/>
      <c r="I270" s="8"/>
      <c r="J270" s="8"/>
      <c r="Z270" s="6"/>
    </row>
    <row r="271" spans="2:26" ht="12.75" x14ac:dyDescent="0.2">
      <c r="B271" s="6"/>
      <c r="C271" s="6"/>
      <c r="D271" s="6"/>
      <c r="E271" s="9"/>
      <c r="F271" s="9"/>
      <c r="G271" s="11"/>
      <c r="H271" s="5"/>
      <c r="I271" s="8"/>
      <c r="J271" s="8"/>
      <c r="Z271" s="6"/>
    </row>
    <row r="272" spans="2:26" ht="12.75" x14ac:dyDescent="0.2">
      <c r="B272" s="6"/>
      <c r="C272" s="6"/>
      <c r="D272" s="6"/>
      <c r="E272" s="9"/>
      <c r="F272" s="9"/>
      <c r="G272" s="11"/>
      <c r="H272" s="5"/>
      <c r="I272" s="8"/>
      <c r="J272" s="8"/>
      <c r="Z272" s="6"/>
    </row>
    <row r="273" spans="2:26" ht="12.75" x14ac:dyDescent="0.2">
      <c r="B273" s="6"/>
      <c r="C273" s="6"/>
      <c r="D273" s="6"/>
      <c r="E273" s="9"/>
      <c r="F273" s="9"/>
      <c r="G273" s="11"/>
      <c r="H273" s="5"/>
      <c r="I273" s="8"/>
      <c r="J273" s="8"/>
      <c r="Z273" s="6"/>
    </row>
    <row r="274" spans="2:26" ht="12.75" x14ac:dyDescent="0.2">
      <c r="B274" s="6"/>
      <c r="C274" s="6"/>
      <c r="D274" s="6"/>
      <c r="E274" s="9"/>
      <c r="F274" s="9"/>
      <c r="G274" s="11"/>
      <c r="H274" s="5"/>
      <c r="I274" s="8"/>
      <c r="J274" s="8"/>
      <c r="Z274" s="6"/>
    </row>
    <row r="275" spans="2:26" ht="12.75" x14ac:dyDescent="0.2">
      <c r="B275" s="6"/>
      <c r="C275" s="6"/>
      <c r="D275" s="6"/>
      <c r="E275" s="9"/>
      <c r="F275" s="9"/>
      <c r="G275" s="11"/>
      <c r="H275" s="5"/>
      <c r="I275" s="8"/>
      <c r="J275" s="8"/>
      <c r="Z275" s="6"/>
    </row>
    <row r="276" spans="2:26" ht="12.75" x14ac:dyDescent="0.2">
      <c r="B276" s="6"/>
      <c r="C276" s="6"/>
      <c r="D276" s="6"/>
      <c r="E276" s="9"/>
      <c r="F276" s="9"/>
      <c r="G276" s="11"/>
      <c r="H276" s="5"/>
      <c r="I276" s="8"/>
      <c r="J276" s="8"/>
      <c r="Z276" s="6"/>
    </row>
    <row r="277" spans="2:26" ht="12.75" x14ac:dyDescent="0.2">
      <c r="B277" s="6"/>
      <c r="C277" s="6"/>
      <c r="D277" s="6"/>
      <c r="E277" s="9"/>
      <c r="F277" s="9"/>
      <c r="G277" s="11"/>
      <c r="H277" s="5"/>
      <c r="I277" s="8"/>
      <c r="J277" s="8"/>
      <c r="Z277" s="6"/>
    </row>
    <row r="278" spans="2:26" ht="12.75" x14ac:dyDescent="0.2">
      <c r="B278" s="6"/>
      <c r="C278" s="6"/>
      <c r="D278" s="6"/>
      <c r="E278" s="9"/>
      <c r="F278" s="9"/>
      <c r="G278" s="11"/>
      <c r="H278" s="5"/>
      <c r="I278" s="8"/>
      <c r="J278" s="8"/>
      <c r="Z278" s="6"/>
    </row>
    <row r="279" spans="2:26" ht="12.75" x14ac:dyDescent="0.2">
      <c r="B279" s="6"/>
      <c r="C279" s="6"/>
      <c r="D279" s="6"/>
      <c r="E279" s="9"/>
      <c r="F279" s="9"/>
      <c r="G279" s="11"/>
      <c r="H279" s="5"/>
      <c r="I279" s="8"/>
      <c r="J279" s="8"/>
      <c r="Z279" s="6"/>
    </row>
    <row r="280" spans="2:26" ht="12.75" x14ac:dyDescent="0.2">
      <c r="B280" s="6"/>
      <c r="C280" s="6"/>
      <c r="D280" s="6"/>
      <c r="E280" s="9"/>
      <c r="F280" s="9"/>
      <c r="G280" s="11"/>
      <c r="H280" s="5"/>
      <c r="I280" s="8"/>
      <c r="J280" s="8"/>
      <c r="Z280" s="6"/>
    </row>
    <row r="281" spans="2:26" ht="12.75" x14ac:dyDescent="0.2">
      <c r="B281" s="6"/>
      <c r="C281" s="6"/>
      <c r="D281" s="6"/>
      <c r="E281" s="9"/>
      <c r="F281" s="9"/>
      <c r="G281" s="11"/>
      <c r="H281" s="5"/>
      <c r="I281" s="8"/>
      <c r="J281" s="8"/>
      <c r="Z281" s="6"/>
    </row>
    <row r="282" spans="2:26" ht="12.75" x14ac:dyDescent="0.2">
      <c r="B282" s="6"/>
      <c r="C282" s="6"/>
      <c r="D282" s="6"/>
      <c r="E282" s="9"/>
      <c r="F282" s="9"/>
      <c r="G282" s="11"/>
      <c r="H282" s="5"/>
      <c r="I282" s="8"/>
      <c r="J282" s="8"/>
      <c r="Z282" s="6"/>
    </row>
    <row r="283" spans="2:26" ht="12.75" x14ac:dyDescent="0.2">
      <c r="B283" s="6"/>
      <c r="C283" s="6"/>
      <c r="D283" s="6"/>
      <c r="E283" s="9"/>
      <c r="F283" s="9"/>
      <c r="G283" s="11"/>
      <c r="H283" s="5"/>
      <c r="I283" s="8"/>
      <c r="J283" s="8"/>
      <c r="Z283" s="6"/>
    </row>
    <row r="284" spans="2:26" ht="12.75" x14ac:dyDescent="0.2">
      <c r="B284" s="6"/>
      <c r="C284" s="6"/>
      <c r="D284" s="6"/>
      <c r="E284" s="9"/>
      <c r="F284" s="9"/>
      <c r="G284" s="11"/>
      <c r="H284" s="5"/>
      <c r="I284" s="8"/>
      <c r="J284" s="8"/>
      <c r="Z284" s="6"/>
    </row>
    <row r="285" spans="2:26" ht="12.75" x14ac:dyDescent="0.2">
      <c r="B285" s="6"/>
      <c r="C285" s="6"/>
      <c r="D285" s="6"/>
      <c r="E285" s="9"/>
      <c r="F285" s="9"/>
      <c r="G285" s="11"/>
      <c r="H285" s="5"/>
      <c r="I285" s="8"/>
      <c r="J285" s="8"/>
      <c r="Z285" s="6"/>
    </row>
    <row r="286" spans="2:26" ht="12.75" x14ac:dyDescent="0.2">
      <c r="B286" s="6"/>
      <c r="C286" s="6"/>
      <c r="D286" s="6"/>
      <c r="E286" s="9"/>
      <c r="F286" s="9"/>
      <c r="G286" s="11"/>
      <c r="H286" s="5"/>
      <c r="I286" s="8"/>
      <c r="J286" s="8"/>
      <c r="Z286" s="6"/>
    </row>
    <row r="287" spans="2:26" ht="12.75" x14ac:dyDescent="0.2">
      <c r="B287" s="6"/>
      <c r="C287" s="6"/>
      <c r="D287" s="6"/>
      <c r="E287" s="9"/>
      <c r="F287" s="9"/>
      <c r="G287" s="11"/>
      <c r="H287" s="5"/>
      <c r="I287" s="8"/>
      <c r="J287" s="8"/>
      <c r="Z287" s="6"/>
    </row>
    <row r="288" spans="2:26" ht="12.75" x14ac:dyDescent="0.2">
      <c r="B288" s="6"/>
      <c r="C288" s="6"/>
      <c r="D288" s="6"/>
      <c r="E288" s="9"/>
      <c r="F288" s="9"/>
      <c r="G288" s="11"/>
      <c r="H288" s="5"/>
      <c r="I288" s="8"/>
      <c r="J288" s="8"/>
      <c r="Z288" s="6"/>
    </row>
    <row r="289" spans="2:26" ht="12.75" x14ac:dyDescent="0.2">
      <c r="B289" s="6"/>
      <c r="C289" s="6"/>
      <c r="D289" s="6"/>
      <c r="E289" s="9"/>
      <c r="F289" s="9"/>
      <c r="G289" s="11"/>
      <c r="H289" s="5"/>
      <c r="I289" s="8"/>
      <c r="J289" s="8"/>
      <c r="Z289" s="6"/>
    </row>
    <row r="290" spans="2:26" ht="12.75" x14ac:dyDescent="0.2">
      <c r="B290" s="6"/>
      <c r="C290" s="6"/>
      <c r="D290" s="6"/>
      <c r="E290" s="9"/>
      <c r="F290" s="9"/>
      <c r="G290" s="11"/>
      <c r="H290" s="5"/>
      <c r="I290" s="8"/>
      <c r="J290" s="8"/>
      <c r="Z290" s="6"/>
    </row>
    <row r="291" spans="2:26" ht="12.75" x14ac:dyDescent="0.2">
      <c r="B291" s="6"/>
      <c r="C291" s="6"/>
      <c r="D291" s="6"/>
      <c r="E291" s="9"/>
      <c r="F291" s="9"/>
      <c r="G291" s="11"/>
      <c r="H291" s="5"/>
      <c r="I291" s="8"/>
      <c r="J291" s="8"/>
      <c r="Z291" s="6"/>
    </row>
    <row r="292" spans="2:26" ht="12.75" x14ac:dyDescent="0.2">
      <c r="B292" s="6"/>
      <c r="C292" s="6"/>
      <c r="D292" s="6"/>
      <c r="E292" s="9"/>
      <c r="F292" s="9"/>
      <c r="G292" s="11"/>
      <c r="H292" s="5"/>
      <c r="I292" s="8"/>
      <c r="J292" s="8"/>
      <c r="Z292" s="6"/>
    </row>
    <row r="293" spans="2:26" ht="12.75" x14ac:dyDescent="0.2">
      <c r="B293" s="6"/>
      <c r="C293" s="6"/>
      <c r="D293" s="6"/>
      <c r="E293" s="9"/>
      <c r="F293" s="9"/>
      <c r="G293" s="11"/>
      <c r="H293" s="5"/>
      <c r="I293" s="8"/>
      <c r="J293" s="8"/>
      <c r="Z293" s="6"/>
    </row>
    <row r="294" spans="2:26" ht="12.75" x14ac:dyDescent="0.2">
      <c r="B294" s="6"/>
      <c r="C294" s="6"/>
      <c r="D294" s="6"/>
      <c r="E294" s="9"/>
      <c r="F294" s="9"/>
      <c r="G294" s="11"/>
      <c r="H294" s="5"/>
      <c r="I294" s="8"/>
      <c r="J294" s="8"/>
      <c r="Z294" s="6"/>
    </row>
    <row r="295" spans="2:26" ht="12.75" x14ac:dyDescent="0.2">
      <c r="B295" s="6"/>
      <c r="C295" s="6"/>
      <c r="D295" s="6"/>
      <c r="E295" s="9"/>
      <c r="F295" s="9"/>
      <c r="G295" s="11"/>
      <c r="H295" s="5"/>
      <c r="I295" s="8"/>
      <c r="J295" s="8"/>
      <c r="Z295" s="6"/>
    </row>
    <row r="296" spans="2:26" ht="12.75" x14ac:dyDescent="0.2">
      <c r="B296" s="6"/>
      <c r="C296" s="6"/>
      <c r="D296" s="6"/>
      <c r="E296" s="9"/>
      <c r="F296" s="9"/>
      <c r="G296" s="11"/>
      <c r="H296" s="5"/>
      <c r="I296" s="8"/>
      <c r="J296" s="8"/>
      <c r="Z296" s="6"/>
    </row>
    <row r="297" spans="2:26" ht="12.75" x14ac:dyDescent="0.2">
      <c r="B297" s="6"/>
      <c r="C297" s="6"/>
      <c r="D297" s="6"/>
      <c r="E297" s="9"/>
      <c r="F297" s="9"/>
      <c r="G297" s="11"/>
      <c r="H297" s="5"/>
      <c r="I297" s="8"/>
      <c r="J297" s="8"/>
      <c r="Z297" s="6"/>
    </row>
    <row r="298" spans="2:26" ht="12.75" x14ac:dyDescent="0.2">
      <c r="B298" s="6"/>
      <c r="C298" s="6"/>
      <c r="D298" s="6"/>
      <c r="E298" s="9"/>
      <c r="F298" s="9"/>
      <c r="G298" s="11"/>
      <c r="H298" s="5"/>
      <c r="I298" s="8"/>
      <c r="J298" s="8"/>
      <c r="Z298" s="6"/>
    </row>
    <row r="299" spans="2:26" ht="12.75" x14ac:dyDescent="0.2">
      <c r="B299" s="6"/>
      <c r="C299" s="6"/>
      <c r="D299" s="6"/>
      <c r="E299" s="9"/>
      <c r="F299" s="9"/>
      <c r="G299" s="11"/>
      <c r="H299" s="5"/>
      <c r="I299" s="8"/>
      <c r="J299" s="8"/>
      <c r="Z299" s="6"/>
    </row>
    <row r="300" spans="2:26" ht="12.75" x14ac:dyDescent="0.2">
      <c r="B300" s="6"/>
      <c r="C300" s="6"/>
      <c r="D300" s="6"/>
      <c r="E300" s="9"/>
      <c r="F300" s="9"/>
      <c r="G300" s="11"/>
      <c r="H300" s="5"/>
      <c r="I300" s="8"/>
      <c r="J300" s="8"/>
      <c r="Z300" s="6"/>
    </row>
    <row r="301" spans="2:26" ht="12.75" x14ac:dyDescent="0.2">
      <c r="B301" s="6"/>
      <c r="C301" s="6"/>
      <c r="D301" s="6"/>
      <c r="E301" s="9"/>
      <c r="F301" s="9"/>
      <c r="G301" s="11"/>
      <c r="H301" s="5"/>
      <c r="I301" s="8"/>
      <c r="J301" s="8"/>
      <c r="Z301" s="6"/>
    </row>
    <row r="302" spans="2:26" ht="12.75" x14ac:dyDescent="0.2">
      <c r="B302" s="6"/>
      <c r="C302" s="6"/>
      <c r="D302" s="6"/>
      <c r="E302" s="9"/>
      <c r="F302" s="9"/>
      <c r="G302" s="11"/>
      <c r="H302" s="5"/>
      <c r="I302" s="8"/>
      <c r="J302" s="8"/>
      <c r="Z302" s="6"/>
    </row>
    <row r="303" spans="2:26" ht="12.75" x14ac:dyDescent="0.2">
      <c r="B303" s="6"/>
      <c r="C303" s="6"/>
      <c r="D303" s="6"/>
      <c r="E303" s="9"/>
      <c r="F303" s="9"/>
      <c r="G303" s="11"/>
      <c r="H303" s="5"/>
      <c r="I303" s="8"/>
      <c r="J303" s="8"/>
      <c r="Z303" s="6"/>
    </row>
    <row r="304" spans="2:26" ht="12.75" x14ac:dyDescent="0.2">
      <c r="B304" s="6"/>
      <c r="C304" s="6"/>
      <c r="D304" s="6"/>
      <c r="E304" s="9"/>
      <c r="F304" s="9"/>
      <c r="G304" s="11"/>
      <c r="H304" s="5"/>
      <c r="I304" s="8"/>
      <c r="J304" s="8"/>
      <c r="Z304" s="6"/>
    </row>
    <row r="305" spans="2:26" ht="12.75" x14ac:dyDescent="0.2">
      <c r="B305" s="6"/>
      <c r="C305" s="6"/>
      <c r="D305" s="6"/>
      <c r="E305" s="9"/>
      <c r="F305" s="9"/>
      <c r="G305" s="11"/>
      <c r="H305" s="5"/>
      <c r="I305" s="8"/>
      <c r="J305" s="8"/>
      <c r="Z305" s="6"/>
    </row>
    <row r="306" spans="2:26" ht="12.75" x14ac:dyDescent="0.2">
      <c r="B306" s="6"/>
      <c r="C306" s="6"/>
      <c r="D306" s="6"/>
      <c r="E306" s="9"/>
      <c r="F306" s="9"/>
      <c r="G306" s="11"/>
      <c r="H306" s="5"/>
      <c r="I306" s="8"/>
      <c r="J306" s="8"/>
      <c r="Z306" s="6"/>
    </row>
    <row r="307" spans="2:26" ht="12.75" x14ac:dyDescent="0.2">
      <c r="B307" s="6"/>
      <c r="C307" s="6"/>
      <c r="D307" s="6"/>
      <c r="E307" s="9"/>
      <c r="F307" s="9"/>
      <c r="G307" s="11"/>
      <c r="H307" s="5"/>
      <c r="I307" s="8"/>
      <c r="J307" s="8"/>
      <c r="Z307" s="6"/>
    </row>
    <row r="308" spans="2:26" ht="12.75" x14ac:dyDescent="0.2">
      <c r="B308" s="6"/>
      <c r="C308" s="6"/>
      <c r="D308" s="6"/>
      <c r="E308" s="9"/>
      <c r="F308" s="9"/>
      <c r="G308" s="11"/>
      <c r="H308" s="5"/>
      <c r="I308" s="8"/>
      <c r="J308" s="8"/>
      <c r="Z308" s="6"/>
    </row>
    <row r="309" spans="2:26" ht="12.75" x14ac:dyDescent="0.2">
      <c r="B309" s="6"/>
      <c r="C309" s="6"/>
      <c r="D309" s="6"/>
      <c r="E309" s="9"/>
      <c r="F309" s="9"/>
      <c r="G309" s="11"/>
      <c r="H309" s="5"/>
      <c r="I309" s="8"/>
      <c r="J309" s="8"/>
      <c r="Z309" s="6"/>
    </row>
    <row r="310" spans="2:26" ht="12.75" x14ac:dyDescent="0.2">
      <c r="B310" s="6"/>
      <c r="C310" s="6"/>
      <c r="D310" s="6"/>
      <c r="E310" s="9"/>
      <c r="F310" s="9"/>
      <c r="G310" s="11"/>
      <c r="H310" s="5"/>
      <c r="I310" s="8"/>
      <c r="J310" s="8"/>
      <c r="Z310" s="6"/>
    </row>
    <row r="311" spans="2:26" ht="12.75" x14ac:dyDescent="0.2">
      <c r="B311" s="6"/>
      <c r="C311" s="6"/>
      <c r="D311" s="6"/>
      <c r="E311" s="9"/>
      <c r="F311" s="9"/>
      <c r="G311" s="11"/>
      <c r="H311" s="5"/>
      <c r="I311" s="8"/>
      <c r="J311" s="8"/>
      <c r="Z311" s="6"/>
    </row>
    <row r="312" spans="2:26" ht="12.75" x14ac:dyDescent="0.2">
      <c r="B312" s="6"/>
      <c r="C312" s="6"/>
      <c r="D312" s="6"/>
      <c r="E312" s="9"/>
      <c r="F312" s="9"/>
      <c r="G312" s="11"/>
      <c r="H312" s="5"/>
      <c r="I312" s="8"/>
      <c r="J312" s="8"/>
      <c r="Z312" s="6"/>
    </row>
    <row r="313" spans="2:26" ht="12.75" x14ac:dyDescent="0.2">
      <c r="B313" s="6"/>
      <c r="C313" s="6"/>
      <c r="D313" s="6"/>
      <c r="E313" s="9"/>
      <c r="F313" s="9"/>
      <c r="G313" s="11"/>
      <c r="H313" s="5"/>
      <c r="I313" s="8"/>
      <c r="J313" s="8"/>
      <c r="Z313" s="6"/>
    </row>
    <row r="314" spans="2:26" ht="12.75" x14ac:dyDescent="0.2">
      <c r="B314" s="6"/>
      <c r="C314" s="6"/>
      <c r="D314" s="6"/>
      <c r="E314" s="9"/>
      <c r="F314" s="9"/>
      <c r="G314" s="11"/>
      <c r="H314" s="5"/>
      <c r="I314" s="8"/>
      <c r="J314" s="8"/>
      <c r="Z314" s="6"/>
    </row>
    <row r="315" spans="2:26" ht="12.75" x14ac:dyDescent="0.2">
      <c r="B315" s="6"/>
      <c r="C315" s="6"/>
      <c r="D315" s="6"/>
      <c r="E315" s="9"/>
      <c r="F315" s="9"/>
      <c r="G315" s="11"/>
      <c r="H315" s="5"/>
      <c r="I315" s="8"/>
      <c r="J315" s="8"/>
      <c r="Z315" s="6"/>
    </row>
    <row r="316" spans="2:26" ht="12.75" x14ac:dyDescent="0.2">
      <c r="B316" s="6"/>
      <c r="C316" s="6"/>
      <c r="D316" s="6"/>
      <c r="E316" s="9"/>
      <c r="F316" s="9"/>
      <c r="G316" s="11"/>
      <c r="H316" s="5"/>
      <c r="I316" s="8"/>
      <c r="J316" s="8"/>
      <c r="Z316" s="6"/>
    </row>
    <row r="317" spans="2:26" ht="12.75" x14ac:dyDescent="0.2">
      <c r="B317" s="6"/>
      <c r="C317" s="6"/>
      <c r="D317" s="6"/>
      <c r="E317" s="9"/>
      <c r="F317" s="9"/>
      <c r="G317" s="11"/>
      <c r="H317" s="5"/>
      <c r="I317" s="8"/>
      <c r="J317" s="8"/>
      <c r="Z317" s="6"/>
    </row>
    <row r="318" spans="2:26" ht="12.75" x14ac:dyDescent="0.2">
      <c r="B318" s="6"/>
      <c r="C318" s="6"/>
      <c r="D318" s="6"/>
      <c r="E318" s="9"/>
      <c r="F318" s="9"/>
      <c r="G318" s="11"/>
      <c r="H318" s="5"/>
      <c r="I318" s="8"/>
      <c r="J318" s="8"/>
      <c r="Z318" s="6"/>
    </row>
    <row r="319" spans="2:26" ht="12.75" x14ac:dyDescent="0.2">
      <c r="B319" s="6"/>
      <c r="C319" s="6"/>
      <c r="D319" s="6"/>
      <c r="E319" s="9"/>
      <c r="F319" s="9"/>
      <c r="G319" s="11"/>
      <c r="H319" s="5"/>
      <c r="I319" s="8"/>
      <c r="J319" s="8"/>
      <c r="Z319" s="6"/>
    </row>
    <row r="320" spans="2:26" ht="12.75" x14ac:dyDescent="0.2">
      <c r="B320" s="6"/>
      <c r="C320" s="6"/>
      <c r="D320" s="6"/>
      <c r="E320" s="9"/>
      <c r="F320" s="9"/>
      <c r="G320" s="11"/>
      <c r="H320" s="5"/>
      <c r="I320" s="8"/>
      <c r="J320" s="8"/>
      <c r="Z320" s="6"/>
    </row>
    <row r="321" spans="2:26" ht="12.75" x14ac:dyDescent="0.2">
      <c r="B321" s="6"/>
      <c r="C321" s="6"/>
      <c r="D321" s="6"/>
      <c r="E321" s="9"/>
      <c r="F321" s="9"/>
      <c r="G321" s="11"/>
      <c r="H321" s="5"/>
      <c r="I321" s="8"/>
      <c r="J321" s="8"/>
      <c r="Z321" s="6"/>
    </row>
    <row r="322" spans="2:26" ht="12.75" x14ac:dyDescent="0.2">
      <c r="B322" s="6"/>
      <c r="C322" s="6"/>
      <c r="D322" s="6"/>
      <c r="E322" s="9"/>
      <c r="F322" s="9"/>
      <c r="G322" s="11"/>
      <c r="H322" s="5"/>
      <c r="I322" s="8"/>
      <c r="J322" s="8"/>
      <c r="Z322" s="6"/>
    </row>
    <row r="323" spans="2:26" ht="12.75" x14ac:dyDescent="0.2">
      <c r="B323" s="6"/>
      <c r="C323" s="6"/>
      <c r="D323" s="6"/>
      <c r="E323" s="9"/>
      <c r="F323" s="9"/>
      <c r="G323" s="11"/>
      <c r="H323" s="5"/>
      <c r="I323" s="8"/>
      <c r="J323" s="8"/>
      <c r="Z323" s="6"/>
    </row>
    <row r="324" spans="2:26" ht="12.75" x14ac:dyDescent="0.2">
      <c r="B324" s="6"/>
      <c r="C324" s="6"/>
      <c r="D324" s="6"/>
      <c r="E324" s="9"/>
      <c r="F324" s="9"/>
      <c r="G324" s="11"/>
      <c r="H324" s="5"/>
      <c r="I324" s="8"/>
      <c r="J324" s="8"/>
      <c r="Z324" s="6"/>
    </row>
    <row r="325" spans="2:26" ht="12.75" x14ac:dyDescent="0.2">
      <c r="B325" s="6"/>
      <c r="C325" s="6"/>
      <c r="D325" s="6"/>
      <c r="E325" s="9"/>
      <c r="F325" s="9"/>
      <c r="G325" s="11"/>
      <c r="H325" s="5"/>
      <c r="I325" s="8"/>
      <c r="J325" s="8"/>
      <c r="Z325" s="6"/>
    </row>
    <row r="326" spans="2:26" ht="12.75" x14ac:dyDescent="0.2">
      <c r="B326" s="6"/>
      <c r="C326" s="6"/>
      <c r="D326" s="6"/>
      <c r="E326" s="9"/>
      <c r="F326" s="9"/>
      <c r="G326" s="11"/>
      <c r="H326" s="5"/>
      <c r="I326" s="8"/>
      <c r="J326" s="8"/>
      <c r="Z326" s="6"/>
    </row>
    <row r="327" spans="2:26" ht="12.75" x14ac:dyDescent="0.2">
      <c r="B327" s="6"/>
      <c r="C327" s="6"/>
      <c r="D327" s="6"/>
      <c r="E327" s="9"/>
      <c r="F327" s="9"/>
      <c r="G327" s="11"/>
      <c r="H327" s="5"/>
      <c r="I327" s="8"/>
      <c r="J327" s="8"/>
      <c r="Z327" s="6"/>
    </row>
    <row r="328" spans="2:26" ht="12.75" x14ac:dyDescent="0.2">
      <c r="B328" s="6"/>
      <c r="C328" s="6"/>
      <c r="D328" s="6"/>
      <c r="E328" s="9"/>
      <c r="F328" s="9"/>
      <c r="G328" s="11"/>
      <c r="H328" s="5"/>
      <c r="I328" s="8"/>
      <c r="J328" s="8"/>
      <c r="Z328" s="6"/>
    </row>
    <row r="329" spans="2:26" ht="12.75" x14ac:dyDescent="0.2">
      <c r="B329" s="6"/>
      <c r="C329" s="6"/>
      <c r="D329" s="6"/>
      <c r="E329" s="9"/>
      <c r="F329" s="9"/>
      <c r="G329" s="11"/>
      <c r="H329" s="5"/>
      <c r="I329" s="8"/>
      <c r="J329" s="8"/>
      <c r="Z329" s="6"/>
    </row>
    <row r="330" spans="2:26" ht="12.75" x14ac:dyDescent="0.2">
      <c r="B330" s="6"/>
      <c r="C330" s="6"/>
      <c r="D330" s="6"/>
      <c r="E330" s="9"/>
      <c r="F330" s="9"/>
      <c r="G330" s="11"/>
      <c r="H330" s="5"/>
      <c r="I330" s="8"/>
      <c r="J330" s="8"/>
      <c r="Z330" s="6"/>
    </row>
    <row r="331" spans="2:26" ht="12.75" x14ac:dyDescent="0.2">
      <c r="B331" s="6"/>
      <c r="C331" s="6"/>
      <c r="D331" s="6"/>
      <c r="E331" s="9"/>
      <c r="F331" s="9"/>
      <c r="G331" s="11"/>
      <c r="H331" s="5"/>
      <c r="I331" s="8"/>
      <c r="J331" s="8"/>
      <c r="Z331" s="6"/>
    </row>
    <row r="332" spans="2:26" ht="12.75" x14ac:dyDescent="0.2">
      <c r="B332" s="6"/>
      <c r="C332" s="6"/>
      <c r="D332" s="6"/>
      <c r="E332" s="9"/>
      <c r="F332" s="9"/>
      <c r="G332" s="11"/>
      <c r="H332" s="5"/>
      <c r="I332" s="8"/>
      <c r="J332" s="8"/>
      <c r="Z332" s="6"/>
    </row>
    <row r="333" spans="2:26" ht="12.75" x14ac:dyDescent="0.2">
      <c r="B333" s="6"/>
      <c r="C333" s="6"/>
      <c r="D333" s="6"/>
      <c r="E333" s="9"/>
      <c r="F333" s="9"/>
      <c r="G333" s="11"/>
      <c r="H333" s="5"/>
      <c r="I333" s="8"/>
      <c r="J333" s="8"/>
      <c r="Z333" s="6"/>
    </row>
    <row r="334" spans="2:26" ht="12.75" x14ac:dyDescent="0.2">
      <c r="B334" s="6"/>
      <c r="C334" s="6"/>
      <c r="D334" s="6"/>
      <c r="E334" s="9"/>
      <c r="F334" s="9"/>
      <c r="G334" s="11"/>
      <c r="H334" s="5"/>
      <c r="I334" s="8"/>
      <c r="J334" s="8"/>
      <c r="Z334" s="6"/>
    </row>
    <row r="335" spans="2:26" ht="12.75" x14ac:dyDescent="0.2">
      <c r="B335" s="6"/>
      <c r="C335" s="6"/>
      <c r="D335" s="6"/>
      <c r="E335" s="9"/>
      <c r="F335" s="9"/>
      <c r="G335" s="11"/>
      <c r="H335" s="5"/>
      <c r="I335" s="8"/>
      <c r="J335" s="8"/>
      <c r="Z335" s="6"/>
    </row>
    <row r="336" spans="2:26" ht="12.75" x14ac:dyDescent="0.2">
      <c r="B336" s="6"/>
      <c r="C336" s="6"/>
      <c r="D336" s="6"/>
      <c r="E336" s="9"/>
      <c r="F336" s="9"/>
      <c r="G336" s="11"/>
      <c r="H336" s="5"/>
      <c r="I336" s="8"/>
      <c r="J336" s="8"/>
      <c r="Z336" s="6"/>
    </row>
    <row r="337" spans="2:26" ht="12.75" x14ac:dyDescent="0.2">
      <c r="B337" s="6"/>
      <c r="C337" s="6"/>
      <c r="D337" s="6"/>
      <c r="E337" s="9"/>
      <c r="F337" s="9"/>
      <c r="G337" s="11"/>
      <c r="H337" s="5"/>
      <c r="I337" s="8"/>
      <c r="J337" s="8"/>
      <c r="Z337" s="6"/>
    </row>
    <row r="338" spans="2:26" ht="12.75" x14ac:dyDescent="0.2">
      <c r="B338" s="6"/>
      <c r="C338" s="6"/>
      <c r="D338" s="6"/>
      <c r="E338" s="9"/>
      <c r="F338" s="9"/>
      <c r="G338" s="11"/>
      <c r="H338" s="5"/>
      <c r="I338" s="8"/>
      <c r="J338" s="8"/>
      <c r="Z338" s="6"/>
    </row>
    <row r="339" spans="2:26" ht="12.75" x14ac:dyDescent="0.2">
      <c r="B339" s="6"/>
      <c r="C339" s="6"/>
      <c r="D339" s="6"/>
      <c r="E339" s="9"/>
      <c r="F339" s="9"/>
      <c r="G339" s="11"/>
      <c r="H339" s="5"/>
      <c r="I339" s="8"/>
      <c r="J339" s="8"/>
      <c r="Z339" s="6"/>
    </row>
    <row r="340" spans="2:26" ht="12.75" x14ac:dyDescent="0.2">
      <c r="B340" s="6"/>
      <c r="C340" s="6"/>
      <c r="D340" s="6"/>
      <c r="E340" s="9"/>
      <c r="F340" s="9"/>
      <c r="G340" s="11"/>
      <c r="H340" s="5"/>
      <c r="I340" s="8"/>
      <c r="J340" s="8"/>
      <c r="Z340" s="6"/>
    </row>
    <row r="341" spans="2:26" ht="12.75" x14ac:dyDescent="0.2">
      <c r="B341" s="6"/>
      <c r="C341" s="6"/>
      <c r="D341" s="6"/>
      <c r="E341" s="9"/>
      <c r="F341" s="9"/>
      <c r="G341" s="11"/>
      <c r="H341" s="5"/>
      <c r="I341" s="8"/>
      <c r="J341" s="8"/>
      <c r="Z341" s="6"/>
    </row>
    <row r="342" spans="2:26" ht="12.75" x14ac:dyDescent="0.2">
      <c r="B342" s="6"/>
      <c r="C342" s="6"/>
      <c r="D342" s="6"/>
      <c r="E342" s="9"/>
      <c r="F342" s="9"/>
      <c r="G342" s="11"/>
      <c r="H342" s="5"/>
      <c r="I342" s="8"/>
      <c r="J342" s="8"/>
      <c r="Z342" s="6"/>
    </row>
    <row r="343" spans="2:26" ht="12.75" x14ac:dyDescent="0.2">
      <c r="B343" s="6"/>
      <c r="C343" s="6"/>
      <c r="D343" s="6"/>
      <c r="E343" s="9"/>
      <c r="F343" s="9"/>
      <c r="G343" s="11"/>
      <c r="H343" s="5"/>
      <c r="I343" s="8"/>
      <c r="J343" s="8"/>
      <c r="Z343" s="6"/>
    </row>
    <row r="344" spans="2:26" ht="12.75" x14ac:dyDescent="0.2">
      <c r="B344" s="6"/>
      <c r="C344" s="6"/>
      <c r="D344" s="6"/>
      <c r="E344" s="9"/>
      <c r="F344" s="9"/>
      <c r="G344" s="11"/>
      <c r="H344" s="5"/>
      <c r="I344" s="8"/>
      <c r="J344" s="8"/>
      <c r="Z344" s="6"/>
    </row>
    <row r="345" spans="2:26" ht="12.75" x14ac:dyDescent="0.2">
      <c r="B345" s="6"/>
      <c r="C345" s="6"/>
      <c r="D345" s="6"/>
      <c r="E345" s="9"/>
      <c r="F345" s="9"/>
      <c r="G345" s="11"/>
      <c r="H345" s="5"/>
      <c r="I345" s="8"/>
      <c r="J345" s="8"/>
      <c r="Z345" s="6"/>
    </row>
    <row r="346" spans="2:26" ht="12.75" x14ac:dyDescent="0.2">
      <c r="B346" s="6"/>
      <c r="C346" s="6"/>
      <c r="D346" s="6"/>
      <c r="E346" s="9"/>
      <c r="F346" s="9"/>
      <c r="G346" s="11"/>
      <c r="H346" s="5"/>
      <c r="I346" s="8"/>
      <c r="J346" s="8"/>
      <c r="Z346" s="6"/>
    </row>
    <row r="347" spans="2:26" ht="12.75" x14ac:dyDescent="0.2">
      <c r="B347" s="6"/>
      <c r="C347" s="6"/>
      <c r="D347" s="6"/>
      <c r="E347" s="9"/>
      <c r="F347" s="9"/>
      <c r="G347" s="11"/>
      <c r="H347" s="5"/>
      <c r="I347" s="8"/>
      <c r="J347" s="8"/>
      <c r="Z347" s="6"/>
    </row>
    <row r="348" spans="2:26" ht="12.75" x14ac:dyDescent="0.2">
      <c r="B348" s="6"/>
      <c r="C348" s="6"/>
      <c r="D348" s="6"/>
      <c r="E348" s="9"/>
      <c r="F348" s="9"/>
      <c r="G348" s="11"/>
      <c r="H348" s="5"/>
      <c r="I348" s="8"/>
      <c r="J348" s="8"/>
      <c r="Z348" s="6"/>
    </row>
    <row r="349" spans="2:26" ht="12.75" x14ac:dyDescent="0.2">
      <c r="B349" s="6"/>
      <c r="C349" s="6"/>
      <c r="D349" s="6"/>
      <c r="E349" s="9"/>
      <c r="F349" s="9"/>
      <c r="G349" s="11"/>
      <c r="H349" s="5"/>
      <c r="I349" s="8"/>
      <c r="J349" s="8"/>
      <c r="Z349" s="6"/>
    </row>
    <row r="350" spans="2:26" ht="12.75" x14ac:dyDescent="0.2">
      <c r="B350" s="6"/>
      <c r="C350" s="6"/>
      <c r="D350" s="6"/>
      <c r="E350" s="9"/>
      <c r="F350" s="9"/>
      <c r="G350" s="11"/>
      <c r="H350" s="5"/>
      <c r="I350" s="8"/>
      <c r="J350" s="8"/>
      <c r="Z350" s="6"/>
    </row>
    <row r="351" spans="2:26" ht="12.75" x14ac:dyDescent="0.2">
      <c r="B351" s="6"/>
      <c r="C351" s="6"/>
      <c r="D351" s="6"/>
      <c r="E351" s="9"/>
      <c r="F351" s="9"/>
      <c r="G351" s="11"/>
      <c r="H351" s="5"/>
      <c r="I351" s="8"/>
      <c r="J351" s="8"/>
      <c r="Z351" s="6"/>
    </row>
    <row r="352" spans="2:26" ht="12.75" x14ac:dyDescent="0.2">
      <c r="B352" s="6"/>
      <c r="C352" s="6"/>
      <c r="D352" s="6"/>
      <c r="E352" s="9"/>
      <c r="F352" s="9"/>
      <c r="G352" s="11"/>
      <c r="H352" s="5"/>
      <c r="I352" s="8"/>
      <c r="J352" s="8"/>
      <c r="Z352" s="6"/>
    </row>
    <row r="353" spans="2:26" ht="12.75" x14ac:dyDescent="0.2">
      <c r="B353" s="6"/>
      <c r="C353" s="6"/>
      <c r="D353" s="6"/>
      <c r="E353" s="9"/>
      <c r="F353" s="9"/>
      <c r="G353" s="11"/>
      <c r="H353" s="5"/>
      <c r="I353" s="8"/>
      <c r="J353" s="8"/>
      <c r="Z353" s="6"/>
    </row>
    <row r="354" spans="2:26" ht="12.75" x14ac:dyDescent="0.2">
      <c r="B354" s="6"/>
      <c r="C354" s="6"/>
      <c r="D354" s="6"/>
      <c r="E354" s="9"/>
      <c r="F354" s="9"/>
      <c r="G354" s="11"/>
      <c r="H354" s="5"/>
      <c r="I354" s="8"/>
      <c r="J354" s="8"/>
      <c r="Z354" s="6"/>
    </row>
    <row r="355" spans="2:26" ht="12.75" x14ac:dyDescent="0.2">
      <c r="B355" s="6"/>
      <c r="C355" s="6"/>
      <c r="D355" s="6"/>
      <c r="E355" s="9"/>
      <c r="F355" s="9"/>
      <c r="G355" s="11"/>
      <c r="H355" s="5"/>
      <c r="I355" s="8"/>
      <c r="J355" s="8"/>
      <c r="Z355" s="6"/>
    </row>
    <row r="356" spans="2:26" ht="12.75" x14ac:dyDescent="0.2">
      <c r="B356" s="6"/>
      <c r="C356" s="6"/>
      <c r="D356" s="6"/>
      <c r="E356" s="9"/>
      <c r="F356" s="9"/>
      <c r="G356" s="11"/>
      <c r="H356" s="5"/>
      <c r="I356" s="8"/>
      <c r="J356" s="8"/>
      <c r="Z356" s="6"/>
    </row>
    <row r="357" spans="2:26" ht="12.75" x14ac:dyDescent="0.2">
      <c r="B357" s="6"/>
      <c r="C357" s="6"/>
      <c r="D357" s="6"/>
      <c r="E357" s="9"/>
      <c r="F357" s="9"/>
      <c r="G357" s="11"/>
      <c r="H357" s="5"/>
      <c r="I357" s="8"/>
      <c r="J357" s="8"/>
      <c r="Z357" s="6"/>
    </row>
    <row r="358" spans="2:26" ht="12.75" x14ac:dyDescent="0.2">
      <c r="B358" s="6"/>
      <c r="C358" s="6"/>
      <c r="D358" s="6"/>
      <c r="E358" s="9"/>
      <c r="F358" s="9"/>
      <c r="G358" s="11"/>
      <c r="H358" s="5"/>
      <c r="I358" s="8"/>
      <c r="J358" s="8"/>
      <c r="Z358" s="6"/>
    </row>
    <row r="359" spans="2:26" ht="12.75" x14ac:dyDescent="0.2">
      <c r="B359" s="6"/>
      <c r="C359" s="6"/>
      <c r="D359" s="6"/>
      <c r="E359" s="9"/>
      <c r="F359" s="9"/>
      <c r="G359" s="11"/>
      <c r="H359" s="5"/>
      <c r="I359" s="8"/>
      <c r="J359" s="8"/>
      <c r="Z359" s="6"/>
    </row>
    <row r="360" spans="2:26" ht="12.75" x14ac:dyDescent="0.2">
      <c r="B360" s="6"/>
      <c r="C360" s="6"/>
      <c r="D360" s="6"/>
      <c r="E360" s="9"/>
      <c r="F360" s="9"/>
      <c r="G360" s="11"/>
      <c r="H360" s="5"/>
      <c r="I360" s="8"/>
      <c r="J360" s="8"/>
      <c r="Z360" s="6"/>
    </row>
    <row r="361" spans="2:26" ht="12.75" x14ac:dyDescent="0.2">
      <c r="B361" s="6"/>
      <c r="C361" s="6"/>
      <c r="D361" s="6"/>
      <c r="E361" s="9"/>
      <c r="F361" s="9"/>
      <c r="G361" s="11"/>
      <c r="H361" s="5"/>
      <c r="I361" s="8"/>
      <c r="J361" s="8"/>
      <c r="Z361" s="6"/>
    </row>
    <row r="362" spans="2:26" ht="12.75" x14ac:dyDescent="0.2">
      <c r="B362" s="6"/>
      <c r="C362" s="6"/>
      <c r="D362" s="6"/>
      <c r="E362" s="9"/>
      <c r="F362" s="9"/>
      <c r="G362" s="11"/>
      <c r="H362" s="5"/>
      <c r="I362" s="8"/>
      <c r="J362" s="8"/>
      <c r="Z362" s="6"/>
    </row>
    <row r="363" spans="2:26" ht="12.75" x14ac:dyDescent="0.2">
      <c r="B363" s="6"/>
      <c r="C363" s="6"/>
      <c r="D363" s="6"/>
      <c r="E363" s="9"/>
      <c r="F363" s="9"/>
      <c r="G363" s="11"/>
      <c r="H363" s="5"/>
      <c r="I363" s="8"/>
      <c r="J363" s="8"/>
      <c r="Z363" s="6"/>
    </row>
    <row r="364" spans="2:26" ht="12.75" x14ac:dyDescent="0.2">
      <c r="B364" s="6"/>
      <c r="C364" s="6"/>
      <c r="D364" s="6"/>
      <c r="E364" s="9"/>
      <c r="F364" s="9"/>
      <c r="G364" s="11"/>
      <c r="H364" s="5"/>
      <c r="I364" s="8"/>
      <c r="J364" s="8"/>
      <c r="Z364" s="6"/>
    </row>
    <row r="365" spans="2:26" ht="12.75" x14ac:dyDescent="0.2">
      <c r="B365" s="6"/>
      <c r="C365" s="6"/>
      <c r="D365" s="6"/>
      <c r="E365" s="9"/>
      <c r="F365" s="9"/>
      <c r="G365" s="11"/>
      <c r="H365" s="5"/>
      <c r="I365" s="8"/>
      <c r="J365" s="8"/>
      <c r="Z365" s="6"/>
    </row>
    <row r="366" spans="2:26" ht="12.75" x14ac:dyDescent="0.2">
      <c r="B366" s="6"/>
      <c r="C366" s="6"/>
      <c r="D366" s="6"/>
      <c r="E366" s="9"/>
      <c r="F366" s="9"/>
      <c r="G366" s="11"/>
      <c r="H366" s="5"/>
      <c r="I366" s="8"/>
      <c r="J366" s="8"/>
      <c r="Z366" s="6"/>
    </row>
    <row r="367" spans="2:26" ht="12.75" x14ac:dyDescent="0.2">
      <c r="B367" s="6"/>
      <c r="C367" s="6"/>
      <c r="D367" s="6"/>
      <c r="E367" s="9"/>
      <c r="F367" s="9"/>
      <c r="G367" s="11"/>
      <c r="H367" s="5"/>
      <c r="I367" s="8"/>
      <c r="J367" s="8"/>
      <c r="Z367" s="6"/>
    </row>
    <row r="368" spans="2:26" ht="12.75" x14ac:dyDescent="0.2">
      <c r="B368" s="6"/>
      <c r="C368" s="6"/>
      <c r="D368" s="6"/>
      <c r="E368" s="9"/>
      <c r="F368" s="9"/>
      <c r="G368" s="11"/>
      <c r="H368" s="5"/>
      <c r="I368" s="8"/>
      <c r="J368" s="8"/>
      <c r="Z368" s="6"/>
    </row>
    <row r="369" spans="2:26" ht="12.75" x14ac:dyDescent="0.2">
      <c r="B369" s="6"/>
      <c r="C369" s="6"/>
      <c r="D369" s="6"/>
      <c r="E369" s="9"/>
      <c r="F369" s="9"/>
      <c r="G369" s="11"/>
      <c r="H369" s="5"/>
      <c r="I369" s="8"/>
      <c r="J369" s="8"/>
      <c r="Z369" s="6"/>
    </row>
    <row r="370" spans="2:26" ht="12.75" x14ac:dyDescent="0.2">
      <c r="B370" s="6"/>
      <c r="C370" s="6"/>
      <c r="D370" s="6"/>
      <c r="E370" s="9"/>
      <c r="F370" s="9"/>
      <c r="G370" s="11"/>
      <c r="H370" s="5"/>
      <c r="I370" s="8"/>
      <c r="J370" s="8"/>
      <c r="Z370" s="6"/>
    </row>
    <row r="371" spans="2:26" ht="12.75" x14ac:dyDescent="0.2">
      <c r="B371" s="6"/>
      <c r="C371" s="6"/>
      <c r="D371" s="6"/>
      <c r="E371" s="9"/>
      <c r="F371" s="9"/>
      <c r="G371" s="11"/>
      <c r="H371" s="5"/>
      <c r="I371" s="8"/>
      <c r="J371" s="8"/>
      <c r="Z371" s="6"/>
    </row>
    <row r="372" spans="2:26" ht="12.75" x14ac:dyDescent="0.2">
      <c r="B372" s="6"/>
      <c r="C372" s="6"/>
      <c r="D372" s="6"/>
      <c r="E372" s="9"/>
      <c r="F372" s="9"/>
      <c r="G372" s="11"/>
      <c r="H372" s="5"/>
      <c r="I372" s="8"/>
      <c r="J372" s="8"/>
      <c r="Z372" s="6"/>
    </row>
    <row r="373" spans="2:26" ht="12.75" x14ac:dyDescent="0.2">
      <c r="B373" s="6"/>
      <c r="C373" s="6"/>
      <c r="D373" s="6"/>
      <c r="E373" s="9"/>
      <c r="F373" s="9"/>
      <c r="G373" s="11"/>
      <c r="H373" s="5"/>
      <c r="I373" s="8"/>
      <c r="J373" s="8"/>
      <c r="Z373" s="6"/>
    </row>
    <row r="374" spans="2:26" ht="12.75" x14ac:dyDescent="0.2">
      <c r="B374" s="6"/>
      <c r="C374" s="6"/>
      <c r="D374" s="6"/>
      <c r="E374" s="9"/>
      <c r="F374" s="9"/>
      <c r="G374" s="11"/>
      <c r="H374" s="5"/>
      <c r="I374" s="8"/>
      <c r="J374" s="8"/>
      <c r="Z374" s="6"/>
    </row>
    <row r="375" spans="2:26" ht="12.75" x14ac:dyDescent="0.2">
      <c r="B375" s="6"/>
      <c r="C375" s="6"/>
      <c r="D375" s="6"/>
      <c r="E375" s="9"/>
      <c r="F375" s="9"/>
      <c r="G375" s="11"/>
      <c r="H375" s="5"/>
      <c r="I375" s="8"/>
      <c r="J375" s="8"/>
      <c r="Z375" s="6"/>
    </row>
    <row r="376" spans="2:26" ht="12.75" x14ac:dyDescent="0.2">
      <c r="B376" s="6"/>
      <c r="C376" s="6"/>
      <c r="D376" s="6"/>
      <c r="E376" s="9"/>
      <c r="F376" s="9"/>
      <c r="G376" s="11"/>
      <c r="H376" s="5"/>
      <c r="I376" s="8"/>
      <c r="J376" s="8"/>
      <c r="Z376" s="6"/>
    </row>
    <row r="377" spans="2:26" ht="12.75" x14ac:dyDescent="0.2">
      <c r="B377" s="6"/>
      <c r="C377" s="6"/>
      <c r="D377" s="6"/>
      <c r="E377" s="9"/>
      <c r="F377" s="9"/>
      <c r="G377" s="11"/>
      <c r="H377" s="5"/>
      <c r="I377" s="8"/>
      <c r="J377" s="8"/>
      <c r="Z377" s="6"/>
    </row>
    <row r="378" spans="2:26" ht="12.75" x14ac:dyDescent="0.2">
      <c r="B378" s="6"/>
      <c r="C378" s="6"/>
      <c r="D378" s="6"/>
      <c r="E378" s="9"/>
      <c r="F378" s="9"/>
      <c r="G378" s="11"/>
      <c r="H378" s="5"/>
      <c r="I378" s="8"/>
      <c r="J378" s="8"/>
      <c r="Z378" s="6"/>
    </row>
    <row r="379" spans="2:26" ht="12.75" x14ac:dyDescent="0.2">
      <c r="B379" s="6"/>
      <c r="C379" s="6"/>
      <c r="D379" s="6"/>
      <c r="E379" s="9"/>
      <c r="F379" s="9"/>
      <c r="G379" s="11"/>
      <c r="H379" s="5"/>
      <c r="I379" s="8"/>
      <c r="J379" s="8"/>
      <c r="Z379" s="6"/>
    </row>
    <row r="380" spans="2:26" ht="12.75" x14ac:dyDescent="0.2">
      <c r="B380" s="6"/>
      <c r="C380" s="6"/>
      <c r="D380" s="6"/>
      <c r="E380" s="9"/>
      <c r="F380" s="9"/>
      <c r="G380" s="11"/>
      <c r="H380" s="5"/>
      <c r="I380" s="8"/>
      <c r="J380" s="8"/>
      <c r="Z380" s="6"/>
    </row>
    <row r="381" spans="2:26" ht="12.75" x14ac:dyDescent="0.2">
      <c r="B381" s="6"/>
      <c r="C381" s="6"/>
      <c r="D381" s="6"/>
      <c r="E381" s="9"/>
      <c r="F381" s="9"/>
      <c r="G381" s="11"/>
      <c r="H381" s="5"/>
      <c r="I381" s="8"/>
      <c r="J381" s="8"/>
      <c r="Z381" s="6"/>
    </row>
    <row r="382" spans="2:26" ht="12.75" x14ac:dyDescent="0.2">
      <c r="B382" s="6"/>
      <c r="C382" s="6"/>
      <c r="D382" s="6"/>
      <c r="E382" s="9"/>
      <c r="F382" s="9"/>
      <c r="G382" s="11"/>
      <c r="H382" s="5"/>
      <c r="I382" s="8"/>
      <c r="J382" s="8"/>
      <c r="Z382" s="6"/>
    </row>
    <row r="383" spans="2:26" ht="12.75" x14ac:dyDescent="0.2">
      <c r="B383" s="6"/>
      <c r="C383" s="6"/>
      <c r="D383" s="6"/>
      <c r="E383" s="9"/>
      <c r="F383" s="9"/>
      <c r="G383" s="11"/>
      <c r="H383" s="5"/>
      <c r="I383" s="8"/>
      <c r="J383" s="8"/>
      <c r="Z383" s="6"/>
    </row>
    <row r="384" spans="2:26" ht="12.75" x14ac:dyDescent="0.2">
      <c r="B384" s="6"/>
      <c r="C384" s="6"/>
      <c r="D384" s="6"/>
      <c r="E384" s="9"/>
      <c r="F384" s="9"/>
      <c r="G384" s="11"/>
      <c r="H384" s="5"/>
      <c r="I384" s="8"/>
      <c r="J384" s="8"/>
      <c r="Z384" s="6"/>
    </row>
    <row r="385" spans="2:26" ht="12.75" x14ac:dyDescent="0.2">
      <c r="B385" s="6"/>
      <c r="C385" s="6"/>
      <c r="D385" s="6"/>
      <c r="E385" s="9"/>
      <c r="F385" s="9"/>
      <c r="G385" s="11"/>
      <c r="H385" s="5"/>
      <c r="I385" s="8"/>
      <c r="J385" s="8"/>
      <c r="Z385" s="6"/>
    </row>
    <row r="386" spans="2:26" ht="12.75" x14ac:dyDescent="0.2">
      <c r="B386" s="6"/>
      <c r="C386" s="6"/>
      <c r="D386" s="6"/>
      <c r="E386" s="9"/>
      <c r="F386" s="9"/>
      <c r="G386" s="11"/>
      <c r="H386" s="5"/>
      <c r="I386" s="8"/>
      <c r="J386" s="8"/>
      <c r="Z386" s="6"/>
    </row>
    <row r="387" spans="2:26" ht="12.75" x14ac:dyDescent="0.2">
      <c r="B387" s="6"/>
      <c r="C387" s="6"/>
      <c r="D387" s="6"/>
      <c r="E387" s="9"/>
      <c r="F387" s="9"/>
      <c r="G387" s="11"/>
      <c r="H387" s="5"/>
      <c r="I387" s="8"/>
      <c r="J387" s="8"/>
      <c r="Z387" s="6"/>
    </row>
    <row r="388" spans="2:26" ht="12.75" x14ac:dyDescent="0.2">
      <c r="B388" s="6"/>
      <c r="C388" s="6"/>
      <c r="D388" s="6"/>
      <c r="E388" s="9"/>
      <c r="F388" s="9"/>
      <c r="G388" s="11"/>
      <c r="H388" s="5"/>
      <c r="I388" s="8"/>
      <c r="J388" s="8"/>
      <c r="Z388" s="6"/>
    </row>
    <row r="389" spans="2:26" ht="12.75" x14ac:dyDescent="0.2">
      <c r="B389" s="6"/>
      <c r="C389" s="6"/>
      <c r="D389" s="6"/>
      <c r="E389" s="9"/>
      <c r="F389" s="9"/>
      <c r="G389" s="11"/>
      <c r="H389" s="5"/>
      <c r="I389" s="8"/>
      <c r="J389" s="8"/>
      <c r="Z389" s="6"/>
    </row>
    <row r="390" spans="2:26" ht="12.75" x14ac:dyDescent="0.2">
      <c r="B390" s="6"/>
      <c r="C390" s="6"/>
      <c r="D390" s="6"/>
      <c r="E390" s="9"/>
      <c r="F390" s="9"/>
      <c r="G390" s="11"/>
      <c r="H390" s="5"/>
      <c r="I390" s="8"/>
      <c r="J390" s="8"/>
      <c r="Z390" s="6"/>
    </row>
    <row r="391" spans="2:26" ht="12.75" x14ac:dyDescent="0.2">
      <c r="B391" s="6"/>
      <c r="C391" s="6"/>
      <c r="D391" s="6"/>
      <c r="E391" s="9"/>
      <c r="F391" s="9"/>
      <c r="G391" s="11"/>
      <c r="H391" s="5"/>
      <c r="I391" s="8"/>
      <c r="J391" s="8"/>
      <c r="Z391" s="6"/>
    </row>
    <row r="392" spans="2:26" ht="12.75" x14ac:dyDescent="0.2">
      <c r="B392" s="6"/>
      <c r="C392" s="6"/>
      <c r="D392" s="6"/>
      <c r="E392" s="9"/>
      <c r="F392" s="9"/>
      <c r="G392" s="11"/>
      <c r="H392" s="5"/>
      <c r="I392" s="8"/>
      <c r="J392" s="8"/>
      <c r="Z392" s="6"/>
    </row>
    <row r="393" spans="2:26" ht="12.75" x14ac:dyDescent="0.2">
      <c r="B393" s="6"/>
      <c r="C393" s="6"/>
      <c r="D393" s="6"/>
      <c r="E393" s="9"/>
      <c r="F393" s="9"/>
      <c r="G393" s="11"/>
      <c r="H393" s="5"/>
      <c r="I393" s="8"/>
      <c r="J393" s="8"/>
      <c r="Z393" s="6"/>
    </row>
    <row r="394" spans="2:26" ht="12.75" x14ac:dyDescent="0.2">
      <c r="B394" s="6"/>
      <c r="C394" s="6"/>
      <c r="D394" s="6"/>
      <c r="E394" s="9"/>
      <c r="F394" s="9"/>
      <c r="G394" s="11"/>
      <c r="H394" s="5"/>
      <c r="I394" s="8"/>
      <c r="J394" s="8"/>
      <c r="Z394" s="6"/>
    </row>
    <row r="395" spans="2:26" ht="12.75" x14ac:dyDescent="0.2">
      <c r="B395" s="6"/>
      <c r="C395" s="6"/>
      <c r="D395" s="6"/>
      <c r="E395" s="9"/>
      <c r="F395" s="9"/>
      <c r="G395" s="11"/>
      <c r="H395" s="5"/>
      <c r="I395" s="8"/>
      <c r="J395" s="8"/>
      <c r="Z395" s="6"/>
    </row>
    <row r="396" spans="2:26" ht="12.75" x14ac:dyDescent="0.2">
      <c r="B396" s="6"/>
      <c r="C396" s="6"/>
      <c r="D396" s="6"/>
      <c r="E396" s="9"/>
      <c r="F396" s="9"/>
      <c r="G396" s="11"/>
      <c r="H396" s="5"/>
      <c r="I396" s="8"/>
      <c r="J396" s="8"/>
      <c r="Z396" s="6"/>
    </row>
    <row r="397" spans="2:26" ht="12.75" x14ac:dyDescent="0.2">
      <c r="B397" s="6"/>
      <c r="C397" s="6"/>
      <c r="D397" s="6"/>
      <c r="E397" s="9"/>
      <c r="F397" s="9"/>
      <c r="G397" s="11"/>
      <c r="H397" s="5"/>
      <c r="I397" s="8"/>
      <c r="J397" s="8"/>
      <c r="Z397" s="6"/>
    </row>
    <row r="398" spans="2:26" ht="12.75" x14ac:dyDescent="0.2">
      <c r="B398" s="6"/>
      <c r="C398" s="6"/>
      <c r="D398" s="6"/>
      <c r="E398" s="9"/>
      <c r="F398" s="9"/>
      <c r="G398" s="11"/>
      <c r="H398" s="5"/>
      <c r="I398" s="8"/>
      <c r="J398" s="8"/>
      <c r="Z398" s="6"/>
    </row>
    <row r="399" spans="2:26" ht="12.75" x14ac:dyDescent="0.2">
      <c r="B399" s="6"/>
      <c r="C399" s="6"/>
      <c r="D399" s="6"/>
      <c r="E399" s="9"/>
      <c r="F399" s="9"/>
      <c r="G399" s="11"/>
      <c r="H399" s="5"/>
      <c r="I399" s="8"/>
      <c r="J399" s="8"/>
      <c r="Z399" s="6"/>
    </row>
    <row r="400" spans="2:26" ht="12.75" x14ac:dyDescent="0.2">
      <c r="B400" s="6"/>
      <c r="C400" s="6"/>
      <c r="D400" s="6"/>
      <c r="E400" s="9"/>
      <c r="F400" s="9"/>
      <c r="G400" s="11"/>
      <c r="H400" s="5"/>
      <c r="I400" s="8"/>
      <c r="J400" s="8"/>
      <c r="Z400" s="6"/>
    </row>
    <row r="401" spans="2:26" ht="12.75" x14ac:dyDescent="0.2">
      <c r="B401" s="6"/>
      <c r="C401" s="6"/>
      <c r="D401" s="6"/>
      <c r="E401" s="9"/>
      <c r="F401" s="9"/>
      <c r="G401" s="11"/>
      <c r="H401" s="5"/>
      <c r="I401" s="8"/>
      <c r="J401" s="8"/>
      <c r="Z401" s="6"/>
    </row>
    <row r="402" spans="2:26" ht="12.75" x14ac:dyDescent="0.2">
      <c r="B402" s="6"/>
      <c r="C402" s="6"/>
      <c r="D402" s="6"/>
      <c r="E402" s="9"/>
      <c r="F402" s="9"/>
      <c r="G402" s="11"/>
      <c r="H402" s="5"/>
      <c r="I402" s="8"/>
      <c r="J402" s="8"/>
      <c r="Z402" s="6"/>
    </row>
    <row r="403" spans="2:26" ht="12.75" x14ac:dyDescent="0.2">
      <c r="B403" s="6"/>
      <c r="C403" s="6"/>
      <c r="D403" s="6"/>
      <c r="E403" s="9"/>
      <c r="F403" s="9"/>
      <c r="G403" s="11"/>
      <c r="H403" s="5"/>
      <c r="I403" s="8"/>
      <c r="J403" s="8"/>
      <c r="Z403" s="6"/>
    </row>
    <row r="404" spans="2:26" ht="12.75" x14ac:dyDescent="0.2">
      <c r="B404" s="6"/>
      <c r="C404" s="6"/>
      <c r="D404" s="6"/>
      <c r="E404" s="9"/>
      <c r="F404" s="9"/>
      <c r="G404" s="11"/>
      <c r="H404" s="5"/>
      <c r="I404" s="8"/>
      <c r="J404" s="8"/>
      <c r="Z404" s="6"/>
    </row>
    <row r="405" spans="2:26" ht="12.75" x14ac:dyDescent="0.2">
      <c r="B405" s="6"/>
      <c r="C405" s="6"/>
      <c r="D405" s="6"/>
      <c r="E405" s="9"/>
      <c r="F405" s="9"/>
      <c r="G405" s="11"/>
      <c r="H405" s="5"/>
      <c r="I405" s="8"/>
      <c r="J405" s="8"/>
      <c r="Z405" s="6"/>
    </row>
    <row r="406" spans="2:26" ht="12.75" x14ac:dyDescent="0.2">
      <c r="B406" s="6"/>
      <c r="C406" s="6"/>
      <c r="D406" s="6"/>
      <c r="E406" s="9"/>
      <c r="F406" s="9"/>
      <c r="G406" s="11"/>
      <c r="H406" s="5"/>
      <c r="I406" s="8"/>
      <c r="J406" s="8"/>
      <c r="Z406" s="6"/>
    </row>
    <row r="407" spans="2:26" ht="12.75" x14ac:dyDescent="0.2">
      <c r="B407" s="6"/>
      <c r="C407" s="6"/>
      <c r="D407" s="6"/>
      <c r="E407" s="9"/>
      <c r="F407" s="9"/>
      <c r="G407" s="11"/>
      <c r="H407" s="5"/>
      <c r="I407" s="8"/>
      <c r="J407" s="8"/>
      <c r="Z407" s="6"/>
    </row>
    <row r="408" spans="2:26" ht="12.75" x14ac:dyDescent="0.2">
      <c r="B408" s="6"/>
      <c r="C408" s="6"/>
      <c r="D408" s="6"/>
      <c r="E408" s="9"/>
      <c r="F408" s="9"/>
      <c r="G408" s="11"/>
      <c r="H408" s="5"/>
      <c r="I408" s="8"/>
      <c r="J408" s="8"/>
      <c r="Z408" s="6"/>
    </row>
    <row r="409" spans="2:26" ht="12.75" x14ac:dyDescent="0.2">
      <c r="B409" s="6"/>
      <c r="C409" s="6"/>
      <c r="D409" s="6"/>
      <c r="E409" s="9"/>
      <c r="F409" s="9"/>
      <c r="G409" s="11"/>
      <c r="H409" s="5"/>
      <c r="I409" s="8"/>
      <c r="J409" s="8"/>
      <c r="Z409" s="6"/>
    </row>
    <row r="410" spans="2:26" ht="12.75" x14ac:dyDescent="0.2">
      <c r="B410" s="6"/>
      <c r="C410" s="6"/>
      <c r="D410" s="6"/>
      <c r="E410" s="9"/>
      <c r="F410" s="9"/>
      <c r="G410" s="11"/>
      <c r="H410" s="5"/>
      <c r="I410" s="8"/>
      <c r="J410" s="8"/>
      <c r="Z410" s="6"/>
    </row>
    <row r="411" spans="2:26" ht="12.75" x14ac:dyDescent="0.2">
      <c r="B411" s="6"/>
      <c r="C411" s="6"/>
      <c r="D411" s="6"/>
      <c r="E411" s="9"/>
      <c r="F411" s="9"/>
      <c r="G411" s="11"/>
      <c r="H411" s="5"/>
      <c r="I411" s="8"/>
      <c r="J411" s="8"/>
      <c r="Z411" s="6"/>
    </row>
    <row r="412" spans="2:26" ht="12.75" x14ac:dyDescent="0.2">
      <c r="B412" s="6"/>
      <c r="C412" s="6"/>
      <c r="D412" s="6"/>
      <c r="E412" s="9"/>
      <c r="F412" s="9"/>
      <c r="G412" s="11"/>
      <c r="H412" s="5"/>
      <c r="I412" s="8"/>
      <c r="J412" s="8"/>
      <c r="Z412" s="6"/>
    </row>
    <row r="413" spans="2:26" ht="12.75" x14ac:dyDescent="0.2">
      <c r="B413" s="6"/>
      <c r="C413" s="6"/>
      <c r="D413" s="6"/>
      <c r="E413" s="9"/>
      <c r="F413" s="9"/>
      <c r="G413" s="11"/>
      <c r="H413" s="5"/>
      <c r="I413" s="8"/>
      <c r="J413" s="8"/>
      <c r="Z413" s="6"/>
    </row>
    <row r="414" spans="2:26" ht="12.75" x14ac:dyDescent="0.2">
      <c r="B414" s="6"/>
      <c r="C414" s="6"/>
      <c r="D414" s="6"/>
      <c r="E414" s="9"/>
      <c r="F414" s="9"/>
      <c r="G414" s="11"/>
      <c r="H414" s="5"/>
      <c r="I414" s="8"/>
      <c r="J414" s="8"/>
      <c r="Z414" s="6"/>
    </row>
    <row r="415" spans="2:26" ht="12.75" x14ac:dyDescent="0.2">
      <c r="B415" s="6"/>
      <c r="C415" s="6"/>
      <c r="D415" s="6"/>
      <c r="E415" s="9"/>
      <c r="F415" s="9"/>
      <c r="G415" s="11"/>
      <c r="H415" s="5"/>
      <c r="I415" s="8"/>
      <c r="J415" s="8"/>
      <c r="Z415" s="6"/>
    </row>
    <row r="416" spans="2:26" ht="12.75" x14ac:dyDescent="0.2">
      <c r="B416" s="6"/>
      <c r="C416" s="6"/>
      <c r="D416" s="6"/>
      <c r="E416" s="9"/>
      <c r="F416" s="9"/>
      <c r="G416" s="11"/>
      <c r="H416" s="5"/>
      <c r="I416" s="8"/>
      <c r="J416" s="8"/>
      <c r="Z416" s="6"/>
    </row>
    <row r="417" spans="2:26" ht="12.75" x14ac:dyDescent="0.2">
      <c r="B417" s="6"/>
      <c r="C417" s="6"/>
      <c r="D417" s="6"/>
      <c r="E417" s="9"/>
      <c r="F417" s="9"/>
      <c r="G417" s="11"/>
      <c r="H417" s="5"/>
      <c r="I417" s="8"/>
      <c r="J417" s="8"/>
      <c r="Z417" s="6"/>
    </row>
    <row r="418" spans="2:26" ht="12.75" x14ac:dyDescent="0.2">
      <c r="B418" s="6"/>
      <c r="C418" s="6"/>
      <c r="D418" s="6"/>
      <c r="E418" s="9"/>
      <c r="F418" s="9"/>
      <c r="G418" s="11"/>
      <c r="H418" s="5"/>
      <c r="I418" s="8"/>
      <c r="J418" s="8"/>
      <c r="Z418" s="6"/>
    </row>
    <row r="419" spans="2:26" ht="12.75" x14ac:dyDescent="0.2">
      <c r="B419" s="6"/>
      <c r="C419" s="6"/>
      <c r="D419" s="6"/>
      <c r="E419" s="9"/>
      <c r="F419" s="9"/>
      <c r="G419" s="11"/>
      <c r="H419" s="5"/>
      <c r="I419" s="8"/>
      <c r="J419" s="8"/>
      <c r="Z419" s="6"/>
    </row>
    <row r="420" spans="2:26" ht="12.75" x14ac:dyDescent="0.2">
      <c r="B420" s="6"/>
      <c r="C420" s="6"/>
      <c r="D420" s="6"/>
      <c r="E420" s="9"/>
      <c r="F420" s="9"/>
      <c r="G420" s="11"/>
      <c r="H420" s="5"/>
      <c r="I420" s="8"/>
      <c r="J420" s="8"/>
      <c r="Z420" s="6"/>
    </row>
    <row r="421" spans="2:26" ht="12.75" x14ac:dyDescent="0.2">
      <c r="B421" s="6"/>
      <c r="C421" s="6"/>
      <c r="D421" s="6"/>
      <c r="E421" s="9"/>
      <c r="F421" s="9"/>
      <c r="G421" s="11"/>
      <c r="H421" s="5"/>
      <c r="I421" s="8"/>
      <c r="J421" s="8"/>
      <c r="Z421" s="6"/>
    </row>
    <row r="422" spans="2:26" ht="12.75" x14ac:dyDescent="0.2">
      <c r="B422" s="6"/>
      <c r="C422" s="6"/>
      <c r="D422" s="6"/>
      <c r="E422" s="9"/>
      <c r="F422" s="9"/>
      <c r="G422" s="11"/>
      <c r="H422" s="5"/>
      <c r="I422" s="8"/>
      <c r="J422" s="8"/>
      <c r="Z422" s="6"/>
    </row>
    <row r="423" spans="2:26" ht="12.75" x14ac:dyDescent="0.2">
      <c r="B423" s="6"/>
      <c r="C423" s="6"/>
      <c r="D423" s="6"/>
      <c r="E423" s="9"/>
      <c r="F423" s="9"/>
      <c r="G423" s="11"/>
      <c r="H423" s="5"/>
      <c r="I423" s="8"/>
      <c r="J423" s="8"/>
      <c r="Z423" s="6"/>
    </row>
    <row r="424" spans="2:26" ht="12.75" x14ac:dyDescent="0.2">
      <c r="B424" s="6"/>
      <c r="C424" s="6"/>
      <c r="D424" s="6"/>
      <c r="E424" s="9"/>
      <c r="F424" s="9"/>
      <c r="G424" s="11"/>
      <c r="H424" s="5"/>
      <c r="I424" s="8"/>
      <c r="J424" s="8"/>
      <c r="Z424" s="6"/>
    </row>
    <row r="425" spans="2:26" ht="12.75" x14ac:dyDescent="0.2">
      <c r="B425" s="6"/>
      <c r="C425" s="6"/>
      <c r="D425" s="6"/>
      <c r="E425" s="9"/>
      <c r="F425" s="9"/>
      <c r="G425" s="11"/>
      <c r="H425" s="5"/>
      <c r="I425" s="8"/>
      <c r="J425" s="8"/>
      <c r="Z425" s="6"/>
    </row>
    <row r="426" spans="2:26" ht="12.75" x14ac:dyDescent="0.2">
      <c r="B426" s="6"/>
      <c r="C426" s="6"/>
      <c r="D426" s="6"/>
      <c r="E426" s="9"/>
      <c r="F426" s="9"/>
      <c r="G426" s="11"/>
      <c r="H426" s="5"/>
      <c r="I426" s="8"/>
      <c r="J426" s="8"/>
      <c r="Z426" s="6"/>
    </row>
    <row r="427" spans="2:26" ht="12.75" x14ac:dyDescent="0.2">
      <c r="B427" s="6"/>
      <c r="C427" s="6"/>
      <c r="D427" s="6"/>
      <c r="E427" s="9"/>
      <c r="F427" s="9"/>
      <c r="G427" s="11"/>
      <c r="H427" s="5"/>
      <c r="I427" s="8"/>
      <c r="J427" s="8"/>
      <c r="Z427" s="6"/>
    </row>
    <row r="428" spans="2:26" ht="12.75" x14ac:dyDescent="0.2">
      <c r="B428" s="6"/>
      <c r="C428" s="6"/>
      <c r="D428" s="6"/>
      <c r="E428" s="9"/>
      <c r="F428" s="9"/>
      <c r="G428" s="11"/>
      <c r="H428" s="5"/>
      <c r="I428" s="8"/>
      <c r="J428" s="8"/>
      <c r="Z428" s="6"/>
    </row>
    <row r="429" spans="2:26" ht="12.75" x14ac:dyDescent="0.2">
      <c r="B429" s="6"/>
      <c r="C429" s="6"/>
      <c r="D429" s="6"/>
      <c r="E429" s="9"/>
      <c r="F429" s="9"/>
      <c r="G429" s="11"/>
      <c r="H429" s="5"/>
      <c r="I429" s="8"/>
      <c r="J429" s="8"/>
      <c r="Z429" s="6"/>
    </row>
    <row r="430" spans="2:26" ht="12.75" x14ac:dyDescent="0.2">
      <c r="B430" s="6"/>
      <c r="C430" s="6"/>
      <c r="D430" s="6"/>
      <c r="E430" s="9"/>
      <c r="F430" s="9"/>
      <c r="G430" s="11"/>
      <c r="H430" s="5"/>
      <c r="I430" s="8"/>
      <c r="J430" s="8"/>
      <c r="Z430" s="6"/>
    </row>
    <row r="431" spans="2:26" ht="12.75" x14ac:dyDescent="0.2">
      <c r="B431" s="6"/>
      <c r="C431" s="6"/>
      <c r="D431" s="6"/>
      <c r="E431" s="9"/>
      <c r="F431" s="9"/>
      <c r="G431" s="11"/>
      <c r="H431" s="5"/>
      <c r="I431" s="8"/>
      <c r="J431" s="8"/>
      <c r="Z431" s="6"/>
    </row>
    <row r="432" spans="2:26" ht="12.75" x14ac:dyDescent="0.2">
      <c r="B432" s="6"/>
      <c r="C432" s="6"/>
      <c r="D432" s="6"/>
      <c r="E432" s="9"/>
      <c r="F432" s="9"/>
      <c r="G432" s="11"/>
      <c r="H432" s="5"/>
      <c r="I432" s="8"/>
      <c r="J432" s="8"/>
      <c r="Z432" s="6"/>
    </row>
    <row r="433" spans="2:26" ht="12.75" x14ac:dyDescent="0.2">
      <c r="B433" s="6"/>
      <c r="C433" s="6"/>
      <c r="D433" s="6"/>
      <c r="E433" s="9"/>
      <c r="F433" s="9"/>
      <c r="G433" s="11"/>
      <c r="H433" s="5"/>
      <c r="I433" s="8"/>
      <c r="J433" s="8"/>
      <c r="Z433" s="6"/>
    </row>
    <row r="434" spans="2:26" ht="12.75" x14ac:dyDescent="0.2">
      <c r="B434" s="6"/>
      <c r="C434" s="6"/>
      <c r="D434" s="6"/>
      <c r="E434" s="9"/>
      <c r="F434" s="9"/>
      <c r="G434" s="11"/>
      <c r="H434" s="5"/>
      <c r="I434" s="8"/>
      <c r="J434" s="8"/>
      <c r="Z434" s="6"/>
    </row>
    <row r="435" spans="2:26" ht="12.75" x14ac:dyDescent="0.2">
      <c r="B435" s="6"/>
      <c r="C435" s="6"/>
      <c r="D435" s="6"/>
      <c r="E435" s="9"/>
      <c r="F435" s="9"/>
      <c r="G435" s="11"/>
      <c r="H435" s="5"/>
      <c r="I435" s="8"/>
      <c r="J435" s="8"/>
      <c r="Z435" s="6"/>
    </row>
    <row r="436" spans="2:26" ht="12.75" x14ac:dyDescent="0.2">
      <c r="B436" s="6"/>
      <c r="C436" s="6"/>
      <c r="D436" s="6"/>
      <c r="E436" s="9"/>
      <c r="F436" s="9"/>
      <c r="G436" s="11"/>
      <c r="H436" s="5"/>
      <c r="I436" s="8"/>
      <c r="J436" s="8"/>
      <c r="Z436" s="6"/>
    </row>
    <row r="437" spans="2:26" ht="12.75" x14ac:dyDescent="0.2">
      <c r="B437" s="6"/>
      <c r="C437" s="6"/>
      <c r="D437" s="6"/>
      <c r="E437" s="9"/>
      <c r="F437" s="9"/>
      <c r="G437" s="11"/>
      <c r="H437" s="5"/>
      <c r="I437" s="8"/>
      <c r="J437" s="8"/>
      <c r="Z437" s="6"/>
    </row>
    <row r="438" spans="2:26" ht="12.75" x14ac:dyDescent="0.2">
      <c r="B438" s="6"/>
      <c r="C438" s="6"/>
      <c r="D438" s="6"/>
      <c r="E438" s="9"/>
      <c r="F438" s="9"/>
      <c r="G438" s="11"/>
      <c r="H438" s="5"/>
      <c r="I438" s="8"/>
      <c r="J438" s="8"/>
      <c r="Z438" s="6"/>
    </row>
    <row r="439" spans="2:26" ht="12.75" x14ac:dyDescent="0.2">
      <c r="B439" s="6"/>
      <c r="C439" s="6"/>
      <c r="D439" s="6"/>
      <c r="E439" s="9"/>
      <c r="F439" s="9"/>
      <c r="G439" s="11"/>
      <c r="H439" s="5"/>
      <c r="I439" s="8"/>
      <c r="J439" s="8"/>
      <c r="Z439" s="6"/>
    </row>
    <row r="440" spans="2:26" ht="12.75" x14ac:dyDescent="0.2">
      <c r="B440" s="6"/>
      <c r="C440" s="6"/>
      <c r="D440" s="6"/>
      <c r="E440" s="9"/>
      <c r="F440" s="9"/>
      <c r="G440" s="11"/>
      <c r="H440" s="5"/>
      <c r="I440" s="8"/>
      <c r="J440" s="8"/>
      <c r="Z440" s="6"/>
    </row>
    <row r="441" spans="2:26" ht="12.75" x14ac:dyDescent="0.2">
      <c r="B441" s="6"/>
      <c r="C441" s="6"/>
      <c r="D441" s="6"/>
      <c r="E441" s="9"/>
      <c r="F441" s="9"/>
      <c r="G441" s="11"/>
      <c r="H441" s="5"/>
      <c r="I441" s="8"/>
      <c r="J441" s="8"/>
      <c r="Z441" s="6"/>
    </row>
    <row r="442" spans="2:26" ht="12.75" x14ac:dyDescent="0.2">
      <c r="B442" s="6"/>
      <c r="C442" s="6"/>
      <c r="D442" s="6"/>
      <c r="E442" s="9"/>
      <c r="F442" s="9"/>
      <c r="G442" s="11"/>
      <c r="H442" s="5"/>
      <c r="I442" s="8"/>
      <c r="J442" s="8"/>
      <c r="Z442" s="6"/>
    </row>
    <row r="443" spans="2:26" ht="12.75" x14ac:dyDescent="0.2">
      <c r="B443" s="6"/>
      <c r="C443" s="6"/>
      <c r="D443" s="6"/>
      <c r="E443" s="9"/>
      <c r="F443" s="9"/>
      <c r="G443" s="11"/>
      <c r="H443" s="5"/>
      <c r="I443" s="8"/>
      <c r="J443" s="8"/>
      <c r="Z443" s="6"/>
    </row>
    <row r="444" spans="2:26" ht="12.75" x14ac:dyDescent="0.2">
      <c r="B444" s="6"/>
      <c r="C444" s="6"/>
      <c r="D444" s="6"/>
      <c r="E444" s="9"/>
      <c r="F444" s="9"/>
      <c r="G444" s="11"/>
      <c r="H444" s="5"/>
      <c r="I444" s="8"/>
      <c r="J444" s="8"/>
      <c r="Z444" s="6"/>
    </row>
    <row r="445" spans="2:26" ht="12.75" x14ac:dyDescent="0.2">
      <c r="B445" s="6"/>
      <c r="C445" s="6"/>
      <c r="D445" s="6"/>
      <c r="E445" s="9"/>
      <c r="F445" s="9"/>
      <c r="G445" s="11"/>
      <c r="H445" s="5"/>
      <c r="I445" s="8"/>
      <c r="J445" s="8"/>
      <c r="Z445" s="6"/>
    </row>
    <row r="446" spans="2:26" ht="12.75" x14ac:dyDescent="0.2">
      <c r="B446" s="6"/>
      <c r="C446" s="6"/>
      <c r="D446" s="6"/>
      <c r="E446" s="9"/>
      <c r="F446" s="9"/>
      <c r="G446" s="11"/>
      <c r="H446" s="5"/>
      <c r="I446" s="8"/>
      <c r="J446" s="8"/>
      <c r="Z446" s="6"/>
    </row>
    <row r="447" spans="2:26" ht="12.75" x14ac:dyDescent="0.2">
      <c r="B447" s="6"/>
      <c r="C447" s="6"/>
      <c r="D447" s="6"/>
      <c r="E447" s="9"/>
      <c r="F447" s="9"/>
      <c r="G447" s="11"/>
      <c r="H447" s="5"/>
      <c r="I447" s="8"/>
      <c r="J447" s="8"/>
      <c r="Z447" s="6"/>
    </row>
    <row r="448" spans="2:26" ht="12.75" x14ac:dyDescent="0.2">
      <c r="B448" s="6"/>
      <c r="C448" s="6"/>
      <c r="D448" s="6"/>
      <c r="E448" s="9"/>
      <c r="F448" s="9"/>
      <c r="G448" s="11"/>
      <c r="H448" s="5"/>
      <c r="I448" s="8"/>
      <c r="J448" s="8"/>
      <c r="Z448" s="6"/>
    </row>
    <row r="449" spans="2:26" ht="12.75" x14ac:dyDescent="0.2">
      <c r="B449" s="6"/>
      <c r="C449" s="6"/>
      <c r="D449" s="6"/>
      <c r="E449" s="9"/>
      <c r="F449" s="9"/>
      <c r="G449" s="11"/>
      <c r="H449" s="5"/>
      <c r="I449" s="8"/>
      <c r="J449" s="8"/>
      <c r="Z449" s="6"/>
    </row>
    <row r="450" spans="2:26" ht="12.75" x14ac:dyDescent="0.2">
      <c r="B450" s="6"/>
      <c r="C450" s="6"/>
      <c r="D450" s="6"/>
      <c r="E450" s="9"/>
      <c r="F450" s="9"/>
      <c r="G450" s="11"/>
      <c r="H450" s="5"/>
      <c r="I450" s="8"/>
      <c r="J450" s="8"/>
      <c r="Z450" s="6"/>
    </row>
    <row r="451" spans="2:26" ht="12.75" x14ac:dyDescent="0.2">
      <c r="B451" s="6"/>
      <c r="C451" s="6"/>
      <c r="D451" s="6"/>
      <c r="E451" s="9"/>
      <c r="F451" s="9"/>
      <c r="G451" s="11"/>
      <c r="H451" s="5"/>
      <c r="I451" s="8"/>
      <c r="J451" s="8"/>
      <c r="Z451" s="6"/>
    </row>
    <row r="452" spans="2:26" ht="12.75" x14ac:dyDescent="0.2">
      <c r="B452" s="6"/>
      <c r="C452" s="6"/>
      <c r="D452" s="6"/>
      <c r="E452" s="9"/>
      <c r="F452" s="9"/>
      <c r="G452" s="11"/>
      <c r="H452" s="5"/>
      <c r="I452" s="8"/>
      <c r="J452" s="8"/>
      <c r="Z452" s="6"/>
    </row>
    <row r="453" spans="2:26" ht="12.75" x14ac:dyDescent="0.2">
      <c r="B453" s="6"/>
      <c r="C453" s="6"/>
      <c r="D453" s="6"/>
      <c r="E453" s="9"/>
      <c r="F453" s="9"/>
      <c r="G453" s="11"/>
      <c r="H453" s="5"/>
      <c r="I453" s="8"/>
      <c r="J453" s="8"/>
      <c r="Z453" s="6"/>
    </row>
    <row r="454" spans="2:26" ht="12.75" x14ac:dyDescent="0.2">
      <c r="B454" s="6"/>
      <c r="C454" s="6"/>
      <c r="D454" s="6"/>
      <c r="E454" s="9"/>
      <c r="F454" s="9"/>
      <c r="G454" s="11"/>
      <c r="H454" s="5"/>
      <c r="I454" s="8"/>
      <c r="J454" s="8"/>
      <c r="Z454" s="6"/>
    </row>
    <row r="455" spans="2:26" ht="12.75" x14ac:dyDescent="0.2">
      <c r="B455" s="6"/>
      <c r="C455" s="6"/>
      <c r="D455" s="6"/>
      <c r="E455" s="9"/>
      <c r="F455" s="9"/>
      <c r="G455" s="11"/>
      <c r="H455" s="5"/>
      <c r="I455" s="8"/>
      <c r="J455" s="8"/>
      <c r="Z455" s="6"/>
    </row>
    <row r="456" spans="2:26" ht="12.75" x14ac:dyDescent="0.2">
      <c r="B456" s="6"/>
      <c r="C456" s="6"/>
      <c r="D456" s="6"/>
      <c r="E456" s="9"/>
      <c r="F456" s="9"/>
      <c r="G456" s="11"/>
      <c r="H456" s="5"/>
      <c r="I456" s="8"/>
      <c r="J456" s="8"/>
      <c r="Z456" s="6"/>
    </row>
    <row r="457" spans="2:26" ht="12.75" x14ac:dyDescent="0.2">
      <c r="B457" s="6"/>
      <c r="C457" s="6"/>
      <c r="D457" s="6"/>
      <c r="E457" s="9"/>
      <c r="F457" s="9"/>
      <c r="G457" s="11"/>
      <c r="H457" s="5"/>
      <c r="I457" s="8"/>
      <c r="J457" s="8"/>
      <c r="Z457" s="6"/>
    </row>
    <row r="458" spans="2:26" ht="12.75" x14ac:dyDescent="0.2">
      <c r="B458" s="6"/>
      <c r="C458" s="6"/>
      <c r="D458" s="6"/>
      <c r="E458" s="9"/>
      <c r="F458" s="9"/>
      <c r="G458" s="11"/>
      <c r="H458" s="5"/>
      <c r="I458" s="8"/>
      <c r="J458" s="8"/>
      <c r="Z458" s="6"/>
    </row>
    <row r="459" spans="2:26" ht="12.75" x14ac:dyDescent="0.2">
      <c r="B459" s="6"/>
      <c r="C459" s="6"/>
      <c r="D459" s="6"/>
      <c r="E459" s="9"/>
      <c r="F459" s="9"/>
      <c r="G459" s="11"/>
      <c r="H459" s="5"/>
      <c r="I459" s="8"/>
      <c r="J459" s="8"/>
      <c r="Z459" s="6"/>
    </row>
    <row r="460" spans="2:26" ht="12.75" x14ac:dyDescent="0.2">
      <c r="B460" s="6"/>
      <c r="C460" s="6"/>
      <c r="D460" s="6"/>
      <c r="E460" s="9"/>
      <c r="F460" s="9"/>
      <c r="G460" s="11"/>
      <c r="H460" s="5"/>
      <c r="I460" s="8"/>
      <c r="J460" s="8"/>
      <c r="Z460" s="6"/>
    </row>
    <row r="461" spans="2:26" ht="12.75" x14ac:dyDescent="0.2">
      <c r="B461" s="6"/>
      <c r="C461" s="6"/>
      <c r="D461" s="6"/>
      <c r="E461" s="9"/>
      <c r="F461" s="9"/>
      <c r="G461" s="11"/>
      <c r="H461" s="5"/>
      <c r="I461" s="8"/>
      <c r="J461" s="8"/>
      <c r="Z461" s="6"/>
    </row>
    <row r="462" spans="2:26" ht="12.75" x14ac:dyDescent="0.2">
      <c r="B462" s="6"/>
      <c r="C462" s="6"/>
      <c r="D462" s="6"/>
      <c r="E462" s="9"/>
      <c r="F462" s="9"/>
      <c r="G462" s="11"/>
      <c r="H462" s="5"/>
      <c r="I462" s="8"/>
      <c r="J462" s="8"/>
      <c r="Z462" s="6"/>
    </row>
    <row r="463" spans="2:26" ht="12.75" x14ac:dyDescent="0.2">
      <c r="B463" s="6"/>
      <c r="C463" s="6"/>
      <c r="D463" s="6"/>
      <c r="E463" s="9"/>
      <c r="F463" s="9"/>
      <c r="G463" s="11"/>
      <c r="H463" s="5"/>
      <c r="I463" s="8"/>
      <c r="J463" s="8"/>
      <c r="Z463" s="6"/>
    </row>
    <row r="464" spans="2:26" ht="12.75" x14ac:dyDescent="0.2">
      <c r="B464" s="6"/>
      <c r="C464" s="6"/>
      <c r="D464" s="6"/>
      <c r="E464" s="9"/>
      <c r="F464" s="9"/>
      <c r="G464" s="11"/>
      <c r="H464" s="5"/>
      <c r="I464" s="8"/>
      <c r="J464" s="8"/>
      <c r="Z464" s="6"/>
    </row>
    <row r="465" spans="2:26" ht="12.75" x14ac:dyDescent="0.2">
      <c r="B465" s="6"/>
      <c r="C465" s="6"/>
      <c r="D465" s="6"/>
      <c r="E465" s="9"/>
      <c r="F465" s="9"/>
      <c r="G465" s="11"/>
      <c r="H465" s="5"/>
      <c r="I465" s="8"/>
      <c r="J465" s="8"/>
      <c r="Z465" s="6"/>
    </row>
    <row r="466" spans="2:26" ht="12.75" x14ac:dyDescent="0.2">
      <c r="B466" s="6"/>
      <c r="C466" s="6"/>
      <c r="D466" s="6"/>
      <c r="E466" s="9"/>
      <c r="F466" s="9"/>
      <c r="G466" s="11"/>
      <c r="H466" s="5"/>
      <c r="I466" s="8"/>
      <c r="J466" s="8"/>
      <c r="Z466" s="6"/>
    </row>
    <row r="467" spans="2:26" ht="12.75" x14ac:dyDescent="0.2">
      <c r="B467" s="6"/>
      <c r="C467" s="6"/>
      <c r="D467" s="6"/>
      <c r="E467" s="9"/>
      <c r="F467" s="9"/>
      <c r="G467" s="11"/>
      <c r="H467" s="5"/>
      <c r="I467" s="8"/>
      <c r="J467" s="8"/>
      <c r="Z467" s="6"/>
    </row>
    <row r="468" spans="2:26" ht="12.75" x14ac:dyDescent="0.2">
      <c r="B468" s="6"/>
      <c r="C468" s="6"/>
      <c r="D468" s="6"/>
      <c r="E468" s="9"/>
      <c r="F468" s="9"/>
      <c r="G468" s="11"/>
      <c r="H468" s="5"/>
      <c r="I468" s="8"/>
      <c r="J468" s="8"/>
      <c r="Z468" s="6"/>
    </row>
    <row r="469" spans="2:26" ht="12.75" x14ac:dyDescent="0.2">
      <c r="B469" s="6"/>
      <c r="C469" s="6"/>
      <c r="D469" s="6"/>
      <c r="E469" s="9"/>
      <c r="F469" s="9"/>
      <c r="G469" s="11"/>
      <c r="H469" s="5"/>
      <c r="I469" s="8"/>
      <c r="J469" s="8"/>
      <c r="Z469" s="6"/>
    </row>
    <row r="470" spans="2:26" ht="12.75" x14ac:dyDescent="0.2">
      <c r="B470" s="6"/>
      <c r="C470" s="6"/>
      <c r="D470" s="6"/>
      <c r="E470" s="9"/>
      <c r="F470" s="9"/>
      <c r="G470" s="11"/>
      <c r="H470" s="5"/>
      <c r="I470" s="8"/>
      <c r="J470" s="8"/>
      <c r="Z470" s="6"/>
    </row>
    <row r="471" spans="2:26" ht="12.75" x14ac:dyDescent="0.2">
      <c r="B471" s="6"/>
      <c r="C471" s="6"/>
      <c r="D471" s="6"/>
      <c r="E471" s="9"/>
      <c r="F471" s="9"/>
      <c r="G471" s="11"/>
      <c r="H471" s="5"/>
      <c r="I471" s="8"/>
      <c r="J471" s="8"/>
      <c r="Z471" s="6"/>
    </row>
    <row r="472" spans="2:26" ht="12.75" x14ac:dyDescent="0.2">
      <c r="B472" s="6"/>
      <c r="C472" s="6"/>
      <c r="D472" s="6"/>
      <c r="E472" s="9"/>
      <c r="F472" s="9"/>
      <c r="G472" s="11"/>
      <c r="H472" s="5"/>
      <c r="I472" s="8"/>
      <c r="J472" s="8"/>
      <c r="Z472" s="6"/>
    </row>
    <row r="473" spans="2:26" ht="12.75" x14ac:dyDescent="0.2">
      <c r="B473" s="6"/>
      <c r="C473" s="6"/>
      <c r="D473" s="6"/>
      <c r="E473" s="9"/>
      <c r="F473" s="9"/>
      <c r="G473" s="11"/>
      <c r="H473" s="5"/>
      <c r="I473" s="8"/>
      <c r="J473" s="8"/>
      <c r="Z473" s="6"/>
    </row>
    <row r="474" spans="2:26" ht="12.75" x14ac:dyDescent="0.2">
      <c r="B474" s="6"/>
      <c r="C474" s="6"/>
      <c r="D474" s="6"/>
      <c r="E474" s="9"/>
      <c r="F474" s="9"/>
      <c r="G474" s="11"/>
      <c r="H474" s="5"/>
      <c r="I474" s="8"/>
      <c r="J474" s="8"/>
      <c r="Z474" s="6"/>
    </row>
    <row r="475" spans="2:26" ht="12.75" x14ac:dyDescent="0.2">
      <c r="B475" s="6"/>
      <c r="C475" s="6"/>
      <c r="D475" s="6"/>
      <c r="E475" s="9"/>
      <c r="F475" s="9"/>
      <c r="G475" s="11"/>
      <c r="H475" s="5"/>
      <c r="I475" s="8"/>
      <c r="J475" s="8"/>
      <c r="Z475" s="6"/>
    </row>
    <row r="476" spans="2:26" ht="12.75" x14ac:dyDescent="0.2">
      <c r="B476" s="6"/>
      <c r="C476" s="6"/>
      <c r="D476" s="6"/>
      <c r="E476" s="9"/>
      <c r="F476" s="9"/>
      <c r="G476" s="11"/>
      <c r="H476" s="5"/>
      <c r="I476" s="8"/>
      <c r="J476" s="8"/>
      <c r="Z476" s="6"/>
    </row>
    <row r="477" spans="2:26" ht="12.75" x14ac:dyDescent="0.2">
      <c r="B477" s="6"/>
      <c r="C477" s="6"/>
      <c r="D477" s="6"/>
      <c r="E477" s="9"/>
      <c r="F477" s="9"/>
      <c r="G477" s="11"/>
      <c r="H477" s="5"/>
      <c r="I477" s="8"/>
      <c r="J477" s="8"/>
      <c r="Z477" s="6"/>
    </row>
    <row r="478" spans="2:26" ht="12.75" x14ac:dyDescent="0.2">
      <c r="B478" s="6"/>
      <c r="C478" s="6"/>
      <c r="D478" s="6"/>
      <c r="E478" s="9"/>
      <c r="F478" s="9"/>
      <c r="G478" s="11"/>
      <c r="H478" s="5"/>
      <c r="I478" s="8"/>
      <c r="J478" s="8"/>
      <c r="Z478" s="6"/>
    </row>
    <row r="479" spans="2:26" ht="12.75" x14ac:dyDescent="0.2">
      <c r="B479" s="6"/>
      <c r="C479" s="6"/>
      <c r="D479" s="6"/>
      <c r="E479" s="9"/>
      <c r="F479" s="9"/>
      <c r="G479" s="11"/>
      <c r="H479" s="5"/>
      <c r="I479" s="8"/>
      <c r="J479" s="8"/>
      <c r="Z479" s="6"/>
    </row>
    <row r="480" spans="2:26" ht="12.75" x14ac:dyDescent="0.2">
      <c r="B480" s="6"/>
      <c r="C480" s="6"/>
      <c r="D480" s="6"/>
      <c r="E480" s="9"/>
      <c r="F480" s="9"/>
      <c r="G480" s="11"/>
      <c r="H480" s="5"/>
      <c r="I480" s="8"/>
      <c r="J480" s="8"/>
      <c r="Z480" s="6"/>
    </row>
    <row r="481" spans="2:26" ht="12.75" x14ac:dyDescent="0.2">
      <c r="B481" s="6"/>
      <c r="C481" s="6"/>
      <c r="D481" s="6"/>
      <c r="E481" s="9"/>
      <c r="F481" s="9"/>
      <c r="G481" s="11"/>
      <c r="H481" s="5"/>
      <c r="I481" s="8"/>
      <c r="J481" s="8"/>
      <c r="Z481" s="6"/>
    </row>
    <row r="482" spans="2:26" ht="12.75" x14ac:dyDescent="0.2">
      <c r="B482" s="6"/>
      <c r="C482" s="6"/>
      <c r="D482" s="6"/>
      <c r="E482" s="9"/>
      <c r="F482" s="9"/>
      <c r="G482" s="11"/>
      <c r="H482" s="5"/>
      <c r="I482" s="8"/>
      <c r="J482" s="8"/>
      <c r="Z482" s="6"/>
    </row>
    <row r="483" spans="2:26" ht="12.75" x14ac:dyDescent="0.2">
      <c r="B483" s="6"/>
      <c r="C483" s="6"/>
      <c r="D483" s="6"/>
      <c r="E483" s="9"/>
      <c r="F483" s="9"/>
      <c r="G483" s="11"/>
      <c r="H483" s="5"/>
      <c r="I483" s="8"/>
      <c r="J483" s="8"/>
      <c r="Z483" s="6"/>
    </row>
    <row r="484" spans="2:26" ht="12.75" x14ac:dyDescent="0.2">
      <c r="B484" s="6"/>
      <c r="C484" s="6"/>
      <c r="D484" s="6"/>
      <c r="E484" s="9"/>
      <c r="F484" s="9"/>
      <c r="G484" s="11"/>
      <c r="H484" s="5"/>
      <c r="I484" s="8"/>
      <c r="J484" s="8"/>
      <c r="Z484" s="6"/>
    </row>
    <row r="485" spans="2:26" ht="12.75" x14ac:dyDescent="0.2">
      <c r="B485" s="6"/>
      <c r="C485" s="6"/>
      <c r="D485" s="6"/>
      <c r="E485" s="9"/>
      <c r="F485" s="9"/>
      <c r="G485" s="11"/>
      <c r="H485" s="5"/>
      <c r="I485" s="8"/>
      <c r="J485" s="8"/>
      <c r="Z485" s="6"/>
    </row>
    <row r="486" spans="2:26" ht="12.75" x14ac:dyDescent="0.2">
      <c r="B486" s="6"/>
      <c r="C486" s="6"/>
      <c r="D486" s="6"/>
      <c r="E486" s="9"/>
      <c r="F486" s="9"/>
      <c r="G486" s="11"/>
      <c r="H486" s="5"/>
      <c r="I486" s="8"/>
      <c r="J486" s="8"/>
      <c r="Z486" s="6"/>
    </row>
    <row r="487" spans="2:26" ht="12.75" x14ac:dyDescent="0.2">
      <c r="B487" s="6"/>
      <c r="C487" s="6"/>
      <c r="D487" s="6"/>
      <c r="E487" s="9"/>
      <c r="F487" s="9"/>
      <c r="G487" s="11"/>
      <c r="H487" s="5"/>
      <c r="I487" s="8"/>
      <c r="J487" s="8"/>
      <c r="Z487" s="6"/>
    </row>
    <row r="488" spans="2:26" ht="12.75" x14ac:dyDescent="0.2">
      <c r="B488" s="6"/>
      <c r="C488" s="6"/>
      <c r="D488" s="6"/>
      <c r="E488" s="9"/>
      <c r="F488" s="9"/>
      <c r="G488" s="11"/>
      <c r="H488" s="5"/>
      <c r="I488" s="8"/>
      <c r="J488" s="8"/>
      <c r="Z488" s="6"/>
    </row>
    <row r="489" spans="2:26" ht="12.75" x14ac:dyDescent="0.2">
      <c r="B489" s="6"/>
      <c r="C489" s="6"/>
      <c r="D489" s="6"/>
      <c r="E489" s="9"/>
      <c r="F489" s="9"/>
      <c r="G489" s="11"/>
      <c r="H489" s="5"/>
      <c r="I489" s="8"/>
      <c r="J489" s="8"/>
      <c r="Z489" s="6"/>
    </row>
    <row r="490" spans="2:26" ht="12.75" x14ac:dyDescent="0.2">
      <c r="B490" s="6"/>
      <c r="C490" s="6"/>
      <c r="D490" s="6"/>
      <c r="E490" s="9"/>
      <c r="F490" s="9"/>
      <c r="G490" s="11"/>
      <c r="H490" s="5"/>
      <c r="I490" s="8"/>
      <c r="J490" s="8"/>
      <c r="Z490" s="6"/>
    </row>
    <row r="491" spans="2:26" ht="12.75" x14ac:dyDescent="0.2">
      <c r="B491" s="6"/>
      <c r="C491" s="6"/>
      <c r="D491" s="6"/>
      <c r="E491" s="9"/>
      <c r="F491" s="9"/>
      <c r="G491" s="11"/>
      <c r="H491" s="5"/>
      <c r="I491" s="8"/>
      <c r="J491" s="8"/>
      <c r="Z491" s="6"/>
    </row>
    <row r="492" spans="2:26" ht="12.75" x14ac:dyDescent="0.2">
      <c r="B492" s="6"/>
      <c r="C492" s="6"/>
      <c r="D492" s="6"/>
      <c r="E492" s="9"/>
      <c r="F492" s="9"/>
      <c r="G492" s="11"/>
      <c r="H492" s="5"/>
      <c r="I492" s="8"/>
      <c r="J492" s="8"/>
      <c r="Z492" s="6"/>
    </row>
    <row r="493" spans="2:26" ht="12.75" x14ac:dyDescent="0.2">
      <c r="B493" s="6"/>
      <c r="C493" s="6"/>
      <c r="D493" s="6"/>
      <c r="E493" s="9"/>
      <c r="F493" s="9"/>
      <c r="G493" s="11"/>
      <c r="H493" s="5"/>
      <c r="I493" s="8"/>
      <c r="J493" s="8"/>
      <c r="Z493" s="6"/>
    </row>
    <row r="494" spans="2:26" ht="12.75" x14ac:dyDescent="0.2">
      <c r="B494" s="6"/>
      <c r="C494" s="6"/>
      <c r="D494" s="6"/>
      <c r="E494" s="9"/>
      <c r="F494" s="9"/>
      <c r="G494" s="11"/>
      <c r="H494" s="5"/>
      <c r="I494" s="8"/>
      <c r="J494" s="8"/>
      <c r="Z494" s="6"/>
    </row>
    <row r="495" spans="2:26" ht="12.75" x14ac:dyDescent="0.2">
      <c r="B495" s="6"/>
      <c r="C495" s="6"/>
      <c r="D495" s="6"/>
      <c r="E495" s="9"/>
      <c r="F495" s="9"/>
      <c r="G495" s="11"/>
      <c r="H495" s="5"/>
      <c r="I495" s="8"/>
      <c r="J495" s="8"/>
      <c r="Z495" s="6"/>
    </row>
    <row r="496" spans="2:26" ht="12.75" x14ac:dyDescent="0.2">
      <c r="B496" s="6"/>
      <c r="C496" s="6"/>
      <c r="D496" s="6"/>
      <c r="E496" s="9"/>
      <c r="F496" s="9"/>
      <c r="G496" s="11"/>
      <c r="H496" s="5"/>
      <c r="I496" s="8"/>
      <c r="J496" s="8"/>
      <c r="Z496" s="6"/>
    </row>
    <row r="497" spans="2:26" ht="12.75" x14ac:dyDescent="0.2">
      <c r="B497" s="6"/>
      <c r="C497" s="6"/>
      <c r="D497" s="6"/>
      <c r="E497" s="9"/>
      <c r="F497" s="9"/>
      <c r="G497" s="11"/>
      <c r="H497" s="5"/>
      <c r="I497" s="8"/>
      <c r="J497" s="8"/>
      <c r="Z497" s="6"/>
    </row>
    <row r="498" spans="2:26" ht="12.75" x14ac:dyDescent="0.2">
      <c r="B498" s="6"/>
      <c r="C498" s="6"/>
      <c r="D498" s="6"/>
      <c r="E498" s="9"/>
      <c r="F498" s="9"/>
      <c r="G498" s="11"/>
      <c r="H498" s="5"/>
      <c r="I498" s="8"/>
      <c r="J498" s="8"/>
      <c r="Z498" s="6"/>
    </row>
    <row r="499" spans="2:26" ht="12.75" x14ac:dyDescent="0.2">
      <c r="B499" s="6"/>
      <c r="C499" s="6"/>
      <c r="D499" s="6"/>
      <c r="E499" s="9"/>
      <c r="F499" s="9"/>
      <c r="G499" s="11"/>
      <c r="H499" s="5"/>
      <c r="I499" s="8"/>
      <c r="J499" s="8"/>
      <c r="Z499" s="6"/>
    </row>
    <row r="500" spans="2:26" ht="12.75" x14ac:dyDescent="0.2">
      <c r="B500" s="6"/>
      <c r="C500" s="6"/>
      <c r="D500" s="6"/>
      <c r="E500" s="9"/>
      <c r="F500" s="9"/>
      <c r="G500" s="11"/>
      <c r="H500" s="5"/>
      <c r="I500" s="8"/>
      <c r="J500" s="8"/>
      <c r="Z500" s="6"/>
    </row>
    <row r="501" spans="2:26" ht="12.75" x14ac:dyDescent="0.2">
      <c r="B501" s="6"/>
      <c r="C501" s="6"/>
      <c r="D501" s="6"/>
      <c r="E501" s="9"/>
      <c r="F501" s="9"/>
      <c r="G501" s="11"/>
      <c r="H501" s="5"/>
      <c r="I501" s="8"/>
      <c r="J501" s="8"/>
      <c r="Z501" s="6"/>
    </row>
    <row r="502" spans="2:26" ht="12.75" x14ac:dyDescent="0.2">
      <c r="B502" s="6"/>
      <c r="C502" s="6"/>
      <c r="D502" s="6"/>
      <c r="E502" s="9"/>
      <c r="F502" s="9"/>
      <c r="G502" s="11"/>
      <c r="H502" s="5"/>
      <c r="I502" s="8"/>
      <c r="J502" s="8"/>
      <c r="Z502" s="6"/>
    </row>
    <row r="503" spans="2:26" ht="12.75" x14ac:dyDescent="0.2">
      <c r="B503" s="6"/>
      <c r="C503" s="6"/>
      <c r="D503" s="6"/>
      <c r="E503" s="9"/>
      <c r="F503" s="9"/>
      <c r="G503" s="11"/>
      <c r="H503" s="5"/>
      <c r="I503" s="8"/>
      <c r="J503" s="8"/>
      <c r="Z503" s="6"/>
    </row>
    <row r="504" spans="2:26" ht="12.75" x14ac:dyDescent="0.2">
      <c r="B504" s="6"/>
      <c r="C504" s="6"/>
      <c r="D504" s="6"/>
      <c r="E504" s="9"/>
      <c r="F504" s="9"/>
      <c r="G504" s="11"/>
      <c r="H504" s="5"/>
      <c r="I504" s="8"/>
      <c r="J504" s="8"/>
      <c r="Z504" s="6"/>
    </row>
    <row r="505" spans="2:26" ht="12.75" x14ac:dyDescent="0.2">
      <c r="B505" s="6"/>
      <c r="C505" s="6"/>
      <c r="D505" s="6"/>
      <c r="E505" s="9"/>
      <c r="F505" s="9"/>
      <c r="G505" s="11"/>
      <c r="H505" s="5"/>
      <c r="I505" s="8"/>
      <c r="J505" s="8"/>
      <c r="Z505" s="6"/>
    </row>
    <row r="506" spans="2:26" ht="12.75" x14ac:dyDescent="0.2">
      <c r="B506" s="6"/>
      <c r="C506" s="6"/>
      <c r="D506" s="6"/>
      <c r="E506" s="9"/>
      <c r="F506" s="9"/>
      <c r="G506" s="11"/>
      <c r="H506" s="5"/>
      <c r="I506" s="8"/>
      <c r="J506" s="8"/>
      <c r="Z506" s="6"/>
    </row>
    <row r="507" spans="2:26" ht="12.75" x14ac:dyDescent="0.2">
      <c r="B507" s="6"/>
      <c r="C507" s="6"/>
      <c r="D507" s="6"/>
      <c r="E507" s="9"/>
      <c r="F507" s="9"/>
      <c r="G507" s="11"/>
      <c r="H507" s="5"/>
      <c r="I507" s="8"/>
      <c r="J507" s="8"/>
      <c r="Z507" s="6"/>
    </row>
    <row r="508" spans="2:26" ht="12.75" x14ac:dyDescent="0.2">
      <c r="B508" s="6"/>
      <c r="C508" s="6"/>
      <c r="D508" s="6"/>
      <c r="E508" s="9"/>
      <c r="F508" s="9"/>
      <c r="G508" s="11"/>
      <c r="H508" s="5"/>
      <c r="I508" s="8"/>
      <c r="J508" s="8"/>
      <c r="Z508" s="6"/>
    </row>
    <row r="509" spans="2:26" ht="12.75" x14ac:dyDescent="0.2">
      <c r="B509" s="6"/>
      <c r="C509" s="6"/>
      <c r="D509" s="6"/>
      <c r="E509" s="9"/>
      <c r="F509" s="9"/>
      <c r="G509" s="11"/>
      <c r="H509" s="5"/>
      <c r="I509" s="8"/>
      <c r="J509" s="8"/>
      <c r="Z509" s="6"/>
    </row>
    <row r="510" spans="2:26" ht="12.75" x14ac:dyDescent="0.2">
      <c r="B510" s="6"/>
      <c r="C510" s="6"/>
      <c r="D510" s="6"/>
      <c r="E510" s="9"/>
      <c r="F510" s="9"/>
      <c r="G510" s="11"/>
      <c r="H510" s="5"/>
      <c r="I510" s="8"/>
      <c r="J510" s="8"/>
      <c r="Z510" s="6"/>
    </row>
    <row r="511" spans="2:26" ht="12.75" x14ac:dyDescent="0.2">
      <c r="B511" s="6"/>
      <c r="C511" s="6"/>
      <c r="D511" s="6"/>
      <c r="E511" s="9"/>
      <c r="F511" s="9"/>
      <c r="G511" s="11"/>
      <c r="H511" s="5"/>
      <c r="I511" s="8"/>
      <c r="J511" s="8"/>
      <c r="Z511" s="6"/>
    </row>
    <row r="512" spans="2:26" ht="12.75" x14ac:dyDescent="0.2">
      <c r="B512" s="6"/>
      <c r="C512" s="6"/>
      <c r="D512" s="6"/>
      <c r="E512" s="9"/>
      <c r="F512" s="9"/>
      <c r="G512" s="11"/>
      <c r="H512" s="5"/>
      <c r="I512" s="8"/>
      <c r="J512" s="8"/>
      <c r="Z512" s="6"/>
    </row>
    <row r="513" spans="2:26" ht="12.75" x14ac:dyDescent="0.2">
      <c r="B513" s="6"/>
      <c r="C513" s="6"/>
      <c r="D513" s="6"/>
      <c r="E513" s="9"/>
      <c r="F513" s="9"/>
      <c r="G513" s="11"/>
      <c r="H513" s="5"/>
      <c r="I513" s="8"/>
      <c r="J513" s="8"/>
      <c r="Z513" s="6"/>
    </row>
    <row r="514" spans="2:26" ht="12.75" x14ac:dyDescent="0.2">
      <c r="B514" s="6"/>
      <c r="C514" s="6"/>
      <c r="D514" s="6"/>
      <c r="E514" s="9"/>
      <c r="F514" s="9"/>
      <c r="G514" s="11"/>
      <c r="H514" s="5"/>
      <c r="I514" s="8"/>
      <c r="J514" s="8"/>
      <c r="Z514" s="6"/>
    </row>
    <row r="515" spans="2:26" ht="12.75" x14ac:dyDescent="0.2">
      <c r="B515" s="6"/>
      <c r="C515" s="6"/>
      <c r="D515" s="6"/>
      <c r="E515" s="9"/>
      <c r="F515" s="9"/>
      <c r="G515" s="11"/>
      <c r="H515" s="5"/>
      <c r="I515" s="8"/>
      <c r="J515" s="8"/>
      <c r="Z515" s="6"/>
    </row>
    <row r="516" spans="2:26" ht="12.75" x14ac:dyDescent="0.2">
      <c r="B516" s="6"/>
      <c r="C516" s="6"/>
      <c r="D516" s="6"/>
      <c r="E516" s="9"/>
      <c r="F516" s="9"/>
      <c r="G516" s="11"/>
      <c r="H516" s="5"/>
      <c r="I516" s="8"/>
      <c r="J516" s="8"/>
      <c r="Z516" s="6"/>
    </row>
    <row r="517" spans="2:26" ht="12.75" x14ac:dyDescent="0.2">
      <c r="B517" s="6"/>
      <c r="C517" s="6"/>
      <c r="D517" s="6"/>
      <c r="E517" s="9"/>
      <c r="F517" s="9"/>
      <c r="G517" s="11"/>
      <c r="H517" s="5"/>
      <c r="I517" s="8"/>
      <c r="J517" s="8"/>
      <c r="Z517" s="6"/>
    </row>
    <row r="518" spans="2:26" ht="12.75" x14ac:dyDescent="0.2">
      <c r="B518" s="6"/>
      <c r="C518" s="6"/>
      <c r="D518" s="6"/>
      <c r="E518" s="9"/>
      <c r="F518" s="9"/>
      <c r="G518" s="11"/>
      <c r="H518" s="5"/>
      <c r="I518" s="8"/>
      <c r="J518" s="8"/>
      <c r="Z518" s="6"/>
    </row>
    <row r="519" spans="2:26" ht="12.75" x14ac:dyDescent="0.2">
      <c r="B519" s="6"/>
      <c r="C519" s="6"/>
      <c r="D519" s="6"/>
      <c r="E519" s="9"/>
      <c r="F519" s="9"/>
      <c r="G519" s="11"/>
      <c r="H519" s="5"/>
      <c r="I519" s="8"/>
      <c r="J519" s="8"/>
      <c r="Z519" s="6"/>
    </row>
    <row r="520" spans="2:26" ht="12.75" x14ac:dyDescent="0.2">
      <c r="B520" s="6"/>
      <c r="C520" s="6"/>
      <c r="D520" s="6"/>
      <c r="E520" s="9"/>
      <c r="F520" s="9"/>
      <c r="G520" s="11"/>
      <c r="H520" s="5"/>
      <c r="I520" s="8"/>
      <c r="J520" s="8"/>
      <c r="Z520" s="6"/>
    </row>
    <row r="521" spans="2:26" ht="12.75" x14ac:dyDescent="0.2">
      <c r="B521" s="6"/>
      <c r="C521" s="6"/>
      <c r="D521" s="6"/>
      <c r="E521" s="9"/>
      <c r="F521" s="9"/>
      <c r="G521" s="11"/>
      <c r="H521" s="5"/>
      <c r="I521" s="8"/>
      <c r="J521" s="8"/>
      <c r="Z521" s="6"/>
    </row>
    <row r="522" spans="2:26" ht="12.75" x14ac:dyDescent="0.2">
      <c r="B522" s="6"/>
      <c r="C522" s="6"/>
      <c r="D522" s="6"/>
      <c r="E522" s="9"/>
      <c r="F522" s="9"/>
      <c r="G522" s="11"/>
      <c r="H522" s="5"/>
      <c r="I522" s="8"/>
      <c r="J522" s="8"/>
      <c r="Z522" s="6"/>
    </row>
    <row r="523" spans="2:26" ht="12.75" x14ac:dyDescent="0.2">
      <c r="B523" s="6"/>
      <c r="C523" s="6"/>
      <c r="D523" s="6"/>
      <c r="E523" s="9"/>
      <c r="F523" s="9"/>
      <c r="G523" s="11"/>
      <c r="H523" s="5"/>
      <c r="I523" s="8"/>
      <c r="J523" s="8"/>
      <c r="Z523" s="6"/>
    </row>
    <row r="524" spans="2:26" ht="12.75" x14ac:dyDescent="0.2">
      <c r="B524" s="6"/>
      <c r="C524" s="6"/>
      <c r="D524" s="6"/>
      <c r="E524" s="9"/>
      <c r="F524" s="9"/>
      <c r="G524" s="11"/>
      <c r="H524" s="5"/>
      <c r="I524" s="8"/>
      <c r="J524" s="8"/>
      <c r="Z524" s="6"/>
    </row>
    <row r="525" spans="2:26" ht="12.75" x14ac:dyDescent="0.2">
      <c r="B525" s="6"/>
      <c r="C525" s="6"/>
      <c r="D525" s="6"/>
      <c r="E525" s="9"/>
      <c r="F525" s="9"/>
      <c r="G525" s="11"/>
      <c r="H525" s="5"/>
      <c r="I525" s="8"/>
      <c r="J525" s="8"/>
      <c r="Z525" s="6"/>
    </row>
    <row r="526" spans="2:26" ht="12.75" x14ac:dyDescent="0.2">
      <c r="B526" s="6"/>
      <c r="C526" s="6"/>
      <c r="D526" s="6"/>
      <c r="E526" s="9"/>
      <c r="F526" s="9"/>
      <c r="G526" s="11"/>
      <c r="H526" s="5"/>
      <c r="I526" s="8"/>
      <c r="J526" s="8"/>
      <c r="Z526" s="6"/>
    </row>
    <row r="527" spans="2:26" ht="12.75" x14ac:dyDescent="0.2">
      <c r="B527" s="6"/>
      <c r="C527" s="6"/>
      <c r="D527" s="6"/>
      <c r="E527" s="9"/>
      <c r="F527" s="9"/>
      <c r="G527" s="11"/>
      <c r="H527" s="5"/>
      <c r="I527" s="8"/>
      <c r="J527" s="8"/>
      <c r="Z527" s="6"/>
    </row>
    <row r="528" spans="2:26" ht="12.75" x14ac:dyDescent="0.2">
      <c r="B528" s="6"/>
      <c r="C528" s="6"/>
      <c r="D528" s="6"/>
      <c r="E528" s="9"/>
      <c r="F528" s="9"/>
      <c r="G528" s="11"/>
      <c r="H528" s="5"/>
      <c r="I528" s="8"/>
      <c r="J528" s="8"/>
      <c r="Z528" s="6"/>
    </row>
    <row r="529" spans="2:26" ht="12.75" x14ac:dyDescent="0.2">
      <c r="B529" s="6"/>
      <c r="C529" s="6"/>
      <c r="D529" s="6"/>
      <c r="E529" s="9"/>
      <c r="F529" s="9"/>
      <c r="G529" s="11"/>
      <c r="H529" s="5"/>
      <c r="I529" s="8"/>
      <c r="J529" s="8"/>
      <c r="Z529" s="6"/>
    </row>
    <row r="530" spans="2:26" ht="12.75" x14ac:dyDescent="0.2">
      <c r="B530" s="6"/>
      <c r="C530" s="6"/>
      <c r="D530" s="6"/>
      <c r="E530" s="9"/>
      <c r="F530" s="9"/>
      <c r="G530" s="11"/>
      <c r="H530" s="5"/>
      <c r="I530" s="8"/>
      <c r="J530" s="8"/>
      <c r="Z530" s="6"/>
    </row>
    <row r="531" spans="2:26" ht="12.75" x14ac:dyDescent="0.2">
      <c r="B531" s="6"/>
      <c r="C531" s="6"/>
      <c r="D531" s="6"/>
      <c r="E531" s="9"/>
      <c r="F531" s="9"/>
      <c r="G531" s="11"/>
      <c r="H531" s="5"/>
      <c r="I531" s="8"/>
      <c r="J531" s="8"/>
      <c r="Z531" s="6"/>
    </row>
    <row r="532" spans="2:26" ht="12.75" x14ac:dyDescent="0.2">
      <c r="B532" s="6"/>
      <c r="C532" s="6"/>
      <c r="D532" s="6"/>
      <c r="E532" s="9"/>
      <c r="F532" s="9"/>
      <c r="G532" s="11"/>
      <c r="H532" s="5"/>
      <c r="I532" s="8"/>
      <c r="J532" s="8"/>
      <c r="Z532" s="6"/>
    </row>
    <row r="533" spans="2:26" ht="12.75" x14ac:dyDescent="0.2">
      <c r="B533" s="6"/>
      <c r="C533" s="6"/>
      <c r="D533" s="6"/>
      <c r="E533" s="9"/>
      <c r="F533" s="9"/>
      <c r="G533" s="11"/>
      <c r="H533" s="5"/>
      <c r="I533" s="8"/>
      <c r="J533" s="8"/>
      <c r="Z533" s="6"/>
    </row>
    <row r="534" spans="2:26" ht="12.75" x14ac:dyDescent="0.2">
      <c r="B534" s="6"/>
      <c r="C534" s="6"/>
      <c r="D534" s="6"/>
      <c r="E534" s="9"/>
      <c r="F534" s="9"/>
      <c r="G534" s="11"/>
      <c r="H534" s="5"/>
      <c r="I534" s="8"/>
      <c r="J534" s="8"/>
      <c r="Z534" s="6"/>
    </row>
    <row r="535" spans="2:26" ht="12.75" x14ac:dyDescent="0.2">
      <c r="B535" s="6"/>
      <c r="C535" s="6"/>
      <c r="D535" s="6"/>
      <c r="E535" s="9"/>
      <c r="F535" s="9"/>
      <c r="G535" s="11"/>
      <c r="H535" s="5"/>
      <c r="I535" s="8"/>
      <c r="J535" s="8"/>
      <c r="Z535" s="6"/>
    </row>
    <row r="536" spans="2:26" ht="12.75" x14ac:dyDescent="0.2">
      <c r="B536" s="6"/>
      <c r="C536" s="6"/>
      <c r="D536" s="6"/>
      <c r="E536" s="9"/>
      <c r="F536" s="9"/>
      <c r="G536" s="11"/>
      <c r="H536" s="5"/>
      <c r="I536" s="8"/>
      <c r="J536" s="8"/>
      <c r="Z536" s="6"/>
    </row>
    <row r="537" spans="2:26" ht="12.75" x14ac:dyDescent="0.2">
      <c r="B537" s="6"/>
      <c r="C537" s="6"/>
      <c r="D537" s="6"/>
      <c r="E537" s="9"/>
      <c r="F537" s="9"/>
      <c r="G537" s="11"/>
      <c r="H537" s="5"/>
      <c r="I537" s="8"/>
      <c r="J537" s="8"/>
      <c r="Z537" s="6"/>
    </row>
    <row r="538" spans="2:26" ht="12.75" x14ac:dyDescent="0.2">
      <c r="B538" s="6"/>
      <c r="C538" s="6"/>
      <c r="D538" s="6"/>
      <c r="E538" s="9"/>
      <c r="F538" s="9"/>
      <c r="G538" s="11"/>
      <c r="H538" s="5"/>
      <c r="I538" s="8"/>
      <c r="J538" s="8"/>
      <c r="Z538" s="6"/>
    </row>
    <row r="539" spans="2:26" ht="12.75" x14ac:dyDescent="0.2">
      <c r="B539" s="6"/>
      <c r="C539" s="6"/>
      <c r="D539" s="6"/>
      <c r="E539" s="9"/>
      <c r="F539" s="9"/>
      <c r="G539" s="11"/>
      <c r="H539" s="5"/>
      <c r="I539" s="8"/>
      <c r="J539" s="8"/>
      <c r="Z539" s="6"/>
    </row>
    <row r="540" spans="2:26" ht="12.75" x14ac:dyDescent="0.2">
      <c r="B540" s="6"/>
      <c r="C540" s="6"/>
      <c r="D540" s="6"/>
      <c r="E540" s="9"/>
      <c r="F540" s="9"/>
      <c r="G540" s="11"/>
      <c r="H540" s="5"/>
      <c r="I540" s="8"/>
      <c r="J540" s="8"/>
      <c r="Z540" s="6"/>
    </row>
    <row r="541" spans="2:26" ht="12.75" x14ac:dyDescent="0.2">
      <c r="B541" s="6"/>
      <c r="C541" s="6"/>
      <c r="D541" s="6"/>
      <c r="E541" s="9"/>
      <c r="F541" s="9"/>
      <c r="G541" s="11"/>
      <c r="H541" s="5"/>
      <c r="I541" s="8"/>
      <c r="J541" s="8"/>
      <c r="Z541" s="6"/>
    </row>
    <row r="542" spans="2:26" ht="12.75" x14ac:dyDescent="0.2">
      <c r="B542" s="6"/>
      <c r="C542" s="6"/>
      <c r="D542" s="6"/>
      <c r="E542" s="9"/>
      <c r="F542" s="9"/>
      <c r="G542" s="11"/>
      <c r="H542" s="5"/>
      <c r="I542" s="8"/>
      <c r="J542" s="8"/>
      <c r="Z542" s="6"/>
    </row>
    <row r="543" spans="2:26" ht="12.75" x14ac:dyDescent="0.2">
      <c r="B543" s="6"/>
      <c r="C543" s="6"/>
      <c r="D543" s="6"/>
      <c r="E543" s="9"/>
      <c r="F543" s="9"/>
      <c r="G543" s="11"/>
      <c r="H543" s="5"/>
      <c r="I543" s="8"/>
      <c r="J543" s="8"/>
      <c r="Z543" s="6"/>
    </row>
    <row r="544" spans="2:26" ht="12.75" x14ac:dyDescent="0.2">
      <c r="B544" s="6"/>
      <c r="C544" s="6"/>
      <c r="D544" s="6"/>
      <c r="E544" s="9"/>
      <c r="F544" s="9"/>
      <c r="G544" s="11"/>
      <c r="H544" s="5"/>
      <c r="I544" s="8"/>
      <c r="J544" s="8"/>
      <c r="Z544" s="6"/>
    </row>
    <row r="545" spans="2:26" ht="12.75" x14ac:dyDescent="0.2">
      <c r="B545" s="6"/>
      <c r="C545" s="6"/>
      <c r="D545" s="6"/>
      <c r="E545" s="9"/>
      <c r="F545" s="9"/>
      <c r="G545" s="11"/>
      <c r="H545" s="5"/>
      <c r="I545" s="8"/>
      <c r="J545" s="8"/>
      <c r="Z545" s="6"/>
    </row>
    <row r="546" spans="2:26" ht="12.75" x14ac:dyDescent="0.2">
      <c r="B546" s="6"/>
      <c r="C546" s="6"/>
      <c r="D546" s="6"/>
      <c r="E546" s="9"/>
      <c r="F546" s="9"/>
      <c r="G546" s="11"/>
      <c r="H546" s="5"/>
      <c r="I546" s="8"/>
      <c r="J546" s="8"/>
      <c r="Z546" s="6"/>
    </row>
    <row r="547" spans="2:26" ht="12.75" x14ac:dyDescent="0.2">
      <c r="B547" s="6"/>
      <c r="C547" s="6"/>
      <c r="D547" s="6"/>
      <c r="E547" s="9"/>
      <c r="F547" s="9"/>
      <c r="G547" s="11"/>
      <c r="H547" s="5"/>
      <c r="I547" s="8"/>
      <c r="J547" s="8"/>
      <c r="Z547" s="6"/>
    </row>
    <row r="548" spans="2:26" ht="12.75" x14ac:dyDescent="0.2">
      <c r="B548" s="6"/>
      <c r="C548" s="6"/>
      <c r="D548" s="6"/>
      <c r="E548" s="9"/>
      <c r="F548" s="9"/>
      <c r="G548" s="11"/>
      <c r="H548" s="5"/>
      <c r="I548" s="8"/>
      <c r="J548" s="8"/>
      <c r="Z548" s="6"/>
    </row>
    <row r="549" spans="2:26" ht="12.75" x14ac:dyDescent="0.2">
      <c r="B549" s="6"/>
      <c r="C549" s="6"/>
      <c r="D549" s="6"/>
      <c r="E549" s="9"/>
      <c r="F549" s="9"/>
      <c r="G549" s="11"/>
      <c r="H549" s="5"/>
      <c r="I549" s="8"/>
      <c r="J549" s="8"/>
      <c r="Z549" s="6"/>
    </row>
    <row r="550" spans="2:26" ht="12.75" x14ac:dyDescent="0.2">
      <c r="B550" s="6"/>
      <c r="C550" s="6"/>
      <c r="D550" s="6"/>
      <c r="E550" s="9"/>
      <c r="F550" s="9"/>
      <c r="G550" s="11"/>
      <c r="H550" s="5"/>
      <c r="I550" s="8"/>
      <c r="J550" s="8"/>
      <c r="Z550" s="6"/>
    </row>
    <row r="551" spans="2:26" ht="12.75" x14ac:dyDescent="0.2">
      <c r="B551" s="6"/>
      <c r="C551" s="6"/>
      <c r="D551" s="6"/>
      <c r="E551" s="9"/>
      <c r="F551" s="9"/>
      <c r="G551" s="11"/>
      <c r="H551" s="5"/>
      <c r="I551" s="8"/>
      <c r="J551" s="8"/>
      <c r="Z551" s="6"/>
    </row>
    <row r="552" spans="2:26" ht="12.75" x14ac:dyDescent="0.2">
      <c r="B552" s="6"/>
      <c r="C552" s="6"/>
      <c r="D552" s="6"/>
      <c r="E552" s="9"/>
      <c r="F552" s="9"/>
      <c r="G552" s="11"/>
      <c r="H552" s="5"/>
      <c r="I552" s="8"/>
      <c r="J552" s="8"/>
      <c r="Z552" s="6"/>
    </row>
    <row r="553" spans="2:26" ht="12.75" x14ac:dyDescent="0.2">
      <c r="B553" s="6"/>
      <c r="C553" s="6"/>
      <c r="D553" s="6"/>
      <c r="E553" s="9"/>
      <c r="F553" s="9"/>
      <c r="G553" s="11"/>
      <c r="H553" s="5"/>
      <c r="I553" s="8"/>
      <c r="J553" s="8"/>
      <c r="Z553" s="6"/>
    </row>
    <row r="554" spans="2:26" ht="12.75" x14ac:dyDescent="0.2">
      <c r="B554" s="6"/>
      <c r="C554" s="6"/>
      <c r="D554" s="6"/>
      <c r="E554" s="9"/>
      <c r="F554" s="9"/>
      <c r="G554" s="11"/>
      <c r="H554" s="5"/>
      <c r="I554" s="8"/>
      <c r="J554" s="8"/>
      <c r="Z554" s="6"/>
    </row>
    <row r="555" spans="2:26" ht="12.75" x14ac:dyDescent="0.2">
      <c r="B555" s="6"/>
      <c r="C555" s="6"/>
      <c r="D555" s="6"/>
      <c r="E555" s="9"/>
      <c r="F555" s="9"/>
      <c r="G555" s="11"/>
      <c r="H555" s="5"/>
      <c r="I555" s="8"/>
      <c r="J555" s="8"/>
      <c r="Z555" s="6"/>
    </row>
    <row r="556" spans="2:26" ht="12.75" x14ac:dyDescent="0.2">
      <c r="B556" s="6"/>
      <c r="C556" s="6"/>
      <c r="D556" s="6"/>
      <c r="E556" s="9"/>
      <c r="F556" s="9"/>
      <c r="G556" s="11"/>
      <c r="H556" s="5"/>
      <c r="I556" s="8"/>
      <c r="J556" s="8"/>
      <c r="Z556" s="6"/>
    </row>
    <row r="557" spans="2:26" ht="12.75" x14ac:dyDescent="0.2">
      <c r="B557" s="6"/>
      <c r="C557" s="6"/>
      <c r="D557" s="6"/>
      <c r="E557" s="9"/>
      <c r="F557" s="9"/>
      <c r="G557" s="11"/>
      <c r="H557" s="5"/>
      <c r="I557" s="8"/>
      <c r="J557" s="8"/>
      <c r="Z557" s="6"/>
    </row>
    <row r="558" spans="2:26" ht="12.75" x14ac:dyDescent="0.2">
      <c r="B558" s="6"/>
      <c r="C558" s="6"/>
      <c r="D558" s="6"/>
      <c r="E558" s="9"/>
      <c r="F558" s="9"/>
      <c r="G558" s="11"/>
      <c r="H558" s="5"/>
      <c r="I558" s="8"/>
      <c r="J558" s="8"/>
      <c r="Z558" s="6"/>
    </row>
    <row r="559" spans="2:26" ht="12.75" x14ac:dyDescent="0.2">
      <c r="B559" s="6"/>
      <c r="C559" s="6"/>
      <c r="D559" s="6"/>
      <c r="E559" s="9"/>
      <c r="F559" s="9"/>
      <c r="G559" s="11"/>
      <c r="H559" s="5"/>
      <c r="I559" s="8"/>
      <c r="J559" s="8"/>
      <c r="Z559" s="6"/>
    </row>
    <row r="560" spans="2:26" ht="12.75" x14ac:dyDescent="0.2">
      <c r="B560" s="6"/>
      <c r="C560" s="6"/>
      <c r="D560" s="6"/>
      <c r="E560" s="9"/>
      <c r="F560" s="9"/>
      <c r="G560" s="11"/>
      <c r="H560" s="5"/>
      <c r="I560" s="8"/>
      <c r="J560" s="8"/>
      <c r="Z560" s="6"/>
    </row>
    <row r="561" spans="2:26" ht="12.75" x14ac:dyDescent="0.2">
      <c r="B561" s="6"/>
      <c r="C561" s="6"/>
      <c r="D561" s="6"/>
      <c r="E561" s="9"/>
      <c r="F561" s="9"/>
      <c r="G561" s="11"/>
      <c r="H561" s="5"/>
      <c r="I561" s="8"/>
      <c r="J561" s="8"/>
      <c r="Z561" s="6"/>
    </row>
    <row r="562" spans="2:26" ht="12.75" x14ac:dyDescent="0.2">
      <c r="B562" s="6"/>
      <c r="C562" s="6"/>
      <c r="D562" s="6"/>
      <c r="E562" s="9"/>
      <c r="F562" s="9"/>
      <c r="G562" s="11"/>
      <c r="H562" s="5"/>
      <c r="I562" s="8"/>
      <c r="J562" s="8"/>
      <c r="Z562" s="6"/>
    </row>
    <row r="563" spans="2:26" ht="12.75" x14ac:dyDescent="0.2">
      <c r="B563" s="6"/>
      <c r="C563" s="6"/>
      <c r="D563" s="6"/>
      <c r="E563" s="9"/>
      <c r="F563" s="9"/>
      <c r="G563" s="11"/>
      <c r="H563" s="5"/>
      <c r="I563" s="8"/>
      <c r="J563" s="8"/>
      <c r="Z563" s="6"/>
    </row>
    <row r="564" spans="2:26" ht="12.75" x14ac:dyDescent="0.2">
      <c r="B564" s="6"/>
      <c r="C564" s="6"/>
      <c r="D564" s="6"/>
      <c r="E564" s="9"/>
      <c r="F564" s="9"/>
      <c r="G564" s="11"/>
      <c r="H564" s="5"/>
      <c r="I564" s="8"/>
      <c r="J564" s="8"/>
      <c r="Z564" s="6"/>
    </row>
    <row r="565" spans="2:26" ht="12.75" x14ac:dyDescent="0.2">
      <c r="B565" s="6"/>
      <c r="C565" s="6"/>
      <c r="D565" s="6"/>
      <c r="E565" s="9"/>
      <c r="F565" s="9"/>
      <c r="G565" s="11"/>
      <c r="H565" s="5"/>
      <c r="I565" s="8"/>
      <c r="J565" s="8"/>
      <c r="Z565" s="6"/>
    </row>
    <row r="566" spans="2:26" ht="12.75" x14ac:dyDescent="0.2">
      <c r="B566" s="6"/>
      <c r="C566" s="6"/>
      <c r="D566" s="6"/>
      <c r="E566" s="9"/>
      <c r="F566" s="9"/>
      <c r="G566" s="11"/>
      <c r="H566" s="5"/>
      <c r="I566" s="8"/>
      <c r="J566" s="8"/>
      <c r="Z566" s="6"/>
    </row>
    <row r="567" spans="2:26" ht="12.75" x14ac:dyDescent="0.2">
      <c r="B567" s="6"/>
      <c r="C567" s="6"/>
      <c r="D567" s="6"/>
      <c r="E567" s="9"/>
      <c r="F567" s="9"/>
      <c r="G567" s="11"/>
      <c r="H567" s="5"/>
      <c r="I567" s="8"/>
      <c r="J567" s="8"/>
      <c r="Z567" s="6"/>
    </row>
    <row r="568" spans="2:26" ht="12.75" x14ac:dyDescent="0.2">
      <c r="B568" s="6"/>
      <c r="C568" s="6"/>
      <c r="D568" s="6"/>
      <c r="E568" s="9"/>
      <c r="F568" s="9"/>
      <c r="G568" s="11"/>
      <c r="H568" s="5"/>
      <c r="I568" s="8"/>
      <c r="J568" s="8"/>
      <c r="Z568" s="6"/>
    </row>
    <row r="569" spans="2:26" ht="12.75" x14ac:dyDescent="0.2">
      <c r="B569" s="6"/>
      <c r="C569" s="6"/>
      <c r="D569" s="6"/>
      <c r="E569" s="9"/>
      <c r="F569" s="9"/>
      <c r="G569" s="11"/>
      <c r="H569" s="5"/>
      <c r="I569" s="8"/>
      <c r="J569" s="8"/>
      <c r="Z569" s="6"/>
    </row>
    <row r="570" spans="2:26" ht="12.75" x14ac:dyDescent="0.2">
      <c r="B570" s="6"/>
      <c r="C570" s="6"/>
      <c r="D570" s="6"/>
      <c r="E570" s="9"/>
      <c r="F570" s="9"/>
      <c r="G570" s="11"/>
      <c r="H570" s="5"/>
      <c r="I570" s="8"/>
      <c r="J570" s="8"/>
      <c r="Z570" s="6"/>
    </row>
    <row r="571" spans="2:26" ht="12.75" x14ac:dyDescent="0.2">
      <c r="B571" s="6"/>
      <c r="C571" s="6"/>
      <c r="D571" s="6"/>
      <c r="E571" s="9"/>
      <c r="F571" s="9"/>
      <c r="G571" s="11"/>
      <c r="H571" s="5"/>
      <c r="I571" s="8"/>
      <c r="J571" s="8"/>
      <c r="Z571" s="6"/>
    </row>
    <row r="572" spans="2:26" ht="12.75" x14ac:dyDescent="0.2">
      <c r="B572" s="6"/>
      <c r="C572" s="6"/>
      <c r="D572" s="6"/>
      <c r="E572" s="9"/>
      <c r="F572" s="9"/>
      <c r="G572" s="11"/>
      <c r="H572" s="5"/>
      <c r="I572" s="8"/>
      <c r="J572" s="8"/>
      <c r="Z572" s="6"/>
    </row>
    <row r="573" spans="2:26" ht="12.75" x14ac:dyDescent="0.2">
      <c r="B573" s="6"/>
      <c r="C573" s="6"/>
      <c r="D573" s="6"/>
      <c r="E573" s="9"/>
      <c r="F573" s="9"/>
      <c r="G573" s="11"/>
      <c r="H573" s="5"/>
      <c r="I573" s="8"/>
      <c r="J573" s="8"/>
      <c r="Z573" s="6"/>
    </row>
    <row r="574" spans="2:26" ht="12.75" x14ac:dyDescent="0.2">
      <c r="B574" s="6"/>
      <c r="C574" s="6"/>
      <c r="D574" s="6"/>
      <c r="E574" s="9"/>
      <c r="F574" s="9"/>
      <c r="G574" s="11"/>
      <c r="H574" s="5"/>
      <c r="I574" s="8"/>
      <c r="J574" s="8"/>
      <c r="Z574" s="6"/>
    </row>
    <row r="575" spans="2:26" ht="12.75" x14ac:dyDescent="0.2">
      <c r="B575" s="6"/>
      <c r="C575" s="6"/>
      <c r="D575" s="6"/>
      <c r="E575" s="9"/>
      <c r="F575" s="9"/>
      <c r="G575" s="11"/>
      <c r="H575" s="5"/>
      <c r="I575" s="8"/>
      <c r="J575" s="8"/>
      <c r="Z575" s="6"/>
    </row>
    <row r="576" spans="2:26" ht="12.75" x14ac:dyDescent="0.2">
      <c r="B576" s="6"/>
      <c r="C576" s="6"/>
      <c r="D576" s="6"/>
      <c r="E576" s="9"/>
      <c r="F576" s="9"/>
      <c r="G576" s="11"/>
      <c r="H576" s="5"/>
      <c r="I576" s="8"/>
      <c r="J576" s="8"/>
      <c r="Z576" s="6"/>
    </row>
    <row r="577" spans="2:26" ht="12.75" x14ac:dyDescent="0.2">
      <c r="B577" s="6"/>
      <c r="C577" s="6"/>
      <c r="D577" s="6"/>
      <c r="E577" s="9"/>
      <c r="F577" s="9"/>
      <c r="G577" s="11"/>
      <c r="H577" s="5"/>
      <c r="I577" s="8"/>
      <c r="J577" s="8"/>
      <c r="Z577" s="6"/>
    </row>
    <row r="578" spans="2:26" ht="12.75" x14ac:dyDescent="0.2">
      <c r="B578" s="6"/>
      <c r="C578" s="6"/>
      <c r="D578" s="6"/>
      <c r="E578" s="9"/>
      <c r="F578" s="9"/>
      <c r="G578" s="11"/>
      <c r="H578" s="5"/>
      <c r="I578" s="8"/>
      <c r="J578" s="8"/>
      <c r="Z578" s="6"/>
    </row>
    <row r="579" spans="2:26" ht="12.75" x14ac:dyDescent="0.2">
      <c r="B579" s="6"/>
      <c r="C579" s="6"/>
      <c r="D579" s="6"/>
      <c r="E579" s="9"/>
      <c r="F579" s="9"/>
      <c r="G579" s="11"/>
      <c r="H579" s="5"/>
      <c r="I579" s="8"/>
      <c r="J579" s="8"/>
      <c r="Z579" s="6"/>
    </row>
    <row r="580" spans="2:26" ht="12.75" x14ac:dyDescent="0.2">
      <c r="B580" s="6"/>
      <c r="C580" s="6"/>
      <c r="D580" s="6"/>
      <c r="E580" s="9"/>
      <c r="F580" s="9"/>
      <c r="G580" s="11"/>
      <c r="H580" s="5"/>
      <c r="I580" s="8"/>
      <c r="J580" s="8"/>
      <c r="Z580" s="6"/>
    </row>
    <row r="581" spans="2:26" ht="12.75" x14ac:dyDescent="0.2">
      <c r="B581" s="6"/>
      <c r="C581" s="6"/>
      <c r="D581" s="6"/>
      <c r="E581" s="9"/>
      <c r="F581" s="9"/>
      <c r="G581" s="11"/>
      <c r="H581" s="5"/>
      <c r="I581" s="8"/>
      <c r="J581" s="8"/>
      <c r="Z581" s="6"/>
    </row>
    <row r="582" spans="2:26" ht="12.75" x14ac:dyDescent="0.2">
      <c r="B582" s="6"/>
      <c r="C582" s="6"/>
      <c r="D582" s="6"/>
      <c r="E582" s="9"/>
      <c r="F582" s="9"/>
      <c r="G582" s="11"/>
      <c r="H582" s="5"/>
      <c r="I582" s="8"/>
      <c r="J582" s="8"/>
      <c r="Z582" s="6"/>
    </row>
    <row r="583" spans="2:26" ht="12.75" x14ac:dyDescent="0.2">
      <c r="B583" s="6"/>
      <c r="C583" s="6"/>
      <c r="D583" s="6"/>
      <c r="E583" s="9"/>
      <c r="F583" s="9"/>
      <c r="G583" s="11"/>
      <c r="H583" s="5"/>
      <c r="I583" s="8"/>
      <c r="J583" s="8"/>
      <c r="Z583" s="6"/>
    </row>
    <row r="584" spans="2:26" ht="12.75" x14ac:dyDescent="0.2">
      <c r="B584" s="6"/>
      <c r="C584" s="6"/>
      <c r="D584" s="6"/>
      <c r="E584" s="9"/>
      <c r="F584" s="9"/>
      <c r="G584" s="11"/>
      <c r="H584" s="5"/>
      <c r="I584" s="8"/>
      <c r="J584" s="8"/>
      <c r="Z584" s="6"/>
    </row>
    <row r="585" spans="2:26" ht="12.75" x14ac:dyDescent="0.2">
      <c r="B585" s="6"/>
      <c r="C585" s="6"/>
      <c r="D585" s="6"/>
      <c r="E585" s="9"/>
      <c r="F585" s="9"/>
      <c r="G585" s="11"/>
      <c r="H585" s="5"/>
      <c r="I585" s="8"/>
      <c r="J585" s="8"/>
      <c r="Z585" s="6"/>
    </row>
    <row r="586" spans="2:26" ht="12.75" x14ac:dyDescent="0.2">
      <c r="B586" s="6"/>
      <c r="C586" s="6"/>
      <c r="D586" s="6"/>
      <c r="E586" s="9"/>
      <c r="F586" s="9"/>
      <c r="G586" s="11"/>
      <c r="H586" s="5"/>
      <c r="I586" s="8"/>
      <c r="J586" s="8"/>
      <c r="Z586" s="6"/>
    </row>
    <row r="587" spans="2:26" ht="12.75" x14ac:dyDescent="0.2">
      <c r="B587" s="6"/>
      <c r="C587" s="6"/>
      <c r="D587" s="6"/>
      <c r="E587" s="9"/>
      <c r="F587" s="9"/>
      <c r="G587" s="11"/>
      <c r="H587" s="5"/>
      <c r="I587" s="8"/>
      <c r="J587" s="8"/>
      <c r="Z587" s="6"/>
    </row>
    <row r="588" spans="2:26" ht="12.75" x14ac:dyDescent="0.2">
      <c r="B588" s="6"/>
      <c r="C588" s="6"/>
      <c r="D588" s="6"/>
      <c r="E588" s="9"/>
      <c r="F588" s="9"/>
      <c r="G588" s="11"/>
      <c r="H588" s="5"/>
      <c r="I588" s="8"/>
      <c r="J588" s="8"/>
      <c r="Z588" s="6"/>
    </row>
    <row r="589" spans="2:26" ht="12.75" x14ac:dyDescent="0.2">
      <c r="B589" s="6"/>
      <c r="C589" s="6"/>
      <c r="D589" s="6"/>
      <c r="E589" s="9"/>
      <c r="F589" s="9"/>
      <c r="G589" s="11"/>
      <c r="H589" s="5"/>
      <c r="I589" s="8"/>
      <c r="J589" s="8"/>
      <c r="Z589" s="6"/>
    </row>
    <row r="590" spans="2:26" ht="12.75" x14ac:dyDescent="0.2">
      <c r="B590" s="6"/>
      <c r="C590" s="6"/>
      <c r="D590" s="6"/>
      <c r="E590" s="9"/>
      <c r="F590" s="9"/>
      <c r="G590" s="11"/>
      <c r="H590" s="5"/>
      <c r="I590" s="8"/>
      <c r="J590" s="8"/>
      <c r="Z590" s="6"/>
    </row>
    <row r="591" spans="2:26" ht="12.75" x14ac:dyDescent="0.2">
      <c r="B591" s="6"/>
      <c r="C591" s="6"/>
      <c r="D591" s="6"/>
      <c r="E591" s="9"/>
      <c r="F591" s="9"/>
      <c r="G591" s="11"/>
      <c r="H591" s="5"/>
      <c r="I591" s="8"/>
      <c r="J591" s="8"/>
      <c r="Z591" s="6"/>
    </row>
    <row r="592" spans="2:26" ht="12.75" x14ac:dyDescent="0.2">
      <c r="B592" s="6"/>
      <c r="C592" s="6"/>
      <c r="D592" s="6"/>
      <c r="E592" s="9"/>
      <c r="F592" s="9"/>
      <c r="G592" s="11"/>
      <c r="H592" s="5"/>
      <c r="I592" s="8"/>
      <c r="J592" s="8"/>
      <c r="Z592" s="6"/>
    </row>
    <row r="593" spans="2:26" ht="12.75" x14ac:dyDescent="0.2">
      <c r="B593" s="6"/>
      <c r="C593" s="6"/>
      <c r="D593" s="6"/>
      <c r="E593" s="9"/>
      <c r="F593" s="9"/>
      <c r="G593" s="11"/>
      <c r="H593" s="5"/>
      <c r="I593" s="8"/>
      <c r="J593" s="8"/>
      <c r="Z593" s="6"/>
    </row>
    <row r="594" spans="2:26" ht="12.75" x14ac:dyDescent="0.2">
      <c r="B594" s="6"/>
      <c r="C594" s="6"/>
      <c r="D594" s="6"/>
      <c r="E594" s="9"/>
      <c r="F594" s="9"/>
      <c r="G594" s="11"/>
      <c r="H594" s="5"/>
      <c r="I594" s="8"/>
      <c r="J594" s="8"/>
      <c r="Z594" s="6"/>
    </row>
    <row r="595" spans="2:26" ht="12.75" x14ac:dyDescent="0.2">
      <c r="B595" s="6"/>
      <c r="C595" s="6"/>
      <c r="D595" s="6"/>
      <c r="E595" s="9"/>
      <c r="F595" s="9"/>
      <c r="G595" s="11"/>
      <c r="H595" s="5"/>
      <c r="I595" s="8"/>
      <c r="J595" s="8"/>
      <c r="Z595" s="6"/>
    </row>
    <row r="596" spans="2:26" ht="12.75" x14ac:dyDescent="0.2">
      <c r="B596" s="6"/>
      <c r="C596" s="6"/>
      <c r="D596" s="6"/>
      <c r="E596" s="9"/>
      <c r="F596" s="9"/>
      <c r="G596" s="11"/>
      <c r="H596" s="5"/>
      <c r="I596" s="8"/>
      <c r="J596" s="8"/>
      <c r="Z596" s="6"/>
    </row>
    <row r="597" spans="2:26" ht="12.75" x14ac:dyDescent="0.2">
      <c r="B597" s="6"/>
      <c r="C597" s="6"/>
      <c r="D597" s="6"/>
      <c r="E597" s="9"/>
      <c r="F597" s="9"/>
      <c r="G597" s="11"/>
      <c r="H597" s="5"/>
      <c r="I597" s="8"/>
      <c r="J597" s="8"/>
      <c r="Z597" s="6"/>
    </row>
    <row r="598" spans="2:26" ht="12.75" x14ac:dyDescent="0.2">
      <c r="B598" s="6"/>
      <c r="C598" s="6"/>
      <c r="D598" s="6"/>
      <c r="E598" s="9"/>
      <c r="F598" s="9"/>
      <c r="G598" s="11"/>
      <c r="H598" s="5"/>
      <c r="I598" s="8"/>
      <c r="J598" s="8"/>
      <c r="Z598" s="6"/>
    </row>
    <row r="599" spans="2:26" ht="12.75" x14ac:dyDescent="0.2">
      <c r="B599" s="6"/>
      <c r="C599" s="6"/>
      <c r="D599" s="6"/>
      <c r="E599" s="9"/>
      <c r="F599" s="9"/>
      <c r="G599" s="11"/>
      <c r="H599" s="5"/>
      <c r="I599" s="8"/>
      <c r="J599" s="8"/>
      <c r="Z599" s="6"/>
    </row>
    <row r="600" spans="2:26" ht="12.75" x14ac:dyDescent="0.2">
      <c r="B600" s="6"/>
      <c r="C600" s="6"/>
      <c r="D600" s="6"/>
      <c r="E600" s="9"/>
      <c r="F600" s="9"/>
      <c r="G600" s="11"/>
      <c r="H600" s="5"/>
      <c r="I600" s="8"/>
      <c r="J600" s="8"/>
      <c r="Z600" s="6"/>
    </row>
    <row r="601" spans="2:26" ht="12.75" x14ac:dyDescent="0.2">
      <c r="B601" s="6"/>
      <c r="C601" s="6"/>
      <c r="D601" s="6"/>
      <c r="E601" s="9"/>
      <c r="F601" s="9"/>
      <c r="G601" s="11"/>
      <c r="H601" s="5"/>
      <c r="I601" s="8"/>
      <c r="J601" s="8"/>
      <c r="Z601" s="6"/>
    </row>
    <row r="602" spans="2:26" ht="12.75" x14ac:dyDescent="0.2">
      <c r="B602" s="6"/>
      <c r="C602" s="6"/>
      <c r="D602" s="6"/>
      <c r="E602" s="9"/>
      <c r="F602" s="9"/>
      <c r="G602" s="11"/>
      <c r="H602" s="5"/>
      <c r="I602" s="8"/>
      <c r="J602" s="8"/>
      <c r="Z602" s="6"/>
    </row>
    <row r="603" spans="2:26" ht="12.75" x14ac:dyDescent="0.2">
      <c r="B603" s="6"/>
      <c r="C603" s="6"/>
      <c r="D603" s="6"/>
      <c r="E603" s="9"/>
      <c r="F603" s="9"/>
      <c r="G603" s="11"/>
      <c r="H603" s="5"/>
      <c r="I603" s="8"/>
      <c r="J603" s="8"/>
      <c r="Z603" s="6"/>
    </row>
    <row r="604" spans="2:26" ht="12.75" x14ac:dyDescent="0.2">
      <c r="B604" s="6"/>
      <c r="C604" s="6"/>
      <c r="D604" s="6"/>
      <c r="E604" s="9"/>
      <c r="F604" s="9"/>
      <c r="G604" s="11"/>
      <c r="H604" s="5"/>
      <c r="I604" s="8"/>
      <c r="J604" s="8"/>
      <c r="Z604" s="6"/>
    </row>
    <row r="605" spans="2:26" ht="12.75" x14ac:dyDescent="0.2">
      <c r="B605" s="6"/>
      <c r="C605" s="6"/>
      <c r="D605" s="6"/>
      <c r="E605" s="9"/>
      <c r="F605" s="9"/>
      <c r="G605" s="11"/>
      <c r="H605" s="5"/>
      <c r="I605" s="8"/>
      <c r="J605" s="8"/>
      <c r="Z605" s="6"/>
    </row>
    <row r="606" spans="2:26" ht="12.75" x14ac:dyDescent="0.2">
      <c r="B606" s="6"/>
      <c r="C606" s="6"/>
      <c r="D606" s="6"/>
      <c r="E606" s="9"/>
      <c r="F606" s="9"/>
      <c r="G606" s="11"/>
      <c r="H606" s="5"/>
      <c r="I606" s="8"/>
      <c r="J606" s="8"/>
      <c r="Z606" s="6"/>
    </row>
    <row r="607" spans="2:26" ht="12.75" x14ac:dyDescent="0.2">
      <c r="B607" s="6"/>
      <c r="C607" s="6"/>
      <c r="D607" s="6"/>
      <c r="E607" s="9"/>
      <c r="F607" s="9"/>
      <c r="G607" s="11"/>
      <c r="H607" s="5"/>
      <c r="I607" s="8"/>
      <c r="J607" s="8"/>
      <c r="Z607" s="6"/>
    </row>
    <row r="608" spans="2:26" ht="12.75" x14ac:dyDescent="0.2">
      <c r="B608" s="6"/>
      <c r="C608" s="6"/>
      <c r="D608" s="6"/>
      <c r="E608" s="9"/>
      <c r="F608" s="9"/>
      <c r="G608" s="11"/>
      <c r="H608" s="5"/>
      <c r="I608" s="8"/>
      <c r="J608" s="8"/>
      <c r="Z608" s="6"/>
    </row>
    <row r="609" spans="2:26" ht="12.75" x14ac:dyDescent="0.2">
      <c r="B609" s="6"/>
      <c r="C609" s="6"/>
      <c r="D609" s="6"/>
      <c r="E609" s="9"/>
      <c r="F609" s="9"/>
      <c r="G609" s="11"/>
      <c r="H609" s="5"/>
      <c r="I609" s="8"/>
      <c r="J609" s="8"/>
      <c r="Z609" s="6"/>
    </row>
    <row r="610" spans="2:26" ht="12.75" x14ac:dyDescent="0.2">
      <c r="B610" s="6"/>
      <c r="C610" s="6"/>
      <c r="D610" s="6"/>
      <c r="E610" s="9"/>
      <c r="F610" s="9"/>
      <c r="G610" s="11"/>
      <c r="H610" s="5"/>
      <c r="I610" s="8"/>
      <c r="J610" s="8"/>
      <c r="Z610" s="6"/>
    </row>
    <row r="611" spans="2:26" ht="12.75" x14ac:dyDescent="0.2">
      <c r="B611" s="6"/>
      <c r="C611" s="6"/>
      <c r="D611" s="6"/>
      <c r="E611" s="9"/>
      <c r="F611" s="9"/>
      <c r="G611" s="11"/>
      <c r="H611" s="5"/>
      <c r="I611" s="8"/>
      <c r="J611" s="8"/>
      <c r="Z611" s="6"/>
    </row>
    <row r="612" spans="2:26" ht="12.75" x14ac:dyDescent="0.2">
      <c r="B612" s="6"/>
      <c r="C612" s="6"/>
      <c r="D612" s="6"/>
      <c r="E612" s="9"/>
      <c r="F612" s="9"/>
      <c r="G612" s="11"/>
      <c r="H612" s="5"/>
      <c r="I612" s="8"/>
      <c r="J612" s="8"/>
      <c r="Z612" s="6"/>
    </row>
    <row r="613" spans="2:26" ht="12.75" x14ac:dyDescent="0.2">
      <c r="B613" s="6"/>
      <c r="C613" s="6"/>
      <c r="D613" s="6"/>
      <c r="E613" s="9"/>
      <c r="F613" s="9"/>
      <c r="G613" s="11"/>
      <c r="H613" s="5"/>
      <c r="I613" s="8"/>
      <c r="J613" s="8"/>
      <c r="Z613" s="6"/>
    </row>
    <row r="614" spans="2:26" ht="12.75" x14ac:dyDescent="0.2">
      <c r="B614" s="6"/>
      <c r="C614" s="6"/>
      <c r="D614" s="6"/>
      <c r="E614" s="9"/>
      <c r="F614" s="9"/>
      <c r="G614" s="11"/>
      <c r="H614" s="5"/>
      <c r="I614" s="8"/>
      <c r="J614" s="8"/>
      <c r="Z614" s="6"/>
    </row>
    <row r="615" spans="2:26" ht="12.75" x14ac:dyDescent="0.2">
      <c r="B615" s="6"/>
      <c r="C615" s="6"/>
      <c r="D615" s="6"/>
      <c r="E615" s="9"/>
      <c r="F615" s="9"/>
      <c r="G615" s="11"/>
      <c r="H615" s="5"/>
      <c r="I615" s="8"/>
      <c r="J615" s="8"/>
      <c r="Z615" s="6"/>
    </row>
    <row r="616" spans="2:26" ht="12.75" x14ac:dyDescent="0.2">
      <c r="B616" s="6"/>
      <c r="C616" s="6"/>
      <c r="D616" s="6"/>
      <c r="E616" s="9"/>
      <c r="F616" s="9"/>
      <c r="G616" s="11"/>
      <c r="H616" s="5"/>
      <c r="I616" s="8"/>
      <c r="J616" s="8"/>
      <c r="Z616" s="6"/>
    </row>
    <row r="617" spans="2:26" ht="12.75" x14ac:dyDescent="0.2">
      <c r="B617" s="6"/>
      <c r="C617" s="6"/>
      <c r="D617" s="6"/>
      <c r="E617" s="9"/>
      <c r="F617" s="9"/>
      <c r="G617" s="11"/>
      <c r="H617" s="5"/>
      <c r="I617" s="8"/>
      <c r="J617" s="8"/>
      <c r="Z617" s="6"/>
    </row>
    <row r="618" spans="2:26" ht="12.75" x14ac:dyDescent="0.2">
      <c r="B618" s="6"/>
      <c r="C618" s="6"/>
      <c r="D618" s="6"/>
      <c r="E618" s="9"/>
      <c r="F618" s="9"/>
      <c r="G618" s="11"/>
      <c r="H618" s="5"/>
      <c r="I618" s="8"/>
      <c r="J618" s="8"/>
      <c r="Z618" s="6"/>
    </row>
    <row r="619" spans="2:26" ht="12.75" x14ac:dyDescent="0.2">
      <c r="B619" s="6"/>
      <c r="C619" s="6"/>
      <c r="D619" s="6"/>
      <c r="E619" s="9"/>
      <c r="F619" s="9"/>
      <c r="G619" s="11"/>
      <c r="H619" s="5"/>
      <c r="I619" s="8"/>
      <c r="J619" s="8"/>
      <c r="Z619" s="6"/>
    </row>
    <row r="620" spans="2:26" ht="12.75" x14ac:dyDescent="0.2">
      <c r="B620" s="6"/>
      <c r="C620" s="6"/>
      <c r="D620" s="6"/>
      <c r="E620" s="9"/>
      <c r="F620" s="9"/>
      <c r="G620" s="11"/>
      <c r="H620" s="5"/>
      <c r="I620" s="8"/>
      <c r="J620" s="8"/>
      <c r="Z620" s="6"/>
    </row>
    <row r="621" spans="2:26" ht="12.75" x14ac:dyDescent="0.2">
      <c r="B621" s="6"/>
      <c r="C621" s="6"/>
      <c r="D621" s="6"/>
      <c r="E621" s="9"/>
      <c r="F621" s="9"/>
      <c r="G621" s="11"/>
      <c r="H621" s="5"/>
      <c r="I621" s="8"/>
      <c r="J621" s="8"/>
      <c r="Z621" s="6"/>
    </row>
    <row r="622" spans="2:26" ht="12.75" x14ac:dyDescent="0.2">
      <c r="B622" s="6"/>
      <c r="C622" s="6"/>
      <c r="D622" s="6"/>
      <c r="E622" s="9"/>
      <c r="F622" s="9"/>
      <c r="G622" s="11"/>
      <c r="H622" s="5"/>
      <c r="I622" s="8"/>
      <c r="J622" s="8"/>
      <c r="Z622" s="6"/>
    </row>
    <row r="623" spans="2:26" ht="12.75" x14ac:dyDescent="0.2">
      <c r="B623" s="6"/>
      <c r="C623" s="6"/>
      <c r="D623" s="6"/>
      <c r="E623" s="9"/>
      <c r="F623" s="9"/>
      <c r="G623" s="11"/>
      <c r="H623" s="5"/>
      <c r="I623" s="8"/>
      <c r="J623" s="8"/>
      <c r="Z623" s="6"/>
    </row>
    <row r="624" spans="2:26" ht="12.75" x14ac:dyDescent="0.2">
      <c r="B624" s="6"/>
      <c r="C624" s="6"/>
      <c r="D624" s="6"/>
      <c r="E624" s="9"/>
      <c r="F624" s="9"/>
      <c r="G624" s="11"/>
      <c r="H624" s="5"/>
      <c r="I624" s="8"/>
      <c r="J624" s="8"/>
      <c r="Z624" s="6"/>
    </row>
    <row r="625" spans="2:26" ht="12.75" x14ac:dyDescent="0.2">
      <c r="B625" s="6"/>
      <c r="C625" s="6"/>
      <c r="D625" s="6"/>
      <c r="E625" s="9"/>
      <c r="F625" s="9"/>
      <c r="G625" s="11"/>
      <c r="H625" s="5"/>
      <c r="I625" s="8"/>
      <c r="J625" s="8"/>
      <c r="Z625" s="6"/>
    </row>
    <row r="626" spans="2:26" ht="12.75" x14ac:dyDescent="0.2">
      <c r="B626" s="6"/>
      <c r="C626" s="6"/>
      <c r="D626" s="6"/>
      <c r="E626" s="9"/>
      <c r="F626" s="9"/>
      <c r="G626" s="11"/>
      <c r="H626" s="5"/>
      <c r="I626" s="8"/>
      <c r="J626" s="8"/>
      <c r="Z626" s="6"/>
    </row>
    <row r="627" spans="2:26" ht="12.75" x14ac:dyDescent="0.2">
      <c r="B627" s="6"/>
      <c r="C627" s="6"/>
      <c r="D627" s="6"/>
      <c r="E627" s="9"/>
      <c r="F627" s="9"/>
      <c r="G627" s="11"/>
      <c r="H627" s="5"/>
      <c r="I627" s="8"/>
      <c r="J627" s="8"/>
      <c r="Z627" s="6"/>
    </row>
    <row r="628" spans="2:26" ht="12.75" x14ac:dyDescent="0.2">
      <c r="B628" s="6"/>
      <c r="C628" s="6"/>
      <c r="D628" s="6"/>
      <c r="E628" s="9"/>
      <c r="F628" s="9"/>
      <c r="G628" s="11"/>
      <c r="H628" s="5"/>
      <c r="I628" s="8"/>
      <c r="J628" s="8"/>
      <c r="Z628" s="6"/>
    </row>
    <row r="629" spans="2:26" ht="12.75" x14ac:dyDescent="0.2">
      <c r="B629" s="6"/>
      <c r="C629" s="6"/>
      <c r="D629" s="6"/>
      <c r="E629" s="9"/>
      <c r="F629" s="9"/>
      <c r="G629" s="11"/>
      <c r="H629" s="5"/>
      <c r="I629" s="8"/>
      <c r="J629" s="8"/>
      <c r="Z629" s="6"/>
    </row>
    <row r="630" spans="2:26" ht="12.75" x14ac:dyDescent="0.2">
      <c r="B630" s="6"/>
      <c r="C630" s="6"/>
      <c r="D630" s="6"/>
      <c r="E630" s="9"/>
      <c r="F630" s="9"/>
      <c r="G630" s="11"/>
      <c r="H630" s="5"/>
      <c r="I630" s="8"/>
      <c r="J630" s="8"/>
      <c r="Z630" s="6"/>
    </row>
    <row r="631" spans="2:26" ht="12.75" x14ac:dyDescent="0.2">
      <c r="B631" s="6"/>
      <c r="C631" s="6"/>
      <c r="D631" s="6"/>
      <c r="E631" s="9"/>
      <c r="F631" s="9"/>
      <c r="G631" s="11"/>
      <c r="H631" s="5"/>
      <c r="I631" s="8"/>
      <c r="J631" s="8"/>
      <c r="Z631" s="6"/>
    </row>
    <row r="632" spans="2:26" ht="12.75" x14ac:dyDescent="0.2">
      <c r="B632" s="6"/>
      <c r="C632" s="6"/>
      <c r="D632" s="6"/>
      <c r="E632" s="9"/>
      <c r="F632" s="9"/>
      <c r="G632" s="11"/>
      <c r="H632" s="5"/>
      <c r="I632" s="8"/>
      <c r="J632" s="8"/>
      <c r="Z632" s="6"/>
    </row>
    <row r="633" spans="2:26" ht="12.75" x14ac:dyDescent="0.2">
      <c r="B633" s="6"/>
      <c r="C633" s="6"/>
      <c r="D633" s="6"/>
      <c r="E633" s="9"/>
      <c r="F633" s="9"/>
      <c r="G633" s="11"/>
      <c r="H633" s="5"/>
      <c r="I633" s="8"/>
      <c r="J633" s="8"/>
      <c r="Z633" s="6"/>
    </row>
    <row r="634" spans="2:26" ht="12.75" x14ac:dyDescent="0.2">
      <c r="B634" s="6"/>
      <c r="C634" s="6"/>
      <c r="D634" s="6"/>
      <c r="E634" s="9"/>
      <c r="F634" s="9"/>
      <c r="G634" s="11"/>
      <c r="H634" s="5"/>
      <c r="I634" s="8"/>
      <c r="J634" s="8"/>
      <c r="Z634" s="6"/>
    </row>
    <row r="635" spans="2:26" ht="12.75" x14ac:dyDescent="0.2">
      <c r="B635" s="6"/>
      <c r="C635" s="6"/>
      <c r="D635" s="6"/>
      <c r="E635" s="9"/>
      <c r="F635" s="9"/>
      <c r="G635" s="11"/>
      <c r="H635" s="5"/>
      <c r="I635" s="8"/>
      <c r="J635" s="8"/>
      <c r="Z635" s="6"/>
    </row>
    <row r="636" spans="2:26" ht="12.75" x14ac:dyDescent="0.2">
      <c r="B636" s="6"/>
      <c r="C636" s="6"/>
      <c r="D636" s="6"/>
      <c r="E636" s="9"/>
      <c r="F636" s="9"/>
      <c r="G636" s="11"/>
      <c r="H636" s="5"/>
      <c r="I636" s="8"/>
      <c r="J636" s="8"/>
      <c r="Z636" s="6"/>
    </row>
    <row r="637" spans="2:26" ht="12.75" x14ac:dyDescent="0.2">
      <c r="B637" s="6"/>
      <c r="C637" s="6"/>
      <c r="D637" s="6"/>
      <c r="E637" s="9"/>
      <c r="F637" s="9"/>
      <c r="G637" s="11"/>
      <c r="H637" s="5"/>
      <c r="I637" s="8"/>
      <c r="J637" s="8"/>
      <c r="Z637" s="6"/>
    </row>
    <row r="638" spans="2:26" ht="12.75" x14ac:dyDescent="0.2">
      <c r="B638" s="6"/>
      <c r="C638" s="6"/>
      <c r="D638" s="6"/>
      <c r="E638" s="9"/>
      <c r="F638" s="9"/>
      <c r="G638" s="11"/>
      <c r="H638" s="5"/>
      <c r="I638" s="8"/>
      <c r="J638" s="8"/>
      <c r="Z638" s="6"/>
    </row>
    <row r="639" spans="2:26" ht="12.75" x14ac:dyDescent="0.2">
      <c r="B639" s="6"/>
      <c r="C639" s="6"/>
      <c r="D639" s="6"/>
      <c r="E639" s="9"/>
      <c r="F639" s="9"/>
      <c r="G639" s="11"/>
      <c r="H639" s="5"/>
      <c r="I639" s="8"/>
      <c r="J639" s="8"/>
      <c r="Z639" s="6"/>
    </row>
    <row r="640" spans="2:26" ht="12.75" x14ac:dyDescent="0.2">
      <c r="B640" s="6"/>
      <c r="C640" s="6"/>
      <c r="D640" s="6"/>
      <c r="E640" s="9"/>
      <c r="F640" s="9"/>
      <c r="G640" s="11"/>
      <c r="H640" s="5"/>
      <c r="I640" s="8"/>
      <c r="J640" s="8"/>
      <c r="Z640" s="6"/>
    </row>
    <row r="641" spans="2:26" ht="12.75" x14ac:dyDescent="0.2">
      <c r="B641" s="6"/>
      <c r="C641" s="6"/>
      <c r="D641" s="6"/>
      <c r="E641" s="9"/>
      <c r="F641" s="9"/>
      <c r="G641" s="11"/>
      <c r="H641" s="5"/>
      <c r="I641" s="8"/>
      <c r="J641" s="8"/>
      <c r="Z641" s="6"/>
    </row>
    <row r="642" spans="2:26" ht="12.75" x14ac:dyDescent="0.2">
      <c r="B642" s="6"/>
      <c r="C642" s="6"/>
      <c r="D642" s="6"/>
      <c r="E642" s="9"/>
      <c r="F642" s="9"/>
      <c r="G642" s="11"/>
      <c r="H642" s="5"/>
      <c r="I642" s="8"/>
      <c r="J642" s="8"/>
      <c r="Z642" s="6"/>
    </row>
    <row r="643" spans="2:26" ht="12.75" x14ac:dyDescent="0.2">
      <c r="B643" s="6"/>
      <c r="C643" s="6"/>
      <c r="D643" s="6"/>
      <c r="E643" s="9"/>
      <c r="F643" s="9"/>
      <c r="G643" s="11"/>
      <c r="H643" s="5"/>
      <c r="I643" s="8"/>
      <c r="J643" s="8"/>
      <c r="Z643" s="6"/>
    </row>
    <row r="644" spans="2:26" ht="12.75" x14ac:dyDescent="0.2">
      <c r="B644" s="6"/>
      <c r="C644" s="6"/>
      <c r="D644" s="6"/>
      <c r="E644" s="9"/>
      <c r="F644" s="9"/>
      <c r="G644" s="11"/>
      <c r="H644" s="5"/>
      <c r="I644" s="8"/>
      <c r="J644" s="8"/>
      <c r="Z644" s="6"/>
    </row>
    <row r="645" spans="2:26" ht="12.75" x14ac:dyDescent="0.2">
      <c r="B645" s="6"/>
      <c r="C645" s="6"/>
      <c r="D645" s="6"/>
      <c r="E645" s="9"/>
      <c r="F645" s="9"/>
      <c r="G645" s="11"/>
      <c r="H645" s="5"/>
      <c r="I645" s="8"/>
      <c r="J645" s="8"/>
      <c r="Z645" s="6"/>
    </row>
    <row r="646" spans="2:26" ht="12.75" x14ac:dyDescent="0.2">
      <c r="B646" s="6"/>
      <c r="C646" s="6"/>
      <c r="D646" s="6"/>
      <c r="E646" s="9"/>
      <c r="F646" s="9"/>
      <c r="G646" s="11"/>
      <c r="H646" s="5"/>
      <c r="I646" s="8"/>
      <c r="J646" s="8"/>
      <c r="Z646" s="6"/>
    </row>
    <row r="647" spans="2:26" ht="12.75" x14ac:dyDescent="0.2">
      <c r="B647" s="6"/>
      <c r="C647" s="6"/>
      <c r="D647" s="6"/>
      <c r="E647" s="9"/>
      <c r="F647" s="9"/>
      <c r="G647" s="11"/>
      <c r="H647" s="5"/>
      <c r="I647" s="8"/>
      <c r="J647" s="8"/>
      <c r="Z647" s="6"/>
    </row>
    <row r="648" spans="2:26" ht="12.75" x14ac:dyDescent="0.2">
      <c r="B648" s="6"/>
      <c r="C648" s="6"/>
      <c r="D648" s="6"/>
      <c r="E648" s="9"/>
      <c r="F648" s="9"/>
      <c r="G648" s="11"/>
      <c r="H648" s="5"/>
      <c r="I648" s="8"/>
      <c r="J648" s="8"/>
      <c r="Z648" s="6"/>
    </row>
    <row r="649" spans="2:26" ht="12.75" x14ac:dyDescent="0.2">
      <c r="B649" s="6"/>
      <c r="C649" s="6"/>
      <c r="D649" s="6"/>
      <c r="E649" s="9"/>
      <c r="F649" s="9"/>
      <c r="G649" s="11"/>
      <c r="H649" s="5"/>
      <c r="I649" s="8"/>
      <c r="J649" s="8"/>
      <c r="Z649" s="6"/>
    </row>
    <row r="650" spans="2:26" ht="12.75" x14ac:dyDescent="0.2">
      <c r="B650" s="6"/>
      <c r="C650" s="6"/>
      <c r="D650" s="6"/>
      <c r="E650" s="9"/>
      <c r="F650" s="9"/>
      <c r="G650" s="11"/>
      <c r="H650" s="5"/>
      <c r="I650" s="8"/>
      <c r="J650" s="8"/>
      <c r="Z650" s="6"/>
    </row>
    <row r="651" spans="2:26" ht="12.75" x14ac:dyDescent="0.2">
      <c r="B651" s="6"/>
      <c r="C651" s="6"/>
      <c r="D651" s="6"/>
      <c r="E651" s="9"/>
      <c r="F651" s="9"/>
      <c r="G651" s="11"/>
      <c r="H651" s="5"/>
      <c r="I651" s="8"/>
      <c r="J651" s="8"/>
      <c r="Z651" s="6"/>
    </row>
    <row r="652" spans="2:26" ht="12.75" x14ac:dyDescent="0.2">
      <c r="B652" s="6"/>
      <c r="C652" s="6"/>
      <c r="D652" s="6"/>
      <c r="E652" s="9"/>
      <c r="F652" s="9"/>
      <c r="G652" s="11"/>
      <c r="H652" s="5"/>
      <c r="I652" s="8"/>
      <c r="J652" s="8"/>
      <c r="Z652" s="6"/>
    </row>
    <row r="653" spans="2:26" ht="12.75" x14ac:dyDescent="0.2">
      <c r="B653" s="6"/>
      <c r="C653" s="6"/>
      <c r="D653" s="6"/>
      <c r="E653" s="9"/>
      <c r="F653" s="9"/>
      <c r="G653" s="11"/>
      <c r="H653" s="5"/>
      <c r="I653" s="8"/>
      <c r="J653" s="8"/>
      <c r="Z653" s="6"/>
    </row>
    <row r="654" spans="2:26" ht="12.75" x14ac:dyDescent="0.2">
      <c r="B654" s="6"/>
      <c r="C654" s="6"/>
      <c r="D654" s="6"/>
      <c r="E654" s="9"/>
      <c r="F654" s="9"/>
      <c r="G654" s="11"/>
      <c r="H654" s="5"/>
      <c r="I654" s="8"/>
      <c r="J654" s="8"/>
      <c r="Z654" s="6"/>
    </row>
    <row r="655" spans="2:26" ht="12.75" x14ac:dyDescent="0.2">
      <c r="B655" s="6"/>
      <c r="C655" s="6"/>
      <c r="D655" s="6"/>
      <c r="E655" s="9"/>
      <c r="F655" s="9"/>
      <c r="G655" s="11"/>
      <c r="H655" s="5"/>
      <c r="I655" s="8"/>
      <c r="J655" s="8"/>
      <c r="Z655" s="6"/>
    </row>
    <row r="656" spans="2:26" ht="12.75" x14ac:dyDescent="0.2">
      <c r="B656" s="6"/>
      <c r="C656" s="6"/>
      <c r="D656" s="6"/>
      <c r="E656" s="9"/>
      <c r="F656" s="9"/>
      <c r="G656" s="11"/>
      <c r="H656" s="5"/>
      <c r="I656" s="8"/>
      <c r="J656" s="8"/>
      <c r="Z656" s="6"/>
    </row>
    <row r="657" spans="2:26" ht="12.75" x14ac:dyDescent="0.2">
      <c r="B657" s="6"/>
      <c r="C657" s="6"/>
      <c r="D657" s="6"/>
      <c r="E657" s="9"/>
      <c r="F657" s="9"/>
      <c r="G657" s="11"/>
      <c r="H657" s="5"/>
      <c r="I657" s="8"/>
      <c r="J657" s="8"/>
      <c r="Z657" s="6"/>
    </row>
    <row r="658" spans="2:26" ht="12.75" x14ac:dyDescent="0.2">
      <c r="B658" s="6"/>
      <c r="C658" s="6"/>
      <c r="D658" s="6"/>
      <c r="E658" s="9"/>
      <c r="F658" s="9"/>
      <c r="G658" s="11"/>
      <c r="H658" s="5"/>
      <c r="I658" s="8"/>
      <c r="J658" s="8"/>
      <c r="Z658" s="6"/>
    </row>
    <row r="659" spans="2:26" ht="12.75" x14ac:dyDescent="0.2">
      <c r="B659" s="6"/>
      <c r="C659" s="6"/>
      <c r="D659" s="6"/>
      <c r="E659" s="9"/>
      <c r="F659" s="9"/>
      <c r="G659" s="11"/>
      <c r="H659" s="5"/>
      <c r="I659" s="8"/>
      <c r="J659" s="8"/>
      <c r="Z659" s="6"/>
    </row>
    <row r="660" spans="2:26" ht="12.75" x14ac:dyDescent="0.2">
      <c r="B660" s="6"/>
      <c r="C660" s="6"/>
      <c r="D660" s="6"/>
      <c r="E660" s="9"/>
      <c r="F660" s="9"/>
      <c r="G660" s="11"/>
      <c r="H660" s="5"/>
      <c r="I660" s="8"/>
      <c r="J660" s="8"/>
      <c r="Z660" s="6"/>
    </row>
    <row r="661" spans="2:26" ht="12.75" x14ac:dyDescent="0.2">
      <c r="B661" s="6"/>
      <c r="C661" s="6"/>
      <c r="D661" s="6"/>
      <c r="E661" s="9"/>
      <c r="F661" s="9"/>
      <c r="G661" s="11"/>
      <c r="H661" s="5"/>
      <c r="I661" s="8"/>
      <c r="J661" s="8"/>
      <c r="Z661" s="6"/>
    </row>
    <row r="662" spans="2:26" ht="12.75" x14ac:dyDescent="0.2">
      <c r="B662" s="6"/>
      <c r="C662" s="6"/>
      <c r="D662" s="6"/>
      <c r="E662" s="9"/>
      <c r="F662" s="9"/>
      <c r="G662" s="11"/>
      <c r="H662" s="5"/>
      <c r="I662" s="8"/>
      <c r="J662" s="8"/>
      <c r="Z662" s="6"/>
    </row>
    <row r="663" spans="2:26" ht="12.75" x14ac:dyDescent="0.2">
      <c r="B663" s="6"/>
      <c r="C663" s="6"/>
      <c r="D663" s="6"/>
      <c r="E663" s="9"/>
      <c r="F663" s="9"/>
      <c r="G663" s="11"/>
      <c r="H663" s="5"/>
      <c r="I663" s="8"/>
      <c r="J663" s="8"/>
      <c r="Z663" s="6"/>
    </row>
    <row r="664" spans="2:26" ht="12.75" x14ac:dyDescent="0.2">
      <c r="B664" s="6"/>
      <c r="C664" s="6"/>
      <c r="D664" s="6"/>
      <c r="E664" s="9"/>
      <c r="F664" s="9"/>
      <c r="G664" s="11"/>
      <c r="H664" s="5"/>
      <c r="I664" s="8"/>
      <c r="J664" s="8"/>
      <c r="Z664" s="6"/>
    </row>
    <row r="665" spans="2:26" ht="12.75" x14ac:dyDescent="0.2">
      <c r="B665" s="6"/>
      <c r="C665" s="6"/>
      <c r="D665" s="6"/>
      <c r="E665" s="9"/>
      <c r="F665" s="9"/>
      <c r="G665" s="11"/>
      <c r="H665" s="5"/>
      <c r="I665" s="8"/>
      <c r="J665" s="8"/>
      <c r="Z665" s="6"/>
    </row>
    <row r="666" spans="2:26" ht="12.75" x14ac:dyDescent="0.2">
      <c r="B666" s="6"/>
      <c r="C666" s="6"/>
      <c r="D666" s="6"/>
      <c r="E666" s="9"/>
      <c r="F666" s="9"/>
      <c r="G666" s="11"/>
      <c r="H666" s="5"/>
      <c r="I666" s="8"/>
      <c r="J666" s="8"/>
      <c r="Z666" s="6"/>
    </row>
    <row r="667" spans="2:26" ht="12.75" x14ac:dyDescent="0.2">
      <c r="B667" s="6"/>
      <c r="C667" s="6"/>
      <c r="D667" s="6"/>
      <c r="E667" s="9"/>
      <c r="F667" s="9"/>
      <c r="G667" s="11"/>
      <c r="H667" s="5"/>
      <c r="I667" s="8"/>
      <c r="J667" s="8"/>
      <c r="Z667" s="6"/>
    </row>
    <row r="668" spans="2:26" ht="12.75" x14ac:dyDescent="0.2">
      <c r="B668" s="6"/>
      <c r="C668" s="6"/>
      <c r="D668" s="6"/>
      <c r="E668" s="9"/>
      <c r="F668" s="9"/>
      <c r="G668" s="11"/>
      <c r="H668" s="5"/>
      <c r="I668" s="8"/>
      <c r="J668" s="8"/>
      <c r="Z668" s="6"/>
    </row>
    <row r="669" spans="2:26" ht="12.75" x14ac:dyDescent="0.2">
      <c r="B669" s="6"/>
      <c r="C669" s="6"/>
      <c r="D669" s="6"/>
      <c r="E669" s="9"/>
      <c r="F669" s="9"/>
      <c r="G669" s="11"/>
      <c r="H669" s="5"/>
      <c r="I669" s="8"/>
      <c r="J669" s="8"/>
      <c r="Z669" s="6"/>
    </row>
    <row r="670" spans="2:26" ht="12.75" x14ac:dyDescent="0.2">
      <c r="B670" s="6"/>
      <c r="C670" s="6"/>
      <c r="D670" s="6"/>
      <c r="E670" s="9"/>
      <c r="F670" s="9"/>
      <c r="G670" s="11"/>
      <c r="H670" s="5"/>
      <c r="I670" s="8"/>
      <c r="J670" s="8"/>
      <c r="Z670" s="6"/>
    </row>
    <row r="671" spans="2:26" ht="12.75" x14ac:dyDescent="0.2">
      <c r="B671" s="6"/>
      <c r="C671" s="6"/>
      <c r="D671" s="6"/>
      <c r="E671" s="9"/>
      <c r="F671" s="9"/>
      <c r="G671" s="11"/>
      <c r="H671" s="5"/>
      <c r="I671" s="8"/>
      <c r="J671" s="8"/>
      <c r="Z671" s="6"/>
    </row>
    <row r="672" spans="2:26" ht="12.75" x14ac:dyDescent="0.2">
      <c r="B672" s="6"/>
      <c r="C672" s="6"/>
      <c r="D672" s="6"/>
      <c r="E672" s="9"/>
      <c r="F672" s="9"/>
      <c r="G672" s="11"/>
      <c r="H672" s="5"/>
      <c r="I672" s="8"/>
      <c r="J672" s="8"/>
      <c r="Z672" s="6"/>
    </row>
    <row r="673" spans="2:26" ht="12.75" x14ac:dyDescent="0.2">
      <c r="B673" s="6"/>
      <c r="C673" s="6"/>
      <c r="D673" s="6"/>
      <c r="E673" s="9"/>
      <c r="F673" s="9"/>
      <c r="G673" s="11"/>
      <c r="H673" s="5"/>
      <c r="I673" s="8"/>
      <c r="J673" s="8"/>
      <c r="Z673" s="6"/>
    </row>
    <row r="674" spans="2:26" ht="12.75" x14ac:dyDescent="0.2">
      <c r="B674" s="6"/>
      <c r="C674" s="6"/>
      <c r="D674" s="6"/>
      <c r="E674" s="9"/>
      <c r="F674" s="9"/>
      <c r="G674" s="11"/>
      <c r="H674" s="5"/>
      <c r="I674" s="8"/>
      <c r="J674" s="8"/>
      <c r="Z674" s="6"/>
    </row>
    <row r="675" spans="2:26" ht="12.75" x14ac:dyDescent="0.2">
      <c r="B675" s="6"/>
      <c r="C675" s="6"/>
      <c r="D675" s="6"/>
      <c r="E675" s="9"/>
      <c r="F675" s="9"/>
      <c r="G675" s="11"/>
      <c r="H675" s="5"/>
      <c r="I675" s="8"/>
      <c r="J675" s="8"/>
      <c r="Z675" s="6"/>
    </row>
    <row r="676" spans="2:26" ht="12.75" x14ac:dyDescent="0.2">
      <c r="B676" s="6"/>
      <c r="C676" s="6"/>
      <c r="D676" s="6"/>
      <c r="E676" s="9"/>
      <c r="F676" s="9"/>
      <c r="G676" s="11"/>
      <c r="H676" s="5"/>
      <c r="I676" s="8"/>
      <c r="J676" s="8"/>
      <c r="Z676" s="6"/>
    </row>
    <row r="677" spans="2:26" ht="12.75" x14ac:dyDescent="0.2">
      <c r="B677" s="6"/>
      <c r="C677" s="6"/>
      <c r="D677" s="6"/>
      <c r="E677" s="9"/>
      <c r="F677" s="9"/>
      <c r="G677" s="11"/>
      <c r="H677" s="5"/>
      <c r="I677" s="8"/>
      <c r="J677" s="8"/>
      <c r="Z677" s="6"/>
    </row>
    <row r="678" spans="2:26" ht="12.75" x14ac:dyDescent="0.2">
      <c r="B678" s="6"/>
      <c r="C678" s="6"/>
      <c r="D678" s="6"/>
      <c r="E678" s="9"/>
      <c r="F678" s="9"/>
      <c r="G678" s="11"/>
      <c r="H678" s="5"/>
      <c r="I678" s="8"/>
      <c r="J678" s="8"/>
      <c r="Z678" s="6"/>
    </row>
    <row r="679" spans="2:26" ht="12.75" x14ac:dyDescent="0.2">
      <c r="B679" s="6"/>
      <c r="C679" s="6"/>
      <c r="D679" s="6"/>
      <c r="E679" s="9"/>
      <c r="F679" s="9"/>
      <c r="G679" s="11"/>
      <c r="H679" s="5"/>
      <c r="I679" s="8"/>
      <c r="J679" s="8"/>
      <c r="Z679" s="6"/>
    </row>
    <row r="680" spans="2:26" ht="12.75" x14ac:dyDescent="0.2">
      <c r="B680" s="6"/>
      <c r="C680" s="6"/>
      <c r="D680" s="6"/>
      <c r="E680" s="9"/>
      <c r="F680" s="9"/>
      <c r="G680" s="11"/>
      <c r="H680" s="5"/>
      <c r="I680" s="8"/>
      <c r="J680" s="8"/>
      <c r="Z680" s="6"/>
    </row>
    <row r="681" spans="2:26" ht="12.75" x14ac:dyDescent="0.2">
      <c r="B681" s="6"/>
      <c r="C681" s="6"/>
      <c r="D681" s="6"/>
      <c r="E681" s="9"/>
      <c r="F681" s="9"/>
      <c r="G681" s="11"/>
      <c r="H681" s="5"/>
      <c r="I681" s="8"/>
      <c r="J681" s="8"/>
      <c r="Z681" s="6"/>
    </row>
    <row r="682" spans="2:26" ht="12.75" x14ac:dyDescent="0.2">
      <c r="B682" s="6"/>
      <c r="C682" s="6"/>
      <c r="D682" s="6"/>
      <c r="E682" s="9"/>
      <c r="F682" s="9"/>
      <c r="G682" s="11"/>
      <c r="H682" s="5"/>
      <c r="I682" s="8"/>
      <c r="J682" s="8"/>
      <c r="Z682" s="6"/>
    </row>
    <row r="683" spans="2:26" ht="12.75" x14ac:dyDescent="0.2">
      <c r="B683" s="6"/>
      <c r="C683" s="6"/>
      <c r="D683" s="6"/>
      <c r="E683" s="9"/>
      <c r="F683" s="9"/>
      <c r="G683" s="11"/>
      <c r="H683" s="5"/>
      <c r="I683" s="8"/>
      <c r="J683" s="8"/>
      <c r="Z683" s="6"/>
    </row>
    <row r="684" spans="2:26" ht="12.75" x14ac:dyDescent="0.2">
      <c r="B684" s="6"/>
      <c r="C684" s="6"/>
      <c r="D684" s="6"/>
      <c r="E684" s="9"/>
      <c r="F684" s="9"/>
      <c r="G684" s="11"/>
      <c r="H684" s="5"/>
      <c r="I684" s="8"/>
      <c r="J684" s="8"/>
      <c r="Z684" s="6"/>
    </row>
    <row r="685" spans="2:26" ht="12.75" x14ac:dyDescent="0.2">
      <c r="B685" s="6"/>
      <c r="C685" s="6"/>
      <c r="D685" s="6"/>
      <c r="E685" s="9"/>
      <c r="F685" s="9"/>
      <c r="G685" s="11"/>
      <c r="H685" s="5"/>
      <c r="I685" s="8"/>
      <c r="J685" s="8"/>
      <c r="Z685" s="6"/>
    </row>
    <row r="686" spans="2:26" ht="12.75" x14ac:dyDescent="0.2">
      <c r="B686" s="6"/>
      <c r="C686" s="6"/>
      <c r="D686" s="6"/>
      <c r="E686" s="9"/>
      <c r="F686" s="9"/>
      <c r="G686" s="11"/>
      <c r="H686" s="5"/>
      <c r="I686" s="8"/>
      <c r="J686" s="8"/>
      <c r="Z686" s="6"/>
    </row>
    <row r="687" spans="2:26" ht="12.75" x14ac:dyDescent="0.2">
      <c r="B687" s="6"/>
      <c r="C687" s="6"/>
      <c r="D687" s="6"/>
      <c r="E687" s="9"/>
      <c r="F687" s="9"/>
      <c r="G687" s="11"/>
      <c r="H687" s="5"/>
      <c r="I687" s="8"/>
      <c r="J687" s="8"/>
      <c r="Z687" s="6"/>
    </row>
    <row r="688" spans="2:26" ht="12.75" x14ac:dyDescent="0.2">
      <c r="B688" s="6"/>
      <c r="C688" s="6"/>
      <c r="D688" s="6"/>
      <c r="E688" s="9"/>
      <c r="F688" s="9"/>
      <c r="G688" s="11"/>
      <c r="H688" s="5"/>
      <c r="I688" s="8"/>
      <c r="J688" s="8"/>
      <c r="Z688" s="6"/>
    </row>
    <row r="689" spans="2:26" ht="12.75" x14ac:dyDescent="0.2">
      <c r="B689" s="6"/>
      <c r="C689" s="6"/>
      <c r="D689" s="6"/>
      <c r="E689" s="9"/>
      <c r="F689" s="9"/>
      <c r="G689" s="11"/>
      <c r="H689" s="5"/>
      <c r="I689" s="8"/>
      <c r="J689" s="8"/>
      <c r="Z689" s="6"/>
    </row>
    <row r="690" spans="2:26" ht="12.75" x14ac:dyDescent="0.2">
      <c r="B690" s="6"/>
      <c r="C690" s="6"/>
      <c r="D690" s="6"/>
      <c r="E690" s="9"/>
      <c r="F690" s="9"/>
      <c r="G690" s="11"/>
      <c r="H690" s="5"/>
      <c r="I690" s="8"/>
      <c r="J690" s="8"/>
      <c r="Z690" s="6"/>
    </row>
    <row r="691" spans="2:26" ht="12.75" x14ac:dyDescent="0.2">
      <c r="B691" s="6"/>
      <c r="C691" s="6"/>
      <c r="D691" s="6"/>
      <c r="E691" s="9"/>
      <c r="F691" s="9"/>
      <c r="G691" s="11"/>
      <c r="H691" s="5"/>
      <c r="I691" s="8"/>
      <c r="J691" s="8"/>
      <c r="Z691" s="6"/>
    </row>
    <row r="692" spans="2:26" ht="12.75" x14ac:dyDescent="0.2">
      <c r="B692" s="6"/>
      <c r="C692" s="6"/>
      <c r="D692" s="6"/>
      <c r="E692" s="9"/>
      <c r="F692" s="9"/>
      <c r="G692" s="11"/>
      <c r="H692" s="5"/>
      <c r="I692" s="8"/>
      <c r="J692" s="8"/>
      <c r="Z692" s="6"/>
    </row>
    <row r="693" spans="2:26" ht="12.75" x14ac:dyDescent="0.2">
      <c r="B693" s="6"/>
      <c r="C693" s="6"/>
      <c r="D693" s="6"/>
      <c r="E693" s="9"/>
      <c r="F693" s="9"/>
      <c r="G693" s="11"/>
      <c r="H693" s="5"/>
      <c r="I693" s="8"/>
      <c r="J693" s="8"/>
      <c r="Z693" s="6"/>
    </row>
    <row r="694" spans="2:26" ht="12.75" x14ac:dyDescent="0.2">
      <c r="B694" s="6"/>
      <c r="C694" s="6"/>
      <c r="D694" s="6"/>
      <c r="E694" s="9"/>
      <c r="F694" s="9"/>
      <c r="G694" s="11"/>
      <c r="H694" s="5"/>
      <c r="I694" s="8"/>
      <c r="J694" s="8"/>
      <c r="Z694" s="6"/>
    </row>
    <row r="695" spans="2:26" ht="12.75" x14ac:dyDescent="0.2">
      <c r="B695" s="6"/>
      <c r="C695" s="6"/>
      <c r="D695" s="6"/>
      <c r="E695" s="9"/>
      <c r="F695" s="9"/>
      <c r="G695" s="11"/>
      <c r="H695" s="5"/>
      <c r="I695" s="8"/>
      <c r="J695" s="8"/>
      <c r="Z695" s="6"/>
    </row>
    <row r="696" spans="2:26" ht="12.75" x14ac:dyDescent="0.2">
      <c r="B696" s="6"/>
      <c r="C696" s="6"/>
      <c r="D696" s="6"/>
      <c r="E696" s="9"/>
      <c r="F696" s="9"/>
      <c r="G696" s="11"/>
      <c r="H696" s="5"/>
      <c r="I696" s="8"/>
      <c r="J696" s="8"/>
      <c r="Z696" s="6"/>
    </row>
    <row r="697" spans="2:26" ht="12.75" x14ac:dyDescent="0.2">
      <c r="B697" s="6"/>
      <c r="C697" s="6"/>
      <c r="D697" s="6"/>
      <c r="E697" s="9"/>
      <c r="F697" s="9"/>
      <c r="G697" s="11"/>
      <c r="H697" s="5"/>
      <c r="I697" s="8"/>
      <c r="J697" s="8"/>
      <c r="Z697" s="6"/>
    </row>
    <row r="698" spans="2:26" ht="12.75" x14ac:dyDescent="0.2">
      <c r="B698" s="6"/>
      <c r="C698" s="6"/>
      <c r="D698" s="6"/>
      <c r="E698" s="9"/>
      <c r="F698" s="9"/>
      <c r="G698" s="11"/>
      <c r="H698" s="5"/>
      <c r="I698" s="8"/>
      <c r="J698" s="8"/>
      <c r="Z698" s="6"/>
    </row>
    <row r="699" spans="2:26" ht="12.75" x14ac:dyDescent="0.2">
      <c r="B699" s="6"/>
      <c r="C699" s="6"/>
      <c r="D699" s="6"/>
      <c r="E699" s="9"/>
      <c r="F699" s="9"/>
      <c r="G699" s="11"/>
      <c r="H699" s="5"/>
      <c r="I699" s="8"/>
      <c r="J699" s="8"/>
      <c r="Z699" s="6"/>
    </row>
    <row r="700" spans="2:26" ht="12.75" x14ac:dyDescent="0.2">
      <c r="B700" s="6"/>
      <c r="C700" s="6"/>
      <c r="D700" s="6"/>
      <c r="E700" s="9"/>
      <c r="F700" s="9"/>
      <c r="G700" s="11"/>
      <c r="H700" s="5"/>
      <c r="I700" s="8"/>
      <c r="J700" s="8"/>
      <c r="Z700" s="6"/>
    </row>
    <row r="701" spans="2:26" ht="12.75" x14ac:dyDescent="0.2">
      <c r="B701" s="6"/>
      <c r="C701" s="6"/>
      <c r="D701" s="6"/>
      <c r="E701" s="9"/>
      <c r="F701" s="9"/>
      <c r="G701" s="11"/>
      <c r="H701" s="5"/>
      <c r="I701" s="8"/>
      <c r="J701" s="8"/>
      <c r="Z701" s="6"/>
    </row>
    <row r="702" spans="2:26" ht="12.75" x14ac:dyDescent="0.2">
      <c r="B702" s="6"/>
      <c r="C702" s="6"/>
      <c r="D702" s="6"/>
      <c r="E702" s="9"/>
      <c r="F702" s="9"/>
      <c r="G702" s="11"/>
      <c r="H702" s="5"/>
      <c r="I702" s="8"/>
      <c r="J702" s="8"/>
      <c r="Z702" s="6"/>
    </row>
    <row r="703" spans="2:26" ht="12.75" x14ac:dyDescent="0.2">
      <c r="B703" s="6"/>
      <c r="C703" s="6"/>
      <c r="D703" s="6"/>
      <c r="E703" s="9"/>
      <c r="F703" s="9"/>
      <c r="G703" s="11"/>
      <c r="H703" s="5"/>
      <c r="I703" s="8"/>
      <c r="J703" s="8"/>
      <c r="Z703" s="6"/>
    </row>
    <row r="704" spans="2:26" ht="12.75" x14ac:dyDescent="0.2">
      <c r="B704" s="6"/>
      <c r="C704" s="6"/>
      <c r="D704" s="6"/>
      <c r="E704" s="9"/>
      <c r="F704" s="9"/>
      <c r="G704" s="11"/>
      <c r="H704" s="5"/>
      <c r="I704" s="8"/>
      <c r="J704" s="8"/>
      <c r="Z704" s="6"/>
    </row>
    <row r="705" spans="2:26" ht="12.75" x14ac:dyDescent="0.2">
      <c r="B705" s="6"/>
      <c r="C705" s="6"/>
      <c r="D705" s="6"/>
      <c r="E705" s="9"/>
      <c r="F705" s="9"/>
      <c r="G705" s="11"/>
      <c r="H705" s="5"/>
      <c r="I705" s="8"/>
      <c r="J705" s="8"/>
      <c r="Z705" s="6"/>
    </row>
    <row r="706" spans="2:26" ht="12.75" x14ac:dyDescent="0.2">
      <c r="B706" s="6"/>
      <c r="C706" s="6"/>
      <c r="D706" s="6"/>
      <c r="E706" s="9"/>
      <c r="F706" s="9"/>
      <c r="G706" s="11"/>
      <c r="H706" s="5"/>
      <c r="I706" s="8"/>
      <c r="J706" s="8"/>
      <c r="Z706" s="6"/>
    </row>
    <row r="707" spans="2:26" ht="12.75" x14ac:dyDescent="0.2">
      <c r="B707" s="6"/>
      <c r="C707" s="6"/>
      <c r="D707" s="6"/>
      <c r="E707" s="9"/>
      <c r="F707" s="9"/>
      <c r="G707" s="11"/>
      <c r="H707" s="5"/>
      <c r="I707" s="8"/>
      <c r="J707" s="8"/>
      <c r="Z707" s="6"/>
    </row>
    <row r="708" spans="2:26" ht="12.75" x14ac:dyDescent="0.2">
      <c r="B708" s="6"/>
      <c r="C708" s="6"/>
      <c r="D708" s="6"/>
      <c r="E708" s="9"/>
      <c r="F708" s="9"/>
      <c r="G708" s="11"/>
      <c r="H708" s="5"/>
      <c r="I708" s="8"/>
      <c r="J708" s="8"/>
      <c r="Z708" s="6"/>
    </row>
    <row r="709" spans="2:26" ht="12.75" x14ac:dyDescent="0.2">
      <c r="B709" s="6"/>
      <c r="C709" s="6"/>
      <c r="D709" s="6"/>
      <c r="E709" s="9"/>
      <c r="F709" s="9"/>
      <c r="G709" s="11"/>
      <c r="H709" s="5"/>
      <c r="I709" s="8"/>
      <c r="J709" s="8"/>
      <c r="Z709" s="6"/>
    </row>
    <row r="710" spans="2:26" ht="12.75" x14ac:dyDescent="0.2">
      <c r="B710" s="6"/>
      <c r="C710" s="6"/>
      <c r="D710" s="6"/>
      <c r="E710" s="9"/>
      <c r="F710" s="9"/>
      <c r="G710" s="11"/>
      <c r="H710" s="5"/>
      <c r="I710" s="8"/>
      <c r="J710" s="8"/>
      <c r="Z710" s="6"/>
    </row>
    <row r="711" spans="2:26" ht="12.75" x14ac:dyDescent="0.2">
      <c r="B711" s="6"/>
      <c r="C711" s="6"/>
      <c r="D711" s="6"/>
      <c r="E711" s="9"/>
      <c r="F711" s="9"/>
      <c r="G711" s="11"/>
      <c r="H711" s="5"/>
      <c r="I711" s="8"/>
      <c r="J711" s="8"/>
      <c r="Z711" s="6"/>
    </row>
    <row r="712" spans="2:26" ht="12.75" x14ac:dyDescent="0.2">
      <c r="B712" s="6"/>
      <c r="C712" s="6"/>
      <c r="D712" s="6"/>
      <c r="E712" s="9"/>
      <c r="F712" s="9"/>
      <c r="G712" s="11"/>
      <c r="H712" s="5"/>
      <c r="I712" s="8"/>
      <c r="J712" s="8"/>
      <c r="Z712" s="6"/>
    </row>
    <row r="713" spans="2:26" ht="12.75" x14ac:dyDescent="0.2">
      <c r="B713" s="6"/>
      <c r="C713" s="6"/>
      <c r="D713" s="6"/>
      <c r="E713" s="9"/>
      <c r="F713" s="9"/>
      <c r="G713" s="11"/>
      <c r="H713" s="5"/>
      <c r="I713" s="8"/>
      <c r="J713" s="8"/>
      <c r="Z713" s="6"/>
    </row>
    <row r="714" spans="2:26" ht="12.75" x14ac:dyDescent="0.2">
      <c r="B714" s="6"/>
      <c r="C714" s="6"/>
      <c r="D714" s="6"/>
      <c r="E714" s="9"/>
      <c r="F714" s="9"/>
      <c r="G714" s="11"/>
      <c r="H714" s="5"/>
      <c r="I714" s="8"/>
      <c r="J714" s="8"/>
      <c r="Z714" s="6"/>
    </row>
    <row r="715" spans="2:26" ht="12.75" x14ac:dyDescent="0.2">
      <c r="B715" s="6"/>
      <c r="C715" s="6"/>
      <c r="D715" s="6"/>
      <c r="E715" s="9"/>
      <c r="F715" s="9"/>
      <c r="G715" s="11"/>
      <c r="H715" s="5"/>
      <c r="I715" s="8"/>
      <c r="J715" s="8"/>
      <c r="Z715" s="6"/>
    </row>
    <row r="716" spans="2:26" ht="12.75" x14ac:dyDescent="0.2">
      <c r="B716" s="6"/>
      <c r="C716" s="6"/>
      <c r="D716" s="6"/>
      <c r="E716" s="9"/>
      <c r="F716" s="9"/>
      <c r="G716" s="11"/>
      <c r="H716" s="5"/>
      <c r="I716" s="8"/>
      <c r="J716" s="8"/>
      <c r="Z716" s="6"/>
    </row>
    <row r="717" spans="2:26" ht="12.75" x14ac:dyDescent="0.2">
      <c r="B717" s="6"/>
      <c r="C717" s="6"/>
      <c r="D717" s="6"/>
      <c r="E717" s="9"/>
      <c r="F717" s="9"/>
      <c r="G717" s="11"/>
      <c r="H717" s="5"/>
      <c r="I717" s="8"/>
      <c r="J717" s="8"/>
      <c r="Z717" s="6"/>
    </row>
    <row r="718" spans="2:26" ht="12.75" x14ac:dyDescent="0.2">
      <c r="B718" s="6"/>
      <c r="C718" s="6"/>
      <c r="D718" s="6"/>
      <c r="E718" s="9"/>
      <c r="F718" s="9"/>
      <c r="G718" s="11"/>
      <c r="H718" s="5"/>
      <c r="I718" s="8"/>
      <c r="J718" s="8"/>
      <c r="Z718" s="6"/>
    </row>
    <row r="719" spans="2:26" ht="12.75" x14ac:dyDescent="0.2">
      <c r="B719" s="6"/>
      <c r="C719" s="6"/>
      <c r="D719" s="6"/>
      <c r="E719" s="9"/>
      <c r="F719" s="9"/>
      <c r="G719" s="11"/>
      <c r="H719" s="5"/>
      <c r="I719" s="8"/>
      <c r="J719" s="8"/>
      <c r="Z719" s="6"/>
    </row>
    <row r="720" spans="2:26" ht="12.75" x14ac:dyDescent="0.2">
      <c r="B720" s="6"/>
      <c r="C720" s="6"/>
      <c r="D720" s="6"/>
      <c r="E720" s="9"/>
      <c r="F720" s="9"/>
      <c r="G720" s="11"/>
      <c r="H720" s="5"/>
      <c r="I720" s="8"/>
      <c r="J720" s="8"/>
      <c r="Z720" s="6"/>
    </row>
    <row r="721" spans="2:26" ht="12.75" x14ac:dyDescent="0.2">
      <c r="B721" s="6"/>
      <c r="C721" s="6"/>
      <c r="D721" s="6"/>
      <c r="E721" s="9"/>
      <c r="F721" s="9"/>
      <c r="G721" s="11"/>
      <c r="H721" s="5"/>
      <c r="I721" s="8"/>
      <c r="J721" s="8"/>
      <c r="Z721" s="6"/>
    </row>
    <row r="722" spans="2:26" ht="12.75" x14ac:dyDescent="0.2">
      <c r="B722" s="6"/>
      <c r="C722" s="6"/>
      <c r="D722" s="6"/>
      <c r="E722" s="9"/>
      <c r="F722" s="9"/>
      <c r="G722" s="11"/>
      <c r="H722" s="5"/>
      <c r="I722" s="8"/>
      <c r="J722" s="8"/>
      <c r="Z722" s="6"/>
    </row>
    <row r="723" spans="2:26" ht="12.75" x14ac:dyDescent="0.2">
      <c r="B723" s="6"/>
      <c r="C723" s="6"/>
      <c r="D723" s="6"/>
      <c r="E723" s="9"/>
      <c r="F723" s="9"/>
      <c r="G723" s="11"/>
      <c r="H723" s="5"/>
      <c r="I723" s="8"/>
      <c r="J723" s="8"/>
      <c r="Z723" s="6"/>
    </row>
    <row r="724" spans="2:26" ht="12.75" x14ac:dyDescent="0.2">
      <c r="B724" s="6"/>
      <c r="C724" s="6"/>
      <c r="D724" s="6"/>
      <c r="E724" s="9"/>
      <c r="F724" s="9"/>
      <c r="G724" s="11"/>
      <c r="H724" s="5"/>
      <c r="I724" s="8"/>
      <c r="J724" s="8"/>
      <c r="Z724" s="6"/>
    </row>
    <row r="725" spans="2:26" ht="12.75" x14ac:dyDescent="0.2">
      <c r="B725" s="6"/>
      <c r="C725" s="6"/>
      <c r="D725" s="6"/>
      <c r="E725" s="9"/>
      <c r="F725" s="9"/>
      <c r="G725" s="11"/>
      <c r="H725" s="5"/>
      <c r="I725" s="8"/>
      <c r="J725" s="8"/>
      <c r="Z725" s="6"/>
    </row>
    <row r="726" spans="2:26" ht="12.75" x14ac:dyDescent="0.2">
      <c r="B726" s="6"/>
      <c r="C726" s="6"/>
      <c r="D726" s="6"/>
      <c r="E726" s="9"/>
      <c r="F726" s="9"/>
      <c r="G726" s="11"/>
      <c r="H726" s="5"/>
      <c r="I726" s="8"/>
      <c r="J726" s="8"/>
      <c r="Z726" s="6"/>
    </row>
    <row r="727" spans="2:26" ht="12.75" x14ac:dyDescent="0.2">
      <c r="B727" s="6"/>
      <c r="C727" s="6"/>
      <c r="D727" s="6"/>
      <c r="E727" s="9"/>
      <c r="F727" s="9"/>
      <c r="G727" s="11"/>
      <c r="H727" s="5"/>
      <c r="I727" s="8"/>
      <c r="J727" s="8"/>
      <c r="Z727" s="6"/>
    </row>
    <row r="728" spans="2:26" ht="12.75" x14ac:dyDescent="0.2">
      <c r="B728" s="6"/>
      <c r="C728" s="6"/>
      <c r="D728" s="6"/>
      <c r="E728" s="9"/>
      <c r="F728" s="9"/>
      <c r="G728" s="11"/>
      <c r="H728" s="5"/>
      <c r="I728" s="8"/>
      <c r="J728" s="8"/>
      <c r="Z728" s="6"/>
    </row>
    <row r="729" spans="2:26" ht="12.75" x14ac:dyDescent="0.2">
      <c r="B729" s="6"/>
      <c r="C729" s="6"/>
      <c r="D729" s="6"/>
      <c r="E729" s="9"/>
      <c r="F729" s="9"/>
      <c r="G729" s="11"/>
      <c r="H729" s="5"/>
      <c r="I729" s="8"/>
      <c r="J729" s="8"/>
      <c r="Z729" s="6"/>
    </row>
    <row r="730" spans="2:26" ht="12.75" x14ac:dyDescent="0.2">
      <c r="B730" s="6"/>
      <c r="C730" s="6"/>
      <c r="D730" s="6"/>
      <c r="E730" s="9"/>
      <c r="F730" s="9"/>
      <c r="G730" s="11"/>
      <c r="H730" s="5"/>
      <c r="I730" s="8"/>
      <c r="J730" s="8"/>
      <c r="Z730" s="6"/>
    </row>
    <row r="731" spans="2:26" ht="12.75" x14ac:dyDescent="0.2">
      <c r="B731" s="6"/>
      <c r="C731" s="6"/>
      <c r="D731" s="6"/>
      <c r="E731" s="9"/>
      <c r="F731" s="9"/>
      <c r="G731" s="11"/>
      <c r="H731" s="5"/>
      <c r="I731" s="8"/>
      <c r="J731" s="8"/>
      <c r="Z731" s="6"/>
    </row>
    <row r="732" spans="2:26" ht="12.75" x14ac:dyDescent="0.2">
      <c r="B732" s="6"/>
      <c r="C732" s="6"/>
      <c r="D732" s="6"/>
      <c r="E732" s="9"/>
      <c r="F732" s="9"/>
      <c r="G732" s="11"/>
      <c r="H732" s="5"/>
      <c r="I732" s="8"/>
      <c r="J732" s="8"/>
      <c r="Z732" s="6"/>
    </row>
    <row r="733" spans="2:26" ht="12.75" x14ac:dyDescent="0.2">
      <c r="B733" s="6"/>
      <c r="C733" s="6"/>
      <c r="D733" s="6"/>
      <c r="E733" s="9"/>
      <c r="F733" s="9"/>
      <c r="G733" s="11"/>
      <c r="H733" s="5"/>
      <c r="I733" s="8"/>
      <c r="J733" s="8"/>
      <c r="Z733" s="6"/>
    </row>
    <row r="734" spans="2:26" ht="12.75" x14ac:dyDescent="0.2">
      <c r="B734" s="6"/>
      <c r="C734" s="6"/>
      <c r="D734" s="6"/>
      <c r="E734" s="9"/>
      <c r="F734" s="9"/>
      <c r="G734" s="11"/>
      <c r="H734" s="5"/>
      <c r="I734" s="8"/>
      <c r="J734" s="8"/>
      <c r="Z734" s="6"/>
    </row>
    <row r="735" spans="2:26" ht="12.75" x14ac:dyDescent="0.2">
      <c r="B735" s="6"/>
      <c r="C735" s="6"/>
      <c r="D735" s="6"/>
      <c r="E735" s="9"/>
      <c r="F735" s="9"/>
      <c r="G735" s="11"/>
      <c r="H735" s="5"/>
      <c r="I735" s="8"/>
      <c r="J735" s="8"/>
      <c r="Z735" s="6"/>
    </row>
    <row r="736" spans="2:26" ht="12.75" x14ac:dyDescent="0.2">
      <c r="B736" s="6"/>
      <c r="C736" s="6"/>
      <c r="D736" s="6"/>
      <c r="E736" s="9"/>
      <c r="F736" s="9"/>
      <c r="G736" s="11"/>
      <c r="H736" s="5"/>
      <c r="I736" s="8"/>
      <c r="J736" s="8"/>
      <c r="Z736" s="6"/>
    </row>
    <row r="737" spans="2:26" ht="12.75" x14ac:dyDescent="0.2">
      <c r="B737" s="6"/>
      <c r="C737" s="6"/>
      <c r="D737" s="6"/>
      <c r="E737" s="9"/>
      <c r="F737" s="9"/>
      <c r="G737" s="11"/>
      <c r="H737" s="5"/>
      <c r="I737" s="8"/>
      <c r="J737" s="8"/>
      <c r="Z737" s="6"/>
    </row>
    <row r="738" spans="2:26" ht="12.75" x14ac:dyDescent="0.2">
      <c r="B738" s="6"/>
      <c r="C738" s="6"/>
      <c r="D738" s="6"/>
      <c r="E738" s="9"/>
      <c r="F738" s="9"/>
      <c r="G738" s="11"/>
      <c r="H738" s="5"/>
      <c r="I738" s="8"/>
      <c r="J738" s="8"/>
      <c r="Z738" s="6"/>
    </row>
    <row r="739" spans="2:26" ht="12.75" x14ac:dyDescent="0.2">
      <c r="B739" s="6"/>
      <c r="C739" s="6"/>
      <c r="D739" s="6"/>
      <c r="E739" s="9"/>
      <c r="F739" s="9"/>
      <c r="G739" s="11"/>
      <c r="H739" s="5"/>
      <c r="I739" s="8"/>
      <c r="J739" s="8"/>
      <c r="Z739" s="6"/>
    </row>
    <row r="740" spans="2:26" ht="12.75" x14ac:dyDescent="0.2">
      <c r="B740" s="6"/>
      <c r="C740" s="6"/>
      <c r="D740" s="6"/>
      <c r="E740" s="9"/>
      <c r="F740" s="9"/>
      <c r="G740" s="11"/>
      <c r="H740" s="5"/>
      <c r="I740" s="8"/>
      <c r="J740" s="8"/>
      <c r="Z740" s="6"/>
    </row>
    <row r="741" spans="2:26" ht="12.75" x14ac:dyDescent="0.2">
      <c r="B741" s="6"/>
      <c r="C741" s="6"/>
      <c r="D741" s="6"/>
      <c r="E741" s="9"/>
      <c r="F741" s="9"/>
      <c r="G741" s="11"/>
      <c r="H741" s="5"/>
      <c r="I741" s="8"/>
      <c r="J741" s="8"/>
      <c r="Z741" s="6"/>
    </row>
    <row r="742" spans="2:26" ht="12.75" x14ac:dyDescent="0.2">
      <c r="B742" s="6"/>
      <c r="C742" s="6"/>
      <c r="D742" s="6"/>
      <c r="E742" s="9"/>
      <c r="F742" s="9"/>
      <c r="G742" s="11"/>
      <c r="H742" s="5"/>
      <c r="I742" s="8"/>
      <c r="J742" s="8"/>
      <c r="Z742" s="6"/>
    </row>
    <row r="743" spans="2:26" ht="12.75" x14ac:dyDescent="0.2">
      <c r="B743" s="6"/>
      <c r="C743" s="6"/>
      <c r="D743" s="6"/>
      <c r="E743" s="9"/>
      <c r="F743" s="9"/>
      <c r="G743" s="11"/>
      <c r="H743" s="5"/>
      <c r="I743" s="8"/>
      <c r="J743" s="8"/>
      <c r="Z743" s="6"/>
    </row>
    <row r="744" spans="2:26" ht="12.75" x14ac:dyDescent="0.2">
      <c r="B744" s="6"/>
      <c r="C744" s="6"/>
      <c r="D744" s="6"/>
      <c r="E744" s="9"/>
      <c r="F744" s="9"/>
      <c r="G744" s="11"/>
      <c r="H744" s="5"/>
      <c r="I744" s="8"/>
      <c r="J744" s="8"/>
      <c r="Z744" s="6"/>
    </row>
    <row r="745" spans="2:26" ht="12.75" x14ac:dyDescent="0.2">
      <c r="B745" s="6"/>
      <c r="C745" s="6"/>
      <c r="D745" s="6"/>
      <c r="E745" s="9"/>
      <c r="F745" s="9"/>
      <c r="G745" s="11"/>
      <c r="H745" s="5"/>
      <c r="I745" s="8"/>
      <c r="J745" s="8"/>
      <c r="Z745" s="6"/>
    </row>
    <row r="746" spans="2:26" ht="12.75" x14ac:dyDescent="0.2">
      <c r="B746" s="6"/>
      <c r="C746" s="6"/>
      <c r="D746" s="6"/>
      <c r="E746" s="9"/>
      <c r="F746" s="9"/>
      <c r="G746" s="11"/>
      <c r="H746" s="5"/>
      <c r="I746" s="8"/>
      <c r="J746" s="8"/>
      <c r="Z746" s="6"/>
    </row>
    <row r="747" spans="2:26" ht="12.75" x14ac:dyDescent="0.2">
      <c r="B747" s="6"/>
      <c r="C747" s="6"/>
      <c r="D747" s="6"/>
      <c r="E747" s="9"/>
      <c r="F747" s="9"/>
      <c r="G747" s="11"/>
      <c r="H747" s="5"/>
      <c r="I747" s="8"/>
      <c r="J747" s="8"/>
      <c r="Z747" s="6"/>
    </row>
    <row r="748" spans="2:26" ht="12.75" x14ac:dyDescent="0.2">
      <c r="B748" s="6"/>
      <c r="C748" s="6"/>
      <c r="D748" s="6"/>
      <c r="E748" s="9"/>
      <c r="F748" s="9"/>
      <c r="G748" s="11"/>
      <c r="H748" s="5"/>
      <c r="I748" s="8"/>
      <c r="J748" s="8"/>
      <c r="Z748" s="6"/>
    </row>
    <row r="749" spans="2:26" ht="12.75" x14ac:dyDescent="0.2">
      <c r="B749" s="6"/>
      <c r="C749" s="6"/>
      <c r="D749" s="6"/>
      <c r="E749" s="9"/>
      <c r="F749" s="9"/>
      <c r="G749" s="11"/>
      <c r="H749" s="5"/>
      <c r="I749" s="8"/>
      <c r="J749" s="8"/>
      <c r="Z749" s="6"/>
    </row>
    <row r="750" spans="2:26" ht="12.75" x14ac:dyDescent="0.2">
      <c r="B750" s="6"/>
      <c r="C750" s="6"/>
      <c r="D750" s="6"/>
      <c r="E750" s="9"/>
      <c r="F750" s="9"/>
      <c r="G750" s="11"/>
      <c r="H750" s="5"/>
      <c r="I750" s="8"/>
      <c r="J750" s="8"/>
      <c r="Z750" s="6"/>
    </row>
    <row r="751" spans="2:26" ht="12.75" x14ac:dyDescent="0.2">
      <c r="B751" s="6"/>
      <c r="C751" s="6"/>
      <c r="D751" s="6"/>
      <c r="E751" s="9"/>
      <c r="F751" s="9"/>
      <c r="G751" s="11"/>
      <c r="H751" s="5"/>
      <c r="I751" s="8"/>
      <c r="J751" s="8"/>
      <c r="Z751" s="6"/>
    </row>
    <row r="752" spans="2:26" ht="12.75" x14ac:dyDescent="0.2">
      <c r="B752" s="6"/>
      <c r="C752" s="6"/>
      <c r="D752" s="6"/>
      <c r="E752" s="9"/>
      <c r="F752" s="9"/>
      <c r="G752" s="11"/>
      <c r="H752" s="5"/>
      <c r="I752" s="8"/>
      <c r="J752" s="8"/>
      <c r="Z752" s="6"/>
    </row>
    <row r="753" spans="2:26" ht="12.75" x14ac:dyDescent="0.2">
      <c r="B753" s="6"/>
      <c r="C753" s="6"/>
      <c r="D753" s="6"/>
      <c r="E753" s="9"/>
      <c r="F753" s="9"/>
      <c r="G753" s="11"/>
      <c r="H753" s="5"/>
      <c r="I753" s="8"/>
      <c r="J753" s="8"/>
      <c r="Z753" s="6"/>
    </row>
    <row r="754" spans="2:26" ht="12.75" x14ac:dyDescent="0.2">
      <c r="B754" s="6"/>
      <c r="C754" s="6"/>
      <c r="D754" s="6"/>
      <c r="E754" s="9"/>
      <c r="F754" s="9"/>
      <c r="G754" s="11"/>
      <c r="H754" s="5"/>
      <c r="I754" s="8"/>
      <c r="J754" s="8"/>
      <c r="Z754" s="6"/>
    </row>
    <row r="755" spans="2:26" ht="12.75" x14ac:dyDescent="0.2">
      <c r="B755" s="6"/>
      <c r="C755" s="6"/>
      <c r="D755" s="6"/>
      <c r="E755" s="9"/>
      <c r="F755" s="9"/>
      <c r="G755" s="11"/>
      <c r="H755" s="5"/>
      <c r="I755" s="8"/>
      <c r="J755" s="8"/>
      <c r="Z755" s="6"/>
    </row>
    <row r="756" spans="2:26" ht="12.75" x14ac:dyDescent="0.2">
      <c r="B756" s="6"/>
      <c r="C756" s="6"/>
      <c r="D756" s="6"/>
      <c r="E756" s="9"/>
      <c r="F756" s="9"/>
      <c r="G756" s="11"/>
      <c r="H756" s="5"/>
      <c r="I756" s="8"/>
      <c r="J756" s="8"/>
      <c r="Z756" s="6"/>
    </row>
    <row r="757" spans="2:26" ht="12.75" x14ac:dyDescent="0.2">
      <c r="B757" s="6"/>
      <c r="C757" s="6"/>
      <c r="D757" s="6"/>
      <c r="E757" s="9"/>
      <c r="F757" s="9"/>
      <c r="G757" s="11"/>
      <c r="H757" s="5"/>
      <c r="I757" s="8"/>
      <c r="J757" s="8"/>
      <c r="Z757" s="6"/>
    </row>
    <row r="758" spans="2:26" ht="12.75" x14ac:dyDescent="0.2">
      <c r="B758" s="6"/>
      <c r="C758" s="6"/>
      <c r="D758" s="6"/>
      <c r="E758" s="9"/>
      <c r="F758" s="9"/>
      <c r="G758" s="11"/>
      <c r="H758" s="5"/>
      <c r="I758" s="8"/>
      <c r="J758" s="8"/>
      <c r="Z758" s="6"/>
    </row>
    <row r="759" spans="2:26" ht="12.75" x14ac:dyDescent="0.2">
      <c r="B759" s="6"/>
      <c r="C759" s="6"/>
      <c r="D759" s="6"/>
      <c r="E759" s="9"/>
      <c r="F759" s="9"/>
      <c r="G759" s="11"/>
      <c r="H759" s="5"/>
      <c r="I759" s="8"/>
      <c r="J759" s="8"/>
      <c r="Z759" s="6"/>
    </row>
    <row r="760" spans="2:26" ht="12.75" x14ac:dyDescent="0.2">
      <c r="B760" s="6"/>
      <c r="C760" s="6"/>
      <c r="D760" s="6"/>
      <c r="E760" s="9"/>
      <c r="F760" s="9"/>
      <c r="G760" s="11"/>
      <c r="H760" s="5"/>
      <c r="I760" s="8"/>
      <c r="J760" s="8"/>
      <c r="Z760" s="6"/>
    </row>
    <row r="761" spans="2:26" ht="12.75" x14ac:dyDescent="0.2">
      <c r="B761" s="6"/>
      <c r="C761" s="6"/>
      <c r="D761" s="6"/>
      <c r="E761" s="9"/>
      <c r="F761" s="9"/>
      <c r="G761" s="11"/>
      <c r="H761" s="5"/>
      <c r="I761" s="8"/>
      <c r="J761" s="8"/>
      <c r="Z761" s="6"/>
    </row>
    <row r="762" spans="2:26" ht="12.75" x14ac:dyDescent="0.2">
      <c r="B762" s="6"/>
      <c r="C762" s="6"/>
      <c r="D762" s="6"/>
      <c r="E762" s="9"/>
      <c r="F762" s="9"/>
      <c r="G762" s="11"/>
      <c r="H762" s="5"/>
      <c r="I762" s="8"/>
      <c r="J762" s="8"/>
      <c r="Z762" s="6"/>
    </row>
    <row r="763" spans="2:26" ht="12.75" x14ac:dyDescent="0.2">
      <c r="B763" s="6"/>
      <c r="C763" s="6"/>
      <c r="D763" s="6"/>
      <c r="E763" s="9"/>
      <c r="F763" s="9"/>
      <c r="G763" s="11"/>
      <c r="H763" s="5"/>
      <c r="I763" s="8"/>
      <c r="J763" s="8"/>
      <c r="Z763" s="6"/>
    </row>
    <row r="764" spans="2:26" ht="12.75" x14ac:dyDescent="0.2">
      <c r="B764" s="6"/>
      <c r="C764" s="6"/>
      <c r="D764" s="6"/>
      <c r="E764" s="9"/>
      <c r="F764" s="9"/>
      <c r="G764" s="11"/>
      <c r="H764" s="5"/>
      <c r="I764" s="8"/>
      <c r="J764" s="8"/>
      <c r="Z764" s="6"/>
    </row>
    <row r="765" spans="2:26" ht="12.75" x14ac:dyDescent="0.2">
      <c r="B765" s="6"/>
      <c r="C765" s="6"/>
      <c r="D765" s="6"/>
      <c r="E765" s="9"/>
      <c r="F765" s="9"/>
      <c r="G765" s="11"/>
      <c r="H765" s="5"/>
      <c r="I765" s="8"/>
      <c r="J765" s="8"/>
      <c r="Z765" s="6"/>
    </row>
    <row r="766" spans="2:26" ht="12.75" x14ac:dyDescent="0.2">
      <c r="B766" s="6"/>
      <c r="C766" s="6"/>
      <c r="D766" s="6"/>
      <c r="E766" s="9"/>
      <c r="F766" s="9"/>
      <c r="G766" s="11"/>
      <c r="H766" s="5"/>
      <c r="I766" s="8"/>
      <c r="J766" s="8"/>
      <c r="Z766" s="6"/>
    </row>
    <row r="767" spans="2:26" ht="12.75" x14ac:dyDescent="0.2">
      <c r="B767" s="6"/>
      <c r="C767" s="6"/>
      <c r="D767" s="6"/>
      <c r="E767" s="9"/>
      <c r="F767" s="9"/>
      <c r="G767" s="11"/>
      <c r="H767" s="5"/>
      <c r="I767" s="8"/>
      <c r="J767" s="8"/>
      <c r="Z767" s="6"/>
    </row>
    <row r="768" spans="2:26" ht="12.75" x14ac:dyDescent="0.2">
      <c r="B768" s="6"/>
      <c r="C768" s="6"/>
      <c r="D768" s="6"/>
      <c r="E768" s="9"/>
      <c r="F768" s="9"/>
      <c r="G768" s="11"/>
      <c r="H768" s="5"/>
      <c r="I768" s="8"/>
      <c r="J768" s="8"/>
      <c r="Z768" s="6"/>
    </row>
    <row r="769" spans="2:26" ht="12.75" x14ac:dyDescent="0.2">
      <c r="B769" s="6"/>
      <c r="C769" s="6"/>
      <c r="D769" s="6"/>
      <c r="E769" s="9"/>
      <c r="F769" s="9"/>
      <c r="G769" s="11"/>
      <c r="H769" s="5"/>
      <c r="I769" s="8"/>
      <c r="J769" s="8"/>
      <c r="Z769" s="6"/>
    </row>
    <row r="770" spans="2:26" ht="12.75" x14ac:dyDescent="0.2">
      <c r="B770" s="6"/>
      <c r="C770" s="6"/>
      <c r="D770" s="6"/>
      <c r="E770" s="9"/>
      <c r="F770" s="9"/>
      <c r="G770" s="11"/>
      <c r="H770" s="5"/>
      <c r="I770" s="8"/>
      <c r="J770" s="8"/>
      <c r="Z770" s="6"/>
    </row>
    <row r="771" spans="2:26" ht="12.75" x14ac:dyDescent="0.2">
      <c r="B771" s="6"/>
      <c r="C771" s="6"/>
      <c r="D771" s="6"/>
      <c r="E771" s="9"/>
      <c r="F771" s="9"/>
      <c r="G771" s="11"/>
      <c r="H771" s="5"/>
      <c r="I771" s="8"/>
      <c r="J771" s="8"/>
      <c r="Z771" s="6"/>
    </row>
    <row r="772" spans="2:26" ht="12.75" x14ac:dyDescent="0.2">
      <c r="B772" s="6"/>
      <c r="C772" s="6"/>
      <c r="D772" s="6"/>
      <c r="E772" s="9"/>
      <c r="F772" s="9"/>
      <c r="G772" s="11"/>
      <c r="H772" s="5"/>
      <c r="I772" s="8"/>
      <c r="J772" s="8"/>
      <c r="Z772" s="6"/>
    </row>
    <row r="773" spans="2:26" ht="12.75" x14ac:dyDescent="0.2">
      <c r="B773" s="6"/>
      <c r="C773" s="6"/>
      <c r="D773" s="6"/>
      <c r="E773" s="9"/>
      <c r="F773" s="9"/>
      <c r="G773" s="11"/>
      <c r="H773" s="5"/>
      <c r="I773" s="8"/>
      <c r="J773" s="8"/>
      <c r="Z773" s="6"/>
    </row>
    <row r="774" spans="2:26" ht="12.75" x14ac:dyDescent="0.2">
      <c r="B774" s="6"/>
      <c r="C774" s="6"/>
      <c r="D774" s="6"/>
      <c r="E774" s="9"/>
      <c r="F774" s="9"/>
      <c r="G774" s="11"/>
      <c r="H774" s="5"/>
      <c r="I774" s="8"/>
      <c r="J774" s="8"/>
      <c r="Z774" s="6"/>
    </row>
    <row r="775" spans="2:26" ht="12.75" x14ac:dyDescent="0.2">
      <c r="B775" s="6"/>
      <c r="C775" s="6"/>
      <c r="D775" s="6"/>
      <c r="E775" s="9"/>
      <c r="F775" s="9"/>
      <c r="G775" s="11"/>
      <c r="H775" s="5"/>
      <c r="I775" s="8"/>
      <c r="J775" s="8"/>
      <c r="Z775" s="6"/>
    </row>
    <row r="776" spans="2:26" ht="12.75" x14ac:dyDescent="0.2">
      <c r="B776" s="6"/>
      <c r="C776" s="6"/>
      <c r="D776" s="6"/>
      <c r="E776" s="9"/>
      <c r="F776" s="9"/>
      <c r="G776" s="11"/>
      <c r="H776" s="5"/>
      <c r="I776" s="8"/>
      <c r="J776" s="8"/>
      <c r="Z776" s="6"/>
    </row>
    <row r="777" spans="2:26" ht="12.75" x14ac:dyDescent="0.2">
      <c r="B777" s="6"/>
      <c r="C777" s="6"/>
      <c r="D777" s="6"/>
      <c r="E777" s="9"/>
      <c r="F777" s="9"/>
      <c r="G777" s="11"/>
      <c r="H777" s="5"/>
      <c r="I777" s="8"/>
      <c r="J777" s="8"/>
      <c r="Z777" s="6"/>
    </row>
    <row r="778" spans="2:26" ht="12.75" x14ac:dyDescent="0.2">
      <c r="B778" s="6"/>
      <c r="C778" s="6"/>
      <c r="D778" s="6"/>
      <c r="E778" s="9"/>
      <c r="F778" s="9"/>
      <c r="G778" s="11"/>
      <c r="H778" s="5"/>
      <c r="I778" s="8"/>
      <c r="J778" s="8"/>
      <c r="Z778" s="6"/>
    </row>
    <row r="779" spans="2:26" ht="12.75" x14ac:dyDescent="0.2">
      <c r="B779" s="6"/>
      <c r="C779" s="6"/>
      <c r="D779" s="6"/>
      <c r="E779" s="9"/>
      <c r="F779" s="9"/>
      <c r="G779" s="11"/>
      <c r="H779" s="5"/>
      <c r="I779" s="8"/>
      <c r="J779" s="8"/>
      <c r="Z779" s="6"/>
    </row>
    <row r="780" spans="2:26" ht="12.75" x14ac:dyDescent="0.2">
      <c r="B780" s="6"/>
      <c r="C780" s="6"/>
      <c r="D780" s="6"/>
      <c r="E780" s="9"/>
      <c r="F780" s="9"/>
      <c r="G780" s="11"/>
      <c r="H780" s="5"/>
      <c r="I780" s="8"/>
      <c r="J780" s="8"/>
      <c r="Z780" s="6"/>
    </row>
    <row r="781" spans="2:26" ht="12.75" x14ac:dyDescent="0.2">
      <c r="B781" s="6"/>
      <c r="C781" s="6"/>
      <c r="D781" s="6"/>
      <c r="E781" s="9"/>
      <c r="F781" s="9"/>
      <c r="G781" s="11"/>
      <c r="H781" s="5"/>
      <c r="I781" s="8"/>
      <c r="J781" s="8"/>
      <c r="Z781" s="6"/>
    </row>
    <row r="782" spans="2:26" ht="12.75" x14ac:dyDescent="0.2">
      <c r="B782" s="6"/>
      <c r="C782" s="6"/>
      <c r="D782" s="6"/>
      <c r="E782" s="9"/>
      <c r="F782" s="9"/>
      <c r="G782" s="11"/>
      <c r="H782" s="5"/>
      <c r="I782" s="8"/>
      <c r="J782" s="8"/>
      <c r="Z782" s="6"/>
    </row>
    <row r="783" spans="2:26" ht="12.75" x14ac:dyDescent="0.2">
      <c r="B783" s="6"/>
      <c r="C783" s="6"/>
      <c r="D783" s="6"/>
      <c r="E783" s="9"/>
      <c r="F783" s="9"/>
      <c r="G783" s="11"/>
      <c r="H783" s="5"/>
      <c r="I783" s="8"/>
      <c r="J783" s="8"/>
      <c r="Z783" s="6"/>
    </row>
    <row r="784" spans="2:26" ht="12.75" x14ac:dyDescent="0.2">
      <c r="B784" s="6"/>
      <c r="C784" s="6"/>
      <c r="D784" s="6"/>
      <c r="E784" s="9"/>
      <c r="F784" s="9"/>
      <c r="G784" s="11"/>
      <c r="H784" s="5"/>
      <c r="I784" s="8"/>
      <c r="J784" s="8"/>
      <c r="Z784" s="6"/>
    </row>
    <row r="785" spans="2:26" ht="12.75" x14ac:dyDescent="0.2">
      <c r="B785" s="6"/>
      <c r="C785" s="6"/>
      <c r="D785" s="6"/>
      <c r="E785" s="9"/>
      <c r="F785" s="9"/>
      <c r="G785" s="11"/>
      <c r="H785" s="5"/>
      <c r="I785" s="8"/>
      <c r="J785" s="8"/>
      <c r="Z785" s="6"/>
    </row>
    <row r="786" spans="2:26" ht="12.75" x14ac:dyDescent="0.2">
      <c r="B786" s="6"/>
      <c r="C786" s="6"/>
      <c r="D786" s="6"/>
      <c r="E786" s="9"/>
      <c r="F786" s="9"/>
      <c r="G786" s="11"/>
      <c r="H786" s="5"/>
      <c r="I786" s="8"/>
      <c r="J786" s="8"/>
      <c r="Z786" s="6"/>
    </row>
    <row r="787" spans="2:26" ht="12.75" x14ac:dyDescent="0.2">
      <c r="B787" s="6"/>
      <c r="C787" s="6"/>
      <c r="D787" s="6"/>
      <c r="E787" s="9"/>
      <c r="F787" s="9"/>
      <c r="G787" s="11"/>
      <c r="H787" s="5"/>
      <c r="I787" s="8"/>
      <c r="J787" s="8"/>
      <c r="Z787" s="6"/>
    </row>
    <row r="788" spans="2:26" ht="12.75" x14ac:dyDescent="0.2">
      <c r="B788" s="6"/>
      <c r="C788" s="6"/>
      <c r="D788" s="6"/>
      <c r="E788" s="9"/>
      <c r="F788" s="9"/>
      <c r="G788" s="11"/>
      <c r="H788" s="5"/>
      <c r="I788" s="8"/>
      <c r="J788" s="8"/>
      <c r="Z788" s="6"/>
    </row>
    <row r="789" spans="2:26" ht="12.75" x14ac:dyDescent="0.2">
      <c r="B789" s="6"/>
      <c r="C789" s="6"/>
      <c r="D789" s="6"/>
      <c r="E789" s="9"/>
      <c r="F789" s="9"/>
      <c r="G789" s="11"/>
      <c r="H789" s="5"/>
      <c r="I789" s="8"/>
      <c r="J789" s="8"/>
      <c r="Z789" s="6"/>
    </row>
    <row r="790" spans="2:26" ht="12.75" x14ac:dyDescent="0.2">
      <c r="B790" s="6"/>
      <c r="C790" s="6"/>
      <c r="D790" s="6"/>
      <c r="E790" s="9"/>
      <c r="F790" s="9"/>
      <c r="G790" s="11"/>
      <c r="H790" s="5"/>
      <c r="I790" s="8"/>
      <c r="J790" s="8"/>
      <c r="Z790" s="6"/>
    </row>
    <row r="791" spans="2:26" ht="12.75" x14ac:dyDescent="0.2">
      <c r="B791" s="6"/>
      <c r="C791" s="6"/>
      <c r="D791" s="6"/>
      <c r="E791" s="9"/>
      <c r="F791" s="9"/>
      <c r="G791" s="11"/>
      <c r="H791" s="5"/>
      <c r="I791" s="8"/>
      <c r="J791" s="8"/>
      <c r="Z791" s="6"/>
    </row>
    <row r="792" spans="2:26" ht="12.75" x14ac:dyDescent="0.2">
      <c r="B792" s="6"/>
      <c r="C792" s="6"/>
      <c r="D792" s="6"/>
      <c r="E792" s="9"/>
      <c r="F792" s="9"/>
      <c r="G792" s="11"/>
      <c r="H792" s="5"/>
      <c r="I792" s="8"/>
      <c r="J792" s="8"/>
      <c r="Z792" s="6"/>
    </row>
    <row r="793" spans="2:26" ht="12.75" x14ac:dyDescent="0.2">
      <c r="B793" s="6"/>
      <c r="C793" s="6"/>
      <c r="D793" s="6"/>
      <c r="E793" s="9"/>
      <c r="F793" s="9"/>
      <c r="G793" s="11"/>
      <c r="H793" s="5"/>
      <c r="I793" s="8"/>
      <c r="J793" s="8"/>
      <c r="Z793" s="6"/>
    </row>
    <row r="794" spans="2:26" ht="12.75" x14ac:dyDescent="0.2">
      <c r="B794" s="6"/>
      <c r="C794" s="6"/>
      <c r="D794" s="6"/>
      <c r="E794" s="9"/>
      <c r="F794" s="9"/>
      <c r="G794" s="11"/>
      <c r="H794" s="5"/>
      <c r="I794" s="8"/>
      <c r="J794" s="8"/>
      <c r="Z794" s="6"/>
    </row>
    <row r="795" spans="2:26" ht="12.75" x14ac:dyDescent="0.2">
      <c r="B795" s="6"/>
      <c r="C795" s="6"/>
      <c r="D795" s="6"/>
      <c r="E795" s="9"/>
      <c r="F795" s="9"/>
      <c r="G795" s="11"/>
      <c r="H795" s="5"/>
      <c r="I795" s="8"/>
      <c r="J795" s="8"/>
      <c r="Z795" s="6"/>
    </row>
    <row r="796" spans="2:26" ht="12.75" x14ac:dyDescent="0.2">
      <c r="B796" s="6"/>
      <c r="C796" s="6"/>
      <c r="D796" s="6"/>
      <c r="E796" s="9"/>
      <c r="F796" s="9"/>
      <c r="G796" s="11"/>
      <c r="H796" s="5"/>
      <c r="I796" s="8"/>
      <c r="J796" s="8"/>
      <c r="Z796" s="6"/>
    </row>
    <row r="797" spans="2:26" ht="12.75" x14ac:dyDescent="0.2">
      <c r="B797" s="6"/>
      <c r="C797" s="6"/>
      <c r="D797" s="6"/>
      <c r="E797" s="9"/>
      <c r="F797" s="9"/>
      <c r="G797" s="11"/>
      <c r="H797" s="5"/>
      <c r="I797" s="8"/>
      <c r="J797" s="8"/>
      <c r="Z797" s="6"/>
    </row>
    <row r="798" spans="2:26" ht="12.75" x14ac:dyDescent="0.2">
      <c r="B798" s="6"/>
      <c r="C798" s="6"/>
      <c r="D798" s="6"/>
      <c r="E798" s="9"/>
      <c r="F798" s="9"/>
      <c r="G798" s="11"/>
      <c r="H798" s="5"/>
      <c r="I798" s="8"/>
      <c r="J798" s="8"/>
      <c r="Z798" s="6"/>
    </row>
    <row r="799" spans="2:26" ht="12.75" x14ac:dyDescent="0.2">
      <c r="B799" s="6"/>
      <c r="C799" s="6"/>
      <c r="D799" s="6"/>
      <c r="E799" s="9"/>
      <c r="F799" s="9"/>
      <c r="G799" s="11"/>
      <c r="H799" s="5"/>
      <c r="I799" s="8"/>
      <c r="J799" s="8"/>
      <c r="Z799" s="6"/>
    </row>
    <row r="800" spans="2:26" ht="12.75" x14ac:dyDescent="0.2">
      <c r="B800" s="6"/>
      <c r="C800" s="6"/>
      <c r="D800" s="6"/>
      <c r="E800" s="9"/>
      <c r="F800" s="9"/>
      <c r="G800" s="11"/>
      <c r="H800" s="5"/>
      <c r="I800" s="8"/>
      <c r="J800" s="8"/>
      <c r="Z800" s="6"/>
    </row>
    <row r="801" spans="2:26" ht="12.75" x14ac:dyDescent="0.2">
      <c r="B801" s="6"/>
      <c r="C801" s="6"/>
      <c r="D801" s="6"/>
      <c r="E801" s="9"/>
      <c r="F801" s="9"/>
      <c r="G801" s="11"/>
      <c r="H801" s="5"/>
      <c r="I801" s="8"/>
      <c r="J801" s="8"/>
      <c r="Z801" s="6"/>
    </row>
    <row r="802" spans="2:26" ht="12.75" x14ac:dyDescent="0.2">
      <c r="B802" s="6"/>
      <c r="C802" s="6"/>
      <c r="D802" s="6"/>
      <c r="E802" s="9"/>
      <c r="F802" s="9"/>
      <c r="G802" s="11"/>
      <c r="H802" s="5"/>
      <c r="I802" s="8"/>
      <c r="J802" s="8"/>
      <c r="Z802" s="6"/>
    </row>
    <row r="803" spans="2:26" ht="12.75" x14ac:dyDescent="0.2">
      <c r="B803" s="6"/>
      <c r="C803" s="6"/>
      <c r="D803" s="6"/>
      <c r="E803" s="9"/>
      <c r="F803" s="9"/>
      <c r="G803" s="11"/>
      <c r="H803" s="5"/>
      <c r="I803" s="8"/>
      <c r="J803" s="8"/>
      <c r="Z803" s="6"/>
    </row>
    <row r="804" spans="2:26" ht="12.75" x14ac:dyDescent="0.2">
      <c r="B804" s="6"/>
      <c r="C804" s="6"/>
      <c r="D804" s="6"/>
      <c r="E804" s="9"/>
      <c r="F804" s="9"/>
      <c r="G804" s="11"/>
      <c r="H804" s="5"/>
      <c r="I804" s="8"/>
      <c r="J804" s="8"/>
      <c r="Z804" s="6"/>
    </row>
    <row r="805" spans="2:26" ht="12.75" x14ac:dyDescent="0.2">
      <c r="B805" s="6"/>
      <c r="C805" s="6"/>
      <c r="D805" s="6"/>
      <c r="E805" s="9"/>
      <c r="F805" s="9"/>
      <c r="G805" s="11"/>
      <c r="H805" s="5"/>
      <c r="I805" s="8"/>
      <c r="J805" s="8"/>
      <c r="Z805" s="6"/>
    </row>
    <row r="806" spans="2:26" ht="12.75" x14ac:dyDescent="0.2">
      <c r="B806" s="6"/>
      <c r="C806" s="6"/>
      <c r="D806" s="6"/>
      <c r="E806" s="9"/>
      <c r="F806" s="9"/>
      <c r="G806" s="11"/>
      <c r="H806" s="5"/>
      <c r="I806" s="8"/>
      <c r="J806" s="8"/>
      <c r="Z806" s="6"/>
    </row>
    <row r="807" spans="2:26" ht="12.75" x14ac:dyDescent="0.2">
      <c r="B807" s="6"/>
      <c r="C807" s="6"/>
      <c r="D807" s="6"/>
      <c r="E807" s="9"/>
      <c r="F807" s="9"/>
      <c r="G807" s="11"/>
      <c r="H807" s="5"/>
      <c r="I807" s="8"/>
      <c r="J807" s="8"/>
      <c r="Z807" s="6"/>
    </row>
    <row r="808" spans="2:26" ht="12.75" x14ac:dyDescent="0.2">
      <c r="B808" s="6"/>
      <c r="C808" s="6"/>
      <c r="D808" s="6"/>
      <c r="E808" s="9"/>
      <c r="F808" s="9"/>
      <c r="G808" s="11"/>
      <c r="H808" s="5"/>
      <c r="I808" s="8"/>
      <c r="J808" s="8"/>
      <c r="Z808" s="6"/>
    </row>
    <row r="809" spans="2:26" ht="12.75" x14ac:dyDescent="0.2">
      <c r="B809" s="6"/>
      <c r="C809" s="6"/>
      <c r="D809" s="6"/>
      <c r="E809" s="9"/>
      <c r="F809" s="9"/>
      <c r="G809" s="11"/>
      <c r="H809" s="5"/>
      <c r="I809" s="8"/>
      <c r="J809" s="8"/>
      <c r="Z809" s="6"/>
    </row>
    <row r="810" spans="2:26" ht="12.75" x14ac:dyDescent="0.2">
      <c r="B810" s="6"/>
      <c r="C810" s="6"/>
      <c r="D810" s="6"/>
      <c r="E810" s="9"/>
      <c r="F810" s="9"/>
      <c r="G810" s="11"/>
      <c r="H810" s="5"/>
      <c r="I810" s="8"/>
      <c r="J810" s="8"/>
      <c r="Z810" s="6"/>
    </row>
    <row r="811" spans="2:26" ht="12.75" x14ac:dyDescent="0.2">
      <c r="B811" s="6"/>
      <c r="C811" s="6"/>
      <c r="D811" s="6"/>
      <c r="E811" s="9"/>
      <c r="F811" s="9"/>
      <c r="G811" s="11"/>
      <c r="H811" s="5"/>
      <c r="I811" s="8"/>
      <c r="J811" s="8"/>
      <c r="Z811" s="6"/>
    </row>
    <row r="812" spans="2:26" ht="12.75" x14ac:dyDescent="0.2">
      <c r="B812" s="6"/>
      <c r="C812" s="6"/>
      <c r="D812" s="6"/>
      <c r="E812" s="9"/>
      <c r="F812" s="9"/>
      <c r="G812" s="11"/>
      <c r="H812" s="5"/>
      <c r="I812" s="8"/>
      <c r="J812" s="8"/>
      <c r="Z812" s="6"/>
    </row>
    <row r="813" spans="2:26" ht="12.75" x14ac:dyDescent="0.2">
      <c r="B813" s="6"/>
      <c r="C813" s="6"/>
      <c r="D813" s="6"/>
      <c r="E813" s="9"/>
      <c r="F813" s="9"/>
      <c r="G813" s="11"/>
      <c r="H813" s="5"/>
      <c r="I813" s="8"/>
      <c r="J813" s="8"/>
      <c r="Z813" s="6"/>
    </row>
    <row r="814" spans="2:26" ht="12.75" x14ac:dyDescent="0.2">
      <c r="B814" s="6"/>
      <c r="C814" s="6"/>
      <c r="D814" s="6"/>
      <c r="E814" s="9"/>
      <c r="F814" s="9"/>
      <c r="G814" s="11"/>
      <c r="H814" s="5"/>
      <c r="I814" s="8"/>
      <c r="J814" s="8"/>
      <c r="Z814" s="6"/>
    </row>
    <row r="815" spans="2:26" ht="12.75" x14ac:dyDescent="0.2">
      <c r="B815" s="6"/>
      <c r="C815" s="6"/>
      <c r="D815" s="6"/>
      <c r="E815" s="9"/>
      <c r="F815" s="9"/>
      <c r="G815" s="11"/>
      <c r="H815" s="5"/>
      <c r="I815" s="8"/>
      <c r="J815" s="8"/>
      <c r="Z815" s="6"/>
    </row>
    <row r="816" spans="2:26" ht="12.75" x14ac:dyDescent="0.2">
      <c r="B816" s="6"/>
      <c r="C816" s="6"/>
      <c r="D816" s="6"/>
      <c r="E816" s="9"/>
      <c r="F816" s="9"/>
      <c r="G816" s="11"/>
      <c r="H816" s="5"/>
      <c r="I816" s="8"/>
      <c r="J816" s="8"/>
      <c r="Z816" s="6"/>
    </row>
    <row r="817" spans="2:26" ht="12.75" x14ac:dyDescent="0.2">
      <c r="B817" s="6"/>
      <c r="C817" s="6"/>
      <c r="D817" s="6"/>
      <c r="E817" s="9"/>
      <c r="F817" s="9"/>
      <c r="G817" s="11"/>
      <c r="H817" s="5"/>
      <c r="I817" s="8"/>
      <c r="J817" s="8"/>
      <c r="Z817" s="6"/>
    </row>
    <row r="818" spans="2:26" ht="12.75" x14ac:dyDescent="0.2">
      <c r="B818" s="6"/>
      <c r="C818" s="6"/>
      <c r="D818" s="6"/>
      <c r="E818" s="9"/>
      <c r="F818" s="9"/>
      <c r="G818" s="11"/>
      <c r="H818" s="5"/>
      <c r="I818" s="8"/>
      <c r="J818" s="8"/>
      <c r="Z818" s="6"/>
    </row>
    <row r="819" spans="2:26" ht="12.75" x14ac:dyDescent="0.2">
      <c r="B819" s="6"/>
      <c r="C819" s="6"/>
      <c r="D819" s="6"/>
      <c r="E819" s="9"/>
      <c r="F819" s="9"/>
      <c r="G819" s="11"/>
      <c r="H819" s="5"/>
      <c r="I819" s="8"/>
      <c r="J819" s="8"/>
      <c r="Z819" s="6"/>
    </row>
    <row r="820" spans="2:26" ht="12.75" x14ac:dyDescent="0.2">
      <c r="B820" s="6"/>
      <c r="C820" s="6"/>
      <c r="D820" s="6"/>
      <c r="E820" s="9"/>
      <c r="F820" s="9"/>
      <c r="G820" s="11"/>
      <c r="H820" s="5"/>
      <c r="I820" s="8"/>
      <c r="J820" s="8"/>
      <c r="Z820" s="6"/>
    </row>
    <row r="821" spans="2:26" ht="12.75" x14ac:dyDescent="0.2">
      <c r="B821" s="6"/>
      <c r="C821" s="6"/>
      <c r="D821" s="6"/>
      <c r="E821" s="9"/>
      <c r="F821" s="9"/>
      <c r="G821" s="11"/>
      <c r="H821" s="5"/>
      <c r="I821" s="8"/>
      <c r="J821" s="8"/>
      <c r="Z821" s="6"/>
    </row>
    <row r="822" spans="2:26" ht="12.75" x14ac:dyDescent="0.2">
      <c r="B822" s="6"/>
      <c r="C822" s="6"/>
      <c r="D822" s="6"/>
      <c r="E822" s="9"/>
      <c r="F822" s="9"/>
      <c r="G822" s="11"/>
      <c r="H822" s="5"/>
      <c r="I822" s="8"/>
      <c r="J822" s="8"/>
      <c r="Z822" s="6"/>
    </row>
    <row r="823" spans="2:26" ht="12.75" x14ac:dyDescent="0.2">
      <c r="B823" s="6"/>
      <c r="C823" s="6"/>
      <c r="D823" s="6"/>
      <c r="E823" s="9"/>
      <c r="F823" s="9"/>
      <c r="G823" s="11"/>
      <c r="H823" s="5"/>
      <c r="I823" s="8"/>
      <c r="J823" s="8"/>
      <c r="Z823" s="6"/>
    </row>
    <row r="824" spans="2:26" ht="12.75" x14ac:dyDescent="0.2">
      <c r="B824" s="6"/>
      <c r="C824" s="6"/>
      <c r="D824" s="6"/>
      <c r="E824" s="9"/>
      <c r="F824" s="9"/>
      <c r="G824" s="11"/>
      <c r="H824" s="5"/>
      <c r="I824" s="8"/>
      <c r="J824" s="8"/>
      <c r="Z824" s="6"/>
    </row>
    <row r="825" spans="2:26" ht="12.75" x14ac:dyDescent="0.2">
      <c r="B825" s="6"/>
      <c r="C825" s="6"/>
      <c r="D825" s="6"/>
      <c r="E825" s="9"/>
      <c r="F825" s="9"/>
      <c r="G825" s="11"/>
      <c r="H825" s="5"/>
      <c r="I825" s="8"/>
      <c r="J825" s="8"/>
      <c r="Z825" s="6"/>
    </row>
    <row r="826" spans="2:26" ht="12.75" x14ac:dyDescent="0.2">
      <c r="B826" s="6"/>
      <c r="C826" s="6"/>
      <c r="D826" s="6"/>
      <c r="E826" s="9"/>
      <c r="F826" s="9"/>
      <c r="G826" s="11"/>
      <c r="H826" s="5"/>
      <c r="I826" s="8"/>
      <c r="J826" s="8"/>
      <c r="Z826" s="6"/>
    </row>
    <row r="827" spans="2:26" ht="12.75" x14ac:dyDescent="0.2">
      <c r="B827" s="6"/>
      <c r="C827" s="6"/>
      <c r="D827" s="6"/>
      <c r="E827" s="9"/>
      <c r="F827" s="9"/>
      <c r="G827" s="11"/>
      <c r="H827" s="5"/>
      <c r="I827" s="8"/>
      <c r="J827" s="8"/>
      <c r="Z827" s="6"/>
    </row>
    <row r="828" spans="2:26" ht="12.75" x14ac:dyDescent="0.2">
      <c r="B828" s="6"/>
      <c r="C828" s="6"/>
      <c r="D828" s="6"/>
      <c r="E828" s="9"/>
      <c r="F828" s="9"/>
      <c r="G828" s="11"/>
      <c r="H828" s="5"/>
      <c r="I828" s="8"/>
      <c r="J828" s="8"/>
      <c r="Z828" s="6"/>
    </row>
    <row r="829" spans="2:26" ht="12.75" x14ac:dyDescent="0.2">
      <c r="B829" s="6"/>
      <c r="C829" s="6"/>
      <c r="D829" s="6"/>
      <c r="E829" s="9"/>
      <c r="F829" s="9"/>
      <c r="G829" s="11"/>
      <c r="H829" s="5"/>
      <c r="I829" s="8"/>
      <c r="J829" s="8"/>
      <c r="Z829" s="6"/>
    </row>
    <row r="830" spans="2:26" ht="12.75" x14ac:dyDescent="0.2">
      <c r="B830" s="6"/>
      <c r="C830" s="6"/>
      <c r="D830" s="6"/>
      <c r="E830" s="9"/>
      <c r="F830" s="9"/>
      <c r="G830" s="11"/>
      <c r="H830" s="5"/>
      <c r="I830" s="8"/>
      <c r="J830" s="8"/>
      <c r="Z830" s="6"/>
    </row>
    <row r="831" spans="2:26" ht="12.75" x14ac:dyDescent="0.2">
      <c r="B831" s="6"/>
      <c r="C831" s="6"/>
      <c r="D831" s="6"/>
      <c r="E831" s="9"/>
      <c r="F831" s="9"/>
      <c r="G831" s="11"/>
      <c r="H831" s="5"/>
      <c r="I831" s="8"/>
      <c r="J831" s="8"/>
      <c r="Z831" s="6"/>
    </row>
    <row r="832" spans="2:26" ht="12.75" x14ac:dyDescent="0.2">
      <c r="B832" s="6"/>
      <c r="C832" s="6"/>
      <c r="D832" s="6"/>
      <c r="E832" s="9"/>
      <c r="F832" s="9"/>
      <c r="G832" s="11"/>
      <c r="H832" s="5"/>
      <c r="I832" s="8"/>
      <c r="J832" s="8"/>
      <c r="Z832" s="6"/>
    </row>
    <row r="833" spans="2:26" ht="12.75" x14ac:dyDescent="0.2">
      <c r="B833" s="6"/>
      <c r="C833" s="6"/>
      <c r="D833" s="6"/>
      <c r="E833" s="9"/>
      <c r="F833" s="9"/>
      <c r="G833" s="11"/>
      <c r="H833" s="5"/>
      <c r="I833" s="8"/>
      <c r="J833" s="8"/>
      <c r="Z833" s="6"/>
    </row>
    <row r="834" spans="2:26" ht="12.75" x14ac:dyDescent="0.2">
      <c r="B834" s="6"/>
      <c r="C834" s="6"/>
      <c r="D834" s="6"/>
      <c r="E834" s="9"/>
      <c r="F834" s="9"/>
      <c r="G834" s="11"/>
      <c r="H834" s="5"/>
      <c r="I834" s="8"/>
      <c r="J834" s="8"/>
      <c r="Z834" s="6"/>
    </row>
    <row r="835" spans="2:26" ht="12.75" x14ac:dyDescent="0.2">
      <c r="B835" s="6"/>
      <c r="C835" s="6"/>
      <c r="D835" s="6"/>
      <c r="E835" s="9"/>
      <c r="F835" s="9"/>
      <c r="G835" s="11"/>
      <c r="H835" s="5"/>
      <c r="I835" s="8"/>
      <c r="J835" s="8"/>
      <c r="Z835" s="6"/>
    </row>
    <row r="836" spans="2:26" ht="12.75" x14ac:dyDescent="0.2">
      <c r="B836" s="6"/>
      <c r="C836" s="6"/>
      <c r="D836" s="6"/>
      <c r="E836" s="9"/>
      <c r="F836" s="9"/>
      <c r="G836" s="11"/>
      <c r="H836" s="5"/>
      <c r="I836" s="8"/>
      <c r="J836" s="8"/>
      <c r="Z836" s="6"/>
    </row>
    <row r="837" spans="2:26" ht="12.75" x14ac:dyDescent="0.2">
      <c r="B837" s="6"/>
      <c r="C837" s="6"/>
      <c r="D837" s="6"/>
      <c r="E837" s="9"/>
      <c r="F837" s="9"/>
      <c r="G837" s="11"/>
      <c r="H837" s="5"/>
      <c r="I837" s="8"/>
      <c r="J837" s="8"/>
      <c r="Z837" s="6"/>
    </row>
    <row r="838" spans="2:26" ht="12.75" x14ac:dyDescent="0.2">
      <c r="B838" s="6"/>
      <c r="C838" s="6"/>
      <c r="D838" s="6"/>
      <c r="E838" s="9"/>
      <c r="F838" s="9"/>
      <c r="G838" s="11"/>
      <c r="H838" s="5"/>
      <c r="I838" s="8"/>
      <c r="J838" s="8"/>
      <c r="Z838" s="6"/>
    </row>
    <row r="839" spans="2:26" ht="12.75" x14ac:dyDescent="0.2">
      <c r="B839" s="6"/>
      <c r="C839" s="6"/>
      <c r="D839" s="6"/>
      <c r="E839" s="9"/>
      <c r="F839" s="9"/>
      <c r="G839" s="11"/>
      <c r="H839" s="5"/>
      <c r="I839" s="8"/>
      <c r="J839" s="8"/>
      <c r="Z839" s="6"/>
    </row>
    <row r="840" spans="2:26" ht="12.75" x14ac:dyDescent="0.2">
      <c r="B840" s="6"/>
      <c r="C840" s="6"/>
      <c r="D840" s="6"/>
      <c r="E840" s="9"/>
      <c r="F840" s="9"/>
      <c r="G840" s="11"/>
      <c r="H840" s="5"/>
      <c r="I840" s="8"/>
      <c r="J840" s="8"/>
      <c r="Z840" s="6"/>
    </row>
    <row r="841" spans="2:26" ht="12.75" x14ac:dyDescent="0.2">
      <c r="B841" s="6"/>
      <c r="C841" s="6"/>
      <c r="D841" s="6"/>
      <c r="E841" s="9"/>
      <c r="F841" s="9"/>
      <c r="G841" s="11"/>
      <c r="H841" s="5"/>
      <c r="I841" s="8"/>
      <c r="J841" s="8"/>
      <c r="Z841" s="6"/>
    </row>
    <row r="842" spans="2:26" ht="12.75" x14ac:dyDescent="0.2">
      <c r="B842" s="6"/>
      <c r="C842" s="6"/>
      <c r="D842" s="6"/>
      <c r="E842" s="9"/>
      <c r="F842" s="9"/>
      <c r="G842" s="11"/>
      <c r="H842" s="5"/>
      <c r="I842" s="8"/>
      <c r="J842" s="8"/>
      <c r="Z842" s="6"/>
    </row>
    <row r="843" spans="2:26" ht="12.75" x14ac:dyDescent="0.2">
      <c r="B843" s="6"/>
      <c r="C843" s="6"/>
      <c r="D843" s="6"/>
      <c r="E843" s="9"/>
      <c r="F843" s="9"/>
      <c r="G843" s="11"/>
      <c r="H843" s="5"/>
      <c r="I843" s="8"/>
      <c r="J843" s="8"/>
      <c r="Z843" s="6"/>
    </row>
    <row r="844" spans="2:26" ht="12.75" x14ac:dyDescent="0.2">
      <c r="B844" s="6"/>
      <c r="C844" s="6"/>
      <c r="D844" s="6"/>
      <c r="E844" s="9"/>
      <c r="F844" s="9"/>
      <c r="G844" s="11"/>
      <c r="H844" s="5"/>
      <c r="I844" s="8"/>
      <c r="J844" s="8"/>
      <c r="Z844" s="6"/>
    </row>
    <row r="845" spans="2:26" ht="12.75" x14ac:dyDescent="0.2">
      <c r="B845" s="6"/>
      <c r="C845" s="6"/>
      <c r="D845" s="6"/>
      <c r="E845" s="9"/>
      <c r="F845" s="9"/>
      <c r="G845" s="11"/>
      <c r="H845" s="5"/>
      <c r="I845" s="8"/>
      <c r="J845" s="8"/>
      <c r="Z845" s="6"/>
    </row>
    <row r="846" spans="2:26" ht="12.75" x14ac:dyDescent="0.2">
      <c r="B846" s="6"/>
      <c r="C846" s="6"/>
      <c r="D846" s="6"/>
      <c r="E846" s="9"/>
      <c r="F846" s="9"/>
      <c r="G846" s="11"/>
      <c r="H846" s="5"/>
      <c r="I846" s="8"/>
      <c r="J846" s="8"/>
      <c r="Z846" s="6"/>
    </row>
    <row r="847" spans="2:26" ht="12.75" x14ac:dyDescent="0.2">
      <c r="B847" s="6"/>
      <c r="C847" s="6"/>
      <c r="D847" s="6"/>
      <c r="E847" s="9"/>
      <c r="F847" s="9"/>
      <c r="G847" s="11"/>
      <c r="H847" s="5"/>
      <c r="I847" s="8"/>
      <c r="J847" s="8"/>
      <c r="Z847" s="6"/>
    </row>
    <row r="848" spans="2:26" ht="12.75" x14ac:dyDescent="0.2">
      <c r="B848" s="6"/>
      <c r="C848" s="6"/>
      <c r="D848" s="6"/>
      <c r="E848" s="9"/>
      <c r="F848" s="9"/>
      <c r="G848" s="11"/>
      <c r="H848" s="5"/>
      <c r="I848" s="8"/>
      <c r="J848" s="8"/>
      <c r="Z848" s="6"/>
    </row>
    <row r="849" spans="2:26" ht="12.75" x14ac:dyDescent="0.2">
      <c r="B849" s="6"/>
      <c r="C849" s="6"/>
      <c r="D849" s="6"/>
      <c r="E849" s="9"/>
      <c r="F849" s="9"/>
      <c r="G849" s="11"/>
      <c r="H849" s="5"/>
      <c r="I849" s="8"/>
      <c r="J849" s="8"/>
      <c r="Z849" s="6"/>
    </row>
    <row r="850" spans="2:26" ht="12.75" x14ac:dyDescent="0.2">
      <c r="B850" s="6"/>
      <c r="C850" s="6"/>
      <c r="D850" s="6"/>
      <c r="E850" s="9"/>
      <c r="F850" s="9"/>
      <c r="G850" s="11"/>
      <c r="H850" s="5"/>
      <c r="I850" s="8"/>
      <c r="J850" s="8"/>
      <c r="Z850" s="6"/>
    </row>
    <row r="851" spans="2:26" ht="12.75" x14ac:dyDescent="0.2">
      <c r="B851" s="6"/>
      <c r="C851" s="6"/>
      <c r="D851" s="6"/>
      <c r="E851" s="9"/>
      <c r="F851" s="9"/>
      <c r="G851" s="11"/>
      <c r="H851" s="5"/>
      <c r="I851" s="8"/>
      <c r="J851" s="8"/>
      <c r="Z851" s="6"/>
    </row>
    <row r="852" spans="2:26" ht="12.75" x14ac:dyDescent="0.2">
      <c r="B852" s="6"/>
      <c r="C852" s="6"/>
      <c r="D852" s="6"/>
      <c r="E852" s="9"/>
      <c r="F852" s="9"/>
      <c r="G852" s="11"/>
      <c r="H852" s="5"/>
      <c r="I852" s="8"/>
      <c r="J852" s="8"/>
      <c r="Z852" s="6"/>
    </row>
    <row r="853" spans="2:26" ht="12.75" x14ac:dyDescent="0.2">
      <c r="B853" s="6"/>
      <c r="C853" s="6"/>
      <c r="D853" s="6"/>
      <c r="E853" s="9"/>
      <c r="F853" s="9"/>
      <c r="G853" s="11"/>
      <c r="H853" s="5"/>
      <c r="I853" s="8"/>
      <c r="J853" s="8"/>
      <c r="Z853" s="6"/>
    </row>
    <row r="854" spans="2:26" ht="12.75" x14ac:dyDescent="0.2">
      <c r="B854" s="6"/>
      <c r="C854" s="6"/>
      <c r="D854" s="6"/>
      <c r="E854" s="9"/>
      <c r="F854" s="9"/>
      <c r="G854" s="11"/>
      <c r="H854" s="5"/>
      <c r="I854" s="8"/>
      <c r="J854" s="8"/>
      <c r="Z854" s="6"/>
    </row>
    <row r="855" spans="2:26" ht="12.75" x14ac:dyDescent="0.2">
      <c r="B855" s="6"/>
      <c r="C855" s="6"/>
      <c r="D855" s="6"/>
      <c r="E855" s="9"/>
      <c r="F855" s="9"/>
      <c r="G855" s="11"/>
      <c r="H855" s="5"/>
      <c r="I855" s="8"/>
      <c r="J855" s="8"/>
      <c r="Z855" s="6"/>
    </row>
    <row r="856" spans="2:26" ht="12.75" x14ac:dyDescent="0.2">
      <c r="B856" s="6"/>
      <c r="C856" s="6"/>
      <c r="D856" s="6"/>
      <c r="E856" s="9"/>
      <c r="F856" s="9"/>
      <c r="G856" s="11"/>
      <c r="H856" s="5"/>
      <c r="I856" s="8"/>
      <c r="J856" s="8"/>
      <c r="Z856" s="6"/>
    </row>
    <row r="857" spans="2:26" ht="12.75" x14ac:dyDescent="0.2">
      <c r="B857" s="6"/>
      <c r="C857" s="6"/>
      <c r="D857" s="6"/>
      <c r="E857" s="9"/>
      <c r="F857" s="9"/>
      <c r="G857" s="11"/>
      <c r="H857" s="5"/>
      <c r="I857" s="8"/>
      <c r="J857" s="8"/>
      <c r="Z857" s="6"/>
    </row>
    <row r="858" spans="2:26" ht="12.75" x14ac:dyDescent="0.2">
      <c r="B858" s="6"/>
      <c r="C858" s="6"/>
      <c r="D858" s="6"/>
      <c r="E858" s="9"/>
      <c r="F858" s="9"/>
      <c r="G858" s="11"/>
      <c r="H858" s="5"/>
      <c r="I858" s="8"/>
      <c r="J858" s="8"/>
      <c r="Z858" s="6"/>
    </row>
    <row r="859" spans="2:26" ht="12.75" x14ac:dyDescent="0.2">
      <c r="B859" s="6"/>
      <c r="C859" s="6"/>
      <c r="D859" s="6"/>
      <c r="E859" s="9"/>
      <c r="F859" s="9"/>
      <c r="G859" s="11"/>
      <c r="H859" s="5"/>
      <c r="I859" s="8"/>
      <c r="J859" s="8"/>
      <c r="Z859" s="6"/>
    </row>
    <row r="860" spans="2:26" ht="12.75" x14ac:dyDescent="0.2">
      <c r="B860" s="6"/>
      <c r="C860" s="6"/>
      <c r="D860" s="6"/>
      <c r="E860" s="9"/>
      <c r="F860" s="9"/>
      <c r="G860" s="11"/>
      <c r="H860" s="5"/>
      <c r="I860" s="8"/>
      <c r="J860" s="8"/>
      <c r="Z860" s="6"/>
    </row>
    <row r="861" spans="2:26" ht="12.75" x14ac:dyDescent="0.2">
      <c r="B861" s="6"/>
      <c r="C861" s="6"/>
      <c r="D861" s="6"/>
      <c r="E861" s="9"/>
      <c r="F861" s="9"/>
      <c r="G861" s="11"/>
      <c r="H861" s="5"/>
      <c r="I861" s="8"/>
      <c r="J861" s="8"/>
      <c r="Z861" s="6"/>
    </row>
  </sheetData>
  <dataValidations count="1">
    <dataValidation type="list" allowBlank="1" showErrorMessage="1" sqref="C3" xr:uid="{00000000-0002-0000-0600-000000000000}">
      <formula1>"5DD,EOM,LBD,TP"</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Y862"/>
  <sheetViews>
    <sheetView workbookViewId="0">
      <pane ySplit="1" topLeftCell="A2" activePane="bottomLeft" state="frozen"/>
      <selection pane="bottomLeft" activeCell="B3" sqref="B3"/>
    </sheetView>
  </sheetViews>
  <sheetFormatPr defaultColWidth="12.42578125" defaultRowHeight="15.75" customHeight="1" x14ac:dyDescent="0.2"/>
  <cols>
    <col min="1" max="1" width="8.28515625" customWidth="1"/>
    <col min="2" max="2" width="6.140625" customWidth="1"/>
    <col min="3" max="3" width="9.28515625" customWidth="1"/>
    <col min="4" max="4" width="8.42578125" customWidth="1"/>
    <col min="5" max="5" width="7.42578125" customWidth="1"/>
    <col min="6" max="6" width="8" customWidth="1"/>
    <col min="7" max="7" width="8.28515625" customWidth="1"/>
    <col min="8" max="8" width="7.85546875" customWidth="1"/>
    <col min="9" max="10" width="8.42578125" customWidth="1"/>
    <col min="11" max="11" width="6.42578125" customWidth="1"/>
    <col min="12" max="12" width="5.140625" customWidth="1"/>
    <col min="13" max="13" width="7.85546875" customWidth="1"/>
    <col min="14" max="14" width="13.42578125" customWidth="1"/>
    <col min="15" max="15" width="10.85546875" customWidth="1"/>
    <col min="16" max="16" width="11.42578125" customWidth="1"/>
    <col min="17" max="17" width="6.42578125" customWidth="1"/>
    <col min="18" max="18" width="7.140625" customWidth="1"/>
    <col min="19" max="19" width="9.140625" customWidth="1"/>
    <col min="20" max="20" width="6.42578125" customWidth="1"/>
    <col min="21" max="21" width="11.140625" customWidth="1"/>
    <col min="22" max="22" width="9.28515625" customWidth="1"/>
    <col min="23" max="23" width="8.85546875" customWidth="1"/>
    <col min="24" max="25" width="7" customWidth="1"/>
  </cols>
  <sheetData>
    <row r="1" spans="1:25" ht="15" customHeight="1" x14ac:dyDescent="0.2">
      <c r="A1" s="14" t="s">
        <v>2</v>
      </c>
      <c r="B1" s="15" t="s">
        <v>3</v>
      </c>
      <c r="C1" s="15" t="s">
        <v>4</v>
      </c>
      <c r="D1" s="15" t="s">
        <v>0</v>
      </c>
      <c r="E1" s="16" t="s">
        <v>5</v>
      </c>
      <c r="F1" s="16" t="s">
        <v>6</v>
      </c>
      <c r="G1" s="17" t="s">
        <v>7</v>
      </c>
      <c r="H1" s="18" t="s">
        <v>8</v>
      </c>
      <c r="I1" s="19" t="s">
        <v>9</v>
      </c>
      <c r="J1" s="19" t="s">
        <v>10</v>
      </c>
      <c r="K1" s="19" t="s">
        <v>11</v>
      </c>
      <c r="L1" s="18" t="s">
        <v>12</v>
      </c>
      <c r="M1" s="20"/>
      <c r="N1" s="20"/>
      <c r="O1" s="20"/>
      <c r="P1" s="20"/>
      <c r="Q1" s="20"/>
      <c r="R1" s="20"/>
      <c r="S1" s="20"/>
      <c r="T1" s="20"/>
      <c r="U1" s="20"/>
      <c r="V1" s="20"/>
      <c r="W1" s="20"/>
      <c r="X1" s="20"/>
      <c r="Y1" s="20"/>
    </row>
    <row r="2" spans="1:25" ht="12.75" x14ac:dyDescent="0.2">
      <c r="A2" s="10"/>
      <c r="B2" s="6"/>
      <c r="C2" s="6"/>
      <c r="D2" s="6"/>
      <c r="E2" s="9"/>
      <c r="F2" s="9"/>
      <c r="G2" s="11"/>
      <c r="H2" s="5"/>
      <c r="I2" s="6"/>
      <c r="J2" s="6"/>
      <c r="K2" s="20"/>
      <c r="L2" s="20"/>
      <c r="M2" s="20"/>
      <c r="Q2" s="20"/>
      <c r="X2" s="6"/>
      <c r="Y2" s="6"/>
    </row>
    <row r="3" spans="1:25" ht="12.75" x14ac:dyDescent="0.2">
      <c r="A3" s="10">
        <v>45699</v>
      </c>
      <c r="B3" s="1" t="s">
        <v>13</v>
      </c>
      <c r="C3" s="1" t="s">
        <v>14</v>
      </c>
      <c r="D3" s="6">
        <v>1055.76</v>
      </c>
      <c r="E3" s="9">
        <f t="shared" ref="E3:E6" si="0">$O$3/D3</f>
        <v>0.2367962415700538</v>
      </c>
      <c r="F3" s="9">
        <f t="shared" ref="F3:F4" si="1">E3</f>
        <v>0.2367962415700538</v>
      </c>
      <c r="G3" s="11">
        <f t="shared" ref="G3:G6" si="2">$O$4/D3</f>
        <v>0.2367962415700538</v>
      </c>
      <c r="H3" s="5">
        <f t="shared" ref="H3:H6" si="3">D3*G3</f>
        <v>250</v>
      </c>
      <c r="I3" s="6">
        <f t="shared" ref="I3:I6" si="4">D3-(D3*$O$5)</f>
        <v>1029.366</v>
      </c>
      <c r="J3" s="6">
        <f t="shared" ref="J3:J6" si="5">D3+(D3*$O$6)</f>
        <v>1134.942</v>
      </c>
      <c r="K3" s="5"/>
      <c r="L3" s="5"/>
      <c r="M3" s="5"/>
      <c r="N3" s="20" t="s">
        <v>21</v>
      </c>
      <c r="O3" s="5">
        <v>250</v>
      </c>
      <c r="W3" s="6"/>
      <c r="X3" s="6"/>
      <c r="Y3" s="6"/>
    </row>
    <row r="4" spans="1:25" ht="12.75" x14ac:dyDescent="0.2">
      <c r="A4" s="10">
        <v>45699</v>
      </c>
      <c r="B4" s="1" t="s">
        <v>16</v>
      </c>
      <c r="C4" s="1" t="s">
        <v>14</v>
      </c>
      <c r="D4" s="6">
        <v>1055.76</v>
      </c>
      <c r="E4" s="9">
        <f t="shared" si="0"/>
        <v>0.2367962415700538</v>
      </c>
      <c r="F4" s="9">
        <f t="shared" si="1"/>
        <v>0.2367962415700538</v>
      </c>
      <c r="G4" s="11">
        <f t="shared" si="2"/>
        <v>0.2367962415700538</v>
      </c>
      <c r="H4" s="5">
        <f t="shared" si="3"/>
        <v>250</v>
      </c>
      <c r="I4" s="6">
        <f t="shared" si="4"/>
        <v>1029.366</v>
      </c>
      <c r="J4" s="6">
        <f t="shared" si="5"/>
        <v>1134.942</v>
      </c>
      <c r="K4" s="6"/>
      <c r="L4" s="6"/>
      <c r="M4" s="6"/>
      <c r="N4" s="3" t="s">
        <v>8</v>
      </c>
      <c r="O4" s="5">
        <v>250</v>
      </c>
      <c r="P4" s="10"/>
      <c r="Q4" s="6"/>
      <c r="R4" s="6"/>
      <c r="S4" s="6"/>
      <c r="T4" s="6"/>
      <c r="U4" s="6"/>
      <c r="V4" s="6"/>
      <c r="W4" s="6"/>
      <c r="X4" s="6"/>
      <c r="Y4" s="6"/>
    </row>
    <row r="5" spans="1:25" ht="12.75" x14ac:dyDescent="0.2">
      <c r="A5" s="10">
        <v>45723</v>
      </c>
      <c r="B5" s="1" t="s">
        <v>22</v>
      </c>
      <c r="C5" s="1" t="s">
        <v>14</v>
      </c>
      <c r="D5" s="6">
        <v>968.81</v>
      </c>
      <c r="E5" s="9">
        <f t="shared" si="0"/>
        <v>0.25804853376823117</v>
      </c>
      <c r="F5" s="9">
        <f>F3+E5</f>
        <v>0.49484477533828497</v>
      </c>
      <c r="G5" s="11">
        <f t="shared" si="2"/>
        <v>0.25804853376823117</v>
      </c>
      <c r="H5" s="5">
        <f t="shared" si="3"/>
        <v>250.00000000000003</v>
      </c>
      <c r="I5" s="6">
        <f t="shared" si="4"/>
        <v>944.58974999999998</v>
      </c>
      <c r="J5" s="6">
        <f t="shared" si="5"/>
        <v>1041.47075</v>
      </c>
      <c r="K5" s="6"/>
      <c r="L5" s="6"/>
      <c r="M5" s="6"/>
      <c r="N5" s="3" t="s">
        <v>18</v>
      </c>
      <c r="O5" s="4">
        <v>2.5000000000000001E-2</v>
      </c>
      <c r="P5" s="4"/>
      <c r="Q5" s="6"/>
      <c r="R5" s="6"/>
      <c r="S5" s="6"/>
      <c r="T5" s="6"/>
      <c r="U5" s="6"/>
      <c r="V5" s="6"/>
      <c r="W5" s="6"/>
      <c r="X5" s="6"/>
      <c r="Y5" s="6"/>
    </row>
    <row r="6" spans="1:25" ht="12.75" x14ac:dyDescent="0.2">
      <c r="A6" s="10">
        <v>45727</v>
      </c>
      <c r="B6" s="1" t="s">
        <v>23</v>
      </c>
      <c r="C6" s="1" t="s">
        <v>14</v>
      </c>
      <c r="D6" s="6">
        <v>928</v>
      </c>
      <c r="E6" s="9">
        <f t="shared" si="0"/>
        <v>0.26939655172413796</v>
      </c>
      <c r="F6" s="9">
        <f>F5+E6</f>
        <v>0.76424132706242287</v>
      </c>
      <c r="G6" s="11">
        <f t="shared" si="2"/>
        <v>0.26939655172413796</v>
      </c>
      <c r="H6" s="5">
        <f t="shared" si="3"/>
        <v>250.00000000000003</v>
      </c>
      <c r="I6" s="6">
        <f t="shared" si="4"/>
        <v>904.8</v>
      </c>
      <c r="J6" s="6">
        <f t="shared" si="5"/>
        <v>997.6</v>
      </c>
      <c r="K6" s="6"/>
      <c r="L6" s="6"/>
      <c r="M6" s="6"/>
      <c r="N6" s="3" t="s">
        <v>10</v>
      </c>
      <c r="O6" s="4">
        <f>O5*3</f>
        <v>7.5000000000000011E-2</v>
      </c>
      <c r="P6" s="4"/>
      <c r="Q6" s="4"/>
      <c r="R6" s="6"/>
      <c r="S6" s="6"/>
      <c r="T6" s="6"/>
      <c r="U6" s="6"/>
      <c r="V6" s="6"/>
      <c r="W6" s="6"/>
      <c r="X6" s="6"/>
      <c r="Y6" s="6"/>
    </row>
    <row r="7" spans="1:25" ht="12.75" x14ac:dyDescent="0.2">
      <c r="A7" s="21"/>
      <c r="B7" s="22"/>
      <c r="C7" s="22"/>
      <c r="D7" s="23"/>
      <c r="E7" s="24"/>
      <c r="F7" s="24"/>
      <c r="G7" s="25"/>
      <c r="H7" s="26"/>
      <c r="I7" s="23"/>
      <c r="J7" s="22"/>
      <c r="K7" s="6"/>
      <c r="L7" s="6"/>
      <c r="M7" s="6"/>
      <c r="N7" s="20" t="s">
        <v>19</v>
      </c>
      <c r="O7" s="5">
        <f>(O8/250)*O3</f>
        <v>1000</v>
      </c>
      <c r="P7" s="6"/>
      <c r="Q7" s="6"/>
      <c r="R7" s="6"/>
      <c r="S7" s="6"/>
      <c r="T7" s="6"/>
      <c r="U7" s="6"/>
      <c r="V7" s="6"/>
      <c r="W7" s="6"/>
      <c r="X7" s="6"/>
      <c r="Y7" s="6"/>
    </row>
    <row r="8" spans="1:25" ht="12.75" x14ac:dyDescent="0.2">
      <c r="A8" s="10"/>
      <c r="B8" s="1"/>
      <c r="D8" s="6"/>
      <c r="E8" s="9"/>
      <c r="F8" s="9"/>
      <c r="G8" s="11"/>
      <c r="H8" s="5"/>
      <c r="I8" s="6"/>
      <c r="K8" s="6"/>
      <c r="L8" s="6"/>
      <c r="M8" s="6"/>
      <c r="N8" s="3" t="s">
        <v>20</v>
      </c>
      <c r="O8" s="5">
        <f>SUM(H3:H43)</f>
        <v>1000</v>
      </c>
      <c r="P8" s="4"/>
      <c r="R8" s="6"/>
      <c r="S8" s="6"/>
      <c r="T8" s="6"/>
      <c r="U8" s="6"/>
      <c r="V8" s="6"/>
      <c r="W8" s="6"/>
      <c r="X8" s="6"/>
      <c r="Y8" s="6"/>
    </row>
    <row r="9" spans="1:25" ht="12.75" x14ac:dyDescent="0.2">
      <c r="A9" s="21"/>
      <c r="B9" s="22"/>
      <c r="C9" s="22"/>
      <c r="D9" s="23"/>
      <c r="E9" s="24"/>
      <c r="F9" s="24"/>
      <c r="G9" s="25"/>
      <c r="H9" s="26"/>
      <c r="I9" s="23"/>
      <c r="J9" s="22"/>
      <c r="K9" s="6"/>
      <c r="L9" s="6"/>
      <c r="M9" s="6"/>
      <c r="N9" s="20"/>
      <c r="O9" s="6"/>
      <c r="P9" s="6"/>
      <c r="Q9" s="6"/>
      <c r="R9" s="6"/>
      <c r="S9" s="6"/>
      <c r="T9" s="6"/>
      <c r="U9" s="6"/>
      <c r="V9" s="6"/>
      <c r="W9" s="6"/>
      <c r="X9" s="6"/>
      <c r="Y9" s="6"/>
    </row>
    <row r="10" spans="1:25" ht="12.75" x14ac:dyDescent="0.2">
      <c r="A10" s="21"/>
      <c r="B10" s="22"/>
      <c r="C10" s="22"/>
      <c r="D10" s="23"/>
      <c r="E10" s="24"/>
      <c r="F10" s="24"/>
      <c r="G10" s="25"/>
      <c r="H10" s="26"/>
      <c r="I10" s="23"/>
      <c r="J10" s="22"/>
      <c r="K10" s="6"/>
      <c r="L10" s="6"/>
      <c r="M10" s="6"/>
      <c r="N10" s="3"/>
      <c r="O10" s="6"/>
      <c r="P10" s="4"/>
      <c r="Q10" s="6"/>
      <c r="R10" s="6"/>
      <c r="S10" s="6"/>
      <c r="T10" s="6"/>
      <c r="U10" s="6"/>
      <c r="V10" s="6"/>
      <c r="W10" s="6"/>
      <c r="X10" s="6"/>
      <c r="Y10" s="6"/>
    </row>
    <row r="11" spans="1:25" ht="12.75" x14ac:dyDescent="0.2">
      <c r="A11" s="21"/>
      <c r="B11" s="22"/>
      <c r="C11" s="22"/>
      <c r="D11" s="23"/>
      <c r="E11" s="24"/>
      <c r="F11" s="24"/>
      <c r="G11" s="25"/>
      <c r="H11" s="26"/>
      <c r="I11" s="23"/>
      <c r="J11" s="22"/>
      <c r="K11" s="6"/>
      <c r="L11" s="6"/>
      <c r="M11" s="6"/>
      <c r="N11" s="6"/>
      <c r="O11" s="9"/>
      <c r="P11" s="6"/>
      <c r="Q11" s="6"/>
      <c r="R11" s="6"/>
      <c r="S11" s="6"/>
      <c r="T11" s="6"/>
      <c r="U11" s="6"/>
      <c r="V11" s="6"/>
      <c r="W11" s="6"/>
      <c r="X11" s="6"/>
      <c r="Y11" s="6"/>
    </row>
    <row r="12" spans="1:25" ht="12.75" x14ac:dyDescent="0.2">
      <c r="A12" s="10"/>
      <c r="B12" s="1"/>
      <c r="D12" s="6"/>
      <c r="E12" s="9"/>
      <c r="F12" s="9"/>
      <c r="G12" s="11"/>
      <c r="H12" s="5"/>
      <c r="I12" s="6"/>
      <c r="K12" s="6"/>
      <c r="L12" s="6"/>
      <c r="M12" s="6"/>
      <c r="N12" s="6"/>
      <c r="O12" s="6"/>
      <c r="P12" s="6"/>
      <c r="Q12" s="6"/>
      <c r="R12" s="6"/>
      <c r="S12" s="6"/>
      <c r="T12" s="6"/>
      <c r="U12" s="6"/>
      <c r="V12" s="6"/>
      <c r="W12" s="6"/>
      <c r="X12" s="6"/>
      <c r="Y12" s="6"/>
    </row>
    <row r="13" spans="1:25" ht="12.75" x14ac:dyDescent="0.2">
      <c r="A13" s="10"/>
      <c r="B13" s="1"/>
      <c r="D13" s="6"/>
      <c r="E13" s="9"/>
      <c r="F13" s="9"/>
      <c r="G13" s="11"/>
      <c r="H13" s="5"/>
      <c r="I13" s="6"/>
      <c r="K13" s="6"/>
      <c r="L13" s="6"/>
      <c r="M13" s="6"/>
      <c r="N13" s="6"/>
      <c r="O13" s="6"/>
      <c r="P13" s="6"/>
      <c r="Q13" s="6"/>
      <c r="R13" s="6"/>
      <c r="S13" s="6"/>
      <c r="T13" s="6"/>
      <c r="U13" s="6"/>
      <c r="V13" s="6"/>
      <c r="W13" s="6"/>
      <c r="X13" s="6"/>
      <c r="Y13" s="6"/>
    </row>
    <row r="14" spans="1:25" ht="12.75" x14ac:dyDescent="0.2">
      <c r="A14" s="21"/>
      <c r="B14" s="22"/>
      <c r="C14" s="22"/>
      <c r="D14" s="23"/>
      <c r="E14" s="24"/>
      <c r="F14" s="24"/>
      <c r="G14" s="25"/>
      <c r="H14" s="26"/>
      <c r="I14" s="23"/>
      <c r="J14" s="22"/>
      <c r="K14" s="6"/>
      <c r="L14" s="6"/>
      <c r="M14" s="6"/>
      <c r="N14" s="6"/>
      <c r="O14" s="3"/>
      <c r="P14" s="3"/>
      <c r="Q14" s="3"/>
      <c r="R14" s="3"/>
      <c r="S14" s="3"/>
      <c r="T14" s="6"/>
      <c r="U14" s="6"/>
      <c r="V14" s="6"/>
      <c r="W14" s="6"/>
      <c r="X14" s="6"/>
      <c r="Y14" s="6"/>
    </row>
    <row r="15" spans="1:25" ht="12.75" x14ac:dyDescent="0.2">
      <c r="A15" s="21"/>
      <c r="B15" s="22"/>
      <c r="C15" s="22"/>
      <c r="D15" s="23"/>
      <c r="E15" s="24"/>
      <c r="F15" s="24"/>
      <c r="G15" s="25"/>
      <c r="H15" s="26"/>
      <c r="I15" s="23"/>
      <c r="J15" s="22"/>
      <c r="N15" s="27"/>
      <c r="O15" s="5"/>
      <c r="P15" s="4"/>
      <c r="Q15" s="7"/>
      <c r="R15" s="2"/>
      <c r="S15" s="2"/>
      <c r="T15" s="6"/>
      <c r="U15" s="6"/>
      <c r="V15" s="6"/>
      <c r="W15" s="6"/>
      <c r="X15" s="6"/>
      <c r="Y15" s="6"/>
    </row>
    <row r="16" spans="1:25" ht="12.75" x14ac:dyDescent="0.2">
      <c r="A16" s="21"/>
      <c r="B16" s="22"/>
      <c r="C16" s="22"/>
      <c r="D16" s="23"/>
      <c r="E16" s="24"/>
      <c r="F16" s="24"/>
      <c r="G16" s="25"/>
      <c r="H16" s="26"/>
      <c r="I16" s="23"/>
      <c r="J16" s="22"/>
      <c r="N16" s="27"/>
      <c r="O16" s="5"/>
      <c r="P16" s="4"/>
      <c r="Q16" s="7"/>
      <c r="R16" s="2"/>
      <c r="S16" s="2"/>
      <c r="T16" s="6"/>
      <c r="U16" s="6"/>
      <c r="V16" s="6"/>
      <c r="W16" s="6"/>
      <c r="X16" s="6"/>
      <c r="Y16" s="6"/>
    </row>
    <row r="17" spans="1:25" ht="12.75" x14ac:dyDescent="0.2">
      <c r="A17" s="10"/>
      <c r="B17" s="1"/>
      <c r="D17" s="6"/>
      <c r="E17" s="9"/>
      <c r="F17" s="9"/>
      <c r="G17" s="11"/>
      <c r="H17" s="5"/>
      <c r="I17" s="6"/>
      <c r="K17" s="6"/>
      <c r="L17" s="6"/>
      <c r="M17" s="6"/>
      <c r="N17" s="27"/>
      <c r="O17" s="5"/>
      <c r="P17" s="4"/>
      <c r="R17" s="6"/>
      <c r="S17" s="6"/>
      <c r="T17" s="6"/>
      <c r="U17" s="6"/>
      <c r="V17" s="6"/>
      <c r="W17" s="6"/>
      <c r="X17" s="6"/>
      <c r="Y17" s="6"/>
    </row>
    <row r="18" spans="1:25" ht="12.75" x14ac:dyDescent="0.2">
      <c r="A18" s="10"/>
      <c r="B18" s="1"/>
      <c r="D18" s="6"/>
      <c r="E18" s="9"/>
      <c r="F18" s="9"/>
      <c r="G18" s="11"/>
      <c r="H18" s="5"/>
      <c r="I18" s="6"/>
      <c r="K18" s="9"/>
      <c r="L18" s="9"/>
      <c r="M18" s="9"/>
      <c r="N18" s="27"/>
      <c r="O18" s="5"/>
      <c r="P18" s="4"/>
      <c r="R18" s="6"/>
      <c r="S18" s="5"/>
      <c r="T18" s="5"/>
      <c r="U18" s="5"/>
      <c r="V18" s="5"/>
      <c r="W18" s="9"/>
      <c r="X18" s="5"/>
      <c r="Y18" s="5"/>
    </row>
    <row r="19" spans="1:25" ht="12.75" x14ac:dyDescent="0.2">
      <c r="A19" s="10"/>
      <c r="B19" s="1"/>
      <c r="D19" s="6"/>
      <c r="E19" s="9"/>
      <c r="F19" s="9"/>
      <c r="G19" s="11"/>
      <c r="H19" s="5"/>
      <c r="I19" s="6"/>
      <c r="K19" s="6"/>
      <c r="L19" s="6"/>
      <c r="M19" s="6"/>
      <c r="N19" s="27"/>
      <c r="O19" s="5"/>
      <c r="P19" s="4"/>
      <c r="Q19" s="7"/>
      <c r="R19" s="2"/>
      <c r="S19" s="6"/>
      <c r="T19" s="6"/>
      <c r="U19" s="6"/>
      <c r="V19" s="6"/>
      <c r="W19" s="6"/>
      <c r="X19" s="6"/>
      <c r="Y19" s="6"/>
    </row>
    <row r="20" spans="1:25" ht="12.75" x14ac:dyDescent="0.2">
      <c r="A20" s="10"/>
      <c r="B20" s="1"/>
      <c r="D20" s="6"/>
      <c r="E20" s="9"/>
      <c r="F20" s="9"/>
      <c r="G20" s="11"/>
      <c r="H20" s="5"/>
      <c r="I20" s="6"/>
      <c r="K20" s="6"/>
      <c r="L20" s="6"/>
      <c r="M20" s="6"/>
      <c r="N20" s="27"/>
      <c r="O20" s="7"/>
      <c r="P20" s="2"/>
      <c r="S20" s="6"/>
      <c r="T20" s="6"/>
      <c r="U20" s="6"/>
      <c r="V20" s="6"/>
      <c r="W20" s="6"/>
      <c r="X20" s="6"/>
      <c r="Y20" s="6"/>
    </row>
    <row r="21" spans="1:25" ht="12.75" x14ac:dyDescent="0.2">
      <c r="A21" s="10"/>
      <c r="D21" s="6"/>
      <c r="E21" s="9"/>
      <c r="F21" s="9"/>
      <c r="G21" s="11"/>
      <c r="H21" s="5"/>
      <c r="I21" s="6"/>
      <c r="K21" s="6"/>
      <c r="L21" s="6"/>
      <c r="M21" s="6"/>
      <c r="N21" s="27"/>
      <c r="O21" s="9"/>
      <c r="P21" s="9"/>
      <c r="Q21" s="9"/>
      <c r="R21" s="6"/>
      <c r="S21" s="6"/>
      <c r="T21" s="6"/>
      <c r="U21" s="6"/>
      <c r="V21" s="6"/>
      <c r="W21" s="6"/>
      <c r="X21" s="6"/>
      <c r="Y21" s="6"/>
    </row>
    <row r="22" spans="1:25" ht="12.75" x14ac:dyDescent="0.2">
      <c r="A22" s="21"/>
      <c r="B22" s="22"/>
      <c r="C22" s="22"/>
      <c r="D22" s="23"/>
      <c r="E22" s="24"/>
      <c r="F22" s="24"/>
      <c r="G22" s="25"/>
      <c r="H22" s="26"/>
      <c r="I22" s="23"/>
      <c r="J22" s="22"/>
      <c r="K22" s="6"/>
      <c r="L22" s="6"/>
      <c r="M22" s="6"/>
      <c r="N22" s="27"/>
      <c r="O22" s="6"/>
      <c r="P22" s="6"/>
      <c r="Q22" s="6"/>
      <c r="R22" s="6"/>
      <c r="S22" s="6"/>
      <c r="T22" s="6"/>
      <c r="U22" s="6"/>
      <c r="V22" s="6"/>
      <c r="W22" s="6"/>
      <c r="X22" s="6"/>
      <c r="Y22" s="6"/>
    </row>
    <row r="23" spans="1:25" ht="12.75" x14ac:dyDescent="0.2">
      <c r="A23" s="21"/>
      <c r="B23" s="22"/>
      <c r="C23" s="22"/>
      <c r="D23" s="23"/>
      <c r="E23" s="24"/>
      <c r="F23" s="24"/>
      <c r="G23" s="25"/>
      <c r="H23" s="26"/>
      <c r="I23" s="23"/>
      <c r="J23" s="22"/>
      <c r="K23" s="6"/>
      <c r="L23" s="6"/>
      <c r="M23" s="6"/>
      <c r="N23" s="27"/>
      <c r="O23" s="6"/>
      <c r="P23" s="6"/>
      <c r="Q23" s="6"/>
      <c r="R23" s="6"/>
      <c r="S23" s="6"/>
      <c r="T23" s="6"/>
      <c r="U23" s="6"/>
      <c r="V23" s="6"/>
      <c r="W23" s="6"/>
      <c r="X23" s="6"/>
      <c r="Y23" s="6"/>
    </row>
    <row r="24" spans="1:25" ht="12.75" x14ac:dyDescent="0.2">
      <c r="A24" s="10"/>
      <c r="B24" s="1"/>
      <c r="D24" s="6"/>
      <c r="E24" s="9"/>
      <c r="F24" s="9"/>
      <c r="G24" s="11"/>
      <c r="H24" s="5"/>
      <c r="I24" s="6"/>
      <c r="K24" s="6"/>
      <c r="L24" s="6"/>
      <c r="M24" s="6"/>
      <c r="N24" s="27"/>
      <c r="O24" s="6"/>
      <c r="P24" s="6"/>
      <c r="Q24" s="6"/>
      <c r="R24" s="6"/>
      <c r="S24" s="6"/>
      <c r="T24" s="6"/>
      <c r="U24" s="6"/>
      <c r="V24" s="6"/>
      <c r="W24" s="6"/>
      <c r="X24" s="6"/>
      <c r="Y24" s="6"/>
    </row>
    <row r="25" spans="1:25" ht="12.75" x14ac:dyDescent="0.2">
      <c r="A25" s="10"/>
      <c r="D25" s="6"/>
      <c r="E25" s="9"/>
      <c r="F25" s="9"/>
      <c r="G25" s="11"/>
      <c r="H25" s="5"/>
      <c r="I25" s="6"/>
      <c r="K25" s="6"/>
      <c r="L25" s="6"/>
      <c r="M25" s="6"/>
      <c r="N25" s="27"/>
      <c r="O25" s="6"/>
      <c r="P25" s="6"/>
      <c r="Q25" s="6"/>
      <c r="R25" s="6"/>
      <c r="S25" s="6"/>
      <c r="T25" s="6"/>
      <c r="U25" s="6"/>
      <c r="V25" s="6"/>
      <c r="W25" s="6"/>
      <c r="X25" s="6"/>
      <c r="Y25" s="6"/>
    </row>
    <row r="26" spans="1:25" ht="12.75" x14ac:dyDescent="0.2">
      <c r="A26" s="10"/>
      <c r="B26" s="1"/>
      <c r="D26" s="6"/>
      <c r="E26" s="9"/>
      <c r="F26" s="9"/>
      <c r="G26" s="11"/>
      <c r="H26" s="5"/>
      <c r="I26" s="6"/>
      <c r="K26" s="6"/>
      <c r="L26" s="6"/>
      <c r="M26" s="6"/>
      <c r="N26" s="27"/>
      <c r="O26" s="6"/>
      <c r="P26" s="6"/>
      <c r="Q26" s="6"/>
      <c r="R26" s="6"/>
      <c r="S26" s="6"/>
      <c r="T26" s="6"/>
      <c r="U26" s="6"/>
      <c r="V26" s="6"/>
      <c r="W26" s="6"/>
      <c r="X26" s="6"/>
      <c r="Y26" s="6"/>
    </row>
    <row r="27" spans="1:25" ht="12.75" x14ac:dyDescent="0.2">
      <c r="A27" s="10"/>
      <c r="D27" s="6"/>
      <c r="E27" s="9"/>
      <c r="F27" s="9"/>
      <c r="G27" s="11"/>
      <c r="H27" s="5"/>
      <c r="I27" s="6"/>
      <c r="K27" s="6"/>
      <c r="L27" s="6"/>
      <c r="M27" s="6"/>
      <c r="N27" s="27"/>
      <c r="O27" s="6"/>
      <c r="P27" s="6"/>
      <c r="Q27" s="6"/>
      <c r="R27" s="6"/>
      <c r="S27" s="6"/>
      <c r="T27" s="6"/>
      <c r="U27" s="6"/>
      <c r="V27" s="6"/>
      <c r="W27" s="6"/>
      <c r="X27" s="6"/>
      <c r="Y27" s="6"/>
    </row>
    <row r="28" spans="1:25" ht="12.75" x14ac:dyDescent="0.2">
      <c r="A28" s="10"/>
      <c r="D28" s="6"/>
      <c r="E28" s="9"/>
      <c r="F28" s="9"/>
      <c r="G28" s="11"/>
      <c r="H28" s="5"/>
      <c r="I28" s="6"/>
      <c r="K28" s="6"/>
      <c r="L28" s="6"/>
      <c r="M28" s="6"/>
      <c r="N28" s="6"/>
      <c r="O28" s="6"/>
      <c r="P28" s="6"/>
      <c r="Q28" s="6"/>
      <c r="R28" s="6"/>
      <c r="S28" s="6"/>
      <c r="T28" s="6"/>
      <c r="U28" s="6"/>
      <c r="V28" s="6"/>
      <c r="W28" s="6"/>
      <c r="X28" s="6"/>
      <c r="Y28" s="6"/>
    </row>
    <row r="29" spans="1:25" ht="12.75" x14ac:dyDescent="0.2">
      <c r="A29" s="10"/>
      <c r="B29" s="1"/>
      <c r="D29" s="6"/>
      <c r="E29" s="9"/>
      <c r="F29" s="9"/>
      <c r="G29" s="11"/>
      <c r="H29" s="5"/>
      <c r="I29" s="6"/>
      <c r="K29" s="6"/>
      <c r="L29" s="6"/>
      <c r="M29" s="6"/>
      <c r="N29" s="6"/>
      <c r="O29" s="6"/>
      <c r="P29" s="6"/>
      <c r="Q29" s="6"/>
      <c r="R29" s="6"/>
      <c r="S29" s="6"/>
      <c r="T29" s="6"/>
      <c r="U29" s="6"/>
      <c r="V29" s="6"/>
      <c r="W29" s="6"/>
      <c r="X29" s="6"/>
      <c r="Y29" s="6"/>
    </row>
    <row r="30" spans="1:25" ht="12.75" x14ac:dyDescent="0.2">
      <c r="A30" s="10"/>
      <c r="B30" s="1"/>
      <c r="D30" s="6"/>
      <c r="E30" s="9"/>
      <c r="F30" s="9"/>
      <c r="G30" s="11"/>
      <c r="H30" s="5"/>
      <c r="I30" s="6"/>
      <c r="K30" s="6"/>
      <c r="L30" s="6"/>
      <c r="M30" s="6"/>
      <c r="N30" s="6"/>
      <c r="O30" s="6"/>
      <c r="P30" s="6"/>
      <c r="Q30" s="6"/>
      <c r="R30" s="6"/>
      <c r="S30" s="6"/>
      <c r="T30" s="6"/>
      <c r="U30" s="6"/>
      <c r="V30" s="6"/>
      <c r="W30" s="6"/>
      <c r="X30" s="6"/>
      <c r="Y30" s="6"/>
    </row>
    <row r="31" spans="1:25" ht="12.75" x14ac:dyDescent="0.2">
      <c r="A31" s="10"/>
      <c r="B31" s="1"/>
      <c r="D31" s="6"/>
      <c r="E31" s="9"/>
      <c r="F31" s="9"/>
      <c r="G31" s="11"/>
      <c r="H31" s="5"/>
      <c r="I31" s="6"/>
      <c r="K31" s="6"/>
      <c r="L31" s="6"/>
      <c r="M31" s="6"/>
      <c r="N31" s="6"/>
      <c r="O31" s="6"/>
      <c r="P31" s="6"/>
      <c r="Q31" s="6"/>
      <c r="R31" s="6"/>
      <c r="S31" s="6"/>
      <c r="T31" s="6"/>
      <c r="U31" s="6"/>
      <c r="V31" s="6"/>
      <c r="W31" s="6"/>
      <c r="X31" s="6"/>
      <c r="Y31" s="6"/>
    </row>
    <row r="32" spans="1:25" ht="12.75" x14ac:dyDescent="0.2">
      <c r="A32" s="10"/>
      <c r="B32" s="1"/>
      <c r="D32" s="6"/>
      <c r="E32" s="9"/>
      <c r="F32" s="9"/>
      <c r="G32" s="11"/>
      <c r="H32" s="5"/>
      <c r="I32" s="6"/>
      <c r="K32" s="6"/>
      <c r="L32" s="6"/>
      <c r="M32" s="6"/>
      <c r="N32" s="6"/>
      <c r="O32" s="6"/>
      <c r="P32" s="6"/>
      <c r="Q32" s="6"/>
      <c r="R32" s="6"/>
      <c r="S32" s="6"/>
      <c r="T32" s="6"/>
      <c r="U32" s="6"/>
      <c r="V32" s="6"/>
      <c r="W32" s="6"/>
      <c r="X32" s="6"/>
      <c r="Y32" s="6"/>
    </row>
    <row r="33" spans="1:25" ht="12.75" x14ac:dyDescent="0.2">
      <c r="A33" s="10"/>
      <c r="B33" s="1"/>
      <c r="D33" s="6"/>
      <c r="E33" s="9"/>
      <c r="F33" s="9"/>
      <c r="G33" s="11"/>
      <c r="H33" s="5"/>
      <c r="I33" s="6"/>
      <c r="K33" s="6"/>
      <c r="L33" s="6"/>
      <c r="M33" s="6"/>
      <c r="N33" s="6"/>
      <c r="O33" s="6"/>
      <c r="P33" s="6"/>
      <c r="Q33" s="6"/>
      <c r="R33" s="6"/>
      <c r="S33" s="6"/>
      <c r="T33" s="6"/>
      <c r="U33" s="6"/>
      <c r="V33" s="6"/>
      <c r="W33" s="6"/>
      <c r="X33" s="6"/>
      <c r="Y33" s="6"/>
    </row>
    <row r="34" spans="1:25" ht="12.75" x14ac:dyDescent="0.2">
      <c r="A34" s="10"/>
      <c r="B34" s="1"/>
      <c r="D34" s="6"/>
      <c r="E34" s="9"/>
      <c r="F34" s="9"/>
      <c r="G34" s="11"/>
      <c r="H34" s="5"/>
      <c r="I34" s="6"/>
      <c r="K34" s="6"/>
      <c r="L34" s="6"/>
      <c r="M34" s="6"/>
      <c r="N34" s="6"/>
      <c r="O34" s="6"/>
      <c r="P34" s="6"/>
      <c r="Q34" s="6"/>
      <c r="R34" s="6"/>
      <c r="S34" s="6"/>
      <c r="T34" s="6"/>
      <c r="U34" s="6"/>
      <c r="V34" s="6"/>
      <c r="W34" s="6"/>
      <c r="X34" s="6"/>
      <c r="Y34" s="6"/>
    </row>
    <row r="35" spans="1:25" ht="12.75" x14ac:dyDescent="0.2">
      <c r="A35" s="10"/>
      <c r="B35" s="1"/>
      <c r="D35" s="6"/>
      <c r="E35" s="9"/>
      <c r="F35" s="9"/>
      <c r="G35" s="11"/>
      <c r="H35" s="5"/>
      <c r="I35" s="6"/>
      <c r="K35" s="6"/>
      <c r="L35" s="6"/>
      <c r="M35" s="6"/>
      <c r="N35" s="6"/>
      <c r="O35" s="6"/>
      <c r="P35" s="6"/>
      <c r="Q35" s="6"/>
      <c r="R35" s="6"/>
      <c r="S35" s="6"/>
      <c r="T35" s="6"/>
      <c r="U35" s="6"/>
      <c r="V35" s="6"/>
      <c r="W35" s="6"/>
      <c r="X35" s="6"/>
      <c r="Y35" s="6"/>
    </row>
    <row r="36" spans="1:25" ht="12.75" x14ac:dyDescent="0.2">
      <c r="A36" s="10"/>
      <c r="B36" s="1"/>
      <c r="D36" s="6"/>
      <c r="E36" s="9"/>
      <c r="F36" s="9"/>
      <c r="G36" s="11"/>
      <c r="H36" s="5"/>
      <c r="I36" s="6"/>
      <c r="K36" s="9"/>
      <c r="L36" s="9"/>
      <c r="M36" s="9"/>
      <c r="N36" s="6"/>
      <c r="O36" s="6"/>
      <c r="P36" s="6"/>
      <c r="Q36" s="6"/>
      <c r="R36" s="6"/>
      <c r="S36" s="5"/>
      <c r="T36" s="5"/>
      <c r="U36" s="5"/>
      <c r="V36" s="5"/>
      <c r="W36" s="9"/>
      <c r="X36" s="5"/>
      <c r="Y36" s="5"/>
    </row>
    <row r="37" spans="1:25" ht="12.75" x14ac:dyDescent="0.2">
      <c r="A37" s="10"/>
      <c r="B37" s="1"/>
      <c r="D37" s="6"/>
      <c r="E37" s="9"/>
      <c r="F37" s="9"/>
      <c r="G37" s="11"/>
      <c r="H37" s="5"/>
      <c r="I37" s="6"/>
      <c r="K37" s="6"/>
      <c r="L37" s="6"/>
      <c r="M37" s="6"/>
      <c r="N37" s="6"/>
      <c r="O37" s="6"/>
      <c r="P37" s="6"/>
      <c r="Q37" s="6"/>
      <c r="R37" s="6"/>
      <c r="S37" s="6"/>
      <c r="T37" s="6"/>
      <c r="U37" s="6"/>
      <c r="V37" s="6"/>
      <c r="W37" s="6"/>
      <c r="X37" s="6"/>
      <c r="Y37" s="6"/>
    </row>
    <row r="38" spans="1:25" ht="12.75" x14ac:dyDescent="0.2">
      <c r="A38" s="10"/>
      <c r="B38" s="1"/>
      <c r="D38" s="6"/>
      <c r="E38" s="9"/>
      <c r="F38" s="9"/>
      <c r="G38" s="11"/>
      <c r="H38" s="5"/>
      <c r="I38" s="6"/>
      <c r="K38" s="6"/>
      <c r="L38" s="6"/>
      <c r="M38" s="6"/>
      <c r="N38" s="6"/>
      <c r="O38" s="6"/>
      <c r="P38" s="6"/>
      <c r="Q38" s="6"/>
      <c r="R38" s="5"/>
      <c r="S38" s="6"/>
      <c r="T38" s="6"/>
      <c r="U38" s="6"/>
      <c r="V38" s="6"/>
      <c r="W38" s="6"/>
      <c r="X38" s="6"/>
      <c r="Y38" s="6"/>
    </row>
    <row r="39" spans="1:25" ht="12.75" x14ac:dyDescent="0.2">
      <c r="A39" s="10"/>
      <c r="B39" s="1"/>
      <c r="D39" s="6"/>
      <c r="E39" s="9"/>
      <c r="F39" s="9"/>
      <c r="G39" s="11"/>
      <c r="H39" s="5"/>
      <c r="I39" s="6"/>
      <c r="K39" s="6"/>
      <c r="L39" s="6"/>
      <c r="M39" s="6"/>
      <c r="N39" s="9"/>
      <c r="O39" s="9"/>
      <c r="P39" s="6"/>
      <c r="Q39" s="9"/>
      <c r="R39" s="6"/>
      <c r="S39" s="6"/>
      <c r="T39" s="6"/>
      <c r="U39" s="6"/>
      <c r="V39" s="6"/>
      <c r="W39" s="6"/>
      <c r="X39" s="6"/>
      <c r="Y39" s="6"/>
    </row>
    <row r="40" spans="1:25" ht="12.75" x14ac:dyDescent="0.2">
      <c r="A40" s="10"/>
      <c r="B40" s="1"/>
      <c r="D40" s="6"/>
      <c r="E40" s="9"/>
      <c r="F40" s="9"/>
      <c r="G40" s="11"/>
      <c r="H40" s="5"/>
      <c r="I40" s="6"/>
      <c r="K40" s="6"/>
      <c r="L40" s="6"/>
      <c r="M40" s="6"/>
      <c r="N40" s="6"/>
      <c r="O40" s="6"/>
      <c r="P40" s="6"/>
      <c r="Q40" s="6"/>
      <c r="R40" s="6"/>
      <c r="S40" s="6"/>
      <c r="T40" s="6"/>
      <c r="U40" s="6"/>
      <c r="V40" s="6"/>
      <c r="W40" s="6"/>
      <c r="X40" s="6"/>
      <c r="Y40" s="6"/>
    </row>
    <row r="41" spans="1:25" ht="12.75" x14ac:dyDescent="0.2">
      <c r="A41" s="10"/>
      <c r="B41" s="1"/>
      <c r="D41" s="6"/>
      <c r="E41" s="9"/>
      <c r="F41" s="9"/>
      <c r="G41" s="11"/>
      <c r="H41" s="5"/>
      <c r="I41" s="6"/>
      <c r="K41" s="6"/>
      <c r="L41" s="6"/>
      <c r="M41" s="6"/>
      <c r="N41" s="6"/>
      <c r="O41" s="6"/>
      <c r="P41" s="6"/>
      <c r="Q41" s="6"/>
      <c r="R41" s="6"/>
      <c r="S41" s="6"/>
      <c r="T41" s="6"/>
      <c r="U41" s="6"/>
      <c r="V41" s="6"/>
      <c r="W41" s="6"/>
      <c r="X41" s="6"/>
      <c r="Y41" s="6"/>
    </row>
    <row r="42" spans="1:25" ht="12.75" x14ac:dyDescent="0.2">
      <c r="A42" s="10"/>
      <c r="B42" s="1"/>
      <c r="D42" s="6"/>
      <c r="E42" s="9"/>
      <c r="F42" s="9"/>
      <c r="G42" s="11"/>
      <c r="H42" s="5"/>
      <c r="I42" s="6"/>
      <c r="K42" s="6"/>
      <c r="L42" s="6"/>
      <c r="M42" s="6"/>
      <c r="N42" s="6"/>
      <c r="O42" s="6"/>
      <c r="P42" s="6"/>
      <c r="Q42" s="6"/>
      <c r="R42" s="6"/>
      <c r="S42" s="6"/>
      <c r="T42" s="6"/>
      <c r="U42" s="6"/>
      <c r="V42" s="6"/>
      <c r="W42" s="6"/>
      <c r="X42" s="6"/>
      <c r="Y42" s="6"/>
    </row>
    <row r="43" spans="1:25" ht="12.75" x14ac:dyDescent="0.2">
      <c r="A43" s="10"/>
      <c r="B43" s="1"/>
      <c r="D43" s="6"/>
      <c r="E43" s="9"/>
      <c r="F43" s="9"/>
      <c r="G43" s="11"/>
      <c r="H43" s="5"/>
      <c r="I43" s="6"/>
      <c r="K43" s="6"/>
      <c r="L43" s="6"/>
      <c r="M43" s="6"/>
      <c r="N43" s="6"/>
      <c r="O43" s="6"/>
      <c r="P43" s="6"/>
      <c r="Q43" s="6"/>
      <c r="R43" s="6"/>
      <c r="S43" s="6"/>
      <c r="T43" s="6"/>
      <c r="U43" s="6"/>
      <c r="V43" s="6"/>
      <c r="W43" s="6"/>
      <c r="X43" s="6"/>
      <c r="Y43" s="6"/>
    </row>
    <row r="44" spans="1:25" ht="12.75" x14ac:dyDescent="0.2">
      <c r="A44" s="10"/>
      <c r="B44" s="1"/>
      <c r="D44" s="6"/>
      <c r="E44" s="9"/>
      <c r="F44" s="9"/>
      <c r="G44" s="11"/>
      <c r="H44" s="5"/>
      <c r="I44" s="6"/>
      <c r="K44" s="6"/>
      <c r="L44" s="6"/>
      <c r="M44" s="6"/>
      <c r="N44" s="6"/>
      <c r="O44" s="6"/>
      <c r="P44" s="6"/>
      <c r="Q44" s="6"/>
      <c r="R44" s="6"/>
      <c r="S44" s="6"/>
      <c r="T44" s="6"/>
      <c r="U44" s="6"/>
      <c r="V44" s="6"/>
      <c r="W44" s="6"/>
      <c r="X44" s="6"/>
      <c r="Y44" s="6"/>
    </row>
    <row r="45" spans="1:25" ht="12.75" x14ac:dyDescent="0.2">
      <c r="A45" s="10"/>
      <c r="B45" s="1"/>
      <c r="D45" s="6"/>
      <c r="E45" s="9"/>
      <c r="F45" s="9"/>
      <c r="G45" s="11"/>
      <c r="H45" s="5"/>
      <c r="I45" s="6"/>
      <c r="K45" s="6"/>
      <c r="L45" s="6"/>
      <c r="M45" s="6"/>
      <c r="N45" s="6"/>
      <c r="O45" s="6"/>
      <c r="P45" s="6"/>
      <c r="Q45" s="6"/>
      <c r="R45" s="6"/>
      <c r="S45" s="6"/>
      <c r="T45" s="6"/>
      <c r="U45" s="6"/>
      <c r="V45" s="6"/>
      <c r="W45" s="6"/>
      <c r="X45" s="6"/>
      <c r="Y45" s="6"/>
    </row>
    <row r="46" spans="1:25" ht="12.75" x14ac:dyDescent="0.2">
      <c r="A46" s="10"/>
      <c r="B46" s="1"/>
      <c r="D46" s="6"/>
      <c r="E46" s="9"/>
      <c r="F46" s="9"/>
      <c r="G46" s="11"/>
      <c r="H46" s="5"/>
      <c r="I46" s="6"/>
      <c r="K46" s="6"/>
      <c r="L46" s="6"/>
      <c r="M46" s="6"/>
      <c r="N46" s="6"/>
      <c r="O46" s="6"/>
      <c r="P46" s="6"/>
      <c r="Q46" s="6"/>
      <c r="R46" s="6"/>
      <c r="S46" s="6"/>
      <c r="T46" s="6"/>
      <c r="U46" s="6"/>
      <c r="V46" s="6"/>
      <c r="W46" s="6"/>
      <c r="X46" s="6"/>
      <c r="Y46" s="6"/>
    </row>
    <row r="47" spans="1:25" ht="12.75" x14ac:dyDescent="0.2">
      <c r="A47" s="10"/>
      <c r="B47" s="1"/>
      <c r="D47" s="6"/>
      <c r="E47" s="9"/>
      <c r="F47" s="9"/>
      <c r="G47" s="11"/>
      <c r="H47" s="5"/>
      <c r="I47" s="6"/>
      <c r="K47" s="6"/>
      <c r="L47" s="6"/>
      <c r="M47" s="6"/>
      <c r="N47" s="6"/>
      <c r="O47" s="6"/>
      <c r="P47" s="6"/>
      <c r="Q47" s="6"/>
      <c r="R47" s="6"/>
      <c r="S47" s="6"/>
      <c r="T47" s="6"/>
      <c r="U47" s="6"/>
      <c r="V47" s="6"/>
      <c r="W47" s="6"/>
      <c r="X47" s="6"/>
      <c r="Y47" s="6"/>
    </row>
    <row r="48" spans="1:25" ht="12.75" x14ac:dyDescent="0.2">
      <c r="A48" s="10"/>
      <c r="B48" s="1"/>
      <c r="D48" s="6"/>
      <c r="E48" s="9"/>
      <c r="F48" s="9"/>
      <c r="G48" s="11"/>
      <c r="H48" s="5"/>
      <c r="I48" s="6"/>
      <c r="K48" s="6"/>
      <c r="L48" s="6"/>
      <c r="M48" s="6"/>
      <c r="N48" s="6"/>
      <c r="O48" s="6"/>
      <c r="P48" s="6"/>
      <c r="Q48" s="6"/>
      <c r="R48" s="6"/>
      <c r="S48" s="6"/>
      <c r="T48" s="6"/>
      <c r="U48" s="6"/>
      <c r="V48" s="6"/>
      <c r="W48" s="6"/>
      <c r="X48" s="6"/>
      <c r="Y48" s="6"/>
    </row>
    <row r="49" spans="1:25" ht="12.75" x14ac:dyDescent="0.2">
      <c r="A49" s="10"/>
      <c r="B49" s="1"/>
      <c r="D49" s="6"/>
      <c r="E49" s="9"/>
      <c r="F49" s="9"/>
      <c r="G49" s="11"/>
      <c r="H49" s="5"/>
      <c r="I49" s="6"/>
      <c r="K49" s="6"/>
      <c r="L49" s="6"/>
      <c r="M49" s="6"/>
      <c r="N49" s="6"/>
      <c r="O49" s="6"/>
      <c r="P49" s="6"/>
      <c r="Q49" s="6"/>
      <c r="R49" s="6"/>
      <c r="S49" s="6"/>
      <c r="T49" s="6"/>
      <c r="U49" s="6"/>
      <c r="V49" s="6"/>
      <c r="W49" s="6"/>
      <c r="X49" s="6"/>
      <c r="Y49" s="6"/>
    </row>
    <row r="50" spans="1:25" ht="12.75" x14ac:dyDescent="0.2">
      <c r="A50" s="10"/>
      <c r="B50" s="1"/>
      <c r="D50" s="6"/>
      <c r="E50" s="9"/>
      <c r="F50" s="9"/>
      <c r="G50" s="11"/>
      <c r="H50" s="5"/>
      <c r="I50" s="6"/>
      <c r="K50" s="9"/>
      <c r="L50" s="9"/>
      <c r="M50" s="9"/>
      <c r="N50" s="6"/>
      <c r="O50" s="6"/>
      <c r="P50" s="6"/>
      <c r="Q50" s="6"/>
      <c r="R50" s="6"/>
      <c r="S50" s="5"/>
      <c r="T50" s="5"/>
      <c r="U50" s="5"/>
      <c r="V50" s="5"/>
      <c r="W50" s="9"/>
      <c r="X50" s="5"/>
      <c r="Y50" s="5"/>
    </row>
    <row r="51" spans="1:25" ht="12.75" x14ac:dyDescent="0.2">
      <c r="A51" s="10"/>
      <c r="B51" s="1"/>
      <c r="D51" s="6"/>
      <c r="E51" s="9"/>
      <c r="F51" s="9"/>
      <c r="G51" s="11"/>
      <c r="H51" s="5"/>
      <c r="I51" s="6"/>
      <c r="K51" s="6"/>
      <c r="L51" s="6"/>
      <c r="M51" s="6"/>
      <c r="N51" s="6"/>
      <c r="O51" s="6"/>
      <c r="P51" s="6"/>
      <c r="Q51" s="6"/>
      <c r="R51" s="6"/>
      <c r="S51" s="6"/>
      <c r="T51" s="6"/>
      <c r="U51" s="6"/>
      <c r="V51" s="6"/>
      <c r="W51" s="6"/>
      <c r="X51" s="6"/>
      <c r="Y51" s="6"/>
    </row>
    <row r="52" spans="1:25" ht="12.75" x14ac:dyDescent="0.2">
      <c r="A52" s="10"/>
      <c r="B52" s="1"/>
      <c r="D52" s="6"/>
      <c r="E52" s="9"/>
      <c r="F52" s="9"/>
      <c r="G52" s="11"/>
      <c r="H52" s="5"/>
      <c r="I52" s="6"/>
      <c r="K52" s="6"/>
      <c r="L52" s="6"/>
      <c r="M52" s="6"/>
      <c r="N52" s="6"/>
      <c r="O52" s="6"/>
      <c r="P52" s="6"/>
      <c r="Q52" s="6"/>
      <c r="R52" s="5"/>
      <c r="S52" s="6"/>
      <c r="T52" s="6"/>
      <c r="U52" s="6"/>
      <c r="V52" s="6"/>
      <c r="W52" s="6"/>
      <c r="X52" s="6"/>
      <c r="Y52" s="6"/>
    </row>
    <row r="53" spans="1:25" ht="12.75" x14ac:dyDescent="0.2">
      <c r="A53" s="10"/>
      <c r="B53" s="1"/>
      <c r="D53" s="6"/>
      <c r="E53" s="9"/>
      <c r="F53" s="9"/>
      <c r="G53" s="11"/>
      <c r="H53" s="5"/>
      <c r="I53" s="6"/>
      <c r="K53" s="6"/>
      <c r="L53" s="6"/>
      <c r="M53" s="6"/>
      <c r="N53" s="9"/>
      <c r="O53" s="9"/>
      <c r="P53" s="9"/>
      <c r="Q53" s="9"/>
      <c r="R53" s="6"/>
      <c r="S53" s="6"/>
      <c r="T53" s="6"/>
      <c r="U53" s="6"/>
      <c r="V53" s="6"/>
      <c r="W53" s="6"/>
      <c r="X53" s="6"/>
      <c r="Y53" s="6"/>
    </row>
    <row r="54" spans="1:25" ht="12.75" x14ac:dyDescent="0.2">
      <c r="A54" s="10"/>
      <c r="B54" s="1"/>
      <c r="D54" s="6"/>
      <c r="E54" s="9"/>
      <c r="F54" s="9"/>
      <c r="G54" s="11"/>
      <c r="H54" s="5"/>
      <c r="I54" s="6"/>
      <c r="K54" s="6"/>
      <c r="L54" s="6"/>
      <c r="M54" s="6"/>
      <c r="N54" s="6"/>
      <c r="O54" s="6"/>
      <c r="P54" s="6"/>
      <c r="Q54" s="6"/>
      <c r="R54" s="6"/>
      <c r="S54" s="6"/>
      <c r="T54" s="6"/>
      <c r="U54" s="6"/>
      <c r="V54" s="6"/>
      <c r="W54" s="6"/>
      <c r="X54" s="6"/>
      <c r="Y54" s="6"/>
    </row>
    <row r="55" spans="1:25" ht="12.75" x14ac:dyDescent="0.2">
      <c r="A55" s="10"/>
      <c r="B55" s="1"/>
      <c r="D55" s="6"/>
      <c r="E55" s="9"/>
      <c r="F55" s="9"/>
      <c r="G55" s="11"/>
      <c r="H55" s="5"/>
      <c r="I55" s="6"/>
      <c r="K55" s="6"/>
      <c r="L55" s="6"/>
      <c r="M55" s="6"/>
      <c r="N55" s="6"/>
      <c r="O55" s="6"/>
      <c r="P55" s="6"/>
      <c r="Q55" s="6"/>
      <c r="R55" s="6"/>
      <c r="S55" s="6"/>
      <c r="T55" s="6"/>
      <c r="U55" s="6"/>
      <c r="V55" s="6"/>
      <c r="W55" s="6"/>
      <c r="X55" s="6"/>
      <c r="Y55" s="6"/>
    </row>
    <row r="56" spans="1:25" ht="12.75" x14ac:dyDescent="0.2">
      <c r="A56" s="10"/>
      <c r="B56" s="1"/>
      <c r="D56" s="6"/>
      <c r="E56" s="9"/>
      <c r="F56" s="9"/>
      <c r="G56" s="11"/>
      <c r="H56" s="5"/>
      <c r="I56" s="6"/>
      <c r="K56" s="6"/>
      <c r="L56" s="6"/>
      <c r="M56" s="6"/>
      <c r="N56" s="6"/>
      <c r="O56" s="6"/>
      <c r="P56" s="6"/>
      <c r="Q56" s="6"/>
      <c r="R56" s="6"/>
      <c r="S56" s="6"/>
      <c r="T56" s="6"/>
      <c r="U56" s="6"/>
      <c r="V56" s="6"/>
      <c r="W56" s="6"/>
      <c r="X56" s="6"/>
      <c r="Y56" s="6"/>
    </row>
    <row r="57" spans="1:25" ht="12.75" x14ac:dyDescent="0.2">
      <c r="A57" s="10"/>
      <c r="B57" s="1"/>
      <c r="D57" s="6"/>
      <c r="E57" s="9"/>
      <c r="F57" s="9"/>
      <c r="G57" s="11"/>
      <c r="H57" s="5"/>
      <c r="I57" s="6"/>
      <c r="K57" s="6"/>
      <c r="L57" s="6"/>
      <c r="M57" s="6"/>
      <c r="N57" s="6"/>
      <c r="O57" s="6"/>
      <c r="P57" s="6"/>
      <c r="Q57" s="6"/>
      <c r="R57" s="6"/>
      <c r="S57" s="6"/>
      <c r="T57" s="6"/>
      <c r="U57" s="6"/>
      <c r="V57" s="6"/>
      <c r="W57" s="6"/>
      <c r="X57" s="6"/>
      <c r="Y57" s="6"/>
    </row>
    <row r="58" spans="1:25" ht="12.75" x14ac:dyDescent="0.2">
      <c r="A58" s="10"/>
      <c r="B58" s="6"/>
      <c r="C58" s="6"/>
      <c r="D58" s="6"/>
      <c r="E58" s="9"/>
      <c r="F58" s="9"/>
      <c r="G58" s="11"/>
      <c r="H58" s="5"/>
      <c r="I58" s="6"/>
      <c r="J58" s="6"/>
      <c r="K58" s="6"/>
      <c r="L58" s="6"/>
      <c r="M58" s="6"/>
      <c r="N58" s="6"/>
      <c r="O58" s="6"/>
      <c r="P58" s="6"/>
      <c r="Q58" s="6"/>
      <c r="R58" s="6"/>
      <c r="S58" s="6"/>
      <c r="T58" s="6"/>
      <c r="U58" s="6"/>
      <c r="V58" s="6"/>
      <c r="W58" s="6"/>
      <c r="X58" s="6"/>
      <c r="Y58" s="6"/>
    </row>
    <row r="59" spans="1:25" ht="12.75" x14ac:dyDescent="0.2">
      <c r="A59" s="10"/>
      <c r="B59" s="6"/>
      <c r="C59" s="6"/>
      <c r="D59" s="6"/>
      <c r="E59" s="9"/>
      <c r="F59" s="9"/>
      <c r="G59" s="11"/>
      <c r="H59" s="5"/>
      <c r="I59" s="6"/>
      <c r="J59" s="6"/>
      <c r="K59" s="6"/>
      <c r="L59" s="6"/>
      <c r="M59" s="6"/>
      <c r="N59" s="6"/>
      <c r="O59" s="6"/>
      <c r="P59" s="6"/>
      <c r="Q59" s="6"/>
      <c r="R59" s="6"/>
      <c r="S59" s="6"/>
      <c r="T59" s="6"/>
      <c r="U59" s="6"/>
      <c r="V59" s="6"/>
      <c r="W59" s="6"/>
      <c r="X59" s="6"/>
      <c r="Y59" s="6"/>
    </row>
    <row r="60" spans="1:25" ht="12.75" x14ac:dyDescent="0.2">
      <c r="A60" s="10"/>
      <c r="B60" s="6"/>
      <c r="C60" s="6"/>
      <c r="D60" s="6"/>
      <c r="E60" s="9"/>
      <c r="F60" s="9"/>
      <c r="G60" s="11"/>
      <c r="H60" s="5"/>
      <c r="I60" s="6"/>
      <c r="J60" s="6"/>
      <c r="K60" s="6"/>
      <c r="L60" s="6"/>
      <c r="M60" s="6"/>
      <c r="N60" s="6"/>
      <c r="O60" s="6"/>
      <c r="P60" s="6"/>
      <c r="Q60" s="6"/>
      <c r="R60" s="6"/>
      <c r="S60" s="6"/>
      <c r="T60" s="6"/>
      <c r="U60" s="6"/>
      <c r="V60" s="6"/>
      <c r="W60" s="6"/>
      <c r="X60" s="6"/>
      <c r="Y60" s="6"/>
    </row>
    <row r="61" spans="1:25" ht="12.75" x14ac:dyDescent="0.2">
      <c r="A61" s="10"/>
      <c r="B61" s="6"/>
      <c r="C61" s="6"/>
      <c r="D61" s="6"/>
      <c r="E61" s="9"/>
      <c r="F61" s="9"/>
      <c r="G61" s="11"/>
      <c r="H61" s="5"/>
      <c r="I61" s="6"/>
      <c r="J61" s="6"/>
      <c r="K61" s="6"/>
      <c r="L61" s="6"/>
      <c r="M61" s="6"/>
      <c r="N61" s="6"/>
      <c r="O61" s="6"/>
      <c r="P61" s="6"/>
      <c r="Q61" s="6"/>
      <c r="R61" s="6"/>
      <c r="S61" s="6"/>
      <c r="T61" s="6"/>
      <c r="U61" s="6"/>
      <c r="V61" s="6"/>
      <c r="W61" s="6"/>
      <c r="X61" s="6"/>
      <c r="Y61" s="6"/>
    </row>
    <row r="62" spans="1:25" ht="12.75" x14ac:dyDescent="0.2">
      <c r="A62" s="10"/>
      <c r="B62" s="6"/>
      <c r="C62" s="6"/>
      <c r="D62" s="6"/>
      <c r="E62" s="9"/>
      <c r="F62" s="9"/>
      <c r="G62" s="11"/>
      <c r="H62" s="5"/>
      <c r="I62" s="6"/>
      <c r="J62" s="6"/>
      <c r="K62" s="6"/>
      <c r="L62" s="6"/>
      <c r="M62" s="6"/>
      <c r="N62" s="6"/>
      <c r="O62" s="6"/>
      <c r="P62" s="6"/>
      <c r="Q62" s="6"/>
      <c r="R62" s="6"/>
      <c r="S62" s="6"/>
      <c r="T62" s="6"/>
      <c r="U62" s="6"/>
      <c r="V62" s="6"/>
      <c r="W62" s="6"/>
      <c r="X62" s="6"/>
      <c r="Y62" s="6"/>
    </row>
    <row r="63" spans="1:25" ht="12.75" x14ac:dyDescent="0.2">
      <c r="A63" s="10"/>
      <c r="B63" s="6"/>
      <c r="C63" s="6"/>
      <c r="D63" s="6"/>
      <c r="E63" s="9"/>
      <c r="F63" s="9"/>
      <c r="G63" s="11"/>
      <c r="H63" s="5"/>
      <c r="I63" s="6"/>
      <c r="J63" s="6"/>
      <c r="K63" s="6"/>
      <c r="L63" s="6"/>
      <c r="M63" s="6"/>
      <c r="N63" s="6"/>
      <c r="O63" s="6"/>
      <c r="P63" s="6"/>
      <c r="Q63" s="6"/>
      <c r="R63" s="6"/>
      <c r="S63" s="6"/>
      <c r="T63" s="6"/>
      <c r="U63" s="6"/>
      <c r="V63" s="6"/>
      <c r="W63" s="6"/>
      <c r="X63" s="6"/>
      <c r="Y63" s="6"/>
    </row>
    <row r="64" spans="1:25" ht="12.75" x14ac:dyDescent="0.2">
      <c r="A64" s="10"/>
      <c r="B64" s="6"/>
      <c r="C64" s="6"/>
      <c r="D64" s="6"/>
      <c r="E64" s="9"/>
      <c r="F64" s="9"/>
      <c r="G64" s="11"/>
      <c r="H64" s="5"/>
      <c r="I64" s="6"/>
      <c r="J64" s="6"/>
      <c r="K64" s="6"/>
      <c r="L64" s="6"/>
      <c r="M64" s="6"/>
      <c r="N64" s="6"/>
      <c r="O64" s="6"/>
      <c r="P64" s="6"/>
      <c r="Q64" s="6"/>
      <c r="R64" s="6"/>
      <c r="S64" s="6"/>
      <c r="T64" s="6"/>
      <c r="U64" s="6"/>
      <c r="V64" s="6"/>
      <c r="W64" s="6"/>
      <c r="X64" s="6"/>
      <c r="Y64" s="6"/>
    </row>
    <row r="65" spans="1:25" ht="12.75" x14ac:dyDescent="0.2">
      <c r="A65" s="10"/>
      <c r="B65" s="6"/>
      <c r="C65" s="6"/>
      <c r="D65" s="6"/>
      <c r="E65" s="9"/>
      <c r="F65" s="9"/>
      <c r="G65" s="11"/>
      <c r="H65" s="5"/>
      <c r="I65" s="6"/>
      <c r="J65" s="6"/>
      <c r="K65" s="6"/>
      <c r="L65" s="6"/>
      <c r="M65" s="6"/>
      <c r="N65" s="6"/>
      <c r="O65" s="6"/>
      <c r="P65" s="6"/>
      <c r="Q65" s="6"/>
      <c r="R65" s="6"/>
      <c r="S65" s="6"/>
      <c r="T65" s="6"/>
      <c r="U65" s="6"/>
      <c r="V65" s="6"/>
      <c r="W65" s="6"/>
      <c r="X65" s="6"/>
      <c r="Y65" s="6"/>
    </row>
    <row r="66" spans="1:25" ht="12.75" x14ac:dyDescent="0.2">
      <c r="A66" s="10"/>
      <c r="B66" s="6"/>
      <c r="C66" s="6"/>
      <c r="D66" s="6"/>
      <c r="E66" s="9"/>
      <c r="F66" s="9"/>
      <c r="G66" s="11"/>
      <c r="H66" s="5"/>
      <c r="I66" s="6"/>
      <c r="J66" s="6"/>
      <c r="K66" s="6"/>
      <c r="L66" s="6"/>
      <c r="M66" s="6"/>
      <c r="N66" s="6"/>
      <c r="O66" s="6"/>
      <c r="P66" s="6"/>
      <c r="Q66" s="6"/>
      <c r="R66" s="6"/>
      <c r="S66" s="6"/>
      <c r="T66" s="6"/>
      <c r="U66" s="6"/>
      <c r="V66" s="6"/>
      <c r="W66" s="6"/>
      <c r="X66" s="6"/>
      <c r="Y66" s="6"/>
    </row>
    <row r="67" spans="1:25" ht="12.75" x14ac:dyDescent="0.2">
      <c r="A67" s="10"/>
      <c r="B67" s="6"/>
      <c r="C67" s="6"/>
      <c r="D67" s="6"/>
      <c r="E67" s="9"/>
      <c r="F67" s="9"/>
      <c r="G67" s="11"/>
      <c r="H67" s="5"/>
      <c r="I67" s="6"/>
      <c r="J67" s="6"/>
      <c r="K67" s="6"/>
      <c r="L67" s="6"/>
      <c r="M67" s="6"/>
      <c r="N67" s="6"/>
      <c r="O67" s="6"/>
      <c r="P67" s="6"/>
      <c r="Q67" s="6"/>
      <c r="R67" s="6"/>
      <c r="S67" s="6"/>
      <c r="T67" s="6"/>
      <c r="U67" s="6"/>
      <c r="V67" s="6"/>
      <c r="W67" s="6"/>
      <c r="X67" s="6"/>
      <c r="Y67" s="6"/>
    </row>
    <row r="68" spans="1:25" ht="12.75" x14ac:dyDescent="0.2">
      <c r="A68" s="10"/>
      <c r="B68" s="6"/>
      <c r="C68" s="6"/>
      <c r="D68" s="6"/>
      <c r="E68" s="9"/>
      <c r="F68" s="9"/>
      <c r="G68" s="11"/>
      <c r="H68" s="5"/>
      <c r="I68" s="6"/>
      <c r="J68" s="6"/>
      <c r="K68" s="9"/>
      <c r="L68" s="9"/>
      <c r="M68" s="9"/>
      <c r="N68" s="6"/>
      <c r="O68" s="6"/>
      <c r="P68" s="6"/>
      <c r="Q68" s="6"/>
      <c r="R68" s="6"/>
      <c r="S68" s="5"/>
      <c r="T68" s="5"/>
      <c r="U68" s="5"/>
      <c r="V68" s="5"/>
      <c r="W68" s="9"/>
      <c r="X68" s="5"/>
      <c r="Y68" s="5"/>
    </row>
    <row r="69" spans="1:25" ht="12.75" x14ac:dyDescent="0.2">
      <c r="A69" s="10"/>
      <c r="B69" s="6"/>
      <c r="C69" s="6"/>
      <c r="D69" s="6"/>
      <c r="E69" s="9"/>
      <c r="F69" s="9"/>
      <c r="G69" s="11"/>
      <c r="H69" s="5"/>
      <c r="I69" s="6"/>
      <c r="J69" s="6"/>
      <c r="K69" s="6"/>
      <c r="L69" s="6"/>
      <c r="M69" s="6"/>
      <c r="N69" s="6"/>
      <c r="O69" s="6"/>
      <c r="P69" s="6"/>
      <c r="Q69" s="6"/>
      <c r="R69" s="6"/>
      <c r="S69" s="6"/>
      <c r="T69" s="6"/>
      <c r="U69" s="6"/>
      <c r="V69" s="6"/>
      <c r="W69" s="6"/>
      <c r="X69" s="6"/>
      <c r="Y69" s="6"/>
    </row>
    <row r="70" spans="1:25" ht="12.75" x14ac:dyDescent="0.2">
      <c r="A70" s="10"/>
      <c r="B70" s="6"/>
      <c r="C70" s="6"/>
      <c r="D70" s="6"/>
      <c r="E70" s="9"/>
      <c r="F70" s="9"/>
      <c r="G70" s="11"/>
      <c r="H70" s="5"/>
      <c r="I70" s="6"/>
      <c r="J70" s="6"/>
      <c r="K70" s="6"/>
      <c r="L70" s="6"/>
      <c r="M70" s="6"/>
      <c r="N70" s="6"/>
      <c r="O70" s="6"/>
      <c r="P70" s="6"/>
      <c r="Q70" s="6"/>
      <c r="R70" s="5"/>
      <c r="S70" s="6"/>
      <c r="T70" s="6"/>
      <c r="U70" s="6"/>
      <c r="V70" s="6"/>
      <c r="W70" s="6"/>
      <c r="X70" s="6"/>
      <c r="Y70" s="6"/>
    </row>
    <row r="71" spans="1:25" ht="12.75" x14ac:dyDescent="0.2">
      <c r="A71" s="10"/>
      <c r="B71" s="6"/>
      <c r="C71" s="6"/>
      <c r="D71" s="6"/>
      <c r="E71" s="9"/>
      <c r="F71" s="9"/>
      <c r="G71" s="11"/>
      <c r="H71" s="5"/>
      <c r="I71" s="6"/>
      <c r="J71" s="6"/>
      <c r="K71" s="6"/>
      <c r="L71" s="6"/>
      <c r="M71" s="6"/>
      <c r="N71" s="9"/>
      <c r="O71" s="9"/>
      <c r="P71" s="9"/>
      <c r="Q71" s="9"/>
      <c r="R71" s="6"/>
      <c r="S71" s="6"/>
      <c r="T71" s="6"/>
      <c r="U71" s="6"/>
      <c r="V71" s="6"/>
      <c r="W71" s="6"/>
      <c r="X71" s="6"/>
      <c r="Y71" s="6"/>
    </row>
    <row r="72" spans="1:25" ht="12.75" x14ac:dyDescent="0.2">
      <c r="A72" s="10"/>
      <c r="B72" s="6"/>
      <c r="C72" s="6"/>
      <c r="D72" s="6"/>
      <c r="E72" s="9"/>
      <c r="F72" s="9"/>
      <c r="G72" s="11"/>
      <c r="H72" s="5"/>
      <c r="I72" s="6"/>
      <c r="J72" s="6"/>
      <c r="K72" s="6"/>
      <c r="L72" s="6"/>
      <c r="M72" s="6"/>
      <c r="N72" s="6"/>
      <c r="O72" s="6"/>
      <c r="P72" s="6"/>
      <c r="Q72" s="6"/>
      <c r="R72" s="6"/>
      <c r="S72" s="6"/>
      <c r="T72" s="6"/>
      <c r="U72" s="6"/>
      <c r="V72" s="6"/>
      <c r="W72" s="6"/>
      <c r="X72" s="6"/>
      <c r="Y72" s="6"/>
    </row>
    <row r="73" spans="1:25" ht="12.75" x14ac:dyDescent="0.2">
      <c r="A73" s="10"/>
      <c r="B73" s="6"/>
      <c r="C73" s="6"/>
      <c r="D73" s="6"/>
      <c r="E73" s="9"/>
      <c r="F73" s="9"/>
      <c r="G73" s="11"/>
      <c r="H73" s="5"/>
      <c r="I73" s="6"/>
      <c r="J73" s="6"/>
      <c r="K73" s="6"/>
      <c r="L73" s="6"/>
      <c r="M73" s="6"/>
      <c r="N73" s="6"/>
      <c r="O73" s="6"/>
      <c r="P73" s="6"/>
      <c r="Q73" s="6"/>
      <c r="R73" s="6"/>
      <c r="S73" s="6"/>
      <c r="T73" s="6"/>
      <c r="U73" s="6"/>
      <c r="V73" s="6"/>
      <c r="W73" s="6"/>
      <c r="X73" s="6"/>
      <c r="Y73" s="6"/>
    </row>
    <row r="74" spans="1:25" ht="12.75" x14ac:dyDescent="0.2">
      <c r="A74" s="10"/>
      <c r="B74" s="6"/>
      <c r="C74" s="6"/>
      <c r="D74" s="6"/>
      <c r="E74" s="9"/>
      <c r="F74" s="9"/>
      <c r="G74" s="11"/>
      <c r="H74" s="5"/>
      <c r="I74" s="6"/>
      <c r="J74" s="6"/>
      <c r="K74" s="6"/>
      <c r="L74" s="6"/>
      <c r="M74" s="6"/>
      <c r="N74" s="6"/>
      <c r="O74" s="6"/>
      <c r="P74" s="6"/>
      <c r="Q74" s="6"/>
      <c r="R74" s="6"/>
      <c r="S74" s="6"/>
      <c r="T74" s="6"/>
      <c r="U74" s="6"/>
      <c r="V74" s="6"/>
      <c r="W74" s="6"/>
      <c r="X74" s="6"/>
      <c r="Y74" s="6"/>
    </row>
    <row r="75" spans="1:25" ht="12.75" x14ac:dyDescent="0.2">
      <c r="B75" s="6"/>
      <c r="C75" s="6"/>
      <c r="D75" s="6"/>
      <c r="E75" s="9"/>
      <c r="F75" s="9"/>
      <c r="G75" s="11"/>
      <c r="H75" s="5"/>
      <c r="I75" s="6"/>
      <c r="J75" s="6"/>
      <c r="K75" s="6"/>
      <c r="L75" s="6"/>
      <c r="M75" s="6"/>
      <c r="N75" s="6"/>
      <c r="O75" s="6"/>
      <c r="P75" s="6"/>
      <c r="Q75" s="6"/>
      <c r="R75" s="6"/>
      <c r="S75" s="6"/>
      <c r="T75" s="6"/>
      <c r="U75" s="6"/>
      <c r="V75" s="6"/>
      <c r="W75" s="6"/>
      <c r="X75" s="6"/>
      <c r="Y75" s="6"/>
    </row>
    <row r="76" spans="1:25" ht="12.75" x14ac:dyDescent="0.2">
      <c r="B76" s="6"/>
      <c r="C76" s="6"/>
      <c r="D76" s="6"/>
      <c r="E76" s="9"/>
      <c r="F76" s="9"/>
      <c r="G76" s="11"/>
      <c r="H76" s="5"/>
      <c r="K76" s="6"/>
      <c r="L76" s="6"/>
      <c r="M76" s="6"/>
      <c r="N76" s="6"/>
      <c r="O76" s="6"/>
      <c r="P76" s="6"/>
      <c r="Q76" s="6"/>
      <c r="R76" s="6"/>
      <c r="S76" s="6"/>
      <c r="T76" s="6"/>
      <c r="U76" s="6"/>
      <c r="V76" s="6"/>
      <c r="W76" s="6"/>
      <c r="X76" s="6"/>
      <c r="Y76" s="6"/>
    </row>
    <row r="77" spans="1:25" ht="12.75" x14ac:dyDescent="0.2">
      <c r="A77" s="10"/>
      <c r="B77" s="6"/>
      <c r="C77" s="6"/>
      <c r="D77" s="6"/>
      <c r="E77" s="9"/>
      <c r="F77" s="9"/>
      <c r="G77" s="11"/>
      <c r="H77" s="5"/>
      <c r="I77" s="6"/>
      <c r="J77" s="6"/>
      <c r="K77" s="6"/>
      <c r="L77" s="6"/>
      <c r="M77" s="6"/>
      <c r="N77" s="6"/>
      <c r="O77" s="6"/>
      <c r="P77" s="6"/>
      <c r="Q77" s="6"/>
      <c r="R77" s="6"/>
      <c r="S77" s="6"/>
      <c r="T77" s="6"/>
      <c r="U77" s="6"/>
      <c r="V77" s="6"/>
      <c r="W77" s="6"/>
      <c r="X77" s="6"/>
      <c r="Y77" s="6"/>
    </row>
    <row r="78" spans="1:25" ht="12.75" x14ac:dyDescent="0.2">
      <c r="A78" s="10"/>
      <c r="B78" s="6"/>
      <c r="C78" s="6"/>
      <c r="D78" s="6"/>
      <c r="E78" s="9"/>
      <c r="F78" s="9"/>
      <c r="G78" s="11"/>
      <c r="H78" s="5"/>
      <c r="I78" s="6"/>
      <c r="J78" s="6"/>
      <c r="K78" s="6"/>
      <c r="L78" s="6"/>
      <c r="M78" s="6"/>
      <c r="N78" s="6"/>
      <c r="O78" s="6"/>
      <c r="P78" s="6"/>
      <c r="Q78" s="6"/>
      <c r="R78" s="6"/>
      <c r="S78" s="6"/>
      <c r="T78" s="6"/>
      <c r="U78" s="6"/>
      <c r="V78" s="6"/>
      <c r="W78" s="6"/>
      <c r="X78" s="6"/>
      <c r="Y78" s="6"/>
    </row>
    <row r="79" spans="1:25" ht="12.75" x14ac:dyDescent="0.2">
      <c r="A79" s="10"/>
      <c r="B79" s="6"/>
      <c r="C79" s="6"/>
      <c r="D79" s="6"/>
      <c r="E79" s="9"/>
      <c r="F79" s="9"/>
      <c r="G79" s="11"/>
      <c r="H79" s="5"/>
      <c r="I79" s="6"/>
      <c r="J79" s="6"/>
      <c r="K79" s="6"/>
      <c r="L79" s="6"/>
      <c r="M79" s="6"/>
      <c r="N79" s="6"/>
      <c r="O79" s="6"/>
      <c r="P79" s="6"/>
      <c r="Q79" s="6"/>
      <c r="R79" s="6"/>
      <c r="S79" s="6"/>
      <c r="T79" s="6"/>
      <c r="U79" s="6"/>
      <c r="V79" s="6"/>
      <c r="W79" s="6"/>
      <c r="X79" s="6"/>
      <c r="Y79" s="6"/>
    </row>
    <row r="80" spans="1:25" ht="12.75" x14ac:dyDescent="0.2">
      <c r="A80" s="10"/>
      <c r="B80" s="6"/>
      <c r="C80" s="6"/>
      <c r="D80" s="6"/>
      <c r="E80" s="9"/>
      <c r="F80" s="9"/>
      <c r="G80" s="11"/>
      <c r="H80" s="5"/>
      <c r="I80" s="6"/>
      <c r="J80" s="6"/>
      <c r="K80" s="6"/>
      <c r="L80" s="6"/>
      <c r="M80" s="6"/>
      <c r="N80" s="6"/>
      <c r="O80" s="6"/>
      <c r="P80" s="6"/>
      <c r="Q80" s="6"/>
      <c r="R80" s="6"/>
      <c r="S80" s="6"/>
      <c r="T80" s="6"/>
      <c r="U80" s="6"/>
      <c r="V80" s="6"/>
      <c r="W80" s="6"/>
      <c r="X80" s="6"/>
      <c r="Y80" s="6"/>
    </row>
    <row r="81" spans="1:25" ht="12.75" x14ac:dyDescent="0.2">
      <c r="A81" s="10"/>
      <c r="B81" s="6"/>
      <c r="C81" s="6"/>
      <c r="D81" s="6"/>
      <c r="E81" s="9"/>
      <c r="F81" s="9"/>
      <c r="G81" s="11"/>
      <c r="H81" s="5"/>
      <c r="I81" s="6"/>
      <c r="J81" s="6"/>
      <c r="K81" s="6"/>
      <c r="L81" s="6"/>
      <c r="M81" s="6"/>
      <c r="N81" s="6"/>
      <c r="O81" s="6"/>
      <c r="P81" s="6"/>
      <c r="Q81" s="6"/>
      <c r="R81" s="6"/>
      <c r="S81" s="6"/>
      <c r="T81" s="6"/>
      <c r="U81" s="6"/>
      <c r="V81" s="6"/>
      <c r="W81" s="6"/>
      <c r="X81" s="6"/>
      <c r="Y81" s="6"/>
    </row>
    <row r="82" spans="1:25" ht="12.75" x14ac:dyDescent="0.2">
      <c r="A82" s="10"/>
      <c r="B82" s="6"/>
      <c r="C82" s="6"/>
      <c r="D82" s="6"/>
      <c r="E82" s="9"/>
      <c r="F82" s="9"/>
      <c r="G82" s="11"/>
      <c r="H82" s="5"/>
      <c r="I82" s="6"/>
      <c r="J82" s="6"/>
      <c r="K82" s="6"/>
      <c r="L82" s="6"/>
      <c r="M82" s="6"/>
      <c r="N82" s="6"/>
      <c r="O82" s="6"/>
      <c r="P82" s="6"/>
      <c r="Q82" s="6"/>
      <c r="R82" s="6"/>
      <c r="S82" s="6"/>
      <c r="T82" s="6"/>
      <c r="U82" s="6"/>
      <c r="V82" s="6"/>
      <c r="W82" s="6"/>
      <c r="X82" s="6"/>
      <c r="Y82" s="6"/>
    </row>
    <row r="83" spans="1:25" ht="12.75" x14ac:dyDescent="0.2">
      <c r="A83" s="10"/>
      <c r="B83" s="6"/>
      <c r="C83" s="6"/>
      <c r="D83" s="6"/>
      <c r="E83" s="9"/>
      <c r="F83" s="9"/>
      <c r="G83" s="11"/>
      <c r="H83" s="5"/>
      <c r="I83" s="6"/>
      <c r="J83" s="6"/>
      <c r="K83" s="6"/>
      <c r="L83" s="6"/>
      <c r="M83" s="6"/>
      <c r="N83" s="6"/>
      <c r="O83" s="6"/>
      <c r="P83" s="6"/>
      <c r="Q83" s="6"/>
      <c r="R83" s="6"/>
      <c r="S83" s="6"/>
      <c r="T83" s="6"/>
      <c r="U83" s="6"/>
      <c r="V83" s="6"/>
      <c r="W83" s="6"/>
      <c r="X83" s="6"/>
      <c r="Y83" s="6"/>
    </row>
    <row r="84" spans="1:25" ht="12.75" x14ac:dyDescent="0.2">
      <c r="A84" s="10"/>
      <c r="B84" s="6"/>
      <c r="C84" s="6"/>
      <c r="D84" s="6"/>
      <c r="E84" s="9"/>
      <c r="F84" s="9"/>
      <c r="G84" s="11"/>
      <c r="H84" s="5"/>
      <c r="I84" s="6"/>
      <c r="J84" s="6"/>
      <c r="K84" s="6"/>
      <c r="L84" s="6"/>
      <c r="M84" s="6"/>
      <c r="N84" s="6"/>
      <c r="O84" s="6"/>
      <c r="P84" s="6"/>
      <c r="Q84" s="6"/>
      <c r="R84" s="6"/>
      <c r="S84" s="6"/>
      <c r="T84" s="6"/>
      <c r="U84" s="6"/>
      <c r="V84" s="6"/>
      <c r="W84" s="6"/>
      <c r="X84" s="6"/>
      <c r="Y84" s="6"/>
    </row>
    <row r="85" spans="1:25" ht="12.75" x14ac:dyDescent="0.2">
      <c r="A85" s="10"/>
      <c r="B85" s="6"/>
      <c r="C85" s="6"/>
      <c r="D85" s="6"/>
      <c r="E85" s="9"/>
      <c r="F85" s="9"/>
      <c r="G85" s="11"/>
      <c r="H85" s="5"/>
      <c r="I85" s="6"/>
      <c r="J85" s="6"/>
      <c r="K85" s="9"/>
      <c r="L85" s="9"/>
      <c r="M85" s="9"/>
      <c r="N85" s="6"/>
      <c r="O85" s="6"/>
      <c r="P85" s="6"/>
      <c r="Q85" s="6"/>
      <c r="R85" s="6"/>
      <c r="S85" s="5"/>
      <c r="T85" s="5"/>
      <c r="U85" s="5"/>
      <c r="V85" s="5"/>
      <c r="W85" s="9"/>
      <c r="X85" s="5"/>
      <c r="Y85" s="5"/>
    </row>
    <row r="86" spans="1:25" ht="12.75" x14ac:dyDescent="0.2">
      <c r="A86" s="10"/>
      <c r="B86" s="6"/>
      <c r="C86" s="6"/>
      <c r="D86" s="6"/>
      <c r="E86" s="9"/>
      <c r="F86" s="9"/>
      <c r="G86" s="11"/>
      <c r="H86" s="5"/>
      <c r="I86" s="6"/>
      <c r="J86" s="6"/>
      <c r="K86" s="6"/>
      <c r="L86" s="6"/>
      <c r="M86" s="6"/>
      <c r="N86" s="6"/>
      <c r="O86" s="6"/>
      <c r="P86" s="6"/>
      <c r="Q86" s="6"/>
      <c r="R86" s="6"/>
      <c r="S86" s="6"/>
      <c r="T86" s="6"/>
      <c r="U86" s="6"/>
      <c r="V86" s="6"/>
      <c r="W86" s="6"/>
      <c r="X86" s="6"/>
      <c r="Y86" s="6"/>
    </row>
    <row r="87" spans="1:25" ht="12.75" x14ac:dyDescent="0.2">
      <c r="A87" s="10"/>
      <c r="B87" s="6"/>
      <c r="C87" s="6"/>
      <c r="D87" s="6"/>
      <c r="E87" s="9"/>
      <c r="F87" s="9"/>
      <c r="G87" s="11"/>
      <c r="H87" s="5"/>
      <c r="I87" s="6"/>
      <c r="J87" s="6"/>
      <c r="K87" s="6"/>
      <c r="L87" s="6"/>
      <c r="M87" s="6"/>
      <c r="N87" s="6"/>
      <c r="O87" s="6"/>
      <c r="P87" s="6"/>
      <c r="Q87" s="6"/>
      <c r="R87" s="5"/>
      <c r="S87" s="6"/>
      <c r="T87" s="6"/>
      <c r="U87" s="6"/>
      <c r="V87" s="6"/>
      <c r="W87" s="6"/>
      <c r="X87" s="6"/>
      <c r="Y87" s="6"/>
    </row>
    <row r="88" spans="1:25" ht="12.75" x14ac:dyDescent="0.2">
      <c r="A88" s="10"/>
      <c r="B88" s="6"/>
      <c r="C88" s="6"/>
      <c r="D88" s="6"/>
      <c r="E88" s="9"/>
      <c r="F88" s="9"/>
      <c r="G88" s="11"/>
      <c r="H88" s="5"/>
      <c r="I88" s="6"/>
      <c r="J88" s="6"/>
      <c r="K88" s="6"/>
      <c r="L88" s="6"/>
      <c r="M88" s="6"/>
      <c r="N88" s="9"/>
      <c r="O88" s="9"/>
      <c r="P88" s="9"/>
      <c r="Q88" s="9"/>
      <c r="R88" s="6"/>
      <c r="S88" s="6"/>
      <c r="T88" s="6"/>
      <c r="U88" s="6"/>
      <c r="V88" s="6"/>
      <c r="W88" s="6"/>
      <c r="X88" s="6"/>
      <c r="Y88" s="6"/>
    </row>
    <row r="89" spans="1:25" ht="12.75" x14ac:dyDescent="0.2">
      <c r="A89" s="10"/>
      <c r="B89" s="6"/>
      <c r="C89" s="6"/>
      <c r="D89" s="6"/>
      <c r="E89" s="9"/>
      <c r="F89" s="9"/>
      <c r="G89" s="11"/>
      <c r="H89" s="5"/>
      <c r="I89" s="6"/>
      <c r="J89" s="6"/>
      <c r="K89" s="6"/>
      <c r="L89" s="6"/>
      <c r="M89" s="6"/>
      <c r="N89" s="6"/>
      <c r="O89" s="6"/>
      <c r="P89" s="6"/>
      <c r="Q89" s="6"/>
      <c r="R89" s="6"/>
      <c r="S89" s="6"/>
      <c r="T89" s="6"/>
      <c r="U89" s="6"/>
      <c r="V89" s="6"/>
      <c r="W89" s="6"/>
      <c r="X89" s="6"/>
      <c r="Y89" s="6"/>
    </row>
    <row r="90" spans="1:25" ht="12.75" x14ac:dyDescent="0.2">
      <c r="A90" s="10"/>
      <c r="B90" s="6"/>
      <c r="C90" s="6"/>
      <c r="D90" s="6"/>
      <c r="E90" s="9"/>
      <c r="F90" s="9"/>
      <c r="G90" s="11"/>
      <c r="H90" s="5"/>
      <c r="I90" s="6"/>
      <c r="J90" s="6"/>
      <c r="K90" s="6"/>
      <c r="L90" s="6"/>
      <c r="M90" s="6"/>
      <c r="N90" s="6"/>
      <c r="O90" s="6"/>
      <c r="P90" s="6"/>
      <c r="Q90" s="6"/>
      <c r="R90" s="6"/>
      <c r="S90" s="6"/>
      <c r="T90" s="6"/>
      <c r="U90" s="6"/>
      <c r="V90" s="6"/>
      <c r="W90" s="6"/>
      <c r="X90" s="6"/>
      <c r="Y90" s="6"/>
    </row>
    <row r="91" spans="1:25" ht="12.75" x14ac:dyDescent="0.2">
      <c r="A91" s="10"/>
      <c r="B91" s="6"/>
      <c r="C91" s="6"/>
      <c r="D91" s="6"/>
      <c r="E91" s="9"/>
      <c r="F91" s="9"/>
      <c r="G91" s="11"/>
      <c r="H91" s="5"/>
      <c r="I91" s="6"/>
      <c r="J91" s="6"/>
      <c r="K91" s="6"/>
      <c r="L91" s="6"/>
      <c r="M91" s="6"/>
      <c r="N91" s="6"/>
      <c r="O91" s="6"/>
      <c r="P91" s="6"/>
      <c r="Q91" s="6"/>
      <c r="R91" s="6"/>
      <c r="S91" s="6"/>
      <c r="T91" s="6"/>
      <c r="U91" s="6"/>
      <c r="V91" s="6"/>
      <c r="W91" s="6"/>
      <c r="X91" s="6"/>
      <c r="Y91" s="6"/>
    </row>
    <row r="92" spans="1:25" ht="12.75" x14ac:dyDescent="0.2">
      <c r="B92" s="6"/>
      <c r="C92" s="6"/>
      <c r="D92" s="6"/>
      <c r="E92" s="9"/>
      <c r="F92" s="9"/>
      <c r="G92" s="11"/>
      <c r="H92" s="5"/>
      <c r="I92" s="6"/>
      <c r="J92" s="6"/>
      <c r="K92" s="6"/>
      <c r="L92" s="6"/>
      <c r="M92" s="6"/>
      <c r="N92" s="6"/>
      <c r="O92" s="6"/>
      <c r="P92" s="6"/>
      <c r="Q92" s="6"/>
      <c r="R92" s="6"/>
      <c r="S92" s="6"/>
      <c r="T92" s="6"/>
      <c r="U92" s="6"/>
      <c r="V92" s="6"/>
      <c r="W92" s="6"/>
      <c r="X92" s="6"/>
      <c r="Y92" s="6"/>
    </row>
    <row r="93" spans="1:25" ht="12.75" x14ac:dyDescent="0.2">
      <c r="A93" s="10"/>
      <c r="B93" s="6"/>
      <c r="C93" s="6"/>
      <c r="D93" s="6"/>
      <c r="E93" s="9"/>
      <c r="F93" s="9"/>
      <c r="G93" s="11"/>
      <c r="H93" s="5"/>
      <c r="I93" s="6"/>
      <c r="J93" s="6"/>
      <c r="K93" s="6"/>
      <c r="L93" s="6"/>
      <c r="M93" s="6"/>
      <c r="N93" s="6"/>
      <c r="O93" s="6"/>
      <c r="P93" s="6"/>
      <c r="Q93" s="6"/>
      <c r="R93" s="6"/>
      <c r="S93" s="6"/>
      <c r="T93" s="6"/>
      <c r="U93" s="6"/>
      <c r="V93" s="6"/>
      <c r="W93" s="6"/>
      <c r="X93" s="6"/>
      <c r="Y93" s="6"/>
    </row>
    <row r="94" spans="1:25" ht="12.75" x14ac:dyDescent="0.2">
      <c r="A94" s="10"/>
      <c r="B94" s="6"/>
      <c r="C94" s="6"/>
      <c r="D94" s="6"/>
      <c r="E94" s="9"/>
      <c r="F94" s="9"/>
      <c r="G94" s="11"/>
      <c r="H94" s="5"/>
      <c r="I94" s="6"/>
      <c r="J94" s="6"/>
      <c r="K94" s="6"/>
      <c r="L94" s="6"/>
      <c r="M94" s="6"/>
      <c r="N94" s="6"/>
      <c r="O94" s="6"/>
      <c r="P94" s="6"/>
      <c r="Q94" s="6"/>
      <c r="R94" s="6"/>
      <c r="S94" s="6"/>
      <c r="T94" s="6"/>
      <c r="U94" s="6"/>
      <c r="V94" s="6"/>
      <c r="W94" s="6"/>
      <c r="X94" s="6"/>
      <c r="Y94" s="6"/>
    </row>
    <row r="95" spans="1:25" ht="12.75" x14ac:dyDescent="0.2">
      <c r="A95" s="10"/>
      <c r="B95" s="6"/>
      <c r="C95" s="6"/>
      <c r="D95" s="6"/>
      <c r="E95" s="9"/>
      <c r="F95" s="9"/>
      <c r="G95" s="11"/>
      <c r="H95" s="5"/>
      <c r="I95" s="6"/>
      <c r="J95" s="6"/>
      <c r="K95" s="6"/>
      <c r="L95" s="6"/>
      <c r="M95" s="6"/>
      <c r="N95" s="6"/>
      <c r="O95" s="6"/>
      <c r="P95" s="6"/>
      <c r="Q95" s="6"/>
      <c r="R95" s="6"/>
      <c r="S95" s="6"/>
      <c r="T95" s="6"/>
      <c r="U95" s="6"/>
      <c r="V95" s="6"/>
      <c r="W95" s="6"/>
      <c r="X95" s="6"/>
      <c r="Y95" s="6"/>
    </row>
    <row r="96" spans="1:25" ht="12.75" x14ac:dyDescent="0.2">
      <c r="A96" s="10"/>
      <c r="B96" s="6"/>
      <c r="C96" s="6"/>
      <c r="D96" s="6"/>
      <c r="E96" s="9"/>
      <c r="F96" s="9"/>
      <c r="G96" s="11"/>
      <c r="H96" s="5"/>
      <c r="I96" s="6"/>
      <c r="J96" s="6"/>
      <c r="K96" s="6"/>
      <c r="L96" s="6"/>
      <c r="M96" s="6"/>
      <c r="N96" s="6"/>
      <c r="O96" s="6"/>
      <c r="P96" s="6"/>
      <c r="Q96" s="6"/>
      <c r="R96" s="6"/>
      <c r="S96" s="6"/>
      <c r="T96" s="6"/>
      <c r="U96" s="6"/>
      <c r="V96" s="6"/>
      <c r="W96" s="6"/>
      <c r="X96" s="6"/>
      <c r="Y96" s="6"/>
    </row>
    <row r="97" spans="1:25" ht="12.75" x14ac:dyDescent="0.2">
      <c r="A97" s="10"/>
      <c r="B97" s="6"/>
      <c r="C97" s="6"/>
      <c r="D97" s="6"/>
      <c r="E97" s="9"/>
      <c r="F97" s="9"/>
      <c r="G97" s="11"/>
      <c r="H97" s="5"/>
      <c r="I97" s="6"/>
      <c r="J97" s="6"/>
      <c r="K97" s="6"/>
      <c r="L97" s="6"/>
      <c r="M97" s="6"/>
      <c r="N97" s="6"/>
      <c r="O97" s="6"/>
      <c r="P97" s="6"/>
      <c r="Q97" s="6"/>
      <c r="R97" s="6"/>
      <c r="S97" s="6"/>
      <c r="T97" s="6"/>
      <c r="U97" s="6"/>
      <c r="V97" s="6"/>
      <c r="W97" s="6"/>
      <c r="X97" s="6"/>
      <c r="Y97" s="6"/>
    </row>
    <row r="98" spans="1:25" ht="12.75" x14ac:dyDescent="0.2">
      <c r="A98" s="10"/>
      <c r="B98" s="6"/>
      <c r="C98" s="6"/>
      <c r="D98" s="6"/>
      <c r="E98" s="9"/>
      <c r="F98" s="9"/>
      <c r="G98" s="11"/>
      <c r="H98" s="5"/>
      <c r="I98" s="6"/>
      <c r="J98" s="6"/>
      <c r="K98" s="6"/>
      <c r="L98" s="6"/>
      <c r="M98" s="6"/>
      <c r="N98" s="6"/>
      <c r="O98" s="6"/>
      <c r="P98" s="6"/>
      <c r="Q98" s="6"/>
      <c r="R98" s="6"/>
      <c r="S98" s="6"/>
      <c r="T98" s="6"/>
      <c r="U98" s="6"/>
      <c r="V98" s="6"/>
      <c r="W98" s="6"/>
      <c r="X98" s="6"/>
      <c r="Y98" s="6"/>
    </row>
    <row r="99" spans="1:25" ht="12.75" x14ac:dyDescent="0.2">
      <c r="A99" s="10"/>
      <c r="B99" s="6"/>
      <c r="C99" s="6"/>
      <c r="D99" s="6"/>
      <c r="E99" s="9"/>
      <c r="F99" s="9"/>
      <c r="G99" s="11"/>
      <c r="H99" s="5"/>
      <c r="I99" s="6"/>
      <c r="J99" s="6"/>
      <c r="K99" s="6"/>
      <c r="L99" s="6"/>
      <c r="M99" s="6"/>
      <c r="N99" s="6"/>
      <c r="O99" s="6"/>
      <c r="P99" s="6"/>
      <c r="Q99" s="6"/>
      <c r="R99" s="6"/>
      <c r="S99" s="6"/>
      <c r="T99" s="6"/>
      <c r="U99" s="6"/>
      <c r="V99" s="6"/>
      <c r="W99" s="6"/>
      <c r="X99" s="6"/>
      <c r="Y99" s="6"/>
    </row>
    <row r="100" spans="1:25" ht="12.75" x14ac:dyDescent="0.2">
      <c r="A100" s="10"/>
      <c r="B100" s="6"/>
      <c r="C100" s="6"/>
      <c r="D100" s="6"/>
      <c r="E100" s="9"/>
      <c r="F100" s="9"/>
      <c r="G100" s="11"/>
      <c r="H100" s="5"/>
      <c r="I100" s="6"/>
      <c r="J100" s="6"/>
      <c r="K100" s="6"/>
      <c r="L100" s="6"/>
      <c r="M100" s="6"/>
      <c r="N100" s="6"/>
      <c r="O100" s="6"/>
      <c r="P100" s="6"/>
      <c r="Q100" s="6"/>
      <c r="R100" s="6"/>
      <c r="S100" s="6"/>
      <c r="T100" s="6"/>
      <c r="U100" s="6"/>
      <c r="V100" s="6"/>
      <c r="W100" s="6"/>
      <c r="X100" s="6"/>
      <c r="Y100" s="6"/>
    </row>
    <row r="101" spans="1:25" ht="12.75" x14ac:dyDescent="0.2">
      <c r="A101" s="10"/>
      <c r="B101" s="6"/>
      <c r="C101" s="6"/>
      <c r="D101" s="6"/>
      <c r="E101" s="9"/>
      <c r="F101" s="9"/>
      <c r="G101" s="11"/>
      <c r="H101" s="5"/>
      <c r="I101" s="6"/>
      <c r="J101" s="6"/>
      <c r="K101" s="6"/>
      <c r="L101" s="6"/>
      <c r="M101" s="6"/>
      <c r="N101" s="6"/>
      <c r="O101" s="6"/>
      <c r="P101" s="6"/>
      <c r="Q101" s="6"/>
      <c r="R101" s="6"/>
      <c r="S101" s="6"/>
      <c r="T101" s="6"/>
      <c r="U101" s="6"/>
      <c r="V101" s="6"/>
      <c r="W101" s="6"/>
      <c r="X101" s="6"/>
      <c r="Y101" s="6"/>
    </row>
    <row r="102" spans="1:25" ht="12.75" x14ac:dyDescent="0.2">
      <c r="A102" s="10"/>
      <c r="B102" s="6"/>
      <c r="C102" s="6"/>
      <c r="D102" s="6"/>
      <c r="E102" s="9"/>
      <c r="F102" s="9"/>
      <c r="G102" s="11"/>
      <c r="H102" s="5"/>
      <c r="I102" s="6"/>
      <c r="J102" s="6"/>
      <c r="N102" s="6"/>
      <c r="O102" s="6"/>
      <c r="P102" s="6"/>
      <c r="Q102" s="6"/>
      <c r="R102" s="6"/>
    </row>
    <row r="103" spans="1:25" ht="12.75" x14ac:dyDescent="0.2">
      <c r="A103" s="10"/>
      <c r="B103" s="6"/>
      <c r="C103" s="6"/>
      <c r="D103" s="6"/>
      <c r="E103" s="9"/>
      <c r="F103" s="9"/>
      <c r="G103" s="11"/>
      <c r="H103" s="5"/>
      <c r="I103" s="6"/>
      <c r="J103" s="6"/>
      <c r="K103" s="6"/>
      <c r="L103" s="6"/>
      <c r="M103" s="6"/>
      <c r="N103" s="6"/>
      <c r="O103" s="6"/>
      <c r="P103" s="6"/>
      <c r="Q103" s="6"/>
      <c r="R103" s="6"/>
      <c r="S103" s="6"/>
      <c r="T103" s="6"/>
      <c r="U103" s="6"/>
      <c r="V103" s="6"/>
      <c r="W103" s="6"/>
      <c r="X103" s="6"/>
      <c r="Y103" s="6"/>
    </row>
    <row r="104" spans="1:25" ht="12.75" x14ac:dyDescent="0.2">
      <c r="A104" s="10"/>
      <c r="B104" s="6"/>
      <c r="C104" s="6"/>
      <c r="D104" s="6"/>
      <c r="E104" s="9"/>
      <c r="F104" s="9"/>
      <c r="G104" s="11"/>
      <c r="H104" s="5"/>
      <c r="I104" s="6"/>
      <c r="J104" s="6"/>
      <c r="N104" s="6"/>
      <c r="O104" s="6"/>
      <c r="P104" s="6"/>
      <c r="Q104" s="6"/>
    </row>
    <row r="105" spans="1:25" ht="12.75" x14ac:dyDescent="0.2">
      <c r="A105" s="10"/>
      <c r="B105" s="6"/>
      <c r="C105" s="6"/>
      <c r="D105" s="6"/>
      <c r="E105" s="9"/>
      <c r="F105" s="9"/>
      <c r="G105" s="11"/>
      <c r="H105" s="5"/>
      <c r="I105" s="6"/>
      <c r="J105" s="6"/>
      <c r="K105" s="6"/>
      <c r="L105" s="6"/>
      <c r="M105" s="6"/>
      <c r="R105" s="6"/>
      <c r="S105" s="6"/>
      <c r="T105" s="6"/>
      <c r="U105" s="6"/>
      <c r="V105" s="6"/>
      <c r="W105" s="6"/>
      <c r="X105" s="6"/>
      <c r="Y105" s="6"/>
    </row>
    <row r="106" spans="1:25" ht="12.75" x14ac:dyDescent="0.2">
      <c r="A106" s="10"/>
      <c r="B106" s="6"/>
      <c r="C106" s="6"/>
      <c r="D106" s="6"/>
      <c r="E106" s="9"/>
      <c r="F106" s="9"/>
      <c r="G106" s="11"/>
      <c r="H106" s="5"/>
      <c r="I106" s="6"/>
      <c r="J106" s="6"/>
      <c r="N106" s="6"/>
      <c r="O106" s="6"/>
      <c r="P106" s="6"/>
      <c r="Q106" s="6"/>
    </row>
    <row r="107" spans="1:25" ht="12.75" x14ac:dyDescent="0.2">
      <c r="A107" s="10"/>
      <c r="B107" s="6"/>
      <c r="C107" s="6"/>
      <c r="D107" s="6"/>
      <c r="E107" s="9"/>
      <c r="F107" s="9"/>
      <c r="G107" s="11"/>
      <c r="H107" s="5"/>
      <c r="I107" s="8"/>
      <c r="J107" s="8"/>
      <c r="K107" s="6"/>
      <c r="L107" s="6"/>
      <c r="M107" s="6"/>
      <c r="R107" s="6"/>
      <c r="S107" s="6"/>
      <c r="T107" s="6"/>
      <c r="U107" s="6"/>
      <c r="V107" s="6"/>
      <c r="W107" s="6"/>
      <c r="X107" s="6"/>
      <c r="Y107" s="6"/>
    </row>
    <row r="108" spans="1:25" ht="12.75" x14ac:dyDescent="0.2">
      <c r="A108" s="10"/>
      <c r="B108" s="6"/>
      <c r="C108" s="6"/>
      <c r="D108" s="6"/>
      <c r="E108" s="9"/>
      <c r="F108" s="9"/>
      <c r="G108" s="11"/>
      <c r="H108" s="5"/>
      <c r="I108" s="6"/>
      <c r="J108" s="6"/>
      <c r="N108" s="6"/>
      <c r="O108" s="6"/>
      <c r="P108" s="6"/>
      <c r="Q108" s="6"/>
    </row>
    <row r="109" spans="1:25" ht="12.75" x14ac:dyDescent="0.2">
      <c r="A109" s="10"/>
      <c r="B109" s="6"/>
      <c r="C109" s="6"/>
      <c r="D109" s="6"/>
      <c r="E109" s="9"/>
      <c r="F109" s="9"/>
      <c r="G109" s="11"/>
      <c r="H109" s="5"/>
      <c r="I109" s="8"/>
      <c r="J109" s="8"/>
      <c r="R109" s="6"/>
    </row>
    <row r="110" spans="1:25" ht="12.75" x14ac:dyDescent="0.2">
      <c r="B110" s="6"/>
      <c r="C110" s="6"/>
      <c r="D110" s="6"/>
      <c r="E110" s="9"/>
      <c r="F110" s="9"/>
      <c r="G110" s="11"/>
      <c r="H110" s="5"/>
      <c r="I110" s="6"/>
      <c r="J110" s="6"/>
      <c r="N110" s="6"/>
      <c r="O110" s="6"/>
      <c r="P110" s="6"/>
      <c r="Q110" s="6"/>
    </row>
    <row r="111" spans="1:25" ht="12.75" x14ac:dyDescent="0.2">
      <c r="B111" s="6"/>
      <c r="C111" s="6"/>
      <c r="D111" s="6"/>
      <c r="E111" s="9"/>
      <c r="F111" s="9"/>
      <c r="G111" s="11"/>
      <c r="H111" s="5"/>
      <c r="I111" s="8"/>
      <c r="J111" s="8"/>
    </row>
    <row r="112" spans="1:25" ht="12.75" x14ac:dyDescent="0.2">
      <c r="B112" s="6"/>
      <c r="C112" s="6"/>
      <c r="D112" s="6"/>
      <c r="E112" s="9"/>
      <c r="F112" s="9"/>
      <c r="G112" s="11"/>
      <c r="H112" s="5"/>
      <c r="I112" s="6"/>
      <c r="J112" s="6"/>
    </row>
    <row r="113" spans="2:10" ht="12.75" x14ac:dyDescent="0.2">
      <c r="B113" s="6"/>
      <c r="C113" s="6"/>
      <c r="D113" s="6"/>
      <c r="E113" s="9"/>
      <c r="F113" s="9"/>
      <c r="G113" s="11"/>
      <c r="H113" s="5"/>
      <c r="I113" s="8"/>
      <c r="J113" s="8"/>
    </row>
    <row r="114" spans="2:10" ht="12.75" x14ac:dyDescent="0.2">
      <c r="B114" s="6"/>
      <c r="C114" s="6"/>
      <c r="D114" s="6"/>
      <c r="E114" s="9"/>
      <c r="F114" s="9"/>
      <c r="G114" s="11"/>
      <c r="H114" s="5"/>
      <c r="I114" s="8"/>
      <c r="J114" s="8"/>
    </row>
    <row r="115" spans="2:10" ht="12.75" x14ac:dyDescent="0.2">
      <c r="B115" s="6"/>
      <c r="C115" s="6"/>
      <c r="D115" s="6"/>
      <c r="E115" s="9"/>
      <c r="F115" s="9"/>
      <c r="G115" s="11"/>
      <c r="H115" s="5"/>
      <c r="I115" s="8"/>
      <c r="J115" s="8"/>
    </row>
    <row r="116" spans="2:10" ht="12.75" x14ac:dyDescent="0.2">
      <c r="B116" s="6"/>
      <c r="C116" s="6"/>
      <c r="D116" s="6"/>
      <c r="E116" s="9"/>
      <c r="F116" s="9"/>
      <c r="G116" s="11"/>
      <c r="H116" s="5"/>
      <c r="I116" s="8"/>
      <c r="J116" s="8"/>
    </row>
    <row r="117" spans="2:10" ht="12.75" x14ac:dyDescent="0.2">
      <c r="B117" s="6"/>
      <c r="C117" s="6"/>
      <c r="D117" s="6"/>
      <c r="E117" s="9"/>
      <c r="F117" s="9"/>
      <c r="G117" s="11"/>
      <c r="H117" s="5"/>
      <c r="I117" s="8"/>
      <c r="J117" s="8"/>
    </row>
    <row r="118" spans="2:10" ht="12.75" x14ac:dyDescent="0.2">
      <c r="B118" s="6"/>
      <c r="C118" s="6"/>
      <c r="D118" s="6"/>
      <c r="E118" s="9"/>
      <c r="F118" s="9"/>
      <c r="G118" s="11"/>
      <c r="H118" s="5"/>
      <c r="I118" s="8"/>
      <c r="J118" s="8"/>
    </row>
    <row r="119" spans="2:10" ht="12.75" x14ac:dyDescent="0.2">
      <c r="B119" s="6"/>
      <c r="C119" s="6"/>
      <c r="D119" s="6"/>
      <c r="E119" s="9"/>
      <c r="F119" s="9"/>
      <c r="G119" s="11"/>
      <c r="H119" s="5"/>
      <c r="I119" s="8"/>
      <c r="J119" s="8"/>
    </row>
    <row r="120" spans="2:10" ht="12.75" x14ac:dyDescent="0.2">
      <c r="B120" s="6"/>
      <c r="C120" s="6"/>
      <c r="D120" s="6"/>
      <c r="E120" s="9"/>
      <c r="F120" s="9"/>
      <c r="G120" s="11"/>
      <c r="H120" s="5"/>
      <c r="I120" s="8"/>
      <c r="J120" s="8"/>
    </row>
    <row r="121" spans="2:10" ht="12.75" x14ac:dyDescent="0.2">
      <c r="B121" s="6"/>
      <c r="C121" s="6"/>
      <c r="D121" s="6"/>
      <c r="E121" s="9"/>
      <c r="F121" s="9"/>
      <c r="G121" s="11"/>
      <c r="H121" s="5"/>
      <c r="I121" s="8"/>
      <c r="J121" s="8"/>
    </row>
    <row r="122" spans="2:10" ht="12.75" x14ac:dyDescent="0.2">
      <c r="B122" s="6"/>
      <c r="C122" s="6"/>
      <c r="D122" s="6"/>
      <c r="E122" s="9"/>
      <c r="F122" s="9"/>
      <c r="G122" s="11"/>
      <c r="H122" s="5"/>
      <c r="I122" s="8"/>
      <c r="J122" s="8"/>
    </row>
    <row r="123" spans="2:10" ht="12.75" x14ac:dyDescent="0.2">
      <c r="B123" s="6"/>
      <c r="C123" s="6"/>
      <c r="D123" s="6"/>
      <c r="E123" s="9"/>
      <c r="F123" s="9"/>
      <c r="G123" s="11"/>
      <c r="H123" s="5"/>
      <c r="I123" s="8"/>
      <c r="J123" s="8"/>
    </row>
    <row r="124" spans="2:10" ht="12.75" x14ac:dyDescent="0.2">
      <c r="B124" s="6"/>
      <c r="C124" s="6"/>
      <c r="D124" s="6"/>
      <c r="E124" s="9"/>
      <c r="F124" s="9"/>
      <c r="G124" s="11"/>
      <c r="H124" s="5"/>
      <c r="I124" s="8"/>
      <c r="J124" s="8"/>
    </row>
    <row r="125" spans="2:10" ht="12.75" x14ac:dyDescent="0.2">
      <c r="B125" s="6"/>
      <c r="C125" s="6"/>
      <c r="D125" s="6"/>
      <c r="E125" s="9"/>
      <c r="F125" s="9"/>
      <c r="G125" s="11"/>
      <c r="H125" s="5"/>
      <c r="I125" s="8"/>
      <c r="J125" s="8"/>
    </row>
    <row r="126" spans="2:10" ht="12.75" x14ac:dyDescent="0.2">
      <c r="B126" s="6"/>
      <c r="C126" s="6"/>
      <c r="D126" s="6"/>
      <c r="E126" s="9"/>
      <c r="F126" s="9"/>
      <c r="G126" s="11"/>
      <c r="H126" s="5"/>
      <c r="I126" s="8"/>
      <c r="J126" s="8"/>
    </row>
    <row r="127" spans="2:10" ht="12.75" x14ac:dyDescent="0.2">
      <c r="B127" s="6"/>
      <c r="C127" s="6"/>
      <c r="D127" s="6"/>
      <c r="E127" s="9"/>
      <c r="F127" s="9"/>
      <c r="G127" s="11"/>
      <c r="H127" s="5"/>
      <c r="I127" s="8"/>
      <c r="J127" s="8"/>
    </row>
    <row r="128" spans="2:10" ht="12.75" x14ac:dyDescent="0.2">
      <c r="B128" s="6"/>
      <c r="C128" s="6"/>
      <c r="D128" s="6"/>
      <c r="E128" s="9"/>
      <c r="F128" s="9"/>
      <c r="G128" s="11"/>
      <c r="H128" s="5"/>
      <c r="I128" s="8"/>
      <c r="J128" s="8"/>
    </row>
    <row r="129" spans="2:10" ht="12.75" x14ac:dyDescent="0.2">
      <c r="B129" s="6"/>
      <c r="C129" s="6"/>
      <c r="D129" s="6"/>
      <c r="E129" s="9"/>
      <c r="F129" s="9"/>
      <c r="G129" s="11"/>
      <c r="H129" s="5"/>
      <c r="I129" s="8"/>
      <c r="J129" s="8"/>
    </row>
    <row r="130" spans="2:10" ht="12.75" x14ac:dyDescent="0.2">
      <c r="B130" s="6"/>
      <c r="C130" s="6"/>
      <c r="D130" s="6"/>
      <c r="E130" s="9"/>
      <c r="F130" s="9"/>
      <c r="G130" s="11"/>
      <c r="H130" s="5"/>
      <c r="I130" s="8"/>
      <c r="J130" s="8"/>
    </row>
    <row r="131" spans="2:10" ht="12.75" x14ac:dyDescent="0.2">
      <c r="B131" s="6"/>
      <c r="C131" s="6"/>
      <c r="D131" s="6"/>
      <c r="E131" s="9"/>
      <c r="F131" s="9"/>
      <c r="G131" s="11"/>
      <c r="H131" s="5"/>
      <c r="I131" s="8"/>
      <c r="J131" s="8"/>
    </row>
    <row r="132" spans="2:10" ht="12.75" x14ac:dyDescent="0.2">
      <c r="B132" s="6"/>
      <c r="C132" s="6"/>
      <c r="D132" s="6"/>
      <c r="E132" s="9"/>
      <c r="F132" s="9"/>
      <c r="G132" s="11"/>
      <c r="H132" s="5"/>
      <c r="I132" s="8"/>
      <c r="J132" s="8"/>
    </row>
    <row r="133" spans="2:10" ht="12.75" x14ac:dyDescent="0.2">
      <c r="B133" s="6"/>
      <c r="C133" s="6"/>
      <c r="D133" s="6"/>
      <c r="E133" s="9"/>
      <c r="F133" s="9"/>
      <c r="G133" s="11"/>
      <c r="H133" s="5"/>
      <c r="I133" s="8"/>
      <c r="J133" s="8"/>
    </row>
    <row r="134" spans="2:10" ht="12.75" x14ac:dyDescent="0.2">
      <c r="B134" s="6"/>
      <c r="C134" s="6"/>
      <c r="D134" s="6"/>
      <c r="E134" s="9"/>
      <c r="F134" s="9"/>
      <c r="G134" s="11"/>
      <c r="H134" s="5"/>
      <c r="I134" s="8"/>
      <c r="J134" s="8"/>
    </row>
    <row r="135" spans="2:10" ht="12.75" x14ac:dyDescent="0.2">
      <c r="B135" s="6"/>
      <c r="C135" s="6"/>
      <c r="D135" s="6"/>
      <c r="E135" s="9"/>
      <c r="F135" s="9"/>
      <c r="G135" s="11"/>
      <c r="H135" s="5"/>
      <c r="I135" s="8"/>
      <c r="J135" s="8"/>
    </row>
    <row r="136" spans="2:10" ht="12.75" x14ac:dyDescent="0.2">
      <c r="B136" s="6"/>
      <c r="C136" s="6"/>
      <c r="D136" s="6"/>
      <c r="E136" s="9"/>
      <c r="F136" s="9"/>
      <c r="G136" s="11"/>
      <c r="H136" s="5"/>
      <c r="I136" s="8"/>
      <c r="J136" s="8"/>
    </row>
    <row r="137" spans="2:10" ht="12.75" x14ac:dyDescent="0.2">
      <c r="B137" s="6"/>
      <c r="C137" s="6"/>
      <c r="D137" s="6"/>
      <c r="E137" s="9"/>
      <c r="F137" s="9"/>
      <c r="G137" s="11"/>
      <c r="H137" s="5"/>
      <c r="I137" s="8"/>
      <c r="J137" s="8"/>
    </row>
    <row r="138" spans="2:10" ht="12.75" x14ac:dyDescent="0.2">
      <c r="B138" s="6"/>
      <c r="C138" s="6"/>
      <c r="D138" s="6"/>
      <c r="E138" s="9"/>
      <c r="F138" s="9"/>
      <c r="G138" s="11"/>
      <c r="H138" s="5"/>
      <c r="I138" s="8"/>
      <c r="J138" s="8"/>
    </row>
    <row r="139" spans="2:10" ht="12.75" x14ac:dyDescent="0.2">
      <c r="B139" s="6"/>
      <c r="C139" s="6"/>
      <c r="D139" s="6"/>
      <c r="E139" s="9"/>
      <c r="F139" s="9"/>
      <c r="G139" s="11"/>
      <c r="H139" s="5"/>
      <c r="I139" s="8"/>
      <c r="J139" s="8"/>
    </row>
    <row r="140" spans="2:10" ht="12.75" x14ac:dyDescent="0.2">
      <c r="B140" s="6"/>
      <c r="C140" s="6"/>
      <c r="D140" s="6"/>
      <c r="E140" s="9"/>
      <c r="F140" s="9"/>
      <c r="G140" s="11"/>
      <c r="H140" s="5"/>
      <c r="I140" s="8"/>
      <c r="J140" s="8"/>
    </row>
    <row r="141" spans="2:10" ht="12.75" x14ac:dyDescent="0.2">
      <c r="B141" s="6"/>
      <c r="C141" s="6"/>
      <c r="D141" s="6"/>
      <c r="E141" s="9"/>
      <c r="F141" s="9"/>
      <c r="G141" s="11"/>
      <c r="H141" s="5"/>
      <c r="I141" s="8"/>
      <c r="J141" s="8"/>
    </row>
    <row r="142" spans="2:10" ht="12.75" x14ac:dyDescent="0.2">
      <c r="B142" s="6"/>
      <c r="C142" s="6"/>
      <c r="D142" s="6"/>
      <c r="E142" s="9"/>
      <c r="F142" s="9"/>
      <c r="G142" s="11"/>
      <c r="H142" s="5"/>
      <c r="I142" s="8"/>
      <c r="J142" s="8"/>
    </row>
    <row r="143" spans="2:10" ht="12.75" x14ac:dyDescent="0.2">
      <c r="B143" s="6"/>
      <c r="C143" s="6"/>
      <c r="D143" s="6"/>
      <c r="E143" s="9"/>
      <c r="F143" s="9"/>
      <c r="G143" s="11"/>
      <c r="H143" s="5"/>
      <c r="I143" s="8"/>
      <c r="J143" s="8"/>
    </row>
    <row r="144" spans="2:10" ht="12.75" x14ac:dyDescent="0.2">
      <c r="B144" s="6"/>
      <c r="C144" s="6"/>
      <c r="D144" s="6"/>
      <c r="E144" s="9"/>
      <c r="F144" s="9"/>
      <c r="G144" s="11"/>
      <c r="H144" s="5"/>
      <c r="I144" s="8"/>
      <c r="J144" s="8"/>
    </row>
    <row r="145" spans="2:10" ht="12.75" x14ac:dyDescent="0.2">
      <c r="B145" s="6"/>
      <c r="C145" s="6"/>
      <c r="D145" s="6"/>
      <c r="E145" s="9"/>
      <c r="F145" s="9"/>
      <c r="G145" s="11"/>
      <c r="H145" s="5"/>
      <c r="I145" s="8"/>
      <c r="J145" s="8"/>
    </row>
    <row r="146" spans="2:10" ht="12.75" x14ac:dyDescent="0.2">
      <c r="B146" s="6"/>
      <c r="C146" s="6"/>
      <c r="D146" s="6"/>
      <c r="E146" s="9"/>
      <c r="F146" s="9"/>
      <c r="G146" s="11"/>
      <c r="H146" s="5"/>
      <c r="I146" s="8"/>
      <c r="J146" s="8"/>
    </row>
    <row r="147" spans="2:10" ht="12.75" x14ac:dyDescent="0.2">
      <c r="B147" s="6"/>
      <c r="C147" s="6"/>
      <c r="D147" s="6"/>
      <c r="E147" s="9"/>
      <c r="F147" s="9"/>
      <c r="G147" s="11"/>
      <c r="H147" s="5"/>
      <c r="I147" s="8"/>
      <c r="J147" s="8"/>
    </row>
    <row r="148" spans="2:10" ht="12.75" x14ac:dyDescent="0.2">
      <c r="B148" s="6"/>
      <c r="C148" s="6"/>
      <c r="D148" s="6"/>
      <c r="E148" s="9"/>
      <c r="F148" s="9"/>
      <c r="G148" s="11"/>
      <c r="H148" s="5"/>
      <c r="I148" s="8"/>
      <c r="J148" s="8"/>
    </row>
    <row r="149" spans="2:10" ht="12.75" x14ac:dyDescent="0.2">
      <c r="B149" s="6"/>
      <c r="C149" s="6"/>
      <c r="D149" s="6"/>
      <c r="E149" s="9"/>
      <c r="F149" s="9"/>
      <c r="G149" s="11"/>
      <c r="H149" s="5"/>
      <c r="I149" s="8"/>
      <c r="J149" s="8"/>
    </row>
    <row r="150" spans="2:10" ht="12.75" x14ac:dyDescent="0.2">
      <c r="B150" s="6"/>
      <c r="C150" s="6"/>
      <c r="D150" s="6"/>
      <c r="E150" s="9"/>
      <c r="F150" s="9"/>
      <c r="G150" s="11"/>
      <c r="H150" s="5"/>
      <c r="I150" s="8"/>
      <c r="J150" s="8"/>
    </row>
    <row r="151" spans="2:10" ht="12.75" x14ac:dyDescent="0.2">
      <c r="B151" s="6"/>
      <c r="C151" s="6"/>
      <c r="D151" s="6"/>
      <c r="E151" s="9"/>
      <c r="F151" s="9"/>
      <c r="G151" s="11"/>
      <c r="H151" s="5"/>
      <c r="I151" s="8"/>
      <c r="J151" s="8"/>
    </row>
    <row r="152" spans="2:10" ht="12.75" x14ac:dyDescent="0.2">
      <c r="B152" s="6"/>
      <c r="C152" s="6"/>
      <c r="D152" s="6"/>
      <c r="E152" s="9"/>
      <c r="F152" s="9"/>
      <c r="G152" s="11"/>
      <c r="H152" s="5"/>
      <c r="I152" s="8"/>
      <c r="J152" s="8"/>
    </row>
    <row r="153" spans="2:10" ht="12.75" x14ac:dyDescent="0.2">
      <c r="B153" s="6"/>
      <c r="C153" s="6"/>
      <c r="D153" s="6"/>
      <c r="E153" s="9"/>
      <c r="F153" s="9"/>
      <c r="G153" s="11"/>
      <c r="H153" s="5"/>
      <c r="I153" s="8"/>
      <c r="J153" s="8"/>
    </row>
    <row r="154" spans="2:10" ht="12.75" x14ac:dyDescent="0.2">
      <c r="B154" s="6"/>
      <c r="C154" s="6"/>
      <c r="D154" s="6"/>
      <c r="E154" s="9"/>
      <c r="F154" s="9"/>
      <c r="G154" s="11"/>
      <c r="H154" s="5"/>
      <c r="I154" s="8"/>
      <c r="J154" s="8"/>
    </row>
    <row r="155" spans="2:10" ht="12.75" x14ac:dyDescent="0.2">
      <c r="B155" s="6"/>
      <c r="C155" s="6"/>
      <c r="D155" s="6"/>
      <c r="E155" s="9"/>
      <c r="F155" s="9"/>
      <c r="G155" s="11"/>
      <c r="H155" s="5"/>
      <c r="I155" s="8"/>
      <c r="J155" s="8"/>
    </row>
    <row r="156" spans="2:10" ht="12.75" x14ac:dyDescent="0.2">
      <c r="B156" s="6"/>
      <c r="C156" s="6"/>
      <c r="D156" s="6"/>
      <c r="E156" s="9"/>
      <c r="F156" s="9"/>
      <c r="G156" s="11"/>
      <c r="H156" s="5"/>
      <c r="I156" s="8"/>
      <c r="J156" s="8"/>
    </row>
    <row r="157" spans="2:10" ht="12.75" x14ac:dyDescent="0.2">
      <c r="B157" s="6"/>
      <c r="C157" s="6"/>
      <c r="D157" s="6"/>
      <c r="E157" s="9"/>
      <c r="F157" s="9"/>
      <c r="G157" s="11"/>
      <c r="H157" s="5"/>
      <c r="I157" s="8"/>
      <c r="J157" s="8"/>
    </row>
    <row r="158" spans="2:10" ht="12.75" x14ac:dyDescent="0.2">
      <c r="B158" s="6"/>
      <c r="C158" s="6"/>
      <c r="D158" s="6"/>
      <c r="E158" s="9"/>
      <c r="F158" s="9"/>
      <c r="G158" s="11"/>
      <c r="H158" s="5"/>
      <c r="I158" s="8"/>
      <c r="J158" s="8"/>
    </row>
    <row r="159" spans="2:10" ht="12.75" x14ac:dyDescent="0.2">
      <c r="B159" s="6"/>
      <c r="C159" s="6"/>
      <c r="D159" s="6"/>
      <c r="E159" s="9"/>
      <c r="F159" s="9"/>
      <c r="G159" s="11"/>
      <c r="H159" s="5"/>
      <c r="I159" s="8"/>
      <c r="J159" s="8"/>
    </row>
    <row r="160" spans="2:10" ht="12.75" x14ac:dyDescent="0.2">
      <c r="B160" s="6"/>
      <c r="C160" s="6"/>
      <c r="D160" s="6"/>
      <c r="E160" s="9"/>
      <c r="F160" s="9"/>
      <c r="G160" s="11"/>
      <c r="H160" s="5"/>
      <c r="I160" s="8"/>
      <c r="J160" s="8"/>
    </row>
    <row r="161" spans="2:10" ht="12.75" x14ac:dyDescent="0.2">
      <c r="B161" s="6"/>
      <c r="C161" s="6"/>
      <c r="D161" s="6"/>
      <c r="E161" s="9"/>
      <c r="F161" s="9"/>
      <c r="G161" s="11"/>
      <c r="H161" s="5"/>
      <c r="I161" s="8"/>
      <c r="J161" s="8"/>
    </row>
    <row r="162" spans="2:10" ht="12.75" x14ac:dyDescent="0.2">
      <c r="B162" s="6"/>
      <c r="C162" s="6"/>
      <c r="D162" s="6"/>
      <c r="E162" s="9"/>
      <c r="F162" s="9"/>
      <c r="G162" s="11"/>
      <c r="H162" s="5"/>
      <c r="I162" s="8"/>
      <c r="J162" s="8"/>
    </row>
    <row r="163" spans="2:10" ht="12.75" x14ac:dyDescent="0.2">
      <c r="B163" s="6"/>
      <c r="C163" s="6"/>
      <c r="D163" s="6"/>
      <c r="E163" s="9"/>
      <c r="F163" s="9"/>
      <c r="G163" s="11"/>
      <c r="H163" s="5"/>
      <c r="I163" s="8"/>
      <c r="J163" s="8"/>
    </row>
    <row r="164" spans="2:10" ht="12.75" x14ac:dyDescent="0.2">
      <c r="B164" s="6"/>
      <c r="C164" s="6"/>
      <c r="D164" s="6"/>
      <c r="E164" s="9"/>
      <c r="F164" s="9"/>
      <c r="G164" s="11"/>
      <c r="H164" s="5"/>
      <c r="I164" s="8"/>
      <c r="J164" s="8"/>
    </row>
    <row r="165" spans="2:10" ht="12.75" x14ac:dyDescent="0.2">
      <c r="B165" s="6"/>
      <c r="C165" s="6"/>
      <c r="D165" s="6"/>
      <c r="E165" s="9"/>
      <c r="F165" s="9"/>
      <c r="G165" s="11"/>
      <c r="H165" s="5"/>
      <c r="I165" s="8"/>
      <c r="J165" s="8"/>
    </row>
    <row r="166" spans="2:10" ht="12.75" x14ac:dyDescent="0.2">
      <c r="B166" s="6"/>
      <c r="C166" s="6"/>
      <c r="D166" s="6"/>
      <c r="E166" s="9"/>
      <c r="F166" s="9"/>
      <c r="G166" s="11"/>
      <c r="H166" s="5"/>
      <c r="I166" s="8"/>
      <c r="J166" s="8"/>
    </row>
    <row r="167" spans="2:10" ht="12.75" x14ac:dyDescent="0.2">
      <c r="B167" s="6"/>
      <c r="C167" s="6"/>
      <c r="D167" s="6"/>
      <c r="E167" s="9"/>
      <c r="F167" s="9"/>
      <c r="G167" s="11"/>
      <c r="H167" s="5"/>
      <c r="I167" s="8"/>
      <c r="J167" s="8"/>
    </row>
    <row r="168" spans="2:10" ht="12.75" x14ac:dyDescent="0.2">
      <c r="B168" s="6"/>
      <c r="C168" s="6"/>
      <c r="D168" s="6"/>
      <c r="E168" s="9"/>
      <c r="F168" s="9"/>
      <c r="G168" s="11"/>
      <c r="H168" s="5"/>
      <c r="I168" s="8"/>
      <c r="J168" s="8"/>
    </row>
    <row r="169" spans="2:10" ht="12.75" x14ac:dyDescent="0.2">
      <c r="B169" s="6"/>
      <c r="C169" s="6"/>
      <c r="D169" s="6"/>
      <c r="E169" s="9"/>
      <c r="F169" s="9"/>
      <c r="G169" s="11"/>
      <c r="H169" s="5"/>
      <c r="I169" s="8"/>
      <c r="J169" s="8"/>
    </row>
    <row r="170" spans="2:10" ht="12.75" x14ac:dyDescent="0.2">
      <c r="B170" s="6"/>
      <c r="C170" s="6"/>
      <c r="D170" s="6"/>
      <c r="E170" s="9"/>
      <c r="F170" s="9"/>
      <c r="G170" s="11"/>
      <c r="H170" s="5"/>
      <c r="I170" s="8"/>
      <c r="J170" s="8"/>
    </row>
    <row r="171" spans="2:10" ht="12.75" x14ac:dyDescent="0.2">
      <c r="B171" s="6"/>
      <c r="C171" s="6"/>
      <c r="D171" s="6"/>
      <c r="E171" s="9"/>
      <c r="F171" s="9"/>
      <c r="G171" s="11"/>
      <c r="H171" s="5"/>
      <c r="I171" s="8"/>
      <c r="J171" s="8"/>
    </row>
    <row r="172" spans="2:10" ht="12.75" x14ac:dyDescent="0.2">
      <c r="B172" s="6"/>
      <c r="C172" s="6"/>
      <c r="D172" s="6"/>
      <c r="E172" s="9"/>
      <c r="F172" s="9"/>
      <c r="G172" s="11"/>
      <c r="H172" s="5"/>
      <c r="I172" s="8"/>
      <c r="J172" s="8"/>
    </row>
    <row r="173" spans="2:10" ht="12.75" x14ac:dyDescent="0.2">
      <c r="B173" s="6"/>
      <c r="C173" s="6"/>
      <c r="D173" s="6"/>
      <c r="E173" s="9"/>
      <c r="F173" s="9"/>
      <c r="G173" s="11"/>
      <c r="H173" s="5"/>
      <c r="I173" s="8"/>
      <c r="J173" s="8"/>
    </row>
    <row r="174" spans="2:10" ht="12.75" x14ac:dyDescent="0.2">
      <c r="B174" s="6"/>
      <c r="C174" s="6"/>
      <c r="D174" s="6"/>
      <c r="E174" s="9"/>
      <c r="F174" s="9"/>
      <c r="G174" s="11"/>
      <c r="H174" s="5"/>
      <c r="I174" s="8"/>
      <c r="J174" s="8"/>
    </row>
    <row r="175" spans="2:10" ht="12.75" x14ac:dyDescent="0.2">
      <c r="B175" s="6"/>
      <c r="C175" s="6"/>
      <c r="D175" s="6"/>
      <c r="E175" s="9"/>
      <c r="F175" s="9"/>
      <c r="G175" s="11"/>
      <c r="H175" s="5"/>
      <c r="I175" s="8"/>
      <c r="J175" s="8"/>
    </row>
    <row r="176" spans="2:10" ht="12.75" x14ac:dyDescent="0.2">
      <c r="B176" s="6"/>
      <c r="C176" s="6"/>
      <c r="D176" s="6"/>
      <c r="E176" s="9"/>
      <c r="F176" s="9"/>
      <c r="G176" s="11"/>
      <c r="H176" s="5"/>
      <c r="I176" s="8"/>
      <c r="J176" s="8"/>
    </row>
    <row r="177" spans="2:10" ht="12.75" x14ac:dyDescent="0.2">
      <c r="B177" s="6"/>
      <c r="C177" s="6"/>
      <c r="D177" s="6"/>
      <c r="E177" s="9"/>
      <c r="F177" s="9"/>
      <c r="G177" s="11"/>
      <c r="H177" s="5"/>
      <c r="I177" s="8"/>
      <c r="J177" s="8"/>
    </row>
    <row r="178" spans="2:10" ht="12.75" x14ac:dyDescent="0.2">
      <c r="B178" s="6"/>
      <c r="C178" s="6"/>
      <c r="D178" s="6"/>
      <c r="E178" s="9"/>
      <c r="F178" s="9"/>
      <c r="G178" s="11"/>
      <c r="H178" s="5"/>
      <c r="I178" s="8"/>
      <c r="J178" s="8"/>
    </row>
    <row r="179" spans="2:10" ht="12.75" x14ac:dyDescent="0.2">
      <c r="B179" s="6"/>
      <c r="C179" s="6"/>
      <c r="D179" s="6"/>
      <c r="E179" s="9"/>
      <c r="F179" s="9"/>
      <c r="G179" s="11"/>
      <c r="H179" s="5"/>
      <c r="I179" s="8"/>
      <c r="J179" s="8"/>
    </row>
    <row r="180" spans="2:10" ht="12.75" x14ac:dyDescent="0.2">
      <c r="B180" s="6"/>
      <c r="C180" s="6"/>
      <c r="D180" s="6"/>
      <c r="E180" s="9"/>
      <c r="F180" s="9"/>
      <c r="G180" s="11"/>
      <c r="H180" s="5"/>
      <c r="I180" s="8"/>
      <c r="J180" s="8"/>
    </row>
    <row r="181" spans="2:10" ht="12.75" x14ac:dyDescent="0.2">
      <c r="B181" s="6"/>
      <c r="C181" s="6"/>
      <c r="D181" s="6"/>
      <c r="E181" s="9"/>
      <c r="F181" s="9"/>
      <c r="G181" s="11"/>
      <c r="H181" s="5"/>
      <c r="I181" s="8"/>
      <c r="J181" s="8"/>
    </row>
    <row r="182" spans="2:10" ht="12.75" x14ac:dyDescent="0.2">
      <c r="B182" s="6"/>
      <c r="C182" s="6"/>
      <c r="D182" s="6"/>
      <c r="E182" s="9"/>
      <c r="F182" s="9"/>
      <c r="G182" s="11"/>
      <c r="H182" s="5"/>
      <c r="I182" s="8"/>
      <c r="J182" s="8"/>
    </row>
    <row r="183" spans="2:10" ht="12.75" x14ac:dyDescent="0.2">
      <c r="B183" s="6"/>
      <c r="C183" s="6"/>
      <c r="D183" s="6"/>
      <c r="E183" s="9"/>
      <c r="F183" s="9"/>
      <c r="G183" s="11"/>
      <c r="H183" s="5"/>
      <c r="I183" s="8"/>
      <c r="J183" s="8"/>
    </row>
    <row r="184" spans="2:10" ht="12.75" x14ac:dyDescent="0.2">
      <c r="B184" s="6"/>
      <c r="C184" s="6"/>
      <c r="D184" s="6"/>
      <c r="E184" s="9"/>
      <c r="F184" s="9"/>
      <c r="G184" s="11"/>
      <c r="H184" s="5"/>
      <c r="I184" s="8"/>
      <c r="J184" s="8"/>
    </row>
    <row r="185" spans="2:10" ht="12.75" x14ac:dyDescent="0.2">
      <c r="B185" s="6"/>
      <c r="C185" s="6"/>
      <c r="D185" s="6"/>
      <c r="E185" s="9"/>
      <c r="F185" s="9"/>
      <c r="G185" s="11"/>
      <c r="H185" s="5"/>
      <c r="I185" s="8"/>
      <c r="J185" s="8"/>
    </row>
    <row r="186" spans="2:10" ht="12.75" x14ac:dyDescent="0.2">
      <c r="B186" s="6"/>
      <c r="C186" s="6"/>
      <c r="D186" s="6"/>
      <c r="E186" s="9"/>
      <c r="F186" s="9"/>
      <c r="G186" s="11"/>
      <c r="H186" s="5"/>
      <c r="I186" s="8"/>
      <c r="J186" s="8"/>
    </row>
    <row r="187" spans="2:10" ht="12.75" x14ac:dyDescent="0.2">
      <c r="B187" s="6"/>
      <c r="C187" s="6"/>
      <c r="D187" s="6"/>
      <c r="E187" s="9"/>
      <c r="F187" s="9"/>
      <c r="G187" s="11"/>
      <c r="H187" s="5"/>
      <c r="I187" s="8"/>
      <c r="J187" s="8"/>
    </row>
    <row r="188" spans="2:10" ht="12.75" x14ac:dyDescent="0.2">
      <c r="B188" s="6"/>
      <c r="C188" s="6"/>
      <c r="D188" s="6"/>
      <c r="E188" s="9"/>
      <c r="F188" s="9"/>
      <c r="G188" s="11"/>
      <c r="H188" s="5"/>
      <c r="I188" s="8"/>
      <c r="J188" s="8"/>
    </row>
    <row r="189" spans="2:10" ht="12.75" x14ac:dyDescent="0.2">
      <c r="B189" s="6"/>
      <c r="C189" s="6"/>
      <c r="D189" s="6"/>
      <c r="E189" s="9"/>
      <c r="F189" s="9"/>
      <c r="G189" s="11"/>
      <c r="H189" s="5"/>
      <c r="I189" s="8"/>
      <c r="J189" s="8"/>
    </row>
    <row r="190" spans="2:10" ht="12.75" x14ac:dyDescent="0.2">
      <c r="B190" s="6"/>
      <c r="C190" s="6"/>
      <c r="D190" s="6"/>
      <c r="E190" s="9"/>
      <c r="F190" s="9"/>
      <c r="G190" s="11"/>
      <c r="H190" s="5"/>
      <c r="I190" s="8"/>
      <c r="J190" s="8"/>
    </row>
    <row r="191" spans="2:10" ht="12.75" x14ac:dyDescent="0.2">
      <c r="B191" s="6"/>
      <c r="C191" s="6"/>
      <c r="D191" s="6"/>
      <c r="E191" s="9"/>
      <c r="F191" s="9"/>
      <c r="G191" s="11"/>
      <c r="H191" s="5"/>
      <c r="I191" s="8"/>
      <c r="J191" s="8"/>
    </row>
    <row r="192" spans="2:10" ht="12.75" x14ac:dyDescent="0.2">
      <c r="B192" s="6"/>
      <c r="C192" s="6"/>
      <c r="D192" s="6"/>
      <c r="E192" s="9"/>
      <c r="F192" s="9"/>
      <c r="G192" s="11"/>
      <c r="H192" s="5"/>
      <c r="I192" s="8"/>
      <c r="J192" s="8"/>
    </row>
    <row r="193" spans="2:10" ht="12.75" x14ac:dyDescent="0.2">
      <c r="B193" s="6"/>
      <c r="C193" s="6"/>
      <c r="D193" s="6"/>
      <c r="E193" s="9"/>
      <c r="F193" s="9"/>
      <c r="G193" s="11"/>
      <c r="H193" s="5"/>
      <c r="I193" s="8"/>
      <c r="J193" s="8"/>
    </row>
    <row r="194" spans="2:10" ht="12.75" x14ac:dyDescent="0.2">
      <c r="B194" s="6"/>
      <c r="C194" s="6"/>
      <c r="D194" s="6"/>
      <c r="E194" s="9"/>
      <c r="F194" s="9"/>
      <c r="G194" s="11"/>
      <c r="H194" s="5"/>
      <c r="I194" s="8"/>
      <c r="J194" s="8"/>
    </row>
    <row r="195" spans="2:10" ht="12.75" x14ac:dyDescent="0.2">
      <c r="B195" s="6"/>
      <c r="C195" s="6"/>
      <c r="D195" s="6"/>
      <c r="E195" s="9"/>
      <c r="F195" s="9"/>
      <c r="G195" s="11"/>
      <c r="H195" s="5"/>
      <c r="I195" s="8"/>
      <c r="J195" s="8"/>
    </row>
    <row r="196" spans="2:10" ht="12.75" x14ac:dyDescent="0.2">
      <c r="B196" s="6"/>
      <c r="C196" s="6"/>
      <c r="D196" s="6"/>
      <c r="E196" s="9"/>
      <c r="F196" s="9"/>
      <c r="G196" s="11"/>
      <c r="H196" s="5"/>
      <c r="I196" s="8"/>
      <c r="J196" s="8"/>
    </row>
    <row r="197" spans="2:10" ht="12.75" x14ac:dyDescent="0.2">
      <c r="B197" s="6"/>
      <c r="C197" s="6"/>
      <c r="D197" s="6"/>
      <c r="E197" s="9"/>
      <c r="F197" s="9"/>
      <c r="G197" s="11"/>
      <c r="H197" s="5"/>
      <c r="I197" s="8"/>
      <c r="J197" s="8"/>
    </row>
    <row r="198" spans="2:10" ht="12.75" x14ac:dyDescent="0.2">
      <c r="B198" s="6"/>
      <c r="C198" s="6"/>
      <c r="D198" s="6"/>
      <c r="E198" s="9"/>
      <c r="F198" s="9"/>
      <c r="G198" s="11"/>
      <c r="H198" s="5"/>
      <c r="I198" s="8"/>
      <c r="J198" s="8"/>
    </row>
    <row r="199" spans="2:10" ht="12.75" x14ac:dyDescent="0.2">
      <c r="B199" s="6"/>
      <c r="C199" s="6"/>
      <c r="D199" s="6"/>
      <c r="E199" s="9"/>
      <c r="F199" s="9"/>
      <c r="G199" s="11"/>
      <c r="H199" s="5"/>
      <c r="I199" s="8"/>
      <c r="J199" s="8"/>
    </row>
    <row r="200" spans="2:10" ht="12.75" x14ac:dyDescent="0.2">
      <c r="B200" s="6"/>
      <c r="C200" s="6"/>
      <c r="D200" s="6"/>
      <c r="E200" s="9"/>
      <c r="F200" s="9"/>
      <c r="G200" s="11"/>
      <c r="H200" s="5"/>
      <c r="I200" s="8"/>
      <c r="J200" s="8"/>
    </row>
    <row r="201" spans="2:10" ht="12.75" x14ac:dyDescent="0.2">
      <c r="B201" s="6"/>
      <c r="C201" s="6"/>
      <c r="D201" s="6"/>
      <c r="E201" s="9"/>
      <c r="F201" s="9"/>
      <c r="G201" s="11"/>
      <c r="H201" s="5"/>
      <c r="I201" s="8"/>
      <c r="J201" s="8"/>
    </row>
    <row r="202" spans="2:10" ht="12.75" x14ac:dyDescent="0.2">
      <c r="B202" s="6"/>
      <c r="C202" s="6"/>
      <c r="D202" s="6"/>
      <c r="E202" s="9"/>
      <c r="F202" s="9"/>
      <c r="G202" s="11"/>
      <c r="H202" s="5"/>
      <c r="I202" s="8"/>
      <c r="J202" s="8"/>
    </row>
    <row r="203" spans="2:10" ht="12.75" x14ac:dyDescent="0.2">
      <c r="B203" s="6"/>
      <c r="C203" s="6"/>
      <c r="D203" s="6"/>
      <c r="E203" s="9"/>
      <c r="F203" s="9"/>
      <c r="G203" s="11"/>
      <c r="H203" s="5"/>
      <c r="I203" s="8"/>
      <c r="J203" s="8"/>
    </row>
    <row r="204" spans="2:10" ht="12.75" x14ac:dyDescent="0.2">
      <c r="B204" s="6"/>
      <c r="C204" s="6"/>
      <c r="D204" s="6"/>
      <c r="E204" s="9"/>
      <c r="F204" s="9"/>
      <c r="G204" s="11"/>
      <c r="H204" s="5"/>
      <c r="I204" s="8"/>
      <c r="J204" s="8"/>
    </row>
    <row r="205" spans="2:10" ht="12.75" x14ac:dyDescent="0.2">
      <c r="B205" s="6"/>
      <c r="C205" s="6"/>
      <c r="D205" s="6"/>
      <c r="E205" s="9"/>
      <c r="F205" s="9"/>
      <c r="G205" s="11"/>
      <c r="H205" s="5"/>
      <c r="I205" s="8"/>
      <c r="J205" s="8"/>
    </row>
    <row r="206" spans="2:10" ht="12.75" x14ac:dyDescent="0.2">
      <c r="B206" s="6"/>
      <c r="C206" s="6"/>
      <c r="D206" s="6"/>
      <c r="E206" s="9"/>
      <c r="F206" s="9"/>
      <c r="G206" s="11"/>
      <c r="H206" s="5"/>
      <c r="I206" s="8"/>
      <c r="J206" s="8"/>
    </row>
    <row r="207" spans="2:10" ht="12.75" x14ac:dyDescent="0.2">
      <c r="B207" s="6"/>
      <c r="C207" s="6"/>
      <c r="D207" s="6"/>
      <c r="E207" s="9"/>
      <c r="F207" s="9"/>
      <c r="G207" s="11"/>
      <c r="H207" s="5"/>
      <c r="I207" s="8"/>
      <c r="J207" s="8"/>
    </row>
    <row r="208" spans="2:10" ht="12.75" x14ac:dyDescent="0.2">
      <c r="B208" s="6"/>
      <c r="C208" s="6"/>
      <c r="D208" s="6"/>
      <c r="E208" s="9"/>
      <c r="F208" s="9"/>
      <c r="G208" s="11"/>
      <c r="H208" s="5"/>
      <c r="I208" s="8"/>
      <c r="J208" s="8"/>
    </row>
    <row r="209" spans="2:10" ht="12.75" x14ac:dyDescent="0.2">
      <c r="B209" s="6"/>
      <c r="C209" s="6"/>
      <c r="D209" s="6"/>
      <c r="E209" s="9"/>
      <c r="F209" s="9"/>
      <c r="G209" s="11"/>
      <c r="H209" s="5"/>
      <c r="I209" s="8"/>
      <c r="J209" s="8"/>
    </row>
    <row r="210" spans="2:10" ht="12.75" x14ac:dyDescent="0.2">
      <c r="B210" s="6"/>
      <c r="C210" s="6"/>
      <c r="D210" s="6"/>
      <c r="E210" s="9"/>
      <c r="F210" s="9"/>
      <c r="G210" s="11"/>
      <c r="H210" s="5"/>
      <c r="I210" s="8"/>
      <c r="J210" s="8"/>
    </row>
    <row r="211" spans="2:10" ht="12.75" x14ac:dyDescent="0.2">
      <c r="B211" s="6"/>
      <c r="C211" s="6"/>
      <c r="D211" s="6"/>
      <c r="E211" s="9"/>
      <c r="F211" s="9"/>
      <c r="G211" s="11"/>
      <c r="H211" s="5"/>
      <c r="I211" s="8"/>
      <c r="J211" s="8"/>
    </row>
    <row r="212" spans="2:10" ht="12.75" x14ac:dyDescent="0.2">
      <c r="B212" s="6"/>
      <c r="C212" s="6"/>
      <c r="D212" s="6"/>
      <c r="E212" s="9"/>
      <c r="F212" s="9"/>
      <c r="G212" s="11"/>
      <c r="H212" s="5"/>
      <c r="I212" s="8"/>
      <c r="J212" s="8"/>
    </row>
    <row r="213" spans="2:10" ht="12.75" x14ac:dyDescent="0.2">
      <c r="B213" s="6"/>
      <c r="C213" s="6"/>
      <c r="D213" s="6"/>
      <c r="E213" s="9"/>
      <c r="F213" s="9"/>
      <c r="G213" s="11"/>
      <c r="H213" s="5"/>
      <c r="I213" s="8"/>
      <c r="J213" s="8"/>
    </row>
    <row r="214" spans="2:10" ht="12.75" x14ac:dyDescent="0.2">
      <c r="B214" s="6"/>
      <c r="C214" s="6"/>
      <c r="D214" s="6"/>
      <c r="E214" s="9"/>
      <c r="F214" s="9"/>
      <c r="G214" s="11"/>
      <c r="H214" s="5"/>
      <c r="I214" s="8"/>
      <c r="J214" s="8"/>
    </row>
    <row r="215" spans="2:10" ht="12.75" x14ac:dyDescent="0.2">
      <c r="B215" s="6"/>
      <c r="C215" s="6"/>
      <c r="D215" s="6"/>
      <c r="E215" s="9"/>
      <c r="F215" s="9"/>
      <c r="G215" s="11"/>
      <c r="H215" s="5"/>
      <c r="I215" s="8"/>
      <c r="J215" s="8"/>
    </row>
    <row r="216" spans="2:10" ht="12.75" x14ac:dyDescent="0.2">
      <c r="B216" s="6"/>
      <c r="C216" s="6"/>
      <c r="D216" s="6"/>
      <c r="E216" s="9"/>
      <c r="F216" s="9"/>
      <c r="G216" s="11"/>
      <c r="H216" s="5"/>
      <c r="I216" s="8"/>
      <c r="J216" s="8"/>
    </row>
    <row r="217" spans="2:10" ht="12.75" x14ac:dyDescent="0.2">
      <c r="B217" s="6"/>
      <c r="C217" s="6"/>
      <c r="D217" s="6"/>
      <c r="E217" s="9"/>
      <c r="F217" s="9"/>
      <c r="G217" s="11"/>
      <c r="H217" s="5"/>
      <c r="I217" s="8"/>
      <c r="J217" s="8"/>
    </row>
    <row r="218" spans="2:10" ht="12.75" x14ac:dyDescent="0.2">
      <c r="B218" s="6"/>
      <c r="C218" s="6"/>
      <c r="D218" s="6"/>
      <c r="E218" s="9"/>
      <c r="F218" s="9"/>
      <c r="G218" s="11"/>
      <c r="H218" s="5"/>
      <c r="I218" s="8"/>
      <c r="J218" s="8"/>
    </row>
    <row r="219" spans="2:10" ht="12.75" x14ac:dyDescent="0.2">
      <c r="B219" s="6"/>
      <c r="C219" s="6"/>
      <c r="D219" s="6"/>
      <c r="E219" s="9"/>
      <c r="F219" s="9"/>
      <c r="G219" s="11"/>
      <c r="H219" s="5"/>
      <c r="I219" s="8"/>
      <c r="J219" s="8"/>
    </row>
    <row r="220" spans="2:10" ht="12.75" x14ac:dyDescent="0.2">
      <c r="B220" s="6"/>
      <c r="C220" s="6"/>
      <c r="D220" s="6"/>
      <c r="E220" s="9"/>
      <c r="F220" s="9"/>
      <c r="G220" s="11"/>
      <c r="H220" s="5"/>
      <c r="I220" s="8"/>
      <c r="J220" s="8"/>
    </row>
    <row r="221" spans="2:10" ht="12.75" x14ac:dyDescent="0.2">
      <c r="B221" s="6"/>
      <c r="C221" s="6"/>
      <c r="D221" s="6"/>
      <c r="E221" s="9"/>
      <c r="F221" s="9"/>
      <c r="G221" s="11"/>
      <c r="H221" s="5"/>
      <c r="I221" s="8"/>
      <c r="J221" s="8"/>
    </row>
    <row r="222" spans="2:10" ht="12.75" x14ac:dyDescent="0.2">
      <c r="B222" s="6"/>
      <c r="C222" s="6"/>
      <c r="D222" s="6"/>
      <c r="E222" s="9"/>
      <c r="F222" s="9"/>
      <c r="G222" s="11"/>
      <c r="H222" s="5"/>
      <c r="I222" s="8"/>
      <c r="J222" s="8"/>
    </row>
    <row r="223" spans="2:10" ht="12.75" x14ac:dyDescent="0.2">
      <c r="B223" s="6"/>
      <c r="C223" s="6"/>
      <c r="D223" s="6"/>
      <c r="E223" s="9"/>
      <c r="F223" s="9"/>
      <c r="G223" s="11"/>
      <c r="H223" s="5"/>
      <c r="I223" s="8"/>
      <c r="J223" s="8"/>
    </row>
    <row r="224" spans="2:10" ht="12.75" x14ac:dyDescent="0.2">
      <c r="B224" s="6"/>
      <c r="C224" s="6"/>
      <c r="D224" s="6"/>
      <c r="E224" s="9"/>
      <c r="F224" s="9"/>
      <c r="G224" s="11"/>
      <c r="H224" s="5"/>
      <c r="I224" s="8"/>
      <c r="J224" s="8"/>
    </row>
    <row r="225" spans="2:10" ht="12.75" x14ac:dyDescent="0.2">
      <c r="B225" s="6"/>
      <c r="C225" s="6"/>
      <c r="D225" s="6"/>
      <c r="E225" s="9"/>
      <c r="F225" s="9"/>
      <c r="G225" s="11"/>
      <c r="H225" s="5"/>
      <c r="I225" s="8"/>
      <c r="J225" s="8"/>
    </row>
    <row r="226" spans="2:10" ht="12.75" x14ac:dyDescent="0.2">
      <c r="B226" s="6"/>
      <c r="C226" s="6"/>
      <c r="D226" s="6"/>
      <c r="E226" s="9"/>
      <c r="F226" s="9"/>
      <c r="G226" s="11"/>
      <c r="H226" s="5"/>
      <c r="I226" s="8"/>
      <c r="J226" s="8"/>
    </row>
    <row r="227" spans="2:10" ht="12.75" x14ac:dyDescent="0.2">
      <c r="B227" s="6"/>
      <c r="C227" s="6"/>
      <c r="D227" s="6"/>
      <c r="E227" s="9"/>
      <c r="F227" s="9"/>
      <c r="G227" s="11"/>
      <c r="H227" s="5"/>
      <c r="I227" s="8"/>
      <c r="J227" s="8"/>
    </row>
    <row r="228" spans="2:10" ht="12.75" x14ac:dyDescent="0.2">
      <c r="B228" s="6"/>
      <c r="C228" s="6"/>
      <c r="D228" s="6"/>
      <c r="E228" s="9"/>
      <c r="F228" s="9"/>
      <c r="G228" s="11"/>
      <c r="H228" s="5"/>
      <c r="I228" s="8"/>
      <c r="J228" s="8"/>
    </row>
    <row r="229" spans="2:10" ht="12.75" x14ac:dyDescent="0.2">
      <c r="B229" s="6"/>
      <c r="C229" s="6"/>
      <c r="D229" s="6"/>
      <c r="E229" s="9"/>
      <c r="F229" s="9"/>
      <c r="G229" s="11"/>
      <c r="H229" s="5"/>
      <c r="I229" s="8"/>
      <c r="J229" s="8"/>
    </row>
    <row r="230" spans="2:10" ht="12.75" x14ac:dyDescent="0.2">
      <c r="B230" s="6"/>
      <c r="C230" s="6"/>
      <c r="D230" s="6"/>
      <c r="E230" s="9"/>
      <c r="F230" s="9"/>
      <c r="G230" s="11"/>
      <c r="H230" s="5"/>
      <c r="I230" s="8"/>
      <c r="J230" s="8"/>
    </row>
    <row r="231" spans="2:10" ht="12.75" x14ac:dyDescent="0.2">
      <c r="B231" s="6"/>
      <c r="C231" s="6"/>
      <c r="D231" s="6"/>
      <c r="E231" s="9"/>
      <c r="F231" s="9"/>
      <c r="G231" s="11"/>
      <c r="H231" s="5"/>
      <c r="I231" s="8"/>
      <c r="J231" s="8"/>
    </row>
    <row r="232" spans="2:10" ht="12.75" x14ac:dyDescent="0.2">
      <c r="B232" s="6"/>
      <c r="C232" s="6"/>
      <c r="D232" s="6"/>
      <c r="E232" s="9"/>
      <c r="F232" s="9"/>
      <c r="G232" s="11"/>
      <c r="H232" s="5"/>
      <c r="I232" s="8"/>
      <c r="J232" s="8"/>
    </row>
    <row r="233" spans="2:10" ht="12.75" x14ac:dyDescent="0.2">
      <c r="B233" s="6"/>
      <c r="C233" s="6"/>
      <c r="D233" s="6"/>
      <c r="E233" s="9"/>
      <c r="F233" s="9"/>
      <c r="G233" s="11"/>
      <c r="H233" s="5"/>
      <c r="I233" s="8"/>
      <c r="J233" s="8"/>
    </row>
    <row r="234" spans="2:10" ht="12.75" x14ac:dyDescent="0.2">
      <c r="B234" s="6"/>
      <c r="C234" s="6"/>
      <c r="D234" s="6"/>
      <c r="E234" s="9"/>
      <c r="F234" s="9"/>
      <c r="G234" s="11"/>
      <c r="H234" s="5"/>
      <c r="I234" s="8"/>
      <c r="J234" s="8"/>
    </row>
    <row r="235" spans="2:10" ht="12.75" x14ac:dyDescent="0.2">
      <c r="B235" s="6"/>
      <c r="C235" s="6"/>
      <c r="D235" s="6"/>
      <c r="E235" s="9"/>
      <c r="F235" s="9"/>
      <c r="G235" s="11"/>
      <c r="H235" s="5"/>
      <c r="I235" s="8"/>
      <c r="J235" s="8"/>
    </row>
    <row r="236" spans="2:10" ht="12.75" x14ac:dyDescent="0.2">
      <c r="B236" s="6"/>
      <c r="C236" s="6"/>
      <c r="D236" s="6"/>
      <c r="E236" s="9"/>
      <c r="F236" s="9"/>
      <c r="G236" s="11"/>
      <c r="H236" s="5"/>
      <c r="I236" s="8"/>
      <c r="J236" s="8"/>
    </row>
    <row r="237" spans="2:10" ht="12.75" x14ac:dyDescent="0.2">
      <c r="B237" s="6"/>
      <c r="C237" s="6"/>
      <c r="D237" s="6"/>
      <c r="E237" s="9"/>
      <c r="F237" s="9"/>
      <c r="G237" s="11"/>
      <c r="H237" s="5"/>
      <c r="I237" s="8"/>
      <c r="J237" s="8"/>
    </row>
    <row r="238" spans="2:10" ht="12.75" x14ac:dyDescent="0.2">
      <c r="B238" s="6"/>
      <c r="C238" s="6"/>
      <c r="D238" s="6"/>
      <c r="E238" s="9"/>
      <c r="F238" s="9"/>
      <c r="G238" s="11"/>
      <c r="H238" s="5"/>
      <c r="I238" s="8"/>
      <c r="J238" s="8"/>
    </row>
    <row r="239" spans="2:10" ht="12.75" x14ac:dyDescent="0.2">
      <c r="B239" s="6"/>
      <c r="C239" s="6"/>
      <c r="D239" s="6"/>
      <c r="E239" s="9"/>
      <c r="F239" s="9"/>
      <c r="G239" s="11"/>
      <c r="H239" s="5"/>
      <c r="I239" s="8"/>
      <c r="J239" s="8"/>
    </row>
    <row r="240" spans="2:10" ht="12.75" x14ac:dyDescent="0.2">
      <c r="B240" s="6"/>
      <c r="C240" s="6"/>
      <c r="D240" s="6"/>
      <c r="E240" s="9"/>
      <c r="F240" s="9"/>
      <c r="G240" s="11"/>
      <c r="H240" s="5"/>
      <c r="I240" s="8"/>
      <c r="J240" s="8"/>
    </row>
    <row r="241" spans="2:10" ht="12.75" x14ac:dyDescent="0.2">
      <c r="B241" s="6"/>
      <c r="C241" s="6"/>
      <c r="D241" s="6"/>
      <c r="E241" s="9"/>
      <c r="F241" s="9"/>
      <c r="G241" s="11"/>
      <c r="H241" s="5"/>
      <c r="I241" s="8"/>
      <c r="J241" s="8"/>
    </row>
    <row r="242" spans="2:10" ht="12.75" x14ac:dyDescent="0.2">
      <c r="B242" s="6"/>
      <c r="C242" s="6"/>
      <c r="D242" s="6"/>
      <c r="E242" s="9"/>
      <c r="F242" s="9"/>
      <c r="G242" s="11"/>
      <c r="H242" s="5"/>
      <c r="I242" s="8"/>
      <c r="J242" s="8"/>
    </row>
    <row r="243" spans="2:10" ht="12.75" x14ac:dyDescent="0.2">
      <c r="B243" s="6"/>
      <c r="C243" s="6"/>
      <c r="D243" s="6"/>
      <c r="E243" s="9"/>
      <c r="F243" s="9"/>
      <c r="G243" s="11"/>
      <c r="H243" s="5"/>
      <c r="I243" s="8"/>
      <c r="J243" s="8"/>
    </row>
    <row r="244" spans="2:10" ht="12.75" x14ac:dyDescent="0.2">
      <c r="B244" s="6"/>
      <c r="C244" s="6"/>
      <c r="D244" s="6"/>
      <c r="E244" s="9"/>
      <c r="F244" s="9"/>
      <c r="G244" s="11"/>
      <c r="H244" s="5"/>
      <c r="I244" s="8"/>
      <c r="J244" s="8"/>
    </row>
    <row r="245" spans="2:10" ht="12.75" x14ac:dyDescent="0.2">
      <c r="B245" s="6"/>
      <c r="C245" s="6"/>
      <c r="D245" s="6"/>
      <c r="E245" s="9"/>
      <c r="F245" s="9"/>
      <c r="G245" s="11"/>
      <c r="H245" s="5"/>
      <c r="I245" s="8"/>
      <c r="J245" s="8"/>
    </row>
    <row r="246" spans="2:10" ht="12.75" x14ac:dyDescent="0.2">
      <c r="B246" s="6"/>
      <c r="C246" s="6"/>
      <c r="D246" s="6"/>
      <c r="E246" s="9"/>
      <c r="F246" s="9"/>
      <c r="G246" s="11"/>
      <c r="H246" s="5"/>
      <c r="I246" s="8"/>
      <c r="J246" s="8"/>
    </row>
    <row r="247" spans="2:10" ht="12.75" x14ac:dyDescent="0.2">
      <c r="B247" s="6"/>
      <c r="C247" s="6"/>
      <c r="D247" s="6"/>
      <c r="E247" s="9"/>
      <c r="F247" s="9"/>
      <c r="G247" s="11"/>
      <c r="H247" s="5"/>
      <c r="I247" s="8"/>
      <c r="J247" s="8"/>
    </row>
    <row r="248" spans="2:10" ht="12.75" x14ac:dyDescent="0.2">
      <c r="B248" s="6"/>
      <c r="C248" s="6"/>
      <c r="D248" s="6"/>
      <c r="E248" s="9"/>
      <c r="F248" s="9"/>
      <c r="G248" s="11"/>
      <c r="H248" s="5"/>
      <c r="I248" s="8"/>
      <c r="J248" s="8"/>
    </row>
    <row r="249" spans="2:10" ht="12.75" x14ac:dyDescent="0.2">
      <c r="B249" s="6"/>
      <c r="C249" s="6"/>
      <c r="D249" s="6"/>
      <c r="E249" s="9"/>
      <c r="F249" s="9"/>
      <c r="G249" s="11"/>
      <c r="H249" s="5"/>
      <c r="I249" s="8"/>
      <c r="J249" s="8"/>
    </row>
    <row r="250" spans="2:10" ht="12.75" x14ac:dyDescent="0.2">
      <c r="B250" s="6"/>
      <c r="C250" s="6"/>
      <c r="D250" s="6"/>
      <c r="E250" s="9"/>
      <c r="F250" s="9"/>
      <c r="G250" s="11"/>
      <c r="H250" s="5"/>
      <c r="I250" s="8"/>
      <c r="J250" s="8"/>
    </row>
    <row r="251" spans="2:10" ht="12.75" x14ac:dyDescent="0.2">
      <c r="B251" s="6"/>
      <c r="C251" s="6"/>
      <c r="D251" s="6"/>
      <c r="E251" s="9"/>
      <c r="F251" s="9"/>
      <c r="G251" s="11"/>
      <c r="H251" s="5"/>
      <c r="I251" s="8"/>
      <c r="J251" s="8"/>
    </row>
    <row r="252" spans="2:10" ht="12.75" x14ac:dyDescent="0.2">
      <c r="B252" s="6"/>
      <c r="C252" s="6"/>
      <c r="D252" s="6"/>
      <c r="E252" s="9"/>
      <c r="F252" s="9"/>
      <c r="G252" s="11"/>
      <c r="H252" s="5"/>
      <c r="I252" s="8"/>
      <c r="J252" s="8"/>
    </row>
    <row r="253" spans="2:10" ht="12.75" x14ac:dyDescent="0.2">
      <c r="B253" s="6"/>
      <c r="C253" s="6"/>
      <c r="D253" s="6"/>
      <c r="E253" s="9"/>
      <c r="F253" s="9"/>
      <c r="G253" s="11"/>
      <c r="H253" s="5"/>
      <c r="I253" s="8"/>
      <c r="J253" s="8"/>
    </row>
    <row r="254" spans="2:10" ht="12.75" x14ac:dyDescent="0.2">
      <c r="B254" s="6"/>
      <c r="C254" s="6"/>
      <c r="D254" s="6"/>
      <c r="E254" s="9"/>
      <c r="F254" s="9"/>
      <c r="G254" s="11"/>
      <c r="H254" s="5"/>
      <c r="I254" s="8"/>
      <c r="J254" s="8"/>
    </row>
    <row r="255" spans="2:10" ht="12.75" x14ac:dyDescent="0.2">
      <c r="B255" s="6"/>
      <c r="C255" s="6"/>
      <c r="D255" s="6"/>
      <c r="E255" s="9"/>
      <c r="F255" s="9"/>
      <c r="G255" s="11"/>
      <c r="H255" s="5"/>
      <c r="I255" s="8"/>
      <c r="J255" s="8"/>
    </row>
    <row r="256" spans="2:10" ht="12.75" x14ac:dyDescent="0.2">
      <c r="B256" s="6"/>
      <c r="C256" s="6"/>
      <c r="D256" s="6"/>
      <c r="E256" s="9"/>
      <c r="F256" s="9"/>
      <c r="G256" s="11"/>
      <c r="H256" s="5"/>
      <c r="I256" s="8"/>
      <c r="J256" s="8"/>
    </row>
    <row r="257" spans="2:10" ht="12.75" x14ac:dyDescent="0.2">
      <c r="B257" s="6"/>
      <c r="C257" s="6"/>
      <c r="D257" s="6"/>
      <c r="E257" s="9"/>
      <c r="F257" s="9"/>
      <c r="G257" s="11"/>
      <c r="H257" s="5"/>
      <c r="I257" s="8"/>
      <c r="J257" s="8"/>
    </row>
    <row r="258" spans="2:10" ht="12.75" x14ac:dyDescent="0.2">
      <c r="B258" s="6"/>
      <c r="C258" s="6"/>
      <c r="D258" s="6"/>
      <c r="E258" s="9"/>
      <c r="F258" s="9"/>
      <c r="G258" s="11"/>
      <c r="H258" s="5"/>
      <c r="I258" s="8"/>
      <c r="J258" s="8"/>
    </row>
    <row r="259" spans="2:10" ht="12.75" x14ac:dyDescent="0.2">
      <c r="B259" s="6"/>
      <c r="C259" s="6"/>
      <c r="D259" s="6"/>
      <c r="E259" s="9"/>
      <c r="F259" s="9"/>
      <c r="G259" s="11"/>
      <c r="H259" s="5"/>
      <c r="I259" s="8"/>
      <c r="J259" s="8"/>
    </row>
    <row r="260" spans="2:10" ht="12.75" x14ac:dyDescent="0.2">
      <c r="B260" s="6"/>
      <c r="C260" s="6"/>
      <c r="D260" s="6"/>
      <c r="E260" s="9"/>
      <c r="F260" s="9"/>
      <c r="G260" s="11"/>
      <c r="H260" s="5"/>
      <c r="I260" s="8"/>
      <c r="J260" s="8"/>
    </row>
    <row r="261" spans="2:10" ht="12.75" x14ac:dyDescent="0.2">
      <c r="B261" s="6"/>
      <c r="C261" s="6"/>
      <c r="D261" s="6"/>
      <c r="E261" s="9"/>
      <c r="F261" s="9"/>
      <c r="G261" s="11"/>
      <c r="H261" s="5"/>
      <c r="I261" s="8"/>
      <c r="J261" s="8"/>
    </row>
    <row r="262" spans="2:10" ht="12.75" x14ac:dyDescent="0.2">
      <c r="B262" s="6"/>
      <c r="C262" s="6"/>
      <c r="D262" s="6"/>
      <c r="E262" s="9"/>
      <c r="F262" s="9"/>
      <c r="G262" s="11"/>
      <c r="H262" s="5"/>
      <c r="I262" s="8"/>
      <c r="J262" s="8"/>
    </row>
    <row r="263" spans="2:10" ht="12.75" x14ac:dyDescent="0.2">
      <c r="B263" s="6"/>
      <c r="C263" s="6"/>
      <c r="D263" s="6"/>
      <c r="E263" s="9"/>
      <c r="F263" s="9"/>
      <c r="G263" s="11"/>
      <c r="H263" s="5"/>
      <c r="I263" s="8"/>
      <c r="J263" s="8"/>
    </row>
    <row r="264" spans="2:10" ht="12.75" x14ac:dyDescent="0.2">
      <c r="B264" s="6"/>
      <c r="C264" s="6"/>
      <c r="D264" s="6"/>
      <c r="E264" s="9"/>
      <c r="F264" s="9"/>
      <c r="G264" s="11"/>
      <c r="H264" s="5"/>
      <c r="I264" s="8"/>
      <c r="J264" s="8"/>
    </row>
    <row r="265" spans="2:10" ht="12.75" x14ac:dyDescent="0.2">
      <c r="B265" s="6"/>
      <c r="C265" s="6"/>
      <c r="D265" s="6"/>
      <c r="E265" s="9"/>
      <c r="F265" s="9"/>
      <c r="G265" s="11"/>
      <c r="H265" s="5"/>
      <c r="I265" s="8"/>
      <c r="J265" s="8"/>
    </row>
    <row r="266" spans="2:10" ht="12.75" x14ac:dyDescent="0.2">
      <c r="B266" s="6"/>
      <c r="C266" s="6"/>
      <c r="D266" s="6"/>
      <c r="E266" s="9"/>
      <c r="F266" s="9"/>
      <c r="G266" s="11"/>
      <c r="H266" s="5"/>
      <c r="I266" s="8"/>
      <c r="J266" s="8"/>
    </row>
    <row r="267" spans="2:10" ht="12.75" x14ac:dyDescent="0.2">
      <c r="B267" s="6"/>
      <c r="C267" s="6"/>
      <c r="D267" s="6"/>
      <c r="E267" s="9"/>
      <c r="F267" s="9"/>
      <c r="G267" s="11"/>
      <c r="H267" s="5"/>
      <c r="I267" s="8"/>
      <c r="J267" s="8"/>
    </row>
    <row r="268" spans="2:10" ht="12.75" x14ac:dyDescent="0.2">
      <c r="B268" s="6"/>
      <c r="C268" s="6"/>
      <c r="D268" s="6"/>
      <c r="E268" s="9"/>
      <c r="F268" s="9"/>
      <c r="G268" s="11"/>
      <c r="H268" s="5"/>
      <c r="I268" s="8"/>
      <c r="J268" s="8"/>
    </row>
    <row r="269" spans="2:10" ht="12.75" x14ac:dyDescent="0.2">
      <c r="B269" s="6"/>
      <c r="C269" s="6"/>
      <c r="D269" s="6"/>
      <c r="E269" s="9"/>
      <c r="F269" s="9"/>
      <c r="G269" s="11"/>
      <c r="H269" s="5"/>
      <c r="I269" s="8"/>
      <c r="J269" s="8"/>
    </row>
    <row r="270" spans="2:10" ht="12.75" x14ac:dyDescent="0.2">
      <c r="B270" s="6"/>
      <c r="C270" s="6"/>
      <c r="D270" s="6"/>
      <c r="E270" s="9"/>
      <c r="F270" s="9"/>
      <c r="G270" s="11"/>
      <c r="H270" s="5"/>
      <c r="I270" s="8"/>
      <c r="J270" s="8"/>
    </row>
    <row r="271" spans="2:10" ht="12.75" x14ac:dyDescent="0.2">
      <c r="B271" s="6"/>
      <c r="C271" s="6"/>
      <c r="D271" s="6"/>
      <c r="E271" s="9"/>
      <c r="F271" s="9"/>
      <c r="G271" s="11"/>
      <c r="H271" s="5"/>
      <c r="I271" s="8"/>
      <c r="J271" s="8"/>
    </row>
    <row r="272" spans="2:10" ht="12.75" x14ac:dyDescent="0.2">
      <c r="B272" s="6"/>
      <c r="C272" s="6"/>
      <c r="D272" s="6"/>
      <c r="E272" s="9"/>
      <c r="F272" s="9"/>
      <c r="G272" s="11"/>
      <c r="H272" s="5"/>
      <c r="I272" s="8"/>
      <c r="J272" s="8"/>
    </row>
    <row r="273" spans="2:10" ht="12.75" x14ac:dyDescent="0.2">
      <c r="B273" s="6"/>
      <c r="C273" s="6"/>
      <c r="D273" s="6"/>
      <c r="E273" s="9"/>
      <c r="F273" s="9"/>
      <c r="G273" s="11"/>
      <c r="H273" s="5"/>
      <c r="I273" s="8"/>
      <c r="J273" s="8"/>
    </row>
    <row r="274" spans="2:10" ht="12.75" x14ac:dyDescent="0.2">
      <c r="B274" s="6"/>
      <c r="C274" s="6"/>
      <c r="D274" s="6"/>
      <c r="E274" s="9"/>
      <c r="F274" s="9"/>
      <c r="G274" s="11"/>
      <c r="H274" s="5"/>
      <c r="I274" s="8"/>
      <c r="J274" s="8"/>
    </row>
    <row r="275" spans="2:10" ht="12.75" x14ac:dyDescent="0.2">
      <c r="B275" s="6"/>
      <c r="C275" s="6"/>
      <c r="D275" s="6"/>
      <c r="E275" s="9"/>
      <c r="F275" s="9"/>
      <c r="G275" s="11"/>
      <c r="H275" s="5"/>
      <c r="I275" s="8"/>
      <c r="J275" s="8"/>
    </row>
    <row r="276" spans="2:10" ht="12.75" x14ac:dyDescent="0.2">
      <c r="B276" s="6"/>
      <c r="C276" s="6"/>
      <c r="D276" s="6"/>
      <c r="E276" s="9"/>
      <c r="F276" s="9"/>
      <c r="G276" s="11"/>
      <c r="H276" s="5"/>
      <c r="I276" s="8"/>
      <c r="J276" s="8"/>
    </row>
    <row r="277" spans="2:10" ht="12.75" x14ac:dyDescent="0.2">
      <c r="B277" s="6"/>
      <c r="C277" s="6"/>
      <c r="D277" s="6"/>
      <c r="E277" s="9"/>
      <c r="F277" s="9"/>
      <c r="G277" s="11"/>
      <c r="H277" s="5"/>
      <c r="I277" s="8"/>
      <c r="J277" s="8"/>
    </row>
    <row r="278" spans="2:10" ht="12.75" x14ac:dyDescent="0.2">
      <c r="B278" s="6"/>
      <c r="C278" s="6"/>
      <c r="D278" s="6"/>
      <c r="E278" s="9"/>
      <c r="F278" s="9"/>
      <c r="G278" s="11"/>
      <c r="H278" s="5"/>
      <c r="I278" s="8"/>
      <c r="J278" s="8"/>
    </row>
    <row r="279" spans="2:10" ht="12.75" x14ac:dyDescent="0.2">
      <c r="B279" s="6"/>
      <c r="C279" s="6"/>
      <c r="D279" s="6"/>
      <c r="E279" s="9"/>
      <c r="F279" s="9"/>
      <c r="G279" s="11"/>
      <c r="H279" s="5"/>
      <c r="I279" s="8"/>
      <c r="J279" s="8"/>
    </row>
    <row r="280" spans="2:10" ht="12.75" x14ac:dyDescent="0.2">
      <c r="B280" s="6"/>
      <c r="C280" s="6"/>
      <c r="D280" s="6"/>
      <c r="E280" s="9"/>
      <c r="F280" s="9"/>
      <c r="G280" s="11"/>
      <c r="H280" s="5"/>
      <c r="I280" s="8"/>
      <c r="J280" s="8"/>
    </row>
    <row r="281" spans="2:10" ht="12.75" x14ac:dyDescent="0.2">
      <c r="B281" s="6"/>
      <c r="C281" s="6"/>
      <c r="D281" s="6"/>
      <c r="E281" s="9"/>
      <c r="F281" s="9"/>
      <c r="G281" s="11"/>
      <c r="H281" s="5"/>
      <c r="I281" s="8"/>
      <c r="J281" s="8"/>
    </row>
    <row r="282" spans="2:10" ht="12.75" x14ac:dyDescent="0.2">
      <c r="B282" s="6"/>
      <c r="C282" s="6"/>
      <c r="D282" s="6"/>
      <c r="E282" s="9"/>
      <c r="F282" s="9"/>
      <c r="G282" s="11"/>
      <c r="H282" s="5"/>
      <c r="I282" s="8"/>
      <c r="J282" s="8"/>
    </row>
    <row r="283" spans="2:10" ht="12.75" x14ac:dyDescent="0.2">
      <c r="B283" s="6"/>
      <c r="C283" s="6"/>
      <c r="D283" s="6"/>
      <c r="E283" s="9"/>
      <c r="F283" s="9"/>
      <c r="G283" s="11"/>
      <c r="H283" s="5"/>
      <c r="I283" s="8"/>
      <c r="J283" s="8"/>
    </row>
    <row r="284" spans="2:10" ht="12.75" x14ac:dyDescent="0.2">
      <c r="B284" s="6"/>
      <c r="C284" s="6"/>
      <c r="D284" s="6"/>
      <c r="E284" s="9"/>
      <c r="F284" s="9"/>
      <c r="G284" s="11"/>
      <c r="H284" s="5"/>
      <c r="I284" s="8"/>
      <c r="J284" s="8"/>
    </row>
    <row r="285" spans="2:10" ht="12.75" x14ac:dyDescent="0.2">
      <c r="B285" s="6"/>
      <c r="C285" s="6"/>
      <c r="D285" s="6"/>
      <c r="E285" s="9"/>
      <c r="F285" s="9"/>
      <c r="G285" s="11"/>
      <c r="H285" s="5"/>
      <c r="I285" s="8"/>
      <c r="J285" s="8"/>
    </row>
    <row r="286" spans="2:10" ht="12.75" x14ac:dyDescent="0.2">
      <c r="B286" s="6"/>
      <c r="C286" s="6"/>
      <c r="D286" s="6"/>
      <c r="E286" s="9"/>
      <c r="F286" s="9"/>
      <c r="G286" s="11"/>
      <c r="H286" s="5"/>
      <c r="I286" s="8"/>
      <c r="J286" s="8"/>
    </row>
    <row r="287" spans="2:10" ht="12.75" x14ac:dyDescent="0.2">
      <c r="B287" s="6"/>
      <c r="C287" s="6"/>
      <c r="D287" s="6"/>
      <c r="E287" s="9"/>
      <c r="F287" s="9"/>
      <c r="G287" s="11"/>
      <c r="H287" s="5"/>
      <c r="I287" s="8"/>
      <c r="J287" s="8"/>
    </row>
    <row r="288" spans="2:10" ht="12.75" x14ac:dyDescent="0.2">
      <c r="B288" s="6"/>
      <c r="C288" s="6"/>
      <c r="D288" s="6"/>
      <c r="E288" s="9"/>
      <c r="F288" s="9"/>
      <c r="G288" s="11"/>
      <c r="H288" s="5"/>
      <c r="I288" s="8"/>
      <c r="J288" s="8"/>
    </row>
    <row r="289" spans="2:10" ht="12.75" x14ac:dyDescent="0.2">
      <c r="B289" s="6"/>
      <c r="C289" s="6"/>
      <c r="D289" s="6"/>
      <c r="E289" s="9"/>
      <c r="F289" s="9"/>
      <c r="G289" s="11"/>
      <c r="H289" s="5"/>
      <c r="I289" s="8"/>
      <c r="J289" s="8"/>
    </row>
    <row r="290" spans="2:10" ht="12.75" x14ac:dyDescent="0.2">
      <c r="B290" s="6"/>
      <c r="C290" s="6"/>
      <c r="D290" s="6"/>
      <c r="E290" s="9"/>
      <c r="F290" s="9"/>
      <c r="G290" s="11"/>
      <c r="H290" s="5"/>
      <c r="I290" s="8"/>
      <c r="J290" s="8"/>
    </row>
    <row r="291" spans="2:10" ht="12.75" x14ac:dyDescent="0.2">
      <c r="B291" s="6"/>
      <c r="C291" s="6"/>
      <c r="D291" s="6"/>
      <c r="E291" s="9"/>
      <c r="F291" s="9"/>
      <c r="G291" s="11"/>
      <c r="H291" s="5"/>
      <c r="I291" s="8"/>
      <c r="J291" s="8"/>
    </row>
    <row r="292" spans="2:10" ht="12.75" x14ac:dyDescent="0.2">
      <c r="B292" s="6"/>
      <c r="C292" s="6"/>
      <c r="D292" s="6"/>
      <c r="E292" s="9"/>
      <c r="F292" s="9"/>
      <c r="G292" s="11"/>
      <c r="H292" s="5"/>
      <c r="I292" s="8"/>
      <c r="J292" s="8"/>
    </row>
    <row r="293" spans="2:10" ht="12.75" x14ac:dyDescent="0.2">
      <c r="B293" s="6"/>
      <c r="C293" s="6"/>
      <c r="D293" s="6"/>
      <c r="E293" s="9"/>
      <c r="F293" s="9"/>
      <c r="G293" s="11"/>
      <c r="H293" s="5"/>
      <c r="I293" s="8"/>
      <c r="J293" s="8"/>
    </row>
    <row r="294" spans="2:10" ht="12.75" x14ac:dyDescent="0.2">
      <c r="B294" s="6"/>
      <c r="C294" s="6"/>
      <c r="D294" s="6"/>
      <c r="E294" s="9"/>
      <c r="F294" s="9"/>
      <c r="G294" s="11"/>
      <c r="H294" s="5"/>
      <c r="I294" s="8"/>
      <c r="J294" s="8"/>
    </row>
    <row r="295" spans="2:10" ht="12.75" x14ac:dyDescent="0.2">
      <c r="B295" s="6"/>
      <c r="C295" s="6"/>
      <c r="D295" s="6"/>
      <c r="E295" s="9"/>
      <c r="F295" s="9"/>
      <c r="G295" s="11"/>
      <c r="H295" s="5"/>
      <c r="I295" s="8"/>
      <c r="J295" s="8"/>
    </row>
    <row r="296" spans="2:10" ht="12.75" x14ac:dyDescent="0.2">
      <c r="B296" s="6"/>
      <c r="C296" s="6"/>
      <c r="D296" s="6"/>
      <c r="E296" s="9"/>
      <c r="F296" s="9"/>
      <c r="G296" s="11"/>
      <c r="H296" s="5"/>
      <c r="I296" s="8"/>
      <c r="J296" s="8"/>
    </row>
    <row r="297" spans="2:10" ht="12.75" x14ac:dyDescent="0.2">
      <c r="B297" s="6"/>
      <c r="C297" s="6"/>
      <c r="D297" s="6"/>
      <c r="E297" s="9"/>
      <c r="F297" s="9"/>
      <c r="G297" s="11"/>
      <c r="H297" s="5"/>
      <c r="I297" s="8"/>
      <c r="J297" s="8"/>
    </row>
    <row r="298" spans="2:10" ht="12.75" x14ac:dyDescent="0.2">
      <c r="B298" s="6"/>
      <c r="C298" s="6"/>
      <c r="D298" s="6"/>
      <c r="E298" s="9"/>
      <c r="F298" s="9"/>
      <c r="G298" s="11"/>
      <c r="H298" s="5"/>
      <c r="I298" s="8"/>
      <c r="J298" s="8"/>
    </row>
    <row r="299" spans="2:10" ht="12.75" x14ac:dyDescent="0.2">
      <c r="B299" s="6"/>
      <c r="C299" s="6"/>
      <c r="D299" s="6"/>
      <c r="E299" s="9"/>
      <c r="F299" s="9"/>
      <c r="G299" s="11"/>
      <c r="H299" s="5"/>
      <c r="I299" s="8"/>
      <c r="J299" s="8"/>
    </row>
    <row r="300" spans="2:10" ht="12.75" x14ac:dyDescent="0.2">
      <c r="B300" s="6"/>
      <c r="C300" s="6"/>
      <c r="D300" s="6"/>
      <c r="E300" s="9"/>
      <c r="F300" s="9"/>
      <c r="G300" s="11"/>
      <c r="H300" s="5"/>
      <c r="I300" s="8"/>
      <c r="J300" s="8"/>
    </row>
    <row r="301" spans="2:10" ht="12.75" x14ac:dyDescent="0.2">
      <c r="B301" s="6"/>
      <c r="C301" s="6"/>
      <c r="D301" s="6"/>
      <c r="E301" s="9"/>
      <c r="F301" s="9"/>
      <c r="G301" s="11"/>
      <c r="H301" s="5"/>
      <c r="I301" s="8"/>
      <c r="J301" s="8"/>
    </row>
    <row r="302" spans="2:10" ht="12.75" x14ac:dyDescent="0.2">
      <c r="B302" s="6"/>
      <c r="C302" s="6"/>
      <c r="D302" s="6"/>
      <c r="E302" s="9"/>
      <c r="F302" s="9"/>
      <c r="G302" s="11"/>
      <c r="H302" s="5"/>
      <c r="I302" s="8"/>
      <c r="J302" s="8"/>
    </row>
    <row r="303" spans="2:10" ht="12.75" x14ac:dyDescent="0.2">
      <c r="B303" s="6"/>
      <c r="C303" s="6"/>
      <c r="D303" s="6"/>
      <c r="E303" s="9"/>
      <c r="F303" s="9"/>
      <c r="G303" s="11"/>
      <c r="H303" s="5"/>
      <c r="I303" s="8"/>
      <c r="J303" s="8"/>
    </row>
    <row r="304" spans="2:10" ht="12.75" x14ac:dyDescent="0.2">
      <c r="B304" s="6"/>
      <c r="C304" s="6"/>
      <c r="D304" s="6"/>
      <c r="E304" s="9"/>
      <c r="F304" s="9"/>
      <c r="G304" s="11"/>
      <c r="H304" s="5"/>
      <c r="I304" s="8"/>
      <c r="J304" s="8"/>
    </row>
    <row r="305" spans="2:10" ht="12.75" x14ac:dyDescent="0.2">
      <c r="B305" s="6"/>
      <c r="C305" s="6"/>
      <c r="D305" s="6"/>
      <c r="E305" s="9"/>
      <c r="F305" s="9"/>
      <c r="G305" s="11"/>
      <c r="H305" s="5"/>
      <c r="I305" s="8"/>
      <c r="J305" s="8"/>
    </row>
    <row r="306" spans="2:10" ht="12.75" x14ac:dyDescent="0.2">
      <c r="B306" s="6"/>
      <c r="C306" s="6"/>
      <c r="D306" s="6"/>
      <c r="E306" s="9"/>
      <c r="F306" s="9"/>
      <c r="G306" s="11"/>
      <c r="H306" s="5"/>
      <c r="I306" s="8"/>
      <c r="J306" s="8"/>
    </row>
    <row r="307" spans="2:10" ht="12.75" x14ac:dyDescent="0.2">
      <c r="B307" s="6"/>
      <c r="C307" s="6"/>
      <c r="D307" s="6"/>
      <c r="E307" s="9"/>
      <c r="F307" s="9"/>
      <c r="G307" s="11"/>
      <c r="H307" s="5"/>
      <c r="I307" s="8"/>
      <c r="J307" s="8"/>
    </row>
    <row r="308" spans="2:10" ht="12.75" x14ac:dyDescent="0.2">
      <c r="B308" s="6"/>
      <c r="C308" s="6"/>
      <c r="D308" s="6"/>
      <c r="E308" s="9"/>
      <c r="F308" s="9"/>
      <c r="G308" s="11"/>
      <c r="H308" s="5"/>
      <c r="I308" s="8"/>
      <c r="J308" s="8"/>
    </row>
    <row r="309" spans="2:10" ht="12.75" x14ac:dyDescent="0.2">
      <c r="B309" s="6"/>
      <c r="C309" s="6"/>
      <c r="D309" s="6"/>
      <c r="E309" s="9"/>
      <c r="F309" s="9"/>
      <c r="G309" s="11"/>
      <c r="H309" s="5"/>
      <c r="I309" s="8"/>
      <c r="J309" s="8"/>
    </row>
    <row r="310" spans="2:10" ht="12.75" x14ac:dyDescent="0.2">
      <c r="B310" s="6"/>
      <c r="C310" s="6"/>
      <c r="D310" s="6"/>
      <c r="E310" s="9"/>
      <c r="F310" s="9"/>
      <c r="G310" s="11"/>
      <c r="H310" s="5"/>
      <c r="I310" s="8"/>
      <c r="J310" s="8"/>
    </row>
    <row r="311" spans="2:10" ht="12.75" x14ac:dyDescent="0.2">
      <c r="B311" s="6"/>
      <c r="C311" s="6"/>
      <c r="D311" s="6"/>
      <c r="E311" s="9"/>
      <c r="F311" s="9"/>
      <c r="G311" s="11"/>
      <c r="H311" s="5"/>
      <c r="I311" s="8"/>
      <c r="J311" s="8"/>
    </row>
    <row r="312" spans="2:10" ht="12.75" x14ac:dyDescent="0.2">
      <c r="B312" s="6"/>
      <c r="C312" s="6"/>
      <c r="D312" s="6"/>
      <c r="E312" s="9"/>
      <c r="F312" s="9"/>
      <c r="G312" s="11"/>
      <c r="H312" s="5"/>
      <c r="I312" s="8"/>
      <c r="J312" s="8"/>
    </row>
    <row r="313" spans="2:10" ht="12.75" x14ac:dyDescent="0.2">
      <c r="B313" s="6"/>
      <c r="C313" s="6"/>
      <c r="D313" s="6"/>
      <c r="E313" s="9"/>
      <c r="F313" s="9"/>
      <c r="G313" s="11"/>
      <c r="H313" s="5"/>
      <c r="I313" s="8"/>
      <c r="J313" s="8"/>
    </row>
    <row r="314" spans="2:10" ht="12.75" x14ac:dyDescent="0.2">
      <c r="B314" s="6"/>
      <c r="C314" s="6"/>
      <c r="D314" s="6"/>
      <c r="E314" s="9"/>
      <c r="F314" s="9"/>
      <c r="G314" s="11"/>
      <c r="H314" s="5"/>
      <c r="I314" s="8"/>
      <c r="J314" s="8"/>
    </row>
    <row r="315" spans="2:10" ht="12.75" x14ac:dyDescent="0.2">
      <c r="B315" s="6"/>
      <c r="C315" s="6"/>
      <c r="D315" s="6"/>
      <c r="E315" s="9"/>
      <c r="F315" s="9"/>
      <c r="G315" s="11"/>
      <c r="H315" s="5"/>
      <c r="I315" s="8"/>
      <c r="J315" s="8"/>
    </row>
    <row r="316" spans="2:10" ht="12.75" x14ac:dyDescent="0.2">
      <c r="B316" s="6"/>
      <c r="C316" s="6"/>
      <c r="D316" s="6"/>
      <c r="E316" s="9"/>
      <c r="F316" s="9"/>
      <c r="G316" s="11"/>
      <c r="H316" s="5"/>
      <c r="I316" s="8"/>
      <c r="J316" s="8"/>
    </row>
    <row r="317" spans="2:10" ht="12.75" x14ac:dyDescent="0.2">
      <c r="B317" s="6"/>
      <c r="C317" s="6"/>
      <c r="D317" s="6"/>
      <c r="E317" s="9"/>
      <c r="F317" s="9"/>
      <c r="G317" s="11"/>
      <c r="H317" s="5"/>
      <c r="I317" s="8"/>
      <c r="J317" s="8"/>
    </row>
    <row r="318" spans="2:10" ht="12.75" x14ac:dyDescent="0.2">
      <c r="B318" s="6"/>
      <c r="C318" s="6"/>
      <c r="D318" s="6"/>
      <c r="E318" s="9"/>
      <c r="F318" s="9"/>
      <c r="G318" s="11"/>
      <c r="H318" s="5"/>
      <c r="I318" s="8"/>
      <c r="J318" s="8"/>
    </row>
    <row r="319" spans="2:10" ht="12.75" x14ac:dyDescent="0.2">
      <c r="B319" s="6"/>
      <c r="C319" s="6"/>
      <c r="D319" s="6"/>
      <c r="E319" s="9"/>
      <c r="F319" s="9"/>
      <c r="G319" s="11"/>
      <c r="H319" s="5"/>
      <c r="I319" s="8"/>
      <c r="J319" s="8"/>
    </row>
    <row r="320" spans="2:10" ht="12.75" x14ac:dyDescent="0.2">
      <c r="B320" s="6"/>
      <c r="C320" s="6"/>
      <c r="D320" s="6"/>
      <c r="E320" s="9"/>
      <c r="F320" s="9"/>
      <c r="G320" s="11"/>
      <c r="H320" s="5"/>
      <c r="I320" s="8"/>
      <c r="J320" s="8"/>
    </row>
    <row r="321" spans="2:10" ht="12.75" x14ac:dyDescent="0.2">
      <c r="B321" s="6"/>
      <c r="C321" s="6"/>
      <c r="D321" s="6"/>
      <c r="E321" s="9"/>
      <c r="F321" s="9"/>
      <c r="G321" s="11"/>
      <c r="H321" s="5"/>
      <c r="I321" s="8"/>
      <c r="J321" s="8"/>
    </row>
    <row r="322" spans="2:10" ht="12.75" x14ac:dyDescent="0.2">
      <c r="B322" s="6"/>
      <c r="C322" s="6"/>
      <c r="D322" s="6"/>
      <c r="E322" s="9"/>
      <c r="F322" s="9"/>
      <c r="G322" s="11"/>
      <c r="H322" s="5"/>
      <c r="I322" s="8"/>
      <c r="J322" s="8"/>
    </row>
    <row r="323" spans="2:10" ht="12.75" x14ac:dyDescent="0.2">
      <c r="B323" s="6"/>
      <c r="C323" s="6"/>
      <c r="D323" s="6"/>
      <c r="E323" s="9"/>
      <c r="F323" s="9"/>
      <c r="G323" s="11"/>
      <c r="H323" s="5"/>
      <c r="I323" s="8"/>
      <c r="J323" s="8"/>
    </row>
    <row r="324" spans="2:10" ht="12.75" x14ac:dyDescent="0.2">
      <c r="B324" s="6"/>
      <c r="C324" s="6"/>
      <c r="D324" s="6"/>
      <c r="E324" s="9"/>
      <c r="F324" s="9"/>
      <c r="G324" s="11"/>
      <c r="H324" s="5"/>
      <c r="I324" s="8"/>
      <c r="J324" s="8"/>
    </row>
    <row r="325" spans="2:10" ht="12.75" x14ac:dyDescent="0.2">
      <c r="B325" s="6"/>
      <c r="C325" s="6"/>
      <c r="D325" s="6"/>
      <c r="E325" s="9"/>
      <c r="F325" s="9"/>
      <c r="G325" s="11"/>
      <c r="H325" s="5"/>
      <c r="I325" s="8"/>
      <c r="J325" s="8"/>
    </row>
    <row r="326" spans="2:10" ht="12.75" x14ac:dyDescent="0.2">
      <c r="B326" s="6"/>
      <c r="C326" s="6"/>
      <c r="D326" s="6"/>
      <c r="E326" s="9"/>
      <c r="F326" s="9"/>
      <c r="G326" s="11"/>
      <c r="H326" s="5"/>
      <c r="I326" s="8"/>
      <c r="J326" s="8"/>
    </row>
    <row r="327" spans="2:10" ht="12.75" x14ac:dyDescent="0.2">
      <c r="B327" s="6"/>
      <c r="C327" s="6"/>
      <c r="D327" s="6"/>
      <c r="E327" s="9"/>
      <c r="F327" s="9"/>
      <c r="G327" s="11"/>
      <c r="H327" s="5"/>
      <c r="I327" s="8"/>
      <c r="J327" s="8"/>
    </row>
    <row r="328" spans="2:10" ht="12.75" x14ac:dyDescent="0.2">
      <c r="B328" s="6"/>
      <c r="C328" s="6"/>
      <c r="D328" s="6"/>
      <c r="E328" s="9"/>
      <c r="F328" s="9"/>
      <c r="G328" s="11"/>
      <c r="H328" s="5"/>
      <c r="I328" s="8"/>
      <c r="J328" s="8"/>
    </row>
    <row r="329" spans="2:10" ht="12.75" x14ac:dyDescent="0.2">
      <c r="B329" s="6"/>
      <c r="C329" s="6"/>
      <c r="D329" s="6"/>
      <c r="E329" s="9"/>
      <c r="F329" s="9"/>
      <c r="G329" s="11"/>
      <c r="H329" s="5"/>
      <c r="I329" s="8"/>
      <c r="J329" s="8"/>
    </row>
    <row r="330" spans="2:10" ht="12.75" x14ac:dyDescent="0.2">
      <c r="B330" s="6"/>
      <c r="C330" s="6"/>
      <c r="D330" s="6"/>
      <c r="E330" s="9"/>
      <c r="F330" s="9"/>
      <c r="G330" s="11"/>
      <c r="H330" s="5"/>
      <c r="I330" s="8"/>
      <c r="J330" s="8"/>
    </row>
    <row r="331" spans="2:10" ht="12.75" x14ac:dyDescent="0.2">
      <c r="B331" s="6"/>
      <c r="C331" s="6"/>
      <c r="D331" s="6"/>
      <c r="E331" s="9"/>
      <c r="F331" s="9"/>
      <c r="G331" s="11"/>
      <c r="H331" s="5"/>
      <c r="I331" s="8"/>
      <c r="J331" s="8"/>
    </row>
    <row r="332" spans="2:10" ht="12.75" x14ac:dyDescent="0.2">
      <c r="B332" s="6"/>
      <c r="C332" s="6"/>
      <c r="D332" s="6"/>
      <c r="E332" s="9"/>
      <c r="F332" s="9"/>
      <c r="G332" s="11"/>
      <c r="H332" s="5"/>
      <c r="I332" s="8"/>
      <c r="J332" s="8"/>
    </row>
    <row r="333" spans="2:10" ht="12.75" x14ac:dyDescent="0.2">
      <c r="B333" s="6"/>
      <c r="C333" s="6"/>
      <c r="D333" s="6"/>
      <c r="E333" s="9"/>
      <c r="F333" s="9"/>
      <c r="G333" s="11"/>
      <c r="H333" s="5"/>
      <c r="I333" s="8"/>
      <c r="J333" s="8"/>
    </row>
    <row r="334" spans="2:10" ht="12.75" x14ac:dyDescent="0.2">
      <c r="B334" s="6"/>
      <c r="C334" s="6"/>
      <c r="D334" s="6"/>
      <c r="E334" s="9"/>
      <c r="F334" s="9"/>
      <c r="G334" s="11"/>
      <c r="H334" s="5"/>
      <c r="I334" s="8"/>
      <c r="J334" s="8"/>
    </row>
    <row r="335" spans="2:10" ht="12.75" x14ac:dyDescent="0.2">
      <c r="B335" s="6"/>
      <c r="C335" s="6"/>
      <c r="D335" s="6"/>
      <c r="E335" s="9"/>
      <c r="F335" s="9"/>
      <c r="G335" s="11"/>
      <c r="H335" s="5"/>
      <c r="I335" s="8"/>
      <c r="J335" s="8"/>
    </row>
    <row r="336" spans="2:10" ht="12.75" x14ac:dyDescent="0.2">
      <c r="B336" s="6"/>
      <c r="C336" s="6"/>
      <c r="D336" s="6"/>
      <c r="E336" s="9"/>
      <c r="F336" s="9"/>
      <c r="G336" s="11"/>
      <c r="H336" s="5"/>
      <c r="I336" s="8"/>
      <c r="J336" s="8"/>
    </row>
    <row r="337" spans="2:10" ht="12.75" x14ac:dyDescent="0.2">
      <c r="B337" s="6"/>
      <c r="C337" s="6"/>
      <c r="D337" s="6"/>
      <c r="E337" s="9"/>
      <c r="F337" s="9"/>
      <c r="G337" s="11"/>
      <c r="H337" s="5"/>
      <c r="I337" s="8"/>
      <c r="J337" s="8"/>
    </row>
    <row r="338" spans="2:10" ht="12.75" x14ac:dyDescent="0.2">
      <c r="B338" s="6"/>
      <c r="C338" s="6"/>
      <c r="D338" s="6"/>
      <c r="E338" s="9"/>
      <c r="F338" s="9"/>
      <c r="G338" s="11"/>
      <c r="H338" s="5"/>
      <c r="I338" s="8"/>
      <c r="J338" s="8"/>
    </row>
    <row r="339" spans="2:10" ht="12.75" x14ac:dyDescent="0.2">
      <c r="B339" s="6"/>
      <c r="C339" s="6"/>
      <c r="D339" s="6"/>
      <c r="E339" s="9"/>
      <c r="F339" s="9"/>
      <c r="G339" s="11"/>
      <c r="H339" s="5"/>
      <c r="I339" s="8"/>
      <c r="J339" s="8"/>
    </row>
    <row r="340" spans="2:10" ht="12.75" x14ac:dyDescent="0.2">
      <c r="B340" s="6"/>
      <c r="C340" s="6"/>
      <c r="D340" s="6"/>
      <c r="E340" s="9"/>
      <c r="F340" s="9"/>
      <c r="G340" s="11"/>
      <c r="H340" s="5"/>
      <c r="I340" s="8"/>
      <c r="J340" s="8"/>
    </row>
    <row r="341" spans="2:10" ht="12.75" x14ac:dyDescent="0.2">
      <c r="B341" s="6"/>
      <c r="C341" s="6"/>
      <c r="D341" s="6"/>
      <c r="E341" s="9"/>
      <c r="F341" s="9"/>
      <c r="G341" s="11"/>
      <c r="H341" s="5"/>
      <c r="I341" s="8"/>
      <c r="J341" s="8"/>
    </row>
    <row r="342" spans="2:10" ht="12.75" x14ac:dyDescent="0.2">
      <c r="B342" s="6"/>
      <c r="C342" s="6"/>
      <c r="D342" s="6"/>
      <c r="E342" s="9"/>
      <c r="F342" s="9"/>
      <c r="G342" s="11"/>
      <c r="H342" s="5"/>
      <c r="I342" s="8"/>
      <c r="J342" s="8"/>
    </row>
    <row r="343" spans="2:10" ht="12.75" x14ac:dyDescent="0.2">
      <c r="B343" s="6"/>
      <c r="C343" s="6"/>
      <c r="D343" s="6"/>
      <c r="E343" s="9"/>
      <c r="F343" s="9"/>
      <c r="G343" s="11"/>
      <c r="H343" s="5"/>
      <c r="I343" s="8"/>
      <c r="J343" s="8"/>
    </row>
    <row r="344" spans="2:10" ht="12.75" x14ac:dyDescent="0.2">
      <c r="B344" s="6"/>
      <c r="C344" s="6"/>
      <c r="D344" s="6"/>
      <c r="E344" s="9"/>
      <c r="F344" s="9"/>
      <c r="G344" s="11"/>
      <c r="H344" s="5"/>
      <c r="I344" s="8"/>
      <c r="J344" s="8"/>
    </row>
    <row r="345" spans="2:10" ht="12.75" x14ac:dyDescent="0.2">
      <c r="B345" s="6"/>
      <c r="C345" s="6"/>
      <c r="D345" s="6"/>
      <c r="E345" s="9"/>
      <c r="F345" s="9"/>
      <c r="G345" s="11"/>
      <c r="H345" s="5"/>
      <c r="I345" s="8"/>
      <c r="J345" s="8"/>
    </row>
    <row r="346" spans="2:10" ht="12.75" x14ac:dyDescent="0.2">
      <c r="B346" s="6"/>
      <c r="C346" s="6"/>
      <c r="D346" s="6"/>
      <c r="E346" s="9"/>
      <c r="F346" s="9"/>
      <c r="G346" s="11"/>
      <c r="H346" s="5"/>
      <c r="I346" s="8"/>
      <c r="J346" s="8"/>
    </row>
    <row r="347" spans="2:10" ht="12.75" x14ac:dyDescent="0.2">
      <c r="B347" s="6"/>
      <c r="C347" s="6"/>
      <c r="D347" s="6"/>
      <c r="E347" s="9"/>
      <c r="F347" s="9"/>
      <c r="G347" s="11"/>
      <c r="H347" s="5"/>
      <c r="I347" s="8"/>
      <c r="J347" s="8"/>
    </row>
    <row r="348" spans="2:10" ht="12.75" x14ac:dyDescent="0.2">
      <c r="B348" s="6"/>
      <c r="C348" s="6"/>
      <c r="D348" s="6"/>
      <c r="E348" s="9"/>
      <c r="F348" s="9"/>
      <c r="G348" s="11"/>
      <c r="H348" s="5"/>
      <c r="I348" s="8"/>
      <c r="J348" s="8"/>
    </row>
    <row r="349" spans="2:10" ht="12.75" x14ac:dyDescent="0.2">
      <c r="B349" s="6"/>
      <c r="C349" s="6"/>
      <c r="D349" s="6"/>
      <c r="E349" s="9"/>
      <c r="F349" s="9"/>
      <c r="G349" s="11"/>
      <c r="H349" s="5"/>
      <c r="I349" s="8"/>
      <c r="J349" s="8"/>
    </row>
    <row r="350" spans="2:10" ht="12.75" x14ac:dyDescent="0.2">
      <c r="B350" s="6"/>
      <c r="C350" s="6"/>
      <c r="D350" s="6"/>
      <c r="E350" s="9"/>
      <c r="F350" s="9"/>
      <c r="G350" s="11"/>
      <c r="H350" s="5"/>
      <c r="I350" s="8"/>
      <c r="J350" s="8"/>
    </row>
    <row r="351" spans="2:10" ht="12.75" x14ac:dyDescent="0.2">
      <c r="B351" s="6"/>
      <c r="C351" s="6"/>
      <c r="D351" s="6"/>
      <c r="E351" s="9"/>
      <c r="F351" s="9"/>
      <c r="G351" s="11"/>
      <c r="H351" s="5"/>
      <c r="I351" s="8"/>
      <c r="J351" s="8"/>
    </row>
    <row r="352" spans="2:10" ht="12.75" x14ac:dyDescent="0.2">
      <c r="B352" s="6"/>
      <c r="C352" s="6"/>
      <c r="D352" s="6"/>
      <c r="E352" s="9"/>
      <c r="F352" s="9"/>
      <c r="G352" s="11"/>
      <c r="H352" s="5"/>
      <c r="I352" s="8"/>
      <c r="J352" s="8"/>
    </row>
    <row r="353" spans="2:10" ht="12.75" x14ac:dyDescent="0.2">
      <c r="B353" s="6"/>
      <c r="C353" s="6"/>
      <c r="D353" s="6"/>
      <c r="E353" s="9"/>
      <c r="F353" s="9"/>
      <c r="G353" s="11"/>
      <c r="H353" s="5"/>
      <c r="I353" s="8"/>
      <c r="J353" s="8"/>
    </row>
    <row r="354" spans="2:10" ht="12.75" x14ac:dyDescent="0.2">
      <c r="B354" s="6"/>
      <c r="C354" s="6"/>
      <c r="D354" s="6"/>
      <c r="E354" s="9"/>
      <c r="F354" s="9"/>
      <c r="G354" s="11"/>
      <c r="H354" s="5"/>
      <c r="I354" s="8"/>
      <c r="J354" s="8"/>
    </row>
    <row r="355" spans="2:10" ht="12.75" x14ac:dyDescent="0.2">
      <c r="B355" s="6"/>
      <c r="C355" s="6"/>
      <c r="D355" s="6"/>
      <c r="E355" s="9"/>
      <c r="F355" s="9"/>
      <c r="G355" s="11"/>
      <c r="H355" s="5"/>
      <c r="I355" s="8"/>
      <c r="J355" s="8"/>
    </row>
    <row r="356" spans="2:10" ht="12.75" x14ac:dyDescent="0.2">
      <c r="B356" s="6"/>
      <c r="C356" s="6"/>
      <c r="D356" s="6"/>
      <c r="E356" s="9"/>
      <c r="F356" s="9"/>
      <c r="G356" s="11"/>
      <c r="H356" s="5"/>
      <c r="I356" s="8"/>
      <c r="J356" s="8"/>
    </row>
    <row r="357" spans="2:10" ht="12.75" x14ac:dyDescent="0.2">
      <c r="B357" s="6"/>
      <c r="C357" s="6"/>
      <c r="D357" s="6"/>
      <c r="E357" s="9"/>
      <c r="F357" s="9"/>
      <c r="G357" s="11"/>
      <c r="H357" s="5"/>
      <c r="I357" s="8"/>
      <c r="J357" s="8"/>
    </row>
    <row r="358" spans="2:10" ht="12.75" x14ac:dyDescent="0.2">
      <c r="B358" s="6"/>
      <c r="C358" s="6"/>
      <c r="D358" s="6"/>
      <c r="E358" s="9"/>
      <c r="F358" s="9"/>
      <c r="G358" s="11"/>
      <c r="H358" s="5"/>
      <c r="I358" s="8"/>
      <c r="J358" s="8"/>
    </row>
    <row r="359" spans="2:10" ht="12.75" x14ac:dyDescent="0.2">
      <c r="B359" s="6"/>
      <c r="C359" s="6"/>
      <c r="D359" s="6"/>
      <c r="E359" s="9"/>
      <c r="F359" s="9"/>
      <c r="G359" s="11"/>
      <c r="H359" s="5"/>
      <c r="I359" s="8"/>
      <c r="J359" s="8"/>
    </row>
    <row r="360" spans="2:10" ht="12.75" x14ac:dyDescent="0.2">
      <c r="B360" s="6"/>
      <c r="C360" s="6"/>
      <c r="D360" s="6"/>
      <c r="E360" s="9"/>
      <c r="F360" s="9"/>
      <c r="G360" s="11"/>
      <c r="H360" s="5"/>
      <c r="I360" s="8"/>
      <c r="J360" s="8"/>
    </row>
    <row r="361" spans="2:10" ht="12.75" x14ac:dyDescent="0.2">
      <c r="B361" s="6"/>
      <c r="C361" s="6"/>
      <c r="D361" s="6"/>
      <c r="E361" s="9"/>
      <c r="F361" s="9"/>
      <c r="G361" s="11"/>
      <c r="H361" s="5"/>
      <c r="I361" s="8"/>
      <c r="J361" s="8"/>
    </row>
    <row r="362" spans="2:10" ht="12.75" x14ac:dyDescent="0.2">
      <c r="B362" s="6"/>
      <c r="C362" s="6"/>
      <c r="D362" s="6"/>
      <c r="E362" s="9"/>
      <c r="F362" s="9"/>
      <c r="G362" s="11"/>
      <c r="H362" s="5"/>
      <c r="I362" s="8"/>
      <c r="J362" s="8"/>
    </row>
    <row r="363" spans="2:10" ht="12.75" x14ac:dyDescent="0.2">
      <c r="B363" s="6"/>
      <c r="C363" s="6"/>
      <c r="D363" s="6"/>
      <c r="E363" s="9"/>
      <c r="F363" s="9"/>
      <c r="G363" s="11"/>
      <c r="H363" s="5"/>
      <c r="I363" s="8"/>
      <c r="J363" s="8"/>
    </row>
    <row r="364" spans="2:10" ht="12.75" x14ac:dyDescent="0.2">
      <c r="B364" s="6"/>
      <c r="C364" s="6"/>
      <c r="D364" s="6"/>
      <c r="E364" s="9"/>
      <c r="F364" s="9"/>
      <c r="G364" s="11"/>
      <c r="H364" s="5"/>
      <c r="I364" s="8"/>
      <c r="J364" s="8"/>
    </row>
    <row r="365" spans="2:10" ht="12.75" x14ac:dyDescent="0.2">
      <c r="B365" s="6"/>
      <c r="C365" s="6"/>
      <c r="D365" s="6"/>
      <c r="E365" s="9"/>
      <c r="F365" s="9"/>
      <c r="G365" s="11"/>
      <c r="H365" s="5"/>
      <c r="I365" s="8"/>
      <c r="J365" s="8"/>
    </row>
    <row r="366" spans="2:10" ht="12.75" x14ac:dyDescent="0.2">
      <c r="B366" s="6"/>
      <c r="C366" s="6"/>
      <c r="D366" s="6"/>
      <c r="E366" s="9"/>
      <c r="F366" s="9"/>
      <c r="G366" s="11"/>
      <c r="H366" s="5"/>
      <c r="I366" s="8"/>
      <c r="J366" s="8"/>
    </row>
    <row r="367" spans="2:10" ht="12.75" x14ac:dyDescent="0.2">
      <c r="B367" s="6"/>
      <c r="C367" s="6"/>
      <c r="D367" s="6"/>
      <c r="E367" s="9"/>
      <c r="F367" s="9"/>
      <c r="G367" s="11"/>
      <c r="H367" s="5"/>
      <c r="I367" s="8"/>
      <c r="J367" s="8"/>
    </row>
    <row r="368" spans="2:10" ht="12.75" x14ac:dyDescent="0.2">
      <c r="B368" s="6"/>
      <c r="C368" s="6"/>
      <c r="D368" s="6"/>
      <c r="E368" s="9"/>
      <c r="F368" s="9"/>
      <c r="G368" s="11"/>
      <c r="H368" s="5"/>
      <c r="I368" s="8"/>
      <c r="J368" s="8"/>
    </row>
    <row r="369" spans="2:10" ht="12.75" x14ac:dyDescent="0.2">
      <c r="B369" s="6"/>
      <c r="C369" s="6"/>
      <c r="D369" s="6"/>
      <c r="E369" s="9"/>
      <c r="F369" s="9"/>
      <c r="G369" s="11"/>
      <c r="H369" s="5"/>
      <c r="I369" s="8"/>
      <c r="J369" s="8"/>
    </row>
    <row r="370" spans="2:10" ht="12.75" x14ac:dyDescent="0.2">
      <c r="B370" s="6"/>
      <c r="C370" s="6"/>
      <c r="D370" s="6"/>
      <c r="E370" s="9"/>
      <c r="F370" s="9"/>
      <c r="G370" s="11"/>
      <c r="H370" s="5"/>
      <c r="I370" s="8"/>
      <c r="J370" s="8"/>
    </row>
    <row r="371" spans="2:10" ht="12.75" x14ac:dyDescent="0.2">
      <c r="B371" s="6"/>
      <c r="C371" s="6"/>
      <c r="D371" s="6"/>
      <c r="E371" s="9"/>
      <c r="F371" s="9"/>
      <c r="G371" s="11"/>
      <c r="H371" s="5"/>
      <c r="I371" s="8"/>
      <c r="J371" s="8"/>
    </row>
    <row r="372" spans="2:10" ht="12.75" x14ac:dyDescent="0.2">
      <c r="B372" s="6"/>
      <c r="C372" s="6"/>
      <c r="D372" s="6"/>
      <c r="E372" s="9"/>
      <c r="F372" s="9"/>
      <c r="G372" s="11"/>
      <c r="H372" s="5"/>
      <c r="I372" s="8"/>
      <c r="J372" s="8"/>
    </row>
    <row r="373" spans="2:10" ht="12.75" x14ac:dyDescent="0.2">
      <c r="B373" s="6"/>
      <c r="C373" s="6"/>
      <c r="D373" s="6"/>
      <c r="E373" s="9"/>
      <c r="F373" s="9"/>
      <c r="G373" s="11"/>
      <c r="H373" s="5"/>
      <c r="I373" s="8"/>
      <c r="J373" s="8"/>
    </row>
    <row r="374" spans="2:10" ht="12.75" x14ac:dyDescent="0.2">
      <c r="B374" s="6"/>
      <c r="C374" s="6"/>
      <c r="D374" s="6"/>
      <c r="E374" s="9"/>
      <c r="F374" s="9"/>
      <c r="G374" s="11"/>
      <c r="H374" s="5"/>
      <c r="I374" s="8"/>
      <c r="J374" s="8"/>
    </row>
    <row r="375" spans="2:10" ht="12.75" x14ac:dyDescent="0.2">
      <c r="B375" s="6"/>
      <c r="C375" s="6"/>
      <c r="D375" s="6"/>
      <c r="E375" s="9"/>
      <c r="F375" s="9"/>
      <c r="G375" s="11"/>
      <c r="H375" s="5"/>
      <c r="I375" s="8"/>
      <c r="J375" s="8"/>
    </row>
    <row r="376" spans="2:10" ht="12.75" x14ac:dyDescent="0.2">
      <c r="B376" s="6"/>
      <c r="C376" s="6"/>
      <c r="D376" s="6"/>
      <c r="E376" s="9"/>
      <c r="F376" s="9"/>
      <c r="G376" s="11"/>
      <c r="H376" s="5"/>
      <c r="I376" s="8"/>
      <c r="J376" s="8"/>
    </row>
    <row r="377" spans="2:10" ht="12.75" x14ac:dyDescent="0.2">
      <c r="B377" s="6"/>
      <c r="C377" s="6"/>
      <c r="D377" s="6"/>
      <c r="E377" s="9"/>
      <c r="F377" s="9"/>
      <c r="G377" s="11"/>
      <c r="H377" s="5"/>
      <c r="I377" s="8"/>
      <c r="J377" s="8"/>
    </row>
    <row r="378" spans="2:10" ht="12.75" x14ac:dyDescent="0.2">
      <c r="B378" s="6"/>
      <c r="C378" s="6"/>
      <c r="D378" s="6"/>
      <c r="E378" s="9"/>
      <c r="F378" s="9"/>
      <c r="G378" s="11"/>
      <c r="H378" s="5"/>
      <c r="I378" s="8"/>
      <c r="J378" s="8"/>
    </row>
    <row r="379" spans="2:10" ht="12.75" x14ac:dyDescent="0.2">
      <c r="B379" s="6"/>
      <c r="C379" s="6"/>
      <c r="D379" s="6"/>
      <c r="E379" s="9"/>
      <c r="F379" s="9"/>
      <c r="G379" s="11"/>
      <c r="H379" s="5"/>
      <c r="I379" s="8"/>
      <c r="J379" s="8"/>
    </row>
    <row r="380" spans="2:10" ht="12.75" x14ac:dyDescent="0.2">
      <c r="B380" s="6"/>
      <c r="C380" s="6"/>
      <c r="D380" s="6"/>
      <c r="E380" s="9"/>
      <c r="F380" s="9"/>
      <c r="G380" s="11"/>
      <c r="H380" s="5"/>
      <c r="I380" s="8"/>
      <c r="J380" s="8"/>
    </row>
    <row r="381" spans="2:10" ht="12.75" x14ac:dyDescent="0.2">
      <c r="B381" s="6"/>
      <c r="C381" s="6"/>
      <c r="D381" s="6"/>
      <c r="E381" s="9"/>
      <c r="F381" s="9"/>
      <c r="G381" s="11"/>
      <c r="H381" s="5"/>
      <c r="I381" s="8"/>
      <c r="J381" s="8"/>
    </row>
    <row r="382" spans="2:10" ht="12.75" x14ac:dyDescent="0.2">
      <c r="B382" s="6"/>
      <c r="C382" s="6"/>
      <c r="D382" s="6"/>
      <c r="E382" s="9"/>
      <c r="F382" s="9"/>
      <c r="G382" s="11"/>
      <c r="H382" s="5"/>
      <c r="I382" s="8"/>
      <c r="J382" s="8"/>
    </row>
    <row r="383" spans="2:10" ht="12.75" x14ac:dyDescent="0.2">
      <c r="B383" s="6"/>
      <c r="C383" s="6"/>
      <c r="D383" s="6"/>
      <c r="E383" s="9"/>
      <c r="F383" s="9"/>
      <c r="G383" s="11"/>
      <c r="H383" s="5"/>
      <c r="I383" s="8"/>
      <c r="J383" s="8"/>
    </row>
    <row r="384" spans="2:10" ht="12.75" x14ac:dyDescent="0.2">
      <c r="B384" s="6"/>
      <c r="C384" s="6"/>
      <c r="D384" s="6"/>
      <c r="E384" s="9"/>
      <c r="F384" s="9"/>
      <c r="G384" s="11"/>
      <c r="H384" s="5"/>
      <c r="I384" s="8"/>
      <c r="J384" s="8"/>
    </row>
    <row r="385" spans="2:10" ht="12.75" x14ac:dyDescent="0.2">
      <c r="B385" s="6"/>
      <c r="C385" s="6"/>
      <c r="D385" s="6"/>
      <c r="E385" s="9"/>
      <c r="F385" s="9"/>
      <c r="G385" s="11"/>
      <c r="H385" s="5"/>
      <c r="I385" s="8"/>
      <c r="J385" s="8"/>
    </row>
    <row r="386" spans="2:10" ht="12.75" x14ac:dyDescent="0.2">
      <c r="B386" s="6"/>
      <c r="C386" s="6"/>
      <c r="D386" s="6"/>
      <c r="E386" s="9"/>
      <c r="F386" s="9"/>
      <c r="G386" s="11"/>
      <c r="H386" s="5"/>
      <c r="I386" s="8"/>
      <c r="J386" s="8"/>
    </row>
    <row r="387" spans="2:10" ht="12.75" x14ac:dyDescent="0.2">
      <c r="B387" s="6"/>
      <c r="C387" s="6"/>
      <c r="D387" s="6"/>
      <c r="E387" s="9"/>
      <c r="F387" s="9"/>
      <c r="G387" s="11"/>
      <c r="H387" s="5"/>
      <c r="I387" s="8"/>
      <c r="J387" s="8"/>
    </row>
    <row r="388" spans="2:10" ht="12.75" x14ac:dyDescent="0.2">
      <c r="B388" s="6"/>
      <c r="C388" s="6"/>
      <c r="D388" s="6"/>
      <c r="E388" s="9"/>
      <c r="F388" s="9"/>
      <c r="G388" s="11"/>
      <c r="H388" s="5"/>
      <c r="I388" s="8"/>
      <c r="J388" s="8"/>
    </row>
    <row r="389" spans="2:10" ht="12.75" x14ac:dyDescent="0.2">
      <c r="B389" s="6"/>
      <c r="C389" s="6"/>
      <c r="D389" s="6"/>
      <c r="E389" s="9"/>
      <c r="F389" s="9"/>
      <c r="G389" s="11"/>
      <c r="H389" s="5"/>
      <c r="I389" s="8"/>
      <c r="J389" s="8"/>
    </row>
    <row r="390" spans="2:10" ht="12.75" x14ac:dyDescent="0.2">
      <c r="B390" s="6"/>
      <c r="C390" s="6"/>
      <c r="D390" s="6"/>
      <c r="E390" s="9"/>
      <c r="F390" s="9"/>
      <c r="G390" s="11"/>
      <c r="H390" s="5"/>
      <c r="I390" s="8"/>
      <c r="J390" s="8"/>
    </row>
    <row r="391" spans="2:10" ht="12.75" x14ac:dyDescent="0.2">
      <c r="B391" s="6"/>
      <c r="C391" s="6"/>
      <c r="D391" s="6"/>
      <c r="E391" s="9"/>
      <c r="F391" s="9"/>
      <c r="G391" s="11"/>
      <c r="H391" s="5"/>
      <c r="I391" s="8"/>
      <c r="J391" s="8"/>
    </row>
    <row r="392" spans="2:10" ht="12.75" x14ac:dyDescent="0.2">
      <c r="B392" s="6"/>
      <c r="C392" s="6"/>
      <c r="D392" s="6"/>
      <c r="E392" s="9"/>
      <c r="F392" s="9"/>
      <c r="G392" s="11"/>
      <c r="H392" s="5"/>
      <c r="I392" s="8"/>
      <c r="J392" s="8"/>
    </row>
    <row r="393" spans="2:10" ht="12.75" x14ac:dyDescent="0.2">
      <c r="B393" s="6"/>
      <c r="C393" s="6"/>
      <c r="D393" s="6"/>
      <c r="E393" s="9"/>
      <c r="F393" s="9"/>
      <c r="G393" s="11"/>
      <c r="H393" s="5"/>
      <c r="I393" s="8"/>
      <c r="J393" s="8"/>
    </row>
    <row r="394" spans="2:10" ht="12.75" x14ac:dyDescent="0.2">
      <c r="B394" s="6"/>
      <c r="C394" s="6"/>
      <c r="D394" s="6"/>
      <c r="E394" s="9"/>
      <c r="F394" s="9"/>
      <c r="G394" s="11"/>
      <c r="H394" s="5"/>
      <c r="I394" s="8"/>
      <c r="J394" s="8"/>
    </row>
    <row r="395" spans="2:10" ht="12.75" x14ac:dyDescent="0.2">
      <c r="B395" s="6"/>
      <c r="C395" s="6"/>
      <c r="D395" s="6"/>
      <c r="E395" s="9"/>
      <c r="F395" s="9"/>
      <c r="G395" s="11"/>
      <c r="H395" s="5"/>
      <c r="I395" s="8"/>
      <c r="J395" s="8"/>
    </row>
    <row r="396" spans="2:10" ht="12.75" x14ac:dyDescent="0.2">
      <c r="B396" s="6"/>
      <c r="C396" s="6"/>
      <c r="D396" s="6"/>
      <c r="E396" s="9"/>
      <c r="F396" s="9"/>
      <c r="G396" s="11"/>
      <c r="H396" s="5"/>
      <c r="I396" s="8"/>
      <c r="J396" s="8"/>
    </row>
    <row r="397" spans="2:10" ht="12.75" x14ac:dyDescent="0.2">
      <c r="B397" s="6"/>
      <c r="C397" s="6"/>
      <c r="D397" s="6"/>
      <c r="E397" s="9"/>
      <c r="F397" s="9"/>
      <c r="G397" s="11"/>
      <c r="H397" s="5"/>
      <c r="I397" s="8"/>
      <c r="J397" s="8"/>
    </row>
    <row r="398" spans="2:10" ht="12.75" x14ac:dyDescent="0.2">
      <c r="B398" s="6"/>
      <c r="C398" s="6"/>
      <c r="D398" s="6"/>
      <c r="E398" s="9"/>
      <c r="F398" s="9"/>
      <c r="G398" s="11"/>
      <c r="H398" s="5"/>
      <c r="I398" s="8"/>
      <c r="J398" s="8"/>
    </row>
    <row r="399" spans="2:10" ht="12.75" x14ac:dyDescent="0.2">
      <c r="B399" s="6"/>
      <c r="C399" s="6"/>
      <c r="D399" s="6"/>
      <c r="E399" s="9"/>
      <c r="F399" s="9"/>
      <c r="G399" s="11"/>
      <c r="H399" s="5"/>
      <c r="I399" s="8"/>
      <c r="J399" s="8"/>
    </row>
    <row r="400" spans="2:10" ht="12.75" x14ac:dyDescent="0.2">
      <c r="B400" s="6"/>
      <c r="C400" s="6"/>
      <c r="D400" s="6"/>
      <c r="E400" s="9"/>
      <c r="F400" s="9"/>
      <c r="G400" s="11"/>
      <c r="H400" s="5"/>
      <c r="I400" s="8"/>
      <c r="J400" s="8"/>
    </row>
    <row r="401" spans="2:10" ht="12.75" x14ac:dyDescent="0.2">
      <c r="B401" s="6"/>
      <c r="C401" s="6"/>
      <c r="D401" s="6"/>
      <c r="E401" s="9"/>
      <c r="F401" s="9"/>
      <c r="G401" s="11"/>
      <c r="H401" s="5"/>
      <c r="I401" s="8"/>
      <c r="J401" s="8"/>
    </row>
    <row r="402" spans="2:10" ht="12.75" x14ac:dyDescent="0.2">
      <c r="B402" s="6"/>
      <c r="C402" s="6"/>
      <c r="D402" s="6"/>
      <c r="E402" s="9"/>
      <c r="F402" s="9"/>
      <c r="G402" s="11"/>
      <c r="H402" s="5"/>
      <c r="I402" s="8"/>
      <c r="J402" s="8"/>
    </row>
    <row r="403" spans="2:10" ht="12.75" x14ac:dyDescent="0.2">
      <c r="B403" s="6"/>
      <c r="C403" s="6"/>
      <c r="D403" s="6"/>
      <c r="E403" s="9"/>
      <c r="F403" s="9"/>
      <c r="G403" s="11"/>
      <c r="H403" s="5"/>
      <c r="I403" s="8"/>
      <c r="J403" s="8"/>
    </row>
    <row r="404" spans="2:10" ht="12.75" x14ac:dyDescent="0.2">
      <c r="B404" s="6"/>
      <c r="C404" s="6"/>
      <c r="D404" s="6"/>
      <c r="E404" s="9"/>
      <c r="F404" s="9"/>
      <c r="G404" s="11"/>
      <c r="H404" s="5"/>
      <c r="I404" s="8"/>
      <c r="J404" s="8"/>
    </row>
    <row r="405" spans="2:10" ht="12.75" x14ac:dyDescent="0.2">
      <c r="B405" s="6"/>
      <c r="C405" s="6"/>
      <c r="D405" s="6"/>
      <c r="E405" s="9"/>
      <c r="F405" s="9"/>
      <c r="G405" s="11"/>
      <c r="H405" s="5"/>
      <c r="I405" s="8"/>
      <c r="J405" s="8"/>
    </row>
    <row r="406" spans="2:10" ht="12.75" x14ac:dyDescent="0.2">
      <c r="B406" s="6"/>
      <c r="C406" s="6"/>
      <c r="D406" s="6"/>
      <c r="E406" s="9"/>
      <c r="F406" s="9"/>
      <c r="G406" s="11"/>
      <c r="H406" s="5"/>
      <c r="I406" s="8"/>
      <c r="J406" s="8"/>
    </row>
    <row r="407" spans="2:10" ht="12.75" x14ac:dyDescent="0.2">
      <c r="B407" s="6"/>
      <c r="C407" s="6"/>
      <c r="D407" s="6"/>
      <c r="E407" s="9"/>
      <c r="F407" s="9"/>
      <c r="G407" s="11"/>
      <c r="H407" s="5"/>
      <c r="I407" s="8"/>
      <c r="J407" s="8"/>
    </row>
    <row r="408" spans="2:10" ht="12.75" x14ac:dyDescent="0.2">
      <c r="B408" s="6"/>
      <c r="C408" s="6"/>
      <c r="D408" s="6"/>
      <c r="E408" s="9"/>
      <c r="F408" s="9"/>
      <c r="G408" s="11"/>
      <c r="H408" s="5"/>
      <c r="I408" s="8"/>
      <c r="J408" s="8"/>
    </row>
    <row r="409" spans="2:10" ht="12.75" x14ac:dyDescent="0.2">
      <c r="B409" s="6"/>
      <c r="C409" s="6"/>
      <c r="D409" s="6"/>
      <c r="E409" s="9"/>
      <c r="F409" s="9"/>
      <c r="G409" s="11"/>
      <c r="H409" s="5"/>
      <c r="I409" s="8"/>
      <c r="J409" s="8"/>
    </row>
    <row r="410" spans="2:10" ht="12.75" x14ac:dyDescent="0.2">
      <c r="B410" s="6"/>
      <c r="C410" s="6"/>
      <c r="D410" s="6"/>
      <c r="E410" s="9"/>
      <c r="F410" s="9"/>
      <c r="G410" s="11"/>
      <c r="H410" s="5"/>
      <c r="I410" s="8"/>
      <c r="J410" s="8"/>
    </row>
    <row r="411" spans="2:10" ht="12.75" x14ac:dyDescent="0.2">
      <c r="B411" s="6"/>
      <c r="C411" s="6"/>
      <c r="D411" s="6"/>
      <c r="E411" s="9"/>
      <c r="F411" s="9"/>
      <c r="G411" s="11"/>
      <c r="H411" s="5"/>
      <c r="I411" s="8"/>
      <c r="J411" s="8"/>
    </row>
    <row r="412" spans="2:10" ht="12.75" x14ac:dyDescent="0.2">
      <c r="B412" s="6"/>
      <c r="C412" s="6"/>
      <c r="D412" s="6"/>
      <c r="E412" s="9"/>
      <c r="F412" s="9"/>
      <c r="G412" s="11"/>
      <c r="H412" s="5"/>
      <c r="I412" s="8"/>
      <c r="J412" s="8"/>
    </row>
    <row r="413" spans="2:10" ht="12.75" x14ac:dyDescent="0.2">
      <c r="B413" s="6"/>
      <c r="C413" s="6"/>
      <c r="D413" s="6"/>
      <c r="E413" s="9"/>
      <c r="F413" s="9"/>
      <c r="G413" s="11"/>
      <c r="H413" s="5"/>
      <c r="I413" s="8"/>
      <c r="J413" s="8"/>
    </row>
    <row r="414" spans="2:10" ht="12.75" x14ac:dyDescent="0.2">
      <c r="B414" s="6"/>
      <c r="C414" s="6"/>
      <c r="D414" s="6"/>
      <c r="E414" s="9"/>
      <c r="F414" s="9"/>
      <c r="G414" s="11"/>
      <c r="H414" s="5"/>
      <c r="I414" s="8"/>
      <c r="J414" s="8"/>
    </row>
    <row r="415" spans="2:10" ht="12.75" x14ac:dyDescent="0.2">
      <c r="B415" s="6"/>
      <c r="C415" s="6"/>
      <c r="D415" s="6"/>
      <c r="E415" s="9"/>
      <c r="F415" s="9"/>
      <c r="G415" s="11"/>
      <c r="H415" s="5"/>
      <c r="I415" s="8"/>
      <c r="J415" s="8"/>
    </row>
    <row r="416" spans="2:10" ht="12.75" x14ac:dyDescent="0.2">
      <c r="B416" s="6"/>
      <c r="C416" s="6"/>
      <c r="D416" s="6"/>
      <c r="E416" s="9"/>
      <c r="F416" s="9"/>
      <c r="G416" s="11"/>
      <c r="H416" s="5"/>
      <c r="I416" s="8"/>
      <c r="J416" s="8"/>
    </row>
    <row r="417" spans="2:10" ht="12.75" x14ac:dyDescent="0.2">
      <c r="B417" s="6"/>
      <c r="C417" s="6"/>
      <c r="D417" s="6"/>
      <c r="E417" s="9"/>
      <c r="F417" s="9"/>
      <c r="G417" s="11"/>
      <c r="H417" s="5"/>
      <c r="I417" s="8"/>
      <c r="J417" s="8"/>
    </row>
    <row r="418" spans="2:10" ht="12.75" x14ac:dyDescent="0.2">
      <c r="B418" s="6"/>
      <c r="C418" s="6"/>
      <c r="D418" s="6"/>
      <c r="E418" s="9"/>
      <c r="F418" s="9"/>
      <c r="G418" s="11"/>
      <c r="H418" s="5"/>
      <c r="I418" s="8"/>
      <c r="J418" s="8"/>
    </row>
    <row r="419" spans="2:10" ht="12.75" x14ac:dyDescent="0.2">
      <c r="B419" s="6"/>
      <c r="C419" s="6"/>
      <c r="D419" s="6"/>
      <c r="E419" s="9"/>
      <c r="F419" s="9"/>
      <c r="G419" s="11"/>
      <c r="H419" s="5"/>
      <c r="I419" s="8"/>
      <c r="J419" s="8"/>
    </row>
    <row r="420" spans="2:10" ht="12.75" x14ac:dyDescent="0.2">
      <c r="B420" s="6"/>
      <c r="C420" s="6"/>
      <c r="D420" s="6"/>
      <c r="E420" s="9"/>
      <c r="F420" s="9"/>
      <c r="G420" s="11"/>
      <c r="H420" s="5"/>
      <c r="I420" s="8"/>
      <c r="J420" s="8"/>
    </row>
    <row r="421" spans="2:10" ht="12.75" x14ac:dyDescent="0.2">
      <c r="B421" s="6"/>
      <c r="C421" s="6"/>
      <c r="D421" s="6"/>
      <c r="E421" s="9"/>
      <c r="F421" s="9"/>
      <c r="G421" s="11"/>
      <c r="H421" s="5"/>
      <c r="I421" s="8"/>
      <c r="J421" s="8"/>
    </row>
    <row r="422" spans="2:10" ht="12.75" x14ac:dyDescent="0.2">
      <c r="B422" s="6"/>
      <c r="C422" s="6"/>
      <c r="D422" s="6"/>
      <c r="E422" s="9"/>
      <c r="F422" s="9"/>
      <c r="G422" s="11"/>
      <c r="H422" s="5"/>
      <c r="I422" s="8"/>
      <c r="J422" s="8"/>
    </row>
    <row r="423" spans="2:10" ht="12.75" x14ac:dyDescent="0.2">
      <c r="B423" s="6"/>
      <c r="C423" s="6"/>
      <c r="D423" s="6"/>
      <c r="E423" s="9"/>
      <c r="F423" s="9"/>
      <c r="G423" s="11"/>
      <c r="H423" s="5"/>
      <c r="I423" s="8"/>
      <c r="J423" s="8"/>
    </row>
    <row r="424" spans="2:10" ht="12.75" x14ac:dyDescent="0.2">
      <c r="B424" s="6"/>
      <c r="C424" s="6"/>
      <c r="D424" s="6"/>
      <c r="E424" s="9"/>
      <c r="F424" s="9"/>
      <c r="G424" s="11"/>
      <c r="H424" s="5"/>
      <c r="I424" s="8"/>
      <c r="J424" s="8"/>
    </row>
    <row r="425" spans="2:10" ht="12.75" x14ac:dyDescent="0.2">
      <c r="B425" s="6"/>
      <c r="C425" s="6"/>
      <c r="D425" s="6"/>
      <c r="E425" s="9"/>
      <c r="F425" s="9"/>
      <c r="G425" s="11"/>
      <c r="H425" s="5"/>
      <c r="I425" s="8"/>
      <c r="J425" s="8"/>
    </row>
    <row r="426" spans="2:10" ht="12.75" x14ac:dyDescent="0.2">
      <c r="B426" s="6"/>
      <c r="C426" s="6"/>
      <c r="D426" s="6"/>
      <c r="E426" s="9"/>
      <c r="F426" s="9"/>
      <c r="G426" s="11"/>
      <c r="H426" s="5"/>
      <c r="I426" s="8"/>
      <c r="J426" s="8"/>
    </row>
    <row r="427" spans="2:10" ht="12.75" x14ac:dyDescent="0.2">
      <c r="B427" s="6"/>
      <c r="C427" s="6"/>
      <c r="D427" s="6"/>
      <c r="E427" s="9"/>
      <c r="F427" s="9"/>
      <c r="G427" s="11"/>
      <c r="H427" s="5"/>
      <c r="I427" s="8"/>
      <c r="J427" s="8"/>
    </row>
    <row r="428" spans="2:10" ht="12.75" x14ac:dyDescent="0.2">
      <c r="B428" s="6"/>
      <c r="C428" s="6"/>
      <c r="D428" s="6"/>
      <c r="E428" s="9"/>
      <c r="F428" s="9"/>
      <c r="G428" s="11"/>
      <c r="H428" s="5"/>
      <c r="I428" s="8"/>
      <c r="J428" s="8"/>
    </row>
    <row r="429" spans="2:10" ht="12.75" x14ac:dyDescent="0.2">
      <c r="B429" s="6"/>
      <c r="C429" s="6"/>
      <c r="D429" s="6"/>
      <c r="E429" s="9"/>
      <c r="F429" s="9"/>
      <c r="G429" s="11"/>
      <c r="H429" s="5"/>
      <c r="I429" s="8"/>
      <c r="J429" s="8"/>
    </row>
    <row r="430" spans="2:10" ht="12.75" x14ac:dyDescent="0.2">
      <c r="B430" s="6"/>
      <c r="C430" s="6"/>
      <c r="D430" s="6"/>
      <c r="E430" s="9"/>
      <c r="F430" s="9"/>
      <c r="G430" s="11"/>
      <c r="H430" s="5"/>
      <c r="I430" s="8"/>
      <c r="J430" s="8"/>
    </row>
    <row r="431" spans="2:10" ht="12.75" x14ac:dyDescent="0.2">
      <c r="B431" s="6"/>
      <c r="C431" s="6"/>
      <c r="D431" s="6"/>
      <c r="E431" s="9"/>
      <c r="F431" s="9"/>
      <c r="G431" s="11"/>
      <c r="H431" s="5"/>
      <c r="I431" s="8"/>
      <c r="J431" s="8"/>
    </row>
    <row r="432" spans="2:10" ht="12.75" x14ac:dyDescent="0.2">
      <c r="B432" s="6"/>
      <c r="C432" s="6"/>
      <c r="D432" s="6"/>
      <c r="E432" s="9"/>
      <c r="F432" s="9"/>
      <c r="G432" s="11"/>
      <c r="H432" s="5"/>
      <c r="I432" s="8"/>
      <c r="J432" s="8"/>
    </row>
    <row r="433" spans="2:10" ht="12.75" x14ac:dyDescent="0.2">
      <c r="B433" s="6"/>
      <c r="C433" s="6"/>
      <c r="D433" s="6"/>
      <c r="E433" s="9"/>
      <c r="F433" s="9"/>
      <c r="G433" s="11"/>
      <c r="H433" s="5"/>
      <c r="I433" s="8"/>
      <c r="J433" s="8"/>
    </row>
    <row r="434" spans="2:10" ht="12.75" x14ac:dyDescent="0.2">
      <c r="B434" s="6"/>
      <c r="C434" s="6"/>
      <c r="D434" s="6"/>
      <c r="E434" s="9"/>
      <c r="F434" s="9"/>
      <c r="G434" s="11"/>
      <c r="H434" s="5"/>
      <c r="I434" s="8"/>
      <c r="J434" s="8"/>
    </row>
    <row r="435" spans="2:10" ht="12.75" x14ac:dyDescent="0.2">
      <c r="B435" s="6"/>
      <c r="C435" s="6"/>
      <c r="D435" s="6"/>
      <c r="E435" s="9"/>
      <c r="F435" s="9"/>
      <c r="G435" s="11"/>
      <c r="H435" s="5"/>
      <c r="I435" s="8"/>
      <c r="J435" s="8"/>
    </row>
    <row r="436" spans="2:10" ht="12.75" x14ac:dyDescent="0.2">
      <c r="B436" s="6"/>
      <c r="C436" s="6"/>
      <c r="D436" s="6"/>
      <c r="E436" s="9"/>
      <c r="F436" s="9"/>
      <c r="G436" s="11"/>
      <c r="H436" s="5"/>
      <c r="I436" s="8"/>
      <c r="J436" s="8"/>
    </row>
    <row r="437" spans="2:10" ht="12.75" x14ac:dyDescent="0.2">
      <c r="B437" s="6"/>
      <c r="C437" s="6"/>
      <c r="D437" s="6"/>
      <c r="E437" s="9"/>
      <c r="F437" s="9"/>
      <c r="G437" s="11"/>
      <c r="H437" s="5"/>
      <c r="I437" s="8"/>
      <c r="J437" s="8"/>
    </row>
    <row r="438" spans="2:10" ht="12.75" x14ac:dyDescent="0.2">
      <c r="B438" s="6"/>
      <c r="C438" s="6"/>
      <c r="D438" s="6"/>
      <c r="E438" s="9"/>
      <c r="F438" s="9"/>
      <c r="G438" s="11"/>
      <c r="H438" s="5"/>
      <c r="I438" s="8"/>
      <c r="J438" s="8"/>
    </row>
    <row r="439" spans="2:10" ht="12.75" x14ac:dyDescent="0.2">
      <c r="B439" s="6"/>
      <c r="C439" s="6"/>
      <c r="D439" s="6"/>
      <c r="E439" s="9"/>
      <c r="F439" s="9"/>
      <c r="G439" s="11"/>
      <c r="H439" s="5"/>
      <c r="I439" s="8"/>
      <c r="J439" s="8"/>
    </row>
    <row r="440" spans="2:10" ht="12.75" x14ac:dyDescent="0.2">
      <c r="B440" s="6"/>
      <c r="C440" s="6"/>
      <c r="D440" s="6"/>
      <c r="E440" s="9"/>
      <c r="F440" s="9"/>
      <c r="G440" s="11"/>
      <c r="H440" s="5"/>
      <c r="I440" s="8"/>
      <c r="J440" s="8"/>
    </row>
    <row r="441" spans="2:10" ht="12.75" x14ac:dyDescent="0.2">
      <c r="B441" s="6"/>
      <c r="C441" s="6"/>
      <c r="D441" s="6"/>
      <c r="E441" s="9"/>
      <c r="F441" s="9"/>
      <c r="G441" s="11"/>
      <c r="H441" s="5"/>
      <c r="I441" s="8"/>
      <c r="J441" s="8"/>
    </row>
    <row r="442" spans="2:10" ht="12.75" x14ac:dyDescent="0.2">
      <c r="B442" s="6"/>
      <c r="C442" s="6"/>
      <c r="D442" s="6"/>
      <c r="E442" s="9"/>
      <c r="F442" s="9"/>
      <c r="G442" s="11"/>
      <c r="H442" s="5"/>
      <c r="I442" s="8"/>
      <c r="J442" s="8"/>
    </row>
    <row r="443" spans="2:10" ht="12.75" x14ac:dyDescent="0.2">
      <c r="B443" s="6"/>
      <c r="C443" s="6"/>
      <c r="D443" s="6"/>
      <c r="E443" s="9"/>
      <c r="F443" s="9"/>
      <c r="G443" s="11"/>
      <c r="H443" s="5"/>
      <c r="I443" s="8"/>
      <c r="J443" s="8"/>
    </row>
    <row r="444" spans="2:10" ht="12.75" x14ac:dyDescent="0.2">
      <c r="B444" s="6"/>
      <c r="C444" s="6"/>
      <c r="D444" s="6"/>
      <c r="E444" s="9"/>
      <c r="F444" s="9"/>
      <c r="G444" s="11"/>
      <c r="H444" s="5"/>
      <c r="I444" s="8"/>
      <c r="J444" s="8"/>
    </row>
    <row r="445" spans="2:10" ht="12.75" x14ac:dyDescent="0.2">
      <c r="B445" s="6"/>
      <c r="C445" s="6"/>
      <c r="D445" s="6"/>
      <c r="E445" s="9"/>
      <c r="F445" s="9"/>
      <c r="G445" s="11"/>
      <c r="H445" s="5"/>
      <c r="I445" s="8"/>
      <c r="J445" s="8"/>
    </row>
    <row r="446" spans="2:10" ht="12.75" x14ac:dyDescent="0.2">
      <c r="B446" s="6"/>
      <c r="C446" s="6"/>
      <c r="D446" s="6"/>
      <c r="E446" s="9"/>
      <c r="F446" s="9"/>
      <c r="G446" s="11"/>
      <c r="H446" s="5"/>
      <c r="I446" s="8"/>
      <c r="J446" s="8"/>
    </row>
    <row r="447" spans="2:10" ht="12.75" x14ac:dyDescent="0.2">
      <c r="B447" s="6"/>
      <c r="C447" s="6"/>
      <c r="D447" s="6"/>
      <c r="E447" s="9"/>
      <c r="F447" s="9"/>
      <c r="G447" s="11"/>
      <c r="H447" s="5"/>
      <c r="I447" s="8"/>
      <c r="J447" s="8"/>
    </row>
    <row r="448" spans="2:10" ht="12.75" x14ac:dyDescent="0.2">
      <c r="B448" s="6"/>
      <c r="C448" s="6"/>
      <c r="D448" s="6"/>
      <c r="E448" s="9"/>
      <c r="F448" s="9"/>
      <c r="G448" s="11"/>
      <c r="H448" s="5"/>
      <c r="I448" s="8"/>
      <c r="J448" s="8"/>
    </row>
    <row r="449" spans="2:10" ht="12.75" x14ac:dyDescent="0.2">
      <c r="B449" s="6"/>
      <c r="C449" s="6"/>
      <c r="D449" s="6"/>
      <c r="E449" s="9"/>
      <c r="F449" s="9"/>
      <c r="G449" s="11"/>
      <c r="H449" s="5"/>
      <c r="I449" s="8"/>
      <c r="J449" s="8"/>
    </row>
    <row r="450" spans="2:10" ht="12.75" x14ac:dyDescent="0.2">
      <c r="B450" s="6"/>
      <c r="C450" s="6"/>
      <c r="D450" s="6"/>
      <c r="E450" s="9"/>
      <c r="F450" s="9"/>
      <c r="G450" s="11"/>
      <c r="H450" s="5"/>
      <c r="I450" s="8"/>
      <c r="J450" s="8"/>
    </row>
    <row r="451" spans="2:10" ht="12.75" x14ac:dyDescent="0.2">
      <c r="B451" s="6"/>
      <c r="C451" s="6"/>
      <c r="D451" s="6"/>
      <c r="E451" s="9"/>
      <c r="F451" s="9"/>
      <c r="G451" s="11"/>
      <c r="H451" s="5"/>
      <c r="I451" s="8"/>
      <c r="J451" s="8"/>
    </row>
    <row r="452" spans="2:10" ht="12.75" x14ac:dyDescent="0.2">
      <c r="B452" s="6"/>
      <c r="C452" s="6"/>
      <c r="D452" s="6"/>
      <c r="E452" s="9"/>
      <c r="F452" s="9"/>
      <c r="G452" s="11"/>
      <c r="H452" s="5"/>
      <c r="I452" s="8"/>
      <c r="J452" s="8"/>
    </row>
    <row r="453" spans="2:10" ht="12.75" x14ac:dyDescent="0.2">
      <c r="B453" s="6"/>
      <c r="C453" s="6"/>
      <c r="D453" s="6"/>
      <c r="E453" s="9"/>
      <c r="F453" s="9"/>
      <c r="G453" s="11"/>
      <c r="H453" s="5"/>
      <c r="I453" s="8"/>
      <c r="J453" s="8"/>
    </row>
    <row r="454" spans="2:10" ht="12.75" x14ac:dyDescent="0.2">
      <c r="B454" s="6"/>
      <c r="C454" s="6"/>
      <c r="D454" s="6"/>
      <c r="E454" s="9"/>
      <c r="F454" s="9"/>
      <c r="G454" s="11"/>
      <c r="H454" s="5"/>
      <c r="I454" s="8"/>
      <c r="J454" s="8"/>
    </row>
    <row r="455" spans="2:10" ht="12.75" x14ac:dyDescent="0.2">
      <c r="B455" s="6"/>
      <c r="C455" s="6"/>
      <c r="D455" s="6"/>
      <c r="E455" s="9"/>
      <c r="F455" s="9"/>
      <c r="G455" s="11"/>
      <c r="H455" s="5"/>
      <c r="I455" s="8"/>
      <c r="J455" s="8"/>
    </row>
    <row r="456" spans="2:10" ht="12.75" x14ac:dyDescent="0.2">
      <c r="B456" s="6"/>
      <c r="C456" s="6"/>
      <c r="D456" s="6"/>
      <c r="E456" s="9"/>
      <c r="F456" s="9"/>
      <c r="G456" s="11"/>
      <c r="H456" s="5"/>
      <c r="I456" s="8"/>
      <c r="J456" s="8"/>
    </row>
    <row r="457" spans="2:10" ht="12.75" x14ac:dyDescent="0.2">
      <c r="B457" s="6"/>
      <c r="C457" s="6"/>
      <c r="D457" s="6"/>
      <c r="E457" s="9"/>
      <c r="F457" s="9"/>
      <c r="G457" s="11"/>
      <c r="H457" s="5"/>
      <c r="I457" s="8"/>
      <c r="J457" s="8"/>
    </row>
    <row r="458" spans="2:10" ht="12.75" x14ac:dyDescent="0.2">
      <c r="B458" s="6"/>
      <c r="C458" s="6"/>
      <c r="D458" s="6"/>
      <c r="E458" s="9"/>
      <c r="F458" s="9"/>
      <c r="G458" s="11"/>
      <c r="H458" s="5"/>
      <c r="I458" s="8"/>
      <c r="J458" s="8"/>
    </row>
    <row r="459" spans="2:10" ht="12.75" x14ac:dyDescent="0.2">
      <c r="B459" s="6"/>
      <c r="C459" s="6"/>
      <c r="D459" s="6"/>
      <c r="E459" s="9"/>
      <c r="F459" s="9"/>
      <c r="G459" s="11"/>
      <c r="H459" s="5"/>
      <c r="I459" s="8"/>
      <c r="J459" s="8"/>
    </row>
    <row r="460" spans="2:10" ht="12.75" x14ac:dyDescent="0.2">
      <c r="B460" s="6"/>
      <c r="C460" s="6"/>
      <c r="D460" s="6"/>
      <c r="E460" s="9"/>
      <c r="F460" s="9"/>
      <c r="G460" s="11"/>
      <c r="H460" s="5"/>
      <c r="I460" s="8"/>
      <c r="J460" s="8"/>
    </row>
    <row r="461" spans="2:10" ht="12.75" x14ac:dyDescent="0.2">
      <c r="B461" s="6"/>
      <c r="C461" s="6"/>
      <c r="D461" s="6"/>
      <c r="E461" s="9"/>
      <c r="F461" s="9"/>
      <c r="G461" s="11"/>
      <c r="H461" s="5"/>
      <c r="I461" s="8"/>
      <c r="J461" s="8"/>
    </row>
    <row r="462" spans="2:10" ht="12.75" x14ac:dyDescent="0.2">
      <c r="B462" s="6"/>
      <c r="C462" s="6"/>
      <c r="D462" s="6"/>
      <c r="E462" s="9"/>
      <c r="F462" s="9"/>
      <c r="G462" s="11"/>
      <c r="H462" s="5"/>
      <c r="I462" s="8"/>
      <c r="J462" s="8"/>
    </row>
    <row r="463" spans="2:10" ht="12.75" x14ac:dyDescent="0.2">
      <c r="B463" s="6"/>
      <c r="C463" s="6"/>
      <c r="D463" s="6"/>
      <c r="E463" s="9"/>
      <c r="F463" s="9"/>
      <c r="G463" s="11"/>
      <c r="H463" s="5"/>
      <c r="I463" s="8"/>
      <c r="J463" s="8"/>
    </row>
    <row r="464" spans="2:10" ht="12.75" x14ac:dyDescent="0.2">
      <c r="B464" s="6"/>
      <c r="C464" s="6"/>
      <c r="D464" s="6"/>
      <c r="E464" s="9"/>
      <c r="F464" s="9"/>
      <c r="G464" s="11"/>
      <c r="H464" s="5"/>
      <c r="I464" s="8"/>
      <c r="J464" s="8"/>
    </row>
    <row r="465" spans="2:10" ht="12.75" x14ac:dyDescent="0.2">
      <c r="B465" s="6"/>
      <c r="C465" s="6"/>
      <c r="D465" s="6"/>
      <c r="E465" s="9"/>
      <c r="F465" s="9"/>
      <c r="G465" s="11"/>
      <c r="H465" s="5"/>
      <c r="I465" s="8"/>
      <c r="J465" s="8"/>
    </row>
    <row r="466" spans="2:10" ht="12.75" x14ac:dyDescent="0.2">
      <c r="B466" s="6"/>
      <c r="C466" s="6"/>
      <c r="D466" s="6"/>
      <c r="E466" s="9"/>
      <c r="F466" s="9"/>
      <c r="G466" s="11"/>
      <c r="H466" s="5"/>
      <c r="I466" s="8"/>
      <c r="J466" s="8"/>
    </row>
    <row r="467" spans="2:10" ht="12.75" x14ac:dyDescent="0.2">
      <c r="B467" s="6"/>
      <c r="C467" s="6"/>
      <c r="D467" s="6"/>
      <c r="E467" s="9"/>
      <c r="F467" s="9"/>
      <c r="G467" s="11"/>
      <c r="H467" s="5"/>
      <c r="I467" s="8"/>
      <c r="J467" s="8"/>
    </row>
    <row r="468" spans="2:10" ht="12.75" x14ac:dyDescent="0.2">
      <c r="B468" s="6"/>
      <c r="C468" s="6"/>
      <c r="D468" s="6"/>
      <c r="E468" s="9"/>
      <c r="F468" s="9"/>
      <c r="G468" s="11"/>
      <c r="H468" s="5"/>
      <c r="I468" s="8"/>
      <c r="J468" s="8"/>
    </row>
    <row r="469" spans="2:10" ht="12.75" x14ac:dyDescent="0.2">
      <c r="B469" s="6"/>
      <c r="C469" s="6"/>
      <c r="D469" s="6"/>
      <c r="E469" s="9"/>
      <c r="F469" s="9"/>
      <c r="G469" s="11"/>
      <c r="H469" s="5"/>
      <c r="I469" s="8"/>
      <c r="J469" s="8"/>
    </row>
    <row r="470" spans="2:10" ht="12.75" x14ac:dyDescent="0.2">
      <c r="B470" s="6"/>
      <c r="C470" s="6"/>
      <c r="D470" s="6"/>
      <c r="E470" s="9"/>
      <c r="F470" s="9"/>
      <c r="G470" s="11"/>
      <c r="H470" s="5"/>
      <c r="I470" s="8"/>
      <c r="J470" s="8"/>
    </row>
    <row r="471" spans="2:10" ht="12.75" x14ac:dyDescent="0.2">
      <c r="B471" s="6"/>
      <c r="C471" s="6"/>
      <c r="D471" s="6"/>
      <c r="E471" s="9"/>
      <c r="F471" s="9"/>
      <c r="G471" s="11"/>
      <c r="H471" s="5"/>
      <c r="I471" s="8"/>
      <c r="J471" s="8"/>
    </row>
    <row r="472" spans="2:10" ht="12.75" x14ac:dyDescent="0.2">
      <c r="B472" s="6"/>
      <c r="C472" s="6"/>
      <c r="D472" s="6"/>
      <c r="E472" s="9"/>
      <c r="F472" s="9"/>
      <c r="G472" s="11"/>
      <c r="H472" s="5"/>
      <c r="I472" s="8"/>
      <c r="J472" s="8"/>
    </row>
    <row r="473" spans="2:10" ht="12.75" x14ac:dyDescent="0.2">
      <c r="B473" s="6"/>
      <c r="C473" s="6"/>
      <c r="D473" s="6"/>
      <c r="E473" s="9"/>
      <c r="F473" s="9"/>
      <c r="G473" s="11"/>
      <c r="H473" s="5"/>
      <c r="I473" s="8"/>
      <c r="J473" s="8"/>
    </row>
    <row r="474" spans="2:10" ht="12.75" x14ac:dyDescent="0.2">
      <c r="B474" s="6"/>
      <c r="C474" s="6"/>
      <c r="D474" s="6"/>
      <c r="E474" s="9"/>
      <c r="F474" s="9"/>
      <c r="G474" s="11"/>
      <c r="H474" s="5"/>
      <c r="I474" s="8"/>
      <c r="J474" s="8"/>
    </row>
    <row r="475" spans="2:10" ht="12.75" x14ac:dyDescent="0.2">
      <c r="B475" s="6"/>
      <c r="C475" s="6"/>
      <c r="D475" s="6"/>
      <c r="E475" s="9"/>
      <c r="F475" s="9"/>
      <c r="G475" s="11"/>
      <c r="H475" s="5"/>
      <c r="I475" s="8"/>
      <c r="J475" s="8"/>
    </row>
    <row r="476" spans="2:10" ht="12.75" x14ac:dyDescent="0.2">
      <c r="B476" s="6"/>
      <c r="C476" s="6"/>
      <c r="D476" s="6"/>
      <c r="E476" s="9"/>
      <c r="F476" s="9"/>
      <c r="G476" s="11"/>
      <c r="H476" s="5"/>
      <c r="I476" s="8"/>
      <c r="J476" s="8"/>
    </row>
    <row r="477" spans="2:10" ht="12.75" x14ac:dyDescent="0.2">
      <c r="B477" s="6"/>
      <c r="C477" s="6"/>
      <c r="D477" s="6"/>
      <c r="E477" s="9"/>
      <c r="F477" s="9"/>
      <c r="G477" s="11"/>
      <c r="H477" s="5"/>
      <c r="I477" s="8"/>
      <c r="J477" s="8"/>
    </row>
    <row r="478" spans="2:10" ht="12.75" x14ac:dyDescent="0.2">
      <c r="B478" s="6"/>
      <c r="C478" s="6"/>
      <c r="D478" s="6"/>
      <c r="E478" s="9"/>
      <c r="F478" s="9"/>
      <c r="G478" s="11"/>
      <c r="H478" s="5"/>
      <c r="I478" s="8"/>
      <c r="J478" s="8"/>
    </row>
    <row r="479" spans="2:10" ht="12.75" x14ac:dyDescent="0.2">
      <c r="B479" s="6"/>
      <c r="C479" s="6"/>
      <c r="D479" s="6"/>
      <c r="E479" s="9"/>
      <c r="F479" s="9"/>
      <c r="G479" s="11"/>
      <c r="H479" s="5"/>
      <c r="I479" s="8"/>
      <c r="J479" s="8"/>
    </row>
    <row r="480" spans="2:10" ht="12.75" x14ac:dyDescent="0.2">
      <c r="B480" s="6"/>
      <c r="C480" s="6"/>
      <c r="D480" s="6"/>
      <c r="E480" s="9"/>
      <c r="F480" s="9"/>
      <c r="G480" s="11"/>
      <c r="H480" s="5"/>
      <c r="I480" s="8"/>
      <c r="J480" s="8"/>
    </row>
    <row r="481" spans="2:10" ht="12.75" x14ac:dyDescent="0.2">
      <c r="B481" s="6"/>
      <c r="C481" s="6"/>
      <c r="D481" s="6"/>
      <c r="E481" s="9"/>
      <c r="F481" s="9"/>
      <c r="G481" s="11"/>
      <c r="H481" s="5"/>
      <c r="I481" s="8"/>
      <c r="J481" s="8"/>
    </row>
    <row r="482" spans="2:10" ht="12.75" x14ac:dyDescent="0.2">
      <c r="B482" s="6"/>
      <c r="C482" s="6"/>
      <c r="D482" s="6"/>
      <c r="E482" s="9"/>
      <c r="F482" s="9"/>
      <c r="G482" s="11"/>
      <c r="H482" s="5"/>
      <c r="I482" s="8"/>
      <c r="J482" s="8"/>
    </row>
    <row r="483" spans="2:10" ht="12.75" x14ac:dyDescent="0.2">
      <c r="B483" s="6"/>
      <c r="C483" s="6"/>
      <c r="D483" s="6"/>
      <c r="E483" s="9"/>
      <c r="F483" s="9"/>
      <c r="G483" s="11"/>
      <c r="H483" s="5"/>
      <c r="I483" s="8"/>
      <c r="J483" s="8"/>
    </row>
    <row r="484" spans="2:10" ht="12.75" x14ac:dyDescent="0.2">
      <c r="B484" s="6"/>
      <c r="C484" s="6"/>
      <c r="D484" s="6"/>
      <c r="E484" s="9"/>
      <c r="F484" s="9"/>
      <c r="G484" s="11"/>
      <c r="H484" s="5"/>
      <c r="I484" s="8"/>
      <c r="J484" s="8"/>
    </row>
    <row r="485" spans="2:10" ht="12.75" x14ac:dyDescent="0.2">
      <c r="B485" s="6"/>
      <c r="C485" s="6"/>
      <c r="D485" s="6"/>
      <c r="E485" s="9"/>
      <c r="F485" s="9"/>
      <c r="G485" s="11"/>
      <c r="H485" s="5"/>
      <c r="I485" s="8"/>
      <c r="J485" s="8"/>
    </row>
    <row r="486" spans="2:10" ht="12.75" x14ac:dyDescent="0.2">
      <c r="B486" s="6"/>
      <c r="C486" s="6"/>
      <c r="D486" s="6"/>
      <c r="E486" s="9"/>
      <c r="F486" s="9"/>
      <c r="G486" s="11"/>
      <c r="H486" s="5"/>
      <c r="I486" s="8"/>
      <c r="J486" s="8"/>
    </row>
    <row r="487" spans="2:10" ht="12.75" x14ac:dyDescent="0.2">
      <c r="B487" s="6"/>
      <c r="C487" s="6"/>
      <c r="D487" s="6"/>
      <c r="E487" s="9"/>
      <c r="F487" s="9"/>
      <c r="G487" s="11"/>
      <c r="H487" s="5"/>
      <c r="I487" s="8"/>
      <c r="J487" s="8"/>
    </row>
    <row r="488" spans="2:10" ht="12.75" x14ac:dyDescent="0.2">
      <c r="B488" s="6"/>
      <c r="C488" s="6"/>
      <c r="D488" s="6"/>
      <c r="E488" s="9"/>
      <c r="F488" s="9"/>
      <c r="G488" s="11"/>
      <c r="H488" s="5"/>
      <c r="I488" s="8"/>
      <c r="J488" s="8"/>
    </row>
    <row r="489" spans="2:10" ht="12.75" x14ac:dyDescent="0.2">
      <c r="B489" s="6"/>
      <c r="C489" s="6"/>
      <c r="D489" s="6"/>
      <c r="E489" s="9"/>
      <c r="F489" s="9"/>
      <c r="G489" s="11"/>
      <c r="H489" s="5"/>
      <c r="I489" s="8"/>
      <c r="J489" s="8"/>
    </row>
    <row r="490" spans="2:10" ht="12.75" x14ac:dyDescent="0.2">
      <c r="B490" s="6"/>
      <c r="C490" s="6"/>
      <c r="D490" s="6"/>
      <c r="E490" s="9"/>
      <c r="F490" s="9"/>
      <c r="G490" s="11"/>
      <c r="H490" s="5"/>
      <c r="I490" s="8"/>
      <c r="J490" s="8"/>
    </row>
    <row r="491" spans="2:10" ht="12.75" x14ac:dyDescent="0.2">
      <c r="B491" s="6"/>
      <c r="C491" s="6"/>
      <c r="D491" s="6"/>
      <c r="E491" s="9"/>
      <c r="F491" s="9"/>
      <c r="G491" s="11"/>
      <c r="H491" s="5"/>
      <c r="I491" s="8"/>
      <c r="J491" s="8"/>
    </row>
    <row r="492" spans="2:10" ht="12.75" x14ac:dyDescent="0.2">
      <c r="B492" s="6"/>
      <c r="C492" s="6"/>
      <c r="D492" s="6"/>
      <c r="E492" s="9"/>
      <c r="F492" s="9"/>
      <c r="G492" s="11"/>
      <c r="H492" s="5"/>
      <c r="I492" s="8"/>
      <c r="J492" s="8"/>
    </row>
    <row r="493" spans="2:10" ht="12.75" x14ac:dyDescent="0.2">
      <c r="B493" s="6"/>
      <c r="C493" s="6"/>
      <c r="D493" s="6"/>
      <c r="E493" s="9"/>
      <c r="F493" s="9"/>
      <c r="G493" s="11"/>
      <c r="H493" s="5"/>
      <c r="I493" s="8"/>
      <c r="J493" s="8"/>
    </row>
    <row r="494" spans="2:10" ht="12.75" x14ac:dyDescent="0.2">
      <c r="B494" s="6"/>
      <c r="C494" s="6"/>
      <c r="D494" s="6"/>
      <c r="E494" s="9"/>
      <c r="F494" s="9"/>
      <c r="G494" s="11"/>
      <c r="H494" s="5"/>
      <c r="I494" s="8"/>
      <c r="J494" s="8"/>
    </row>
    <row r="495" spans="2:10" ht="12.75" x14ac:dyDescent="0.2">
      <c r="B495" s="6"/>
      <c r="C495" s="6"/>
      <c r="D495" s="6"/>
      <c r="E495" s="9"/>
      <c r="F495" s="9"/>
      <c r="G495" s="11"/>
      <c r="H495" s="5"/>
      <c r="I495" s="8"/>
      <c r="J495" s="8"/>
    </row>
    <row r="496" spans="2:10" ht="12.75" x14ac:dyDescent="0.2">
      <c r="B496" s="6"/>
      <c r="C496" s="6"/>
      <c r="D496" s="6"/>
      <c r="E496" s="9"/>
      <c r="F496" s="9"/>
      <c r="G496" s="11"/>
      <c r="H496" s="5"/>
      <c r="I496" s="8"/>
      <c r="J496" s="8"/>
    </row>
    <row r="497" spans="2:10" ht="12.75" x14ac:dyDescent="0.2">
      <c r="B497" s="6"/>
      <c r="C497" s="6"/>
      <c r="D497" s="6"/>
      <c r="E497" s="9"/>
      <c r="F497" s="9"/>
      <c r="G497" s="11"/>
      <c r="H497" s="5"/>
      <c r="I497" s="8"/>
      <c r="J497" s="8"/>
    </row>
    <row r="498" spans="2:10" ht="12.75" x14ac:dyDescent="0.2">
      <c r="B498" s="6"/>
      <c r="C498" s="6"/>
      <c r="D498" s="6"/>
      <c r="E498" s="9"/>
      <c r="F498" s="9"/>
      <c r="G498" s="11"/>
      <c r="H498" s="5"/>
      <c r="I498" s="8"/>
      <c r="J498" s="8"/>
    </row>
    <row r="499" spans="2:10" ht="12.75" x14ac:dyDescent="0.2">
      <c r="B499" s="6"/>
      <c r="C499" s="6"/>
      <c r="D499" s="6"/>
      <c r="E499" s="9"/>
      <c r="F499" s="9"/>
      <c r="G499" s="11"/>
      <c r="H499" s="5"/>
      <c r="I499" s="8"/>
      <c r="J499" s="8"/>
    </row>
    <row r="500" spans="2:10" ht="12.75" x14ac:dyDescent="0.2">
      <c r="B500" s="6"/>
      <c r="C500" s="6"/>
      <c r="D500" s="6"/>
      <c r="E500" s="9"/>
      <c r="F500" s="9"/>
      <c r="G500" s="11"/>
      <c r="H500" s="5"/>
      <c r="I500" s="8"/>
      <c r="J500" s="8"/>
    </row>
    <row r="501" spans="2:10" ht="12.75" x14ac:dyDescent="0.2">
      <c r="B501" s="6"/>
      <c r="C501" s="6"/>
      <c r="D501" s="6"/>
      <c r="E501" s="9"/>
      <c r="F501" s="9"/>
      <c r="G501" s="11"/>
      <c r="H501" s="5"/>
      <c r="I501" s="8"/>
      <c r="J501" s="8"/>
    </row>
    <row r="502" spans="2:10" ht="12.75" x14ac:dyDescent="0.2">
      <c r="B502" s="6"/>
      <c r="C502" s="6"/>
      <c r="D502" s="6"/>
      <c r="E502" s="9"/>
      <c r="F502" s="9"/>
      <c r="G502" s="11"/>
      <c r="H502" s="5"/>
      <c r="I502" s="8"/>
      <c r="J502" s="8"/>
    </row>
    <row r="503" spans="2:10" ht="12.75" x14ac:dyDescent="0.2">
      <c r="B503" s="6"/>
      <c r="C503" s="6"/>
      <c r="D503" s="6"/>
      <c r="E503" s="9"/>
      <c r="F503" s="9"/>
      <c r="G503" s="11"/>
      <c r="H503" s="5"/>
      <c r="I503" s="8"/>
      <c r="J503" s="8"/>
    </row>
    <row r="504" spans="2:10" ht="12.75" x14ac:dyDescent="0.2">
      <c r="B504" s="6"/>
      <c r="C504" s="6"/>
      <c r="D504" s="6"/>
      <c r="E504" s="9"/>
      <c r="F504" s="9"/>
      <c r="G504" s="11"/>
      <c r="H504" s="5"/>
      <c r="I504" s="8"/>
      <c r="J504" s="8"/>
    </row>
    <row r="505" spans="2:10" ht="12.75" x14ac:dyDescent="0.2">
      <c r="B505" s="6"/>
      <c r="C505" s="6"/>
      <c r="D505" s="6"/>
      <c r="E505" s="9"/>
      <c r="F505" s="9"/>
      <c r="G505" s="11"/>
      <c r="H505" s="5"/>
      <c r="I505" s="8"/>
      <c r="J505" s="8"/>
    </row>
    <row r="506" spans="2:10" ht="12.75" x14ac:dyDescent="0.2">
      <c r="B506" s="6"/>
      <c r="C506" s="6"/>
      <c r="D506" s="6"/>
      <c r="E506" s="9"/>
      <c r="F506" s="9"/>
      <c r="G506" s="11"/>
      <c r="H506" s="5"/>
      <c r="I506" s="8"/>
      <c r="J506" s="8"/>
    </row>
    <row r="507" spans="2:10" ht="12.75" x14ac:dyDescent="0.2">
      <c r="B507" s="6"/>
      <c r="C507" s="6"/>
      <c r="D507" s="6"/>
      <c r="E507" s="9"/>
      <c r="F507" s="9"/>
      <c r="G507" s="11"/>
      <c r="H507" s="5"/>
      <c r="I507" s="8"/>
      <c r="J507" s="8"/>
    </row>
    <row r="508" spans="2:10" ht="12.75" x14ac:dyDescent="0.2">
      <c r="B508" s="6"/>
      <c r="C508" s="6"/>
      <c r="D508" s="6"/>
      <c r="E508" s="9"/>
      <c r="F508" s="9"/>
      <c r="G508" s="11"/>
      <c r="H508" s="5"/>
      <c r="I508" s="8"/>
      <c r="J508" s="8"/>
    </row>
    <row r="509" spans="2:10" ht="12.75" x14ac:dyDescent="0.2">
      <c r="B509" s="6"/>
      <c r="C509" s="6"/>
      <c r="D509" s="6"/>
      <c r="E509" s="9"/>
      <c r="F509" s="9"/>
      <c r="G509" s="11"/>
      <c r="H509" s="5"/>
      <c r="I509" s="8"/>
      <c r="J509" s="8"/>
    </row>
    <row r="510" spans="2:10" ht="12.75" x14ac:dyDescent="0.2">
      <c r="B510" s="6"/>
      <c r="C510" s="6"/>
      <c r="D510" s="6"/>
      <c r="E510" s="9"/>
      <c r="F510" s="9"/>
      <c r="G510" s="11"/>
      <c r="H510" s="5"/>
      <c r="I510" s="8"/>
      <c r="J510" s="8"/>
    </row>
    <row r="511" spans="2:10" ht="12.75" x14ac:dyDescent="0.2">
      <c r="B511" s="6"/>
      <c r="C511" s="6"/>
      <c r="D511" s="6"/>
      <c r="E511" s="9"/>
      <c r="F511" s="9"/>
      <c r="G511" s="11"/>
      <c r="H511" s="5"/>
      <c r="I511" s="8"/>
      <c r="J511" s="8"/>
    </row>
    <row r="512" spans="2:10" ht="12.75" x14ac:dyDescent="0.2">
      <c r="B512" s="6"/>
      <c r="C512" s="6"/>
      <c r="D512" s="6"/>
      <c r="E512" s="9"/>
      <c r="F512" s="9"/>
      <c r="G512" s="11"/>
      <c r="H512" s="5"/>
      <c r="I512" s="8"/>
      <c r="J512" s="8"/>
    </row>
    <row r="513" spans="2:10" ht="12.75" x14ac:dyDescent="0.2">
      <c r="B513" s="6"/>
      <c r="C513" s="6"/>
      <c r="D513" s="6"/>
      <c r="E513" s="9"/>
      <c r="F513" s="9"/>
      <c r="G513" s="11"/>
      <c r="H513" s="5"/>
      <c r="I513" s="8"/>
      <c r="J513" s="8"/>
    </row>
    <row r="514" spans="2:10" ht="12.75" x14ac:dyDescent="0.2">
      <c r="B514" s="6"/>
      <c r="C514" s="6"/>
      <c r="D514" s="6"/>
      <c r="E514" s="9"/>
      <c r="F514" s="9"/>
      <c r="G514" s="11"/>
      <c r="H514" s="5"/>
      <c r="I514" s="8"/>
      <c r="J514" s="8"/>
    </row>
    <row r="515" spans="2:10" ht="12.75" x14ac:dyDescent="0.2">
      <c r="B515" s="6"/>
      <c r="C515" s="6"/>
      <c r="D515" s="6"/>
      <c r="E515" s="9"/>
      <c r="F515" s="9"/>
      <c r="G515" s="11"/>
      <c r="H515" s="5"/>
      <c r="I515" s="8"/>
      <c r="J515" s="8"/>
    </row>
    <row r="516" spans="2:10" ht="12.75" x14ac:dyDescent="0.2">
      <c r="B516" s="6"/>
      <c r="C516" s="6"/>
      <c r="D516" s="6"/>
      <c r="E516" s="9"/>
      <c r="F516" s="9"/>
      <c r="G516" s="11"/>
      <c r="H516" s="5"/>
      <c r="I516" s="8"/>
      <c r="J516" s="8"/>
    </row>
    <row r="517" spans="2:10" ht="12.75" x14ac:dyDescent="0.2">
      <c r="B517" s="6"/>
      <c r="C517" s="6"/>
      <c r="D517" s="6"/>
      <c r="E517" s="9"/>
      <c r="F517" s="9"/>
      <c r="G517" s="11"/>
      <c r="H517" s="5"/>
      <c r="I517" s="8"/>
      <c r="J517" s="8"/>
    </row>
    <row r="518" spans="2:10" ht="12.75" x14ac:dyDescent="0.2">
      <c r="B518" s="6"/>
      <c r="C518" s="6"/>
      <c r="D518" s="6"/>
      <c r="E518" s="9"/>
      <c r="F518" s="9"/>
      <c r="G518" s="11"/>
      <c r="H518" s="5"/>
      <c r="I518" s="8"/>
      <c r="J518" s="8"/>
    </row>
    <row r="519" spans="2:10" ht="12.75" x14ac:dyDescent="0.2">
      <c r="B519" s="6"/>
      <c r="C519" s="6"/>
      <c r="D519" s="6"/>
      <c r="E519" s="9"/>
      <c r="F519" s="9"/>
      <c r="G519" s="11"/>
      <c r="H519" s="5"/>
      <c r="I519" s="8"/>
      <c r="J519" s="8"/>
    </row>
    <row r="520" spans="2:10" ht="12.75" x14ac:dyDescent="0.2">
      <c r="B520" s="6"/>
      <c r="C520" s="6"/>
      <c r="D520" s="6"/>
      <c r="E520" s="9"/>
      <c r="F520" s="9"/>
      <c r="G520" s="11"/>
      <c r="H520" s="5"/>
      <c r="I520" s="8"/>
      <c r="J520" s="8"/>
    </row>
    <row r="521" spans="2:10" ht="12.75" x14ac:dyDescent="0.2">
      <c r="B521" s="6"/>
      <c r="C521" s="6"/>
      <c r="D521" s="6"/>
      <c r="E521" s="9"/>
      <c r="F521" s="9"/>
      <c r="G521" s="11"/>
      <c r="H521" s="5"/>
      <c r="I521" s="8"/>
      <c r="J521" s="8"/>
    </row>
    <row r="522" spans="2:10" ht="12.75" x14ac:dyDescent="0.2">
      <c r="B522" s="6"/>
      <c r="C522" s="6"/>
      <c r="D522" s="6"/>
      <c r="E522" s="9"/>
      <c r="F522" s="9"/>
      <c r="G522" s="11"/>
      <c r="H522" s="5"/>
      <c r="I522" s="8"/>
      <c r="J522" s="8"/>
    </row>
    <row r="523" spans="2:10" ht="12.75" x14ac:dyDescent="0.2">
      <c r="B523" s="6"/>
      <c r="C523" s="6"/>
      <c r="D523" s="6"/>
      <c r="E523" s="9"/>
      <c r="F523" s="9"/>
      <c r="G523" s="11"/>
      <c r="H523" s="5"/>
      <c r="I523" s="8"/>
      <c r="J523" s="8"/>
    </row>
    <row r="524" spans="2:10" ht="12.75" x14ac:dyDescent="0.2">
      <c r="B524" s="6"/>
      <c r="C524" s="6"/>
      <c r="D524" s="6"/>
      <c r="E524" s="9"/>
      <c r="F524" s="9"/>
      <c r="G524" s="11"/>
      <c r="H524" s="5"/>
      <c r="I524" s="8"/>
      <c r="J524" s="8"/>
    </row>
    <row r="525" spans="2:10" ht="12.75" x14ac:dyDescent="0.2">
      <c r="B525" s="6"/>
      <c r="C525" s="6"/>
      <c r="D525" s="6"/>
      <c r="E525" s="9"/>
      <c r="F525" s="9"/>
      <c r="G525" s="11"/>
      <c r="H525" s="5"/>
      <c r="I525" s="8"/>
      <c r="J525" s="8"/>
    </row>
    <row r="526" spans="2:10" ht="12.75" x14ac:dyDescent="0.2">
      <c r="B526" s="6"/>
      <c r="C526" s="6"/>
      <c r="D526" s="6"/>
      <c r="E526" s="9"/>
      <c r="F526" s="9"/>
      <c r="G526" s="11"/>
      <c r="H526" s="5"/>
      <c r="I526" s="8"/>
      <c r="J526" s="8"/>
    </row>
    <row r="527" spans="2:10" ht="12.75" x14ac:dyDescent="0.2">
      <c r="B527" s="6"/>
      <c r="C527" s="6"/>
      <c r="D527" s="6"/>
      <c r="E527" s="9"/>
      <c r="F527" s="9"/>
      <c r="G527" s="11"/>
      <c r="H527" s="5"/>
      <c r="I527" s="8"/>
      <c r="J527" s="8"/>
    </row>
    <row r="528" spans="2:10" ht="12.75" x14ac:dyDescent="0.2">
      <c r="B528" s="6"/>
      <c r="C528" s="6"/>
      <c r="D528" s="6"/>
      <c r="E528" s="9"/>
      <c r="F528" s="9"/>
      <c r="G528" s="11"/>
      <c r="H528" s="5"/>
      <c r="I528" s="8"/>
      <c r="J528" s="8"/>
    </row>
    <row r="529" spans="2:10" ht="12.75" x14ac:dyDescent="0.2">
      <c r="B529" s="6"/>
      <c r="C529" s="6"/>
      <c r="D529" s="6"/>
      <c r="E529" s="9"/>
      <c r="F529" s="9"/>
      <c r="G529" s="11"/>
      <c r="H529" s="5"/>
      <c r="I529" s="8"/>
      <c r="J529" s="8"/>
    </row>
    <row r="530" spans="2:10" ht="12.75" x14ac:dyDescent="0.2">
      <c r="B530" s="6"/>
      <c r="C530" s="6"/>
      <c r="D530" s="6"/>
      <c r="E530" s="9"/>
      <c r="F530" s="9"/>
      <c r="G530" s="11"/>
      <c r="H530" s="5"/>
      <c r="I530" s="8"/>
      <c r="J530" s="8"/>
    </row>
    <row r="531" spans="2:10" ht="12.75" x14ac:dyDescent="0.2">
      <c r="B531" s="6"/>
      <c r="C531" s="6"/>
      <c r="D531" s="6"/>
      <c r="E531" s="9"/>
      <c r="F531" s="9"/>
      <c r="G531" s="11"/>
      <c r="H531" s="5"/>
      <c r="I531" s="8"/>
      <c r="J531" s="8"/>
    </row>
    <row r="532" spans="2:10" ht="12.75" x14ac:dyDescent="0.2">
      <c r="B532" s="6"/>
      <c r="C532" s="6"/>
      <c r="D532" s="6"/>
      <c r="E532" s="9"/>
      <c r="F532" s="9"/>
      <c r="G532" s="11"/>
      <c r="H532" s="5"/>
      <c r="I532" s="8"/>
      <c r="J532" s="8"/>
    </row>
    <row r="533" spans="2:10" ht="12.75" x14ac:dyDescent="0.2">
      <c r="B533" s="6"/>
      <c r="C533" s="6"/>
      <c r="D533" s="6"/>
      <c r="E533" s="9"/>
      <c r="F533" s="9"/>
      <c r="G533" s="11"/>
      <c r="H533" s="5"/>
      <c r="I533" s="8"/>
      <c r="J533" s="8"/>
    </row>
    <row r="534" spans="2:10" ht="12.75" x14ac:dyDescent="0.2">
      <c r="B534" s="6"/>
      <c r="C534" s="6"/>
      <c r="D534" s="6"/>
      <c r="E534" s="9"/>
      <c r="F534" s="9"/>
      <c r="G534" s="11"/>
      <c r="H534" s="5"/>
      <c r="I534" s="8"/>
      <c r="J534" s="8"/>
    </row>
    <row r="535" spans="2:10" ht="12.75" x14ac:dyDescent="0.2">
      <c r="B535" s="6"/>
      <c r="C535" s="6"/>
      <c r="D535" s="6"/>
      <c r="E535" s="9"/>
      <c r="F535" s="9"/>
      <c r="G535" s="11"/>
      <c r="H535" s="5"/>
      <c r="I535" s="8"/>
      <c r="J535" s="8"/>
    </row>
    <row r="536" spans="2:10" ht="12.75" x14ac:dyDescent="0.2">
      <c r="B536" s="6"/>
      <c r="C536" s="6"/>
      <c r="D536" s="6"/>
      <c r="E536" s="9"/>
      <c r="F536" s="9"/>
      <c r="G536" s="11"/>
      <c r="H536" s="5"/>
      <c r="I536" s="8"/>
      <c r="J536" s="8"/>
    </row>
    <row r="537" spans="2:10" ht="12.75" x14ac:dyDescent="0.2">
      <c r="B537" s="6"/>
      <c r="C537" s="6"/>
      <c r="D537" s="6"/>
      <c r="E537" s="9"/>
      <c r="F537" s="9"/>
      <c r="G537" s="11"/>
      <c r="H537" s="5"/>
      <c r="I537" s="8"/>
      <c r="J537" s="8"/>
    </row>
    <row r="538" spans="2:10" ht="12.75" x14ac:dyDescent="0.2">
      <c r="B538" s="6"/>
      <c r="C538" s="6"/>
      <c r="D538" s="6"/>
      <c r="E538" s="9"/>
      <c r="F538" s="9"/>
      <c r="G538" s="11"/>
      <c r="H538" s="5"/>
      <c r="I538" s="8"/>
      <c r="J538" s="8"/>
    </row>
    <row r="539" spans="2:10" ht="12.75" x14ac:dyDescent="0.2">
      <c r="B539" s="6"/>
      <c r="C539" s="6"/>
      <c r="D539" s="6"/>
      <c r="E539" s="9"/>
      <c r="F539" s="9"/>
      <c r="G539" s="11"/>
      <c r="H539" s="5"/>
      <c r="I539" s="8"/>
      <c r="J539" s="8"/>
    </row>
    <row r="540" spans="2:10" ht="12.75" x14ac:dyDescent="0.2">
      <c r="B540" s="6"/>
      <c r="C540" s="6"/>
      <c r="D540" s="6"/>
      <c r="E540" s="9"/>
      <c r="F540" s="9"/>
      <c r="G540" s="11"/>
      <c r="H540" s="5"/>
      <c r="I540" s="8"/>
      <c r="J540" s="8"/>
    </row>
    <row r="541" spans="2:10" ht="12.75" x14ac:dyDescent="0.2">
      <c r="B541" s="6"/>
      <c r="C541" s="6"/>
      <c r="D541" s="6"/>
      <c r="E541" s="9"/>
      <c r="F541" s="9"/>
      <c r="G541" s="11"/>
      <c r="H541" s="5"/>
      <c r="I541" s="8"/>
      <c r="J541" s="8"/>
    </row>
    <row r="542" spans="2:10" ht="12.75" x14ac:dyDescent="0.2">
      <c r="B542" s="6"/>
      <c r="C542" s="6"/>
      <c r="D542" s="6"/>
      <c r="E542" s="9"/>
      <c r="F542" s="9"/>
      <c r="G542" s="11"/>
      <c r="H542" s="5"/>
      <c r="I542" s="8"/>
      <c r="J542" s="8"/>
    </row>
    <row r="543" spans="2:10" ht="12.75" x14ac:dyDescent="0.2">
      <c r="B543" s="6"/>
      <c r="C543" s="6"/>
      <c r="D543" s="6"/>
      <c r="E543" s="9"/>
      <c r="F543" s="9"/>
      <c r="G543" s="11"/>
      <c r="H543" s="5"/>
      <c r="I543" s="8"/>
      <c r="J543" s="8"/>
    </row>
    <row r="544" spans="2:10" ht="12.75" x14ac:dyDescent="0.2">
      <c r="B544" s="6"/>
      <c r="C544" s="6"/>
      <c r="D544" s="6"/>
      <c r="E544" s="9"/>
      <c r="F544" s="9"/>
      <c r="G544" s="11"/>
      <c r="H544" s="5"/>
      <c r="I544" s="8"/>
      <c r="J544" s="8"/>
    </row>
    <row r="545" spans="2:10" ht="12.75" x14ac:dyDescent="0.2">
      <c r="B545" s="6"/>
      <c r="C545" s="6"/>
      <c r="D545" s="6"/>
      <c r="E545" s="9"/>
      <c r="F545" s="9"/>
      <c r="G545" s="11"/>
      <c r="H545" s="5"/>
      <c r="I545" s="8"/>
      <c r="J545" s="8"/>
    </row>
    <row r="546" spans="2:10" ht="12.75" x14ac:dyDescent="0.2">
      <c r="B546" s="6"/>
      <c r="C546" s="6"/>
      <c r="D546" s="6"/>
      <c r="E546" s="9"/>
      <c r="F546" s="9"/>
      <c r="G546" s="11"/>
      <c r="H546" s="5"/>
      <c r="I546" s="8"/>
      <c r="J546" s="8"/>
    </row>
    <row r="547" spans="2:10" ht="12.75" x14ac:dyDescent="0.2">
      <c r="B547" s="6"/>
      <c r="C547" s="6"/>
      <c r="D547" s="6"/>
      <c r="E547" s="9"/>
      <c r="F547" s="9"/>
      <c r="G547" s="11"/>
      <c r="H547" s="5"/>
      <c r="I547" s="8"/>
      <c r="J547" s="8"/>
    </row>
    <row r="548" spans="2:10" ht="12.75" x14ac:dyDescent="0.2">
      <c r="B548" s="6"/>
      <c r="C548" s="6"/>
      <c r="D548" s="6"/>
      <c r="E548" s="9"/>
      <c r="F548" s="9"/>
      <c r="G548" s="11"/>
      <c r="H548" s="5"/>
      <c r="I548" s="8"/>
      <c r="J548" s="8"/>
    </row>
    <row r="549" spans="2:10" ht="12.75" x14ac:dyDescent="0.2">
      <c r="B549" s="6"/>
      <c r="C549" s="6"/>
      <c r="D549" s="6"/>
      <c r="E549" s="9"/>
      <c r="F549" s="9"/>
      <c r="G549" s="11"/>
      <c r="H549" s="5"/>
      <c r="I549" s="8"/>
      <c r="J549" s="8"/>
    </row>
    <row r="550" spans="2:10" ht="12.75" x14ac:dyDescent="0.2">
      <c r="B550" s="6"/>
      <c r="C550" s="6"/>
      <c r="D550" s="6"/>
      <c r="E550" s="9"/>
      <c r="F550" s="9"/>
      <c r="G550" s="11"/>
      <c r="H550" s="5"/>
      <c r="I550" s="8"/>
      <c r="J550" s="8"/>
    </row>
    <row r="551" spans="2:10" ht="12.75" x14ac:dyDescent="0.2">
      <c r="B551" s="6"/>
      <c r="C551" s="6"/>
      <c r="D551" s="6"/>
      <c r="E551" s="9"/>
      <c r="F551" s="9"/>
      <c r="G551" s="11"/>
      <c r="H551" s="5"/>
      <c r="I551" s="8"/>
      <c r="J551" s="8"/>
    </row>
    <row r="552" spans="2:10" ht="12.75" x14ac:dyDescent="0.2">
      <c r="B552" s="6"/>
      <c r="C552" s="6"/>
      <c r="D552" s="6"/>
      <c r="E552" s="9"/>
      <c r="F552" s="9"/>
      <c r="G552" s="11"/>
      <c r="H552" s="5"/>
      <c r="I552" s="8"/>
      <c r="J552" s="8"/>
    </row>
    <row r="553" spans="2:10" ht="12.75" x14ac:dyDescent="0.2">
      <c r="B553" s="6"/>
      <c r="C553" s="6"/>
      <c r="D553" s="6"/>
      <c r="E553" s="9"/>
      <c r="F553" s="9"/>
      <c r="G553" s="11"/>
      <c r="H553" s="5"/>
      <c r="I553" s="8"/>
      <c r="J553" s="8"/>
    </row>
    <row r="554" spans="2:10" ht="12.75" x14ac:dyDescent="0.2">
      <c r="B554" s="6"/>
      <c r="C554" s="6"/>
      <c r="D554" s="6"/>
      <c r="E554" s="9"/>
      <c r="F554" s="9"/>
      <c r="G554" s="11"/>
      <c r="H554" s="5"/>
      <c r="I554" s="8"/>
      <c r="J554" s="8"/>
    </row>
    <row r="555" spans="2:10" ht="12.75" x14ac:dyDescent="0.2">
      <c r="B555" s="6"/>
      <c r="C555" s="6"/>
      <c r="D555" s="6"/>
      <c r="E555" s="9"/>
      <c r="F555" s="9"/>
      <c r="G555" s="11"/>
      <c r="H555" s="5"/>
      <c r="I555" s="8"/>
      <c r="J555" s="8"/>
    </row>
    <row r="556" spans="2:10" ht="12.75" x14ac:dyDescent="0.2">
      <c r="B556" s="6"/>
      <c r="C556" s="6"/>
      <c r="D556" s="6"/>
      <c r="E556" s="9"/>
      <c r="F556" s="9"/>
      <c r="G556" s="11"/>
      <c r="H556" s="5"/>
      <c r="I556" s="8"/>
      <c r="J556" s="8"/>
    </row>
    <row r="557" spans="2:10" ht="12.75" x14ac:dyDescent="0.2">
      <c r="B557" s="6"/>
      <c r="C557" s="6"/>
      <c r="D557" s="6"/>
      <c r="E557" s="9"/>
      <c r="F557" s="9"/>
      <c r="G557" s="11"/>
      <c r="H557" s="5"/>
      <c r="I557" s="8"/>
      <c r="J557" s="8"/>
    </row>
    <row r="558" spans="2:10" ht="12.75" x14ac:dyDescent="0.2">
      <c r="B558" s="6"/>
      <c r="C558" s="6"/>
      <c r="D558" s="6"/>
      <c r="E558" s="9"/>
      <c r="F558" s="9"/>
      <c r="G558" s="11"/>
      <c r="H558" s="5"/>
      <c r="I558" s="8"/>
      <c r="J558" s="8"/>
    </row>
    <row r="559" spans="2:10" ht="12.75" x14ac:dyDescent="0.2">
      <c r="B559" s="6"/>
      <c r="C559" s="6"/>
      <c r="D559" s="6"/>
      <c r="E559" s="9"/>
      <c r="F559" s="9"/>
      <c r="G559" s="11"/>
      <c r="H559" s="5"/>
      <c r="I559" s="8"/>
      <c r="J559" s="8"/>
    </row>
    <row r="560" spans="2:10" ht="12.75" x14ac:dyDescent="0.2">
      <c r="B560" s="6"/>
      <c r="C560" s="6"/>
      <c r="D560" s="6"/>
      <c r="E560" s="9"/>
      <c r="F560" s="9"/>
      <c r="G560" s="11"/>
      <c r="H560" s="5"/>
      <c r="I560" s="8"/>
      <c r="J560" s="8"/>
    </row>
    <row r="561" spans="2:10" ht="12.75" x14ac:dyDescent="0.2">
      <c r="B561" s="6"/>
      <c r="C561" s="6"/>
      <c r="D561" s="6"/>
      <c r="E561" s="9"/>
      <c r="F561" s="9"/>
      <c r="G561" s="11"/>
      <c r="H561" s="5"/>
      <c r="I561" s="8"/>
      <c r="J561" s="8"/>
    </row>
    <row r="562" spans="2:10" ht="12.75" x14ac:dyDescent="0.2">
      <c r="B562" s="6"/>
      <c r="C562" s="6"/>
      <c r="D562" s="6"/>
      <c r="E562" s="9"/>
      <c r="F562" s="9"/>
      <c r="G562" s="11"/>
      <c r="H562" s="5"/>
      <c r="I562" s="8"/>
      <c r="J562" s="8"/>
    </row>
    <row r="563" spans="2:10" ht="12.75" x14ac:dyDescent="0.2">
      <c r="B563" s="6"/>
      <c r="C563" s="6"/>
      <c r="D563" s="6"/>
      <c r="E563" s="9"/>
      <c r="F563" s="9"/>
      <c r="G563" s="11"/>
      <c r="H563" s="5"/>
      <c r="I563" s="8"/>
      <c r="J563" s="8"/>
    </row>
    <row r="564" spans="2:10" ht="12.75" x14ac:dyDescent="0.2">
      <c r="B564" s="6"/>
      <c r="C564" s="6"/>
      <c r="D564" s="6"/>
      <c r="E564" s="9"/>
      <c r="F564" s="9"/>
      <c r="G564" s="11"/>
      <c r="H564" s="5"/>
      <c r="I564" s="8"/>
      <c r="J564" s="8"/>
    </row>
    <row r="565" spans="2:10" ht="12.75" x14ac:dyDescent="0.2">
      <c r="B565" s="6"/>
      <c r="C565" s="6"/>
      <c r="D565" s="6"/>
      <c r="E565" s="9"/>
      <c r="F565" s="9"/>
      <c r="G565" s="11"/>
      <c r="H565" s="5"/>
      <c r="I565" s="8"/>
      <c r="J565" s="8"/>
    </row>
    <row r="566" spans="2:10" ht="12.75" x14ac:dyDescent="0.2">
      <c r="B566" s="6"/>
      <c r="C566" s="6"/>
      <c r="D566" s="6"/>
      <c r="E566" s="9"/>
      <c r="F566" s="9"/>
      <c r="G566" s="11"/>
      <c r="H566" s="5"/>
      <c r="I566" s="8"/>
      <c r="J566" s="8"/>
    </row>
    <row r="567" spans="2:10" ht="12.75" x14ac:dyDescent="0.2">
      <c r="B567" s="6"/>
      <c r="C567" s="6"/>
      <c r="D567" s="6"/>
      <c r="E567" s="9"/>
      <c r="F567" s="9"/>
      <c r="G567" s="11"/>
      <c r="H567" s="5"/>
      <c r="I567" s="8"/>
      <c r="J567" s="8"/>
    </row>
    <row r="568" spans="2:10" ht="12.75" x14ac:dyDescent="0.2">
      <c r="B568" s="6"/>
      <c r="C568" s="6"/>
      <c r="D568" s="6"/>
      <c r="E568" s="9"/>
      <c r="F568" s="9"/>
      <c r="G568" s="11"/>
      <c r="H568" s="5"/>
      <c r="I568" s="8"/>
      <c r="J568" s="8"/>
    </row>
    <row r="569" spans="2:10" ht="12.75" x14ac:dyDescent="0.2">
      <c r="B569" s="6"/>
      <c r="C569" s="6"/>
      <c r="D569" s="6"/>
      <c r="E569" s="9"/>
      <c r="F569" s="9"/>
      <c r="G569" s="11"/>
      <c r="H569" s="5"/>
      <c r="I569" s="8"/>
      <c r="J569" s="8"/>
    </row>
    <row r="570" spans="2:10" ht="12.75" x14ac:dyDescent="0.2">
      <c r="B570" s="6"/>
      <c r="C570" s="6"/>
      <c r="D570" s="6"/>
      <c r="E570" s="9"/>
      <c r="F570" s="9"/>
      <c r="G570" s="11"/>
      <c r="H570" s="5"/>
      <c r="I570" s="8"/>
      <c r="J570" s="8"/>
    </row>
    <row r="571" spans="2:10" ht="12.75" x14ac:dyDescent="0.2">
      <c r="B571" s="6"/>
      <c r="C571" s="6"/>
      <c r="D571" s="6"/>
      <c r="E571" s="9"/>
      <c r="F571" s="9"/>
      <c r="G571" s="11"/>
      <c r="H571" s="5"/>
      <c r="I571" s="8"/>
      <c r="J571" s="8"/>
    </row>
    <row r="572" spans="2:10" ht="12.75" x14ac:dyDescent="0.2">
      <c r="B572" s="6"/>
      <c r="C572" s="6"/>
      <c r="D572" s="6"/>
      <c r="E572" s="9"/>
      <c r="F572" s="9"/>
      <c r="G572" s="11"/>
      <c r="H572" s="5"/>
      <c r="I572" s="8"/>
      <c r="J572" s="8"/>
    </row>
    <row r="573" spans="2:10" ht="12.75" x14ac:dyDescent="0.2">
      <c r="B573" s="6"/>
      <c r="C573" s="6"/>
      <c r="D573" s="6"/>
      <c r="E573" s="9"/>
      <c r="F573" s="9"/>
      <c r="G573" s="11"/>
      <c r="H573" s="5"/>
      <c r="I573" s="8"/>
      <c r="J573" s="8"/>
    </row>
    <row r="574" spans="2:10" ht="12.75" x14ac:dyDescent="0.2">
      <c r="B574" s="6"/>
      <c r="C574" s="6"/>
      <c r="D574" s="6"/>
      <c r="E574" s="9"/>
      <c r="F574" s="9"/>
      <c r="G574" s="11"/>
      <c r="H574" s="5"/>
      <c r="I574" s="8"/>
      <c r="J574" s="8"/>
    </row>
    <row r="575" spans="2:10" ht="12.75" x14ac:dyDescent="0.2">
      <c r="B575" s="6"/>
      <c r="C575" s="6"/>
      <c r="D575" s="6"/>
      <c r="E575" s="9"/>
      <c r="F575" s="9"/>
      <c r="G575" s="11"/>
      <c r="H575" s="5"/>
      <c r="I575" s="8"/>
      <c r="J575" s="8"/>
    </row>
    <row r="576" spans="2:10" ht="12.75" x14ac:dyDescent="0.2">
      <c r="B576" s="6"/>
      <c r="C576" s="6"/>
      <c r="D576" s="6"/>
      <c r="E576" s="9"/>
      <c r="F576" s="9"/>
      <c r="G576" s="11"/>
      <c r="H576" s="5"/>
      <c r="I576" s="8"/>
      <c r="J576" s="8"/>
    </row>
    <row r="577" spans="2:10" ht="12.75" x14ac:dyDescent="0.2">
      <c r="B577" s="6"/>
      <c r="C577" s="6"/>
      <c r="D577" s="6"/>
      <c r="E577" s="9"/>
      <c r="F577" s="9"/>
      <c r="G577" s="11"/>
      <c r="H577" s="5"/>
      <c r="I577" s="8"/>
      <c r="J577" s="8"/>
    </row>
    <row r="578" spans="2:10" ht="12.75" x14ac:dyDescent="0.2">
      <c r="B578" s="6"/>
      <c r="C578" s="6"/>
      <c r="D578" s="6"/>
      <c r="E578" s="9"/>
      <c r="F578" s="9"/>
      <c r="G578" s="11"/>
      <c r="H578" s="5"/>
      <c r="I578" s="8"/>
      <c r="J578" s="8"/>
    </row>
    <row r="579" spans="2:10" ht="12.75" x14ac:dyDescent="0.2">
      <c r="B579" s="6"/>
      <c r="C579" s="6"/>
      <c r="D579" s="6"/>
      <c r="E579" s="9"/>
      <c r="F579" s="9"/>
      <c r="G579" s="11"/>
      <c r="H579" s="5"/>
      <c r="I579" s="8"/>
      <c r="J579" s="8"/>
    </row>
    <row r="580" spans="2:10" ht="12.75" x14ac:dyDescent="0.2">
      <c r="B580" s="6"/>
      <c r="C580" s="6"/>
      <c r="D580" s="6"/>
      <c r="E580" s="9"/>
      <c r="F580" s="9"/>
      <c r="G580" s="11"/>
      <c r="H580" s="5"/>
      <c r="I580" s="8"/>
      <c r="J580" s="8"/>
    </row>
    <row r="581" spans="2:10" ht="12.75" x14ac:dyDescent="0.2">
      <c r="B581" s="6"/>
      <c r="C581" s="6"/>
      <c r="D581" s="6"/>
      <c r="E581" s="9"/>
      <c r="F581" s="9"/>
      <c r="G581" s="11"/>
      <c r="H581" s="5"/>
      <c r="I581" s="8"/>
      <c r="J581" s="8"/>
    </row>
    <row r="582" spans="2:10" ht="12.75" x14ac:dyDescent="0.2">
      <c r="B582" s="6"/>
      <c r="C582" s="6"/>
      <c r="D582" s="6"/>
      <c r="E582" s="9"/>
      <c r="F582" s="9"/>
      <c r="G582" s="11"/>
      <c r="H582" s="5"/>
      <c r="I582" s="8"/>
      <c r="J582" s="8"/>
    </row>
    <row r="583" spans="2:10" ht="12.75" x14ac:dyDescent="0.2">
      <c r="B583" s="6"/>
      <c r="C583" s="6"/>
      <c r="D583" s="6"/>
      <c r="E583" s="9"/>
      <c r="F583" s="9"/>
      <c r="G583" s="11"/>
      <c r="H583" s="5"/>
      <c r="I583" s="8"/>
      <c r="J583" s="8"/>
    </row>
    <row r="584" spans="2:10" ht="12.75" x14ac:dyDescent="0.2">
      <c r="B584" s="6"/>
      <c r="C584" s="6"/>
      <c r="D584" s="6"/>
      <c r="E584" s="9"/>
      <c r="F584" s="9"/>
      <c r="G584" s="11"/>
      <c r="H584" s="5"/>
      <c r="I584" s="8"/>
      <c r="J584" s="8"/>
    </row>
    <row r="585" spans="2:10" ht="12.75" x14ac:dyDescent="0.2">
      <c r="B585" s="6"/>
      <c r="C585" s="6"/>
      <c r="D585" s="6"/>
      <c r="E585" s="9"/>
      <c r="F585" s="9"/>
      <c r="G585" s="11"/>
      <c r="H585" s="5"/>
      <c r="I585" s="8"/>
      <c r="J585" s="8"/>
    </row>
    <row r="586" spans="2:10" ht="12.75" x14ac:dyDescent="0.2">
      <c r="B586" s="6"/>
      <c r="C586" s="6"/>
      <c r="D586" s="6"/>
      <c r="E586" s="9"/>
      <c r="F586" s="9"/>
      <c r="G586" s="11"/>
      <c r="H586" s="5"/>
      <c r="I586" s="8"/>
      <c r="J586" s="8"/>
    </row>
    <row r="587" spans="2:10" ht="12.75" x14ac:dyDescent="0.2">
      <c r="B587" s="6"/>
      <c r="C587" s="6"/>
      <c r="D587" s="6"/>
      <c r="E587" s="9"/>
      <c r="F587" s="9"/>
      <c r="G587" s="11"/>
      <c r="H587" s="5"/>
      <c r="I587" s="8"/>
      <c r="J587" s="8"/>
    </row>
    <row r="588" spans="2:10" ht="12.75" x14ac:dyDescent="0.2">
      <c r="B588" s="6"/>
      <c r="C588" s="6"/>
      <c r="D588" s="6"/>
      <c r="E588" s="9"/>
      <c r="F588" s="9"/>
      <c r="G588" s="11"/>
      <c r="H588" s="5"/>
      <c r="I588" s="8"/>
      <c r="J588" s="8"/>
    </row>
    <row r="589" spans="2:10" ht="12.75" x14ac:dyDescent="0.2">
      <c r="B589" s="6"/>
      <c r="C589" s="6"/>
      <c r="D589" s="6"/>
      <c r="E589" s="9"/>
      <c r="F589" s="9"/>
      <c r="G589" s="11"/>
      <c r="H589" s="5"/>
      <c r="I589" s="8"/>
      <c r="J589" s="8"/>
    </row>
    <row r="590" spans="2:10" ht="12.75" x14ac:dyDescent="0.2">
      <c r="B590" s="6"/>
      <c r="C590" s="6"/>
      <c r="D590" s="6"/>
      <c r="E590" s="9"/>
      <c r="F590" s="9"/>
      <c r="G590" s="11"/>
      <c r="H590" s="5"/>
      <c r="I590" s="8"/>
      <c r="J590" s="8"/>
    </row>
    <row r="591" spans="2:10" ht="12.75" x14ac:dyDescent="0.2">
      <c r="B591" s="6"/>
      <c r="C591" s="6"/>
      <c r="D591" s="6"/>
      <c r="E591" s="9"/>
      <c r="F591" s="9"/>
      <c r="G591" s="11"/>
      <c r="H591" s="5"/>
      <c r="I591" s="8"/>
      <c r="J591" s="8"/>
    </row>
    <row r="592" spans="2:10" ht="12.75" x14ac:dyDescent="0.2">
      <c r="B592" s="6"/>
      <c r="C592" s="6"/>
      <c r="D592" s="6"/>
      <c r="E592" s="9"/>
      <c r="F592" s="9"/>
      <c r="G592" s="11"/>
      <c r="H592" s="5"/>
      <c r="I592" s="8"/>
      <c r="J592" s="8"/>
    </row>
    <row r="593" spans="2:10" ht="12.75" x14ac:dyDescent="0.2">
      <c r="B593" s="6"/>
      <c r="C593" s="6"/>
      <c r="D593" s="6"/>
      <c r="E593" s="9"/>
      <c r="F593" s="9"/>
      <c r="G593" s="11"/>
      <c r="H593" s="5"/>
      <c r="I593" s="8"/>
      <c r="J593" s="8"/>
    </row>
    <row r="594" spans="2:10" ht="12.75" x14ac:dyDescent="0.2">
      <c r="B594" s="6"/>
      <c r="C594" s="6"/>
      <c r="D594" s="6"/>
      <c r="E594" s="9"/>
      <c r="F594" s="9"/>
      <c r="G594" s="11"/>
      <c r="H594" s="5"/>
      <c r="I594" s="8"/>
      <c r="J594" s="8"/>
    </row>
    <row r="595" spans="2:10" ht="12.75" x14ac:dyDescent="0.2">
      <c r="B595" s="6"/>
      <c r="C595" s="6"/>
      <c r="D595" s="6"/>
      <c r="E595" s="9"/>
      <c r="F595" s="9"/>
      <c r="G595" s="11"/>
      <c r="H595" s="5"/>
      <c r="I595" s="8"/>
      <c r="J595" s="8"/>
    </row>
    <row r="596" spans="2:10" ht="12.75" x14ac:dyDescent="0.2">
      <c r="B596" s="6"/>
      <c r="C596" s="6"/>
      <c r="D596" s="6"/>
      <c r="E596" s="9"/>
      <c r="F596" s="9"/>
      <c r="G596" s="11"/>
      <c r="H596" s="5"/>
      <c r="I596" s="8"/>
      <c r="J596" s="8"/>
    </row>
    <row r="597" spans="2:10" ht="12.75" x14ac:dyDescent="0.2">
      <c r="B597" s="6"/>
      <c r="C597" s="6"/>
      <c r="D597" s="6"/>
      <c r="E597" s="9"/>
      <c r="F597" s="9"/>
      <c r="G597" s="11"/>
      <c r="H597" s="5"/>
      <c r="I597" s="8"/>
      <c r="J597" s="8"/>
    </row>
    <row r="598" spans="2:10" ht="12.75" x14ac:dyDescent="0.2">
      <c r="B598" s="6"/>
      <c r="C598" s="6"/>
      <c r="D598" s="6"/>
      <c r="E598" s="9"/>
      <c r="F598" s="9"/>
      <c r="G598" s="11"/>
      <c r="H598" s="5"/>
      <c r="I598" s="8"/>
      <c r="J598" s="8"/>
    </row>
    <row r="599" spans="2:10" ht="12.75" x14ac:dyDescent="0.2">
      <c r="B599" s="6"/>
      <c r="C599" s="6"/>
      <c r="D599" s="6"/>
      <c r="E599" s="9"/>
      <c r="F599" s="9"/>
      <c r="G599" s="11"/>
      <c r="H599" s="5"/>
      <c r="I599" s="8"/>
      <c r="J599" s="8"/>
    </row>
    <row r="600" spans="2:10" ht="12.75" x14ac:dyDescent="0.2">
      <c r="B600" s="6"/>
      <c r="C600" s="6"/>
      <c r="D600" s="6"/>
      <c r="E600" s="9"/>
      <c r="F600" s="9"/>
      <c r="G600" s="11"/>
      <c r="H600" s="5"/>
      <c r="I600" s="8"/>
      <c r="J600" s="8"/>
    </row>
    <row r="601" spans="2:10" ht="12.75" x14ac:dyDescent="0.2">
      <c r="B601" s="6"/>
      <c r="C601" s="6"/>
      <c r="D601" s="6"/>
      <c r="E601" s="9"/>
      <c r="F601" s="9"/>
      <c r="G601" s="11"/>
      <c r="H601" s="5"/>
      <c r="I601" s="8"/>
      <c r="J601" s="8"/>
    </row>
    <row r="602" spans="2:10" ht="12.75" x14ac:dyDescent="0.2">
      <c r="B602" s="6"/>
      <c r="C602" s="6"/>
      <c r="D602" s="6"/>
      <c r="E602" s="9"/>
      <c r="F602" s="9"/>
      <c r="G602" s="11"/>
      <c r="H602" s="5"/>
      <c r="I602" s="8"/>
      <c r="J602" s="8"/>
    </row>
    <row r="603" spans="2:10" ht="12.75" x14ac:dyDescent="0.2">
      <c r="B603" s="6"/>
      <c r="C603" s="6"/>
      <c r="D603" s="6"/>
      <c r="E603" s="9"/>
      <c r="F603" s="9"/>
      <c r="G603" s="11"/>
      <c r="H603" s="5"/>
      <c r="I603" s="8"/>
      <c r="J603" s="8"/>
    </row>
    <row r="604" spans="2:10" ht="12.75" x14ac:dyDescent="0.2">
      <c r="B604" s="6"/>
      <c r="C604" s="6"/>
      <c r="D604" s="6"/>
      <c r="E604" s="9"/>
      <c r="F604" s="9"/>
      <c r="G604" s="11"/>
      <c r="H604" s="5"/>
      <c r="I604" s="8"/>
      <c r="J604" s="8"/>
    </row>
    <row r="605" spans="2:10" ht="12.75" x14ac:dyDescent="0.2">
      <c r="B605" s="6"/>
      <c r="C605" s="6"/>
      <c r="D605" s="6"/>
      <c r="E605" s="9"/>
      <c r="F605" s="9"/>
      <c r="G605" s="11"/>
      <c r="H605" s="5"/>
      <c r="I605" s="8"/>
      <c r="J605" s="8"/>
    </row>
    <row r="606" spans="2:10" ht="12.75" x14ac:dyDescent="0.2">
      <c r="B606" s="6"/>
      <c r="C606" s="6"/>
      <c r="D606" s="6"/>
      <c r="E606" s="9"/>
      <c r="F606" s="9"/>
      <c r="G606" s="11"/>
      <c r="H606" s="5"/>
      <c r="I606" s="8"/>
      <c r="J606" s="8"/>
    </row>
    <row r="607" spans="2:10" ht="12.75" x14ac:dyDescent="0.2">
      <c r="B607" s="6"/>
      <c r="C607" s="6"/>
      <c r="D607" s="6"/>
      <c r="E607" s="9"/>
      <c r="F607" s="9"/>
      <c r="G607" s="11"/>
      <c r="H607" s="5"/>
      <c r="I607" s="8"/>
      <c r="J607" s="8"/>
    </row>
    <row r="608" spans="2:10" ht="12.75" x14ac:dyDescent="0.2">
      <c r="B608" s="6"/>
      <c r="C608" s="6"/>
      <c r="D608" s="6"/>
      <c r="E608" s="9"/>
      <c r="F608" s="9"/>
      <c r="G608" s="11"/>
      <c r="H608" s="5"/>
      <c r="I608" s="8"/>
      <c r="J608" s="8"/>
    </row>
    <row r="609" spans="2:10" ht="12.75" x14ac:dyDescent="0.2">
      <c r="B609" s="6"/>
      <c r="C609" s="6"/>
      <c r="D609" s="6"/>
      <c r="E609" s="9"/>
      <c r="F609" s="9"/>
      <c r="G609" s="11"/>
      <c r="H609" s="5"/>
      <c r="I609" s="8"/>
      <c r="J609" s="8"/>
    </row>
    <row r="610" spans="2:10" ht="12.75" x14ac:dyDescent="0.2">
      <c r="B610" s="6"/>
      <c r="C610" s="6"/>
      <c r="D610" s="6"/>
      <c r="E610" s="9"/>
      <c r="F610" s="9"/>
      <c r="G610" s="11"/>
      <c r="H610" s="5"/>
      <c r="I610" s="8"/>
      <c r="J610" s="8"/>
    </row>
    <row r="611" spans="2:10" ht="12.75" x14ac:dyDescent="0.2">
      <c r="B611" s="6"/>
      <c r="C611" s="6"/>
      <c r="D611" s="6"/>
      <c r="E611" s="9"/>
      <c r="F611" s="9"/>
      <c r="G611" s="11"/>
      <c r="H611" s="5"/>
      <c r="I611" s="8"/>
      <c r="J611" s="8"/>
    </row>
    <row r="612" spans="2:10" ht="12.75" x14ac:dyDescent="0.2">
      <c r="B612" s="6"/>
      <c r="C612" s="6"/>
      <c r="D612" s="6"/>
      <c r="E612" s="9"/>
      <c r="F612" s="9"/>
      <c r="G612" s="11"/>
      <c r="H612" s="5"/>
      <c r="I612" s="8"/>
      <c r="J612" s="8"/>
    </row>
    <row r="613" spans="2:10" ht="12.75" x14ac:dyDescent="0.2">
      <c r="B613" s="6"/>
      <c r="C613" s="6"/>
      <c r="D613" s="6"/>
      <c r="E613" s="9"/>
      <c r="F613" s="9"/>
      <c r="G613" s="11"/>
      <c r="H613" s="5"/>
      <c r="I613" s="8"/>
      <c r="J613" s="8"/>
    </row>
    <row r="614" spans="2:10" ht="12.75" x14ac:dyDescent="0.2">
      <c r="B614" s="6"/>
      <c r="C614" s="6"/>
      <c r="D614" s="6"/>
      <c r="E614" s="9"/>
      <c r="F614" s="9"/>
      <c r="G614" s="11"/>
      <c r="H614" s="5"/>
      <c r="I614" s="8"/>
      <c r="J614" s="8"/>
    </row>
    <row r="615" spans="2:10" ht="12.75" x14ac:dyDescent="0.2">
      <c r="B615" s="6"/>
      <c r="C615" s="6"/>
      <c r="D615" s="6"/>
      <c r="E615" s="9"/>
      <c r="F615" s="9"/>
      <c r="G615" s="11"/>
      <c r="H615" s="5"/>
      <c r="I615" s="8"/>
      <c r="J615" s="8"/>
    </row>
    <row r="616" spans="2:10" ht="12.75" x14ac:dyDescent="0.2">
      <c r="B616" s="6"/>
      <c r="C616" s="6"/>
      <c r="D616" s="6"/>
      <c r="E616" s="9"/>
      <c r="F616" s="9"/>
      <c r="G616" s="11"/>
      <c r="H616" s="5"/>
      <c r="I616" s="8"/>
      <c r="J616" s="8"/>
    </row>
    <row r="617" spans="2:10" ht="12.75" x14ac:dyDescent="0.2">
      <c r="B617" s="6"/>
      <c r="C617" s="6"/>
      <c r="D617" s="6"/>
      <c r="E617" s="9"/>
      <c r="F617" s="9"/>
      <c r="G617" s="11"/>
      <c r="H617" s="5"/>
      <c r="I617" s="8"/>
      <c r="J617" s="8"/>
    </row>
    <row r="618" spans="2:10" ht="12.75" x14ac:dyDescent="0.2">
      <c r="B618" s="6"/>
      <c r="C618" s="6"/>
      <c r="D618" s="6"/>
      <c r="E618" s="9"/>
      <c r="F618" s="9"/>
      <c r="G618" s="11"/>
      <c r="H618" s="5"/>
      <c r="I618" s="8"/>
      <c r="J618" s="8"/>
    </row>
    <row r="619" spans="2:10" ht="12.75" x14ac:dyDescent="0.2">
      <c r="B619" s="6"/>
      <c r="C619" s="6"/>
      <c r="D619" s="6"/>
      <c r="E619" s="9"/>
      <c r="F619" s="9"/>
      <c r="G619" s="11"/>
      <c r="H619" s="5"/>
      <c r="I619" s="8"/>
      <c r="J619" s="8"/>
    </row>
    <row r="620" spans="2:10" ht="12.75" x14ac:dyDescent="0.2">
      <c r="B620" s="6"/>
      <c r="C620" s="6"/>
      <c r="D620" s="6"/>
      <c r="E620" s="9"/>
      <c r="F620" s="9"/>
      <c r="G620" s="11"/>
      <c r="H620" s="5"/>
      <c r="I620" s="8"/>
      <c r="J620" s="8"/>
    </row>
    <row r="621" spans="2:10" ht="12.75" x14ac:dyDescent="0.2">
      <c r="B621" s="6"/>
      <c r="C621" s="6"/>
      <c r="D621" s="6"/>
      <c r="E621" s="9"/>
      <c r="F621" s="9"/>
      <c r="G621" s="11"/>
      <c r="H621" s="5"/>
      <c r="I621" s="8"/>
      <c r="J621" s="8"/>
    </row>
    <row r="622" spans="2:10" ht="12.75" x14ac:dyDescent="0.2">
      <c r="B622" s="6"/>
      <c r="C622" s="6"/>
      <c r="D622" s="6"/>
      <c r="E622" s="9"/>
      <c r="F622" s="9"/>
      <c r="G622" s="11"/>
      <c r="H622" s="5"/>
      <c r="I622" s="8"/>
      <c r="J622" s="8"/>
    </row>
    <row r="623" spans="2:10" ht="12.75" x14ac:dyDescent="0.2">
      <c r="B623" s="6"/>
      <c r="C623" s="6"/>
      <c r="D623" s="6"/>
      <c r="E623" s="9"/>
      <c r="F623" s="9"/>
      <c r="G623" s="11"/>
      <c r="H623" s="5"/>
      <c r="I623" s="8"/>
      <c r="J623" s="8"/>
    </row>
    <row r="624" spans="2:10" ht="12.75" x14ac:dyDescent="0.2">
      <c r="B624" s="6"/>
      <c r="C624" s="6"/>
      <c r="D624" s="6"/>
      <c r="E624" s="9"/>
      <c r="F624" s="9"/>
      <c r="G624" s="11"/>
      <c r="H624" s="5"/>
      <c r="I624" s="8"/>
      <c r="J624" s="8"/>
    </row>
    <row r="625" spans="2:10" ht="12.75" x14ac:dyDescent="0.2">
      <c r="B625" s="6"/>
      <c r="C625" s="6"/>
      <c r="D625" s="6"/>
      <c r="E625" s="9"/>
      <c r="F625" s="9"/>
      <c r="G625" s="11"/>
      <c r="H625" s="5"/>
      <c r="I625" s="8"/>
      <c r="J625" s="8"/>
    </row>
    <row r="626" spans="2:10" ht="12.75" x14ac:dyDescent="0.2">
      <c r="B626" s="6"/>
      <c r="C626" s="6"/>
      <c r="D626" s="6"/>
      <c r="E626" s="9"/>
      <c r="F626" s="9"/>
      <c r="G626" s="11"/>
      <c r="H626" s="5"/>
      <c r="I626" s="8"/>
      <c r="J626" s="8"/>
    </row>
    <row r="627" spans="2:10" ht="12.75" x14ac:dyDescent="0.2">
      <c r="B627" s="6"/>
      <c r="C627" s="6"/>
      <c r="D627" s="6"/>
      <c r="E627" s="9"/>
      <c r="F627" s="9"/>
      <c r="G627" s="11"/>
      <c r="H627" s="5"/>
      <c r="I627" s="8"/>
      <c r="J627" s="8"/>
    </row>
    <row r="628" spans="2:10" ht="12.75" x14ac:dyDescent="0.2">
      <c r="B628" s="6"/>
      <c r="C628" s="6"/>
      <c r="D628" s="6"/>
      <c r="E628" s="9"/>
      <c r="F628" s="9"/>
      <c r="G628" s="11"/>
      <c r="H628" s="5"/>
      <c r="I628" s="8"/>
      <c r="J628" s="8"/>
    </row>
    <row r="629" spans="2:10" ht="12.75" x14ac:dyDescent="0.2">
      <c r="B629" s="6"/>
      <c r="C629" s="6"/>
      <c r="D629" s="6"/>
      <c r="E629" s="9"/>
      <c r="F629" s="9"/>
      <c r="G629" s="11"/>
      <c r="H629" s="5"/>
      <c r="I629" s="8"/>
      <c r="J629" s="8"/>
    </row>
    <row r="630" spans="2:10" ht="12.75" x14ac:dyDescent="0.2">
      <c r="B630" s="6"/>
      <c r="C630" s="6"/>
      <c r="D630" s="6"/>
      <c r="E630" s="9"/>
      <c r="F630" s="9"/>
      <c r="G630" s="11"/>
      <c r="H630" s="5"/>
      <c r="I630" s="8"/>
      <c r="J630" s="8"/>
    </row>
    <row r="631" spans="2:10" ht="12.75" x14ac:dyDescent="0.2">
      <c r="B631" s="6"/>
      <c r="C631" s="6"/>
      <c r="D631" s="6"/>
      <c r="E631" s="9"/>
      <c r="F631" s="9"/>
      <c r="G631" s="11"/>
      <c r="H631" s="5"/>
      <c r="I631" s="8"/>
      <c r="J631" s="8"/>
    </row>
    <row r="632" spans="2:10" ht="12.75" x14ac:dyDescent="0.2">
      <c r="B632" s="6"/>
      <c r="C632" s="6"/>
      <c r="D632" s="6"/>
      <c r="E632" s="9"/>
      <c r="F632" s="9"/>
      <c r="G632" s="11"/>
      <c r="H632" s="5"/>
      <c r="I632" s="8"/>
      <c r="J632" s="8"/>
    </row>
    <row r="633" spans="2:10" ht="12.75" x14ac:dyDescent="0.2">
      <c r="B633" s="6"/>
      <c r="C633" s="6"/>
      <c r="D633" s="6"/>
      <c r="E633" s="9"/>
      <c r="F633" s="9"/>
      <c r="G633" s="11"/>
      <c r="H633" s="5"/>
      <c r="I633" s="8"/>
      <c r="J633" s="8"/>
    </row>
    <row r="634" spans="2:10" ht="12.75" x14ac:dyDescent="0.2">
      <c r="B634" s="6"/>
      <c r="C634" s="6"/>
      <c r="D634" s="6"/>
      <c r="E634" s="9"/>
      <c r="F634" s="9"/>
      <c r="G634" s="11"/>
      <c r="H634" s="5"/>
      <c r="I634" s="8"/>
      <c r="J634" s="8"/>
    </row>
    <row r="635" spans="2:10" ht="12.75" x14ac:dyDescent="0.2">
      <c r="B635" s="6"/>
      <c r="C635" s="6"/>
      <c r="D635" s="6"/>
      <c r="E635" s="9"/>
      <c r="F635" s="9"/>
      <c r="G635" s="11"/>
      <c r="H635" s="5"/>
      <c r="I635" s="8"/>
      <c r="J635" s="8"/>
    </row>
    <row r="636" spans="2:10" ht="12.75" x14ac:dyDescent="0.2">
      <c r="B636" s="6"/>
      <c r="C636" s="6"/>
      <c r="D636" s="6"/>
      <c r="E636" s="9"/>
      <c r="F636" s="9"/>
      <c r="G636" s="11"/>
      <c r="H636" s="5"/>
      <c r="I636" s="8"/>
      <c r="J636" s="8"/>
    </row>
    <row r="637" spans="2:10" ht="12.75" x14ac:dyDescent="0.2">
      <c r="B637" s="6"/>
      <c r="C637" s="6"/>
      <c r="D637" s="6"/>
      <c r="E637" s="9"/>
      <c r="F637" s="9"/>
      <c r="G637" s="11"/>
      <c r="H637" s="5"/>
      <c r="I637" s="8"/>
      <c r="J637" s="8"/>
    </row>
    <row r="638" spans="2:10" ht="12.75" x14ac:dyDescent="0.2">
      <c r="B638" s="6"/>
      <c r="C638" s="6"/>
      <c r="D638" s="6"/>
      <c r="E638" s="9"/>
      <c r="F638" s="9"/>
      <c r="G638" s="11"/>
      <c r="H638" s="5"/>
      <c r="I638" s="8"/>
      <c r="J638" s="8"/>
    </row>
    <row r="639" spans="2:10" ht="12.75" x14ac:dyDescent="0.2">
      <c r="B639" s="6"/>
      <c r="C639" s="6"/>
      <c r="D639" s="6"/>
      <c r="E639" s="9"/>
      <c r="F639" s="9"/>
      <c r="G639" s="11"/>
      <c r="H639" s="5"/>
      <c r="I639" s="8"/>
      <c r="J639" s="8"/>
    </row>
    <row r="640" spans="2:10" ht="12.75" x14ac:dyDescent="0.2">
      <c r="B640" s="6"/>
      <c r="C640" s="6"/>
      <c r="D640" s="6"/>
      <c r="E640" s="9"/>
      <c r="F640" s="9"/>
      <c r="G640" s="11"/>
      <c r="H640" s="5"/>
      <c r="I640" s="8"/>
      <c r="J640" s="8"/>
    </row>
    <row r="641" spans="2:10" ht="12.75" x14ac:dyDescent="0.2">
      <c r="B641" s="6"/>
      <c r="C641" s="6"/>
      <c r="D641" s="6"/>
      <c r="E641" s="9"/>
      <c r="F641" s="9"/>
      <c r="G641" s="11"/>
      <c r="H641" s="5"/>
      <c r="I641" s="8"/>
      <c r="J641" s="8"/>
    </row>
    <row r="642" spans="2:10" ht="12.75" x14ac:dyDescent="0.2">
      <c r="B642" s="6"/>
      <c r="C642" s="6"/>
      <c r="D642" s="6"/>
      <c r="E642" s="9"/>
      <c r="F642" s="9"/>
      <c r="G642" s="11"/>
      <c r="H642" s="5"/>
      <c r="I642" s="8"/>
      <c r="J642" s="8"/>
    </row>
    <row r="643" spans="2:10" ht="12.75" x14ac:dyDescent="0.2">
      <c r="B643" s="6"/>
      <c r="C643" s="6"/>
      <c r="D643" s="6"/>
      <c r="E643" s="9"/>
      <c r="F643" s="9"/>
      <c r="G643" s="11"/>
      <c r="H643" s="5"/>
      <c r="I643" s="8"/>
      <c r="J643" s="8"/>
    </row>
    <row r="644" spans="2:10" ht="12.75" x14ac:dyDescent="0.2">
      <c r="B644" s="6"/>
      <c r="C644" s="6"/>
      <c r="D644" s="6"/>
      <c r="E644" s="9"/>
      <c r="F644" s="9"/>
      <c r="G644" s="11"/>
      <c r="H644" s="5"/>
      <c r="I644" s="8"/>
      <c r="J644" s="8"/>
    </row>
    <row r="645" spans="2:10" ht="12.75" x14ac:dyDescent="0.2">
      <c r="B645" s="6"/>
      <c r="C645" s="6"/>
      <c r="D645" s="6"/>
      <c r="E645" s="9"/>
      <c r="F645" s="9"/>
      <c r="G645" s="11"/>
      <c r="H645" s="5"/>
      <c r="I645" s="8"/>
      <c r="J645" s="8"/>
    </row>
    <row r="646" spans="2:10" ht="12.75" x14ac:dyDescent="0.2">
      <c r="B646" s="6"/>
      <c r="C646" s="6"/>
      <c r="D646" s="6"/>
      <c r="E646" s="9"/>
      <c r="F646" s="9"/>
      <c r="G646" s="11"/>
      <c r="H646" s="5"/>
      <c r="I646" s="8"/>
      <c r="J646" s="8"/>
    </row>
    <row r="647" spans="2:10" ht="12.75" x14ac:dyDescent="0.2">
      <c r="B647" s="6"/>
      <c r="C647" s="6"/>
      <c r="D647" s="6"/>
      <c r="E647" s="9"/>
      <c r="F647" s="9"/>
      <c r="G647" s="11"/>
      <c r="H647" s="5"/>
      <c r="I647" s="8"/>
      <c r="J647" s="8"/>
    </row>
    <row r="648" spans="2:10" ht="12.75" x14ac:dyDescent="0.2">
      <c r="B648" s="6"/>
      <c r="C648" s="6"/>
      <c r="D648" s="6"/>
      <c r="E648" s="9"/>
      <c r="F648" s="9"/>
      <c r="G648" s="11"/>
      <c r="H648" s="5"/>
      <c r="I648" s="8"/>
      <c r="J648" s="8"/>
    </row>
    <row r="649" spans="2:10" ht="12.75" x14ac:dyDescent="0.2">
      <c r="B649" s="6"/>
      <c r="C649" s="6"/>
      <c r="D649" s="6"/>
      <c r="E649" s="9"/>
      <c r="F649" s="9"/>
      <c r="G649" s="11"/>
      <c r="H649" s="5"/>
      <c r="I649" s="8"/>
      <c r="J649" s="8"/>
    </row>
    <row r="650" spans="2:10" ht="12.75" x14ac:dyDescent="0.2">
      <c r="B650" s="6"/>
      <c r="C650" s="6"/>
      <c r="D650" s="6"/>
      <c r="E650" s="9"/>
      <c r="F650" s="9"/>
      <c r="G650" s="11"/>
      <c r="H650" s="5"/>
      <c r="I650" s="8"/>
      <c r="J650" s="8"/>
    </row>
    <row r="651" spans="2:10" ht="12.75" x14ac:dyDescent="0.2">
      <c r="B651" s="6"/>
      <c r="C651" s="6"/>
      <c r="D651" s="6"/>
      <c r="E651" s="9"/>
      <c r="F651" s="9"/>
      <c r="G651" s="11"/>
      <c r="H651" s="5"/>
      <c r="I651" s="8"/>
      <c r="J651" s="8"/>
    </row>
    <row r="652" spans="2:10" ht="12.75" x14ac:dyDescent="0.2">
      <c r="B652" s="6"/>
      <c r="C652" s="6"/>
      <c r="D652" s="6"/>
      <c r="E652" s="9"/>
      <c r="F652" s="9"/>
      <c r="G652" s="11"/>
      <c r="H652" s="5"/>
      <c r="I652" s="8"/>
      <c r="J652" s="8"/>
    </row>
    <row r="653" spans="2:10" ht="12.75" x14ac:dyDescent="0.2">
      <c r="B653" s="6"/>
      <c r="C653" s="6"/>
      <c r="D653" s="6"/>
      <c r="E653" s="9"/>
      <c r="F653" s="9"/>
      <c r="G653" s="11"/>
      <c r="H653" s="5"/>
      <c r="I653" s="8"/>
      <c r="J653" s="8"/>
    </row>
    <row r="654" spans="2:10" ht="12.75" x14ac:dyDescent="0.2">
      <c r="B654" s="6"/>
      <c r="C654" s="6"/>
      <c r="D654" s="6"/>
      <c r="E654" s="9"/>
      <c r="F654" s="9"/>
      <c r="G654" s="11"/>
      <c r="H654" s="5"/>
      <c r="I654" s="8"/>
      <c r="J654" s="8"/>
    </row>
    <row r="655" spans="2:10" ht="12.75" x14ac:dyDescent="0.2">
      <c r="B655" s="6"/>
      <c r="C655" s="6"/>
      <c r="D655" s="6"/>
      <c r="E655" s="9"/>
      <c r="F655" s="9"/>
      <c r="G655" s="11"/>
      <c r="H655" s="5"/>
      <c r="I655" s="8"/>
      <c r="J655" s="8"/>
    </row>
    <row r="656" spans="2:10" ht="12.75" x14ac:dyDescent="0.2">
      <c r="B656" s="6"/>
      <c r="C656" s="6"/>
      <c r="D656" s="6"/>
      <c r="E656" s="9"/>
      <c r="F656" s="9"/>
      <c r="G656" s="11"/>
      <c r="H656" s="5"/>
      <c r="I656" s="8"/>
      <c r="J656" s="8"/>
    </row>
    <row r="657" spans="2:10" ht="12.75" x14ac:dyDescent="0.2">
      <c r="B657" s="6"/>
      <c r="C657" s="6"/>
      <c r="D657" s="6"/>
      <c r="E657" s="9"/>
      <c r="F657" s="9"/>
      <c r="G657" s="11"/>
      <c r="H657" s="5"/>
      <c r="I657" s="8"/>
      <c r="J657" s="8"/>
    </row>
    <row r="658" spans="2:10" ht="12.75" x14ac:dyDescent="0.2">
      <c r="B658" s="6"/>
      <c r="C658" s="6"/>
      <c r="D658" s="6"/>
      <c r="E658" s="9"/>
      <c r="F658" s="9"/>
      <c r="G658" s="11"/>
      <c r="H658" s="5"/>
      <c r="I658" s="8"/>
      <c r="J658" s="8"/>
    </row>
    <row r="659" spans="2:10" ht="12.75" x14ac:dyDescent="0.2">
      <c r="B659" s="6"/>
      <c r="C659" s="6"/>
      <c r="D659" s="6"/>
      <c r="E659" s="9"/>
      <c r="F659" s="9"/>
      <c r="G659" s="11"/>
      <c r="H659" s="5"/>
      <c r="I659" s="8"/>
      <c r="J659" s="8"/>
    </row>
    <row r="660" spans="2:10" ht="12.75" x14ac:dyDescent="0.2">
      <c r="B660" s="6"/>
      <c r="C660" s="6"/>
      <c r="D660" s="6"/>
      <c r="E660" s="9"/>
      <c r="F660" s="9"/>
      <c r="G660" s="11"/>
      <c r="H660" s="5"/>
      <c r="I660" s="8"/>
      <c r="J660" s="8"/>
    </row>
    <row r="661" spans="2:10" ht="12.75" x14ac:dyDescent="0.2">
      <c r="B661" s="6"/>
      <c r="C661" s="6"/>
      <c r="D661" s="6"/>
      <c r="E661" s="9"/>
      <c r="F661" s="9"/>
      <c r="G661" s="11"/>
      <c r="H661" s="5"/>
      <c r="I661" s="8"/>
      <c r="J661" s="8"/>
    </row>
    <row r="662" spans="2:10" ht="12.75" x14ac:dyDescent="0.2">
      <c r="B662" s="6"/>
      <c r="C662" s="6"/>
      <c r="D662" s="6"/>
      <c r="E662" s="9"/>
      <c r="F662" s="9"/>
      <c r="G662" s="11"/>
      <c r="H662" s="5"/>
      <c r="I662" s="8"/>
      <c r="J662" s="8"/>
    </row>
    <row r="663" spans="2:10" ht="12.75" x14ac:dyDescent="0.2">
      <c r="B663" s="6"/>
      <c r="C663" s="6"/>
      <c r="D663" s="6"/>
      <c r="E663" s="9"/>
      <c r="F663" s="9"/>
      <c r="G663" s="11"/>
      <c r="H663" s="5"/>
      <c r="I663" s="8"/>
      <c r="J663" s="8"/>
    </row>
    <row r="664" spans="2:10" ht="12.75" x14ac:dyDescent="0.2">
      <c r="B664" s="6"/>
      <c r="C664" s="6"/>
      <c r="D664" s="6"/>
      <c r="E664" s="9"/>
      <c r="F664" s="9"/>
      <c r="G664" s="11"/>
      <c r="H664" s="5"/>
      <c r="I664" s="8"/>
      <c r="J664" s="8"/>
    </row>
    <row r="665" spans="2:10" ht="12.75" x14ac:dyDescent="0.2">
      <c r="B665" s="6"/>
      <c r="C665" s="6"/>
      <c r="D665" s="6"/>
      <c r="E665" s="9"/>
      <c r="F665" s="9"/>
      <c r="G665" s="11"/>
      <c r="H665" s="5"/>
      <c r="I665" s="8"/>
      <c r="J665" s="8"/>
    </row>
    <row r="666" spans="2:10" ht="12.75" x14ac:dyDescent="0.2">
      <c r="B666" s="6"/>
      <c r="C666" s="6"/>
      <c r="D666" s="6"/>
      <c r="E666" s="9"/>
      <c r="F666" s="9"/>
      <c r="G666" s="11"/>
      <c r="H666" s="5"/>
      <c r="I666" s="8"/>
      <c r="J666" s="8"/>
    </row>
    <row r="667" spans="2:10" ht="12.75" x14ac:dyDescent="0.2">
      <c r="B667" s="6"/>
      <c r="C667" s="6"/>
      <c r="D667" s="6"/>
      <c r="E667" s="9"/>
      <c r="F667" s="9"/>
      <c r="G667" s="11"/>
      <c r="H667" s="5"/>
      <c r="I667" s="8"/>
      <c r="J667" s="8"/>
    </row>
    <row r="668" spans="2:10" ht="12.75" x14ac:dyDescent="0.2">
      <c r="B668" s="6"/>
      <c r="C668" s="6"/>
      <c r="D668" s="6"/>
      <c r="E668" s="9"/>
      <c r="F668" s="9"/>
      <c r="G668" s="11"/>
      <c r="H668" s="5"/>
      <c r="I668" s="8"/>
      <c r="J668" s="8"/>
    </row>
    <row r="669" spans="2:10" ht="12.75" x14ac:dyDescent="0.2">
      <c r="B669" s="6"/>
      <c r="C669" s="6"/>
      <c r="D669" s="6"/>
      <c r="E669" s="9"/>
      <c r="F669" s="9"/>
      <c r="G669" s="11"/>
      <c r="H669" s="5"/>
      <c r="I669" s="8"/>
      <c r="J669" s="8"/>
    </row>
    <row r="670" spans="2:10" ht="12.75" x14ac:dyDescent="0.2">
      <c r="B670" s="6"/>
      <c r="C670" s="6"/>
      <c r="D670" s="6"/>
      <c r="E670" s="9"/>
      <c r="F670" s="9"/>
      <c r="G670" s="11"/>
      <c r="H670" s="5"/>
      <c r="I670" s="8"/>
      <c r="J670" s="8"/>
    </row>
    <row r="671" spans="2:10" ht="12.75" x14ac:dyDescent="0.2">
      <c r="B671" s="6"/>
      <c r="C671" s="6"/>
      <c r="D671" s="6"/>
      <c r="E671" s="9"/>
      <c r="F671" s="9"/>
      <c r="G671" s="11"/>
      <c r="H671" s="5"/>
      <c r="I671" s="8"/>
      <c r="J671" s="8"/>
    </row>
    <row r="672" spans="2:10" ht="12.75" x14ac:dyDescent="0.2">
      <c r="B672" s="6"/>
      <c r="C672" s="6"/>
      <c r="D672" s="6"/>
      <c r="E672" s="9"/>
      <c r="F672" s="9"/>
      <c r="G672" s="11"/>
      <c r="H672" s="5"/>
      <c r="I672" s="8"/>
      <c r="J672" s="8"/>
    </row>
    <row r="673" spans="2:10" ht="12.75" x14ac:dyDescent="0.2">
      <c r="B673" s="6"/>
      <c r="C673" s="6"/>
      <c r="D673" s="6"/>
      <c r="E673" s="9"/>
      <c r="F673" s="9"/>
      <c r="G673" s="11"/>
      <c r="H673" s="5"/>
      <c r="I673" s="8"/>
      <c r="J673" s="8"/>
    </row>
    <row r="674" spans="2:10" ht="12.75" x14ac:dyDescent="0.2">
      <c r="B674" s="6"/>
      <c r="C674" s="6"/>
      <c r="D674" s="6"/>
      <c r="E674" s="9"/>
      <c r="F674" s="9"/>
      <c r="G674" s="11"/>
      <c r="H674" s="5"/>
      <c r="I674" s="8"/>
      <c r="J674" s="8"/>
    </row>
    <row r="675" spans="2:10" ht="12.75" x14ac:dyDescent="0.2">
      <c r="B675" s="6"/>
      <c r="C675" s="6"/>
      <c r="D675" s="6"/>
      <c r="E675" s="9"/>
      <c r="F675" s="9"/>
      <c r="G675" s="11"/>
      <c r="H675" s="5"/>
      <c r="I675" s="8"/>
      <c r="J675" s="8"/>
    </row>
    <row r="676" spans="2:10" ht="12.75" x14ac:dyDescent="0.2">
      <c r="B676" s="6"/>
      <c r="C676" s="6"/>
      <c r="D676" s="6"/>
      <c r="E676" s="9"/>
      <c r="F676" s="9"/>
      <c r="G676" s="11"/>
      <c r="H676" s="5"/>
      <c r="I676" s="8"/>
      <c r="J676" s="8"/>
    </row>
    <row r="677" spans="2:10" ht="12.75" x14ac:dyDescent="0.2">
      <c r="B677" s="6"/>
      <c r="C677" s="6"/>
      <c r="D677" s="6"/>
      <c r="E677" s="9"/>
      <c r="F677" s="9"/>
      <c r="G677" s="11"/>
      <c r="H677" s="5"/>
      <c r="I677" s="8"/>
      <c r="J677" s="8"/>
    </row>
    <row r="678" spans="2:10" ht="12.75" x14ac:dyDescent="0.2">
      <c r="B678" s="6"/>
      <c r="C678" s="6"/>
      <c r="D678" s="6"/>
      <c r="E678" s="9"/>
      <c r="F678" s="9"/>
      <c r="G678" s="11"/>
      <c r="H678" s="5"/>
      <c r="I678" s="8"/>
      <c r="J678" s="8"/>
    </row>
    <row r="679" spans="2:10" ht="12.75" x14ac:dyDescent="0.2">
      <c r="B679" s="6"/>
      <c r="C679" s="6"/>
      <c r="D679" s="6"/>
      <c r="E679" s="9"/>
      <c r="F679" s="9"/>
      <c r="G679" s="11"/>
      <c r="H679" s="5"/>
      <c r="I679" s="8"/>
      <c r="J679" s="8"/>
    </row>
    <row r="680" spans="2:10" ht="12.75" x14ac:dyDescent="0.2">
      <c r="B680" s="6"/>
      <c r="C680" s="6"/>
      <c r="D680" s="6"/>
      <c r="E680" s="9"/>
      <c r="F680" s="9"/>
      <c r="G680" s="11"/>
      <c r="H680" s="5"/>
      <c r="I680" s="8"/>
      <c r="J680" s="8"/>
    </row>
    <row r="681" spans="2:10" ht="12.75" x14ac:dyDescent="0.2">
      <c r="B681" s="6"/>
      <c r="C681" s="6"/>
      <c r="D681" s="6"/>
      <c r="E681" s="9"/>
      <c r="F681" s="9"/>
      <c r="G681" s="11"/>
      <c r="H681" s="5"/>
      <c r="I681" s="8"/>
      <c r="J681" s="8"/>
    </row>
    <row r="682" spans="2:10" ht="12.75" x14ac:dyDescent="0.2">
      <c r="B682" s="6"/>
      <c r="C682" s="6"/>
      <c r="D682" s="6"/>
      <c r="E682" s="9"/>
      <c r="F682" s="9"/>
      <c r="G682" s="11"/>
      <c r="H682" s="5"/>
      <c r="I682" s="8"/>
      <c r="J682" s="8"/>
    </row>
    <row r="683" spans="2:10" ht="12.75" x14ac:dyDescent="0.2">
      <c r="B683" s="6"/>
      <c r="C683" s="6"/>
      <c r="D683" s="6"/>
      <c r="E683" s="9"/>
      <c r="F683" s="9"/>
      <c r="G683" s="11"/>
      <c r="H683" s="5"/>
      <c r="I683" s="8"/>
      <c r="J683" s="8"/>
    </row>
    <row r="684" spans="2:10" ht="12.75" x14ac:dyDescent="0.2">
      <c r="B684" s="6"/>
      <c r="C684" s="6"/>
      <c r="D684" s="6"/>
      <c r="E684" s="9"/>
      <c r="F684" s="9"/>
      <c r="G684" s="11"/>
      <c r="H684" s="5"/>
      <c r="I684" s="8"/>
      <c r="J684" s="8"/>
    </row>
    <row r="685" spans="2:10" ht="12.75" x14ac:dyDescent="0.2">
      <c r="B685" s="6"/>
      <c r="C685" s="6"/>
      <c r="D685" s="6"/>
      <c r="E685" s="9"/>
      <c r="F685" s="9"/>
      <c r="G685" s="11"/>
      <c r="H685" s="5"/>
      <c r="I685" s="8"/>
      <c r="J685" s="8"/>
    </row>
    <row r="686" spans="2:10" ht="12.75" x14ac:dyDescent="0.2">
      <c r="B686" s="6"/>
      <c r="C686" s="6"/>
      <c r="D686" s="6"/>
      <c r="E686" s="9"/>
      <c r="F686" s="9"/>
      <c r="G686" s="11"/>
      <c r="H686" s="5"/>
      <c r="I686" s="8"/>
      <c r="J686" s="8"/>
    </row>
    <row r="687" spans="2:10" ht="12.75" x14ac:dyDescent="0.2">
      <c r="B687" s="6"/>
      <c r="C687" s="6"/>
      <c r="D687" s="6"/>
      <c r="E687" s="9"/>
      <c r="F687" s="9"/>
      <c r="G687" s="11"/>
      <c r="H687" s="5"/>
      <c r="I687" s="8"/>
      <c r="J687" s="8"/>
    </row>
    <row r="688" spans="2:10" ht="12.75" x14ac:dyDescent="0.2">
      <c r="B688" s="6"/>
      <c r="C688" s="6"/>
      <c r="D688" s="6"/>
      <c r="E688" s="9"/>
      <c r="F688" s="9"/>
      <c r="G688" s="11"/>
      <c r="H688" s="5"/>
      <c r="I688" s="8"/>
      <c r="J688" s="8"/>
    </row>
    <row r="689" spans="2:10" ht="12.75" x14ac:dyDescent="0.2">
      <c r="B689" s="6"/>
      <c r="C689" s="6"/>
      <c r="D689" s="6"/>
      <c r="E689" s="9"/>
      <c r="F689" s="9"/>
      <c r="G689" s="11"/>
      <c r="H689" s="5"/>
      <c r="I689" s="8"/>
      <c r="J689" s="8"/>
    </row>
    <row r="690" spans="2:10" ht="12.75" x14ac:dyDescent="0.2">
      <c r="B690" s="6"/>
      <c r="C690" s="6"/>
      <c r="D690" s="6"/>
      <c r="E690" s="9"/>
      <c r="F690" s="9"/>
      <c r="G690" s="11"/>
      <c r="H690" s="5"/>
      <c r="I690" s="8"/>
      <c r="J690" s="8"/>
    </row>
    <row r="691" spans="2:10" ht="12.75" x14ac:dyDescent="0.2">
      <c r="B691" s="6"/>
      <c r="C691" s="6"/>
      <c r="D691" s="6"/>
      <c r="E691" s="9"/>
      <c r="F691" s="9"/>
      <c r="G691" s="11"/>
      <c r="H691" s="5"/>
      <c r="I691" s="8"/>
      <c r="J691" s="8"/>
    </row>
    <row r="692" spans="2:10" ht="12.75" x14ac:dyDescent="0.2">
      <c r="B692" s="6"/>
      <c r="C692" s="6"/>
      <c r="D692" s="6"/>
      <c r="E692" s="9"/>
      <c r="F692" s="9"/>
      <c r="G692" s="11"/>
      <c r="H692" s="5"/>
      <c r="I692" s="8"/>
      <c r="J692" s="8"/>
    </row>
    <row r="693" spans="2:10" ht="12.75" x14ac:dyDescent="0.2">
      <c r="B693" s="6"/>
      <c r="C693" s="6"/>
      <c r="D693" s="6"/>
      <c r="E693" s="9"/>
      <c r="F693" s="9"/>
      <c r="G693" s="11"/>
      <c r="H693" s="5"/>
      <c r="I693" s="8"/>
      <c r="J693" s="8"/>
    </row>
    <row r="694" spans="2:10" ht="12.75" x14ac:dyDescent="0.2">
      <c r="B694" s="6"/>
      <c r="C694" s="6"/>
      <c r="D694" s="6"/>
      <c r="E694" s="9"/>
      <c r="F694" s="9"/>
      <c r="G694" s="11"/>
      <c r="H694" s="5"/>
      <c r="I694" s="8"/>
      <c r="J694" s="8"/>
    </row>
    <row r="695" spans="2:10" ht="12.75" x14ac:dyDescent="0.2">
      <c r="B695" s="6"/>
      <c r="C695" s="6"/>
      <c r="D695" s="6"/>
      <c r="E695" s="9"/>
      <c r="F695" s="9"/>
      <c r="G695" s="11"/>
      <c r="H695" s="5"/>
      <c r="I695" s="8"/>
      <c r="J695" s="8"/>
    </row>
    <row r="696" spans="2:10" ht="12.75" x14ac:dyDescent="0.2">
      <c r="B696" s="6"/>
      <c r="C696" s="6"/>
      <c r="D696" s="6"/>
      <c r="E696" s="9"/>
      <c r="F696" s="9"/>
      <c r="G696" s="11"/>
      <c r="H696" s="5"/>
      <c r="I696" s="8"/>
      <c r="J696" s="8"/>
    </row>
    <row r="697" spans="2:10" ht="12.75" x14ac:dyDescent="0.2">
      <c r="B697" s="6"/>
      <c r="C697" s="6"/>
      <c r="D697" s="6"/>
      <c r="E697" s="9"/>
      <c r="F697" s="9"/>
      <c r="G697" s="11"/>
      <c r="H697" s="5"/>
      <c r="I697" s="8"/>
      <c r="J697" s="8"/>
    </row>
    <row r="698" spans="2:10" ht="12.75" x14ac:dyDescent="0.2">
      <c r="B698" s="6"/>
      <c r="C698" s="6"/>
      <c r="D698" s="6"/>
      <c r="E698" s="9"/>
      <c r="F698" s="9"/>
      <c r="G698" s="11"/>
      <c r="H698" s="5"/>
      <c r="I698" s="8"/>
      <c r="J698" s="8"/>
    </row>
    <row r="699" spans="2:10" ht="12.75" x14ac:dyDescent="0.2">
      <c r="B699" s="6"/>
      <c r="C699" s="6"/>
      <c r="D699" s="6"/>
      <c r="E699" s="9"/>
      <c r="F699" s="9"/>
      <c r="G699" s="11"/>
      <c r="H699" s="5"/>
      <c r="I699" s="8"/>
      <c r="J699" s="8"/>
    </row>
    <row r="700" spans="2:10" ht="12.75" x14ac:dyDescent="0.2">
      <c r="B700" s="6"/>
      <c r="C700" s="6"/>
      <c r="D700" s="6"/>
      <c r="E700" s="9"/>
      <c r="F700" s="9"/>
      <c r="G700" s="11"/>
      <c r="H700" s="5"/>
      <c r="I700" s="8"/>
      <c r="J700" s="8"/>
    </row>
    <row r="701" spans="2:10" ht="12.75" x14ac:dyDescent="0.2">
      <c r="B701" s="6"/>
      <c r="C701" s="6"/>
      <c r="D701" s="6"/>
      <c r="E701" s="9"/>
      <c r="F701" s="9"/>
      <c r="G701" s="11"/>
      <c r="H701" s="5"/>
      <c r="I701" s="8"/>
      <c r="J701" s="8"/>
    </row>
    <row r="702" spans="2:10" ht="12.75" x14ac:dyDescent="0.2">
      <c r="B702" s="6"/>
      <c r="C702" s="6"/>
      <c r="D702" s="6"/>
      <c r="E702" s="9"/>
      <c r="F702" s="9"/>
      <c r="G702" s="11"/>
      <c r="H702" s="5"/>
      <c r="I702" s="8"/>
      <c r="J702" s="8"/>
    </row>
    <row r="703" spans="2:10" ht="12.75" x14ac:dyDescent="0.2">
      <c r="B703" s="6"/>
      <c r="C703" s="6"/>
      <c r="D703" s="6"/>
      <c r="E703" s="9"/>
      <c r="F703" s="9"/>
      <c r="G703" s="11"/>
      <c r="H703" s="5"/>
      <c r="I703" s="8"/>
      <c r="J703" s="8"/>
    </row>
    <row r="704" spans="2:10" ht="12.75" x14ac:dyDescent="0.2">
      <c r="B704" s="6"/>
      <c r="C704" s="6"/>
      <c r="D704" s="6"/>
      <c r="E704" s="9"/>
      <c r="F704" s="9"/>
      <c r="G704" s="11"/>
      <c r="H704" s="5"/>
      <c r="I704" s="8"/>
      <c r="J704" s="8"/>
    </row>
    <row r="705" spans="2:10" ht="12.75" x14ac:dyDescent="0.2">
      <c r="B705" s="6"/>
      <c r="C705" s="6"/>
      <c r="D705" s="6"/>
      <c r="E705" s="9"/>
      <c r="F705" s="9"/>
      <c r="G705" s="11"/>
      <c r="H705" s="5"/>
      <c r="I705" s="8"/>
      <c r="J705" s="8"/>
    </row>
    <row r="706" spans="2:10" ht="12.75" x14ac:dyDescent="0.2">
      <c r="B706" s="6"/>
      <c r="C706" s="6"/>
      <c r="D706" s="6"/>
      <c r="E706" s="9"/>
      <c r="F706" s="9"/>
      <c r="G706" s="11"/>
      <c r="H706" s="5"/>
      <c r="I706" s="8"/>
      <c r="J706" s="8"/>
    </row>
    <row r="707" spans="2:10" ht="12.75" x14ac:dyDescent="0.2">
      <c r="B707" s="6"/>
      <c r="C707" s="6"/>
      <c r="D707" s="6"/>
      <c r="E707" s="9"/>
      <c r="F707" s="9"/>
      <c r="G707" s="11"/>
      <c r="H707" s="5"/>
      <c r="I707" s="8"/>
      <c r="J707" s="8"/>
    </row>
    <row r="708" spans="2:10" ht="12.75" x14ac:dyDescent="0.2">
      <c r="B708" s="6"/>
      <c r="C708" s="6"/>
      <c r="D708" s="6"/>
      <c r="E708" s="9"/>
      <c r="F708" s="9"/>
      <c r="G708" s="11"/>
      <c r="H708" s="5"/>
      <c r="I708" s="8"/>
      <c r="J708" s="8"/>
    </row>
    <row r="709" spans="2:10" ht="12.75" x14ac:dyDescent="0.2">
      <c r="B709" s="6"/>
      <c r="C709" s="6"/>
      <c r="D709" s="6"/>
      <c r="E709" s="9"/>
      <c r="F709" s="9"/>
      <c r="G709" s="11"/>
      <c r="H709" s="5"/>
      <c r="I709" s="8"/>
      <c r="J709" s="8"/>
    </row>
    <row r="710" spans="2:10" ht="12.75" x14ac:dyDescent="0.2">
      <c r="B710" s="6"/>
      <c r="C710" s="6"/>
      <c r="D710" s="6"/>
      <c r="E710" s="9"/>
      <c r="F710" s="9"/>
      <c r="G710" s="11"/>
      <c r="H710" s="5"/>
      <c r="I710" s="8"/>
      <c r="J710" s="8"/>
    </row>
    <row r="711" spans="2:10" ht="12.75" x14ac:dyDescent="0.2">
      <c r="B711" s="6"/>
      <c r="C711" s="6"/>
      <c r="D711" s="6"/>
      <c r="E711" s="9"/>
      <c r="F711" s="9"/>
      <c r="G711" s="11"/>
      <c r="H711" s="5"/>
      <c r="I711" s="8"/>
      <c r="J711" s="8"/>
    </row>
    <row r="712" spans="2:10" ht="12.75" x14ac:dyDescent="0.2">
      <c r="B712" s="6"/>
      <c r="C712" s="6"/>
      <c r="D712" s="6"/>
      <c r="E712" s="9"/>
      <c r="F712" s="9"/>
      <c r="G712" s="11"/>
      <c r="H712" s="5"/>
      <c r="I712" s="8"/>
      <c r="J712" s="8"/>
    </row>
    <row r="713" spans="2:10" ht="12.75" x14ac:dyDescent="0.2">
      <c r="B713" s="6"/>
      <c r="C713" s="6"/>
      <c r="D713" s="6"/>
      <c r="E713" s="9"/>
      <c r="F713" s="9"/>
      <c r="G713" s="11"/>
      <c r="H713" s="5"/>
      <c r="I713" s="8"/>
      <c r="J713" s="8"/>
    </row>
    <row r="714" spans="2:10" ht="12.75" x14ac:dyDescent="0.2">
      <c r="B714" s="6"/>
      <c r="C714" s="6"/>
      <c r="D714" s="6"/>
      <c r="E714" s="9"/>
      <c r="F714" s="9"/>
      <c r="G714" s="11"/>
      <c r="H714" s="5"/>
      <c r="I714" s="8"/>
      <c r="J714" s="8"/>
    </row>
    <row r="715" spans="2:10" ht="12.75" x14ac:dyDescent="0.2">
      <c r="B715" s="6"/>
      <c r="C715" s="6"/>
      <c r="D715" s="6"/>
      <c r="E715" s="9"/>
      <c r="F715" s="9"/>
      <c r="G715" s="11"/>
      <c r="H715" s="5"/>
      <c r="I715" s="8"/>
      <c r="J715" s="8"/>
    </row>
    <row r="716" spans="2:10" ht="12.75" x14ac:dyDescent="0.2">
      <c r="B716" s="6"/>
      <c r="C716" s="6"/>
      <c r="D716" s="6"/>
      <c r="E716" s="9"/>
      <c r="F716" s="9"/>
      <c r="G716" s="11"/>
      <c r="H716" s="5"/>
      <c r="I716" s="8"/>
      <c r="J716" s="8"/>
    </row>
    <row r="717" spans="2:10" ht="12.75" x14ac:dyDescent="0.2">
      <c r="B717" s="6"/>
      <c r="C717" s="6"/>
      <c r="D717" s="6"/>
      <c r="E717" s="9"/>
      <c r="F717" s="9"/>
      <c r="G717" s="11"/>
      <c r="H717" s="5"/>
      <c r="I717" s="8"/>
      <c r="J717" s="8"/>
    </row>
    <row r="718" spans="2:10" ht="12.75" x14ac:dyDescent="0.2">
      <c r="B718" s="6"/>
      <c r="C718" s="6"/>
      <c r="D718" s="6"/>
      <c r="E718" s="9"/>
      <c r="F718" s="9"/>
      <c r="G718" s="11"/>
      <c r="H718" s="5"/>
      <c r="I718" s="8"/>
      <c r="J718" s="8"/>
    </row>
    <row r="719" spans="2:10" ht="12.75" x14ac:dyDescent="0.2">
      <c r="B719" s="6"/>
      <c r="C719" s="6"/>
      <c r="D719" s="6"/>
      <c r="E719" s="9"/>
      <c r="F719" s="9"/>
      <c r="G719" s="11"/>
      <c r="H719" s="5"/>
      <c r="I719" s="8"/>
      <c r="J719" s="8"/>
    </row>
    <row r="720" spans="2:10" ht="12.75" x14ac:dyDescent="0.2">
      <c r="B720" s="6"/>
      <c r="C720" s="6"/>
      <c r="D720" s="6"/>
      <c r="E720" s="9"/>
      <c r="F720" s="9"/>
      <c r="G720" s="11"/>
      <c r="H720" s="5"/>
      <c r="I720" s="8"/>
      <c r="J720" s="8"/>
    </row>
    <row r="721" spans="2:10" ht="12.75" x14ac:dyDescent="0.2">
      <c r="B721" s="6"/>
      <c r="C721" s="6"/>
      <c r="D721" s="6"/>
      <c r="E721" s="9"/>
      <c r="F721" s="9"/>
      <c r="G721" s="11"/>
      <c r="H721" s="5"/>
      <c r="I721" s="8"/>
      <c r="J721" s="8"/>
    </row>
    <row r="722" spans="2:10" ht="12.75" x14ac:dyDescent="0.2">
      <c r="B722" s="6"/>
      <c r="C722" s="6"/>
      <c r="D722" s="6"/>
      <c r="E722" s="9"/>
      <c r="F722" s="9"/>
      <c r="G722" s="11"/>
      <c r="H722" s="5"/>
      <c r="I722" s="8"/>
      <c r="J722" s="8"/>
    </row>
    <row r="723" spans="2:10" ht="12.75" x14ac:dyDescent="0.2">
      <c r="B723" s="6"/>
      <c r="C723" s="6"/>
      <c r="D723" s="6"/>
      <c r="E723" s="9"/>
      <c r="F723" s="9"/>
      <c r="G723" s="11"/>
      <c r="H723" s="5"/>
      <c r="I723" s="8"/>
      <c r="J723" s="8"/>
    </row>
    <row r="724" spans="2:10" ht="12.75" x14ac:dyDescent="0.2">
      <c r="B724" s="6"/>
      <c r="C724" s="6"/>
      <c r="D724" s="6"/>
      <c r="E724" s="9"/>
      <c r="F724" s="9"/>
      <c r="G724" s="11"/>
      <c r="H724" s="5"/>
      <c r="I724" s="8"/>
      <c r="J724" s="8"/>
    </row>
    <row r="725" spans="2:10" ht="12.75" x14ac:dyDescent="0.2">
      <c r="B725" s="6"/>
      <c r="C725" s="6"/>
      <c r="D725" s="6"/>
      <c r="E725" s="9"/>
      <c r="F725" s="9"/>
      <c r="G725" s="11"/>
      <c r="H725" s="5"/>
      <c r="I725" s="8"/>
      <c r="J725" s="8"/>
    </row>
    <row r="726" spans="2:10" ht="12.75" x14ac:dyDescent="0.2">
      <c r="B726" s="6"/>
      <c r="C726" s="6"/>
      <c r="D726" s="6"/>
      <c r="E726" s="9"/>
      <c r="F726" s="9"/>
      <c r="G726" s="11"/>
      <c r="H726" s="5"/>
      <c r="I726" s="8"/>
      <c r="J726" s="8"/>
    </row>
    <row r="727" spans="2:10" ht="12.75" x14ac:dyDescent="0.2">
      <c r="B727" s="6"/>
      <c r="C727" s="6"/>
      <c r="D727" s="6"/>
      <c r="E727" s="9"/>
      <c r="F727" s="9"/>
      <c r="G727" s="11"/>
      <c r="H727" s="5"/>
      <c r="I727" s="8"/>
      <c r="J727" s="8"/>
    </row>
    <row r="728" spans="2:10" ht="12.75" x14ac:dyDescent="0.2">
      <c r="B728" s="6"/>
      <c r="C728" s="6"/>
      <c r="D728" s="6"/>
      <c r="E728" s="9"/>
      <c r="F728" s="9"/>
      <c r="G728" s="11"/>
      <c r="H728" s="5"/>
      <c r="I728" s="8"/>
      <c r="J728" s="8"/>
    </row>
    <row r="729" spans="2:10" ht="12.75" x14ac:dyDescent="0.2">
      <c r="B729" s="6"/>
      <c r="C729" s="6"/>
      <c r="D729" s="6"/>
      <c r="E729" s="9"/>
      <c r="F729" s="9"/>
      <c r="G729" s="11"/>
      <c r="H729" s="5"/>
      <c r="I729" s="8"/>
      <c r="J729" s="8"/>
    </row>
    <row r="730" spans="2:10" ht="12.75" x14ac:dyDescent="0.2">
      <c r="B730" s="6"/>
      <c r="C730" s="6"/>
      <c r="D730" s="6"/>
      <c r="E730" s="9"/>
      <c r="F730" s="9"/>
      <c r="G730" s="11"/>
      <c r="H730" s="5"/>
      <c r="I730" s="8"/>
      <c r="J730" s="8"/>
    </row>
    <row r="731" spans="2:10" ht="12.75" x14ac:dyDescent="0.2">
      <c r="B731" s="6"/>
      <c r="C731" s="6"/>
      <c r="D731" s="6"/>
      <c r="E731" s="9"/>
      <c r="F731" s="9"/>
      <c r="G731" s="11"/>
      <c r="H731" s="5"/>
      <c r="I731" s="8"/>
      <c r="J731" s="8"/>
    </row>
    <row r="732" spans="2:10" ht="12.75" x14ac:dyDescent="0.2">
      <c r="B732" s="6"/>
      <c r="C732" s="6"/>
      <c r="D732" s="6"/>
      <c r="E732" s="9"/>
      <c r="F732" s="9"/>
      <c r="G732" s="11"/>
      <c r="H732" s="5"/>
      <c r="I732" s="8"/>
      <c r="J732" s="8"/>
    </row>
    <row r="733" spans="2:10" ht="12.75" x14ac:dyDescent="0.2">
      <c r="B733" s="6"/>
      <c r="C733" s="6"/>
      <c r="D733" s="6"/>
      <c r="E733" s="9"/>
      <c r="F733" s="9"/>
      <c r="G733" s="11"/>
      <c r="H733" s="5"/>
      <c r="I733" s="8"/>
      <c r="J733" s="8"/>
    </row>
    <row r="734" spans="2:10" ht="12.75" x14ac:dyDescent="0.2">
      <c r="B734" s="6"/>
      <c r="C734" s="6"/>
      <c r="D734" s="6"/>
      <c r="E734" s="9"/>
      <c r="F734" s="9"/>
      <c r="G734" s="11"/>
      <c r="H734" s="5"/>
      <c r="I734" s="8"/>
      <c r="J734" s="8"/>
    </row>
    <row r="735" spans="2:10" ht="12.75" x14ac:dyDescent="0.2">
      <c r="B735" s="6"/>
      <c r="C735" s="6"/>
      <c r="D735" s="6"/>
      <c r="E735" s="9"/>
      <c r="F735" s="9"/>
      <c r="G735" s="11"/>
      <c r="H735" s="5"/>
      <c r="I735" s="8"/>
      <c r="J735" s="8"/>
    </row>
    <row r="736" spans="2:10" ht="12.75" x14ac:dyDescent="0.2">
      <c r="B736" s="6"/>
      <c r="C736" s="6"/>
      <c r="D736" s="6"/>
      <c r="E736" s="9"/>
      <c r="F736" s="9"/>
      <c r="G736" s="11"/>
      <c r="H736" s="5"/>
      <c r="I736" s="8"/>
      <c r="J736" s="8"/>
    </row>
    <row r="737" spans="2:10" ht="12.75" x14ac:dyDescent="0.2">
      <c r="B737" s="6"/>
      <c r="C737" s="6"/>
      <c r="D737" s="6"/>
      <c r="E737" s="9"/>
      <c r="F737" s="9"/>
      <c r="G737" s="11"/>
      <c r="H737" s="5"/>
      <c r="I737" s="8"/>
      <c r="J737" s="8"/>
    </row>
    <row r="738" spans="2:10" ht="12.75" x14ac:dyDescent="0.2">
      <c r="B738" s="6"/>
      <c r="C738" s="6"/>
      <c r="D738" s="6"/>
      <c r="E738" s="9"/>
      <c r="F738" s="9"/>
      <c r="G738" s="11"/>
      <c r="H738" s="5"/>
      <c r="I738" s="8"/>
      <c r="J738" s="8"/>
    </row>
    <row r="739" spans="2:10" ht="12.75" x14ac:dyDescent="0.2">
      <c r="B739" s="6"/>
      <c r="C739" s="6"/>
      <c r="D739" s="6"/>
      <c r="E739" s="9"/>
      <c r="F739" s="9"/>
      <c r="G739" s="11"/>
      <c r="H739" s="5"/>
      <c r="I739" s="8"/>
      <c r="J739" s="8"/>
    </row>
    <row r="740" spans="2:10" ht="12.75" x14ac:dyDescent="0.2">
      <c r="B740" s="6"/>
      <c r="C740" s="6"/>
      <c r="D740" s="6"/>
      <c r="E740" s="9"/>
      <c r="F740" s="9"/>
      <c r="G740" s="11"/>
      <c r="H740" s="5"/>
      <c r="I740" s="8"/>
      <c r="J740" s="8"/>
    </row>
    <row r="741" spans="2:10" ht="12.75" x14ac:dyDescent="0.2">
      <c r="B741" s="6"/>
      <c r="C741" s="6"/>
      <c r="D741" s="6"/>
      <c r="E741" s="9"/>
      <c r="F741" s="9"/>
      <c r="G741" s="11"/>
      <c r="H741" s="5"/>
      <c r="I741" s="8"/>
      <c r="J741" s="8"/>
    </row>
    <row r="742" spans="2:10" ht="12.75" x14ac:dyDescent="0.2">
      <c r="B742" s="6"/>
      <c r="C742" s="6"/>
      <c r="D742" s="6"/>
      <c r="E742" s="9"/>
      <c r="F742" s="9"/>
      <c r="G742" s="11"/>
      <c r="H742" s="5"/>
      <c r="I742" s="8"/>
      <c r="J742" s="8"/>
    </row>
    <row r="743" spans="2:10" ht="12.75" x14ac:dyDescent="0.2">
      <c r="B743" s="6"/>
      <c r="C743" s="6"/>
      <c r="D743" s="6"/>
      <c r="E743" s="9"/>
      <c r="F743" s="9"/>
      <c r="G743" s="11"/>
      <c r="H743" s="5"/>
      <c r="I743" s="8"/>
      <c r="J743" s="8"/>
    </row>
    <row r="744" spans="2:10" ht="12.75" x14ac:dyDescent="0.2">
      <c r="B744" s="6"/>
      <c r="C744" s="6"/>
      <c r="D744" s="6"/>
      <c r="E744" s="9"/>
      <c r="F744" s="9"/>
      <c r="G744" s="11"/>
      <c r="H744" s="5"/>
      <c r="I744" s="8"/>
      <c r="J744" s="8"/>
    </row>
    <row r="745" spans="2:10" ht="12.75" x14ac:dyDescent="0.2">
      <c r="B745" s="6"/>
      <c r="C745" s="6"/>
      <c r="D745" s="6"/>
      <c r="E745" s="9"/>
      <c r="F745" s="9"/>
      <c r="G745" s="11"/>
      <c r="H745" s="5"/>
      <c r="I745" s="8"/>
      <c r="J745" s="8"/>
    </row>
    <row r="746" spans="2:10" ht="12.75" x14ac:dyDescent="0.2">
      <c r="B746" s="6"/>
      <c r="C746" s="6"/>
      <c r="D746" s="6"/>
      <c r="E746" s="9"/>
      <c r="F746" s="9"/>
      <c r="G746" s="11"/>
      <c r="H746" s="5"/>
      <c r="I746" s="8"/>
      <c r="J746" s="8"/>
    </row>
    <row r="747" spans="2:10" ht="12.75" x14ac:dyDescent="0.2">
      <c r="B747" s="6"/>
      <c r="C747" s="6"/>
      <c r="D747" s="6"/>
      <c r="E747" s="9"/>
      <c r="F747" s="9"/>
      <c r="G747" s="11"/>
      <c r="H747" s="5"/>
      <c r="I747" s="8"/>
      <c r="J747" s="8"/>
    </row>
    <row r="748" spans="2:10" ht="12.75" x14ac:dyDescent="0.2">
      <c r="B748" s="6"/>
      <c r="C748" s="6"/>
      <c r="D748" s="6"/>
      <c r="E748" s="9"/>
      <c r="F748" s="9"/>
      <c r="G748" s="11"/>
      <c r="H748" s="5"/>
      <c r="I748" s="8"/>
      <c r="J748" s="8"/>
    </row>
    <row r="749" spans="2:10" ht="12.75" x14ac:dyDescent="0.2">
      <c r="B749" s="6"/>
      <c r="C749" s="6"/>
      <c r="D749" s="6"/>
      <c r="E749" s="9"/>
      <c r="F749" s="9"/>
      <c r="G749" s="11"/>
      <c r="H749" s="5"/>
      <c r="I749" s="8"/>
      <c r="J749" s="8"/>
    </row>
    <row r="750" spans="2:10" ht="12.75" x14ac:dyDescent="0.2">
      <c r="B750" s="6"/>
      <c r="C750" s="6"/>
      <c r="D750" s="6"/>
      <c r="E750" s="9"/>
      <c r="F750" s="9"/>
      <c r="G750" s="11"/>
      <c r="H750" s="5"/>
      <c r="I750" s="8"/>
      <c r="J750" s="8"/>
    </row>
    <row r="751" spans="2:10" ht="12.75" x14ac:dyDescent="0.2">
      <c r="B751" s="6"/>
      <c r="C751" s="6"/>
      <c r="D751" s="6"/>
      <c r="E751" s="9"/>
      <c r="F751" s="9"/>
      <c r="G751" s="11"/>
      <c r="H751" s="5"/>
      <c r="I751" s="8"/>
      <c r="J751" s="8"/>
    </row>
    <row r="752" spans="2:10" ht="12.75" x14ac:dyDescent="0.2">
      <c r="B752" s="6"/>
      <c r="C752" s="6"/>
      <c r="D752" s="6"/>
      <c r="E752" s="9"/>
      <c r="F752" s="9"/>
      <c r="G752" s="11"/>
      <c r="H752" s="5"/>
      <c r="I752" s="8"/>
      <c r="J752" s="8"/>
    </row>
    <row r="753" spans="2:10" ht="12.75" x14ac:dyDescent="0.2">
      <c r="B753" s="6"/>
      <c r="C753" s="6"/>
      <c r="D753" s="6"/>
      <c r="E753" s="9"/>
      <c r="F753" s="9"/>
      <c r="G753" s="11"/>
      <c r="H753" s="5"/>
      <c r="I753" s="8"/>
      <c r="J753" s="8"/>
    </row>
    <row r="754" spans="2:10" ht="12.75" x14ac:dyDescent="0.2">
      <c r="B754" s="6"/>
      <c r="C754" s="6"/>
      <c r="D754" s="6"/>
      <c r="E754" s="9"/>
      <c r="F754" s="9"/>
      <c r="G754" s="11"/>
      <c r="H754" s="5"/>
      <c r="I754" s="8"/>
      <c r="J754" s="8"/>
    </row>
    <row r="755" spans="2:10" ht="12.75" x14ac:dyDescent="0.2">
      <c r="B755" s="6"/>
      <c r="C755" s="6"/>
      <c r="D755" s="6"/>
      <c r="E755" s="9"/>
      <c r="F755" s="9"/>
      <c r="G755" s="11"/>
      <c r="H755" s="5"/>
      <c r="I755" s="8"/>
      <c r="J755" s="8"/>
    </row>
    <row r="756" spans="2:10" ht="12.75" x14ac:dyDescent="0.2">
      <c r="B756" s="6"/>
      <c r="C756" s="6"/>
      <c r="D756" s="6"/>
      <c r="E756" s="9"/>
      <c r="F756" s="9"/>
      <c r="G756" s="11"/>
      <c r="H756" s="5"/>
      <c r="I756" s="8"/>
      <c r="J756" s="8"/>
    </row>
    <row r="757" spans="2:10" ht="12.75" x14ac:dyDescent="0.2">
      <c r="B757" s="6"/>
      <c r="C757" s="6"/>
      <c r="D757" s="6"/>
      <c r="E757" s="9"/>
      <c r="F757" s="9"/>
      <c r="G757" s="11"/>
      <c r="H757" s="5"/>
      <c r="I757" s="8"/>
      <c r="J757" s="8"/>
    </row>
    <row r="758" spans="2:10" ht="12.75" x14ac:dyDescent="0.2">
      <c r="B758" s="6"/>
      <c r="C758" s="6"/>
      <c r="D758" s="6"/>
      <c r="E758" s="9"/>
      <c r="F758" s="9"/>
      <c r="G758" s="11"/>
      <c r="H758" s="5"/>
      <c r="I758" s="8"/>
      <c r="J758" s="8"/>
    </row>
    <row r="759" spans="2:10" ht="12.75" x14ac:dyDescent="0.2">
      <c r="B759" s="6"/>
      <c r="C759" s="6"/>
      <c r="D759" s="6"/>
      <c r="E759" s="9"/>
      <c r="F759" s="9"/>
      <c r="G759" s="11"/>
      <c r="H759" s="5"/>
      <c r="I759" s="8"/>
      <c r="J759" s="8"/>
    </row>
    <row r="760" spans="2:10" ht="12.75" x14ac:dyDescent="0.2">
      <c r="B760" s="6"/>
      <c r="C760" s="6"/>
      <c r="D760" s="6"/>
      <c r="E760" s="9"/>
      <c r="F760" s="9"/>
      <c r="G760" s="11"/>
      <c r="H760" s="5"/>
      <c r="I760" s="8"/>
      <c r="J760" s="8"/>
    </row>
    <row r="761" spans="2:10" ht="12.75" x14ac:dyDescent="0.2">
      <c r="B761" s="6"/>
      <c r="C761" s="6"/>
      <c r="D761" s="6"/>
      <c r="E761" s="9"/>
      <c r="F761" s="9"/>
      <c r="G761" s="11"/>
      <c r="H761" s="5"/>
      <c r="I761" s="8"/>
      <c r="J761" s="8"/>
    </row>
    <row r="762" spans="2:10" ht="12.75" x14ac:dyDescent="0.2">
      <c r="B762" s="6"/>
      <c r="C762" s="6"/>
      <c r="D762" s="6"/>
      <c r="E762" s="9"/>
      <c r="F762" s="9"/>
      <c r="G762" s="11"/>
      <c r="H762" s="5"/>
      <c r="I762" s="8"/>
      <c r="J762" s="8"/>
    </row>
    <row r="763" spans="2:10" ht="12.75" x14ac:dyDescent="0.2">
      <c r="B763" s="6"/>
      <c r="C763" s="6"/>
      <c r="D763" s="6"/>
      <c r="E763" s="9"/>
      <c r="F763" s="9"/>
      <c r="G763" s="11"/>
      <c r="H763" s="5"/>
      <c r="I763" s="8"/>
      <c r="J763" s="8"/>
    </row>
    <row r="764" spans="2:10" ht="12.75" x14ac:dyDescent="0.2">
      <c r="B764" s="6"/>
      <c r="C764" s="6"/>
      <c r="D764" s="6"/>
      <c r="E764" s="9"/>
      <c r="F764" s="9"/>
      <c r="G764" s="11"/>
      <c r="H764" s="5"/>
      <c r="I764" s="8"/>
      <c r="J764" s="8"/>
    </row>
    <row r="765" spans="2:10" ht="12.75" x14ac:dyDescent="0.2">
      <c r="B765" s="6"/>
      <c r="C765" s="6"/>
      <c r="D765" s="6"/>
      <c r="E765" s="9"/>
      <c r="F765" s="9"/>
      <c r="G765" s="11"/>
      <c r="H765" s="5"/>
      <c r="I765" s="8"/>
      <c r="J765" s="8"/>
    </row>
    <row r="766" spans="2:10" ht="12.75" x14ac:dyDescent="0.2">
      <c r="B766" s="6"/>
      <c r="C766" s="6"/>
      <c r="D766" s="6"/>
      <c r="E766" s="9"/>
      <c r="F766" s="9"/>
      <c r="G766" s="11"/>
      <c r="H766" s="5"/>
      <c r="I766" s="8"/>
      <c r="J766" s="8"/>
    </row>
    <row r="767" spans="2:10" ht="12.75" x14ac:dyDescent="0.2">
      <c r="B767" s="6"/>
      <c r="C767" s="6"/>
      <c r="D767" s="6"/>
      <c r="E767" s="9"/>
      <c r="F767" s="9"/>
      <c r="G767" s="11"/>
      <c r="H767" s="5"/>
      <c r="I767" s="8"/>
      <c r="J767" s="8"/>
    </row>
    <row r="768" spans="2:10" ht="12.75" x14ac:dyDescent="0.2">
      <c r="B768" s="6"/>
      <c r="C768" s="6"/>
      <c r="D768" s="6"/>
      <c r="E768" s="9"/>
      <c r="F768" s="9"/>
      <c r="G768" s="11"/>
      <c r="H768" s="5"/>
      <c r="I768" s="8"/>
      <c r="J768" s="8"/>
    </row>
    <row r="769" spans="2:10" ht="12.75" x14ac:dyDescent="0.2">
      <c r="B769" s="6"/>
      <c r="C769" s="6"/>
      <c r="D769" s="6"/>
      <c r="E769" s="9"/>
      <c r="F769" s="9"/>
      <c r="G769" s="11"/>
      <c r="H769" s="5"/>
      <c r="I769" s="8"/>
      <c r="J769" s="8"/>
    </row>
    <row r="770" spans="2:10" ht="12.75" x14ac:dyDescent="0.2">
      <c r="B770" s="6"/>
      <c r="C770" s="6"/>
      <c r="D770" s="6"/>
      <c r="E770" s="9"/>
      <c r="F770" s="9"/>
      <c r="G770" s="11"/>
      <c r="H770" s="5"/>
      <c r="I770" s="8"/>
      <c r="J770" s="8"/>
    </row>
    <row r="771" spans="2:10" ht="12.75" x14ac:dyDescent="0.2">
      <c r="B771" s="6"/>
      <c r="C771" s="6"/>
      <c r="D771" s="6"/>
      <c r="E771" s="9"/>
      <c r="F771" s="9"/>
      <c r="G771" s="11"/>
      <c r="H771" s="5"/>
      <c r="I771" s="8"/>
      <c r="J771" s="8"/>
    </row>
    <row r="772" spans="2:10" ht="12.75" x14ac:dyDescent="0.2">
      <c r="B772" s="6"/>
      <c r="C772" s="6"/>
      <c r="D772" s="6"/>
      <c r="E772" s="9"/>
      <c r="F772" s="9"/>
      <c r="G772" s="11"/>
      <c r="H772" s="5"/>
      <c r="I772" s="8"/>
      <c r="J772" s="8"/>
    </row>
    <row r="773" spans="2:10" ht="12.75" x14ac:dyDescent="0.2">
      <c r="B773" s="6"/>
      <c r="C773" s="6"/>
      <c r="D773" s="6"/>
      <c r="E773" s="9"/>
      <c r="F773" s="9"/>
      <c r="G773" s="11"/>
      <c r="H773" s="5"/>
      <c r="I773" s="8"/>
      <c r="J773" s="8"/>
    </row>
    <row r="774" spans="2:10" ht="12.75" x14ac:dyDescent="0.2">
      <c r="B774" s="6"/>
      <c r="C774" s="6"/>
      <c r="D774" s="6"/>
      <c r="E774" s="9"/>
      <c r="F774" s="9"/>
      <c r="G774" s="11"/>
      <c r="H774" s="5"/>
      <c r="I774" s="8"/>
      <c r="J774" s="8"/>
    </row>
    <row r="775" spans="2:10" ht="12.75" x14ac:dyDescent="0.2">
      <c r="B775" s="6"/>
      <c r="C775" s="6"/>
      <c r="D775" s="6"/>
      <c r="E775" s="9"/>
      <c r="F775" s="9"/>
      <c r="G775" s="11"/>
      <c r="H775" s="5"/>
      <c r="I775" s="8"/>
      <c r="J775" s="8"/>
    </row>
    <row r="776" spans="2:10" ht="12.75" x14ac:dyDescent="0.2">
      <c r="B776" s="6"/>
      <c r="C776" s="6"/>
      <c r="D776" s="6"/>
      <c r="E776" s="9"/>
      <c r="F776" s="9"/>
      <c r="G776" s="11"/>
      <c r="H776" s="5"/>
      <c r="I776" s="8"/>
      <c r="J776" s="8"/>
    </row>
    <row r="777" spans="2:10" ht="12.75" x14ac:dyDescent="0.2">
      <c r="B777" s="6"/>
      <c r="C777" s="6"/>
      <c r="D777" s="6"/>
      <c r="E777" s="9"/>
      <c r="F777" s="9"/>
      <c r="G777" s="11"/>
      <c r="H777" s="5"/>
      <c r="I777" s="8"/>
      <c r="J777" s="8"/>
    </row>
    <row r="778" spans="2:10" ht="12.75" x14ac:dyDescent="0.2">
      <c r="B778" s="6"/>
      <c r="C778" s="6"/>
      <c r="D778" s="6"/>
      <c r="E778" s="9"/>
      <c r="F778" s="9"/>
      <c r="G778" s="11"/>
      <c r="H778" s="5"/>
      <c r="I778" s="8"/>
      <c r="J778" s="8"/>
    </row>
    <row r="779" spans="2:10" ht="12.75" x14ac:dyDescent="0.2">
      <c r="B779" s="6"/>
      <c r="C779" s="6"/>
      <c r="D779" s="6"/>
      <c r="E779" s="9"/>
      <c r="F779" s="9"/>
      <c r="G779" s="11"/>
      <c r="H779" s="5"/>
      <c r="I779" s="8"/>
      <c r="J779" s="8"/>
    </row>
    <row r="780" spans="2:10" ht="12.75" x14ac:dyDescent="0.2">
      <c r="B780" s="6"/>
      <c r="C780" s="6"/>
      <c r="D780" s="6"/>
      <c r="E780" s="9"/>
      <c r="F780" s="9"/>
      <c r="G780" s="11"/>
      <c r="H780" s="5"/>
      <c r="I780" s="8"/>
      <c r="J780" s="8"/>
    </row>
    <row r="781" spans="2:10" ht="12.75" x14ac:dyDescent="0.2">
      <c r="B781" s="6"/>
      <c r="C781" s="6"/>
      <c r="D781" s="6"/>
      <c r="E781" s="9"/>
      <c r="F781" s="9"/>
      <c r="G781" s="11"/>
      <c r="H781" s="5"/>
      <c r="I781" s="8"/>
      <c r="J781" s="8"/>
    </row>
    <row r="782" spans="2:10" ht="12.75" x14ac:dyDescent="0.2">
      <c r="B782" s="6"/>
      <c r="C782" s="6"/>
      <c r="D782" s="6"/>
      <c r="E782" s="9"/>
      <c r="F782" s="9"/>
      <c r="G782" s="11"/>
      <c r="H782" s="5"/>
      <c r="I782" s="8"/>
      <c r="J782" s="8"/>
    </row>
    <row r="783" spans="2:10" ht="12.75" x14ac:dyDescent="0.2">
      <c r="B783" s="6"/>
      <c r="C783" s="6"/>
      <c r="D783" s="6"/>
      <c r="E783" s="9"/>
      <c r="F783" s="9"/>
      <c r="G783" s="11"/>
      <c r="H783" s="5"/>
      <c r="I783" s="8"/>
      <c r="J783" s="8"/>
    </row>
    <row r="784" spans="2:10" ht="12.75" x14ac:dyDescent="0.2">
      <c r="B784" s="6"/>
      <c r="C784" s="6"/>
      <c r="D784" s="6"/>
      <c r="E784" s="9"/>
      <c r="F784" s="9"/>
      <c r="G784" s="11"/>
      <c r="H784" s="5"/>
      <c r="I784" s="8"/>
      <c r="J784" s="8"/>
    </row>
    <row r="785" spans="2:10" ht="12.75" x14ac:dyDescent="0.2">
      <c r="B785" s="6"/>
      <c r="C785" s="6"/>
      <c r="D785" s="6"/>
      <c r="E785" s="9"/>
      <c r="F785" s="9"/>
      <c r="G785" s="11"/>
      <c r="H785" s="5"/>
      <c r="I785" s="8"/>
      <c r="J785" s="8"/>
    </row>
    <row r="786" spans="2:10" ht="12.75" x14ac:dyDescent="0.2">
      <c r="B786" s="6"/>
      <c r="C786" s="6"/>
      <c r="D786" s="6"/>
      <c r="E786" s="9"/>
      <c r="F786" s="9"/>
      <c r="G786" s="11"/>
      <c r="H786" s="5"/>
      <c r="I786" s="8"/>
      <c r="J786" s="8"/>
    </row>
    <row r="787" spans="2:10" ht="12.75" x14ac:dyDescent="0.2">
      <c r="B787" s="6"/>
      <c r="C787" s="6"/>
      <c r="D787" s="6"/>
      <c r="E787" s="9"/>
      <c r="F787" s="9"/>
      <c r="G787" s="11"/>
      <c r="H787" s="5"/>
      <c r="I787" s="8"/>
      <c r="J787" s="8"/>
    </row>
    <row r="788" spans="2:10" ht="12.75" x14ac:dyDescent="0.2">
      <c r="B788" s="6"/>
      <c r="C788" s="6"/>
      <c r="D788" s="6"/>
      <c r="E788" s="9"/>
      <c r="F788" s="9"/>
      <c r="G788" s="11"/>
      <c r="H788" s="5"/>
      <c r="I788" s="8"/>
      <c r="J788" s="8"/>
    </row>
    <row r="789" spans="2:10" ht="12.75" x14ac:dyDescent="0.2">
      <c r="B789" s="6"/>
      <c r="C789" s="6"/>
      <c r="D789" s="6"/>
      <c r="E789" s="9"/>
      <c r="F789" s="9"/>
      <c r="G789" s="11"/>
      <c r="H789" s="5"/>
      <c r="I789" s="8"/>
      <c r="J789" s="8"/>
    </row>
    <row r="790" spans="2:10" ht="12.75" x14ac:dyDescent="0.2">
      <c r="B790" s="6"/>
      <c r="C790" s="6"/>
      <c r="D790" s="6"/>
      <c r="E790" s="9"/>
      <c r="F790" s="9"/>
      <c r="G790" s="11"/>
      <c r="H790" s="5"/>
      <c r="I790" s="8"/>
      <c r="J790" s="8"/>
    </row>
    <row r="791" spans="2:10" ht="12.75" x14ac:dyDescent="0.2">
      <c r="B791" s="6"/>
      <c r="C791" s="6"/>
      <c r="D791" s="6"/>
      <c r="E791" s="9"/>
      <c r="F791" s="9"/>
      <c r="G791" s="11"/>
      <c r="H791" s="5"/>
      <c r="I791" s="8"/>
      <c r="J791" s="8"/>
    </row>
    <row r="792" spans="2:10" ht="12.75" x14ac:dyDescent="0.2">
      <c r="B792" s="6"/>
      <c r="C792" s="6"/>
      <c r="D792" s="6"/>
      <c r="E792" s="9"/>
      <c r="F792" s="9"/>
      <c r="G792" s="11"/>
      <c r="H792" s="5"/>
      <c r="I792" s="8"/>
      <c r="J792" s="8"/>
    </row>
    <row r="793" spans="2:10" ht="12.75" x14ac:dyDescent="0.2">
      <c r="B793" s="6"/>
      <c r="C793" s="6"/>
      <c r="D793" s="6"/>
      <c r="E793" s="9"/>
      <c r="F793" s="9"/>
      <c r="G793" s="11"/>
      <c r="H793" s="5"/>
      <c r="I793" s="8"/>
      <c r="J793" s="8"/>
    </row>
    <row r="794" spans="2:10" ht="12.75" x14ac:dyDescent="0.2">
      <c r="B794" s="6"/>
      <c r="C794" s="6"/>
      <c r="D794" s="6"/>
      <c r="E794" s="9"/>
      <c r="F794" s="9"/>
      <c r="G794" s="11"/>
      <c r="H794" s="5"/>
      <c r="I794" s="8"/>
      <c r="J794" s="8"/>
    </row>
    <row r="795" spans="2:10" ht="12.75" x14ac:dyDescent="0.2">
      <c r="B795" s="6"/>
      <c r="C795" s="6"/>
      <c r="D795" s="6"/>
      <c r="E795" s="9"/>
      <c r="F795" s="9"/>
      <c r="G795" s="11"/>
      <c r="H795" s="5"/>
      <c r="I795" s="8"/>
      <c r="J795" s="8"/>
    </row>
    <row r="796" spans="2:10" ht="12.75" x14ac:dyDescent="0.2">
      <c r="B796" s="6"/>
      <c r="C796" s="6"/>
      <c r="D796" s="6"/>
      <c r="E796" s="9"/>
      <c r="F796" s="9"/>
      <c r="G796" s="11"/>
      <c r="H796" s="5"/>
      <c r="I796" s="8"/>
      <c r="J796" s="8"/>
    </row>
    <row r="797" spans="2:10" ht="12.75" x14ac:dyDescent="0.2">
      <c r="B797" s="6"/>
      <c r="C797" s="6"/>
      <c r="D797" s="6"/>
      <c r="E797" s="9"/>
      <c r="F797" s="9"/>
      <c r="G797" s="11"/>
      <c r="H797" s="5"/>
      <c r="I797" s="8"/>
      <c r="J797" s="8"/>
    </row>
    <row r="798" spans="2:10" ht="12.75" x14ac:dyDescent="0.2">
      <c r="B798" s="6"/>
      <c r="C798" s="6"/>
      <c r="D798" s="6"/>
      <c r="E798" s="9"/>
      <c r="F798" s="9"/>
      <c r="G798" s="11"/>
      <c r="H798" s="5"/>
      <c r="I798" s="8"/>
      <c r="J798" s="8"/>
    </row>
    <row r="799" spans="2:10" ht="12.75" x14ac:dyDescent="0.2">
      <c r="B799" s="6"/>
      <c r="C799" s="6"/>
      <c r="D799" s="6"/>
      <c r="E799" s="9"/>
      <c r="F799" s="9"/>
      <c r="G799" s="11"/>
      <c r="H799" s="5"/>
      <c r="I799" s="8"/>
      <c r="J799" s="8"/>
    </row>
    <row r="800" spans="2:10" ht="12.75" x14ac:dyDescent="0.2">
      <c r="B800" s="6"/>
      <c r="C800" s="6"/>
      <c r="D800" s="6"/>
      <c r="E800" s="9"/>
      <c r="F800" s="9"/>
      <c r="G800" s="11"/>
      <c r="H800" s="5"/>
      <c r="I800" s="8"/>
      <c r="J800" s="8"/>
    </row>
    <row r="801" spans="2:10" ht="12.75" x14ac:dyDescent="0.2">
      <c r="B801" s="6"/>
      <c r="C801" s="6"/>
      <c r="D801" s="6"/>
      <c r="E801" s="9"/>
      <c r="F801" s="9"/>
      <c r="G801" s="11"/>
      <c r="H801" s="5"/>
      <c r="I801" s="8"/>
      <c r="J801" s="8"/>
    </row>
    <row r="802" spans="2:10" ht="12.75" x14ac:dyDescent="0.2">
      <c r="B802" s="6"/>
      <c r="C802" s="6"/>
      <c r="D802" s="6"/>
      <c r="E802" s="9"/>
      <c r="F802" s="9"/>
      <c r="G802" s="11"/>
      <c r="H802" s="5"/>
      <c r="I802" s="8"/>
      <c r="J802" s="8"/>
    </row>
    <row r="803" spans="2:10" ht="12.75" x14ac:dyDescent="0.2">
      <c r="B803" s="6"/>
      <c r="C803" s="6"/>
      <c r="D803" s="6"/>
      <c r="E803" s="9"/>
      <c r="F803" s="9"/>
      <c r="G803" s="11"/>
      <c r="H803" s="5"/>
      <c r="I803" s="8"/>
      <c r="J803" s="8"/>
    </row>
    <row r="804" spans="2:10" ht="12.75" x14ac:dyDescent="0.2">
      <c r="B804" s="6"/>
      <c r="C804" s="6"/>
      <c r="D804" s="6"/>
      <c r="E804" s="9"/>
      <c r="F804" s="9"/>
      <c r="G804" s="11"/>
      <c r="H804" s="5"/>
      <c r="I804" s="8"/>
      <c r="J804" s="8"/>
    </row>
    <row r="805" spans="2:10" ht="12.75" x14ac:dyDescent="0.2">
      <c r="B805" s="6"/>
      <c r="C805" s="6"/>
      <c r="D805" s="6"/>
      <c r="E805" s="9"/>
      <c r="F805" s="9"/>
      <c r="G805" s="11"/>
      <c r="H805" s="5"/>
      <c r="I805" s="8"/>
      <c r="J805" s="8"/>
    </row>
    <row r="806" spans="2:10" ht="12.75" x14ac:dyDescent="0.2">
      <c r="B806" s="6"/>
      <c r="C806" s="6"/>
      <c r="D806" s="6"/>
      <c r="E806" s="9"/>
      <c r="F806" s="9"/>
      <c r="G806" s="11"/>
      <c r="H806" s="5"/>
      <c r="I806" s="8"/>
      <c r="J806" s="8"/>
    </row>
    <row r="807" spans="2:10" ht="12.75" x14ac:dyDescent="0.2">
      <c r="B807" s="6"/>
      <c r="C807" s="6"/>
      <c r="D807" s="6"/>
      <c r="E807" s="9"/>
      <c r="F807" s="9"/>
      <c r="G807" s="11"/>
      <c r="H807" s="5"/>
      <c r="I807" s="8"/>
      <c r="J807" s="8"/>
    </row>
    <row r="808" spans="2:10" ht="12.75" x14ac:dyDescent="0.2">
      <c r="B808" s="6"/>
      <c r="C808" s="6"/>
      <c r="D808" s="6"/>
      <c r="E808" s="9"/>
      <c r="F808" s="9"/>
      <c r="G808" s="11"/>
      <c r="H808" s="5"/>
      <c r="I808" s="8"/>
      <c r="J808" s="8"/>
    </row>
    <row r="809" spans="2:10" ht="12.75" x14ac:dyDescent="0.2">
      <c r="B809" s="6"/>
      <c r="C809" s="6"/>
      <c r="D809" s="6"/>
      <c r="E809" s="9"/>
      <c r="F809" s="9"/>
      <c r="G809" s="11"/>
      <c r="H809" s="5"/>
      <c r="I809" s="8"/>
      <c r="J809" s="8"/>
    </row>
    <row r="810" spans="2:10" ht="12.75" x14ac:dyDescent="0.2">
      <c r="B810" s="6"/>
      <c r="C810" s="6"/>
      <c r="D810" s="6"/>
      <c r="E810" s="9"/>
      <c r="F810" s="9"/>
      <c r="G810" s="11"/>
      <c r="H810" s="5"/>
      <c r="I810" s="8"/>
      <c r="J810" s="8"/>
    </row>
    <row r="811" spans="2:10" ht="12.75" x14ac:dyDescent="0.2">
      <c r="B811" s="6"/>
      <c r="C811" s="6"/>
      <c r="D811" s="6"/>
      <c r="E811" s="9"/>
      <c r="F811" s="9"/>
      <c r="G811" s="11"/>
      <c r="H811" s="5"/>
      <c r="I811" s="8"/>
      <c r="J811" s="8"/>
    </row>
    <row r="812" spans="2:10" ht="12.75" x14ac:dyDescent="0.2">
      <c r="B812" s="6"/>
      <c r="C812" s="6"/>
      <c r="D812" s="6"/>
      <c r="E812" s="9"/>
      <c r="F812" s="9"/>
      <c r="G812" s="11"/>
      <c r="H812" s="5"/>
      <c r="I812" s="8"/>
      <c r="J812" s="8"/>
    </row>
    <row r="813" spans="2:10" ht="12.75" x14ac:dyDescent="0.2">
      <c r="B813" s="6"/>
      <c r="C813" s="6"/>
      <c r="D813" s="6"/>
      <c r="E813" s="9"/>
      <c r="F813" s="9"/>
      <c r="G813" s="11"/>
      <c r="H813" s="5"/>
      <c r="I813" s="8"/>
      <c r="J813" s="8"/>
    </row>
    <row r="814" spans="2:10" ht="12.75" x14ac:dyDescent="0.2">
      <c r="B814" s="6"/>
      <c r="C814" s="6"/>
      <c r="D814" s="6"/>
      <c r="E814" s="9"/>
      <c r="F814" s="9"/>
      <c r="G814" s="11"/>
      <c r="H814" s="5"/>
      <c r="I814" s="8"/>
      <c r="J814" s="8"/>
    </row>
    <row r="815" spans="2:10" ht="12.75" x14ac:dyDescent="0.2">
      <c r="B815" s="6"/>
      <c r="C815" s="6"/>
      <c r="D815" s="6"/>
      <c r="E815" s="9"/>
      <c r="F815" s="9"/>
      <c r="G815" s="11"/>
      <c r="H815" s="5"/>
      <c r="I815" s="8"/>
      <c r="J815" s="8"/>
    </row>
    <row r="816" spans="2:10" ht="12.75" x14ac:dyDescent="0.2">
      <c r="B816" s="6"/>
      <c r="C816" s="6"/>
      <c r="D816" s="6"/>
      <c r="E816" s="9"/>
      <c r="F816" s="9"/>
      <c r="G816" s="11"/>
      <c r="H816" s="5"/>
      <c r="I816" s="8"/>
      <c r="J816" s="8"/>
    </row>
    <row r="817" spans="2:10" ht="12.75" x14ac:dyDescent="0.2">
      <c r="B817" s="6"/>
      <c r="C817" s="6"/>
      <c r="D817" s="6"/>
      <c r="E817" s="9"/>
      <c r="F817" s="9"/>
      <c r="G817" s="11"/>
      <c r="H817" s="5"/>
      <c r="I817" s="8"/>
      <c r="J817" s="8"/>
    </row>
    <row r="818" spans="2:10" ht="12.75" x14ac:dyDescent="0.2">
      <c r="B818" s="6"/>
      <c r="C818" s="6"/>
      <c r="D818" s="6"/>
      <c r="E818" s="9"/>
      <c r="F818" s="9"/>
      <c r="G818" s="11"/>
      <c r="H818" s="5"/>
      <c r="I818" s="8"/>
      <c r="J818" s="8"/>
    </row>
    <row r="819" spans="2:10" ht="12.75" x14ac:dyDescent="0.2">
      <c r="B819" s="6"/>
      <c r="C819" s="6"/>
      <c r="D819" s="6"/>
      <c r="E819" s="9"/>
      <c r="F819" s="9"/>
      <c r="G819" s="11"/>
      <c r="H819" s="5"/>
      <c r="I819" s="8"/>
      <c r="J819" s="8"/>
    </row>
    <row r="820" spans="2:10" ht="12.75" x14ac:dyDescent="0.2">
      <c r="B820" s="6"/>
      <c r="C820" s="6"/>
      <c r="D820" s="6"/>
      <c r="E820" s="9"/>
      <c r="F820" s="9"/>
      <c r="G820" s="11"/>
      <c r="H820" s="5"/>
      <c r="I820" s="8"/>
      <c r="J820" s="8"/>
    </row>
    <row r="821" spans="2:10" ht="12.75" x14ac:dyDescent="0.2">
      <c r="B821" s="6"/>
      <c r="C821" s="6"/>
      <c r="D821" s="6"/>
      <c r="E821" s="9"/>
      <c r="F821" s="9"/>
      <c r="G821" s="11"/>
      <c r="H821" s="5"/>
      <c r="I821" s="8"/>
      <c r="J821" s="8"/>
    </row>
    <row r="822" spans="2:10" ht="12.75" x14ac:dyDescent="0.2">
      <c r="B822" s="6"/>
      <c r="C822" s="6"/>
      <c r="D822" s="6"/>
      <c r="E822" s="9"/>
      <c r="F822" s="9"/>
      <c r="G822" s="11"/>
      <c r="H822" s="5"/>
      <c r="I822" s="8"/>
      <c r="J822" s="8"/>
    </row>
    <row r="823" spans="2:10" ht="12.75" x14ac:dyDescent="0.2">
      <c r="B823" s="6"/>
      <c r="C823" s="6"/>
      <c r="D823" s="6"/>
      <c r="E823" s="9"/>
      <c r="F823" s="9"/>
      <c r="G823" s="11"/>
      <c r="H823" s="5"/>
      <c r="I823" s="8"/>
      <c r="J823" s="8"/>
    </row>
    <row r="824" spans="2:10" ht="12.75" x14ac:dyDescent="0.2">
      <c r="B824" s="6"/>
      <c r="C824" s="6"/>
      <c r="D824" s="6"/>
      <c r="E824" s="9"/>
      <c r="F824" s="9"/>
      <c r="G824" s="11"/>
      <c r="H824" s="5"/>
      <c r="I824" s="8"/>
      <c r="J824" s="8"/>
    </row>
    <row r="825" spans="2:10" ht="12.75" x14ac:dyDescent="0.2">
      <c r="B825" s="6"/>
      <c r="C825" s="6"/>
      <c r="D825" s="6"/>
      <c r="E825" s="9"/>
      <c r="F825" s="9"/>
      <c r="G825" s="11"/>
      <c r="H825" s="5"/>
      <c r="I825" s="8"/>
      <c r="J825" s="8"/>
    </row>
    <row r="826" spans="2:10" ht="12.75" x14ac:dyDescent="0.2">
      <c r="B826" s="6"/>
      <c r="C826" s="6"/>
      <c r="D826" s="6"/>
      <c r="E826" s="9"/>
      <c r="F826" s="9"/>
      <c r="G826" s="11"/>
      <c r="H826" s="5"/>
      <c r="I826" s="8"/>
      <c r="J826" s="8"/>
    </row>
    <row r="827" spans="2:10" ht="12.75" x14ac:dyDescent="0.2">
      <c r="B827" s="6"/>
      <c r="C827" s="6"/>
      <c r="D827" s="6"/>
      <c r="E827" s="9"/>
      <c r="F827" s="9"/>
      <c r="G827" s="11"/>
      <c r="H827" s="5"/>
      <c r="I827" s="8"/>
      <c r="J827" s="8"/>
    </row>
    <row r="828" spans="2:10" ht="12.75" x14ac:dyDescent="0.2">
      <c r="B828" s="6"/>
      <c r="C828" s="6"/>
      <c r="D828" s="6"/>
      <c r="E828" s="9"/>
      <c r="F828" s="9"/>
      <c r="G828" s="11"/>
      <c r="H828" s="5"/>
      <c r="I828" s="8"/>
      <c r="J828" s="8"/>
    </row>
    <row r="829" spans="2:10" ht="12.75" x14ac:dyDescent="0.2">
      <c r="B829" s="6"/>
      <c r="C829" s="6"/>
      <c r="D829" s="6"/>
      <c r="E829" s="9"/>
      <c r="F829" s="9"/>
      <c r="G829" s="11"/>
      <c r="H829" s="5"/>
      <c r="I829" s="8"/>
      <c r="J829" s="8"/>
    </row>
    <row r="830" spans="2:10" ht="12.75" x14ac:dyDescent="0.2">
      <c r="B830" s="6"/>
      <c r="C830" s="6"/>
      <c r="D830" s="6"/>
      <c r="E830" s="9"/>
      <c r="F830" s="9"/>
      <c r="G830" s="11"/>
      <c r="H830" s="5"/>
      <c r="I830" s="8"/>
      <c r="J830" s="8"/>
    </row>
    <row r="831" spans="2:10" ht="12.75" x14ac:dyDescent="0.2">
      <c r="B831" s="6"/>
      <c r="C831" s="6"/>
      <c r="D831" s="6"/>
      <c r="E831" s="9"/>
      <c r="F831" s="9"/>
      <c r="G831" s="11"/>
      <c r="H831" s="5"/>
      <c r="I831" s="8"/>
      <c r="J831" s="8"/>
    </row>
    <row r="832" spans="2:10" ht="12.75" x14ac:dyDescent="0.2">
      <c r="B832" s="6"/>
      <c r="C832" s="6"/>
      <c r="D832" s="6"/>
      <c r="E832" s="9"/>
      <c r="F832" s="9"/>
      <c r="G832" s="11"/>
      <c r="H832" s="5"/>
      <c r="I832" s="8"/>
      <c r="J832" s="8"/>
    </row>
    <row r="833" spans="2:10" ht="12.75" x14ac:dyDescent="0.2">
      <c r="B833" s="6"/>
      <c r="C833" s="6"/>
      <c r="D833" s="6"/>
      <c r="E833" s="9"/>
      <c r="F833" s="9"/>
      <c r="G833" s="11"/>
      <c r="H833" s="5"/>
      <c r="I833" s="8"/>
      <c r="J833" s="8"/>
    </row>
    <row r="834" spans="2:10" ht="12.75" x14ac:dyDescent="0.2">
      <c r="B834" s="6"/>
      <c r="C834" s="6"/>
      <c r="D834" s="6"/>
      <c r="E834" s="9"/>
      <c r="F834" s="9"/>
      <c r="G834" s="11"/>
      <c r="H834" s="5"/>
      <c r="I834" s="8"/>
      <c r="J834" s="8"/>
    </row>
    <row r="835" spans="2:10" ht="12.75" x14ac:dyDescent="0.2">
      <c r="B835" s="6"/>
      <c r="C835" s="6"/>
      <c r="D835" s="6"/>
      <c r="E835" s="9"/>
      <c r="F835" s="9"/>
      <c r="G835" s="11"/>
      <c r="H835" s="5"/>
      <c r="I835" s="8"/>
      <c r="J835" s="8"/>
    </row>
    <row r="836" spans="2:10" ht="12.75" x14ac:dyDescent="0.2">
      <c r="B836" s="6"/>
      <c r="C836" s="6"/>
      <c r="D836" s="6"/>
      <c r="E836" s="9"/>
      <c r="F836" s="9"/>
      <c r="G836" s="11"/>
      <c r="H836" s="5"/>
      <c r="I836" s="8"/>
      <c r="J836" s="8"/>
    </row>
    <row r="837" spans="2:10" ht="12.75" x14ac:dyDescent="0.2">
      <c r="B837" s="6"/>
      <c r="C837" s="6"/>
      <c r="D837" s="6"/>
      <c r="E837" s="9"/>
      <c r="F837" s="9"/>
      <c r="G837" s="11"/>
      <c r="H837" s="5"/>
      <c r="I837" s="8"/>
      <c r="J837" s="8"/>
    </row>
    <row r="838" spans="2:10" ht="12.75" x14ac:dyDescent="0.2">
      <c r="B838" s="6"/>
      <c r="C838" s="6"/>
      <c r="D838" s="6"/>
      <c r="E838" s="9"/>
      <c r="F838" s="9"/>
      <c r="G838" s="11"/>
      <c r="H838" s="5"/>
      <c r="I838" s="8"/>
      <c r="J838" s="8"/>
    </row>
    <row r="839" spans="2:10" ht="12.75" x14ac:dyDescent="0.2">
      <c r="B839" s="6"/>
      <c r="C839" s="6"/>
      <c r="D839" s="6"/>
      <c r="E839" s="9"/>
      <c r="F839" s="9"/>
      <c r="G839" s="11"/>
      <c r="H839" s="5"/>
      <c r="I839" s="8"/>
      <c r="J839" s="8"/>
    </row>
    <row r="840" spans="2:10" ht="12.75" x14ac:dyDescent="0.2">
      <c r="B840" s="6"/>
      <c r="C840" s="6"/>
      <c r="D840" s="6"/>
      <c r="E840" s="9"/>
      <c r="F840" s="9"/>
      <c r="G840" s="11"/>
      <c r="H840" s="5"/>
      <c r="I840" s="8"/>
      <c r="J840" s="8"/>
    </row>
    <row r="841" spans="2:10" ht="12.75" x14ac:dyDescent="0.2">
      <c r="B841" s="6"/>
      <c r="C841" s="6"/>
      <c r="D841" s="6"/>
      <c r="E841" s="9"/>
      <c r="F841" s="9"/>
      <c r="G841" s="11"/>
      <c r="H841" s="5"/>
      <c r="I841" s="8"/>
      <c r="J841" s="8"/>
    </row>
    <row r="842" spans="2:10" ht="12.75" x14ac:dyDescent="0.2">
      <c r="B842" s="6"/>
      <c r="C842" s="6"/>
      <c r="D842" s="6"/>
      <c r="E842" s="9"/>
      <c r="F842" s="9"/>
      <c r="G842" s="11"/>
      <c r="H842" s="5"/>
      <c r="I842" s="8"/>
      <c r="J842" s="8"/>
    </row>
    <row r="843" spans="2:10" ht="12.75" x14ac:dyDescent="0.2">
      <c r="B843" s="6"/>
      <c r="C843" s="6"/>
      <c r="D843" s="6"/>
      <c r="E843" s="9"/>
      <c r="F843" s="9"/>
      <c r="G843" s="11"/>
      <c r="H843" s="5"/>
      <c r="I843" s="8"/>
      <c r="J843" s="8"/>
    </row>
    <row r="844" spans="2:10" ht="12.75" x14ac:dyDescent="0.2">
      <c r="B844" s="6"/>
      <c r="C844" s="6"/>
      <c r="D844" s="6"/>
      <c r="E844" s="9"/>
      <c r="F844" s="9"/>
      <c r="G844" s="11"/>
      <c r="H844" s="5"/>
      <c r="I844" s="8"/>
      <c r="J844" s="8"/>
    </row>
    <row r="845" spans="2:10" ht="12.75" x14ac:dyDescent="0.2">
      <c r="B845" s="6"/>
      <c r="C845" s="6"/>
      <c r="D845" s="6"/>
      <c r="E845" s="9"/>
      <c r="F845" s="9"/>
      <c r="G845" s="11"/>
      <c r="H845" s="5"/>
      <c r="I845" s="8"/>
      <c r="J845" s="8"/>
    </row>
    <row r="846" spans="2:10" ht="12.75" x14ac:dyDescent="0.2">
      <c r="B846" s="6"/>
      <c r="C846" s="6"/>
      <c r="D846" s="6"/>
      <c r="E846" s="9"/>
      <c r="F846" s="9"/>
      <c r="G846" s="11"/>
      <c r="H846" s="5"/>
      <c r="I846" s="8"/>
      <c r="J846" s="8"/>
    </row>
    <row r="847" spans="2:10" ht="12.75" x14ac:dyDescent="0.2">
      <c r="B847" s="6"/>
      <c r="C847" s="6"/>
      <c r="D847" s="6"/>
      <c r="E847" s="9"/>
      <c r="F847" s="9"/>
      <c r="G847" s="11"/>
      <c r="H847" s="5"/>
      <c r="I847" s="8"/>
      <c r="J847" s="8"/>
    </row>
    <row r="848" spans="2:10" ht="12.75" x14ac:dyDescent="0.2">
      <c r="B848" s="6"/>
      <c r="C848" s="6"/>
      <c r="D848" s="6"/>
      <c r="E848" s="9"/>
      <c r="F848" s="9"/>
      <c r="G848" s="11"/>
      <c r="H848" s="5"/>
      <c r="I848" s="8"/>
      <c r="J848" s="8"/>
    </row>
    <row r="849" spans="2:10" ht="12.75" x14ac:dyDescent="0.2">
      <c r="B849" s="6"/>
      <c r="C849" s="6"/>
      <c r="D849" s="6"/>
      <c r="E849" s="9"/>
      <c r="F849" s="9"/>
      <c r="G849" s="11"/>
      <c r="H849" s="5"/>
      <c r="I849" s="8"/>
      <c r="J849" s="8"/>
    </row>
    <row r="850" spans="2:10" ht="12.75" x14ac:dyDescent="0.2">
      <c r="B850" s="6"/>
      <c r="C850" s="6"/>
      <c r="D850" s="6"/>
      <c r="E850" s="9"/>
      <c r="F850" s="9"/>
      <c r="G850" s="11"/>
      <c r="H850" s="5"/>
      <c r="I850" s="8"/>
      <c r="J850" s="8"/>
    </row>
    <row r="851" spans="2:10" ht="12.75" x14ac:dyDescent="0.2">
      <c r="B851" s="6"/>
      <c r="C851" s="6"/>
      <c r="D851" s="6"/>
      <c r="E851" s="9"/>
      <c r="F851" s="9"/>
      <c r="G851" s="11"/>
      <c r="H851" s="5"/>
      <c r="I851" s="8"/>
      <c r="J851" s="8"/>
    </row>
    <row r="852" spans="2:10" ht="12.75" x14ac:dyDescent="0.2">
      <c r="B852" s="6"/>
      <c r="C852" s="6"/>
      <c r="D852" s="6"/>
      <c r="E852" s="9"/>
      <c r="F852" s="9"/>
      <c r="G852" s="11"/>
      <c r="H852" s="5"/>
      <c r="I852" s="8"/>
      <c r="J852" s="8"/>
    </row>
    <row r="853" spans="2:10" ht="12.75" x14ac:dyDescent="0.2">
      <c r="B853" s="6"/>
      <c r="C853" s="6"/>
      <c r="D853" s="6"/>
      <c r="E853" s="9"/>
      <c r="F853" s="9"/>
      <c r="G853" s="11"/>
      <c r="H853" s="5"/>
      <c r="I853" s="8"/>
      <c r="J853" s="8"/>
    </row>
    <row r="854" spans="2:10" ht="12.75" x14ac:dyDescent="0.2">
      <c r="B854" s="6"/>
      <c r="C854" s="6"/>
      <c r="D854" s="6"/>
      <c r="E854" s="9"/>
      <c r="F854" s="9"/>
      <c r="G854" s="11"/>
      <c r="H854" s="5"/>
      <c r="I854" s="8"/>
      <c r="J854" s="8"/>
    </row>
    <row r="855" spans="2:10" ht="12.75" x14ac:dyDescent="0.2">
      <c r="B855" s="6"/>
      <c r="C855" s="6"/>
      <c r="D855" s="6"/>
      <c r="E855" s="9"/>
      <c r="F855" s="9"/>
      <c r="G855" s="11"/>
      <c r="H855" s="5"/>
      <c r="I855" s="8"/>
      <c r="J855" s="8"/>
    </row>
    <row r="856" spans="2:10" ht="12.75" x14ac:dyDescent="0.2">
      <c r="B856" s="6"/>
      <c r="C856" s="6"/>
      <c r="D856" s="6"/>
      <c r="E856" s="9"/>
      <c r="F856" s="9"/>
      <c r="G856" s="11"/>
      <c r="H856" s="5"/>
      <c r="I856" s="8"/>
      <c r="J856" s="8"/>
    </row>
    <row r="857" spans="2:10" ht="12.75" x14ac:dyDescent="0.2">
      <c r="B857" s="6"/>
      <c r="C857" s="6"/>
      <c r="D857" s="6"/>
      <c r="E857" s="9"/>
      <c r="F857" s="9"/>
      <c r="G857" s="11"/>
      <c r="H857" s="5"/>
      <c r="I857" s="8"/>
      <c r="J857" s="8"/>
    </row>
    <row r="858" spans="2:10" ht="12.75" x14ac:dyDescent="0.2">
      <c r="B858" s="6"/>
      <c r="C858" s="6"/>
      <c r="D858" s="6"/>
      <c r="E858" s="9"/>
      <c r="F858" s="9"/>
      <c r="G858" s="11"/>
      <c r="H858" s="5"/>
      <c r="I858" s="8"/>
      <c r="J858" s="8"/>
    </row>
    <row r="859" spans="2:10" ht="12.75" x14ac:dyDescent="0.2">
      <c r="B859" s="6"/>
      <c r="C859" s="6"/>
      <c r="D859" s="6"/>
      <c r="E859" s="9"/>
      <c r="F859" s="9"/>
      <c r="G859" s="11"/>
      <c r="H859" s="5"/>
      <c r="I859" s="8"/>
      <c r="J859" s="8"/>
    </row>
    <row r="860" spans="2:10" ht="12.75" x14ac:dyDescent="0.2">
      <c r="B860" s="6"/>
      <c r="C860" s="6"/>
      <c r="D860" s="6"/>
      <c r="E860" s="9"/>
      <c r="F860" s="9"/>
      <c r="G860" s="11"/>
      <c r="H860" s="5"/>
      <c r="I860" s="8"/>
      <c r="J860" s="8"/>
    </row>
    <row r="861" spans="2:10" ht="12.75" x14ac:dyDescent="0.2">
      <c r="B861" s="6"/>
      <c r="C861" s="6"/>
      <c r="D861" s="6"/>
      <c r="E861" s="9"/>
      <c r="F861" s="9"/>
      <c r="G861" s="11"/>
      <c r="H861" s="5"/>
      <c r="I861" s="8"/>
      <c r="J861" s="8"/>
    </row>
    <row r="862" spans="2:10" ht="12.75" x14ac:dyDescent="0.2">
      <c r="B862" s="6"/>
      <c r="C862" s="6"/>
      <c r="D862" s="6"/>
      <c r="E862" s="9"/>
      <c r="F862" s="9"/>
      <c r="G862" s="11"/>
      <c r="H862" s="5"/>
      <c r="I862" s="8"/>
      <c r="J862" s="8"/>
    </row>
  </sheetData>
  <dataValidations count="1">
    <dataValidation type="list" allowBlank="1" showErrorMessage="1" sqref="C3:C6" xr:uid="{00000000-0002-0000-0700-000000000000}">
      <formula1>"5DD,EOM,LBD,TP"</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Y861"/>
  <sheetViews>
    <sheetView workbookViewId="0">
      <pane ySplit="1" topLeftCell="A2" activePane="bottomLeft" state="frozen"/>
      <selection pane="bottomLeft" activeCell="B3" sqref="B3"/>
    </sheetView>
  </sheetViews>
  <sheetFormatPr defaultColWidth="12.42578125" defaultRowHeight="15.75" customHeight="1" x14ac:dyDescent="0.2"/>
  <cols>
    <col min="1" max="1" width="7.42578125" customWidth="1"/>
    <col min="2" max="2" width="6.140625" customWidth="1"/>
    <col min="3" max="3" width="9.42578125" customWidth="1"/>
    <col min="4" max="4" width="7" customWidth="1"/>
    <col min="5" max="5" width="7.42578125" customWidth="1"/>
    <col min="6" max="6" width="8" customWidth="1"/>
    <col min="7" max="7" width="8.28515625" customWidth="1"/>
    <col min="8" max="8" width="7.85546875" customWidth="1"/>
    <col min="9" max="10" width="7" customWidth="1"/>
    <col min="11" max="11" width="6.42578125" customWidth="1"/>
    <col min="12" max="12" width="5.140625" customWidth="1"/>
    <col min="13" max="13" width="7.85546875" customWidth="1"/>
    <col min="14" max="14" width="13.42578125" customWidth="1"/>
    <col min="15" max="15" width="10.85546875" customWidth="1"/>
    <col min="16" max="16" width="11.42578125" customWidth="1"/>
    <col min="17" max="17" width="6.42578125" customWidth="1"/>
    <col min="18" max="18" width="7.140625" customWidth="1"/>
    <col min="19" max="19" width="9.140625" customWidth="1"/>
    <col min="20" max="20" width="6.42578125" customWidth="1"/>
    <col min="21" max="21" width="11.140625" customWidth="1"/>
    <col min="22" max="22" width="9.28515625" customWidth="1"/>
    <col min="23" max="23" width="8.85546875" customWidth="1"/>
    <col min="24" max="25" width="7" customWidth="1"/>
  </cols>
  <sheetData>
    <row r="1" spans="1:25" ht="15" customHeight="1" x14ac:dyDescent="0.2">
      <c r="A1" s="14" t="s">
        <v>2</v>
      </c>
      <c r="B1" s="15" t="s">
        <v>3</v>
      </c>
      <c r="C1" s="15" t="s">
        <v>4</v>
      </c>
      <c r="D1" s="15" t="s">
        <v>0</v>
      </c>
      <c r="E1" s="16" t="s">
        <v>5</v>
      </c>
      <c r="F1" s="16" t="s">
        <v>6</v>
      </c>
      <c r="G1" s="17" t="s">
        <v>7</v>
      </c>
      <c r="H1" s="18" t="s">
        <v>8</v>
      </c>
      <c r="I1" s="19" t="s">
        <v>9</v>
      </c>
      <c r="J1" s="19" t="s">
        <v>10</v>
      </c>
      <c r="K1" s="19" t="s">
        <v>11</v>
      </c>
      <c r="L1" s="18" t="s">
        <v>12</v>
      </c>
      <c r="M1" s="20"/>
      <c r="N1" s="20"/>
      <c r="O1" s="20"/>
      <c r="P1" s="20"/>
      <c r="Q1" s="20"/>
      <c r="R1" s="20"/>
      <c r="S1" s="20"/>
      <c r="T1" s="20"/>
      <c r="U1" s="20"/>
      <c r="V1" s="20"/>
      <c r="W1" s="20"/>
      <c r="X1" s="20"/>
      <c r="Y1" s="20"/>
    </row>
    <row r="2" spans="1:25" ht="12.75" x14ac:dyDescent="0.2">
      <c r="A2" s="10"/>
      <c r="B2" s="6"/>
      <c r="C2" s="6"/>
      <c r="D2" s="6"/>
      <c r="E2" s="9"/>
      <c r="F2" s="9"/>
      <c r="G2" s="11"/>
      <c r="H2" s="5"/>
      <c r="I2" s="6"/>
      <c r="J2" s="6"/>
      <c r="K2" s="20"/>
      <c r="L2" s="20"/>
      <c r="M2" s="20"/>
      <c r="Q2" s="20"/>
      <c r="X2" s="6"/>
      <c r="Y2" s="6"/>
    </row>
    <row r="3" spans="1:25" ht="12.75" x14ac:dyDescent="0.2">
      <c r="A3" s="10">
        <v>45694</v>
      </c>
      <c r="B3" s="1" t="s">
        <v>13</v>
      </c>
      <c r="C3" s="1" t="s">
        <v>14</v>
      </c>
      <c r="D3" s="6">
        <v>192.41</v>
      </c>
      <c r="E3" s="9">
        <f t="shared" ref="E3:E7" si="0">$O$3/D3</f>
        <v>1.2993087677355648</v>
      </c>
      <c r="F3" s="9">
        <f>E3</f>
        <v>1.2993087677355648</v>
      </c>
      <c r="G3" s="11">
        <f t="shared" ref="G3:G7" si="1">$O$4/D3</f>
        <v>1.2993087677355648</v>
      </c>
      <c r="H3" s="5">
        <f t="shared" ref="H3:H7" si="2">D3*G3</f>
        <v>250.00000000000003</v>
      </c>
      <c r="I3" s="6">
        <f t="shared" ref="I3:I7" si="3">D3-(D3*$O$5)</f>
        <v>182.7895</v>
      </c>
      <c r="J3" s="6">
        <f t="shared" ref="J3:J7" si="4">D3+(D3*$O$6)</f>
        <v>221.2715</v>
      </c>
      <c r="K3" s="5"/>
      <c r="L3" s="5"/>
      <c r="M3" s="5"/>
      <c r="N3" s="20" t="s">
        <v>21</v>
      </c>
      <c r="O3" s="5">
        <v>250</v>
      </c>
      <c r="W3" s="6"/>
      <c r="X3" s="6"/>
      <c r="Y3" s="6"/>
    </row>
    <row r="4" spans="1:25" ht="12.75" x14ac:dyDescent="0.2">
      <c r="A4" s="10">
        <v>45694</v>
      </c>
      <c r="B4" s="1" t="s">
        <v>16</v>
      </c>
      <c r="C4" s="1" t="s">
        <v>14</v>
      </c>
      <c r="D4" s="6">
        <v>192.41</v>
      </c>
      <c r="E4" s="9">
        <f t="shared" si="0"/>
        <v>1.2993087677355648</v>
      </c>
      <c r="F4" s="9">
        <f t="shared" ref="F4:F7" si="5">F3+E4</f>
        <v>2.5986175354711296</v>
      </c>
      <c r="G4" s="11">
        <f t="shared" si="1"/>
        <v>1.2993087677355648</v>
      </c>
      <c r="H4" s="5">
        <f t="shared" si="2"/>
        <v>250.00000000000003</v>
      </c>
      <c r="I4" s="6">
        <f t="shared" si="3"/>
        <v>182.7895</v>
      </c>
      <c r="J4" s="6">
        <f t="shared" si="4"/>
        <v>221.2715</v>
      </c>
      <c r="K4" s="6"/>
      <c r="L4" s="6"/>
      <c r="M4" s="6"/>
      <c r="N4" s="3" t="s">
        <v>8</v>
      </c>
      <c r="O4" s="5">
        <v>250</v>
      </c>
      <c r="P4" s="10"/>
      <c r="Q4" s="6"/>
      <c r="R4" s="6"/>
      <c r="S4" s="6"/>
      <c r="T4" s="6"/>
      <c r="U4" s="6"/>
      <c r="V4" s="6"/>
      <c r="W4" s="6"/>
      <c r="X4" s="6"/>
      <c r="Y4" s="6"/>
    </row>
    <row r="5" spans="1:25" ht="12.75" x14ac:dyDescent="0.2">
      <c r="A5" s="10">
        <v>45695</v>
      </c>
      <c r="B5" s="1" t="s">
        <v>22</v>
      </c>
      <c r="C5" s="1" t="s">
        <v>25</v>
      </c>
      <c r="D5" s="6">
        <v>187.23</v>
      </c>
      <c r="E5" s="9">
        <f t="shared" si="0"/>
        <v>1.3352561021203868</v>
      </c>
      <c r="F5" s="9">
        <f t="shared" si="5"/>
        <v>3.9338736375915166</v>
      </c>
      <c r="G5" s="11">
        <f t="shared" si="1"/>
        <v>1.3352561021203868</v>
      </c>
      <c r="H5" s="5">
        <f t="shared" si="2"/>
        <v>250</v>
      </c>
      <c r="I5" s="6">
        <f t="shared" si="3"/>
        <v>177.86849999999998</v>
      </c>
      <c r="J5" s="6">
        <f t="shared" si="4"/>
        <v>215.31449999999998</v>
      </c>
      <c r="K5" s="6"/>
      <c r="L5" s="6"/>
      <c r="M5" s="6"/>
      <c r="N5" s="3" t="s">
        <v>18</v>
      </c>
      <c r="O5" s="4">
        <v>0.05</v>
      </c>
      <c r="P5" s="4"/>
      <c r="Q5" s="6"/>
      <c r="R5" s="6"/>
      <c r="S5" s="6"/>
      <c r="T5" s="6"/>
      <c r="U5" s="6"/>
      <c r="V5" s="6"/>
      <c r="W5" s="6"/>
      <c r="X5" s="6"/>
      <c r="Y5" s="6"/>
    </row>
    <row r="6" spans="1:25" ht="12.75" x14ac:dyDescent="0.2">
      <c r="A6" s="10">
        <v>45695</v>
      </c>
      <c r="B6" s="1" t="s">
        <v>23</v>
      </c>
      <c r="C6" s="1" t="s">
        <v>25</v>
      </c>
      <c r="D6" s="6">
        <v>187.23</v>
      </c>
      <c r="E6" s="9">
        <f t="shared" si="0"/>
        <v>1.3352561021203868</v>
      </c>
      <c r="F6" s="9">
        <f t="shared" si="5"/>
        <v>5.2691297397119037</v>
      </c>
      <c r="G6" s="11">
        <f t="shared" si="1"/>
        <v>1.3352561021203868</v>
      </c>
      <c r="H6" s="5">
        <f t="shared" si="2"/>
        <v>250</v>
      </c>
      <c r="I6" s="6">
        <f t="shared" si="3"/>
        <v>177.86849999999998</v>
      </c>
      <c r="J6" s="6">
        <f t="shared" si="4"/>
        <v>215.31449999999998</v>
      </c>
      <c r="K6" s="6"/>
      <c r="L6" s="6"/>
      <c r="M6" s="6"/>
      <c r="N6" s="3" t="s">
        <v>10</v>
      </c>
      <c r="O6" s="4">
        <f>O5*3</f>
        <v>0.15000000000000002</v>
      </c>
      <c r="P6" s="4"/>
      <c r="Q6" s="4"/>
      <c r="R6" s="6"/>
      <c r="S6" s="6"/>
      <c r="T6" s="6"/>
      <c r="U6" s="6"/>
      <c r="V6" s="6"/>
      <c r="W6" s="6"/>
      <c r="X6" s="6"/>
      <c r="Y6" s="6"/>
    </row>
    <row r="7" spans="1:25" ht="12.75" x14ac:dyDescent="0.2">
      <c r="A7" s="10">
        <v>45720</v>
      </c>
      <c r="B7" s="1" t="s">
        <v>24</v>
      </c>
      <c r="C7" s="1" t="s">
        <v>14</v>
      </c>
      <c r="D7" s="6">
        <v>174.12</v>
      </c>
      <c r="E7" s="9">
        <f t="shared" si="0"/>
        <v>1.4357914082242131</v>
      </c>
      <c r="F7" s="9">
        <f t="shared" si="5"/>
        <v>6.7049211479361173</v>
      </c>
      <c r="G7" s="11">
        <f t="shared" si="1"/>
        <v>1.4357914082242131</v>
      </c>
      <c r="H7" s="5">
        <f t="shared" si="2"/>
        <v>250</v>
      </c>
      <c r="I7" s="6">
        <f t="shared" si="3"/>
        <v>165.41400000000002</v>
      </c>
      <c r="J7" s="6">
        <f t="shared" si="4"/>
        <v>200.238</v>
      </c>
      <c r="K7" s="6"/>
      <c r="L7" s="6"/>
      <c r="M7" s="6"/>
      <c r="N7" s="20" t="s">
        <v>19</v>
      </c>
      <c r="O7" s="5">
        <f>(O8/250)*O3</f>
        <v>1250</v>
      </c>
      <c r="P7" s="6"/>
      <c r="Q7" s="6"/>
      <c r="R7" s="6"/>
      <c r="S7" s="6"/>
      <c r="T7" s="6"/>
      <c r="U7" s="6"/>
      <c r="V7" s="6"/>
      <c r="W7" s="6"/>
      <c r="X7" s="6"/>
      <c r="Y7" s="6"/>
    </row>
    <row r="8" spans="1:25" ht="12.75" x14ac:dyDescent="0.2">
      <c r="A8" s="21"/>
      <c r="B8" s="22"/>
      <c r="C8" s="22"/>
      <c r="D8" s="23"/>
      <c r="E8" s="24"/>
      <c r="F8" s="24"/>
      <c r="G8" s="25"/>
      <c r="H8" s="26"/>
      <c r="I8" s="23"/>
      <c r="J8" s="22"/>
      <c r="K8" s="6"/>
      <c r="L8" s="6"/>
      <c r="M8" s="6"/>
      <c r="N8" s="3" t="s">
        <v>20</v>
      </c>
      <c r="O8" s="5">
        <f>SUM(H3:H42)</f>
        <v>1250</v>
      </c>
      <c r="P8" s="4"/>
      <c r="R8" s="6"/>
      <c r="S8" s="6"/>
      <c r="T8" s="6"/>
      <c r="U8" s="6"/>
      <c r="V8" s="6"/>
      <c r="W8" s="6"/>
      <c r="X8" s="6"/>
      <c r="Y8" s="6"/>
    </row>
    <row r="9" spans="1:25" ht="12.75" x14ac:dyDescent="0.2">
      <c r="A9" s="21"/>
      <c r="B9" s="22"/>
      <c r="C9" s="22"/>
      <c r="D9" s="23"/>
      <c r="E9" s="24"/>
      <c r="F9" s="24"/>
      <c r="G9" s="25"/>
      <c r="H9" s="26"/>
      <c r="I9" s="23"/>
      <c r="J9" s="22"/>
      <c r="K9" s="6"/>
      <c r="L9" s="6"/>
      <c r="M9" s="6"/>
      <c r="N9" s="20"/>
      <c r="O9" s="6"/>
      <c r="P9" s="6"/>
      <c r="Q9" s="6"/>
      <c r="R9" s="6"/>
      <c r="S9" s="6"/>
      <c r="T9" s="6"/>
      <c r="U9" s="6"/>
      <c r="V9" s="6"/>
      <c r="W9" s="6"/>
      <c r="X9" s="6"/>
      <c r="Y9" s="6"/>
    </row>
    <row r="10" spans="1:25" ht="12.75" x14ac:dyDescent="0.2">
      <c r="A10" s="21"/>
      <c r="B10" s="22"/>
      <c r="C10" s="22"/>
      <c r="D10" s="23"/>
      <c r="E10" s="24"/>
      <c r="F10" s="24"/>
      <c r="G10" s="25"/>
      <c r="H10" s="26"/>
      <c r="I10" s="23"/>
      <c r="J10" s="22"/>
      <c r="K10" s="6"/>
      <c r="L10" s="6"/>
      <c r="M10" s="6"/>
      <c r="N10" s="3"/>
      <c r="O10" s="6"/>
      <c r="P10" s="4"/>
      <c r="Q10" s="6"/>
      <c r="R10" s="6"/>
      <c r="S10" s="6"/>
      <c r="T10" s="6"/>
      <c r="U10" s="6"/>
      <c r="V10" s="6"/>
      <c r="W10" s="6"/>
      <c r="X10" s="6"/>
      <c r="Y10" s="6"/>
    </row>
    <row r="11" spans="1:25" ht="12.75" x14ac:dyDescent="0.2">
      <c r="A11" s="10"/>
      <c r="B11" s="1"/>
      <c r="D11" s="6"/>
      <c r="E11" s="9"/>
      <c r="F11" s="9"/>
      <c r="G11" s="11"/>
      <c r="H11" s="5"/>
      <c r="I11" s="6"/>
      <c r="K11" s="6"/>
      <c r="L11" s="6"/>
      <c r="M11" s="6"/>
      <c r="N11" s="6"/>
      <c r="O11" s="9"/>
      <c r="P11" s="6"/>
      <c r="Q11" s="6"/>
      <c r="R11" s="6"/>
      <c r="S11" s="6"/>
      <c r="T11" s="6"/>
      <c r="U11" s="6"/>
      <c r="V11" s="6"/>
      <c r="W11" s="6"/>
      <c r="X11" s="6"/>
      <c r="Y11" s="6"/>
    </row>
    <row r="12" spans="1:25" ht="12.75" x14ac:dyDescent="0.2">
      <c r="A12" s="10"/>
      <c r="B12" s="1"/>
      <c r="D12" s="6"/>
      <c r="E12" s="9"/>
      <c r="F12" s="9"/>
      <c r="G12" s="11"/>
      <c r="H12" s="5"/>
      <c r="I12" s="6"/>
      <c r="K12" s="6"/>
      <c r="L12" s="6"/>
      <c r="M12" s="6"/>
      <c r="N12" s="6"/>
      <c r="O12" s="6"/>
      <c r="P12" s="6"/>
      <c r="Q12" s="6"/>
      <c r="R12" s="6"/>
      <c r="S12" s="6"/>
      <c r="T12" s="6"/>
      <c r="U12" s="6"/>
      <c r="V12" s="6"/>
      <c r="W12" s="6"/>
      <c r="X12" s="6"/>
      <c r="Y12" s="6"/>
    </row>
    <row r="13" spans="1:25" ht="12.75" x14ac:dyDescent="0.2">
      <c r="A13" s="21"/>
      <c r="B13" s="22"/>
      <c r="C13" s="22"/>
      <c r="D13" s="23"/>
      <c r="E13" s="24"/>
      <c r="F13" s="24"/>
      <c r="G13" s="25"/>
      <c r="H13" s="26"/>
      <c r="I13" s="23"/>
      <c r="J13" s="22"/>
      <c r="K13" s="6"/>
      <c r="L13" s="6"/>
      <c r="M13" s="6"/>
      <c r="N13" s="6"/>
      <c r="O13" s="6"/>
      <c r="P13" s="6"/>
      <c r="Q13" s="6"/>
      <c r="R13" s="6"/>
      <c r="S13" s="6"/>
      <c r="T13" s="6"/>
      <c r="U13" s="6"/>
      <c r="V13" s="6"/>
      <c r="W13" s="6"/>
      <c r="X13" s="6"/>
      <c r="Y13" s="6"/>
    </row>
    <row r="14" spans="1:25" ht="12.75" x14ac:dyDescent="0.2">
      <c r="A14" s="21"/>
      <c r="B14" s="22"/>
      <c r="C14" s="22"/>
      <c r="D14" s="23"/>
      <c r="E14" s="24"/>
      <c r="F14" s="24"/>
      <c r="G14" s="25"/>
      <c r="H14" s="26"/>
      <c r="I14" s="23"/>
      <c r="J14" s="22"/>
      <c r="K14" s="6"/>
      <c r="L14" s="6"/>
      <c r="M14" s="6"/>
      <c r="N14" s="6"/>
      <c r="O14" s="3"/>
      <c r="P14" s="3"/>
      <c r="Q14" s="3"/>
      <c r="R14" s="3"/>
      <c r="S14" s="3"/>
      <c r="T14" s="6"/>
      <c r="U14" s="6"/>
      <c r="V14" s="6"/>
      <c r="W14" s="6"/>
      <c r="X14" s="6"/>
      <c r="Y14" s="6"/>
    </row>
    <row r="15" spans="1:25" ht="12.75" x14ac:dyDescent="0.2">
      <c r="A15" s="21"/>
      <c r="B15" s="22"/>
      <c r="C15" s="22"/>
      <c r="D15" s="23"/>
      <c r="E15" s="24"/>
      <c r="F15" s="24"/>
      <c r="G15" s="25"/>
      <c r="H15" s="26"/>
      <c r="I15" s="23"/>
      <c r="J15" s="22"/>
      <c r="N15" s="27"/>
      <c r="O15" s="5"/>
      <c r="P15" s="4"/>
      <c r="Q15" s="7"/>
      <c r="R15" s="2"/>
      <c r="S15" s="2"/>
      <c r="T15" s="6"/>
      <c r="U15" s="6"/>
      <c r="V15" s="6"/>
      <c r="W15" s="6"/>
      <c r="X15" s="6"/>
      <c r="Y15" s="6"/>
    </row>
    <row r="16" spans="1:25" ht="12.75" x14ac:dyDescent="0.2">
      <c r="A16" s="10"/>
      <c r="B16" s="1"/>
      <c r="D16" s="6"/>
      <c r="E16" s="9"/>
      <c r="F16" s="9"/>
      <c r="G16" s="11"/>
      <c r="H16" s="5"/>
      <c r="I16" s="6"/>
      <c r="N16" s="27"/>
      <c r="O16" s="5"/>
      <c r="P16" s="4"/>
      <c r="Q16" s="7"/>
      <c r="R16" s="2"/>
      <c r="S16" s="2"/>
      <c r="T16" s="6"/>
      <c r="U16" s="6"/>
      <c r="V16" s="6"/>
      <c r="W16" s="6"/>
      <c r="X16" s="6"/>
      <c r="Y16" s="6"/>
    </row>
    <row r="17" spans="1:25" ht="12.75" x14ac:dyDescent="0.2">
      <c r="A17" s="10"/>
      <c r="B17" s="1"/>
      <c r="D17" s="6"/>
      <c r="E17" s="9"/>
      <c r="F17" s="9"/>
      <c r="G17" s="11"/>
      <c r="H17" s="5"/>
      <c r="I17" s="6"/>
      <c r="K17" s="6"/>
      <c r="L17" s="6"/>
      <c r="M17" s="6"/>
      <c r="N17" s="27"/>
      <c r="O17" s="5"/>
      <c r="P17" s="4"/>
      <c r="R17" s="6"/>
      <c r="S17" s="6"/>
      <c r="T17" s="6"/>
      <c r="U17" s="6"/>
      <c r="V17" s="6"/>
      <c r="W17" s="6"/>
      <c r="X17" s="6"/>
      <c r="Y17" s="6"/>
    </row>
    <row r="18" spans="1:25" ht="12.75" x14ac:dyDescent="0.2">
      <c r="A18" s="10"/>
      <c r="B18" s="1"/>
      <c r="D18" s="6"/>
      <c r="E18" s="9"/>
      <c r="F18" s="9"/>
      <c r="G18" s="11"/>
      <c r="H18" s="5"/>
      <c r="I18" s="6"/>
      <c r="K18" s="9"/>
      <c r="L18" s="9"/>
      <c r="M18" s="9"/>
      <c r="N18" s="27"/>
      <c r="O18" s="5"/>
      <c r="P18" s="4"/>
      <c r="R18" s="6"/>
      <c r="S18" s="5"/>
      <c r="T18" s="5"/>
      <c r="U18" s="5"/>
      <c r="V18" s="5"/>
      <c r="W18" s="9"/>
      <c r="X18" s="5"/>
      <c r="Y18" s="5"/>
    </row>
    <row r="19" spans="1:25" ht="12.75" x14ac:dyDescent="0.2">
      <c r="A19" s="10"/>
      <c r="B19" s="1"/>
      <c r="D19" s="6"/>
      <c r="E19" s="9"/>
      <c r="F19" s="9"/>
      <c r="G19" s="11"/>
      <c r="H19" s="5"/>
      <c r="I19" s="6"/>
      <c r="K19" s="6"/>
      <c r="L19" s="6"/>
      <c r="M19" s="6"/>
      <c r="N19" s="27"/>
      <c r="O19" s="5"/>
      <c r="P19" s="4"/>
      <c r="Q19" s="7"/>
      <c r="R19" s="2"/>
      <c r="S19" s="6"/>
      <c r="T19" s="6"/>
      <c r="U19" s="6"/>
      <c r="V19" s="6"/>
      <c r="W19" s="6"/>
      <c r="X19" s="6"/>
      <c r="Y19" s="6"/>
    </row>
    <row r="20" spans="1:25" ht="12.75" x14ac:dyDescent="0.2">
      <c r="A20" s="10"/>
      <c r="D20" s="6"/>
      <c r="E20" s="9"/>
      <c r="F20" s="9"/>
      <c r="G20" s="11"/>
      <c r="H20" s="5"/>
      <c r="I20" s="6"/>
      <c r="K20" s="6"/>
      <c r="L20" s="6"/>
      <c r="M20" s="6"/>
      <c r="N20" s="27"/>
      <c r="O20" s="7"/>
      <c r="P20" s="2"/>
      <c r="S20" s="6"/>
      <c r="T20" s="6"/>
      <c r="U20" s="6"/>
      <c r="V20" s="6"/>
      <c r="W20" s="6"/>
      <c r="X20" s="6"/>
      <c r="Y20" s="6"/>
    </row>
    <row r="21" spans="1:25" ht="12.75" x14ac:dyDescent="0.2">
      <c r="A21" s="21"/>
      <c r="B21" s="22"/>
      <c r="C21" s="22"/>
      <c r="D21" s="23"/>
      <c r="E21" s="24"/>
      <c r="F21" s="24"/>
      <c r="G21" s="25"/>
      <c r="H21" s="26"/>
      <c r="I21" s="23"/>
      <c r="J21" s="22"/>
      <c r="K21" s="6"/>
      <c r="L21" s="6"/>
      <c r="M21" s="6"/>
      <c r="N21" s="27"/>
      <c r="O21" s="9"/>
      <c r="P21" s="9"/>
      <c r="Q21" s="9"/>
      <c r="R21" s="6"/>
      <c r="S21" s="6"/>
      <c r="T21" s="6"/>
      <c r="U21" s="6"/>
      <c r="V21" s="6"/>
      <c r="W21" s="6"/>
      <c r="X21" s="6"/>
      <c r="Y21" s="6"/>
    </row>
    <row r="22" spans="1:25" ht="12.75" x14ac:dyDescent="0.2">
      <c r="A22" s="21"/>
      <c r="B22" s="22"/>
      <c r="C22" s="22"/>
      <c r="D22" s="23"/>
      <c r="E22" s="24"/>
      <c r="F22" s="24"/>
      <c r="G22" s="25"/>
      <c r="H22" s="26"/>
      <c r="I22" s="23"/>
      <c r="J22" s="22"/>
      <c r="K22" s="6"/>
      <c r="L22" s="6"/>
      <c r="M22" s="6"/>
      <c r="N22" s="27"/>
      <c r="O22" s="6"/>
      <c r="P22" s="6"/>
      <c r="Q22" s="6"/>
      <c r="R22" s="6"/>
      <c r="S22" s="6"/>
      <c r="T22" s="6"/>
      <c r="U22" s="6"/>
      <c r="V22" s="6"/>
      <c r="W22" s="6"/>
      <c r="X22" s="6"/>
      <c r="Y22" s="6"/>
    </row>
    <row r="23" spans="1:25" ht="12.75" x14ac:dyDescent="0.2">
      <c r="A23" s="10"/>
      <c r="B23" s="1"/>
      <c r="D23" s="6"/>
      <c r="E23" s="9"/>
      <c r="F23" s="9"/>
      <c r="G23" s="11"/>
      <c r="H23" s="5"/>
      <c r="I23" s="6"/>
      <c r="K23" s="6"/>
      <c r="L23" s="6"/>
      <c r="M23" s="6"/>
      <c r="N23" s="27"/>
      <c r="O23" s="6"/>
      <c r="P23" s="6"/>
      <c r="Q23" s="6"/>
      <c r="R23" s="6"/>
      <c r="S23" s="6"/>
      <c r="T23" s="6"/>
      <c r="U23" s="6"/>
      <c r="V23" s="6"/>
      <c r="W23" s="6"/>
      <c r="X23" s="6"/>
      <c r="Y23" s="6"/>
    </row>
    <row r="24" spans="1:25" ht="12.75" x14ac:dyDescent="0.2">
      <c r="A24" s="10"/>
      <c r="D24" s="6"/>
      <c r="E24" s="9"/>
      <c r="F24" s="9"/>
      <c r="G24" s="11"/>
      <c r="H24" s="5"/>
      <c r="I24" s="6"/>
      <c r="K24" s="6"/>
      <c r="L24" s="6"/>
      <c r="M24" s="6"/>
      <c r="N24" s="27"/>
      <c r="O24" s="6"/>
      <c r="P24" s="6"/>
      <c r="Q24" s="6"/>
      <c r="R24" s="6"/>
      <c r="S24" s="6"/>
      <c r="T24" s="6"/>
      <c r="U24" s="6"/>
      <c r="V24" s="6"/>
      <c r="W24" s="6"/>
      <c r="X24" s="6"/>
      <c r="Y24" s="6"/>
    </row>
    <row r="25" spans="1:25" ht="12.75" x14ac:dyDescent="0.2">
      <c r="A25" s="10"/>
      <c r="B25" s="1"/>
      <c r="D25" s="6"/>
      <c r="E25" s="9"/>
      <c r="F25" s="9"/>
      <c r="G25" s="11"/>
      <c r="H25" s="5"/>
      <c r="I25" s="6"/>
      <c r="K25" s="6"/>
      <c r="L25" s="6"/>
      <c r="M25" s="6"/>
      <c r="N25" s="27"/>
      <c r="O25" s="6"/>
      <c r="P25" s="6"/>
      <c r="Q25" s="6"/>
      <c r="R25" s="6"/>
      <c r="S25" s="6"/>
      <c r="T25" s="6"/>
      <c r="U25" s="6"/>
      <c r="V25" s="6"/>
      <c r="W25" s="6"/>
      <c r="X25" s="6"/>
      <c r="Y25" s="6"/>
    </row>
    <row r="26" spans="1:25" ht="12.75" x14ac:dyDescent="0.2">
      <c r="A26" s="10"/>
      <c r="D26" s="6"/>
      <c r="E26" s="9"/>
      <c r="F26" s="9"/>
      <c r="G26" s="11"/>
      <c r="H26" s="5"/>
      <c r="I26" s="6"/>
      <c r="K26" s="6"/>
      <c r="L26" s="6"/>
      <c r="M26" s="6"/>
      <c r="N26" s="27"/>
      <c r="O26" s="6"/>
      <c r="P26" s="6"/>
      <c r="Q26" s="6"/>
      <c r="R26" s="6"/>
      <c r="S26" s="6"/>
      <c r="T26" s="6"/>
      <c r="U26" s="6"/>
      <c r="V26" s="6"/>
      <c r="W26" s="6"/>
      <c r="X26" s="6"/>
      <c r="Y26" s="6"/>
    </row>
    <row r="27" spans="1:25" ht="12.75" x14ac:dyDescent="0.2">
      <c r="A27" s="10"/>
      <c r="D27" s="6"/>
      <c r="E27" s="9"/>
      <c r="F27" s="9"/>
      <c r="G27" s="11"/>
      <c r="H27" s="5"/>
      <c r="I27" s="6"/>
      <c r="K27" s="6"/>
      <c r="L27" s="6"/>
      <c r="M27" s="6"/>
      <c r="N27" s="27"/>
      <c r="O27" s="6"/>
      <c r="P27" s="6"/>
      <c r="Q27" s="6"/>
      <c r="R27" s="6"/>
      <c r="S27" s="6"/>
      <c r="T27" s="6"/>
      <c r="U27" s="6"/>
      <c r="V27" s="6"/>
      <c r="W27" s="6"/>
      <c r="X27" s="6"/>
      <c r="Y27" s="6"/>
    </row>
    <row r="28" spans="1:25" ht="12.75" x14ac:dyDescent="0.2">
      <c r="A28" s="10"/>
      <c r="B28" s="1"/>
      <c r="D28" s="6"/>
      <c r="E28" s="9"/>
      <c r="F28" s="9"/>
      <c r="G28" s="11"/>
      <c r="H28" s="5"/>
      <c r="I28" s="6"/>
      <c r="K28" s="6"/>
      <c r="L28" s="6"/>
      <c r="M28" s="6"/>
      <c r="N28" s="6"/>
      <c r="O28" s="6"/>
      <c r="P28" s="6"/>
      <c r="Q28" s="6"/>
      <c r="R28" s="6"/>
      <c r="S28" s="6"/>
      <c r="T28" s="6"/>
      <c r="U28" s="6"/>
      <c r="V28" s="6"/>
      <c r="W28" s="6"/>
      <c r="X28" s="6"/>
      <c r="Y28" s="6"/>
    </row>
    <row r="29" spans="1:25" ht="12.75" x14ac:dyDescent="0.2">
      <c r="A29" s="10"/>
      <c r="B29" s="1"/>
      <c r="D29" s="6"/>
      <c r="E29" s="9"/>
      <c r="F29" s="9"/>
      <c r="G29" s="11"/>
      <c r="H29" s="5"/>
      <c r="I29" s="6"/>
      <c r="K29" s="6"/>
      <c r="L29" s="6"/>
      <c r="M29" s="6"/>
      <c r="N29" s="6"/>
      <c r="O29" s="6"/>
      <c r="P29" s="6"/>
      <c r="Q29" s="6"/>
      <c r="R29" s="6"/>
      <c r="S29" s="6"/>
      <c r="T29" s="6"/>
      <c r="U29" s="6"/>
      <c r="V29" s="6"/>
      <c r="W29" s="6"/>
      <c r="X29" s="6"/>
      <c r="Y29" s="6"/>
    </row>
    <row r="30" spans="1:25" ht="12.75" x14ac:dyDescent="0.2">
      <c r="A30" s="10"/>
      <c r="B30" s="1"/>
      <c r="D30" s="6"/>
      <c r="E30" s="9"/>
      <c r="F30" s="9"/>
      <c r="G30" s="11"/>
      <c r="H30" s="5"/>
      <c r="I30" s="6"/>
      <c r="K30" s="6"/>
      <c r="L30" s="6"/>
      <c r="M30" s="6"/>
      <c r="N30" s="6"/>
      <c r="O30" s="6"/>
      <c r="P30" s="6"/>
      <c r="Q30" s="6"/>
      <c r="R30" s="6"/>
      <c r="S30" s="6"/>
      <c r="T30" s="6"/>
      <c r="U30" s="6"/>
      <c r="V30" s="6"/>
      <c r="W30" s="6"/>
      <c r="X30" s="6"/>
      <c r="Y30" s="6"/>
    </row>
    <row r="31" spans="1:25" ht="12.75" x14ac:dyDescent="0.2">
      <c r="A31" s="10"/>
      <c r="B31" s="1"/>
      <c r="D31" s="6"/>
      <c r="E31" s="9"/>
      <c r="F31" s="9"/>
      <c r="G31" s="11"/>
      <c r="H31" s="5"/>
      <c r="I31" s="6"/>
      <c r="K31" s="6"/>
      <c r="L31" s="6"/>
      <c r="M31" s="6"/>
      <c r="N31" s="6"/>
      <c r="O31" s="6"/>
      <c r="P31" s="6"/>
      <c r="Q31" s="6"/>
      <c r="R31" s="6"/>
      <c r="S31" s="6"/>
      <c r="T31" s="6"/>
      <c r="U31" s="6"/>
      <c r="V31" s="6"/>
      <c r="W31" s="6"/>
      <c r="X31" s="6"/>
      <c r="Y31" s="6"/>
    </row>
    <row r="32" spans="1:25" ht="12.75" x14ac:dyDescent="0.2">
      <c r="A32" s="10"/>
      <c r="B32" s="1"/>
      <c r="D32" s="6"/>
      <c r="E32" s="9"/>
      <c r="F32" s="9"/>
      <c r="G32" s="11"/>
      <c r="H32" s="5"/>
      <c r="I32" s="6"/>
      <c r="K32" s="6"/>
      <c r="L32" s="6"/>
      <c r="M32" s="6"/>
      <c r="N32" s="6"/>
      <c r="O32" s="6"/>
      <c r="P32" s="6"/>
      <c r="Q32" s="6"/>
      <c r="R32" s="6"/>
      <c r="S32" s="6"/>
      <c r="T32" s="6"/>
      <c r="U32" s="6"/>
      <c r="V32" s="6"/>
      <c r="W32" s="6"/>
      <c r="X32" s="6"/>
      <c r="Y32" s="6"/>
    </row>
    <row r="33" spans="1:25" ht="12.75" x14ac:dyDescent="0.2">
      <c r="A33" s="10"/>
      <c r="B33" s="1"/>
      <c r="D33" s="6"/>
      <c r="E33" s="9"/>
      <c r="F33" s="9"/>
      <c r="G33" s="11"/>
      <c r="H33" s="5"/>
      <c r="I33" s="6"/>
      <c r="K33" s="6"/>
      <c r="L33" s="6"/>
      <c r="M33" s="6"/>
      <c r="N33" s="6"/>
      <c r="O33" s="6"/>
      <c r="P33" s="6"/>
      <c r="Q33" s="6"/>
      <c r="R33" s="6"/>
      <c r="S33" s="6"/>
      <c r="T33" s="6"/>
      <c r="U33" s="6"/>
      <c r="V33" s="6"/>
      <c r="W33" s="6"/>
      <c r="X33" s="6"/>
      <c r="Y33" s="6"/>
    </row>
    <row r="34" spans="1:25" ht="12.75" x14ac:dyDescent="0.2">
      <c r="A34" s="10"/>
      <c r="B34" s="1"/>
      <c r="D34" s="6"/>
      <c r="E34" s="9"/>
      <c r="F34" s="9"/>
      <c r="G34" s="11"/>
      <c r="H34" s="5"/>
      <c r="I34" s="6"/>
      <c r="K34" s="6"/>
      <c r="L34" s="6"/>
      <c r="M34" s="6"/>
      <c r="N34" s="6"/>
      <c r="O34" s="6"/>
      <c r="P34" s="6"/>
      <c r="Q34" s="6"/>
      <c r="R34" s="6"/>
      <c r="S34" s="6"/>
      <c r="T34" s="6"/>
      <c r="U34" s="6"/>
      <c r="V34" s="6"/>
      <c r="W34" s="6"/>
      <c r="X34" s="6"/>
      <c r="Y34" s="6"/>
    </row>
    <row r="35" spans="1:25" ht="12.75" x14ac:dyDescent="0.2">
      <c r="A35" s="10"/>
      <c r="B35" s="1"/>
      <c r="D35" s="6"/>
      <c r="E35" s="9"/>
      <c r="F35" s="9"/>
      <c r="G35" s="11"/>
      <c r="H35" s="5"/>
      <c r="I35" s="6"/>
      <c r="K35" s="6"/>
      <c r="L35" s="6"/>
      <c r="M35" s="6"/>
      <c r="N35" s="6"/>
      <c r="O35" s="6"/>
      <c r="P35" s="6"/>
      <c r="Q35" s="6"/>
      <c r="R35" s="6"/>
      <c r="S35" s="6"/>
      <c r="T35" s="6"/>
      <c r="U35" s="6"/>
      <c r="V35" s="6"/>
      <c r="W35" s="6"/>
      <c r="X35" s="6"/>
      <c r="Y35" s="6"/>
    </row>
    <row r="36" spans="1:25" ht="12.75" x14ac:dyDescent="0.2">
      <c r="A36" s="10"/>
      <c r="B36" s="1"/>
      <c r="D36" s="6"/>
      <c r="E36" s="9"/>
      <c r="F36" s="9"/>
      <c r="G36" s="11"/>
      <c r="H36" s="5"/>
      <c r="I36" s="6"/>
      <c r="K36" s="9"/>
      <c r="L36" s="9"/>
      <c r="M36" s="9"/>
      <c r="N36" s="6"/>
      <c r="O36" s="6"/>
      <c r="P36" s="6"/>
      <c r="Q36" s="6"/>
      <c r="R36" s="6"/>
      <c r="S36" s="5"/>
      <c r="T36" s="5"/>
      <c r="U36" s="5"/>
      <c r="V36" s="5"/>
      <c r="W36" s="9"/>
      <c r="X36" s="5"/>
      <c r="Y36" s="5"/>
    </row>
    <row r="37" spans="1:25" ht="12.75" x14ac:dyDescent="0.2">
      <c r="A37" s="10"/>
      <c r="B37" s="1"/>
      <c r="D37" s="6"/>
      <c r="E37" s="9"/>
      <c r="F37" s="9"/>
      <c r="G37" s="11"/>
      <c r="H37" s="5"/>
      <c r="I37" s="6"/>
      <c r="K37" s="6"/>
      <c r="L37" s="6"/>
      <c r="M37" s="6"/>
      <c r="N37" s="6"/>
      <c r="O37" s="6"/>
      <c r="P37" s="6"/>
      <c r="Q37" s="6"/>
      <c r="R37" s="6"/>
      <c r="S37" s="6"/>
      <c r="T37" s="6"/>
      <c r="U37" s="6"/>
      <c r="V37" s="6"/>
      <c r="W37" s="6"/>
      <c r="X37" s="6"/>
      <c r="Y37" s="6"/>
    </row>
    <row r="38" spans="1:25" ht="12.75" x14ac:dyDescent="0.2">
      <c r="A38" s="10"/>
      <c r="B38" s="1"/>
      <c r="D38" s="6"/>
      <c r="E38" s="9"/>
      <c r="F38" s="9"/>
      <c r="G38" s="11"/>
      <c r="H38" s="5"/>
      <c r="I38" s="6"/>
      <c r="K38" s="6"/>
      <c r="L38" s="6"/>
      <c r="M38" s="6"/>
      <c r="N38" s="6"/>
      <c r="O38" s="6"/>
      <c r="P38" s="6"/>
      <c r="Q38" s="6"/>
      <c r="R38" s="5"/>
      <c r="S38" s="6"/>
      <c r="T38" s="6"/>
      <c r="U38" s="6"/>
      <c r="V38" s="6"/>
      <c r="W38" s="6"/>
      <c r="X38" s="6"/>
      <c r="Y38" s="6"/>
    </row>
    <row r="39" spans="1:25" ht="12.75" x14ac:dyDescent="0.2">
      <c r="A39" s="10"/>
      <c r="B39" s="1"/>
      <c r="D39" s="6"/>
      <c r="E39" s="9"/>
      <c r="F39" s="9"/>
      <c r="G39" s="11"/>
      <c r="H39" s="5"/>
      <c r="I39" s="6"/>
      <c r="K39" s="6"/>
      <c r="L39" s="6"/>
      <c r="M39" s="6"/>
      <c r="N39" s="9"/>
      <c r="O39" s="9"/>
      <c r="P39" s="6"/>
      <c r="Q39" s="9"/>
      <c r="R39" s="6"/>
      <c r="S39" s="6"/>
      <c r="T39" s="6"/>
      <c r="U39" s="6"/>
      <c r="V39" s="6"/>
      <c r="W39" s="6"/>
      <c r="X39" s="6"/>
      <c r="Y39" s="6"/>
    </row>
    <row r="40" spans="1:25" ht="12.75" x14ac:dyDescent="0.2">
      <c r="A40" s="10"/>
      <c r="B40" s="1"/>
      <c r="D40" s="6"/>
      <c r="E40" s="9"/>
      <c r="F40" s="9"/>
      <c r="G40" s="11"/>
      <c r="H40" s="5"/>
      <c r="I40" s="6"/>
      <c r="K40" s="6"/>
      <c r="L40" s="6"/>
      <c r="M40" s="6"/>
      <c r="N40" s="6"/>
      <c r="O40" s="6"/>
      <c r="P40" s="6"/>
      <c r="Q40" s="6"/>
      <c r="R40" s="6"/>
      <c r="S40" s="6"/>
      <c r="T40" s="6"/>
      <c r="U40" s="6"/>
      <c r="V40" s="6"/>
      <c r="W40" s="6"/>
      <c r="X40" s="6"/>
      <c r="Y40" s="6"/>
    </row>
    <row r="41" spans="1:25" ht="12.75" x14ac:dyDescent="0.2">
      <c r="A41" s="10"/>
      <c r="B41" s="1"/>
      <c r="D41" s="6"/>
      <c r="E41" s="9"/>
      <c r="F41" s="9"/>
      <c r="G41" s="11"/>
      <c r="H41" s="5"/>
      <c r="I41" s="6"/>
      <c r="K41" s="6"/>
      <c r="L41" s="6"/>
      <c r="M41" s="6"/>
      <c r="N41" s="6"/>
      <c r="O41" s="6"/>
      <c r="P41" s="6"/>
      <c r="Q41" s="6"/>
      <c r="R41" s="6"/>
      <c r="S41" s="6"/>
      <c r="T41" s="6"/>
      <c r="U41" s="6"/>
      <c r="V41" s="6"/>
      <c r="W41" s="6"/>
      <c r="X41" s="6"/>
      <c r="Y41" s="6"/>
    </row>
    <row r="42" spans="1:25" ht="12.75" x14ac:dyDescent="0.2">
      <c r="A42" s="10"/>
      <c r="B42" s="1"/>
      <c r="D42" s="6"/>
      <c r="E42" s="9"/>
      <c r="F42" s="9"/>
      <c r="G42" s="11"/>
      <c r="H42" s="5"/>
      <c r="I42" s="6"/>
      <c r="K42" s="6"/>
      <c r="L42" s="6"/>
      <c r="M42" s="6"/>
      <c r="N42" s="6"/>
      <c r="O42" s="6"/>
      <c r="P42" s="6"/>
      <c r="Q42" s="6"/>
      <c r="R42" s="6"/>
      <c r="S42" s="6"/>
      <c r="T42" s="6"/>
      <c r="U42" s="6"/>
      <c r="V42" s="6"/>
      <c r="W42" s="6"/>
      <c r="X42" s="6"/>
      <c r="Y42" s="6"/>
    </row>
    <row r="43" spans="1:25" ht="12.75" x14ac:dyDescent="0.2">
      <c r="A43" s="10"/>
      <c r="B43" s="1"/>
      <c r="D43" s="6"/>
      <c r="E43" s="9"/>
      <c r="F43" s="9"/>
      <c r="G43" s="11"/>
      <c r="H43" s="5"/>
      <c r="I43" s="6"/>
      <c r="K43" s="6"/>
      <c r="L43" s="6"/>
      <c r="M43" s="6"/>
      <c r="N43" s="6"/>
      <c r="O43" s="6"/>
      <c r="P43" s="6"/>
      <c r="Q43" s="6"/>
      <c r="R43" s="6"/>
      <c r="S43" s="6"/>
      <c r="T43" s="6"/>
      <c r="U43" s="6"/>
      <c r="V43" s="6"/>
      <c r="W43" s="6"/>
      <c r="X43" s="6"/>
      <c r="Y43" s="6"/>
    </row>
    <row r="44" spans="1:25" ht="12.75" x14ac:dyDescent="0.2">
      <c r="A44" s="10"/>
      <c r="B44" s="1"/>
      <c r="D44" s="6"/>
      <c r="E44" s="9"/>
      <c r="F44" s="9"/>
      <c r="G44" s="11"/>
      <c r="H44" s="5"/>
      <c r="I44" s="6"/>
      <c r="K44" s="6"/>
      <c r="L44" s="6"/>
      <c r="M44" s="6"/>
      <c r="N44" s="6"/>
      <c r="O44" s="6"/>
      <c r="P44" s="6"/>
      <c r="Q44" s="6"/>
      <c r="R44" s="6"/>
      <c r="S44" s="6"/>
      <c r="T44" s="6"/>
      <c r="U44" s="6"/>
      <c r="V44" s="6"/>
      <c r="W44" s="6"/>
      <c r="X44" s="6"/>
      <c r="Y44" s="6"/>
    </row>
    <row r="45" spans="1:25" ht="12.75" x14ac:dyDescent="0.2">
      <c r="A45" s="10"/>
      <c r="B45" s="1"/>
      <c r="D45" s="6"/>
      <c r="E45" s="9"/>
      <c r="F45" s="9"/>
      <c r="G45" s="11"/>
      <c r="H45" s="5"/>
      <c r="I45" s="6"/>
      <c r="K45" s="6"/>
      <c r="L45" s="6"/>
      <c r="M45" s="6"/>
      <c r="N45" s="6"/>
      <c r="O45" s="6"/>
      <c r="P45" s="6"/>
      <c r="Q45" s="6"/>
      <c r="R45" s="6"/>
      <c r="S45" s="6"/>
      <c r="T45" s="6"/>
      <c r="U45" s="6"/>
      <c r="V45" s="6"/>
      <c r="W45" s="6"/>
      <c r="X45" s="6"/>
      <c r="Y45" s="6"/>
    </row>
    <row r="46" spans="1:25" ht="12.75" x14ac:dyDescent="0.2">
      <c r="A46" s="10"/>
      <c r="B46" s="1"/>
      <c r="D46" s="6"/>
      <c r="E46" s="9"/>
      <c r="F46" s="9"/>
      <c r="G46" s="11"/>
      <c r="H46" s="5"/>
      <c r="I46" s="6"/>
      <c r="K46" s="6"/>
      <c r="L46" s="6"/>
      <c r="M46" s="6"/>
      <c r="N46" s="6"/>
      <c r="O46" s="6"/>
      <c r="P46" s="6"/>
      <c r="Q46" s="6"/>
      <c r="R46" s="6"/>
      <c r="S46" s="6"/>
      <c r="T46" s="6"/>
      <c r="U46" s="6"/>
      <c r="V46" s="6"/>
      <c r="W46" s="6"/>
      <c r="X46" s="6"/>
      <c r="Y46" s="6"/>
    </row>
    <row r="47" spans="1:25" ht="12.75" x14ac:dyDescent="0.2">
      <c r="A47" s="10"/>
      <c r="B47" s="1"/>
      <c r="D47" s="6"/>
      <c r="E47" s="9"/>
      <c r="F47" s="9"/>
      <c r="G47" s="11"/>
      <c r="H47" s="5"/>
      <c r="I47" s="6"/>
      <c r="K47" s="6"/>
      <c r="L47" s="6"/>
      <c r="M47" s="6"/>
      <c r="N47" s="6"/>
      <c r="O47" s="6"/>
      <c r="P47" s="6"/>
      <c r="Q47" s="6"/>
      <c r="R47" s="6"/>
      <c r="S47" s="6"/>
      <c r="T47" s="6"/>
      <c r="U47" s="6"/>
      <c r="V47" s="6"/>
      <c r="W47" s="6"/>
      <c r="X47" s="6"/>
      <c r="Y47" s="6"/>
    </row>
    <row r="48" spans="1:25" ht="12.75" x14ac:dyDescent="0.2">
      <c r="A48" s="10"/>
      <c r="B48" s="1"/>
      <c r="D48" s="6"/>
      <c r="E48" s="9"/>
      <c r="F48" s="9"/>
      <c r="G48" s="11"/>
      <c r="H48" s="5"/>
      <c r="I48" s="6"/>
      <c r="K48" s="6"/>
      <c r="L48" s="6"/>
      <c r="M48" s="6"/>
      <c r="N48" s="6"/>
      <c r="O48" s="6"/>
      <c r="P48" s="6"/>
      <c r="Q48" s="6"/>
      <c r="R48" s="6"/>
      <c r="S48" s="6"/>
      <c r="T48" s="6"/>
      <c r="U48" s="6"/>
      <c r="V48" s="6"/>
      <c r="W48" s="6"/>
      <c r="X48" s="6"/>
      <c r="Y48" s="6"/>
    </row>
    <row r="49" spans="1:25" ht="12.75" x14ac:dyDescent="0.2">
      <c r="A49" s="10"/>
      <c r="B49" s="1"/>
      <c r="D49" s="6"/>
      <c r="E49" s="9"/>
      <c r="F49" s="9"/>
      <c r="G49" s="11"/>
      <c r="H49" s="5"/>
      <c r="I49" s="6"/>
      <c r="K49" s="6"/>
      <c r="L49" s="6"/>
      <c r="M49" s="6"/>
      <c r="N49" s="6"/>
      <c r="O49" s="6"/>
      <c r="P49" s="6"/>
      <c r="Q49" s="6"/>
      <c r="R49" s="6"/>
      <c r="S49" s="6"/>
      <c r="T49" s="6"/>
      <c r="U49" s="6"/>
      <c r="V49" s="6"/>
      <c r="W49" s="6"/>
      <c r="X49" s="6"/>
      <c r="Y49" s="6"/>
    </row>
    <row r="50" spans="1:25" ht="12.75" x14ac:dyDescent="0.2">
      <c r="A50" s="10"/>
      <c r="B50" s="1"/>
      <c r="D50" s="6"/>
      <c r="E50" s="9"/>
      <c r="F50" s="9"/>
      <c r="G50" s="11"/>
      <c r="H50" s="5"/>
      <c r="I50" s="6"/>
      <c r="K50" s="9"/>
      <c r="L50" s="9"/>
      <c r="M50" s="9"/>
      <c r="N50" s="6"/>
      <c r="O50" s="6"/>
      <c r="P50" s="6"/>
      <c r="Q50" s="6"/>
      <c r="R50" s="6"/>
      <c r="S50" s="5"/>
      <c r="T50" s="5"/>
      <c r="U50" s="5"/>
      <c r="V50" s="5"/>
      <c r="W50" s="9"/>
      <c r="X50" s="5"/>
      <c r="Y50" s="5"/>
    </row>
    <row r="51" spans="1:25" ht="12.75" x14ac:dyDescent="0.2">
      <c r="A51" s="10"/>
      <c r="B51" s="1"/>
      <c r="D51" s="6"/>
      <c r="E51" s="9"/>
      <c r="F51" s="9"/>
      <c r="G51" s="11"/>
      <c r="H51" s="5"/>
      <c r="I51" s="6"/>
      <c r="K51" s="6"/>
      <c r="L51" s="6"/>
      <c r="M51" s="6"/>
      <c r="N51" s="6"/>
      <c r="O51" s="6"/>
      <c r="P51" s="6"/>
      <c r="Q51" s="6"/>
      <c r="R51" s="6"/>
      <c r="S51" s="6"/>
      <c r="T51" s="6"/>
      <c r="U51" s="6"/>
      <c r="V51" s="6"/>
      <c r="W51" s="6"/>
      <c r="X51" s="6"/>
      <c r="Y51" s="6"/>
    </row>
    <row r="52" spans="1:25" ht="12.75" x14ac:dyDescent="0.2">
      <c r="A52" s="10"/>
      <c r="B52" s="1"/>
      <c r="D52" s="6"/>
      <c r="E52" s="9"/>
      <c r="F52" s="9"/>
      <c r="G52" s="11"/>
      <c r="H52" s="5"/>
      <c r="I52" s="6"/>
      <c r="K52" s="6"/>
      <c r="L52" s="6"/>
      <c r="M52" s="6"/>
      <c r="N52" s="6"/>
      <c r="O52" s="6"/>
      <c r="P52" s="6"/>
      <c r="Q52" s="6"/>
      <c r="R52" s="5"/>
      <c r="S52" s="6"/>
      <c r="T52" s="6"/>
      <c r="U52" s="6"/>
      <c r="V52" s="6"/>
      <c r="W52" s="6"/>
      <c r="X52" s="6"/>
      <c r="Y52" s="6"/>
    </row>
    <row r="53" spans="1:25" ht="12.75" x14ac:dyDescent="0.2">
      <c r="A53" s="10"/>
      <c r="B53" s="1"/>
      <c r="D53" s="6"/>
      <c r="E53" s="9"/>
      <c r="F53" s="9"/>
      <c r="G53" s="11"/>
      <c r="H53" s="5"/>
      <c r="I53" s="6"/>
      <c r="K53" s="6"/>
      <c r="L53" s="6"/>
      <c r="M53" s="6"/>
      <c r="N53" s="9"/>
      <c r="O53" s="9"/>
      <c r="P53" s="9"/>
      <c r="Q53" s="9"/>
      <c r="R53" s="6"/>
      <c r="S53" s="6"/>
      <c r="T53" s="6"/>
      <c r="U53" s="6"/>
      <c r="V53" s="6"/>
      <c r="W53" s="6"/>
      <c r="X53" s="6"/>
      <c r="Y53" s="6"/>
    </row>
    <row r="54" spans="1:25" ht="12.75" x14ac:dyDescent="0.2">
      <c r="A54" s="10"/>
      <c r="B54" s="1"/>
      <c r="D54" s="6"/>
      <c r="E54" s="9"/>
      <c r="F54" s="9"/>
      <c r="G54" s="11"/>
      <c r="H54" s="5"/>
      <c r="I54" s="6"/>
      <c r="K54" s="6"/>
      <c r="L54" s="6"/>
      <c r="M54" s="6"/>
      <c r="N54" s="6"/>
      <c r="O54" s="6"/>
      <c r="P54" s="6"/>
      <c r="Q54" s="6"/>
      <c r="R54" s="6"/>
      <c r="S54" s="6"/>
      <c r="T54" s="6"/>
      <c r="U54" s="6"/>
      <c r="V54" s="6"/>
      <c r="W54" s="6"/>
      <c r="X54" s="6"/>
      <c r="Y54" s="6"/>
    </row>
    <row r="55" spans="1:25" ht="12.75" x14ac:dyDescent="0.2">
      <c r="A55" s="10"/>
      <c r="B55" s="1"/>
      <c r="D55" s="6"/>
      <c r="E55" s="9"/>
      <c r="F55" s="9"/>
      <c r="G55" s="11"/>
      <c r="H55" s="5"/>
      <c r="I55" s="6"/>
      <c r="K55" s="6"/>
      <c r="L55" s="6"/>
      <c r="M55" s="6"/>
      <c r="N55" s="6"/>
      <c r="O55" s="6"/>
      <c r="P55" s="6"/>
      <c r="Q55" s="6"/>
      <c r="R55" s="6"/>
      <c r="S55" s="6"/>
      <c r="T55" s="6"/>
      <c r="U55" s="6"/>
      <c r="V55" s="6"/>
      <c r="W55" s="6"/>
      <c r="X55" s="6"/>
      <c r="Y55" s="6"/>
    </row>
    <row r="56" spans="1:25" ht="12.75" x14ac:dyDescent="0.2">
      <c r="A56" s="10"/>
      <c r="B56" s="1"/>
      <c r="D56" s="6"/>
      <c r="E56" s="9"/>
      <c r="F56" s="9"/>
      <c r="G56" s="11"/>
      <c r="H56" s="5"/>
      <c r="I56" s="6"/>
      <c r="K56" s="6"/>
      <c r="L56" s="6"/>
      <c r="M56" s="6"/>
      <c r="N56" s="6"/>
      <c r="O56" s="6"/>
      <c r="P56" s="6"/>
      <c r="Q56" s="6"/>
      <c r="R56" s="6"/>
      <c r="S56" s="6"/>
      <c r="T56" s="6"/>
      <c r="U56" s="6"/>
      <c r="V56" s="6"/>
      <c r="W56" s="6"/>
      <c r="X56" s="6"/>
      <c r="Y56" s="6"/>
    </row>
    <row r="57" spans="1:25" ht="12.75" x14ac:dyDescent="0.2">
      <c r="A57" s="10"/>
      <c r="B57" s="6"/>
      <c r="C57" s="6"/>
      <c r="D57" s="6"/>
      <c r="E57" s="9"/>
      <c r="F57" s="9"/>
      <c r="G57" s="11"/>
      <c r="H57" s="5"/>
      <c r="I57" s="6"/>
      <c r="J57" s="6"/>
      <c r="K57" s="6"/>
      <c r="L57" s="6"/>
      <c r="M57" s="6"/>
      <c r="N57" s="6"/>
      <c r="O57" s="6"/>
      <c r="P57" s="6"/>
      <c r="Q57" s="6"/>
      <c r="R57" s="6"/>
      <c r="S57" s="6"/>
      <c r="T57" s="6"/>
      <c r="U57" s="6"/>
      <c r="V57" s="6"/>
      <c r="W57" s="6"/>
      <c r="X57" s="6"/>
      <c r="Y57" s="6"/>
    </row>
    <row r="58" spans="1:25" ht="12.75" x14ac:dyDescent="0.2">
      <c r="A58" s="10"/>
      <c r="B58" s="6"/>
      <c r="C58" s="6"/>
      <c r="D58" s="6"/>
      <c r="E58" s="9"/>
      <c r="F58" s="9"/>
      <c r="G58" s="11"/>
      <c r="H58" s="5"/>
      <c r="I58" s="6"/>
      <c r="J58" s="6"/>
      <c r="K58" s="6"/>
      <c r="L58" s="6"/>
      <c r="M58" s="6"/>
      <c r="N58" s="6"/>
      <c r="O58" s="6"/>
      <c r="P58" s="6"/>
      <c r="Q58" s="6"/>
      <c r="R58" s="6"/>
      <c r="S58" s="6"/>
      <c r="T58" s="6"/>
      <c r="U58" s="6"/>
      <c r="V58" s="6"/>
      <c r="W58" s="6"/>
      <c r="X58" s="6"/>
      <c r="Y58" s="6"/>
    </row>
    <row r="59" spans="1:25" ht="12.75" x14ac:dyDescent="0.2">
      <c r="A59" s="10"/>
      <c r="B59" s="6"/>
      <c r="C59" s="6"/>
      <c r="D59" s="6"/>
      <c r="E59" s="9"/>
      <c r="F59" s="9"/>
      <c r="G59" s="11"/>
      <c r="H59" s="5"/>
      <c r="I59" s="6"/>
      <c r="J59" s="6"/>
      <c r="K59" s="6"/>
      <c r="L59" s="6"/>
      <c r="M59" s="6"/>
      <c r="N59" s="6"/>
      <c r="O59" s="6"/>
      <c r="P59" s="6"/>
      <c r="Q59" s="6"/>
      <c r="R59" s="6"/>
      <c r="S59" s="6"/>
      <c r="T59" s="6"/>
      <c r="U59" s="6"/>
      <c r="V59" s="6"/>
      <c r="W59" s="6"/>
      <c r="X59" s="6"/>
      <c r="Y59" s="6"/>
    </row>
    <row r="60" spans="1:25" ht="12.75" x14ac:dyDescent="0.2">
      <c r="A60" s="10"/>
      <c r="B60" s="6"/>
      <c r="C60" s="6"/>
      <c r="D60" s="6"/>
      <c r="E60" s="9"/>
      <c r="F60" s="9"/>
      <c r="G60" s="11"/>
      <c r="H60" s="5"/>
      <c r="I60" s="6"/>
      <c r="J60" s="6"/>
      <c r="K60" s="6"/>
      <c r="L60" s="6"/>
      <c r="M60" s="6"/>
      <c r="N60" s="6"/>
      <c r="O60" s="6"/>
      <c r="P60" s="6"/>
      <c r="Q60" s="6"/>
      <c r="R60" s="6"/>
      <c r="S60" s="6"/>
      <c r="T60" s="6"/>
      <c r="U60" s="6"/>
      <c r="V60" s="6"/>
      <c r="W60" s="6"/>
      <c r="X60" s="6"/>
      <c r="Y60" s="6"/>
    </row>
    <row r="61" spans="1:25" ht="12.75" x14ac:dyDescent="0.2">
      <c r="A61" s="10"/>
      <c r="B61" s="6"/>
      <c r="C61" s="6"/>
      <c r="D61" s="6"/>
      <c r="E61" s="9"/>
      <c r="F61" s="9"/>
      <c r="G61" s="11"/>
      <c r="H61" s="5"/>
      <c r="I61" s="6"/>
      <c r="J61" s="6"/>
      <c r="K61" s="6"/>
      <c r="L61" s="6"/>
      <c r="M61" s="6"/>
      <c r="N61" s="6"/>
      <c r="O61" s="6"/>
      <c r="P61" s="6"/>
      <c r="Q61" s="6"/>
      <c r="R61" s="6"/>
      <c r="S61" s="6"/>
      <c r="T61" s="6"/>
      <c r="U61" s="6"/>
      <c r="V61" s="6"/>
      <c r="W61" s="6"/>
      <c r="X61" s="6"/>
      <c r="Y61" s="6"/>
    </row>
    <row r="62" spans="1:25" ht="12.75" x14ac:dyDescent="0.2">
      <c r="A62" s="10"/>
      <c r="B62" s="6"/>
      <c r="C62" s="6"/>
      <c r="D62" s="6"/>
      <c r="E62" s="9"/>
      <c r="F62" s="9"/>
      <c r="G62" s="11"/>
      <c r="H62" s="5"/>
      <c r="I62" s="6"/>
      <c r="J62" s="6"/>
      <c r="K62" s="6"/>
      <c r="L62" s="6"/>
      <c r="M62" s="6"/>
      <c r="N62" s="6"/>
      <c r="O62" s="6"/>
      <c r="P62" s="6"/>
      <c r="Q62" s="6"/>
      <c r="R62" s="6"/>
      <c r="S62" s="6"/>
      <c r="T62" s="6"/>
      <c r="U62" s="6"/>
      <c r="V62" s="6"/>
      <c r="W62" s="6"/>
      <c r="X62" s="6"/>
      <c r="Y62" s="6"/>
    </row>
    <row r="63" spans="1:25" ht="12.75" x14ac:dyDescent="0.2">
      <c r="A63" s="10"/>
      <c r="B63" s="6"/>
      <c r="C63" s="6"/>
      <c r="D63" s="6"/>
      <c r="E63" s="9"/>
      <c r="F63" s="9"/>
      <c r="G63" s="11"/>
      <c r="H63" s="5"/>
      <c r="I63" s="6"/>
      <c r="J63" s="6"/>
      <c r="K63" s="6"/>
      <c r="L63" s="6"/>
      <c r="M63" s="6"/>
      <c r="N63" s="6"/>
      <c r="O63" s="6"/>
      <c r="P63" s="6"/>
      <c r="Q63" s="6"/>
      <c r="R63" s="6"/>
      <c r="S63" s="6"/>
      <c r="T63" s="6"/>
      <c r="U63" s="6"/>
      <c r="V63" s="6"/>
      <c r="W63" s="6"/>
      <c r="X63" s="6"/>
      <c r="Y63" s="6"/>
    </row>
    <row r="64" spans="1:25" ht="12.75" x14ac:dyDescent="0.2">
      <c r="A64" s="10"/>
      <c r="B64" s="6"/>
      <c r="C64" s="6"/>
      <c r="D64" s="6"/>
      <c r="E64" s="9"/>
      <c r="F64" s="9"/>
      <c r="G64" s="11"/>
      <c r="H64" s="5"/>
      <c r="I64" s="6"/>
      <c r="J64" s="6"/>
      <c r="K64" s="6"/>
      <c r="L64" s="6"/>
      <c r="M64" s="6"/>
      <c r="N64" s="6"/>
      <c r="O64" s="6"/>
      <c r="P64" s="6"/>
      <c r="Q64" s="6"/>
      <c r="R64" s="6"/>
      <c r="S64" s="6"/>
      <c r="T64" s="6"/>
      <c r="U64" s="6"/>
      <c r="V64" s="6"/>
      <c r="W64" s="6"/>
      <c r="X64" s="6"/>
      <c r="Y64" s="6"/>
    </row>
    <row r="65" spans="1:25" ht="12.75" x14ac:dyDescent="0.2">
      <c r="A65" s="10"/>
      <c r="B65" s="6"/>
      <c r="C65" s="6"/>
      <c r="D65" s="6"/>
      <c r="E65" s="9"/>
      <c r="F65" s="9"/>
      <c r="G65" s="11"/>
      <c r="H65" s="5"/>
      <c r="I65" s="6"/>
      <c r="J65" s="6"/>
      <c r="K65" s="6"/>
      <c r="L65" s="6"/>
      <c r="M65" s="6"/>
      <c r="N65" s="6"/>
      <c r="O65" s="6"/>
      <c r="P65" s="6"/>
      <c r="Q65" s="6"/>
      <c r="R65" s="6"/>
      <c r="S65" s="6"/>
      <c r="T65" s="6"/>
      <c r="U65" s="6"/>
      <c r="V65" s="6"/>
      <c r="W65" s="6"/>
      <c r="X65" s="6"/>
      <c r="Y65" s="6"/>
    </row>
    <row r="66" spans="1:25" ht="12.75" x14ac:dyDescent="0.2">
      <c r="A66" s="10"/>
      <c r="B66" s="6"/>
      <c r="C66" s="6"/>
      <c r="D66" s="6"/>
      <c r="E66" s="9"/>
      <c r="F66" s="9"/>
      <c r="G66" s="11"/>
      <c r="H66" s="5"/>
      <c r="I66" s="6"/>
      <c r="J66" s="6"/>
      <c r="K66" s="6"/>
      <c r="L66" s="6"/>
      <c r="M66" s="6"/>
      <c r="N66" s="6"/>
      <c r="O66" s="6"/>
      <c r="P66" s="6"/>
      <c r="Q66" s="6"/>
      <c r="R66" s="6"/>
      <c r="S66" s="6"/>
      <c r="T66" s="6"/>
      <c r="U66" s="6"/>
      <c r="V66" s="6"/>
      <c r="W66" s="6"/>
      <c r="X66" s="6"/>
      <c r="Y66" s="6"/>
    </row>
    <row r="67" spans="1:25" ht="12.75" x14ac:dyDescent="0.2">
      <c r="A67" s="10"/>
      <c r="B67" s="6"/>
      <c r="C67" s="6"/>
      <c r="D67" s="6"/>
      <c r="E67" s="9"/>
      <c r="F67" s="9"/>
      <c r="G67" s="11"/>
      <c r="H67" s="5"/>
      <c r="I67" s="6"/>
      <c r="J67" s="6"/>
      <c r="K67" s="6"/>
      <c r="L67" s="6"/>
      <c r="M67" s="6"/>
      <c r="N67" s="6"/>
      <c r="O67" s="6"/>
      <c r="P67" s="6"/>
      <c r="Q67" s="6"/>
      <c r="R67" s="6"/>
      <c r="S67" s="6"/>
      <c r="T67" s="6"/>
      <c r="U67" s="6"/>
      <c r="V67" s="6"/>
      <c r="W67" s="6"/>
      <c r="X67" s="6"/>
      <c r="Y67" s="6"/>
    </row>
    <row r="68" spans="1:25" ht="12.75" x14ac:dyDescent="0.2">
      <c r="A68" s="10"/>
      <c r="B68" s="6"/>
      <c r="C68" s="6"/>
      <c r="D68" s="6"/>
      <c r="E68" s="9"/>
      <c r="F68" s="9"/>
      <c r="G68" s="11"/>
      <c r="H68" s="5"/>
      <c r="I68" s="6"/>
      <c r="J68" s="6"/>
      <c r="K68" s="9"/>
      <c r="L68" s="9"/>
      <c r="M68" s="9"/>
      <c r="N68" s="6"/>
      <c r="O68" s="6"/>
      <c r="P68" s="6"/>
      <c r="Q68" s="6"/>
      <c r="R68" s="6"/>
      <c r="S68" s="5"/>
      <c r="T68" s="5"/>
      <c r="U68" s="5"/>
      <c r="V68" s="5"/>
      <c r="W68" s="9"/>
      <c r="X68" s="5"/>
      <c r="Y68" s="5"/>
    </row>
    <row r="69" spans="1:25" ht="12.75" x14ac:dyDescent="0.2">
      <c r="A69" s="10"/>
      <c r="B69" s="6"/>
      <c r="C69" s="6"/>
      <c r="D69" s="6"/>
      <c r="E69" s="9"/>
      <c r="F69" s="9"/>
      <c r="G69" s="11"/>
      <c r="H69" s="5"/>
      <c r="I69" s="6"/>
      <c r="J69" s="6"/>
      <c r="K69" s="6"/>
      <c r="L69" s="6"/>
      <c r="M69" s="6"/>
      <c r="N69" s="6"/>
      <c r="O69" s="6"/>
      <c r="P69" s="6"/>
      <c r="Q69" s="6"/>
      <c r="R69" s="6"/>
      <c r="S69" s="6"/>
      <c r="T69" s="6"/>
      <c r="U69" s="6"/>
      <c r="V69" s="6"/>
      <c r="W69" s="6"/>
      <c r="X69" s="6"/>
      <c r="Y69" s="6"/>
    </row>
    <row r="70" spans="1:25" ht="12.75" x14ac:dyDescent="0.2">
      <c r="A70" s="10"/>
      <c r="B70" s="6"/>
      <c r="C70" s="6"/>
      <c r="D70" s="6"/>
      <c r="E70" s="9"/>
      <c r="F70" s="9"/>
      <c r="G70" s="11"/>
      <c r="H70" s="5"/>
      <c r="I70" s="6"/>
      <c r="J70" s="6"/>
      <c r="K70" s="6"/>
      <c r="L70" s="6"/>
      <c r="M70" s="6"/>
      <c r="N70" s="6"/>
      <c r="O70" s="6"/>
      <c r="P70" s="6"/>
      <c r="Q70" s="6"/>
      <c r="R70" s="5"/>
      <c r="S70" s="6"/>
      <c r="T70" s="6"/>
      <c r="U70" s="6"/>
      <c r="V70" s="6"/>
      <c r="W70" s="6"/>
      <c r="X70" s="6"/>
      <c r="Y70" s="6"/>
    </row>
    <row r="71" spans="1:25" ht="12.75" x14ac:dyDescent="0.2">
      <c r="A71" s="10"/>
      <c r="B71" s="6"/>
      <c r="C71" s="6"/>
      <c r="D71" s="6"/>
      <c r="E71" s="9"/>
      <c r="F71" s="9"/>
      <c r="G71" s="11"/>
      <c r="H71" s="5"/>
      <c r="I71" s="6"/>
      <c r="J71" s="6"/>
      <c r="K71" s="6"/>
      <c r="L71" s="6"/>
      <c r="M71" s="6"/>
      <c r="N71" s="9"/>
      <c r="O71" s="9"/>
      <c r="P71" s="9"/>
      <c r="Q71" s="9"/>
      <c r="R71" s="6"/>
      <c r="S71" s="6"/>
      <c r="T71" s="6"/>
      <c r="U71" s="6"/>
      <c r="V71" s="6"/>
      <c r="W71" s="6"/>
      <c r="X71" s="6"/>
      <c r="Y71" s="6"/>
    </row>
    <row r="72" spans="1:25" ht="12.75" x14ac:dyDescent="0.2">
      <c r="A72" s="10"/>
      <c r="B72" s="6"/>
      <c r="C72" s="6"/>
      <c r="D72" s="6"/>
      <c r="E72" s="9"/>
      <c r="F72" s="9"/>
      <c r="G72" s="11"/>
      <c r="H72" s="5"/>
      <c r="I72" s="6"/>
      <c r="J72" s="6"/>
      <c r="K72" s="6"/>
      <c r="L72" s="6"/>
      <c r="M72" s="6"/>
      <c r="N72" s="6"/>
      <c r="O72" s="6"/>
      <c r="P72" s="6"/>
      <c r="Q72" s="6"/>
      <c r="R72" s="6"/>
      <c r="S72" s="6"/>
      <c r="T72" s="6"/>
      <c r="U72" s="6"/>
      <c r="V72" s="6"/>
      <c r="W72" s="6"/>
      <c r="X72" s="6"/>
      <c r="Y72" s="6"/>
    </row>
    <row r="73" spans="1:25" ht="12.75" x14ac:dyDescent="0.2">
      <c r="A73" s="10"/>
      <c r="B73" s="6"/>
      <c r="C73" s="6"/>
      <c r="D73" s="6"/>
      <c r="E73" s="9"/>
      <c r="F73" s="9"/>
      <c r="G73" s="11"/>
      <c r="H73" s="5"/>
      <c r="I73" s="6"/>
      <c r="J73" s="6"/>
      <c r="K73" s="6"/>
      <c r="L73" s="6"/>
      <c r="M73" s="6"/>
      <c r="N73" s="6"/>
      <c r="O73" s="6"/>
      <c r="P73" s="6"/>
      <c r="Q73" s="6"/>
      <c r="R73" s="6"/>
      <c r="S73" s="6"/>
      <c r="T73" s="6"/>
      <c r="U73" s="6"/>
      <c r="V73" s="6"/>
      <c r="W73" s="6"/>
      <c r="X73" s="6"/>
      <c r="Y73" s="6"/>
    </row>
    <row r="74" spans="1:25" ht="12.75" x14ac:dyDescent="0.2">
      <c r="B74" s="6"/>
      <c r="C74" s="6"/>
      <c r="D74" s="6"/>
      <c r="E74" s="9"/>
      <c r="F74" s="9"/>
      <c r="G74" s="11"/>
      <c r="H74" s="5"/>
      <c r="I74" s="6"/>
      <c r="J74" s="6"/>
      <c r="K74" s="6"/>
      <c r="L74" s="6"/>
      <c r="M74" s="6"/>
      <c r="N74" s="6"/>
      <c r="O74" s="6"/>
      <c r="P74" s="6"/>
      <c r="Q74" s="6"/>
      <c r="R74" s="6"/>
      <c r="S74" s="6"/>
      <c r="T74" s="6"/>
      <c r="U74" s="6"/>
      <c r="V74" s="6"/>
      <c r="W74" s="6"/>
      <c r="X74" s="6"/>
      <c r="Y74" s="6"/>
    </row>
    <row r="75" spans="1:25" ht="12.75" x14ac:dyDescent="0.2">
      <c r="B75" s="6"/>
      <c r="C75" s="6"/>
      <c r="D75" s="6"/>
      <c r="E75" s="9"/>
      <c r="F75" s="9"/>
      <c r="G75" s="11"/>
      <c r="H75" s="5"/>
      <c r="K75" s="6"/>
      <c r="L75" s="6"/>
      <c r="M75" s="6"/>
      <c r="N75" s="6"/>
      <c r="O75" s="6"/>
      <c r="P75" s="6"/>
      <c r="Q75" s="6"/>
      <c r="R75" s="6"/>
      <c r="S75" s="6"/>
      <c r="T75" s="6"/>
      <c r="U75" s="6"/>
      <c r="V75" s="6"/>
      <c r="W75" s="6"/>
      <c r="X75" s="6"/>
      <c r="Y75" s="6"/>
    </row>
    <row r="76" spans="1:25" ht="12.75" x14ac:dyDescent="0.2">
      <c r="A76" s="10"/>
      <c r="B76" s="6"/>
      <c r="C76" s="6"/>
      <c r="D76" s="6"/>
      <c r="E76" s="9"/>
      <c r="F76" s="9"/>
      <c r="G76" s="11"/>
      <c r="H76" s="5"/>
      <c r="I76" s="6"/>
      <c r="J76" s="6"/>
      <c r="K76" s="6"/>
      <c r="L76" s="6"/>
      <c r="M76" s="6"/>
      <c r="N76" s="6"/>
      <c r="O76" s="6"/>
      <c r="P76" s="6"/>
      <c r="Q76" s="6"/>
      <c r="R76" s="6"/>
      <c r="S76" s="6"/>
      <c r="T76" s="6"/>
      <c r="U76" s="6"/>
      <c r="V76" s="6"/>
      <c r="W76" s="6"/>
      <c r="X76" s="6"/>
      <c r="Y76" s="6"/>
    </row>
    <row r="77" spans="1:25" ht="12.75" x14ac:dyDescent="0.2">
      <c r="A77" s="10"/>
      <c r="B77" s="6"/>
      <c r="C77" s="6"/>
      <c r="D77" s="6"/>
      <c r="E77" s="9"/>
      <c r="F77" s="9"/>
      <c r="G77" s="11"/>
      <c r="H77" s="5"/>
      <c r="I77" s="6"/>
      <c r="J77" s="6"/>
      <c r="K77" s="6"/>
      <c r="L77" s="6"/>
      <c r="M77" s="6"/>
      <c r="N77" s="6"/>
      <c r="O77" s="6"/>
      <c r="P77" s="6"/>
      <c r="Q77" s="6"/>
      <c r="R77" s="6"/>
      <c r="S77" s="6"/>
      <c r="T77" s="6"/>
      <c r="U77" s="6"/>
      <c r="V77" s="6"/>
      <c r="W77" s="6"/>
      <c r="X77" s="6"/>
      <c r="Y77" s="6"/>
    </row>
    <row r="78" spans="1:25" ht="12.75" x14ac:dyDescent="0.2">
      <c r="A78" s="10"/>
      <c r="B78" s="6"/>
      <c r="C78" s="6"/>
      <c r="D78" s="6"/>
      <c r="E78" s="9"/>
      <c r="F78" s="9"/>
      <c r="G78" s="11"/>
      <c r="H78" s="5"/>
      <c r="I78" s="6"/>
      <c r="J78" s="6"/>
      <c r="K78" s="6"/>
      <c r="L78" s="6"/>
      <c r="M78" s="6"/>
      <c r="N78" s="6"/>
      <c r="O78" s="6"/>
      <c r="P78" s="6"/>
      <c r="Q78" s="6"/>
      <c r="R78" s="6"/>
      <c r="S78" s="6"/>
      <c r="T78" s="6"/>
      <c r="U78" s="6"/>
      <c r="V78" s="6"/>
      <c r="W78" s="6"/>
      <c r="X78" s="6"/>
      <c r="Y78" s="6"/>
    </row>
    <row r="79" spans="1:25" ht="12.75" x14ac:dyDescent="0.2">
      <c r="A79" s="10"/>
      <c r="B79" s="6"/>
      <c r="C79" s="6"/>
      <c r="D79" s="6"/>
      <c r="E79" s="9"/>
      <c r="F79" s="9"/>
      <c r="G79" s="11"/>
      <c r="H79" s="5"/>
      <c r="I79" s="6"/>
      <c r="J79" s="6"/>
      <c r="K79" s="6"/>
      <c r="L79" s="6"/>
      <c r="M79" s="6"/>
      <c r="N79" s="6"/>
      <c r="O79" s="6"/>
      <c r="P79" s="6"/>
      <c r="Q79" s="6"/>
      <c r="R79" s="6"/>
      <c r="S79" s="6"/>
      <c r="T79" s="6"/>
      <c r="U79" s="6"/>
      <c r="V79" s="6"/>
      <c r="W79" s="6"/>
      <c r="X79" s="6"/>
      <c r="Y79" s="6"/>
    </row>
    <row r="80" spans="1:25" ht="12.75" x14ac:dyDescent="0.2">
      <c r="A80" s="10"/>
      <c r="B80" s="6"/>
      <c r="C80" s="6"/>
      <c r="D80" s="6"/>
      <c r="E80" s="9"/>
      <c r="F80" s="9"/>
      <c r="G80" s="11"/>
      <c r="H80" s="5"/>
      <c r="I80" s="6"/>
      <c r="J80" s="6"/>
      <c r="K80" s="6"/>
      <c r="L80" s="6"/>
      <c r="M80" s="6"/>
      <c r="N80" s="6"/>
      <c r="O80" s="6"/>
      <c r="P80" s="6"/>
      <c r="Q80" s="6"/>
      <c r="R80" s="6"/>
      <c r="S80" s="6"/>
      <c r="T80" s="6"/>
      <c r="U80" s="6"/>
      <c r="V80" s="6"/>
      <c r="W80" s="6"/>
      <c r="X80" s="6"/>
      <c r="Y80" s="6"/>
    </row>
    <row r="81" spans="1:25" ht="12.75" x14ac:dyDescent="0.2">
      <c r="A81" s="10"/>
      <c r="B81" s="6"/>
      <c r="C81" s="6"/>
      <c r="D81" s="6"/>
      <c r="E81" s="9"/>
      <c r="F81" s="9"/>
      <c r="G81" s="11"/>
      <c r="H81" s="5"/>
      <c r="I81" s="6"/>
      <c r="J81" s="6"/>
      <c r="K81" s="6"/>
      <c r="L81" s="6"/>
      <c r="M81" s="6"/>
      <c r="N81" s="6"/>
      <c r="O81" s="6"/>
      <c r="P81" s="6"/>
      <c r="Q81" s="6"/>
      <c r="R81" s="6"/>
      <c r="S81" s="6"/>
      <c r="T81" s="6"/>
      <c r="U81" s="6"/>
      <c r="V81" s="6"/>
      <c r="W81" s="6"/>
      <c r="X81" s="6"/>
      <c r="Y81" s="6"/>
    </row>
    <row r="82" spans="1:25" ht="12.75" x14ac:dyDescent="0.2">
      <c r="A82" s="10"/>
      <c r="B82" s="6"/>
      <c r="C82" s="6"/>
      <c r="D82" s="6"/>
      <c r="E82" s="9"/>
      <c r="F82" s="9"/>
      <c r="G82" s="11"/>
      <c r="H82" s="5"/>
      <c r="I82" s="6"/>
      <c r="J82" s="6"/>
      <c r="K82" s="6"/>
      <c r="L82" s="6"/>
      <c r="M82" s="6"/>
      <c r="N82" s="6"/>
      <c r="O82" s="6"/>
      <c r="P82" s="6"/>
      <c r="Q82" s="6"/>
      <c r="R82" s="6"/>
      <c r="S82" s="6"/>
      <c r="T82" s="6"/>
      <c r="U82" s="6"/>
      <c r="V82" s="6"/>
      <c r="W82" s="6"/>
      <c r="X82" s="6"/>
      <c r="Y82" s="6"/>
    </row>
    <row r="83" spans="1:25" ht="12.75" x14ac:dyDescent="0.2">
      <c r="A83" s="10"/>
      <c r="B83" s="6"/>
      <c r="C83" s="6"/>
      <c r="D83" s="6"/>
      <c r="E83" s="9"/>
      <c r="F83" s="9"/>
      <c r="G83" s="11"/>
      <c r="H83" s="5"/>
      <c r="I83" s="6"/>
      <c r="J83" s="6"/>
      <c r="K83" s="6"/>
      <c r="L83" s="6"/>
      <c r="M83" s="6"/>
      <c r="N83" s="6"/>
      <c r="O83" s="6"/>
      <c r="P83" s="6"/>
      <c r="Q83" s="6"/>
      <c r="R83" s="6"/>
      <c r="S83" s="6"/>
      <c r="T83" s="6"/>
      <c r="U83" s="6"/>
      <c r="V83" s="6"/>
      <c r="W83" s="6"/>
      <c r="X83" s="6"/>
      <c r="Y83" s="6"/>
    </row>
    <row r="84" spans="1:25" ht="12.75" x14ac:dyDescent="0.2">
      <c r="A84" s="10"/>
      <c r="B84" s="6"/>
      <c r="C84" s="6"/>
      <c r="D84" s="6"/>
      <c r="E84" s="9"/>
      <c r="F84" s="9"/>
      <c r="G84" s="11"/>
      <c r="H84" s="5"/>
      <c r="I84" s="6"/>
      <c r="J84" s="6"/>
      <c r="K84" s="6"/>
      <c r="L84" s="6"/>
      <c r="M84" s="6"/>
      <c r="N84" s="6"/>
      <c r="O84" s="6"/>
      <c r="P84" s="6"/>
      <c r="Q84" s="6"/>
      <c r="R84" s="6"/>
      <c r="S84" s="6"/>
      <c r="T84" s="6"/>
      <c r="U84" s="6"/>
      <c r="V84" s="6"/>
      <c r="W84" s="6"/>
      <c r="X84" s="6"/>
      <c r="Y84" s="6"/>
    </row>
    <row r="85" spans="1:25" ht="12.75" x14ac:dyDescent="0.2">
      <c r="A85" s="10"/>
      <c r="B85" s="6"/>
      <c r="C85" s="6"/>
      <c r="D85" s="6"/>
      <c r="E85" s="9"/>
      <c r="F85" s="9"/>
      <c r="G85" s="11"/>
      <c r="H85" s="5"/>
      <c r="I85" s="6"/>
      <c r="J85" s="6"/>
      <c r="K85" s="9"/>
      <c r="L85" s="9"/>
      <c r="M85" s="9"/>
      <c r="N85" s="6"/>
      <c r="O85" s="6"/>
      <c r="P85" s="6"/>
      <c r="Q85" s="6"/>
      <c r="R85" s="6"/>
      <c r="S85" s="5"/>
      <c r="T85" s="5"/>
      <c r="U85" s="5"/>
      <c r="V85" s="5"/>
      <c r="W85" s="9"/>
      <c r="X85" s="5"/>
      <c r="Y85" s="5"/>
    </row>
    <row r="86" spans="1:25" ht="12.75" x14ac:dyDescent="0.2">
      <c r="A86" s="10"/>
      <c r="B86" s="6"/>
      <c r="C86" s="6"/>
      <c r="D86" s="6"/>
      <c r="E86" s="9"/>
      <c r="F86" s="9"/>
      <c r="G86" s="11"/>
      <c r="H86" s="5"/>
      <c r="I86" s="6"/>
      <c r="J86" s="6"/>
      <c r="K86" s="6"/>
      <c r="L86" s="6"/>
      <c r="M86" s="6"/>
      <c r="N86" s="6"/>
      <c r="O86" s="6"/>
      <c r="P86" s="6"/>
      <c r="Q86" s="6"/>
      <c r="R86" s="6"/>
      <c r="S86" s="6"/>
      <c r="T86" s="6"/>
      <c r="U86" s="6"/>
      <c r="V86" s="6"/>
      <c r="W86" s="6"/>
      <c r="X86" s="6"/>
      <c r="Y86" s="6"/>
    </row>
    <row r="87" spans="1:25" ht="12.75" x14ac:dyDescent="0.2">
      <c r="A87" s="10"/>
      <c r="B87" s="6"/>
      <c r="C87" s="6"/>
      <c r="D87" s="6"/>
      <c r="E87" s="9"/>
      <c r="F87" s="9"/>
      <c r="G87" s="11"/>
      <c r="H87" s="5"/>
      <c r="I87" s="6"/>
      <c r="J87" s="6"/>
      <c r="K87" s="6"/>
      <c r="L87" s="6"/>
      <c r="M87" s="6"/>
      <c r="N87" s="6"/>
      <c r="O87" s="6"/>
      <c r="P87" s="6"/>
      <c r="Q87" s="6"/>
      <c r="R87" s="5"/>
      <c r="S87" s="6"/>
      <c r="T87" s="6"/>
      <c r="U87" s="6"/>
      <c r="V87" s="6"/>
      <c r="W87" s="6"/>
      <c r="X87" s="6"/>
      <c r="Y87" s="6"/>
    </row>
    <row r="88" spans="1:25" ht="12.75" x14ac:dyDescent="0.2">
      <c r="A88" s="10"/>
      <c r="B88" s="6"/>
      <c r="C88" s="6"/>
      <c r="D88" s="6"/>
      <c r="E88" s="9"/>
      <c r="F88" s="9"/>
      <c r="G88" s="11"/>
      <c r="H88" s="5"/>
      <c r="I88" s="6"/>
      <c r="J88" s="6"/>
      <c r="K88" s="6"/>
      <c r="L88" s="6"/>
      <c r="M88" s="6"/>
      <c r="N88" s="9"/>
      <c r="O88" s="9"/>
      <c r="P88" s="9"/>
      <c r="Q88" s="9"/>
      <c r="R88" s="6"/>
      <c r="S88" s="6"/>
      <c r="T88" s="6"/>
      <c r="U88" s="6"/>
      <c r="V88" s="6"/>
      <c r="W88" s="6"/>
      <c r="X88" s="6"/>
      <c r="Y88" s="6"/>
    </row>
    <row r="89" spans="1:25" ht="12.75" x14ac:dyDescent="0.2">
      <c r="A89" s="10"/>
      <c r="B89" s="6"/>
      <c r="C89" s="6"/>
      <c r="D89" s="6"/>
      <c r="E89" s="9"/>
      <c r="F89" s="9"/>
      <c r="G89" s="11"/>
      <c r="H89" s="5"/>
      <c r="I89" s="6"/>
      <c r="J89" s="6"/>
      <c r="K89" s="6"/>
      <c r="L89" s="6"/>
      <c r="M89" s="6"/>
      <c r="N89" s="6"/>
      <c r="O89" s="6"/>
      <c r="P89" s="6"/>
      <c r="Q89" s="6"/>
      <c r="R89" s="6"/>
      <c r="S89" s="6"/>
      <c r="T89" s="6"/>
      <c r="U89" s="6"/>
      <c r="V89" s="6"/>
      <c r="W89" s="6"/>
      <c r="X89" s="6"/>
      <c r="Y89" s="6"/>
    </row>
    <row r="90" spans="1:25" ht="12.75" x14ac:dyDescent="0.2">
      <c r="A90" s="10"/>
      <c r="B90" s="6"/>
      <c r="C90" s="6"/>
      <c r="D90" s="6"/>
      <c r="E90" s="9"/>
      <c r="F90" s="9"/>
      <c r="G90" s="11"/>
      <c r="H90" s="5"/>
      <c r="I90" s="6"/>
      <c r="J90" s="6"/>
      <c r="K90" s="6"/>
      <c r="L90" s="6"/>
      <c r="M90" s="6"/>
      <c r="N90" s="6"/>
      <c r="O90" s="6"/>
      <c r="P90" s="6"/>
      <c r="Q90" s="6"/>
      <c r="R90" s="6"/>
      <c r="S90" s="6"/>
      <c r="T90" s="6"/>
      <c r="U90" s="6"/>
      <c r="V90" s="6"/>
      <c r="W90" s="6"/>
      <c r="X90" s="6"/>
      <c r="Y90" s="6"/>
    </row>
    <row r="91" spans="1:25" ht="12.75" x14ac:dyDescent="0.2">
      <c r="B91" s="6"/>
      <c r="C91" s="6"/>
      <c r="D91" s="6"/>
      <c r="E91" s="9"/>
      <c r="F91" s="9"/>
      <c r="G91" s="11"/>
      <c r="H91" s="5"/>
      <c r="I91" s="6"/>
      <c r="J91" s="6"/>
      <c r="K91" s="6"/>
      <c r="L91" s="6"/>
      <c r="M91" s="6"/>
      <c r="N91" s="6"/>
      <c r="O91" s="6"/>
      <c r="P91" s="6"/>
      <c r="Q91" s="6"/>
      <c r="R91" s="6"/>
      <c r="S91" s="6"/>
      <c r="T91" s="6"/>
      <c r="U91" s="6"/>
      <c r="V91" s="6"/>
      <c r="W91" s="6"/>
      <c r="X91" s="6"/>
      <c r="Y91" s="6"/>
    </row>
    <row r="92" spans="1:25" ht="12.75" x14ac:dyDescent="0.2">
      <c r="A92" s="10"/>
      <c r="B92" s="6"/>
      <c r="C92" s="6"/>
      <c r="D92" s="6"/>
      <c r="E92" s="9"/>
      <c r="F92" s="9"/>
      <c r="G92" s="11"/>
      <c r="H92" s="5"/>
      <c r="I92" s="6"/>
      <c r="J92" s="6"/>
      <c r="K92" s="6"/>
      <c r="L92" s="6"/>
      <c r="M92" s="6"/>
      <c r="N92" s="6"/>
      <c r="O92" s="6"/>
      <c r="P92" s="6"/>
      <c r="Q92" s="6"/>
      <c r="R92" s="6"/>
      <c r="S92" s="6"/>
      <c r="T92" s="6"/>
      <c r="U92" s="6"/>
      <c r="V92" s="6"/>
      <c r="W92" s="6"/>
      <c r="X92" s="6"/>
      <c r="Y92" s="6"/>
    </row>
    <row r="93" spans="1:25" ht="12.75" x14ac:dyDescent="0.2">
      <c r="A93" s="10"/>
      <c r="B93" s="6"/>
      <c r="C93" s="6"/>
      <c r="D93" s="6"/>
      <c r="E93" s="9"/>
      <c r="F93" s="9"/>
      <c r="G93" s="11"/>
      <c r="H93" s="5"/>
      <c r="I93" s="6"/>
      <c r="J93" s="6"/>
      <c r="K93" s="6"/>
      <c r="L93" s="6"/>
      <c r="M93" s="6"/>
      <c r="N93" s="6"/>
      <c r="O93" s="6"/>
      <c r="P93" s="6"/>
      <c r="Q93" s="6"/>
      <c r="R93" s="6"/>
      <c r="S93" s="6"/>
      <c r="T93" s="6"/>
      <c r="U93" s="6"/>
      <c r="V93" s="6"/>
      <c r="W93" s="6"/>
      <c r="X93" s="6"/>
      <c r="Y93" s="6"/>
    </row>
    <row r="94" spans="1:25" ht="12.75" x14ac:dyDescent="0.2">
      <c r="A94" s="10"/>
      <c r="B94" s="6"/>
      <c r="C94" s="6"/>
      <c r="D94" s="6"/>
      <c r="E94" s="9"/>
      <c r="F94" s="9"/>
      <c r="G94" s="11"/>
      <c r="H94" s="5"/>
      <c r="I94" s="6"/>
      <c r="J94" s="6"/>
      <c r="K94" s="6"/>
      <c r="L94" s="6"/>
      <c r="M94" s="6"/>
      <c r="N94" s="6"/>
      <c r="O94" s="6"/>
      <c r="P94" s="6"/>
      <c r="Q94" s="6"/>
      <c r="R94" s="6"/>
      <c r="S94" s="6"/>
      <c r="T94" s="6"/>
      <c r="U94" s="6"/>
      <c r="V94" s="6"/>
      <c r="W94" s="6"/>
      <c r="X94" s="6"/>
      <c r="Y94" s="6"/>
    </row>
    <row r="95" spans="1:25" ht="12.75" x14ac:dyDescent="0.2">
      <c r="A95" s="10"/>
      <c r="B95" s="6"/>
      <c r="C95" s="6"/>
      <c r="D95" s="6"/>
      <c r="E95" s="9"/>
      <c r="F95" s="9"/>
      <c r="G95" s="11"/>
      <c r="H95" s="5"/>
      <c r="I95" s="6"/>
      <c r="J95" s="6"/>
      <c r="K95" s="6"/>
      <c r="L95" s="6"/>
      <c r="M95" s="6"/>
      <c r="N95" s="6"/>
      <c r="O95" s="6"/>
      <c r="P95" s="6"/>
      <c r="Q95" s="6"/>
      <c r="R95" s="6"/>
      <c r="S95" s="6"/>
      <c r="T95" s="6"/>
      <c r="U95" s="6"/>
      <c r="V95" s="6"/>
      <c r="W95" s="6"/>
      <c r="X95" s="6"/>
      <c r="Y95" s="6"/>
    </row>
    <row r="96" spans="1:25" ht="12.75" x14ac:dyDescent="0.2">
      <c r="A96" s="10"/>
      <c r="B96" s="6"/>
      <c r="C96" s="6"/>
      <c r="D96" s="6"/>
      <c r="E96" s="9"/>
      <c r="F96" s="9"/>
      <c r="G96" s="11"/>
      <c r="H96" s="5"/>
      <c r="I96" s="6"/>
      <c r="J96" s="6"/>
      <c r="K96" s="6"/>
      <c r="L96" s="6"/>
      <c r="M96" s="6"/>
      <c r="N96" s="6"/>
      <c r="O96" s="6"/>
      <c r="P96" s="6"/>
      <c r="Q96" s="6"/>
      <c r="R96" s="6"/>
      <c r="S96" s="6"/>
      <c r="T96" s="6"/>
      <c r="U96" s="6"/>
      <c r="V96" s="6"/>
      <c r="W96" s="6"/>
      <c r="X96" s="6"/>
      <c r="Y96" s="6"/>
    </row>
    <row r="97" spans="1:25" ht="12.75" x14ac:dyDescent="0.2">
      <c r="A97" s="10"/>
      <c r="B97" s="6"/>
      <c r="C97" s="6"/>
      <c r="D97" s="6"/>
      <c r="E97" s="9"/>
      <c r="F97" s="9"/>
      <c r="G97" s="11"/>
      <c r="H97" s="5"/>
      <c r="I97" s="6"/>
      <c r="J97" s="6"/>
      <c r="K97" s="6"/>
      <c r="L97" s="6"/>
      <c r="M97" s="6"/>
      <c r="N97" s="6"/>
      <c r="O97" s="6"/>
      <c r="P97" s="6"/>
      <c r="Q97" s="6"/>
      <c r="R97" s="6"/>
      <c r="S97" s="6"/>
      <c r="T97" s="6"/>
      <c r="U97" s="6"/>
      <c r="V97" s="6"/>
      <c r="W97" s="6"/>
      <c r="X97" s="6"/>
      <c r="Y97" s="6"/>
    </row>
    <row r="98" spans="1:25" ht="12.75" x14ac:dyDescent="0.2">
      <c r="A98" s="10"/>
      <c r="B98" s="6"/>
      <c r="C98" s="6"/>
      <c r="D98" s="6"/>
      <c r="E98" s="9"/>
      <c r="F98" s="9"/>
      <c r="G98" s="11"/>
      <c r="H98" s="5"/>
      <c r="I98" s="6"/>
      <c r="J98" s="6"/>
      <c r="K98" s="6"/>
      <c r="L98" s="6"/>
      <c r="M98" s="6"/>
      <c r="N98" s="6"/>
      <c r="O98" s="6"/>
      <c r="P98" s="6"/>
      <c r="Q98" s="6"/>
      <c r="R98" s="6"/>
      <c r="S98" s="6"/>
      <c r="T98" s="6"/>
      <c r="U98" s="6"/>
      <c r="V98" s="6"/>
      <c r="W98" s="6"/>
      <c r="X98" s="6"/>
      <c r="Y98" s="6"/>
    </row>
    <row r="99" spans="1:25" ht="12.75" x14ac:dyDescent="0.2">
      <c r="A99" s="10"/>
      <c r="B99" s="6"/>
      <c r="C99" s="6"/>
      <c r="D99" s="6"/>
      <c r="E99" s="9"/>
      <c r="F99" s="9"/>
      <c r="G99" s="11"/>
      <c r="H99" s="5"/>
      <c r="I99" s="6"/>
      <c r="J99" s="6"/>
      <c r="K99" s="6"/>
      <c r="L99" s="6"/>
      <c r="M99" s="6"/>
      <c r="N99" s="6"/>
      <c r="O99" s="6"/>
      <c r="P99" s="6"/>
      <c r="Q99" s="6"/>
      <c r="R99" s="6"/>
      <c r="S99" s="6"/>
      <c r="T99" s="6"/>
      <c r="U99" s="6"/>
      <c r="V99" s="6"/>
      <c r="W99" s="6"/>
      <c r="X99" s="6"/>
      <c r="Y99" s="6"/>
    </row>
    <row r="100" spans="1:25" ht="12.75" x14ac:dyDescent="0.2">
      <c r="A100" s="10"/>
      <c r="B100" s="6"/>
      <c r="C100" s="6"/>
      <c r="D100" s="6"/>
      <c r="E100" s="9"/>
      <c r="F100" s="9"/>
      <c r="G100" s="11"/>
      <c r="H100" s="5"/>
      <c r="I100" s="6"/>
      <c r="J100" s="6"/>
      <c r="K100" s="6"/>
      <c r="L100" s="6"/>
      <c r="M100" s="6"/>
      <c r="N100" s="6"/>
      <c r="O100" s="6"/>
      <c r="P100" s="6"/>
      <c r="Q100" s="6"/>
      <c r="R100" s="6"/>
      <c r="S100" s="6"/>
      <c r="T100" s="6"/>
      <c r="U100" s="6"/>
      <c r="V100" s="6"/>
      <c r="W100" s="6"/>
      <c r="X100" s="6"/>
      <c r="Y100" s="6"/>
    </row>
    <row r="101" spans="1:25" ht="12.75" x14ac:dyDescent="0.2">
      <c r="A101" s="10"/>
      <c r="B101" s="6"/>
      <c r="C101" s="6"/>
      <c r="D101" s="6"/>
      <c r="E101" s="9"/>
      <c r="F101" s="9"/>
      <c r="G101" s="11"/>
      <c r="H101" s="5"/>
      <c r="I101" s="6"/>
      <c r="J101" s="6"/>
      <c r="K101" s="6"/>
      <c r="L101" s="6"/>
      <c r="M101" s="6"/>
      <c r="N101" s="6"/>
      <c r="O101" s="6"/>
      <c r="P101" s="6"/>
      <c r="Q101" s="6"/>
      <c r="R101" s="6"/>
      <c r="S101" s="6"/>
      <c r="T101" s="6"/>
      <c r="U101" s="6"/>
      <c r="V101" s="6"/>
      <c r="W101" s="6"/>
      <c r="X101" s="6"/>
      <c r="Y101" s="6"/>
    </row>
    <row r="102" spans="1:25" ht="12.75" x14ac:dyDescent="0.2">
      <c r="A102" s="10"/>
      <c r="B102" s="6"/>
      <c r="C102" s="6"/>
      <c r="D102" s="6"/>
      <c r="E102" s="9"/>
      <c r="F102" s="9"/>
      <c r="G102" s="11"/>
      <c r="H102" s="5"/>
      <c r="I102" s="6"/>
      <c r="J102" s="6"/>
      <c r="N102" s="6"/>
      <c r="O102" s="6"/>
      <c r="P102" s="6"/>
      <c r="Q102" s="6"/>
      <c r="R102" s="6"/>
    </row>
    <row r="103" spans="1:25" ht="12.75" x14ac:dyDescent="0.2">
      <c r="A103" s="10"/>
      <c r="B103" s="6"/>
      <c r="C103" s="6"/>
      <c r="D103" s="6"/>
      <c r="E103" s="9"/>
      <c r="F103" s="9"/>
      <c r="G103" s="11"/>
      <c r="H103" s="5"/>
      <c r="I103" s="6"/>
      <c r="J103" s="6"/>
      <c r="K103" s="6"/>
      <c r="L103" s="6"/>
      <c r="M103" s="6"/>
      <c r="N103" s="6"/>
      <c r="O103" s="6"/>
      <c r="P103" s="6"/>
      <c r="Q103" s="6"/>
      <c r="R103" s="6"/>
      <c r="S103" s="6"/>
      <c r="T103" s="6"/>
      <c r="U103" s="6"/>
      <c r="V103" s="6"/>
      <c r="W103" s="6"/>
      <c r="X103" s="6"/>
      <c r="Y103" s="6"/>
    </row>
    <row r="104" spans="1:25" ht="12.75" x14ac:dyDescent="0.2">
      <c r="A104" s="10"/>
      <c r="B104" s="6"/>
      <c r="C104" s="6"/>
      <c r="D104" s="6"/>
      <c r="E104" s="9"/>
      <c r="F104" s="9"/>
      <c r="G104" s="11"/>
      <c r="H104" s="5"/>
      <c r="I104" s="6"/>
      <c r="J104" s="6"/>
      <c r="N104" s="6"/>
      <c r="O104" s="6"/>
      <c r="P104" s="6"/>
      <c r="Q104" s="6"/>
    </row>
    <row r="105" spans="1:25" ht="12.75" x14ac:dyDescent="0.2">
      <c r="A105" s="10"/>
      <c r="B105" s="6"/>
      <c r="C105" s="6"/>
      <c r="D105" s="6"/>
      <c r="E105" s="9"/>
      <c r="F105" s="9"/>
      <c r="G105" s="11"/>
      <c r="H105" s="5"/>
      <c r="I105" s="6"/>
      <c r="J105" s="6"/>
      <c r="K105" s="6"/>
      <c r="L105" s="6"/>
      <c r="M105" s="6"/>
      <c r="R105" s="6"/>
      <c r="S105" s="6"/>
      <c r="T105" s="6"/>
      <c r="U105" s="6"/>
      <c r="V105" s="6"/>
      <c r="W105" s="6"/>
      <c r="X105" s="6"/>
      <c r="Y105" s="6"/>
    </row>
    <row r="106" spans="1:25" ht="12.75" x14ac:dyDescent="0.2">
      <c r="A106" s="10"/>
      <c r="B106" s="6"/>
      <c r="C106" s="6"/>
      <c r="D106" s="6"/>
      <c r="E106" s="9"/>
      <c r="F106" s="9"/>
      <c r="G106" s="11"/>
      <c r="H106" s="5"/>
      <c r="I106" s="8"/>
      <c r="J106" s="8"/>
      <c r="N106" s="6"/>
      <c r="O106" s="6"/>
      <c r="P106" s="6"/>
      <c r="Q106" s="6"/>
    </row>
    <row r="107" spans="1:25" ht="12.75" x14ac:dyDescent="0.2">
      <c r="A107" s="10"/>
      <c r="B107" s="6"/>
      <c r="C107" s="6"/>
      <c r="D107" s="6"/>
      <c r="E107" s="9"/>
      <c r="F107" s="9"/>
      <c r="G107" s="11"/>
      <c r="H107" s="5"/>
      <c r="I107" s="6"/>
      <c r="J107" s="6"/>
      <c r="K107" s="6"/>
      <c r="L107" s="6"/>
      <c r="M107" s="6"/>
      <c r="R107" s="6"/>
      <c r="S107" s="6"/>
      <c r="T107" s="6"/>
      <c r="U107" s="6"/>
      <c r="V107" s="6"/>
      <c r="W107" s="6"/>
      <c r="X107" s="6"/>
      <c r="Y107" s="6"/>
    </row>
    <row r="108" spans="1:25" ht="12.75" x14ac:dyDescent="0.2">
      <c r="A108" s="10"/>
      <c r="B108" s="6"/>
      <c r="C108" s="6"/>
      <c r="D108" s="6"/>
      <c r="E108" s="9"/>
      <c r="F108" s="9"/>
      <c r="G108" s="11"/>
      <c r="H108" s="5"/>
      <c r="I108" s="8"/>
      <c r="J108" s="8"/>
      <c r="N108" s="6"/>
      <c r="O108" s="6"/>
      <c r="P108" s="6"/>
      <c r="Q108" s="6"/>
    </row>
    <row r="109" spans="1:25" ht="12.75" x14ac:dyDescent="0.2">
      <c r="B109" s="6"/>
      <c r="C109" s="6"/>
      <c r="D109" s="6"/>
      <c r="E109" s="9"/>
      <c r="F109" s="9"/>
      <c r="G109" s="11"/>
      <c r="H109" s="5"/>
      <c r="I109" s="6"/>
      <c r="J109" s="6"/>
      <c r="R109" s="6"/>
    </row>
    <row r="110" spans="1:25" ht="12.75" x14ac:dyDescent="0.2">
      <c r="B110" s="6"/>
      <c r="C110" s="6"/>
      <c r="D110" s="6"/>
      <c r="E110" s="9"/>
      <c r="F110" s="9"/>
      <c r="G110" s="11"/>
      <c r="H110" s="5"/>
      <c r="I110" s="8"/>
      <c r="J110" s="8"/>
      <c r="N110" s="6"/>
      <c r="O110" s="6"/>
      <c r="P110" s="6"/>
      <c r="Q110" s="6"/>
    </row>
    <row r="111" spans="1:25" ht="12.75" x14ac:dyDescent="0.2">
      <c r="B111" s="6"/>
      <c r="C111" s="6"/>
      <c r="D111" s="6"/>
      <c r="E111" s="9"/>
      <c r="F111" s="9"/>
      <c r="G111" s="11"/>
      <c r="H111" s="5"/>
      <c r="I111" s="6"/>
      <c r="J111" s="6"/>
    </row>
    <row r="112" spans="1:25" ht="12.75" x14ac:dyDescent="0.2">
      <c r="B112" s="6"/>
      <c r="C112" s="6"/>
      <c r="D112" s="6"/>
      <c r="E112" s="9"/>
      <c r="F112" s="9"/>
      <c r="G112" s="11"/>
      <c r="H112" s="5"/>
      <c r="I112" s="8"/>
      <c r="J112" s="8"/>
    </row>
    <row r="113" spans="2:10" ht="12.75" x14ac:dyDescent="0.2">
      <c r="B113" s="6"/>
      <c r="C113" s="6"/>
      <c r="D113" s="6"/>
      <c r="E113" s="9"/>
      <c r="F113" s="9"/>
      <c r="G113" s="11"/>
      <c r="H113" s="5"/>
      <c r="I113" s="8"/>
      <c r="J113" s="8"/>
    </row>
    <row r="114" spans="2:10" ht="12.75" x14ac:dyDescent="0.2">
      <c r="B114" s="6"/>
      <c r="C114" s="6"/>
      <c r="D114" s="6"/>
      <c r="E114" s="9"/>
      <c r="F114" s="9"/>
      <c r="G114" s="11"/>
      <c r="H114" s="5"/>
      <c r="I114" s="8"/>
      <c r="J114" s="8"/>
    </row>
    <row r="115" spans="2:10" ht="12.75" x14ac:dyDescent="0.2">
      <c r="B115" s="6"/>
      <c r="C115" s="6"/>
      <c r="D115" s="6"/>
      <c r="E115" s="9"/>
      <c r="F115" s="9"/>
      <c r="G115" s="11"/>
      <c r="H115" s="5"/>
      <c r="I115" s="8"/>
      <c r="J115" s="8"/>
    </row>
    <row r="116" spans="2:10" ht="12.75" x14ac:dyDescent="0.2">
      <c r="B116" s="6"/>
      <c r="C116" s="6"/>
      <c r="D116" s="6"/>
      <c r="E116" s="9"/>
      <c r="F116" s="9"/>
      <c r="G116" s="11"/>
      <c r="H116" s="5"/>
      <c r="I116" s="8"/>
      <c r="J116" s="8"/>
    </row>
    <row r="117" spans="2:10" ht="12.75" x14ac:dyDescent="0.2">
      <c r="B117" s="6"/>
      <c r="C117" s="6"/>
      <c r="D117" s="6"/>
      <c r="E117" s="9"/>
      <c r="F117" s="9"/>
      <c r="G117" s="11"/>
      <c r="H117" s="5"/>
      <c r="I117" s="8"/>
      <c r="J117" s="8"/>
    </row>
    <row r="118" spans="2:10" ht="12.75" x14ac:dyDescent="0.2">
      <c r="B118" s="6"/>
      <c r="C118" s="6"/>
      <c r="D118" s="6"/>
      <c r="E118" s="9"/>
      <c r="F118" s="9"/>
      <c r="G118" s="11"/>
      <c r="H118" s="5"/>
      <c r="I118" s="8"/>
      <c r="J118" s="8"/>
    </row>
    <row r="119" spans="2:10" ht="12.75" x14ac:dyDescent="0.2">
      <c r="B119" s="6"/>
      <c r="C119" s="6"/>
      <c r="D119" s="6"/>
      <c r="E119" s="9"/>
      <c r="F119" s="9"/>
      <c r="G119" s="11"/>
      <c r="H119" s="5"/>
      <c r="I119" s="8"/>
      <c r="J119" s="8"/>
    </row>
    <row r="120" spans="2:10" ht="12.75" x14ac:dyDescent="0.2">
      <c r="B120" s="6"/>
      <c r="C120" s="6"/>
      <c r="D120" s="6"/>
      <c r="E120" s="9"/>
      <c r="F120" s="9"/>
      <c r="G120" s="11"/>
      <c r="H120" s="5"/>
      <c r="I120" s="8"/>
      <c r="J120" s="8"/>
    </row>
    <row r="121" spans="2:10" ht="12.75" x14ac:dyDescent="0.2">
      <c r="B121" s="6"/>
      <c r="C121" s="6"/>
      <c r="D121" s="6"/>
      <c r="E121" s="9"/>
      <c r="F121" s="9"/>
      <c r="G121" s="11"/>
      <c r="H121" s="5"/>
      <c r="I121" s="8"/>
      <c r="J121" s="8"/>
    </row>
    <row r="122" spans="2:10" ht="12.75" x14ac:dyDescent="0.2">
      <c r="B122" s="6"/>
      <c r="C122" s="6"/>
      <c r="D122" s="6"/>
      <c r="E122" s="9"/>
      <c r="F122" s="9"/>
      <c r="G122" s="11"/>
      <c r="H122" s="5"/>
      <c r="I122" s="8"/>
      <c r="J122" s="8"/>
    </row>
    <row r="123" spans="2:10" ht="12.75" x14ac:dyDescent="0.2">
      <c r="B123" s="6"/>
      <c r="C123" s="6"/>
      <c r="D123" s="6"/>
      <c r="E123" s="9"/>
      <c r="F123" s="9"/>
      <c r="G123" s="11"/>
      <c r="H123" s="5"/>
      <c r="I123" s="8"/>
      <c r="J123" s="8"/>
    </row>
    <row r="124" spans="2:10" ht="12.75" x14ac:dyDescent="0.2">
      <c r="B124" s="6"/>
      <c r="C124" s="6"/>
      <c r="D124" s="6"/>
      <c r="E124" s="9"/>
      <c r="F124" s="9"/>
      <c r="G124" s="11"/>
      <c r="H124" s="5"/>
      <c r="I124" s="8"/>
      <c r="J124" s="8"/>
    </row>
    <row r="125" spans="2:10" ht="12.75" x14ac:dyDescent="0.2">
      <c r="B125" s="6"/>
      <c r="C125" s="6"/>
      <c r="D125" s="6"/>
      <c r="E125" s="9"/>
      <c r="F125" s="9"/>
      <c r="G125" s="11"/>
      <c r="H125" s="5"/>
      <c r="I125" s="8"/>
      <c r="J125" s="8"/>
    </row>
    <row r="126" spans="2:10" ht="12.75" x14ac:dyDescent="0.2">
      <c r="B126" s="6"/>
      <c r="C126" s="6"/>
      <c r="D126" s="6"/>
      <c r="E126" s="9"/>
      <c r="F126" s="9"/>
      <c r="G126" s="11"/>
      <c r="H126" s="5"/>
      <c r="I126" s="8"/>
      <c r="J126" s="8"/>
    </row>
    <row r="127" spans="2:10" ht="12.75" x14ac:dyDescent="0.2">
      <c r="B127" s="6"/>
      <c r="C127" s="6"/>
      <c r="D127" s="6"/>
      <c r="E127" s="9"/>
      <c r="F127" s="9"/>
      <c r="G127" s="11"/>
      <c r="H127" s="5"/>
      <c r="I127" s="8"/>
      <c r="J127" s="8"/>
    </row>
    <row r="128" spans="2:10" ht="12.75" x14ac:dyDescent="0.2">
      <c r="B128" s="6"/>
      <c r="C128" s="6"/>
      <c r="D128" s="6"/>
      <c r="E128" s="9"/>
      <c r="F128" s="9"/>
      <c r="G128" s="11"/>
      <c r="H128" s="5"/>
      <c r="I128" s="8"/>
      <c r="J128" s="8"/>
    </row>
    <row r="129" spans="2:10" ht="12.75" x14ac:dyDescent="0.2">
      <c r="B129" s="6"/>
      <c r="C129" s="6"/>
      <c r="D129" s="6"/>
      <c r="E129" s="9"/>
      <c r="F129" s="9"/>
      <c r="G129" s="11"/>
      <c r="H129" s="5"/>
      <c r="I129" s="8"/>
      <c r="J129" s="8"/>
    </row>
    <row r="130" spans="2:10" ht="12.75" x14ac:dyDescent="0.2">
      <c r="B130" s="6"/>
      <c r="C130" s="6"/>
      <c r="D130" s="6"/>
      <c r="E130" s="9"/>
      <c r="F130" s="9"/>
      <c r="G130" s="11"/>
      <c r="H130" s="5"/>
      <c r="I130" s="8"/>
      <c r="J130" s="8"/>
    </row>
    <row r="131" spans="2:10" ht="12.75" x14ac:dyDescent="0.2">
      <c r="B131" s="6"/>
      <c r="C131" s="6"/>
      <c r="D131" s="6"/>
      <c r="E131" s="9"/>
      <c r="F131" s="9"/>
      <c r="G131" s="11"/>
      <c r="H131" s="5"/>
      <c r="I131" s="8"/>
      <c r="J131" s="8"/>
    </row>
    <row r="132" spans="2:10" ht="12.75" x14ac:dyDescent="0.2">
      <c r="B132" s="6"/>
      <c r="C132" s="6"/>
      <c r="D132" s="6"/>
      <c r="E132" s="9"/>
      <c r="F132" s="9"/>
      <c r="G132" s="11"/>
      <c r="H132" s="5"/>
      <c r="I132" s="8"/>
      <c r="J132" s="8"/>
    </row>
    <row r="133" spans="2:10" ht="12.75" x14ac:dyDescent="0.2">
      <c r="B133" s="6"/>
      <c r="C133" s="6"/>
      <c r="D133" s="6"/>
      <c r="E133" s="9"/>
      <c r="F133" s="9"/>
      <c r="G133" s="11"/>
      <c r="H133" s="5"/>
      <c r="I133" s="8"/>
      <c r="J133" s="8"/>
    </row>
    <row r="134" spans="2:10" ht="12.75" x14ac:dyDescent="0.2">
      <c r="B134" s="6"/>
      <c r="C134" s="6"/>
      <c r="D134" s="6"/>
      <c r="E134" s="9"/>
      <c r="F134" s="9"/>
      <c r="G134" s="11"/>
      <c r="H134" s="5"/>
      <c r="I134" s="8"/>
      <c r="J134" s="8"/>
    </row>
    <row r="135" spans="2:10" ht="12.75" x14ac:dyDescent="0.2">
      <c r="B135" s="6"/>
      <c r="C135" s="6"/>
      <c r="D135" s="6"/>
      <c r="E135" s="9"/>
      <c r="F135" s="9"/>
      <c r="G135" s="11"/>
      <c r="H135" s="5"/>
      <c r="I135" s="8"/>
      <c r="J135" s="8"/>
    </row>
    <row r="136" spans="2:10" ht="12.75" x14ac:dyDescent="0.2">
      <c r="B136" s="6"/>
      <c r="C136" s="6"/>
      <c r="D136" s="6"/>
      <c r="E136" s="9"/>
      <c r="F136" s="9"/>
      <c r="G136" s="11"/>
      <c r="H136" s="5"/>
      <c r="I136" s="8"/>
      <c r="J136" s="8"/>
    </row>
    <row r="137" spans="2:10" ht="12.75" x14ac:dyDescent="0.2">
      <c r="B137" s="6"/>
      <c r="C137" s="6"/>
      <c r="D137" s="6"/>
      <c r="E137" s="9"/>
      <c r="F137" s="9"/>
      <c r="G137" s="11"/>
      <c r="H137" s="5"/>
      <c r="I137" s="8"/>
      <c r="J137" s="8"/>
    </row>
    <row r="138" spans="2:10" ht="12.75" x14ac:dyDescent="0.2">
      <c r="B138" s="6"/>
      <c r="C138" s="6"/>
      <c r="D138" s="6"/>
      <c r="E138" s="9"/>
      <c r="F138" s="9"/>
      <c r="G138" s="11"/>
      <c r="H138" s="5"/>
      <c r="I138" s="8"/>
      <c r="J138" s="8"/>
    </row>
    <row r="139" spans="2:10" ht="12.75" x14ac:dyDescent="0.2">
      <c r="B139" s="6"/>
      <c r="C139" s="6"/>
      <c r="D139" s="6"/>
      <c r="E139" s="9"/>
      <c r="F139" s="9"/>
      <c r="G139" s="11"/>
      <c r="H139" s="5"/>
      <c r="I139" s="8"/>
      <c r="J139" s="8"/>
    </row>
    <row r="140" spans="2:10" ht="12.75" x14ac:dyDescent="0.2">
      <c r="B140" s="6"/>
      <c r="C140" s="6"/>
      <c r="D140" s="6"/>
      <c r="E140" s="9"/>
      <c r="F140" s="9"/>
      <c r="G140" s="11"/>
      <c r="H140" s="5"/>
      <c r="I140" s="8"/>
      <c r="J140" s="8"/>
    </row>
    <row r="141" spans="2:10" ht="12.75" x14ac:dyDescent="0.2">
      <c r="B141" s="6"/>
      <c r="C141" s="6"/>
      <c r="D141" s="6"/>
      <c r="E141" s="9"/>
      <c r="F141" s="9"/>
      <c r="G141" s="11"/>
      <c r="H141" s="5"/>
      <c r="I141" s="8"/>
      <c r="J141" s="8"/>
    </row>
    <row r="142" spans="2:10" ht="12.75" x14ac:dyDescent="0.2">
      <c r="B142" s="6"/>
      <c r="C142" s="6"/>
      <c r="D142" s="6"/>
      <c r="E142" s="9"/>
      <c r="F142" s="9"/>
      <c r="G142" s="11"/>
      <c r="H142" s="5"/>
      <c r="I142" s="8"/>
      <c r="J142" s="8"/>
    </row>
    <row r="143" spans="2:10" ht="12.75" x14ac:dyDescent="0.2">
      <c r="B143" s="6"/>
      <c r="C143" s="6"/>
      <c r="D143" s="6"/>
      <c r="E143" s="9"/>
      <c r="F143" s="9"/>
      <c r="G143" s="11"/>
      <c r="H143" s="5"/>
      <c r="I143" s="8"/>
      <c r="J143" s="8"/>
    </row>
    <row r="144" spans="2:10" ht="12.75" x14ac:dyDescent="0.2">
      <c r="B144" s="6"/>
      <c r="C144" s="6"/>
      <c r="D144" s="6"/>
      <c r="E144" s="9"/>
      <c r="F144" s="9"/>
      <c r="G144" s="11"/>
      <c r="H144" s="5"/>
      <c r="I144" s="8"/>
      <c r="J144" s="8"/>
    </row>
    <row r="145" spans="2:10" ht="12.75" x14ac:dyDescent="0.2">
      <c r="B145" s="6"/>
      <c r="C145" s="6"/>
      <c r="D145" s="6"/>
      <c r="E145" s="9"/>
      <c r="F145" s="9"/>
      <c r="G145" s="11"/>
      <c r="H145" s="5"/>
      <c r="I145" s="8"/>
      <c r="J145" s="8"/>
    </row>
    <row r="146" spans="2:10" ht="12.75" x14ac:dyDescent="0.2">
      <c r="B146" s="6"/>
      <c r="C146" s="6"/>
      <c r="D146" s="6"/>
      <c r="E146" s="9"/>
      <c r="F146" s="9"/>
      <c r="G146" s="11"/>
      <c r="H146" s="5"/>
      <c r="I146" s="8"/>
      <c r="J146" s="8"/>
    </row>
    <row r="147" spans="2:10" ht="12.75" x14ac:dyDescent="0.2">
      <c r="B147" s="6"/>
      <c r="C147" s="6"/>
      <c r="D147" s="6"/>
      <c r="E147" s="9"/>
      <c r="F147" s="9"/>
      <c r="G147" s="11"/>
      <c r="H147" s="5"/>
      <c r="I147" s="8"/>
      <c r="J147" s="8"/>
    </row>
    <row r="148" spans="2:10" ht="12.75" x14ac:dyDescent="0.2">
      <c r="B148" s="6"/>
      <c r="C148" s="6"/>
      <c r="D148" s="6"/>
      <c r="E148" s="9"/>
      <c r="F148" s="9"/>
      <c r="G148" s="11"/>
      <c r="H148" s="5"/>
      <c r="I148" s="8"/>
      <c r="J148" s="8"/>
    </row>
    <row r="149" spans="2:10" ht="12.75" x14ac:dyDescent="0.2">
      <c r="B149" s="6"/>
      <c r="C149" s="6"/>
      <c r="D149" s="6"/>
      <c r="E149" s="9"/>
      <c r="F149" s="9"/>
      <c r="G149" s="11"/>
      <c r="H149" s="5"/>
      <c r="I149" s="8"/>
      <c r="J149" s="8"/>
    </row>
    <row r="150" spans="2:10" ht="12.75" x14ac:dyDescent="0.2">
      <c r="B150" s="6"/>
      <c r="C150" s="6"/>
      <c r="D150" s="6"/>
      <c r="E150" s="9"/>
      <c r="F150" s="9"/>
      <c r="G150" s="11"/>
      <c r="H150" s="5"/>
      <c r="I150" s="8"/>
      <c r="J150" s="8"/>
    </row>
    <row r="151" spans="2:10" ht="12.75" x14ac:dyDescent="0.2">
      <c r="B151" s="6"/>
      <c r="C151" s="6"/>
      <c r="D151" s="6"/>
      <c r="E151" s="9"/>
      <c r="F151" s="9"/>
      <c r="G151" s="11"/>
      <c r="H151" s="5"/>
      <c r="I151" s="8"/>
      <c r="J151" s="8"/>
    </row>
    <row r="152" spans="2:10" ht="12.75" x14ac:dyDescent="0.2">
      <c r="B152" s="6"/>
      <c r="C152" s="6"/>
      <c r="D152" s="6"/>
      <c r="E152" s="9"/>
      <c r="F152" s="9"/>
      <c r="G152" s="11"/>
      <c r="H152" s="5"/>
      <c r="I152" s="8"/>
      <c r="J152" s="8"/>
    </row>
    <row r="153" spans="2:10" ht="12.75" x14ac:dyDescent="0.2">
      <c r="B153" s="6"/>
      <c r="C153" s="6"/>
      <c r="D153" s="6"/>
      <c r="E153" s="9"/>
      <c r="F153" s="9"/>
      <c r="G153" s="11"/>
      <c r="H153" s="5"/>
      <c r="I153" s="8"/>
      <c r="J153" s="8"/>
    </row>
    <row r="154" spans="2:10" ht="12.75" x14ac:dyDescent="0.2">
      <c r="B154" s="6"/>
      <c r="C154" s="6"/>
      <c r="D154" s="6"/>
      <c r="E154" s="9"/>
      <c r="F154" s="9"/>
      <c r="G154" s="11"/>
      <c r="H154" s="5"/>
      <c r="I154" s="8"/>
      <c r="J154" s="8"/>
    </row>
    <row r="155" spans="2:10" ht="12.75" x14ac:dyDescent="0.2">
      <c r="B155" s="6"/>
      <c r="C155" s="6"/>
      <c r="D155" s="6"/>
      <c r="E155" s="9"/>
      <c r="F155" s="9"/>
      <c r="G155" s="11"/>
      <c r="H155" s="5"/>
      <c r="I155" s="8"/>
      <c r="J155" s="8"/>
    </row>
    <row r="156" spans="2:10" ht="12.75" x14ac:dyDescent="0.2">
      <c r="B156" s="6"/>
      <c r="C156" s="6"/>
      <c r="D156" s="6"/>
      <c r="E156" s="9"/>
      <c r="F156" s="9"/>
      <c r="G156" s="11"/>
      <c r="H156" s="5"/>
      <c r="I156" s="8"/>
      <c r="J156" s="8"/>
    </row>
    <row r="157" spans="2:10" ht="12.75" x14ac:dyDescent="0.2">
      <c r="B157" s="6"/>
      <c r="C157" s="6"/>
      <c r="D157" s="6"/>
      <c r="E157" s="9"/>
      <c r="F157" s="9"/>
      <c r="G157" s="11"/>
      <c r="H157" s="5"/>
      <c r="I157" s="8"/>
      <c r="J157" s="8"/>
    </row>
    <row r="158" spans="2:10" ht="12.75" x14ac:dyDescent="0.2">
      <c r="B158" s="6"/>
      <c r="C158" s="6"/>
      <c r="D158" s="6"/>
      <c r="E158" s="9"/>
      <c r="F158" s="9"/>
      <c r="G158" s="11"/>
      <c r="H158" s="5"/>
      <c r="I158" s="8"/>
      <c r="J158" s="8"/>
    </row>
    <row r="159" spans="2:10" ht="12.75" x14ac:dyDescent="0.2">
      <c r="B159" s="6"/>
      <c r="C159" s="6"/>
      <c r="D159" s="6"/>
      <c r="E159" s="9"/>
      <c r="F159" s="9"/>
      <c r="G159" s="11"/>
      <c r="H159" s="5"/>
      <c r="I159" s="8"/>
      <c r="J159" s="8"/>
    </row>
    <row r="160" spans="2:10" ht="12.75" x14ac:dyDescent="0.2">
      <c r="B160" s="6"/>
      <c r="C160" s="6"/>
      <c r="D160" s="6"/>
      <c r="E160" s="9"/>
      <c r="F160" s="9"/>
      <c r="G160" s="11"/>
      <c r="H160" s="5"/>
      <c r="I160" s="8"/>
      <c r="J160" s="8"/>
    </row>
    <row r="161" spans="2:10" ht="12.75" x14ac:dyDescent="0.2">
      <c r="B161" s="6"/>
      <c r="C161" s="6"/>
      <c r="D161" s="6"/>
      <c r="E161" s="9"/>
      <c r="F161" s="9"/>
      <c r="G161" s="11"/>
      <c r="H161" s="5"/>
      <c r="I161" s="8"/>
      <c r="J161" s="8"/>
    </row>
    <row r="162" spans="2:10" ht="12.75" x14ac:dyDescent="0.2">
      <c r="B162" s="6"/>
      <c r="C162" s="6"/>
      <c r="D162" s="6"/>
      <c r="E162" s="9"/>
      <c r="F162" s="9"/>
      <c r="G162" s="11"/>
      <c r="H162" s="5"/>
      <c r="I162" s="8"/>
      <c r="J162" s="8"/>
    </row>
    <row r="163" spans="2:10" ht="12.75" x14ac:dyDescent="0.2">
      <c r="B163" s="6"/>
      <c r="C163" s="6"/>
      <c r="D163" s="6"/>
      <c r="E163" s="9"/>
      <c r="F163" s="9"/>
      <c r="G163" s="11"/>
      <c r="H163" s="5"/>
      <c r="I163" s="8"/>
      <c r="J163" s="8"/>
    </row>
    <row r="164" spans="2:10" ht="12.75" x14ac:dyDescent="0.2">
      <c r="B164" s="6"/>
      <c r="C164" s="6"/>
      <c r="D164" s="6"/>
      <c r="E164" s="9"/>
      <c r="F164" s="9"/>
      <c r="G164" s="11"/>
      <c r="H164" s="5"/>
      <c r="I164" s="8"/>
      <c r="J164" s="8"/>
    </row>
    <row r="165" spans="2:10" ht="12.75" x14ac:dyDescent="0.2">
      <c r="B165" s="6"/>
      <c r="C165" s="6"/>
      <c r="D165" s="6"/>
      <c r="E165" s="9"/>
      <c r="F165" s="9"/>
      <c r="G165" s="11"/>
      <c r="H165" s="5"/>
      <c r="I165" s="8"/>
      <c r="J165" s="8"/>
    </row>
    <row r="166" spans="2:10" ht="12.75" x14ac:dyDescent="0.2">
      <c r="B166" s="6"/>
      <c r="C166" s="6"/>
      <c r="D166" s="6"/>
      <c r="E166" s="9"/>
      <c r="F166" s="9"/>
      <c r="G166" s="11"/>
      <c r="H166" s="5"/>
      <c r="I166" s="8"/>
      <c r="J166" s="8"/>
    </row>
    <row r="167" spans="2:10" ht="12.75" x14ac:dyDescent="0.2">
      <c r="B167" s="6"/>
      <c r="C167" s="6"/>
      <c r="D167" s="6"/>
      <c r="E167" s="9"/>
      <c r="F167" s="9"/>
      <c r="G167" s="11"/>
      <c r="H167" s="5"/>
      <c r="I167" s="8"/>
      <c r="J167" s="8"/>
    </row>
    <row r="168" spans="2:10" ht="12.75" x14ac:dyDescent="0.2">
      <c r="B168" s="6"/>
      <c r="C168" s="6"/>
      <c r="D168" s="6"/>
      <c r="E168" s="9"/>
      <c r="F168" s="9"/>
      <c r="G168" s="11"/>
      <c r="H168" s="5"/>
      <c r="I168" s="8"/>
      <c r="J168" s="8"/>
    </row>
    <row r="169" spans="2:10" ht="12.75" x14ac:dyDescent="0.2">
      <c r="B169" s="6"/>
      <c r="C169" s="6"/>
      <c r="D169" s="6"/>
      <c r="E169" s="9"/>
      <c r="F169" s="9"/>
      <c r="G169" s="11"/>
      <c r="H169" s="5"/>
      <c r="I169" s="8"/>
      <c r="J169" s="8"/>
    </row>
    <row r="170" spans="2:10" ht="12.75" x14ac:dyDescent="0.2">
      <c r="B170" s="6"/>
      <c r="C170" s="6"/>
      <c r="D170" s="6"/>
      <c r="E170" s="9"/>
      <c r="F170" s="9"/>
      <c r="G170" s="11"/>
      <c r="H170" s="5"/>
      <c r="I170" s="8"/>
      <c r="J170" s="8"/>
    </row>
    <row r="171" spans="2:10" ht="12.75" x14ac:dyDescent="0.2">
      <c r="B171" s="6"/>
      <c r="C171" s="6"/>
      <c r="D171" s="6"/>
      <c r="E171" s="9"/>
      <c r="F171" s="9"/>
      <c r="G171" s="11"/>
      <c r="H171" s="5"/>
      <c r="I171" s="8"/>
      <c r="J171" s="8"/>
    </row>
    <row r="172" spans="2:10" ht="12.75" x14ac:dyDescent="0.2">
      <c r="B172" s="6"/>
      <c r="C172" s="6"/>
      <c r="D172" s="6"/>
      <c r="E172" s="9"/>
      <c r="F172" s="9"/>
      <c r="G172" s="11"/>
      <c r="H172" s="5"/>
      <c r="I172" s="8"/>
      <c r="J172" s="8"/>
    </row>
    <row r="173" spans="2:10" ht="12.75" x14ac:dyDescent="0.2">
      <c r="B173" s="6"/>
      <c r="C173" s="6"/>
      <c r="D173" s="6"/>
      <c r="E173" s="9"/>
      <c r="F173" s="9"/>
      <c r="G173" s="11"/>
      <c r="H173" s="5"/>
      <c r="I173" s="8"/>
      <c r="J173" s="8"/>
    </row>
    <row r="174" spans="2:10" ht="12.75" x14ac:dyDescent="0.2">
      <c r="B174" s="6"/>
      <c r="C174" s="6"/>
      <c r="D174" s="6"/>
      <c r="E174" s="9"/>
      <c r="F174" s="9"/>
      <c r="G174" s="11"/>
      <c r="H174" s="5"/>
      <c r="I174" s="8"/>
      <c r="J174" s="8"/>
    </row>
    <row r="175" spans="2:10" ht="12.75" x14ac:dyDescent="0.2">
      <c r="B175" s="6"/>
      <c r="C175" s="6"/>
      <c r="D175" s="6"/>
      <c r="E175" s="9"/>
      <c r="F175" s="9"/>
      <c r="G175" s="11"/>
      <c r="H175" s="5"/>
      <c r="I175" s="8"/>
      <c r="J175" s="8"/>
    </row>
    <row r="176" spans="2:10" ht="12.75" x14ac:dyDescent="0.2">
      <c r="B176" s="6"/>
      <c r="C176" s="6"/>
      <c r="D176" s="6"/>
      <c r="E176" s="9"/>
      <c r="F176" s="9"/>
      <c r="G176" s="11"/>
      <c r="H176" s="5"/>
      <c r="I176" s="8"/>
      <c r="J176" s="8"/>
    </row>
    <row r="177" spans="2:10" ht="12.75" x14ac:dyDescent="0.2">
      <c r="B177" s="6"/>
      <c r="C177" s="6"/>
      <c r="D177" s="6"/>
      <c r="E177" s="9"/>
      <c r="F177" s="9"/>
      <c r="G177" s="11"/>
      <c r="H177" s="5"/>
      <c r="I177" s="8"/>
      <c r="J177" s="8"/>
    </row>
    <row r="178" spans="2:10" ht="12.75" x14ac:dyDescent="0.2">
      <c r="B178" s="6"/>
      <c r="C178" s="6"/>
      <c r="D178" s="6"/>
      <c r="E178" s="9"/>
      <c r="F178" s="9"/>
      <c r="G178" s="11"/>
      <c r="H178" s="5"/>
      <c r="I178" s="8"/>
      <c r="J178" s="8"/>
    </row>
    <row r="179" spans="2:10" ht="12.75" x14ac:dyDescent="0.2">
      <c r="B179" s="6"/>
      <c r="C179" s="6"/>
      <c r="D179" s="6"/>
      <c r="E179" s="9"/>
      <c r="F179" s="9"/>
      <c r="G179" s="11"/>
      <c r="H179" s="5"/>
      <c r="I179" s="8"/>
      <c r="J179" s="8"/>
    </row>
    <row r="180" spans="2:10" ht="12.75" x14ac:dyDescent="0.2">
      <c r="B180" s="6"/>
      <c r="C180" s="6"/>
      <c r="D180" s="6"/>
      <c r="E180" s="9"/>
      <c r="F180" s="9"/>
      <c r="G180" s="11"/>
      <c r="H180" s="5"/>
      <c r="I180" s="8"/>
      <c r="J180" s="8"/>
    </row>
    <row r="181" spans="2:10" ht="12.75" x14ac:dyDescent="0.2">
      <c r="B181" s="6"/>
      <c r="C181" s="6"/>
      <c r="D181" s="6"/>
      <c r="E181" s="9"/>
      <c r="F181" s="9"/>
      <c r="G181" s="11"/>
      <c r="H181" s="5"/>
      <c r="I181" s="8"/>
      <c r="J181" s="8"/>
    </row>
    <row r="182" spans="2:10" ht="12.75" x14ac:dyDescent="0.2">
      <c r="B182" s="6"/>
      <c r="C182" s="6"/>
      <c r="D182" s="6"/>
      <c r="E182" s="9"/>
      <c r="F182" s="9"/>
      <c r="G182" s="11"/>
      <c r="H182" s="5"/>
      <c r="I182" s="8"/>
      <c r="J182" s="8"/>
    </row>
    <row r="183" spans="2:10" ht="12.75" x14ac:dyDescent="0.2">
      <c r="B183" s="6"/>
      <c r="C183" s="6"/>
      <c r="D183" s="6"/>
      <c r="E183" s="9"/>
      <c r="F183" s="9"/>
      <c r="G183" s="11"/>
      <c r="H183" s="5"/>
      <c r="I183" s="8"/>
      <c r="J183" s="8"/>
    </row>
    <row r="184" spans="2:10" ht="12.75" x14ac:dyDescent="0.2">
      <c r="B184" s="6"/>
      <c r="C184" s="6"/>
      <c r="D184" s="6"/>
      <c r="E184" s="9"/>
      <c r="F184" s="9"/>
      <c r="G184" s="11"/>
      <c r="H184" s="5"/>
      <c r="I184" s="8"/>
      <c r="J184" s="8"/>
    </row>
    <row r="185" spans="2:10" ht="12.75" x14ac:dyDescent="0.2">
      <c r="B185" s="6"/>
      <c r="C185" s="6"/>
      <c r="D185" s="6"/>
      <c r="E185" s="9"/>
      <c r="F185" s="9"/>
      <c r="G185" s="11"/>
      <c r="H185" s="5"/>
      <c r="I185" s="8"/>
      <c r="J185" s="8"/>
    </row>
    <row r="186" spans="2:10" ht="12.75" x14ac:dyDescent="0.2">
      <c r="B186" s="6"/>
      <c r="C186" s="6"/>
      <c r="D186" s="6"/>
      <c r="E186" s="9"/>
      <c r="F186" s="9"/>
      <c r="G186" s="11"/>
      <c r="H186" s="5"/>
      <c r="I186" s="8"/>
      <c r="J186" s="8"/>
    </row>
    <row r="187" spans="2:10" ht="12.75" x14ac:dyDescent="0.2">
      <c r="B187" s="6"/>
      <c r="C187" s="6"/>
      <c r="D187" s="6"/>
      <c r="E187" s="9"/>
      <c r="F187" s="9"/>
      <c r="G187" s="11"/>
      <c r="H187" s="5"/>
      <c r="I187" s="8"/>
      <c r="J187" s="8"/>
    </row>
    <row r="188" spans="2:10" ht="12.75" x14ac:dyDescent="0.2">
      <c r="B188" s="6"/>
      <c r="C188" s="6"/>
      <c r="D188" s="6"/>
      <c r="E188" s="9"/>
      <c r="F188" s="9"/>
      <c r="G188" s="11"/>
      <c r="H188" s="5"/>
      <c r="I188" s="8"/>
      <c r="J188" s="8"/>
    </row>
    <row r="189" spans="2:10" ht="12.75" x14ac:dyDescent="0.2">
      <c r="B189" s="6"/>
      <c r="C189" s="6"/>
      <c r="D189" s="6"/>
      <c r="E189" s="9"/>
      <c r="F189" s="9"/>
      <c r="G189" s="11"/>
      <c r="H189" s="5"/>
      <c r="I189" s="8"/>
      <c r="J189" s="8"/>
    </row>
    <row r="190" spans="2:10" ht="12.75" x14ac:dyDescent="0.2">
      <c r="B190" s="6"/>
      <c r="C190" s="6"/>
      <c r="D190" s="6"/>
      <c r="E190" s="9"/>
      <c r="F190" s="9"/>
      <c r="G190" s="11"/>
      <c r="H190" s="5"/>
      <c r="I190" s="8"/>
      <c r="J190" s="8"/>
    </row>
    <row r="191" spans="2:10" ht="12.75" x14ac:dyDescent="0.2">
      <c r="B191" s="6"/>
      <c r="C191" s="6"/>
      <c r="D191" s="6"/>
      <c r="E191" s="9"/>
      <c r="F191" s="9"/>
      <c r="G191" s="11"/>
      <c r="H191" s="5"/>
      <c r="I191" s="8"/>
      <c r="J191" s="8"/>
    </row>
    <row r="192" spans="2:10" ht="12.75" x14ac:dyDescent="0.2">
      <c r="B192" s="6"/>
      <c r="C192" s="6"/>
      <c r="D192" s="6"/>
      <c r="E192" s="9"/>
      <c r="F192" s="9"/>
      <c r="G192" s="11"/>
      <c r="H192" s="5"/>
      <c r="I192" s="8"/>
      <c r="J192" s="8"/>
    </row>
    <row r="193" spans="2:10" ht="12.75" x14ac:dyDescent="0.2">
      <c r="B193" s="6"/>
      <c r="C193" s="6"/>
      <c r="D193" s="6"/>
      <c r="E193" s="9"/>
      <c r="F193" s="9"/>
      <c r="G193" s="11"/>
      <c r="H193" s="5"/>
      <c r="I193" s="8"/>
      <c r="J193" s="8"/>
    </row>
    <row r="194" spans="2:10" ht="12.75" x14ac:dyDescent="0.2">
      <c r="B194" s="6"/>
      <c r="C194" s="6"/>
      <c r="D194" s="6"/>
      <c r="E194" s="9"/>
      <c r="F194" s="9"/>
      <c r="G194" s="11"/>
      <c r="H194" s="5"/>
      <c r="I194" s="8"/>
      <c r="J194" s="8"/>
    </row>
    <row r="195" spans="2:10" ht="12.75" x14ac:dyDescent="0.2">
      <c r="B195" s="6"/>
      <c r="C195" s="6"/>
      <c r="D195" s="6"/>
      <c r="E195" s="9"/>
      <c r="F195" s="9"/>
      <c r="G195" s="11"/>
      <c r="H195" s="5"/>
      <c r="I195" s="8"/>
      <c r="J195" s="8"/>
    </row>
    <row r="196" spans="2:10" ht="12.75" x14ac:dyDescent="0.2">
      <c r="B196" s="6"/>
      <c r="C196" s="6"/>
      <c r="D196" s="6"/>
      <c r="E196" s="9"/>
      <c r="F196" s="9"/>
      <c r="G196" s="11"/>
      <c r="H196" s="5"/>
      <c r="I196" s="8"/>
      <c r="J196" s="8"/>
    </row>
    <row r="197" spans="2:10" ht="12.75" x14ac:dyDescent="0.2">
      <c r="B197" s="6"/>
      <c r="C197" s="6"/>
      <c r="D197" s="6"/>
      <c r="E197" s="9"/>
      <c r="F197" s="9"/>
      <c r="G197" s="11"/>
      <c r="H197" s="5"/>
      <c r="I197" s="8"/>
      <c r="J197" s="8"/>
    </row>
    <row r="198" spans="2:10" ht="12.75" x14ac:dyDescent="0.2">
      <c r="B198" s="6"/>
      <c r="C198" s="6"/>
      <c r="D198" s="6"/>
      <c r="E198" s="9"/>
      <c r="F198" s="9"/>
      <c r="G198" s="11"/>
      <c r="H198" s="5"/>
      <c r="I198" s="8"/>
      <c r="J198" s="8"/>
    </row>
    <row r="199" spans="2:10" ht="12.75" x14ac:dyDescent="0.2">
      <c r="B199" s="6"/>
      <c r="C199" s="6"/>
      <c r="D199" s="6"/>
      <c r="E199" s="9"/>
      <c r="F199" s="9"/>
      <c r="G199" s="11"/>
      <c r="H199" s="5"/>
      <c r="I199" s="8"/>
      <c r="J199" s="8"/>
    </row>
    <row r="200" spans="2:10" ht="12.75" x14ac:dyDescent="0.2">
      <c r="B200" s="6"/>
      <c r="C200" s="6"/>
      <c r="D200" s="6"/>
      <c r="E200" s="9"/>
      <c r="F200" s="9"/>
      <c r="G200" s="11"/>
      <c r="H200" s="5"/>
      <c r="I200" s="8"/>
      <c r="J200" s="8"/>
    </row>
    <row r="201" spans="2:10" ht="12.75" x14ac:dyDescent="0.2">
      <c r="B201" s="6"/>
      <c r="C201" s="6"/>
      <c r="D201" s="6"/>
      <c r="E201" s="9"/>
      <c r="F201" s="9"/>
      <c r="G201" s="11"/>
      <c r="H201" s="5"/>
      <c r="I201" s="8"/>
      <c r="J201" s="8"/>
    </row>
    <row r="202" spans="2:10" ht="12.75" x14ac:dyDescent="0.2">
      <c r="B202" s="6"/>
      <c r="C202" s="6"/>
      <c r="D202" s="6"/>
      <c r="E202" s="9"/>
      <c r="F202" s="9"/>
      <c r="G202" s="11"/>
      <c r="H202" s="5"/>
      <c r="I202" s="8"/>
      <c r="J202" s="8"/>
    </row>
    <row r="203" spans="2:10" ht="12.75" x14ac:dyDescent="0.2">
      <c r="B203" s="6"/>
      <c r="C203" s="6"/>
      <c r="D203" s="6"/>
      <c r="E203" s="9"/>
      <c r="F203" s="9"/>
      <c r="G203" s="11"/>
      <c r="H203" s="5"/>
      <c r="I203" s="8"/>
      <c r="J203" s="8"/>
    </row>
    <row r="204" spans="2:10" ht="12.75" x14ac:dyDescent="0.2">
      <c r="B204" s="6"/>
      <c r="C204" s="6"/>
      <c r="D204" s="6"/>
      <c r="E204" s="9"/>
      <c r="F204" s="9"/>
      <c r="G204" s="11"/>
      <c r="H204" s="5"/>
      <c r="I204" s="8"/>
      <c r="J204" s="8"/>
    </row>
    <row r="205" spans="2:10" ht="12.75" x14ac:dyDescent="0.2">
      <c r="B205" s="6"/>
      <c r="C205" s="6"/>
      <c r="D205" s="6"/>
      <c r="E205" s="9"/>
      <c r="F205" s="9"/>
      <c r="G205" s="11"/>
      <c r="H205" s="5"/>
      <c r="I205" s="8"/>
      <c r="J205" s="8"/>
    </row>
    <row r="206" spans="2:10" ht="12.75" x14ac:dyDescent="0.2">
      <c r="B206" s="6"/>
      <c r="C206" s="6"/>
      <c r="D206" s="6"/>
      <c r="E206" s="9"/>
      <c r="F206" s="9"/>
      <c r="G206" s="11"/>
      <c r="H206" s="5"/>
      <c r="I206" s="8"/>
      <c r="J206" s="8"/>
    </row>
    <row r="207" spans="2:10" ht="12.75" x14ac:dyDescent="0.2">
      <c r="B207" s="6"/>
      <c r="C207" s="6"/>
      <c r="D207" s="6"/>
      <c r="E207" s="9"/>
      <c r="F207" s="9"/>
      <c r="G207" s="11"/>
      <c r="H207" s="5"/>
      <c r="I207" s="8"/>
      <c r="J207" s="8"/>
    </row>
    <row r="208" spans="2:10" ht="12.75" x14ac:dyDescent="0.2">
      <c r="B208" s="6"/>
      <c r="C208" s="6"/>
      <c r="D208" s="6"/>
      <c r="E208" s="9"/>
      <c r="F208" s="9"/>
      <c r="G208" s="11"/>
      <c r="H208" s="5"/>
      <c r="I208" s="8"/>
      <c r="J208" s="8"/>
    </row>
    <row r="209" spans="2:10" ht="12.75" x14ac:dyDescent="0.2">
      <c r="B209" s="6"/>
      <c r="C209" s="6"/>
      <c r="D209" s="6"/>
      <c r="E209" s="9"/>
      <c r="F209" s="9"/>
      <c r="G209" s="11"/>
      <c r="H209" s="5"/>
      <c r="I209" s="8"/>
      <c r="J209" s="8"/>
    </row>
    <row r="210" spans="2:10" ht="12.75" x14ac:dyDescent="0.2">
      <c r="B210" s="6"/>
      <c r="C210" s="6"/>
      <c r="D210" s="6"/>
      <c r="E210" s="9"/>
      <c r="F210" s="9"/>
      <c r="G210" s="11"/>
      <c r="H210" s="5"/>
      <c r="I210" s="8"/>
      <c r="J210" s="8"/>
    </row>
    <row r="211" spans="2:10" ht="12.75" x14ac:dyDescent="0.2">
      <c r="B211" s="6"/>
      <c r="C211" s="6"/>
      <c r="D211" s="6"/>
      <c r="E211" s="9"/>
      <c r="F211" s="9"/>
      <c r="G211" s="11"/>
      <c r="H211" s="5"/>
      <c r="I211" s="8"/>
      <c r="J211" s="8"/>
    </row>
    <row r="212" spans="2:10" ht="12.75" x14ac:dyDescent="0.2">
      <c r="B212" s="6"/>
      <c r="C212" s="6"/>
      <c r="D212" s="6"/>
      <c r="E212" s="9"/>
      <c r="F212" s="9"/>
      <c r="G212" s="11"/>
      <c r="H212" s="5"/>
      <c r="I212" s="8"/>
      <c r="J212" s="8"/>
    </row>
    <row r="213" spans="2:10" ht="12.75" x14ac:dyDescent="0.2">
      <c r="B213" s="6"/>
      <c r="C213" s="6"/>
      <c r="D213" s="6"/>
      <c r="E213" s="9"/>
      <c r="F213" s="9"/>
      <c r="G213" s="11"/>
      <c r="H213" s="5"/>
      <c r="I213" s="8"/>
      <c r="J213" s="8"/>
    </row>
    <row r="214" spans="2:10" ht="12.75" x14ac:dyDescent="0.2">
      <c r="B214" s="6"/>
      <c r="C214" s="6"/>
      <c r="D214" s="6"/>
      <c r="E214" s="9"/>
      <c r="F214" s="9"/>
      <c r="G214" s="11"/>
      <c r="H214" s="5"/>
      <c r="I214" s="8"/>
      <c r="J214" s="8"/>
    </row>
    <row r="215" spans="2:10" ht="12.75" x14ac:dyDescent="0.2">
      <c r="B215" s="6"/>
      <c r="C215" s="6"/>
      <c r="D215" s="6"/>
      <c r="E215" s="9"/>
      <c r="F215" s="9"/>
      <c r="G215" s="11"/>
      <c r="H215" s="5"/>
      <c r="I215" s="8"/>
      <c r="J215" s="8"/>
    </row>
    <row r="216" spans="2:10" ht="12.75" x14ac:dyDescent="0.2">
      <c r="B216" s="6"/>
      <c r="C216" s="6"/>
      <c r="D216" s="6"/>
      <c r="E216" s="9"/>
      <c r="F216" s="9"/>
      <c r="G216" s="11"/>
      <c r="H216" s="5"/>
      <c r="I216" s="8"/>
      <c r="J216" s="8"/>
    </row>
    <row r="217" spans="2:10" ht="12.75" x14ac:dyDescent="0.2">
      <c r="B217" s="6"/>
      <c r="C217" s="6"/>
      <c r="D217" s="6"/>
      <c r="E217" s="9"/>
      <c r="F217" s="9"/>
      <c r="G217" s="11"/>
      <c r="H217" s="5"/>
      <c r="I217" s="8"/>
      <c r="J217" s="8"/>
    </row>
    <row r="218" spans="2:10" ht="12.75" x14ac:dyDescent="0.2">
      <c r="B218" s="6"/>
      <c r="C218" s="6"/>
      <c r="D218" s="6"/>
      <c r="E218" s="9"/>
      <c r="F218" s="9"/>
      <c r="G218" s="11"/>
      <c r="H218" s="5"/>
      <c r="I218" s="8"/>
      <c r="J218" s="8"/>
    </row>
    <row r="219" spans="2:10" ht="12.75" x14ac:dyDescent="0.2">
      <c r="B219" s="6"/>
      <c r="C219" s="6"/>
      <c r="D219" s="6"/>
      <c r="E219" s="9"/>
      <c r="F219" s="9"/>
      <c r="G219" s="11"/>
      <c r="H219" s="5"/>
      <c r="I219" s="8"/>
      <c r="J219" s="8"/>
    </row>
    <row r="220" spans="2:10" ht="12.75" x14ac:dyDescent="0.2">
      <c r="B220" s="6"/>
      <c r="C220" s="6"/>
      <c r="D220" s="6"/>
      <c r="E220" s="9"/>
      <c r="F220" s="9"/>
      <c r="G220" s="11"/>
      <c r="H220" s="5"/>
      <c r="I220" s="8"/>
      <c r="J220" s="8"/>
    </row>
    <row r="221" spans="2:10" ht="12.75" x14ac:dyDescent="0.2">
      <c r="B221" s="6"/>
      <c r="C221" s="6"/>
      <c r="D221" s="6"/>
      <c r="E221" s="9"/>
      <c r="F221" s="9"/>
      <c r="G221" s="11"/>
      <c r="H221" s="5"/>
      <c r="I221" s="8"/>
      <c r="J221" s="8"/>
    </row>
    <row r="222" spans="2:10" ht="12.75" x14ac:dyDescent="0.2">
      <c r="B222" s="6"/>
      <c r="C222" s="6"/>
      <c r="D222" s="6"/>
      <c r="E222" s="9"/>
      <c r="F222" s="9"/>
      <c r="G222" s="11"/>
      <c r="H222" s="5"/>
      <c r="I222" s="8"/>
      <c r="J222" s="8"/>
    </row>
    <row r="223" spans="2:10" ht="12.75" x14ac:dyDescent="0.2">
      <c r="B223" s="6"/>
      <c r="C223" s="6"/>
      <c r="D223" s="6"/>
      <c r="E223" s="9"/>
      <c r="F223" s="9"/>
      <c r="G223" s="11"/>
      <c r="H223" s="5"/>
      <c r="I223" s="8"/>
      <c r="J223" s="8"/>
    </row>
    <row r="224" spans="2:10" ht="12.75" x14ac:dyDescent="0.2">
      <c r="B224" s="6"/>
      <c r="C224" s="6"/>
      <c r="D224" s="6"/>
      <c r="E224" s="9"/>
      <c r="F224" s="9"/>
      <c r="G224" s="11"/>
      <c r="H224" s="5"/>
      <c r="I224" s="8"/>
      <c r="J224" s="8"/>
    </row>
    <row r="225" spans="2:10" ht="12.75" x14ac:dyDescent="0.2">
      <c r="B225" s="6"/>
      <c r="C225" s="6"/>
      <c r="D225" s="6"/>
      <c r="E225" s="9"/>
      <c r="F225" s="9"/>
      <c r="G225" s="11"/>
      <c r="H225" s="5"/>
      <c r="I225" s="8"/>
      <c r="J225" s="8"/>
    </row>
    <row r="226" spans="2:10" ht="12.75" x14ac:dyDescent="0.2">
      <c r="B226" s="6"/>
      <c r="C226" s="6"/>
      <c r="D226" s="6"/>
      <c r="E226" s="9"/>
      <c r="F226" s="9"/>
      <c r="G226" s="11"/>
      <c r="H226" s="5"/>
      <c r="I226" s="8"/>
      <c r="J226" s="8"/>
    </row>
    <row r="227" spans="2:10" ht="12.75" x14ac:dyDescent="0.2">
      <c r="B227" s="6"/>
      <c r="C227" s="6"/>
      <c r="D227" s="6"/>
      <c r="E227" s="9"/>
      <c r="F227" s="9"/>
      <c r="G227" s="11"/>
      <c r="H227" s="5"/>
      <c r="I227" s="8"/>
      <c r="J227" s="8"/>
    </row>
    <row r="228" spans="2:10" ht="12.75" x14ac:dyDescent="0.2">
      <c r="B228" s="6"/>
      <c r="C228" s="6"/>
      <c r="D228" s="6"/>
      <c r="E228" s="9"/>
      <c r="F228" s="9"/>
      <c r="G228" s="11"/>
      <c r="H228" s="5"/>
      <c r="I228" s="8"/>
      <c r="J228" s="8"/>
    </row>
    <row r="229" spans="2:10" ht="12.75" x14ac:dyDescent="0.2">
      <c r="B229" s="6"/>
      <c r="C229" s="6"/>
      <c r="D229" s="6"/>
      <c r="E229" s="9"/>
      <c r="F229" s="9"/>
      <c r="G229" s="11"/>
      <c r="H229" s="5"/>
      <c r="I229" s="8"/>
      <c r="J229" s="8"/>
    </row>
    <row r="230" spans="2:10" ht="12.75" x14ac:dyDescent="0.2">
      <c r="B230" s="6"/>
      <c r="C230" s="6"/>
      <c r="D230" s="6"/>
      <c r="E230" s="9"/>
      <c r="F230" s="9"/>
      <c r="G230" s="11"/>
      <c r="H230" s="5"/>
      <c r="I230" s="8"/>
      <c r="J230" s="8"/>
    </row>
    <row r="231" spans="2:10" ht="12.75" x14ac:dyDescent="0.2">
      <c r="B231" s="6"/>
      <c r="C231" s="6"/>
      <c r="D231" s="6"/>
      <c r="E231" s="9"/>
      <c r="F231" s="9"/>
      <c r="G231" s="11"/>
      <c r="H231" s="5"/>
      <c r="I231" s="8"/>
      <c r="J231" s="8"/>
    </row>
    <row r="232" spans="2:10" ht="12.75" x14ac:dyDescent="0.2">
      <c r="B232" s="6"/>
      <c r="C232" s="6"/>
      <c r="D232" s="6"/>
      <c r="E232" s="9"/>
      <c r="F232" s="9"/>
      <c r="G232" s="11"/>
      <c r="H232" s="5"/>
      <c r="I232" s="8"/>
      <c r="J232" s="8"/>
    </row>
    <row r="233" spans="2:10" ht="12.75" x14ac:dyDescent="0.2">
      <c r="B233" s="6"/>
      <c r="C233" s="6"/>
      <c r="D233" s="6"/>
      <c r="E233" s="9"/>
      <c r="F233" s="9"/>
      <c r="G233" s="11"/>
      <c r="H233" s="5"/>
      <c r="I233" s="8"/>
      <c r="J233" s="8"/>
    </row>
    <row r="234" spans="2:10" ht="12.75" x14ac:dyDescent="0.2">
      <c r="B234" s="6"/>
      <c r="C234" s="6"/>
      <c r="D234" s="6"/>
      <c r="E234" s="9"/>
      <c r="F234" s="9"/>
      <c r="G234" s="11"/>
      <c r="H234" s="5"/>
      <c r="I234" s="8"/>
      <c r="J234" s="8"/>
    </row>
    <row r="235" spans="2:10" ht="12.75" x14ac:dyDescent="0.2">
      <c r="B235" s="6"/>
      <c r="C235" s="6"/>
      <c r="D235" s="6"/>
      <c r="E235" s="9"/>
      <c r="F235" s="9"/>
      <c r="G235" s="11"/>
      <c r="H235" s="5"/>
      <c r="I235" s="8"/>
      <c r="J235" s="8"/>
    </row>
    <row r="236" spans="2:10" ht="12.75" x14ac:dyDescent="0.2">
      <c r="B236" s="6"/>
      <c r="C236" s="6"/>
      <c r="D236" s="6"/>
      <c r="E236" s="9"/>
      <c r="F236" s="9"/>
      <c r="G236" s="11"/>
      <c r="H236" s="5"/>
      <c r="I236" s="8"/>
      <c r="J236" s="8"/>
    </row>
    <row r="237" spans="2:10" ht="12.75" x14ac:dyDescent="0.2">
      <c r="B237" s="6"/>
      <c r="C237" s="6"/>
      <c r="D237" s="6"/>
      <c r="E237" s="9"/>
      <c r="F237" s="9"/>
      <c r="G237" s="11"/>
      <c r="H237" s="5"/>
      <c r="I237" s="8"/>
      <c r="J237" s="8"/>
    </row>
    <row r="238" spans="2:10" ht="12.75" x14ac:dyDescent="0.2">
      <c r="B238" s="6"/>
      <c r="C238" s="6"/>
      <c r="D238" s="6"/>
      <c r="E238" s="9"/>
      <c r="F238" s="9"/>
      <c r="G238" s="11"/>
      <c r="H238" s="5"/>
      <c r="I238" s="8"/>
      <c r="J238" s="8"/>
    </row>
    <row r="239" spans="2:10" ht="12.75" x14ac:dyDescent="0.2">
      <c r="B239" s="6"/>
      <c r="C239" s="6"/>
      <c r="D239" s="6"/>
      <c r="E239" s="9"/>
      <c r="F239" s="9"/>
      <c r="G239" s="11"/>
      <c r="H239" s="5"/>
      <c r="I239" s="8"/>
      <c r="J239" s="8"/>
    </row>
    <row r="240" spans="2:10" ht="12.75" x14ac:dyDescent="0.2">
      <c r="B240" s="6"/>
      <c r="C240" s="6"/>
      <c r="D240" s="6"/>
      <c r="E240" s="9"/>
      <c r="F240" s="9"/>
      <c r="G240" s="11"/>
      <c r="H240" s="5"/>
      <c r="I240" s="8"/>
      <c r="J240" s="8"/>
    </row>
    <row r="241" spans="2:10" ht="12.75" x14ac:dyDescent="0.2">
      <c r="B241" s="6"/>
      <c r="C241" s="6"/>
      <c r="D241" s="6"/>
      <c r="E241" s="9"/>
      <c r="F241" s="9"/>
      <c r="G241" s="11"/>
      <c r="H241" s="5"/>
      <c r="I241" s="8"/>
      <c r="J241" s="8"/>
    </row>
    <row r="242" spans="2:10" ht="12.75" x14ac:dyDescent="0.2">
      <c r="B242" s="6"/>
      <c r="C242" s="6"/>
      <c r="D242" s="6"/>
      <c r="E242" s="9"/>
      <c r="F242" s="9"/>
      <c r="G242" s="11"/>
      <c r="H242" s="5"/>
      <c r="I242" s="8"/>
      <c r="J242" s="8"/>
    </row>
    <row r="243" spans="2:10" ht="12.75" x14ac:dyDescent="0.2">
      <c r="B243" s="6"/>
      <c r="C243" s="6"/>
      <c r="D243" s="6"/>
      <c r="E243" s="9"/>
      <c r="F243" s="9"/>
      <c r="G243" s="11"/>
      <c r="H243" s="5"/>
      <c r="I243" s="8"/>
      <c r="J243" s="8"/>
    </row>
    <row r="244" spans="2:10" ht="12.75" x14ac:dyDescent="0.2">
      <c r="B244" s="6"/>
      <c r="C244" s="6"/>
      <c r="D244" s="6"/>
      <c r="E244" s="9"/>
      <c r="F244" s="9"/>
      <c r="G244" s="11"/>
      <c r="H244" s="5"/>
      <c r="I244" s="8"/>
      <c r="J244" s="8"/>
    </row>
    <row r="245" spans="2:10" ht="12.75" x14ac:dyDescent="0.2">
      <c r="B245" s="6"/>
      <c r="C245" s="6"/>
      <c r="D245" s="6"/>
      <c r="E245" s="9"/>
      <c r="F245" s="9"/>
      <c r="G245" s="11"/>
      <c r="H245" s="5"/>
      <c r="I245" s="8"/>
      <c r="J245" s="8"/>
    </row>
    <row r="246" spans="2:10" ht="12.75" x14ac:dyDescent="0.2">
      <c r="B246" s="6"/>
      <c r="C246" s="6"/>
      <c r="D246" s="6"/>
      <c r="E246" s="9"/>
      <c r="F246" s="9"/>
      <c r="G246" s="11"/>
      <c r="H246" s="5"/>
      <c r="I246" s="8"/>
      <c r="J246" s="8"/>
    </row>
    <row r="247" spans="2:10" ht="12.75" x14ac:dyDescent="0.2">
      <c r="B247" s="6"/>
      <c r="C247" s="6"/>
      <c r="D247" s="6"/>
      <c r="E247" s="9"/>
      <c r="F247" s="9"/>
      <c r="G247" s="11"/>
      <c r="H247" s="5"/>
      <c r="I247" s="8"/>
      <c r="J247" s="8"/>
    </row>
    <row r="248" spans="2:10" ht="12.75" x14ac:dyDescent="0.2">
      <c r="B248" s="6"/>
      <c r="C248" s="6"/>
      <c r="D248" s="6"/>
      <c r="E248" s="9"/>
      <c r="F248" s="9"/>
      <c r="G248" s="11"/>
      <c r="H248" s="5"/>
      <c r="I248" s="8"/>
      <c r="J248" s="8"/>
    </row>
    <row r="249" spans="2:10" ht="12.75" x14ac:dyDescent="0.2">
      <c r="B249" s="6"/>
      <c r="C249" s="6"/>
      <c r="D249" s="6"/>
      <c r="E249" s="9"/>
      <c r="F249" s="9"/>
      <c r="G249" s="11"/>
      <c r="H249" s="5"/>
      <c r="I249" s="8"/>
      <c r="J249" s="8"/>
    </row>
    <row r="250" spans="2:10" ht="12.75" x14ac:dyDescent="0.2">
      <c r="B250" s="6"/>
      <c r="C250" s="6"/>
      <c r="D250" s="6"/>
      <c r="E250" s="9"/>
      <c r="F250" s="9"/>
      <c r="G250" s="11"/>
      <c r="H250" s="5"/>
      <c r="I250" s="8"/>
      <c r="J250" s="8"/>
    </row>
    <row r="251" spans="2:10" ht="12.75" x14ac:dyDescent="0.2">
      <c r="B251" s="6"/>
      <c r="C251" s="6"/>
      <c r="D251" s="6"/>
      <c r="E251" s="9"/>
      <c r="F251" s="9"/>
      <c r="G251" s="11"/>
      <c r="H251" s="5"/>
      <c r="I251" s="8"/>
      <c r="J251" s="8"/>
    </row>
    <row r="252" spans="2:10" ht="12.75" x14ac:dyDescent="0.2">
      <c r="B252" s="6"/>
      <c r="C252" s="6"/>
      <c r="D252" s="6"/>
      <c r="E252" s="9"/>
      <c r="F252" s="9"/>
      <c r="G252" s="11"/>
      <c r="H252" s="5"/>
      <c r="I252" s="8"/>
      <c r="J252" s="8"/>
    </row>
    <row r="253" spans="2:10" ht="12.75" x14ac:dyDescent="0.2">
      <c r="B253" s="6"/>
      <c r="C253" s="6"/>
      <c r="D253" s="6"/>
      <c r="E253" s="9"/>
      <c r="F253" s="9"/>
      <c r="G253" s="11"/>
      <c r="H253" s="5"/>
      <c r="I253" s="8"/>
      <c r="J253" s="8"/>
    </row>
    <row r="254" spans="2:10" ht="12.75" x14ac:dyDescent="0.2">
      <c r="B254" s="6"/>
      <c r="C254" s="6"/>
      <c r="D254" s="6"/>
      <c r="E254" s="9"/>
      <c r="F254" s="9"/>
      <c r="G254" s="11"/>
      <c r="H254" s="5"/>
      <c r="I254" s="8"/>
      <c r="J254" s="8"/>
    </row>
    <row r="255" spans="2:10" ht="12.75" x14ac:dyDescent="0.2">
      <c r="B255" s="6"/>
      <c r="C255" s="6"/>
      <c r="D255" s="6"/>
      <c r="E255" s="9"/>
      <c r="F255" s="9"/>
      <c r="G255" s="11"/>
      <c r="H255" s="5"/>
      <c r="I255" s="8"/>
      <c r="J255" s="8"/>
    </row>
    <row r="256" spans="2:10" ht="12.75" x14ac:dyDescent="0.2">
      <c r="B256" s="6"/>
      <c r="C256" s="6"/>
      <c r="D256" s="6"/>
      <c r="E256" s="9"/>
      <c r="F256" s="9"/>
      <c r="G256" s="11"/>
      <c r="H256" s="5"/>
      <c r="I256" s="8"/>
      <c r="J256" s="8"/>
    </row>
    <row r="257" spans="2:10" ht="12.75" x14ac:dyDescent="0.2">
      <c r="B257" s="6"/>
      <c r="C257" s="6"/>
      <c r="D257" s="6"/>
      <c r="E257" s="9"/>
      <c r="F257" s="9"/>
      <c r="G257" s="11"/>
      <c r="H257" s="5"/>
      <c r="I257" s="8"/>
      <c r="J257" s="8"/>
    </row>
    <row r="258" spans="2:10" ht="12.75" x14ac:dyDescent="0.2">
      <c r="B258" s="6"/>
      <c r="C258" s="6"/>
      <c r="D258" s="6"/>
      <c r="E258" s="9"/>
      <c r="F258" s="9"/>
      <c r="G258" s="11"/>
      <c r="H258" s="5"/>
      <c r="I258" s="8"/>
      <c r="J258" s="8"/>
    </row>
    <row r="259" spans="2:10" ht="12.75" x14ac:dyDescent="0.2">
      <c r="B259" s="6"/>
      <c r="C259" s="6"/>
      <c r="D259" s="6"/>
      <c r="E259" s="9"/>
      <c r="F259" s="9"/>
      <c r="G259" s="11"/>
      <c r="H259" s="5"/>
      <c r="I259" s="8"/>
      <c r="J259" s="8"/>
    </row>
    <row r="260" spans="2:10" ht="12.75" x14ac:dyDescent="0.2">
      <c r="B260" s="6"/>
      <c r="C260" s="6"/>
      <c r="D260" s="6"/>
      <c r="E260" s="9"/>
      <c r="F260" s="9"/>
      <c r="G260" s="11"/>
      <c r="H260" s="5"/>
      <c r="I260" s="8"/>
      <c r="J260" s="8"/>
    </row>
    <row r="261" spans="2:10" ht="12.75" x14ac:dyDescent="0.2">
      <c r="B261" s="6"/>
      <c r="C261" s="6"/>
      <c r="D261" s="6"/>
      <c r="E261" s="9"/>
      <c r="F261" s="9"/>
      <c r="G261" s="11"/>
      <c r="H261" s="5"/>
      <c r="I261" s="8"/>
      <c r="J261" s="8"/>
    </row>
    <row r="262" spans="2:10" ht="12.75" x14ac:dyDescent="0.2">
      <c r="B262" s="6"/>
      <c r="C262" s="6"/>
      <c r="D262" s="6"/>
      <c r="E262" s="9"/>
      <c r="F262" s="9"/>
      <c r="G262" s="11"/>
      <c r="H262" s="5"/>
      <c r="I262" s="8"/>
      <c r="J262" s="8"/>
    </row>
    <row r="263" spans="2:10" ht="12.75" x14ac:dyDescent="0.2">
      <c r="B263" s="6"/>
      <c r="C263" s="6"/>
      <c r="D263" s="6"/>
      <c r="E263" s="9"/>
      <c r="F263" s="9"/>
      <c r="G263" s="11"/>
      <c r="H263" s="5"/>
      <c r="I263" s="8"/>
      <c r="J263" s="8"/>
    </row>
    <row r="264" spans="2:10" ht="12.75" x14ac:dyDescent="0.2">
      <c r="B264" s="6"/>
      <c r="C264" s="6"/>
      <c r="D264" s="6"/>
      <c r="E264" s="9"/>
      <c r="F264" s="9"/>
      <c r="G264" s="11"/>
      <c r="H264" s="5"/>
      <c r="I264" s="8"/>
      <c r="J264" s="8"/>
    </row>
    <row r="265" spans="2:10" ht="12.75" x14ac:dyDescent="0.2">
      <c r="B265" s="6"/>
      <c r="C265" s="6"/>
      <c r="D265" s="6"/>
      <c r="E265" s="9"/>
      <c r="F265" s="9"/>
      <c r="G265" s="11"/>
      <c r="H265" s="5"/>
      <c r="I265" s="8"/>
      <c r="J265" s="8"/>
    </row>
    <row r="266" spans="2:10" ht="12.75" x14ac:dyDescent="0.2">
      <c r="B266" s="6"/>
      <c r="C266" s="6"/>
      <c r="D266" s="6"/>
      <c r="E266" s="9"/>
      <c r="F266" s="9"/>
      <c r="G266" s="11"/>
      <c r="H266" s="5"/>
      <c r="I266" s="8"/>
      <c r="J266" s="8"/>
    </row>
    <row r="267" spans="2:10" ht="12.75" x14ac:dyDescent="0.2">
      <c r="B267" s="6"/>
      <c r="C267" s="6"/>
      <c r="D267" s="6"/>
      <c r="E267" s="9"/>
      <c r="F267" s="9"/>
      <c r="G267" s="11"/>
      <c r="H267" s="5"/>
      <c r="I267" s="8"/>
      <c r="J267" s="8"/>
    </row>
    <row r="268" spans="2:10" ht="12.75" x14ac:dyDescent="0.2">
      <c r="B268" s="6"/>
      <c r="C268" s="6"/>
      <c r="D268" s="6"/>
      <c r="E268" s="9"/>
      <c r="F268" s="9"/>
      <c r="G268" s="11"/>
      <c r="H268" s="5"/>
      <c r="I268" s="8"/>
      <c r="J268" s="8"/>
    </row>
    <row r="269" spans="2:10" ht="12.75" x14ac:dyDescent="0.2">
      <c r="B269" s="6"/>
      <c r="C269" s="6"/>
      <c r="D269" s="6"/>
      <c r="E269" s="9"/>
      <c r="F269" s="9"/>
      <c r="G269" s="11"/>
      <c r="H269" s="5"/>
      <c r="I269" s="8"/>
      <c r="J269" s="8"/>
    </row>
    <row r="270" spans="2:10" ht="12.75" x14ac:dyDescent="0.2">
      <c r="B270" s="6"/>
      <c r="C270" s="6"/>
      <c r="D270" s="6"/>
      <c r="E270" s="9"/>
      <c r="F270" s="9"/>
      <c r="G270" s="11"/>
      <c r="H270" s="5"/>
      <c r="I270" s="8"/>
      <c r="J270" s="8"/>
    </row>
    <row r="271" spans="2:10" ht="12.75" x14ac:dyDescent="0.2">
      <c r="B271" s="6"/>
      <c r="C271" s="6"/>
      <c r="D271" s="6"/>
      <c r="E271" s="9"/>
      <c r="F271" s="9"/>
      <c r="G271" s="11"/>
      <c r="H271" s="5"/>
      <c r="I271" s="8"/>
      <c r="J271" s="8"/>
    </row>
    <row r="272" spans="2:10" ht="12.75" x14ac:dyDescent="0.2">
      <c r="B272" s="6"/>
      <c r="C272" s="6"/>
      <c r="D272" s="6"/>
      <c r="E272" s="9"/>
      <c r="F272" s="9"/>
      <c r="G272" s="11"/>
      <c r="H272" s="5"/>
      <c r="I272" s="8"/>
      <c r="J272" s="8"/>
    </row>
    <row r="273" spans="2:10" ht="12.75" x14ac:dyDescent="0.2">
      <c r="B273" s="6"/>
      <c r="C273" s="6"/>
      <c r="D273" s="6"/>
      <c r="E273" s="9"/>
      <c r="F273" s="9"/>
      <c r="G273" s="11"/>
      <c r="H273" s="5"/>
      <c r="I273" s="8"/>
      <c r="J273" s="8"/>
    </row>
    <row r="274" spans="2:10" ht="12.75" x14ac:dyDescent="0.2">
      <c r="B274" s="6"/>
      <c r="C274" s="6"/>
      <c r="D274" s="6"/>
      <c r="E274" s="9"/>
      <c r="F274" s="9"/>
      <c r="G274" s="11"/>
      <c r="H274" s="5"/>
      <c r="I274" s="8"/>
      <c r="J274" s="8"/>
    </row>
    <row r="275" spans="2:10" ht="12.75" x14ac:dyDescent="0.2">
      <c r="B275" s="6"/>
      <c r="C275" s="6"/>
      <c r="D275" s="6"/>
      <c r="E275" s="9"/>
      <c r="F275" s="9"/>
      <c r="G275" s="11"/>
      <c r="H275" s="5"/>
      <c r="I275" s="8"/>
      <c r="J275" s="8"/>
    </row>
    <row r="276" spans="2:10" ht="12.75" x14ac:dyDescent="0.2">
      <c r="B276" s="6"/>
      <c r="C276" s="6"/>
      <c r="D276" s="6"/>
      <c r="E276" s="9"/>
      <c r="F276" s="9"/>
      <c r="G276" s="11"/>
      <c r="H276" s="5"/>
      <c r="I276" s="8"/>
      <c r="J276" s="8"/>
    </row>
    <row r="277" spans="2:10" ht="12.75" x14ac:dyDescent="0.2">
      <c r="B277" s="6"/>
      <c r="C277" s="6"/>
      <c r="D277" s="6"/>
      <c r="E277" s="9"/>
      <c r="F277" s="9"/>
      <c r="G277" s="11"/>
      <c r="H277" s="5"/>
      <c r="I277" s="8"/>
      <c r="J277" s="8"/>
    </row>
    <row r="278" spans="2:10" ht="12.75" x14ac:dyDescent="0.2">
      <c r="B278" s="6"/>
      <c r="C278" s="6"/>
      <c r="D278" s="6"/>
      <c r="E278" s="9"/>
      <c r="F278" s="9"/>
      <c r="G278" s="11"/>
      <c r="H278" s="5"/>
      <c r="I278" s="8"/>
      <c r="J278" s="8"/>
    </row>
    <row r="279" spans="2:10" ht="12.75" x14ac:dyDescent="0.2">
      <c r="B279" s="6"/>
      <c r="C279" s="6"/>
      <c r="D279" s="6"/>
      <c r="E279" s="9"/>
      <c r="F279" s="9"/>
      <c r="G279" s="11"/>
      <c r="H279" s="5"/>
      <c r="I279" s="8"/>
      <c r="J279" s="8"/>
    </row>
    <row r="280" spans="2:10" ht="12.75" x14ac:dyDescent="0.2">
      <c r="B280" s="6"/>
      <c r="C280" s="6"/>
      <c r="D280" s="6"/>
      <c r="E280" s="9"/>
      <c r="F280" s="9"/>
      <c r="G280" s="11"/>
      <c r="H280" s="5"/>
      <c r="I280" s="8"/>
      <c r="J280" s="8"/>
    </row>
    <row r="281" spans="2:10" ht="12.75" x14ac:dyDescent="0.2">
      <c r="B281" s="6"/>
      <c r="C281" s="6"/>
      <c r="D281" s="6"/>
      <c r="E281" s="9"/>
      <c r="F281" s="9"/>
      <c r="G281" s="11"/>
      <c r="H281" s="5"/>
      <c r="I281" s="8"/>
      <c r="J281" s="8"/>
    </row>
    <row r="282" spans="2:10" ht="12.75" x14ac:dyDescent="0.2">
      <c r="B282" s="6"/>
      <c r="C282" s="6"/>
      <c r="D282" s="6"/>
      <c r="E282" s="9"/>
      <c r="F282" s="9"/>
      <c r="G282" s="11"/>
      <c r="H282" s="5"/>
      <c r="I282" s="8"/>
      <c r="J282" s="8"/>
    </row>
    <row r="283" spans="2:10" ht="12.75" x14ac:dyDescent="0.2">
      <c r="B283" s="6"/>
      <c r="C283" s="6"/>
      <c r="D283" s="6"/>
      <c r="E283" s="9"/>
      <c r="F283" s="9"/>
      <c r="G283" s="11"/>
      <c r="H283" s="5"/>
      <c r="I283" s="8"/>
      <c r="J283" s="8"/>
    </row>
    <row r="284" spans="2:10" ht="12.75" x14ac:dyDescent="0.2">
      <c r="B284" s="6"/>
      <c r="C284" s="6"/>
      <c r="D284" s="6"/>
      <c r="E284" s="9"/>
      <c r="F284" s="9"/>
      <c r="G284" s="11"/>
      <c r="H284" s="5"/>
      <c r="I284" s="8"/>
      <c r="J284" s="8"/>
    </row>
    <row r="285" spans="2:10" ht="12.75" x14ac:dyDescent="0.2">
      <c r="B285" s="6"/>
      <c r="C285" s="6"/>
      <c r="D285" s="6"/>
      <c r="E285" s="9"/>
      <c r="F285" s="9"/>
      <c r="G285" s="11"/>
      <c r="H285" s="5"/>
      <c r="I285" s="8"/>
      <c r="J285" s="8"/>
    </row>
    <row r="286" spans="2:10" ht="12.75" x14ac:dyDescent="0.2">
      <c r="B286" s="6"/>
      <c r="C286" s="6"/>
      <c r="D286" s="6"/>
      <c r="E286" s="9"/>
      <c r="F286" s="9"/>
      <c r="G286" s="11"/>
      <c r="H286" s="5"/>
      <c r="I286" s="8"/>
      <c r="J286" s="8"/>
    </row>
    <row r="287" spans="2:10" ht="12.75" x14ac:dyDescent="0.2">
      <c r="B287" s="6"/>
      <c r="C287" s="6"/>
      <c r="D287" s="6"/>
      <c r="E287" s="9"/>
      <c r="F287" s="9"/>
      <c r="G287" s="11"/>
      <c r="H287" s="5"/>
      <c r="I287" s="8"/>
      <c r="J287" s="8"/>
    </row>
    <row r="288" spans="2:10" ht="12.75" x14ac:dyDescent="0.2">
      <c r="B288" s="6"/>
      <c r="C288" s="6"/>
      <c r="D288" s="6"/>
      <c r="E288" s="9"/>
      <c r="F288" s="9"/>
      <c r="G288" s="11"/>
      <c r="H288" s="5"/>
      <c r="I288" s="8"/>
      <c r="J288" s="8"/>
    </row>
    <row r="289" spans="2:10" ht="12.75" x14ac:dyDescent="0.2">
      <c r="B289" s="6"/>
      <c r="C289" s="6"/>
      <c r="D289" s="6"/>
      <c r="E289" s="9"/>
      <c r="F289" s="9"/>
      <c r="G289" s="11"/>
      <c r="H289" s="5"/>
      <c r="I289" s="8"/>
      <c r="J289" s="8"/>
    </row>
    <row r="290" spans="2:10" ht="12.75" x14ac:dyDescent="0.2">
      <c r="B290" s="6"/>
      <c r="C290" s="6"/>
      <c r="D290" s="6"/>
      <c r="E290" s="9"/>
      <c r="F290" s="9"/>
      <c r="G290" s="11"/>
      <c r="H290" s="5"/>
      <c r="I290" s="8"/>
      <c r="J290" s="8"/>
    </row>
    <row r="291" spans="2:10" ht="12.75" x14ac:dyDescent="0.2">
      <c r="B291" s="6"/>
      <c r="C291" s="6"/>
      <c r="D291" s="6"/>
      <c r="E291" s="9"/>
      <c r="F291" s="9"/>
      <c r="G291" s="11"/>
      <c r="H291" s="5"/>
      <c r="I291" s="8"/>
      <c r="J291" s="8"/>
    </row>
    <row r="292" spans="2:10" ht="12.75" x14ac:dyDescent="0.2">
      <c r="B292" s="6"/>
      <c r="C292" s="6"/>
      <c r="D292" s="6"/>
      <c r="E292" s="9"/>
      <c r="F292" s="9"/>
      <c r="G292" s="11"/>
      <c r="H292" s="5"/>
      <c r="I292" s="8"/>
      <c r="J292" s="8"/>
    </row>
    <row r="293" spans="2:10" ht="12.75" x14ac:dyDescent="0.2">
      <c r="B293" s="6"/>
      <c r="C293" s="6"/>
      <c r="D293" s="6"/>
      <c r="E293" s="9"/>
      <c r="F293" s="9"/>
      <c r="G293" s="11"/>
      <c r="H293" s="5"/>
      <c r="I293" s="8"/>
      <c r="J293" s="8"/>
    </row>
    <row r="294" spans="2:10" ht="12.75" x14ac:dyDescent="0.2">
      <c r="B294" s="6"/>
      <c r="C294" s="6"/>
      <c r="D294" s="6"/>
      <c r="E294" s="9"/>
      <c r="F294" s="9"/>
      <c r="G294" s="11"/>
      <c r="H294" s="5"/>
      <c r="I294" s="8"/>
      <c r="J294" s="8"/>
    </row>
    <row r="295" spans="2:10" ht="12.75" x14ac:dyDescent="0.2">
      <c r="B295" s="6"/>
      <c r="C295" s="6"/>
      <c r="D295" s="6"/>
      <c r="E295" s="9"/>
      <c r="F295" s="9"/>
      <c r="G295" s="11"/>
      <c r="H295" s="5"/>
      <c r="I295" s="8"/>
      <c r="J295" s="8"/>
    </row>
    <row r="296" spans="2:10" ht="12.75" x14ac:dyDescent="0.2">
      <c r="B296" s="6"/>
      <c r="C296" s="6"/>
      <c r="D296" s="6"/>
      <c r="E296" s="9"/>
      <c r="F296" s="9"/>
      <c r="G296" s="11"/>
      <c r="H296" s="5"/>
      <c r="I296" s="8"/>
      <c r="J296" s="8"/>
    </row>
    <row r="297" spans="2:10" ht="12.75" x14ac:dyDescent="0.2">
      <c r="B297" s="6"/>
      <c r="C297" s="6"/>
      <c r="D297" s="6"/>
      <c r="E297" s="9"/>
      <c r="F297" s="9"/>
      <c r="G297" s="11"/>
      <c r="H297" s="5"/>
      <c r="I297" s="8"/>
      <c r="J297" s="8"/>
    </row>
    <row r="298" spans="2:10" ht="12.75" x14ac:dyDescent="0.2">
      <c r="B298" s="6"/>
      <c r="C298" s="6"/>
      <c r="D298" s="6"/>
      <c r="E298" s="9"/>
      <c r="F298" s="9"/>
      <c r="G298" s="11"/>
      <c r="H298" s="5"/>
      <c r="I298" s="8"/>
      <c r="J298" s="8"/>
    </row>
    <row r="299" spans="2:10" ht="12.75" x14ac:dyDescent="0.2">
      <c r="B299" s="6"/>
      <c r="C299" s="6"/>
      <c r="D299" s="6"/>
      <c r="E299" s="9"/>
      <c r="F299" s="9"/>
      <c r="G299" s="11"/>
      <c r="H299" s="5"/>
      <c r="I299" s="8"/>
      <c r="J299" s="8"/>
    </row>
    <row r="300" spans="2:10" ht="12.75" x14ac:dyDescent="0.2">
      <c r="B300" s="6"/>
      <c r="C300" s="6"/>
      <c r="D300" s="6"/>
      <c r="E300" s="9"/>
      <c r="F300" s="9"/>
      <c r="G300" s="11"/>
      <c r="H300" s="5"/>
      <c r="I300" s="8"/>
      <c r="J300" s="8"/>
    </row>
    <row r="301" spans="2:10" ht="12.75" x14ac:dyDescent="0.2">
      <c r="B301" s="6"/>
      <c r="C301" s="6"/>
      <c r="D301" s="6"/>
      <c r="E301" s="9"/>
      <c r="F301" s="9"/>
      <c r="G301" s="11"/>
      <c r="H301" s="5"/>
      <c r="I301" s="8"/>
      <c r="J301" s="8"/>
    </row>
    <row r="302" spans="2:10" ht="12.75" x14ac:dyDescent="0.2">
      <c r="B302" s="6"/>
      <c r="C302" s="6"/>
      <c r="D302" s="6"/>
      <c r="E302" s="9"/>
      <c r="F302" s="9"/>
      <c r="G302" s="11"/>
      <c r="H302" s="5"/>
      <c r="I302" s="8"/>
      <c r="J302" s="8"/>
    </row>
    <row r="303" spans="2:10" ht="12.75" x14ac:dyDescent="0.2">
      <c r="B303" s="6"/>
      <c r="C303" s="6"/>
      <c r="D303" s="6"/>
      <c r="E303" s="9"/>
      <c r="F303" s="9"/>
      <c r="G303" s="11"/>
      <c r="H303" s="5"/>
      <c r="I303" s="8"/>
      <c r="J303" s="8"/>
    </row>
    <row r="304" spans="2:10" ht="12.75" x14ac:dyDescent="0.2">
      <c r="B304" s="6"/>
      <c r="C304" s="6"/>
      <c r="D304" s="6"/>
      <c r="E304" s="9"/>
      <c r="F304" s="9"/>
      <c r="G304" s="11"/>
      <c r="H304" s="5"/>
      <c r="I304" s="8"/>
      <c r="J304" s="8"/>
    </row>
    <row r="305" spans="2:10" ht="12.75" x14ac:dyDescent="0.2">
      <c r="B305" s="6"/>
      <c r="C305" s="6"/>
      <c r="D305" s="6"/>
      <c r="E305" s="9"/>
      <c r="F305" s="9"/>
      <c r="G305" s="11"/>
      <c r="H305" s="5"/>
      <c r="I305" s="8"/>
      <c r="J305" s="8"/>
    </row>
    <row r="306" spans="2:10" ht="12.75" x14ac:dyDescent="0.2">
      <c r="B306" s="6"/>
      <c r="C306" s="6"/>
      <c r="D306" s="6"/>
      <c r="E306" s="9"/>
      <c r="F306" s="9"/>
      <c r="G306" s="11"/>
      <c r="H306" s="5"/>
      <c r="I306" s="8"/>
      <c r="J306" s="8"/>
    </row>
    <row r="307" spans="2:10" ht="12.75" x14ac:dyDescent="0.2">
      <c r="B307" s="6"/>
      <c r="C307" s="6"/>
      <c r="D307" s="6"/>
      <c r="E307" s="9"/>
      <c r="F307" s="9"/>
      <c r="G307" s="11"/>
      <c r="H307" s="5"/>
      <c r="I307" s="8"/>
      <c r="J307" s="8"/>
    </row>
    <row r="308" spans="2:10" ht="12.75" x14ac:dyDescent="0.2">
      <c r="B308" s="6"/>
      <c r="C308" s="6"/>
      <c r="D308" s="6"/>
      <c r="E308" s="9"/>
      <c r="F308" s="9"/>
      <c r="G308" s="11"/>
      <c r="H308" s="5"/>
      <c r="I308" s="8"/>
      <c r="J308" s="8"/>
    </row>
    <row r="309" spans="2:10" ht="12.75" x14ac:dyDescent="0.2">
      <c r="B309" s="6"/>
      <c r="C309" s="6"/>
      <c r="D309" s="6"/>
      <c r="E309" s="9"/>
      <c r="F309" s="9"/>
      <c r="G309" s="11"/>
      <c r="H309" s="5"/>
      <c r="I309" s="8"/>
      <c r="J309" s="8"/>
    </row>
    <row r="310" spans="2:10" ht="12.75" x14ac:dyDescent="0.2">
      <c r="B310" s="6"/>
      <c r="C310" s="6"/>
      <c r="D310" s="6"/>
      <c r="E310" s="9"/>
      <c r="F310" s="9"/>
      <c r="G310" s="11"/>
      <c r="H310" s="5"/>
      <c r="I310" s="8"/>
      <c r="J310" s="8"/>
    </row>
    <row r="311" spans="2:10" ht="12.75" x14ac:dyDescent="0.2">
      <c r="B311" s="6"/>
      <c r="C311" s="6"/>
      <c r="D311" s="6"/>
      <c r="E311" s="9"/>
      <c r="F311" s="9"/>
      <c r="G311" s="11"/>
      <c r="H311" s="5"/>
      <c r="I311" s="8"/>
      <c r="J311" s="8"/>
    </row>
    <row r="312" spans="2:10" ht="12.75" x14ac:dyDescent="0.2">
      <c r="B312" s="6"/>
      <c r="C312" s="6"/>
      <c r="D312" s="6"/>
      <c r="E312" s="9"/>
      <c r="F312" s="9"/>
      <c r="G312" s="11"/>
      <c r="H312" s="5"/>
      <c r="I312" s="8"/>
      <c r="J312" s="8"/>
    </row>
    <row r="313" spans="2:10" ht="12.75" x14ac:dyDescent="0.2">
      <c r="B313" s="6"/>
      <c r="C313" s="6"/>
      <c r="D313" s="6"/>
      <c r="E313" s="9"/>
      <c r="F313" s="9"/>
      <c r="G313" s="11"/>
      <c r="H313" s="5"/>
      <c r="I313" s="8"/>
      <c r="J313" s="8"/>
    </row>
    <row r="314" spans="2:10" ht="12.75" x14ac:dyDescent="0.2">
      <c r="B314" s="6"/>
      <c r="C314" s="6"/>
      <c r="D314" s="6"/>
      <c r="E314" s="9"/>
      <c r="F314" s="9"/>
      <c r="G314" s="11"/>
      <c r="H314" s="5"/>
      <c r="I314" s="8"/>
      <c r="J314" s="8"/>
    </row>
    <row r="315" spans="2:10" ht="12.75" x14ac:dyDescent="0.2">
      <c r="B315" s="6"/>
      <c r="C315" s="6"/>
      <c r="D315" s="6"/>
      <c r="E315" s="9"/>
      <c r="F315" s="9"/>
      <c r="G315" s="11"/>
      <c r="H315" s="5"/>
      <c r="I315" s="8"/>
      <c r="J315" s="8"/>
    </row>
    <row r="316" spans="2:10" ht="12.75" x14ac:dyDescent="0.2">
      <c r="B316" s="6"/>
      <c r="C316" s="6"/>
      <c r="D316" s="6"/>
      <c r="E316" s="9"/>
      <c r="F316" s="9"/>
      <c r="G316" s="11"/>
      <c r="H316" s="5"/>
      <c r="I316" s="8"/>
      <c r="J316" s="8"/>
    </row>
    <row r="317" spans="2:10" ht="12.75" x14ac:dyDescent="0.2">
      <c r="B317" s="6"/>
      <c r="C317" s="6"/>
      <c r="D317" s="6"/>
      <c r="E317" s="9"/>
      <c r="F317" s="9"/>
      <c r="G317" s="11"/>
      <c r="H317" s="5"/>
      <c r="I317" s="8"/>
      <c r="J317" s="8"/>
    </row>
    <row r="318" spans="2:10" ht="12.75" x14ac:dyDescent="0.2">
      <c r="B318" s="6"/>
      <c r="C318" s="6"/>
      <c r="D318" s="6"/>
      <c r="E318" s="9"/>
      <c r="F318" s="9"/>
      <c r="G318" s="11"/>
      <c r="H318" s="5"/>
      <c r="I318" s="8"/>
      <c r="J318" s="8"/>
    </row>
    <row r="319" spans="2:10" ht="12.75" x14ac:dyDescent="0.2">
      <c r="B319" s="6"/>
      <c r="C319" s="6"/>
      <c r="D319" s="6"/>
      <c r="E319" s="9"/>
      <c r="F319" s="9"/>
      <c r="G319" s="11"/>
      <c r="H319" s="5"/>
      <c r="I319" s="8"/>
      <c r="J319" s="8"/>
    </row>
    <row r="320" spans="2:10" ht="12.75" x14ac:dyDescent="0.2">
      <c r="B320" s="6"/>
      <c r="C320" s="6"/>
      <c r="D320" s="6"/>
      <c r="E320" s="9"/>
      <c r="F320" s="9"/>
      <c r="G320" s="11"/>
      <c r="H320" s="5"/>
      <c r="I320" s="8"/>
      <c r="J320" s="8"/>
    </row>
    <row r="321" spans="2:10" ht="12.75" x14ac:dyDescent="0.2">
      <c r="B321" s="6"/>
      <c r="C321" s="6"/>
      <c r="D321" s="6"/>
      <c r="E321" s="9"/>
      <c r="F321" s="9"/>
      <c r="G321" s="11"/>
      <c r="H321" s="5"/>
      <c r="I321" s="8"/>
      <c r="J321" s="8"/>
    </row>
    <row r="322" spans="2:10" ht="12.75" x14ac:dyDescent="0.2">
      <c r="B322" s="6"/>
      <c r="C322" s="6"/>
      <c r="D322" s="6"/>
      <c r="E322" s="9"/>
      <c r="F322" s="9"/>
      <c r="G322" s="11"/>
      <c r="H322" s="5"/>
      <c r="I322" s="8"/>
      <c r="J322" s="8"/>
    </row>
    <row r="323" spans="2:10" ht="12.75" x14ac:dyDescent="0.2">
      <c r="B323" s="6"/>
      <c r="C323" s="6"/>
      <c r="D323" s="6"/>
      <c r="E323" s="9"/>
      <c r="F323" s="9"/>
      <c r="G323" s="11"/>
      <c r="H323" s="5"/>
      <c r="I323" s="8"/>
      <c r="J323" s="8"/>
    </row>
    <row r="324" spans="2:10" ht="12.75" x14ac:dyDescent="0.2">
      <c r="B324" s="6"/>
      <c r="C324" s="6"/>
      <c r="D324" s="6"/>
      <c r="E324" s="9"/>
      <c r="F324" s="9"/>
      <c r="G324" s="11"/>
      <c r="H324" s="5"/>
      <c r="I324" s="8"/>
      <c r="J324" s="8"/>
    </row>
    <row r="325" spans="2:10" ht="12.75" x14ac:dyDescent="0.2">
      <c r="B325" s="6"/>
      <c r="C325" s="6"/>
      <c r="D325" s="6"/>
      <c r="E325" s="9"/>
      <c r="F325" s="9"/>
      <c r="G325" s="11"/>
      <c r="H325" s="5"/>
      <c r="I325" s="8"/>
      <c r="J325" s="8"/>
    </row>
    <row r="326" spans="2:10" ht="12.75" x14ac:dyDescent="0.2">
      <c r="B326" s="6"/>
      <c r="C326" s="6"/>
      <c r="D326" s="6"/>
      <c r="E326" s="9"/>
      <c r="F326" s="9"/>
      <c r="G326" s="11"/>
      <c r="H326" s="5"/>
      <c r="I326" s="8"/>
      <c r="J326" s="8"/>
    </row>
    <row r="327" spans="2:10" ht="12.75" x14ac:dyDescent="0.2">
      <c r="B327" s="6"/>
      <c r="C327" s="6"/>
      <c r="D327" s="6"/>
      <c r="E327" s="9"/>
      <c r="F327" s="9"/>
      <c r="G327" s="11"/>
      <c r="H327" s="5"/>
      <c r="I327" s="8"/>
      <c r="J327" s="8"/>
    </row>
    <row r="328" spans="2:10" ht="12.75" x14ac:dyDescent="0.2">
      <c r="B328" s="6"/>
      <c r="C328" s="6"/>
      <c r="D328" s="6"/>
      <c r="E328" s="9"/>
      <c r="F328" s="9"/>
      <c r="G328" s="11"/>
      <c r="H328" s="5"/>
      <c r="I328" s="8"/>
      <c r="J328" s="8"/>
    </row>
    <row r="329" spans="2:10" ht="12.75" x14ac:dyDescent="0.2">
      <c r="B329" s="6"/>
      <c r="C329" s="6"/>
      <c r="D329" s="6"/>
      <c r="E329" s="9"/>
      <c r="F329" s="9"/>
      <c r="G329" s="11"/>
      <c r="H329" s="5"/>
      <c r="I329" s="8"/>
      <c r="J329" s="8"/>
    </row>
    <row r="330" spans="2:10" ht="12.75" x14ac:dyDescent="0.2">
      <c r="B330" s="6"/>
      <c r="C330" s="6"/>
      <c r="D330" s="6"/>
      <c r="E330" s="9"/>
      <c r="F330" s="9"/>
      <c r="G330" s="11"/>
      <c r="H330" s="5"/>
      <c r="I330" s="8"/>
      <c r="J330" s="8"/>
    </row>
    <row r="331" spans="2:10" ht="12.75" x14ac:dyDescent="0.2">
      <c r="B331" s="6"/>
      <c r="C331" s="6"/>
      <c r="D331" s="6"/>
      <c r="E331" s="9"/>
      <c r="F331" s="9"/>
      <c r="G331" s="11"/>
      <c r="H331" s="5"/>
      <c r="I331" s="8"/>
      <c r="J331" s="8"/>
    </row>
    <row r="332" spans="2:10" ht="12.75" x14ac:dyDescent="0.2">
      <c r="B332" s="6"/>
      <c r="C332" s="6"/>
      <c r="D332" s="6"/>
      <c r="E332" s="9"/>
      <c r="F332" s="9"/>
      <c r="G332" s="11"/>
      <c r="H332" s="5"/>
      <c r="I332" s="8"/>
      <c r="J332" s="8"/>
    </row>
    <row r="333" spans="2:10" ht="12.75" x14ac:dyDescent="0.2">
      <c r="B333" s="6"/>
      <c r="C333" s="6"/>
      <c r="D333" s="6"/>
      <c r="E333" s="9"/>
      <c r="F333" s="9"/>
      <c r="G333" s="11"/>
      <c r="H333" s="5"/>
      <c r="I333" s="8"/>
      <c r="J333" s="8"/>
    </row>
    <row r="334" spans="2:10" ht="12.75" x14ac:dyDescent="0.2">
      <c r="B334" s="6"/>
      <c r="C334" s="6"/>
      <c r="D334" s="6"/>
      <c r="E334" s="9"/>
      <c r="F334" s="9"/>
      <c r="G334" s="11"/>
      <c r="H334" s="5"/>
      <c r="I334" s="8"/>
      <c r="J334" s="8"/>
    </row>
    <row r="335" spans="2:10" ht="12.75" x14ac:dyDescent="0.2">
      <c r="B335" s="6"/>
      <c r="C335" s="6"/>
      <c r="D335" s="6"/>
      <c r="E335" s="9"/>
      <c r="F335" s="9"/>
      <c r="G335" s="11"/>
      <c r="H335" s="5"/>
      <c r="I335" s="8"/>
      <c r="J335" s="8"/>
    </row>
    <row r="336" spans="2:10" ht="12.75" x14ac:dyDescent="0.2">
      <c r="B336" s="6"/>
      <c r="C336" s="6"/>
      <c r="D336" s="6"/>
      <c r="E336" s="9"/>
      <c r="F336" s="9"/>
      <c r="G336" s="11"/>
      <c r="H336" s="5"/>
      <c r="I336" s="8"/>
      <c r="J336" s="8"/>
    </row>
    <row r="337" spans="2:10" ht="12.75" x14ac:dyDescent="0.2">
      <c r="B337" s="6"/>
      <c r="C337" s="6"/>
      <c r="D337" s="6"/>
      <c r="E337" s="9"/>
      <c r="F337" s="9"/>
      <c r="G337" s="11"/>
      <c r="H337" s="5"/>
      <c r="I337" s="8"/>
      <c r="J337" s="8"/>
    </row>
    <row r="338" spans="2:10" ht="12.75" x14ac:dyDescent="0.2">
      <c r="B338" s="6"/>
      <c r="C338" s="6"/>
      <c r="D338" s="6"/>
      <c r="E338" s="9"/>
      <c r="F338" s="9"/>
      <c r="G338" s="11"/>
      <c r="H338" s="5"/>
      <c r="I338" s="8"/>
      <c r="J338" s="8"/>
    </row>
    <row r="339" spans="2:10" ht="12.75" x14ac:dyDescent="0.2">
      <c r="B339" s="6"/>
      <c r="C339" s="6"/>
      <c r="D339" s="6"/>
      <c r="E339" s="9"/>
      <c r="F339" s="9"/>
      <c r="G339" s="11"/>
      <c r="H339" s="5"/>
      <c r="I339" s="8"/>
      <c r="J339" s="8"/>
    </row>
    <row r="340" spans="2:10" ht="12.75" x14ac:dyDescent="0.2">
      <c r="B340" s="6"/>
      <c r="C340" s="6"/>
      <c r="D340" s="6"/>
      <c r="E340" s="9"/>
      <c r="F340" s="9"/>
      <c r="G340" s="11"/>
      <c r="H340" s="5"/>
      <c r="I340" s="8"/>
      <c r="J340" s="8"/>
    </row>
    <row r="341" spans="2:10" ht="12.75" x14ac:dyDescent="0.2">
      <c r="B341" s="6"/>
      <c r="C341" s="6"/>
      <c r="D341" s="6"/>
      <c r="E341" s="9"/>
      <c r="F341" s="9"/>
      <c r="G341" s="11"/>
      <c r="H341" s="5"/>
      <c r="I341" s="8"/>
      <c r="J341" s="8"/>
    </row>
    <row r="342" spans="2:10" ht="12.75" x14ac:dyDescent="0.2">
      <c r="B342" s="6"/>
      <c r="C342" s="6"/>
      <c r="D342" s="6"/>
      <c r="E342" s="9"/>
      <c r="F342" s="9"/>
      <c r="G342" s="11"/>
      <c r="H342" s="5"/>
      <c r="I342" s="8"/>
      <c r="J342" s="8"/>
    </row>
    <row r="343" spans="2:10" ht="12.75" x14ac:dyDescent="0.2">
      <c r="B343" s="6"/>
      <c r="C343" s="6"/>
      <c r="D343" s="6"/>
      <c r="E343" s="9"/>
      <c r="F343" s="9"/>
      <c r="G343" s="11"/>
      <c r="H343" s="5"/>
      <c r="I343" s="8"/>
      <c r="J343" s="8"/>
    </row>
    <row r="344" spans="2:10" ht="12.75" x14ac:dyDescent="0.2">
      <c r="B344" s="6"/>
      <c r="C344" s="6"/>
      <c r="D344" s="6"/>
      <c r="E344" s="9"/>
      <c r="F344" s="9"/>
      <c r="G344" s="11"/>
      <c r="H344" s="5"/>
      <c r="I344" s="8"/>
      <c r="J344" s="8"/>
    </row>
    <row r="345" spans="2:10" ht="12.75" x14ac:dyDescent="0.2">
      <c r="B345" s="6"/>
      <c r="C345" s="6"/>
      <c r="D345" s="6"/>
      <c r="E345" s="9"/>
      <c r="F345" s="9"/>
      <c r="G345" s="11"/>
      <c r="H345" s="5"/>
      <c r="I345" s="8"/>
      <c r="J345" s="8"/>
    </row>
    <row r="346" spans="2:10" ht="12.75" x14ac:dyDescent="0.2">
      <c r="B346" s="6"/>
      <c r="C346" s="6"/>
      <c r="D346" s="6"/>
      <c r="E346" s="9"/>
      <c r="F346" s="9"/>
      <c r="G346" s="11"/>
      <c r="H346" s="5"/>
      <c r="I346" s="8"/>
      <c r="J346" s="8"/>
    </row>
    <row r="347" spans="2:10" ht="12.75" x14ac:dyDescent="0.2">
      <c r="B347" s="6"/>
      <c r="C347" s="6"/>
      <c r="D347" s="6"/>
      <c r="E347" s="9"/>
      <c r="F347" s="9"/>
      <c r="G347" s="11"/>
      <c r="H347" s="5"/>
      <c r="I347" s="8"/>
      <c r="J347" s="8"/>
    </row>
    <row r="348" spans="2:10" ht="12.75" x14ac:dyDescent="0.2">
      <c r="B348" s="6"/>
      <c r="C348" s="6"/>
      <c r="D348" s="6"/>
      <c r="E348" s="9"/>
      <c r="F348" s="9"/>
      <c r="G348" s="11"/>
      <c r="H348" s="5"/>
      <c r="I348" s="8"/>
      <c r="J348" s="8"/>
    </row>
    <row r="349" spans="2:10" ht="12.75" x14ac:dyDescent="0.2">
      <c r="B349" s="6"/>
      <c r="C349" s="6"/>
      <c r="D349" s="6"/>
      <c r="E349" s="9"/>
      <c r="F349" s="9"/>
      <c r="G349" s="11"/>
      <c r="H349" s="5"/>
      <c r="I349" s="8"/>
      <c r="J349" s="8"/>
    </row>
    <row r="350" spans="2:10" ht="12.75" x14ac:dyDescent="0.2">
      <c r="B350" s="6"/>
      <c r="C350" s="6"/>
      <c r="D350" s="6"/>
      <c r="E350" s="9"/>
      <c r="F350" s="9"/>
      <c r="G350" s="11"/>
      <c r="H350" s="5"/>
      <c r="I350" s="8"/>
      <c r="J350" s="8"/>
    </row>
    <row r="351" spans="2:10" ht="12.75" x14ac:dyDescent="0.2">
      <c r="B351" s="6"/>
      <c r="C351" s="6"/>
      <c r="D351" s="6"/>
      <c r="E351" s="9"/>
      <c r="F351" s="9"/>
      <c r="G351" s="11"/>
      <c r="H351" s="5"/>
      <c r="I351" s="8"/>
      <c r="J351" s="8"/>
    </row>
    <row r="352" spans="2:10" ht="12.75" x14ac:dyDescent="0.2">
      <c r="B352" s="6"/>
      <c r="C352" s="6"/>
      <c r="D352" s="6"/>
      <c r="E352" s="9"/>
      <c r="F352" s="9"/>
      <c r="G352" s="11"/>
      <c r="H352" s="5"/>
      <c r="I352" s="8"/>
      <c r="J352" s="8"/>
    </row>
    <row r="353" spans="2:10" ht="12.75" x14ac:dyDescent="0.2">
      <c r="B353" s="6"/>
      <c r="C353" s="6"/>
      <c r="D353" s="6"/>
      <c r="E353" s="9"/>
      <c r="F353" s="9"/>
      <c r="G353" s="11"/>
      <c r="H353" s="5"/>
      <c r="I353" s="8"/>
      <c r="J353" s="8"/>
    </row>
    <row r="354" spans="2:10" ht="12.75" x14ac:dyDescent="0.2">
      <c r="B354" s="6"/>
      <c r="C354" s="6"/>
      <c r="D354" s="6"/>
      <c r="E354" s="9"/>
      <c r="F354" s="9"/>
      <c r="G354" s="11"/>
      <c r="H354" s="5"/>
      <c r="I354" s="8"/>
      <c r="J354" s="8"/>
    </row>
    <row r="355" spans="2:10" ht="12.75" x14ac:dyDescent="0.2">
      <c r="B355" s="6"/>
      <c r="C355" s="6"/>
      <c r="D355" s="6"/>
      <c r="E355" s="9"/>
      <c r="F355" s="9"/>
      <c r="G355" s="11"/>
      <c r="H355" s="5"/>
      <c r="I355" s="8"/>
      <c r="J355" s="8"/>
    </row>
    <row r="356" spans="2:10" ht="12.75" x14ac:dyDescent="0.2">
      <c r="B356" s="6"/>
      <c r="C356" s="6"/>
      <c r="D356" s="6"/>
      <c r="E356" s="9"/>
      <c r="F356" s="9"/>
      <c r="G356" s="11"/>
      <c r="H356" s="5"/>
      <c r="I356" s="8"/>
      <c r="J356" s="8"/>
    </row>
    <row r="357" spans="2:10" ht="12.75" x14ac:dyDescent="0.2">
      <c r="B357" s="6"/>
      <c r="C357" s="6"/>
      <c r="D357" s="6"/>
      <c r="E357" s="9"/>
      <c r="F357" s="9"/>
      <c r="G357" s="11"/>
      <c r="H357" s="5"/>
      <c r="I357" s="8"/>
      <c r="J357" s="8"/>
    </row>
    <row r="358" spans="2:10" ht="12.75" x14ac:dyDescent="0.2">
      <c r="B358" s="6"/>
      <c r="C358" s="6"/>
      <c r="D358" s="6"/>
      <c r="E358" s="9"/>
      <c r="F358" s="9"/>
      <c r="G358" s="11"/>
      <c r="H358" s="5"/>
      <c r="I358" s="8"/>
      <c r="J358" s="8"/>
    </row>
    <row r="359" spans="2:10" ht="12.75" x14ac:dyDescent="0.2">
      <c r="B359" s="6"/>
      <c r="C359" s="6"/>
      <c r="D359" s="6"/>
      <c r="E359" s="9"/>
      <c r="F359" s="9"/>
      <c r="G359" s="11"/>
      <c r="H359" s="5"/>
      <c r="I359" s="8"/>
      <c r="J359" s="8"/>
    </row>
    <row r="360" spans="2:10" ht="12.75" x14ac:dyDescent="0.2">
      <c r="B360" s="6"/>
      <c r="C360" s="6"/>
      <c r="D360" s="6"/>
      <c r="E360" s="9"/>
      <c r="F360" s="9"/>
      <c r="G360" s="11"/>
      <c r="H360" s="5"/>
      <c r="I360" s="8"/>
      <c r="J360" s="8"/>
    </row>
    <row r="361" spans="2:10" ht="12.75" x14ac:dyDescent="0.2">
      <c r="B361" s="6"/>
      <c r="C361" s="6"/>
      <c r="D361" s="6"/>
      <c r="E361" s="9"/>
      <c r="F361" s="9"/>
      <c r="G361" s="11"/>
      <c r="H361" s="5"/>
      <c r="I361" s="8"/>
      <c r="J361" s="8"/>
    </row>
    <row r="362" spans="2:10" ht="12.75" x14ac:dyDescent="0.2">
      <c r="B362" s="6"/>
      <c r="C362" s="6"/>
      <c r="D362" s="6"/>
      <c r="E362" s="9"/>
      <c r="F362" s="9"/>
      <c r="G362" s="11"/>
      <c r="H362" s="5"/>
      <c r="I362" s="8"/>
      <c r="J362" s="8"/>
    </row>
    <row r="363" spans="2:10" ht="12.75" x14ac:dyDescent="0.2">
      <c r="B363" s="6"/>
      <c r="C363" s="6"/>
      <c r="D363" s="6"/>
      <c r="E363" s="9"/>
      <c r="F363" s="9"/>
      <c r="G363" s="11"/>
      <c r="H363" s="5"/>
      <c r="I363" s="8"/>
      <c r="J363" s="8"/>
    </row>
    <row r="364" spans="2:10" ht="12.75" x14ac:dyDescent="0.2">
      <c r="B364" s="6"/>
      <c r="C364" s="6"/>
      <c r="D364" s="6"/>
      <c r="E364" s="9"/>
      <c r="F364" s="9"/>
      <c r="G364" s="11"/>
      <c r="H364" s="5"/>
      <c r="I364" s="8"/>
      <c r="J364" s="8"/>
    </row>
    <row r="365" spans="2:10" ht="12.75" x14ac:dyDescent="0.2">
      <c r="B365" s="6"/>
      <c r="C365" s="6"/>
      <c r="D365" s="6"/>
      <c r="E365" s="9"/>
      <c r="F365" s="9"/>
      <c r="G365" s="11"/>
      <c r="H365" s="5"/>
      <c r="I365" s="8"/>
      <c r="J365" s="8"/>
    </row>
    <row r="366" spans="2:10" ht="12.75" x14ac:dyDescent="0.2">
      <c r="B366" s="6"/>
      <c r="C366" s="6"/>
      <c r="D366" s="6"/>
      <c r="E366" s="9"/>
      <c r="F366" s="9"/>
      <c r="G366" s="11"/>
      <c r="H366" s="5"/>
      <c r="I366" s="8"/>
      <c r="J366" s="8"/>
    </row>
    <row r="367" spans="2:10" ht="12.75" x14ac:dyDescent="0.2">
      <c r="B367" s="6"/>
      <c r="C367" s="6"/>
      <c r="D367" s="6"/>
      <c r="E367" s="9"/>
      <c r="F367" s="9"/>
      <c r="G367" s="11"/>
      <c r="H367" s="5"/>
      <c r="I367" s="8"/>
      <c r="J367" s="8"/>
    </row>
    <row r="368" spans="2:10" ht="12.75" x14ac:dyDescent="0.2">
      <c r="B368" s="6"/>
      <c r="C368" s="6"/>
      <c r="D368" s="6"/>
      <c r="E368" s="9"/>
      <c r="F368" s="9"/>
      <c r="G368" s="11"/>
      <c r="H368" s="5"/>
      <c r="I368" s="8"/>
      <c r="J368" s="8"/>
    </row>
    <row r="369" spans="2:10" ht="12.75" x14ac:dyDescent="0.2">
      <c r="B369" s="6"/>
      <c r="C369" s="6"/>
      <c r="D369" s="6"/>
      <c r="E369" s="9"/>
      <c r="F369" s="9"/>
      <c r="G369" s="11"/>
      <c r="H369" s="5"/>
      <c r="I369" s="8"/>
      <c r="J369" s="8"/>
    </row>
    <row r="370" spans="2:10" ht="12.75" x14ac:dyDescent="0.2">
      <c r="B370" s="6"/>
      <c r="C370" s="6"/>
      <c r="D370" s="6"/>
      <c r="E370" s="9"/>
      <c r="F370" s="9"/>
      <c r="G370" s="11"/>
      <c r="H370" s="5"/>
      <c r="I370" s="8"/>
      <c r="J370" s="8"/>
    </row>
    <row r="371" spans="2:10" ht="12.75" x14ac:dyDescent="0.2">
      <c r="B371" s="6"/>
      <c r="C371" s="6"/>
      <c r="D371" s="6"/>
      <c r="E371" s="9"/>
      <c r="F371" s="9"/>
      <c r="G371" s="11"/>
      <c r="H371" s="5"/>
      <c r="I371" s="8"/>
      <c r="J371" s="8"/>
    </row>
    <row r="372" spans="2:10" ht="12.75" x14ac:dyDescent="0.2">
      <c r="B372" s="6"/>
      <c r="C372" s="6"/>
      <c r="D372" s="6"/>
      <c r="E372" s="9"/>
      <c r="F372" s="9"/>
      <c r="G372" s="11"/>
      <c r="H372" s="5"/>
      <c r="I372" s="8"/>
      <c r="J372" s="8"/>
    </row>
    <row r="373" spans="2:10" ht="12.75" x14ac:dyDescent="0.2">
      <c r="B373" s="6"/>
      <c r="C373" s="6"/>
      <c r="D373" s="6"/>
      <c r="E373" s="9"/>
      <c r="F373" s="9"/>
      <c r="G373" s="11"/>
      <c r="H373" s="5"/>
      <c r="I373" s="8"/>
      <c r="J373" s="8"/>
    </row>
    <row r="374" spans="2:10" ht="12.75" x14ac:dyDescent="0.2">
      <c r="B374" s="6"/>
      <c r="C374" s="6"/>
      <c r="D374" s="6"/>
      <c r="E374" s="9"/>
      <c r="F374" s="9"/>
      <c r="G374" s="11"/>
      <c r="H374" s="5"/>
      <c r="I374" s="8"/>
      <c r="J374" s="8"/>
    </row>
    <row r="375" spans="2:10" ht="12.75" x14ac:dyDescent="0.2">
      <c r="B375" s="6"/>
      <c r="C375" s="6"/>
      <c r="D375" s="6"/>
      <c r="E375" s="9"/>
      <c r="F375" s="9"/>
      <c r="G375" s="11"/>
      <c r="H375" s="5"/>
      <c r="I375" s="8"/>
      <c r="J375" s="8"/>
    </row>
    <row r="376" spans="2:10" ht="12.75" x14ac:dyDescent="0.2">
      <c r="B376" s="6"/>
      <c r="C376" s="6"/>
      <c r="D376" s="6"/>
      <c r="E376" s="9"/>
      <c r="F376" s="9"/>
      <c r="G376" s="11"/>
      <c r="H376" s="5"/>
      <c r="I376" s="8"/>
      <c r="J376" s="8"/>
    </row>
    <row r="377" spans="2:10" ht="12.75" x14ac:dyDescent="0.2">
      <c r="B377" s="6"/>
      <c r="C377" s="6"/>
      <c r="D377" s="6"/>
      <c r="E377" s="9"/>
      <c r="F377" s="9"/>
      <c r="G377" s="11"/>
      <c r="H377" s="5"/>
      <c r="I377" s="8"/>
      <c r="J377" s="8"/>
    </row>
    <row r="378" spans="2:10" ht="12.75" x14ac:dyDescent="0.2">
      <c r="B378" s="6"/>
      <c r="C378" s="6"/>
      <c r="D378" s="6"/>
      <c r="E378" s="9"/>
      <c r="F378" s="9"/>
      <c r="G378" s="11"/>
      <c r="H378" s="5"/>
      <c r="I378" s="8"/>
      <c r="J378" s="8"/>
    </row>
    <row r="379" spans="2:10" ht="12.75" x14ac:dyDescent="0.2">
      <c r="B379" s="6"/>
      <c r="C379" s="6"/>
      <c r="D379" s="6"/>
      <c r="E379" s="9"/>
      <c r="F379" s="9"/>
      <c r="G379" s="11"/>
      <c r="H379" s="5"/>
      <c r="I379" s="8"/>
      <c r="J379" s="8"/>
    </row>
    <row r="380" spans="2:10" ht="12.75" x14ac:dyDescent="0.2">
      <c r="B380" s="6"/>
      <c r="C380" s="6"/>
      <c r="D380" s="6"/>
      <c r="E380" s="9"/>
      <c r="F380" s="9"/>
      <c r="G380" s="11"/>
      <c r="H380" s="5"/>
      <c r="I380" s="8"/>
      <c r="J380" s="8"/>
    </row>
    <row r="381" spans="2:10" ht="12.75" x14ac:dyDescent="0.2">
      <c r="B381" s="6"/>
      <c r="C381" s="6"/>
      <c r="D381" s="6"/>
      <c r="E381" s="9"/>
      <c r="F381" s="9"/>
      <c r="G381" s="11"/>
      <c r="H381" s="5"/>
      <c r="I381" s="8"/>
      <c r="J381" s="8"/>
    </row>
    <row r="382" spans="2:10" ht="12.75" x14ac:dyDescent="0.2">
      <c r="B382" s="6"/>
      <c r="C382" s="6"/>
      <c r="D382" s="6"/>
      <c r="E382" s="9"/>
      <c r="F382" s="9"/>
      <c r="G382" s="11"/>
      <c r="H382" s="5"/>
      <c r="I382" s="8"/>
      <c r="J382" s="8"/>
    </row>
    <row r="383" spans="2:10" ht="12.75" x14ac:dyDescent="0.2">
      <c r="B383" s="6"/>
      <c r="C383" s="6"/>
      <c r="D383" s="6"/>
      <c r="E383" s="9"/>
      <c r="F383" s="9"/>
      <c r="G383" s="11"/>
      <c r="H383" s="5"/>
      <c r="I383" s="8"/>
      <c r="J383" s="8"/>
    </row>
    <row r="384" spans="2:10" ht="12.75" x14ac:dyDescent="0.2">
      <c r="B384" s="6"/>
      <c r="C384" s="6"/>
      <c r="D384" s="6"/>
      <c r="E384" s="9"/>
      <c r="F384" s="9"/>
      <c r="G384" s="11"/>
      <c r="H384" s="5"/>
      <c r="I384" s="8"/>
      <c r="J384" s="8"/>
    </row>
    <row r="385" spans="2:10" ht="12.75" x14ac:dyDescent="0.2">
      <c r="B385" s="6"/>
      <c r="C385" s="6"/>
      <c r="D385" s="6"/>
      <c r="E385" s="9"/>
      <c r="F385" s="9"/>
      <c r="G385" s="11"/>
      <c r="H385" s="5"/>
      <c r="I385" s="8"/>
      <c r="J385" s="8"/>
    </row>
    <row r="386" spans="2:10" ht="12.75" x14ac:dyDescent="0.2">
      <c r="B386" s="6"/>
      <c r="C386" s="6"/>
      <c r="D386" s="6"/>
      <c r="E386" s="9"/>
      <c r="F386" s="9"/>
      <c r="G386" s="11"/>
      <c r="H386" s="5"/>
      <c r="I386" s="8"/>
      <c r="J386" s="8"/>
    </row>
    <row r="387" spans="2:10" ht="12.75" x14ac:dyDescent="0.2">
      <c r="B387" s="6"/>
      <c r="C387" s="6"/>
      <c r="D387" s="6"/>
      <c r="E387" s="9"/>
      <c r="F387" s="9"/>
      <c r="G387" s="11"/>
      <c r="H387" s="5"/>
      <c r="I387" s="8"/>
      <c r="J387" s="8"/>
    </row>
    <row r="388" spans="2:10" ht="12.75" x14ac:dyDescent="0.2">
      <c r="B388" s="6"/>
      <c r="C388" s="6"/>
      <c r="D388" s="6"/>
      <c r="E388" s="9"/>
      <c r="F388" s="9"/>
      <c r="G388" s="11"/>
      <c r="H388" s="5"/>
      <c r="I388" s="8"/>
      <c r="J388" s="8"/>
    </row>
    <row r="389" spans="2:10" ht="12.75" x14ac:dyDescent="0.2">
      <c r="B389" s="6"/>
      <c r="C389" s="6"/>
      <c r="D389" s="6"/>
      <c r="E389" s="9"/>
      <c r="F389" s="9"/>
      <c r="G389" s="11"/>
      <c r="H389" s="5"/>
      <c r="I389" s="8"/>
      <c r="J389" s="8"/>
    </row>
    <row r="390" spans="2:10" ht="12.75" x14ac:dyDescent="0.2">
      <c r="B390" s="6"/>
      <c r="C390" s="6"/>
      <c r="D390" s="6"/>
      <c r="E390" s="9"/>
      <c r="F390" s="9"/>
      <c r="G390" s="11"/>
      <c r="H390" s="5"/>
      <c r="I390" s="8"/>
      <c r="J390" s="8"/>
    </row>
    <row r="391" spans="2:10" ht="12.75" x14ac:dyDescent="0.2">
      <c r="B391" s="6"/>
      <c r="C391" s="6"/>
      <c r="D391" s="6"/>
      <c r="E391" s="9"/>
      <c r="F391" s="9"/>
      <c r="G391" s="11"/>
      <c r="H391" s="5"/>
      <c r="I391" s="8"/>
      <c r="J391" s="8"/>
    </row>
    <row r="392" spans="2:10" ht="12.75" x14ac:dyDescent="0.2">
      <c r="B392" s="6"/>
      <c r="C392" s="6"/>
      <c r="D392" s="6"/>
      <c r="E392" s="9"/>
      <c r="F392" s="9"/>
      <c r="G392" s="11"/>
      <c r="H392" s="5"/>
      <c r="I392" s="8"/>
      <c r="J392" s="8"/>
    </row>
    <row r="393" spans="2:10" ht="12.75" x14ac:dyDescent="0.2">
      <c r="B393" s="6"/>
      <c r="C393" s="6"/>
      <c r="D393" s="6"/>
      <c r="E393" s="9"/>
      <c r="F393" s="9"/>
      <c r="G393" s="11"/>
      <c r="H393" s="5"/>
      <c r="I393" s="8"/>
      <c r="J393" s="8"/>
    </row>
    <row r="394" spans="2:10" ht="12.75" x14ac:dyDescent="0.2">
      <c r="B394" s="6"/>
      <c r="C394" s="6"/>
      <c r="D394" s="6"/>
      <c r="E394" s="9"/>
      <c r="F394" s="9"/>
      <c r="G394" s="11"/>
      <c r="H394" s="5"/>
      <c r="I394" s="8"/>
      <c r="J394" s="8"/>
    </row>
    <row r="395" spans="2:10" ht="12.75" x14ac:dyDescent="0.2">
      <c r="B395" s="6"/>
      <c r="C395" s="6"/>
      <c r="D395" s="6"/>
      <c r="E395" s="9"/>
      <c r="F395" s="9"/>
      <c r="G395" s="11"/>
      <c r="H395" s="5"/>
      <c r="I395" s="8"/>
      <c r="J395" s="8"/>
    </row>
    <row r="396" spans="2:10" ht="12.75" x14ac:dyDescent="0.2">
      <c r="B396" s="6"/>
      <c r="C396" s="6"/>
      <c r="D396" s="6"/>
      <c r="E396" s="9"/>
      <c r="F396" s="9"/>
      <c r="G396" s="11"/>
      <c r="H396" s="5"/>
      <c r="I396" s="8"/>
      <c r="J396" s="8"/>
    </row>
    <row r="397" spans="2:10" ht="12.75" x14ac:dyDescent="0.2">
      <c r="B397" s="6"/>
      <c r="C397" s="6"/>
      <c r="D397" s="6"/>
      <c r="E397" s="9"/>
      <c r="F397" s="9"/>
      <c r="G397" s="11"/>
      <c r="H397" s="5"/>
      <c r="I397" s="8"/>
      <c r="J397" s="8"/>
    </row>
    <row r="398" spans="2:10" ht="12.75" x14ac:dyDescent="0.2">
      <c r="B398" s="6"/>
      <c r="C398" s="6"/>
      <c r="D398" s="6"/>
      <c r="E398" s="9"/>
      <c r="F398" s="9"/>
      <c r="G398" s="11"/>
      <c r="H398" s="5"/>
      <c r="I398" s="8"/>
      <c r="J398" s="8"/>
    </row>
    <row r="399" spans="2:10" ht="12.75" x14ac:dyDescent="0.2">
      <c r="B399" s="6"/>
      <c r="C399" s="6"/>
      <c r="D399" s="6"/>
      <c r="E399" s="9"/>
      <c r="F399" s="9"/>
      <c r="G399" s="11"/>
      <c r="H399" s="5"/>
      <c r="I399" s="8"/>
      <c r="J399" s="8"/>
    </row>
    <row r="400" spans="2:10" ht="12.75" x14ac:dyDescent="0.2">
      <c r="B400" s="6"/>
      <c r="C400" s="6"/>
      <c r="D400" s="6"/>
      <c r="E400" s="9"/>
      <c r="F400" s="9"/>
      <c r="G400" s="11"/>
      <c r="H400" s="5"/>
      <c r="I400" s="8"/>
      <c r="J400" s="8"/>
    </row>
    <row r="401" spans="2:10" ht="12.75" x14ac:dyDescent="0.2">
      <c r="B401" s="6"/>
      <c r="C401" s="6"/>
      <c r="D401" s="6"/>
      <c r="E401" s="9"/>
      <c r="F401" s="9"/>
      <c r="G401" s="11"/>
      <c r="H401" s="5"/>
      <c r="I401" s="8"/>
      <c r="J401" s="8"/>
    </row>
    <row r="402" spans="2:10" ht="12.75" x14ac:dyDescent="0.2">
      <c r="B402" s="6"/>
      <c r="C402" s="6"/>
      <c r="D402" s="6"/>
      <c r="E402" s="9"/>
      <c r="F402" s="9"/>
      <c r="G402" s="11"/>
      <c r="H402" s="5"/>
      <c r="I402" s="8"/>
      <c r="J402" s="8"/>
    </row>
    <row r="403" spans="2:10" ht="12.75" x14ac:dyDescent="0.2">
      <c r="B403" s="6"/>
      <c r="C403" s="6"/>
      <c r="D403" s="6"/>
      <c r="E403" s="9"/>
      <c r="F403" s="9"/>
      <c r="G403" s="11"/>
      <c r="H403" s="5"/>
      <c r="I403" s="8"/>
      <c r="J403" s="8"/>
    </row>
    <row r="404" spans="2:10" ht="12.75" x14ac:dyDescent="0.2">
      <c r="B404" s="6"/>
      <c r="C404" s="6"/>
      <c r="D404" s="6"/>
      <c r="E404" s="9"/>
      <c r="F404" s="9"/>
      <c r="G404" s="11"/>
      <c r="H404" s="5"/>
      <c r="I404" s="8"/>
      <c r="J404" s="8"/>
    </row>
    <row r="405" spans="2:10" ht="12.75" x14ac:dyDescent="0.2">
      <c r="B405" s="6"/>
      <c r="C405" s="6"/>
      <c r="D405" s="6"/>
      <c r="E405" s="9"/>
      <c r="F405" s="9"/>
      <c r="G405" s="11"/>
      <c r="H405" s="5"/>
      <c r="I405" s="8"/>
      <c r="J405" s="8"/>
    </row>
    <row r="406" spans="2:10" ht="12.75" x14ac:dyDescent="0.2">
      <c r="B406" s="6"/>
      <c r="C406" s="6"/>
      <c r="D406" s="6"/>
      <c r="E406" s="9"/>
      <c r="F406" s="9"/>
      <c r="G406" s="11"/>
      <c r="H406" s="5"/>
      <c r="I406" s="8"/>
      <c r="J406" s="8"/>
    </row>
    <row r="407" spans="2:10" ht="12.75" x14ac:dyDescent="0.2">
      <c r="B407" s="6"/>
      <c r="C407" s="6"/>
      <c r="D407" s="6"/>
      <c r="E407" s="9"/>
      <c r="F407" s="9"/>
      <c r="G407" s="11"/>
      <c r="H407" s="5"/>
      <c r="I407" s="8"/>
      <c r="J407" s="8"/>
    </row>
    <row r="408" spans="2:10" ht="12.75" x14ac:dyDescent="0.2">
      <c r="B408" s="6"/>
      <c r="C408" s="6"/>
      <c r="D408" s="6"/>
      <c r="E408" s="9"/>
      <c r="F408" s="9"/>
      <c r="G408" s="11"/>
      <c r="H408" s="5"/>
      <c r="I408" s="8"/>
      <c r="J408" s="8"/>
    </row>
    <row r="409" spans="2:10" ht="12.75" x14ac:dyDescent="0.2">
      <c r="B409" s="6"/>
      <c r="C409" s="6"/>
      <c r="D409" s="6"/>
      <c r="E409" s="9"/>
      <c r="F409" s="9"/>
      <c r="G409" s="11"/>
      <c r="H409" s="5"/>
      <c r="I409" s="8"/>
      <c r="J409" s="8"/>
    </row>
    <row r="410" spans="2:10" ht="12.75" x14ac:dyDescent="0.2">
      <c r="B410" s="6"/>
      <c r="C410" s="6"/>
      <c r="D410" s="6"/>
      <c r="E410" s="9"/>
      <c r="F410" s="9"/>
      <c r="G410" s="11"/>
      <c r="H410" s="5"/>
      <c r="I410" s="8"/>
      <c r="J410" s="8"/>
    </row>
    <row r="411" spans="2:10" ht="12.75" x14ac:dyDescent="0.2">
      <c r="B411" s="6"/>
      <c r="C411" s="6"/>
      <c r="D411" s="6"/>
      <c r="E411" s="9"/>
      <c r="F411" s="9"/>
      <c r="G411" s="11"/>
      <c r="H411" s="5"/>
      <c r="I411" s="8"/>
      <c r="J411" s="8"/>
    </row>
    <row r="412" spans="2:10" ht="12.75" x14ac:dyDescent="0.2">
      <c r="B412" s="6"/>
      <c r="C412" s="6"/>
      <c r="D412" s="6"/>
      <c r="E412" s="9"/>
      <c r="F412" s="9"/>
      <c r="G412" s="11"/>
      <c r="H412" s="5"/>
      <c r="I412" s="8"/>
      <c r="J412" s="8"/>
    </row>
    <row r="413" spans="2:10" ht="12.75" x14ac:dyDescent="0.2">
      <c r="B413" s="6"/>
      <c r="C413" s="6"/>
      <c r="D413" s="6"/>
      <c r="E413" s="9"/>
      <c r="F413" s="9"/>
      <c r="G413" s="11"/>
      <c r="H413" s="5"/>
      <c r="I413" s="8"/>
      <c r="J413" s="8"/>
    </row>
    <row r="414" spans="2:10" ht="12.75" x14ac:dyDescent="0.2">
      <c r="B414" s="6"/>
      <c r="C414" s="6"/>
      <c r="D414" s="6"/>
      <c r="E414" s="9"/>
      <c r="F414" s="9"/>
      <c r="G414" s="11"/>
      <c r="H414" s="5"/>
      <c r="I414" s="8"/>
      <c r="J414" s="8"/>
    </row>
    <row r="415" spans="2:10" ht="12.75" x14ac:dyDescent="0.2">
      <c r="B415" s="6"/>
      <c r="C415" s="6"/>
      <c r="D415" s="6"/>
      <c r="E415" s="9"/>
      <c r="F415" s="9"/>
      <c r="G415" s="11"/>
      <c r="H415" s="5"/>
      <c r="I415" s="8"/>
      <c r="J415" s="8"/>
    </row>
    <row r="416" spans="2:10" ht="12.75" x14ac:dyDescent="0.2">
      <c r="B416" s="6"/>
      <c r="C416" s="6"/>
      <c r="D416" s="6"/>
      <c r="E416" s="9"/>
      <c r="F416" s="9"/>
      <c r="G416" s="11"/>
      <c r="H416" s="5"/>
      <c r="I416" s="8"/>
      <c r="J416" s="8"/>
    </row>
    <row r="417" spans="2:10" ht="12.75" x14ac:dyDescent="0.2">
      <c r="B417" s="6"/>
      <c r="C417" s="6"/>
      <c r="D417" s="6"/>
      <c r="E417" s="9"/>
      <c r="F417" s="9"/>
      <c r="G417" s="11"/>
      <c r="H417" s="5"/>
      <c r="I417" s="8"/>
      <c r="J417" s="8"/>
    </row>
    <row r="418" spans="2:10" ht="12.75" x14ac:dyDescent="0.2">
      <c r="B418" s="6"/>
      <c r="C418" s="6"/>
      <c r="D418" s="6"/>
      <c r="E418" s="9"/>
      <c r="F418" s="9"/>
      <c r="G418" s="11"/>
      <c r="H418" s="5"/>
      <c r="I418" s="8"/>
      <c r="J418" s="8"/>
    </row>
    <row r="419" spans="2:10" ht="12.75" x14ac:dyDescent="0.2">
      <c r="B419" s="6"/>
      <c r="C419" s="6"/>
      <c r="D419" s="6"/>
      <c r="E419" s="9"/>
      <c r="F419" s="9"/>
      <c r="G419" s="11"/>
      <c r="H419" s="5"/>
      <c r="I419" s="8"/>
      <c r="J419" s="8"/>
    </row>
    <row r="420" spans="2:10" ht="12.75" x14ac:dyDescent="0.2">
      <c r="B420" s="6"/>
      <c r="C420" s="6"/>
      <c r="D420" s="6"/>
      <c r="E420" s="9"/>
      <c r="F420" s="9"/>
      <c r="G420" s="11"/>
      <c r="H420" s="5"/>
      <c r="I420" s="8"/>
      <c r="J420" s="8"/>
    </row>
    <row r="421" spans="2:10" ht="12.75" x14ac:dyDescent="0.2">
      <c r="B421" s="6"/>
      <c r="C421" s="6"/>
      <c r="D421" s="6"/>
      <c r="E421" s="9"/>
      <c r="F421" s="9"/>
      <c r="G421" s="11"/>
      <c r="H421" s="5"/>
      <c r="I421" s="8"/>
      <c r="J421" s="8"/>
    </row>
    <row r="422" spans="2:10" ht="12.75" x14ac:dyDescent="0.2">
      <c r="B422" s="6"/>
      <c r="C422" s="6"/>
      <c r="D422" s="6"/>
      <c r="E422" s="9"/>
      <c r="F422" s="9"/>
      <c r="G422" s="11"/>
      <c r="H422" s="5"/>
      <c r="I422" s="8"/>
      <c r="J422" s="8"/>
    </row>
    <row r="423" spans="2:10" ht="12.75" x14ac:dyDescent="0.2">
      <c r="B423" s="6"/>
      <c r="C423" s="6"/>
      <c r="D423" s="6"/>
      <c r="E423" s="9"/>
      <c r="F423" s="9"/>
      <c r="G423" s="11"/>
      <c r="H423" s="5"/>
      <c r="I423" s="8"/>
      <c r="J423" s="8"/>
    </row>
    <row r="424" spans="2:10" ht="12.75" x14ac:dyDescent="0.2">
      <c r="B424" s="6"/>
      <c r="C424" s="6"/>
      <c r="D424" s="6"/>
      <c r="E424" s="9"/>
      <c r="F424" s="9"/>
      <c r="G424" s="11"/>
      <c r="H424" s="5"/>
      <c r="I424" s="8"/>
      <c r="J424" s="8"/>
    </row>
    <row r="425" spans="2:10" ht="12.75" x14ac:dyDescent="0.2">
      <c r="B425" s="6"/>
      <c r="C425" s="6"/>
      <c r="D425" s="6"/>
      <c r="E425" s="9"/>
      <c r="F425" s="9"/>
      <c r="G425" s="11"/>
      <c r="H425" s="5"/>
      <c r="I425" s="8"/>
      <c r="J425" s="8"/>
    </row>
    <row r="426" spans="2:10" ht="12.75" x14ac:dyDescent="0.2">
      <c r="B426" s="6"/>
      <c r="C426" s="6"/>
      <c r="D426" s="6"/>
      <c r="E426" s="9"/>
      <c r="F426" s="9"/>
      <c r="G426" s="11"/>
      <c r="H426" s="5"/>
      <c r="I426" s="8"/>
      <c r="J426" s="8"/>
    </row>
    <row r="427" spans="2:10" ht="12.75" x14ac:dyDescent="0.2">
      <c r="B427" s="6"/>
      <c r="C427" s="6"/>
      <c r="D427" s="6"/>
      <c r="E427" s="9"/>
      <c r="F427" s="9"/>
      <c r="G427" s="11"/>
      <c r="H427" s="5"/>
      <c r="I427" s="8"/>
      <c r="J427" s="8"/>
    </row>
    <row r="428" spans="2:10" ht="12.75" x14ac:dyDescent="0.2">
      <c r="B428" s="6"/>
      <c r="C428" s="6"/>
      <c r="D428" s="6"/>
      <c r="E428" s="9"/>
      <c r="F428" s="9"/>
      <c r="G428" s="11"/>
      <c r="H428" s="5"/>
      <c r="I428" s="8"/>
      <c r="J428" s="8"/>
    </row>
    <row r="429" spans="2:10" ht="12.75" x14ac:dyDescent="0.2">
      <c r="B429" s="6"/>
      <c r="C429" s="6"/>
      <c r="D429" s="6"/>
      <c r="E429" s="9"/>
      <c r="F429" s="9"/>
      <c r="G429" s="11"/>
      <c r="H429" s="5"/>
      <c r="I429" s="8"/>
      <c r="J429" s="8"/>
    </row>
    <row r="430" spans="2:10" ht="12.75" x14ac:dyDescent="0.2">
      <c r="B430" s="6"/>
      <c r="C430" s="6"/>
      <c r="D430" s="6"/>
      <c r="E430" s="9"/>
      <c r="F430" s="9"/>
      <c r="G430" s="11"/>
      <c r="H430" s="5"/>
      <c r="I430" s="8"/>
      <c r="J430" s="8"/>
    </row>
    <row r="431" spans="2:10" ht="12.75" x14ac:dyDescent="0.2">
      <c r="B431" s="6"/>
      <c r="C431" s="6"/>
      <c r="D431" s="6"/>
      <c r="E431" s="9"/>
      <c r="F431" s="9"/>
      <c r="G431" s="11"/>
      <c r="H431" s="5"/>
      <c r="I431" s="8"/>
      <c r="J431" s="8"/>
    </row>
    <row r="432" spans="2:10" ht="12.75" x14ac:dyDescent="0.2">
      <c r="B432" s="6"/>
      <c r="C432" s="6"/>
      <c r="D432" s="6"/>
      <c r="E432" s="9"/>
      <c r="F432" s="9"/>
      <c r="G432" s="11"/>
      <c r="H432" s="5"/>
      <c r="I432" s="8"/>
      <c r="J432" s="8"/>
    </row>
    <row r="433" spans="2:10" ht="12.75" x14ac:dyDescent="0.2">
      <c r="B433" s="6"/>
      <c r="C433" s="6"/>
      <c r="D433" s="6"/>
      <c r="E433" s="9"/>
      <c r="F433" s="9"/>
      <c r="G433" s="11"/>
      <c r="H433" s="5"/>
      <c r="I433" s="8"/>
      <c r="J433" s="8"/>
    </row>
    <row r="434" spans="2:10" ht="12.75" x14ac:dyDescent="0.2">
      <c r="B434" s="6"/>
      <c r="C434" s="6"/>
      <c r="D434" s="6"/>
      <c r="E434" s="9"/>
      <c r="F434" s="9"/>
      <c r="G434" s="11"/>
      <c r="H434" s="5"/>
      <c r="I434" s="8"/>
      <c r="J434" s="8"/>
    </row>
    <row r="435" spans="2:10" ht="12.75" x14ac:dyDescent="0.2">
      <c r="B435" s="6"/>
      <c r="C435" s="6"/>
      <c r="D435" s="6"/>
      <c r="E435" s="9"/>
      <c r="F435" s="9"/>
      <c r="G435" s="11"/>
      <c r="H435" s="5"/>
      <c r="I435" s="8"/>
      <c r="J435" s="8"/>
    </row>
    <row r="436" spans="2:10" ht="12.75" x14ac:dyDescent="0.2">
      <c r="B436" s="6"/>
      <c r="C436" s="6"/>
      <c r="D436" s="6"/>
      <c r="E436" s="9"/>
      <c r="F436" s="9"/>
      <c r="G436" s="11"/>
      <c r="H436" s="5"/>
      <c r="I436" s="8"/>
      <c r="J436" s="8"/>
    </row>
    <row r="437" spans="2:10" ht="12.75" x14ac:dyDescent="0.2">
      <c r="B437" s="6"/>
      <c r="C437" s="6"/>
      <c r="D437" s="6"/>
      <c r="E437" s="9"/>
      <c r="F437" s="9"/>
      <c r="G437" s="11"/>
      <c r="H437" s="5"/>
      <c r="I437" s="8"/>
      <c r="J437" s="8"/>
    </row>
    <row r="438" spans="2:10" ht="12.75" x14ac:dyDescent="0.2">
      <c r="B438" s="6"/>
      <c r="C438" s="6"/>
      <c r="D438" s="6"/>
      <c r="E438" s="9"/>
      <c r="F438" s="9"/>
      <c r="G438" s="11"/>
      <c r="H438" s="5"/>
      <c r="I438" s="8"/>
      <c r="J438" s="8"/>
    </row>
    <row r="439" spans="2:10" ht="12.75" x14ac:dyDescent="0.2">
      <c r="B439" s="6"/>
      <c r="C439" s="6"/>
      <c r="D439" s="6"/>
      <c r="E439" s="9"/>
      <c r="F439" s="9"/>
      <c r="G439" s="11"/>
      <c r="H439" s="5"/>
      <c r="I439" s="8"/>
      <c r="J439" s="8"/>
    </row>
    <row r="440" spans="2:10" ht="12.75" x14ac:dyDescent="0.2">
      <c r="B440" s="6"/>
      <c r="C440" s="6"/>
      <c r="D440" s="6"/>
      <c r="E440" s="9"/>
      <c r="F440" s="9"/>
      <c r="G440" s="11"/>
      <c r="H440" s="5"/>
      <c r="I440" s="8"/>
      <c r="J440" s="8"/>
    </row>
    <row r="441" spans="2:10" ht="12.75" x14ac:dyDescent="0.2">
      <c r="B441" s="6"/>
      <c r="C441" s="6"/>
      <c r="D441" s="6"/>
      <c r="E441" s="9"/>
      <c r="F441" s="9"/>
      <c r="G441" s="11"/>
      <c r="H441" s="5"/>
      <c r="I441" s="8"/>
      <c r="J441" s="8"/>
    </row>
    <row r="442" spans="2:10" ht="12.75" x14ac:dyDescent="0.2">
      <c r="B442" s="6"/>
      <c r="C442" s="6"/>
      <c r="D442" s="6"/>
      <c r="E442" s="9"/>
      <c r="F442" s="9"/>
      <c r="G442" s="11"/>
      <c r="H442" s="5"/>
      <c r="I442" s="8"/>
      <c r="J442" s="8"/>
    </row>
    <row r="443" spans="2:10" ht="12.75" x14ac:dyDescent="0.2">
      <c r="B443" s="6"/>
      <c r="C443" s="6"/>
      <c r="D443" s="6"/>
      <c r="E443" s="9"/>
      <c r="F443" s="9"/>
      <c r="G443" s="11"/>
      <c r="H443" s="5"/>
      <c r="I443" s="8"/>
      <c r="J443" s="8"/>
    </row>
    <row r="444" spans="2:10" ht="12.75" x14ac:dyDescent="0.2">
      <c r="B444" s="6"/>
      <c r="C444" s="6"/>
      <c r="D444" s="6"/>
      <c r="E444" s="9"/>
      <c r="F444" s="9"/>
      <c r="G444" s="11"/>
      <c r="H444" s="5"/>
      <c r="I444" s="8"/>
      <c r="J444" s="8"/>
    </row>
    <row r="445" spans="2:10" ht="12.75" x14ac:dyDescent="0.2">
      <c r="B445" s="6"/>
      <c r="C445" s="6"/>
      <c r="D445" s="6"/>
      <c r="E445" s="9"/>
      <c r="F445" s="9"/>
      <c r="G445" s="11"/>
      <c r="H445" s="5"/>
      <c r="I445" s="8"/>
      <c r="J445" s="8"/>
    </row>
    <row r="446" spans="2:10" ht="12.75" x14ac:dyDescent="0.2">
      <c r="B446" s="6"/>
      <c r="C446" s="6"/>
      <c r="D446" s="6"/>
      <c r="E446" s="9"/>
      <c r="F446" s="9"/>
      <c r="G446" s="11"/>
      <c r="H446" s="5"/>
      <c r="I446" s="8"/>
      <c r="J446" s="8"/>
    </row>
    <row r="447" spans="2:10" ht="12.75" x14ac:dyDescent="0.2">
      <c r="B447" s="6"/>
      <c r="C447" s="6"/>
      <c r="D447" s="6"/>
      <c r="E447" s="9"/>
      <c r="F447" s="9"/>
      <c r="G447" s="11"/>
      <c r="H447" s="5"/>
      <c r="I447" s="8"/>
      <c r="J447" s="8"/>
    </row>
    <row r="448" spans="2:10" ht="12.75" x14ac:dyDescent="0.2">
      <c r="B448" s="6"/>
      <c r="C448" s="6"/>
      <c r="D448" s="6"/>
      <c r="E448" s="9"/>
      <c r="F448" s="9"/>
      <c r="G448" s="11"/>
      <c r="H448" s="5"/>
      <c r="I448" s="8"/>
      <c r="J448" s="8"/>
    </row>
    <row r="449" spans="2:10" ht="12.75" x14ac:dyDescent="0.2">
      <c r="B449" s="6"/>
      <c r="C449" s="6"/>
      <c r="D449" s="6"/>
      <c r="E449" s="9"/>
      <c r="F449" s="9"/>
      <c r="G449" s="11"/>
      <c r="H449" s="5"/>
      <c r="I449" s="8"/>
      <c r="J449" s="8"/>
    </row>
    <row r="450" spans="2:10" ht="12.75" x14ac:dyDescent="0.2">
      <c r="B450" s="6"/>
      <c r="C450" s="6"/>
      <c r="D450" s="6"/>
      <c r="E450" s="9"/>
      <c r="F450" s="9"/>
      <c r="G450" s="11"/>
      <c r="H450" s="5"/>
      <c r="I450" s="8"/>
      <c r="J450" s="8"/>
    </row>
    <row r="451" spans="2:10" ht="12.75" x14ac:dyDescent="0.2">
      <c r="B451" s="6"/>
      <c r="C451" s="6"/>
      <c r="D451" s="6"/>
      <c r="E451" s="9"/>
      <c r="F451" s="9"/>
      <c r="G451" s="11"/>
      <c r="H451" s="5"/>
      <c r="I451" s="8"/>
      <c r="J451" s="8"/>
    </row>
    <row r="452" spans="2:10" ht="12.75" x14ac:dyDescent="0.2">
      <c r="B452" s="6"/>
      <c r="C452" s="6"/>
      <c r="D452" s="6"/>
      <c r="E452" s="9"/>
      <c r="F452" s="9"/>
      <c r="G452" s="11"/>
      <c r="H452" s="5"/>
      <c r="I452" s="8"/>
      <c r="J452" s="8"/>
    </row>
    <row r="453" spans="2:10" ht="12.75" x14ac:dyDescent="0.2">
      <c r="B453" s="6"/>
      <c r="C453" s="6"/>
      <c r="D453" s="6"/>
      <c r="E453" s="9"/>
      <c r="F453" s="9"/>
      <c r="G453" s="11"/>
      <c r="H453" s="5"/>
      <c r="I453" s="8"/>
      <c r="J453" s="8"/>
    </row>
    <row r="454" spans="2:10" ht="12.75" x14ac:dyDescent="0.2">
      <c r="B454" s="6"/>
      <c r="C454" s="6"/>
      <c r="D454" s="6"/>
      <c r="E454" s="9"/>
      <c r="F454" s="9"/>
      <c r="G454" s="11"/>
      <c r="H454" s="5"/>
      <c r="I454" s="8"/>
      <c r="J454" s="8"/>
    </row>
    <row r="455" spans="2:10" ht="12.75" x14ac:dyDescent="0.2">
      <c r="B455" s="6"/>
      <c r="C455" s="6"/>
      <c r="D455" s="6"/>
      <c r="E455" s="9"/>
      <c r="F455" s="9"/>
      <c r="G455" s="11"/>
      <c r="H455" s="5"/>
      <c r="I455" s="8"/>
      <c r="J455" s="8"/>
    </row>
    <row r="456" spans="2:10" ht="12.75" x14ac:dyDescent="0.2">
      <c r="B456" s="6"/>
      <c r="C456" s="6"/>
      <c r="D456" s="6"/>
      <c r="E456" s="9"/>
      <c r="F456" s="9"/>
      <c r="G456" s="11"/>
      <c r="H456" s="5"/>
      <c r="I456" s="8"/>
      <c r="J456" s="8"/>
    </row>
    <row r="457" spans="2:10" ht="12.75" x14ac:dyDescent="0.2">
      <c r="B457" s="6"/>
      <c r="C457" s="6"/>
      <c r="D457" s="6"/>
      <c r="E457" s="9"/>
      <c r="F457" s="9"/>
      <c r="G457" s="11"/>
      <c r="H457" s="5"/>
      <c r="I457" s="8"/>
      <c r="J457" s="8"/>
    </row>
    <row r="458" spans="2:10" ht="12.75" x14ac:dyDescent="0.2">
      <c r="B458" s="6"/>
      <c r="C458" s="6"/>
      <c r="D458" s="6"/>
      <c r="E458" s="9"/>
      <c r="F458" s="9"/>
      <c r="G458" s="11"/>
      <c r="H458" s="5"/>
      <c r="I458" s="8"/>
      <c r="J458" s="8"/>
    </row>
    <row r="459" spans="2:10" ht="12.75" x14ac:dyDescent="0.2">
      <c r="B459" s="6"/>
      <c r="C459" s="6"/>
      <c r="D459" s="6"/>
      <c r="E459" s="9"/>
      <c r="F459" s="9"/>
      <c r="G459" s="11"/>
      <c r="H459" s="5"/>
      <c r="I459" s="8"/>
      <c r="J459" s="8"/>
    </row>
    <row r="460" spans="2:10" ht="12.75" x14ac:dyDescent="0.2">
      <c r="B460" s="6"/>
      <c r="C460" s="6"/>
      <c r="D460" s="6"/>
      <c r="E460" s="9"/>
      <c r="F460" s="9"/>
      <c r="G460" s="11"/>
      <c r="H460" s="5"/>
      <c r="I460" s="8"/>
      <c r="J460" s="8"/>
    </row>
    <row r="461" spans="2:10" ht="12.75" x14ac:dyDescent="0.2">
      <c r="B461" s="6"/>
      <c r="C461" s="6"/>
      <c r="D461" s="6"/>
      <c r="E461" s="9"/>
      <c r="F461" s="9"/>
      <c r="G461" s="11"/>
      <c r="H461" s="5"/>
      <c r="I461" s="8"/>
      <c r="J461" s="8"/>
    </row>
    <row r="462" spans="2:10" ht="12.75" x14ac:dyDescent="0.2">
      <c r="B462" s="6"/>
      <c r="C462" s="6"/>
      <c r="D462" s="6"/>
      <c r="E462" s="9"/>
      <c r="F462" s="9"/>
      <c r="G462" s="11"/>
      <c r="H462" s="5"/>
      <c r="I462" s="8"/>
      <c r="J462" s="8"/>
    </row>
    <row r="463" spans="2:10" ht="12.75" x14ac:dyDescent="0.2">
      <c r="B463" s="6"/>
      <c r="C463" s="6"/>
      <c r="D463" s="6"/>
      <c r="E463" s="9"/>
      <c r="F463" s="9"/>
      <c r="G463" s="11"/>
      <c r="H463" s="5"/>
      <c r="I463" s="8"/>
      <c r="J463" s="8"/>
    </row>
    <row r="464" spans="2:10" ht="12.75" x14ac:dyDescent="0.2">
      <c r="B464" s="6"/>
      <c r="C464" s="6"/>
      <c r="D464" s="6"/>
      <c r="E464" s="9"/>
      <c r="F464" s="9"/>
      <c r="G464" s="11"/>
      <c r="H464" s="5"/>
      <c r="I464" s="8"/>
      <c r="J464" s="8"/>
    </row>
    <row r="465" spans="2:10" ht="12.75" x14ac:dyDescent="0.2">
      <c r="B465" s="6"/>
      <c r="C465" s="6"/>
      <c r="D465" s="6"/>
      <c r="E465" s="9"/>
      <c r="F465" s="9"/>
      <c r="G465" s="11"/>
      <c r="H465" s="5"/>
      <c r="I465" s="8"/>
      <c r="J465" s="8"/>
    </row>
    <row r="466" spans="2:10" ht="12.75" x14ac:dyDescent="0.2">
      <c r="B466" s="6"/>
      <c r="C466" s="6"/>
      <c r="D466" s="6"/>
      <c r="E466" s="9"/>
      <c r="F466" s="9"/>
      <c r="G466" s="11"/>
      <c r="H466" s="5"/>
      <c r="I466" s="8"/>
      <c r="J466" s="8"/>
    </row>
    <row r="467" spans="2:10" ht="12.75" x14ac:dyDescent="0.2">
      <c r="B467" s="6"/>
      <c r="C467" s="6"/>
      <c r="D467" s="6"/>
      <c r="E467" s="9"/>
      <c r="F467" s="9"/>
      <c r="G467" s="11"/>
      <c r="H467" s="5"/>
      <c r="I467" s="8"/>
      <c r="J467" s="8"/>
    </row>
    <row r="468" spans="2:10" ht="12.75" x14ac:dyDescent="0.2">
      <c r="B468" s="6"/>
      <c r="C468" s="6"/>
      <c r="D468" s="6"/>
      <c r="E468" s="9"/>
      <c r="F468" s="9"/>
      <c r="G468" s="11"/>
      <c r="H468" s="5"/>
      <c r="I468" s="8"/>
      <c r="J468" s="8"/>
    </row>
    <row r="469" spans="2:10" ht="12.75" x14ac:dyDescent="0.2">
      <c r="B469" s="6"/>
      <c r="C469" s="6"/>
      <c r="D469" s="6"/>
      <c r="E469" s="9"/>
      <c r="F469" s="9"/>
      <c r="G469" s="11"/>
      <c r="H469" s="5"/>
      <c r="I469" s="8"/>
      <c r="J469" s="8"/>
    </row>
    <row r="470" spans="2:10" ht="12.75" x14ac:dyDescent="0.2">
      <c r="B470" s="6"/>
      <c r="C470" s="6"/>
      <c r="D470" s="6"/>
      <c r="E470" s="9"/>
      <c r="F470" s="9"/>
      <c r="G470" s="11"/>
      <c r="H470" s="5"/>
      <c r="I470" s="8"/>
      <c r="J470" s="8"/>
    </row>
    <row r="471" spans="2:10" ht="12.75" x14ac:dyDescent="0.2">
      <c r="B471" s="6"/>
      <c r="C471" s="6"/>
      <c r="D471" s="6"/>
      <c r="E471" s="9"/>
      <c r="F471" s="9"/>
      <c r="G471" s="11"/>
      <c r="H471" s="5"/>
      <c r="I471" s="8"/>
      <c r="J471" s="8"/>
    </row>
    <row r="472" spans="2:10" ht="12.75" x14ac:dyDescent="0.2">
      <c r="B472" s="6"/>
      <c r="C472" s="6"/>
      <c r="D472" s="6"/>
      <c r="E472" s="9"/>
      <c r="F472" s="9"/>
      <c r="G472" s="11"/>
      <c r="H472" s="5"/>
      <c r="I472" s="8"/>
      <c r="J472" s="8"/>
    </row>
    <row r="473" spans="2:10" ht="12.75" x14ac:dyDescent="0.2">
      <c r="B473" s="6"/>
      <c r="C473" s="6"/>
      <c r="D473" s="6"/>
      <c r="E473" s="9"/>
      <c r="F473" s="9"/>
      <c r="G473" s="11"/>
      <c r="H473" s="5"/>
      <c r="I473" s="8"/>
      <c r="J473" s="8"/>
    </row>
    <row r="474" spans="2:10" ht="12.75" x14ac:dyDescent="0.2">
      <c r="B474" s="6"/>
      <c r="C474" s="6"/>
      <c r="D474" s="6"/>
      <c r="E474" s="9"/>
      <c r="F474" s="9"/>
      <c r="G474" s="11"/>
      <c r="H474" s="5"/>
      <c r="I474" s="8"/>
      <c r="J474" s="8"/>
    </row>
    <row r="475" spans="2:10" ht="12.75" x14ac:dyDescent="0.2">
      <c r="B475" s="6"/>
      <c r="C475" s="6"/>
      <c r="D475" s="6"/>
      <c r="E475" s="9"/>
      <c r="F475" s="9"/>
      <c r="G475" s="11"/>
      <c r="H475" s="5"/>
      <c r="I475" s="8"/>
      <c r="J475" s="8"/>
    </row>
    <row r="476" spans="2:10" ht="12.75" x14ac:dyDescent="0.2">
      <c r="B476" s="6"/>
      <c r="C476" s="6"/>
      <c r="D476" s="6"/>
      <c r="E476" s="9"/>
      <c r="F476" s="9"/>
      <c r="G476" s="11"/>
      <c r="H476" s="5"/>
      <c r="I476" s="8"/>
      <c r="J476" s="8"/>
    </row>
    <row r="477" spans="2:10" ht="12.75" x14ac:dyDescent="0.2">
      <c r="B477" s="6"/>
      <c r="C477" s="6"/>
      <c r="D477" s="6"/>
      <c r="E477" s="9"/>
      <c r="F477" s="9"/>
      <c r="G477" s="11"/>
      <c r="H477" s="5"/>
      <c r="I477" s="8"/>
      <c r="J477" s="8"/>
    </row>
    <row r="478" spans="2:10" ht="12.75" x14ac:dyDescent="0.2">
      <c r="B478" s="6"/>
      <c r="C478" s="6"/>
      <c r="D478" s="6"/>
      <c r="E478" s="9"/>
      <c r="F478" s="9"/>
      <c r="G478" s="11"/>
      <c r="H478" s="5"/>
      <c r="I478" s="8"/>
      <c r="J478" s="8"/>
    </row>
    <row r="479" spans="2:10" ht="12.75" x14ac:dyDescent="0.2">
      <c r="B479" s="6"/>
      <c r="C479" s="6"/>
      <c r="D479" s="6"/>
      <c r="E479" s="9"/>
      <c r="F479" s="9"/>
      <c r="G479" s="11"/>
      <c r="H479" s="5"/>
      <c r="I479" s="8"/>
      <c r="J479" s="8"/>
    </row>
    <row r="480" spans="2:10" ht="12.75" x14ac:dyDescent="0.2">
      <c r="B480" s="6"/>
      <c r="C480" s="6"/>
      <c r="D480" s="6"/>
      <c r="E480" s="9"/>
      <c r="F480" s="9"/>
      <c r="G480" s="11"/>
      <c r="H480" s="5"/>
      <c r="I480" s="8"/>
      <c r="J480" s="8"/>
    </row>
    <row r="481" spans="2:10" ht="12.75" x14ac:dyDescent="0.2">
      <c r="B481" s="6"/>
      <c r="C481" s="6"/>
      <c r="D481" s="6"/>
      <c r="E481" s="9"/>
      <c r="F481" s="9"/>
      <c r="G481" s="11"/>
      <c r="H481" s="5"/>
      <c r="I481" s="8"/>
      <c r="J481" s="8"/>
    </row>
    <row r="482" spans="2:10" ht="12.75" x14ac:dyDescent="0.2">
      <c r="B482" s="6"/>
      <c r="C482" s="6"/>
      <c r="D482" s="6"/>
      <c r="E482" s="9"/>
      <c r="F482" s="9"/>
      <c r="G482" s="11"/>
      <c r="H482" s="5"/>
      <c r="I482" s="8"/>
      <c r="J482" s="8"/>
    </row>
    <row r="483" spans="2:10" ht="12.75" x14ac:dyDescent="0.2">
      <c r="B483" s="6"/>
      <c r="C483" s="6"/>
      <c r="D483" s="6"/>
      <c r="E483" s="9"/>
      <c r="F483" s="9"/>
      <c r="G483" s="11"/>
      <c r="H483" s="5"/>
      <c r="I483" s="8"/>
      <c r="J483" s="8"/>
    </row>
    <row r="484" spans="2:10" ht="12.75" x14ac:dyDescent="0.2">
      <c r="B484" s="6"/>
      <c r="C484" s="6"/>
      <c r="D484" s="6"/>
      <c r="E484" s="9"/>
      <c r="F484" s="9"/>
      <c r="G484" s="11"/>
      <c r="H484" s="5"/>
      <c r="I484" s="8"/>
      <c r="J484" s="8"/>
    </row>
    <row r="485" spans="2:10" ht="12.75" x14ac:dyDescent="0.2">
      <c r="B485" s="6"/>
      <c r="C485" s="6"/>
      <c r="D485" s="6"/>
      <c r="E485" s="9"/>
      <c r="F485" s="9"/>
      <c r="G485" s="11"/>
      <c r="H485" s="5"/>
      <c r="I485" s="8"/>
      <c r="J485" s="8"/>
    </row>
    <row r="486" spans="2:10" ht="12.75" x14ac:dyDescent="0.2">
      <c r="B486" s="6"/>
      <c r="C486" s="6"/>
      <c r="D486" s="6"/>
      <c r="E486" s="9"/>
      <c r="F486" s="9"/>
      <c r="G486" s="11"/>
      <c r="H486" s="5"/>
      <c r="I486" s="8"/>
      <c r="J486" s="8"/>
    </row>
    <row r="487" spans="2:10" ht="12.75" x14ac:dyDescent="0.2">
      <c r="B487" s="6"/>
      <c r="C487" s="6"/>
      <c r="D487" s="6"/>
      <c r="E487" s="9"/>
      <c r="F487" s="9"/>
      <c r="G487" s="11"/>
      <c r="H487" s="5"/>
      <c r="I487" s="8"/>
      <c r="J487" s="8"/>
    </row>
    <row r="488" spans="2:10" ht="12.75" x14ac:dyDescent="0.2">
      <c r="B488" s="6"/>
      <c r="C488" s="6"/>
      <c r="D488" s="6"/>
      <c r="E488" s="9"/>
      <c r="F488" s="9"/>
      <c r="G488" s="11"/>
      <c r="H488" s="5"/>
      <c r="I488" s="8"/>
      <c r="J488" s="8"/>
    </row>
    <row r="489" spans="2:10" ht="12.75" x14ac:dyDescent="0.2">
      <c r="B489" s="6"/>
      <c r="C489" s="6"/>
      <c r="D489" s="6"/>
      <c r="E489" s="9"/>
      <c r="F489" s="9"/>
      <c r="G489" s="11"/>
      <c r="H489" s="5"/>
      <c r="I489" s="8"/>
      <c r="J489" s="8"/>
    </row>
    <row r="490" spans="2:10" ht="12.75" x14ac:dyDescent="0.2">
      <c r="B490" s="6"/>
      <c r="C490" s="6"/>
      <c r="D490" s="6"/>
      <c r="E490" s="9"/>
      <c r="F490" s="9"/>
      <c r="G490" s="11"/>
      <c r="H490" s="5"/>
      <c r="I490" s="8"/>
      <c r="J490" s="8"/>
    </row>
    <row r="491" spans="2:10" ht="12.75" x14ac:dyDescent="0.2">
      <c r="B491" s="6"/>
      <c r="C491" s="6"/>
      <c r="D491" s="6"/>
      <c r="E491" s="9"/>
      <c r="F491" s="9"/>
      <c r="G491" s="11"/>
      <c r="H491" s="5"/>
      <c r="I491" s="8"/>
      <c r="J491" s="8"/>
    </row>
    <row r="492" spans="2:10" ht="12.75" x14ac:dyDescent="0.2">
      <c r="B492" s="6"/>
      <c r="C492" s="6"/>
      <c r="D492" s="6"/>
      <c r="E492" s="9"/>
      <c r="F492" s="9"/>
      <c r="G492" s="11"/>
      <c r="H492" s="5"/>
      <c r="I492" s="8"/>
      <c r="J492" s="8"/>
    </row>
    <row r="493" spans="2:10" ht="12.75" x14ac:dyDescent="0.2">
      <c r="B493" s="6"/>
      <c r="C493" s="6"/>
      <c r="D493" s="6"/>
      <c r="E493" s="9"/>
      <c r="F493" s="9"/>
      <c r="G493" s="11"/>
      <c r="H493" s="5"/>
      <c r="I493" s="8"/>
      <c r="J493" s="8"/>
    </row>
    <row r="494" spans="2:10" ht="12.75" x14ac:dyDescent="0.2">
      <c r="B494" s="6"/>
      <c r="C494" s="6"/>
      <c r="D494" s="6"/>
      <c r="E494" s="9"/>
      <c r="F494" s="9"/>
      <c r="G494" s="11"/>
      <c r="H494" s="5"/>
      <c r="I494" s="8"/>
      <c r="J494" s="8"/>
    </row>
    <row r="495" spans="2:10" ht="12.75" x14ac:dyDescent="0.2">
      <c r="B495" s="6"/>
      <c r="C495" s="6"/>
      <c r="D495" s="6"/>
      <c r="E495" s="9"/>
      <c r="F495" s="9"/>
      <c r="G495" s="11"/>
      <c r="H495" s="5"/>
      <c r="I495" s="8"/>
      <c r="J495" s="8"/>
    </row>
    <row r="496" spans="2:10" ht="12.75" x14ac:dyDescent="0.2">
      <c r="B496" s="6"/>
      <c r="C496" s="6"/>
      <c r="D496" s="6"/>
      <c r="E496" s="9"/>
      <c r="F496" s="9"/>
      <c r="G496" s="11"/>
      <c r="H496" s="5"/>
      <c r="I496" s="8"/>
      <c r="J496" s="8"/>
    </row>
    <row r="497" spans="2:10" ht="12.75" x14ac:dyDescent="0.2">
      <c r="B497" s="6"/>
      <c r="C497" s="6"/>
      <c r="D497" s="6"/>
      <c r="E497" s="9"/>
      <c r="F497" s="9"/>
      <c r="G497" s="11"/>
      <c r="H497" s="5"/>
      <c r="I497" s="8"/>
      <c r="J497" s="8"/>
    </row>
    <row r="498" spans="2:10" ht="12.75" x14ac:dyDescent="0.2">
      <c r="B498" s="6"/>
      <c r="C498" s="6"/>
      <c r="D498" s="6"/>
      <c r="E498" s="9"/>
      <c r="F498" s="9"/>
      <c r="G498" s="11"/>
      <c r="H498" s="5"/>
      <c r="I498" s="8"/>
      <c r="J498" s="8"/>
    </row>
    <row r="499" spans="2:10" ht="12.75" x14ac:dyDescent="0.2">
      <c r="B499" s="6"/>
      <c r="C499" s="6"/>
      <c r="D499" s="6"/>
      <c r="E499" s="9"/>
      <c r="F499" s="9"/>
      <c r="G499" s="11"/>
      <c r="H499" s="5"/>
      <c r="I499" s="8"/>
      <c r="J499" s="8"/>
    </row>
    <row r="500" spans="2:10" ht="12.75" x14ac:dyDescent="0.2">
      <c r="B500" s="6"/>
      <c r="C500" s="6"/>
      <c r="D500" s="6"/>
      <c r="E500" s="9"/>
      <c r="F500" s="9"/>
      <c r="G500" s="11"/>
      <c r="H500" s="5"/>
      <c r="I500" s="8"/>
      <c r="J500" s="8"/>
    </row>
    <row r="501" spans="2:10" ht="12.75" x14ac:dyDescent="0.2">
      <c r="B501" s="6"/>
      <c r="C501" s="6"/>
      <c r="D501" s="6"/>
      <c r="E501" s="9"/>
      <c r="F501" s="9"/>
      <c r="G501" s="11"/>
      <c r="H501" s="5"/>
      <c r="I501" s="8"/>
      <c r="J501" s="8"/>
    </row>
    <row r="502" spans="2:10" ht="12.75" x14ac:dyDescent="0.2">
      <c r="B502" s="6"/>
      <c r="C502" s="6"/>
      <c r="D502" s="6"/>
      <c r="E502" s="9"/>
      <c r="F502" s="9"/>
      <c r="G502" s="11"/>
      <c r="H502" s="5"/>
      <c r="I502" s="8"/>
      <c r="J502" s="8"/>
    </row>
    <row r="503" spans="2:10" ht="12.75" x14ac:dyDescent="0.2">
      <c r="B503" s="6"/>
      <c r="C503" s="6"/>
      <c r="D503" s="6"/>
      <c r="E503" s="9"/>
      <c r="F503" s="9"/>
      <c r="G503" s="11"/>
      <c r="H503" s="5"/>
      <c r="I503" s="8"/>
      <c r="J503" s="8"/>
    </row>
    <row r="504" spans="2:10" ht="12.75" x14ac:dyDescent="0.2">
      <c r="B504" s="6"/>
      <c r="C504" s="6"/>
      <c r="D504" s="6"/>
      <c r="E504" s="9"/>
      <c r="F504" s="9"/>
      <c r="G504" s="11"/>
      <c r="H504" s="5"/>
      <c r="I504" s="8"/>
      <c r="J504" s="8"/>
    </row>
    <row r="505" spans="2:10" ht="12.75" x14ac:dyDescent="0.2">
      <c r="B505" s="6"/>
      <c r="C505" s="6"/>
      <c r="D505" s="6"/>
      <c r="E505" s="9"/>
      <c r="F505" s="9"/>
      <c r="G505" s="11"/>
      <c r="H505" s="5"/>
      <c r="I505" s="8"/>
      <c r="J505" s="8"/>
    </row>
    <row r="506" spans="2:10" ht="12.75" x14ac:dyDescent="0.2">
      <c r="B506" s="6"/>
      <c r="C506" s="6"/>
      <c r="D506" s="6"/>
      <c r="E506" s="9"/>
      <c r="F506" s="9"/>
      <c r="G506" s="11"/>
      <c r="H506" s="5"/>
      <c r="I506" s="8"/>
      <c r="J506" s="8"/>
    </row>
    <row r="507" spans="2:10" ht="12.75" x14ac:dyDescent="0.2">
      <c r="B507" s="6"/>
      <c r="C507" s="6"/>
      <c r="D507" s="6"/>
      <c r="E507" s="9"/>
      <c r="F507" s="9"/>
      <c r="G507" s="11"/>
      <c r="H507" s="5"/>
      <c r="I507" s="8"/>
      <c r="J507" s="8"/>
    </row>
    <row r="508" spans="2:10" ht="12.75" x14ac:dyDescent="0.2">
      <c r="B508" s="6"/>
      <c r="C508" s="6"/>
      <c r="D508" s="6"/>
      <c r="E508" s="9"/>
      <c r="F508" s="9"/>
      <c r="G508" s="11"/>
      <c r="H508" s="5"/>
      <c r="I508" s="8"/>
      <c r="J508" s="8"/>
    </row>
    <row r="509" spans="2:10" ht="12.75" x14ac:dyDescent="0.2">
      <c r="B509" s="6"/>
      <c r="C509" s="6"/>
      <c r="D509" s="6"/>
      <c r="E509" s="9"/>
      <c r="F509" s="9"/>
      <c r="G509" s="11"/>
      <c r="H509" s="5"/>
      <c r="I509" s="8"/>
      <c r="J509" s="8"/>
    </row>
    <row r="510" spans="2:10" ht="12.75" x14ac:dyDescent="0.2">
      <c r="B510" s="6"/>
      <c r="C510" s="6"/>
      <c r="D510" s="6"/>
      <c r="E510" s="9"/>
      <c r="F510" s="9"/>
      <c r="G510" s="11"/>
      <c r="H510" s="5"/>
      <c r="I510" s="8"/>
      <c r="J510" s="8"/>
    </row>
    <row r="511" spans="2:10" ht="12.75" x14ac:dyDescent="0.2">
      <c r="B511" s="6"/>
      <c r="C511" s="6"/>
      <c r="D511" s="6"/>
      <c r="E511" s="9"/>
      <c r="F511" s="9"/>
      <c r="G511" s="11"/>
      <c r="H511" s="5"/>
      <c r="I511" s="8"/>
      <c r="J511" s="8"/>
    </row>
    <row r="512" spans="2:10" ht="12.75" x14ac:dyDescent="0.2">
      <c r="B512" s="6"/>
      <c r="C512" s="6"/>
      <c r="D512" s="6"/>
      <c r="E512" s="9"/>
      <c r="F512" s="9"/>
      <c r="G512" s="11"/>
      <c r="H512" s="5"/>
      <c r="I512" s="8"/>
      <c r="J512" s="8"/>
    </row>
    <row r="513" spans="2:10" ht="12.75" x14ac:dyDescent="0.2">
      <c r="B513" s="6"/>
      <c r="C513" s="6"/>
      <c r="D513" s="6"/>
      <c r="E513" s="9"/>
      <c r="F513" s="9"/>
      <c r="G513" s="11"/>
      <c r="H513" s="5"/>
      <c r="I513" s="8"/>
      <c r="J513" s="8"/>
    </row>
    <row r="514" spans="2:10" ht="12.75" x14ac:dyDescent="0.2">
      <c r="B514" s="6"/>
      <c r="C514" s="6"/>
      <c r="D514" s="6"/>
      <c r="E514" s="9"/>
      <c r="F514" s="9"/>
      <c r="G514" s="11"/>
      <c r="H514" s="5"/>
      <c r="I514" s="8"/>
      <c r="J514" s="8"/>
    </row>
    <row r="515" spans="2:10" ht="12.75" x14ac:dyDescent="0.2">
      <c r="B515" s="6"/>
      <c r="C515" s="6"/>
      <c r="D515" s="6"/>
      <c r="E515" s="9"/>
      <c r="F515" s="9"/>
      <c r="G515" s="11"/>
      <c r="H515" s="5"/>
      <c r="I515" s="8"/>
      <c r="J515" s="8"/>
    </row>
    <row r="516" spans="2:10" ht="12.75" x14ac:dyDescent="0.2">
      <c r="B516" s="6"/>
      <c r="C516" s="6"/>
      <c r="D516" s="6"/>
      <c r="E516" s="9"/>
      <c r="F516" s="9"/>
      <c r="G516" s="11"/>
      <c r="H516" s="5"/>
      <c r="I516" s="8"/>
      <c r="J516" s="8"/>
    </row>
    <row r="517" spans="2:10" ht="12.75" x14ac:dyDescent="0.2">
      <c r="B517" s="6"/>
      <c r="C517" s="6"/>
      <c r="D517" s="6"/>
      <c r="E517" s="9"/>
      <c r="F517" s="9"/>
      <c r="G517" s="11"/>
      <c r="H517" s="5"/>
      <c r="I517" s="8"/>
      <c r="J517" s="8"/>
    </row>
    <row r="518" spans="2:10" ht="12.75" x14ac:dyDescent="0.2">
      <c r="B518" s="6"/>
      <c r="C518" s="6"/>
      <c r="D518" s="6"/>
      <c r="E518" s="9"/>
      <c r="F518" s="9"/>
      <c r="G518" s="11"/>
      <c r="H518" s="5"/>
      <c r="I518" s="8"/>
      <c r="J518" s="8"/>
    </row>
    <row r="519" spans="2:10" ht="12.75" x14ac:dyDescent="0.2">
      <c r="B519" s="6"/>
      <c r="C519" s="6"/>
      <c r="D519" s="6"/>
      <c r="E519" s="9"/>
      <c r="F519" s="9"/>
      <c r="G519" s="11"/>
      <c r="H519" s="5"/>
      <c r="I519" s="8"/>
      <c r="J519" s="8"/>
    </row>
    <row r="520" spans="2:10" ht="12.75" x14ac:dyDescent="0.2">
      <c r="B520" s="6"/>
      <c r="C520" s="6"/>
      <c r="D520" s="6"/>
      <c r="E520" s="9"/>
      <c r="F520" s="9"/>
      <c r="G520" s="11"/>
      <c r="H520" s="5"/>
      <c r="I520" s="8"/>
      <c r="J520" s="8"/>
    </row>
    <row r="521" spans="2:10" ht="12.75" x14ac:dyDescent="0.2">
      <c r="B521" s="6"/>
      <c r="C521" s="6"/>
      <c r="D521" s="6"/>
      <c r="E521" s="9"/>
      <c r="F521" s="9"/>
      <c r="G521" s="11"/>
      <c r="H521" s="5"/>
      <c r="I521" s="8"/>
      <c r="J521" s="8"/>
    </row>
    <row r="522" spans="2:10" ht="12.75" x14ac:dyDescent="0.2">
      <c r="B522" s="6"/>
      <c r="C522" s="6"/>
      <c r="D522" s="6"/>
      <c r="E522" s="9"/>
      <c r="F522" s="9"/>
      <c r="G522" s="11"/>
      <c r="H522" s="5"/>
      <c r="I522" s="8"/>
      <c r="J522" s="8"/>
    </row>
    <row r="523" spans="2:10" ht="12.75" x14ac:dyDescent="0.2">
      <c r="B523" s="6"/>
      <c r="C523" s="6"/>
      <c r="D523" s="6"/>
      <c r="E523" s="9"/>
      <c r="F523" s="9"/>
      <c r="G523" s="11"/>
      <c r="H523" s="5"/>
      <c r="I523" s="8"/>
      <c r="J523" s="8"/>
    </row>
    <row r="524" spans="2:10" ht="12.75" x14ac:dyDescent="0.2">
      <c r="B524" s="6"/>
      <c r="C524" s="6"/>
      <c r="D524" s="6"/>
      <c r="E524" s="9"/>
      <c r="F524" s="9"/>
      <c r="G524" s="11"/>
      <c r="H524" s="5"/>
      <c r="I524" s="8"/>
      <c r="J524" s="8"/>
    </row>
    <row r="525" spans="2:10" ht="12.75" x14ac:dyDescent="0.2">
      <c r="B525" s="6"/>
      <c r="C525" s="6"/>
      <c r="D525" s="6"/>
      <c r="E525" s="9"/>
      <c r="F525" s="9"/>
      <c r="G525" s="11"/>
      <c r="H525" s="5"/>
      <c r="I525" s="8"/>
      <c r="J525" s="8"/>
    </row>
    <row r="526" spans="2:10" ht="12.75" x14ac:dyDescent="0.2">
      <c r="B526" s="6"/>
      <c r="C526" s="6"/>
      <c r="D526" s="6"/>
      <c r="E526" s="9"/>
      <c r="F526" s="9"/>
      <c r="G526" s="11"/>
      <c r="H526" s="5"/>
      <c r="I526" s="8"/>
      <c r="J526" s="8"/>
    </row>
    <row r="527" spans="2:10" ht="12.75" x14ac:dyDescent="0.2">
      <c r="B527" s="6"/>
      <c r="C527" s="6"/>
      <c r="D527" s="6"/>
      <c r="E527" s="9"/>
      <c r="F527" s="9"/>
      <c r="G527" s="11"/>
      <c r="H527" s="5"/>
      <c r="I527" s="8"/>
      <c r="J527" s="8"/>
    </row>
    <row r="528" spans="2:10" ht="12.75" x14ac:dyDescent="0.2">
      <c r="B528" s="6"/>
      <c r="C528" s="6"/>
      <c r="D528" s="6"/>
      <c r="E528" s="9"/>
      <c r="F528" s="9"/>
      <c r="G528" s="11"/>
      <c r="H528" s="5"/>
      <c r="I528" s="8"/>
      <c r="J528" s="8"/>
    </row>
    <row r="529" spans="2:10" ht="12.75" x14ac:dyDescent="0.2">
      <c r="B529" s="6"/>
      <c r="C529" s="6"/>
      <c r="D529" s="6"/>
      <c r="E529" s="9"/>
      <c r="F529" s="9"/>
      <c r="G529" s="11"/>
      <c r="H529" s="5"/>
      <c r="I529" s="8"/>
      <c r="J529" s="8"/>
    </row>
    <row r="530" spans="2:10" ht="12.75" x14ac:dyDescent="0.2">
      <c r="B530" s="6"/>
      <c r="C530" s="6"/>
      <c r="D530" s="6"/>
      <c r="E530" s="9"/>
      <c r="F530" s="9"/>
      <c r="G530" s="11"/>
      <c r="H530" s="5"/>
      <c r="I530" s="8"/>
      <c r="J530" s="8"/>
    </row>
    <row r="531" spans="2:10" ht="12.75" x14ac:dyDescent="0.2">
      <c r="B531" s="6"/>
      <c r="C531" s="6"/>
      <c r="D531" s="6"/>
      <c r="E531" s="9"/>
      <c r="F531" s="9"/>
      <c r="G531" s="11"/>
      <c r="H531" s="5"/>
      <c r="I531" s="8"/>
      <c r="J531" s="8"/>
    </row>
    <row r="532" spans="2:10" ht="12.75" x14ac:dyDescent="0.2">
      <c r="B532" s="6"/>
      <c r="C532" s="6"/>
      <c r="D532" s="6"/>
      <c r="E532" s="9"/>
      <c r="F532" s="9"/>
      <c r="G532" s="11"/>
      <c r="H532" s="5"/>
      <c r="I532" s="8"/>
      <c r="J532" s="8"/>
    </row>
    <row r="533" spans="2:10" ht="12.75" x14ac:dyDescent="0.2">
      <c r="B533" s="6"/>
      <c r="C533" s="6"/>
      <c r="D533" s="6"/>
      <c r="E533" s="9"/>
      <c r="F533" s="9"/>
      <c r="G533" s="11"/>
      <c r="H533" s="5"/>
      <c r="I533" s="8"/>
      <c r="J533" s="8"/>
    </row>
    <row r="534" spans="2:10" ht="12.75" x14ac:dyDescent="0.2">
      <c r="B534" s="6"/>
      <c r="C534" s="6"/>
      <c r="D534" s="6"/>
      <c r="E534" s="9"/>
      <c r="F534" s="9"/>
      <c r="G534" s="11"/>
      <c r="H534" s="5"/>
      <c r="I534" s="8"/>
      <c r="J534" s="8"/>
    </row>
    <row r="535" spans="2:10" ht="12.75" x14ac:dyDescent="0.2">
      <c r="B535" s="6"/>
      <c r="C535" s="6"/>
      <c r="D535" s="6"/>
      <c r="E535" s="9"/>
      <c r="F535" s="9"/>
      <c r="G535" s="11"/>
      <c r="H535" s="5"/>
      <c r="I535" s="8"/>
      <c r="J535" s="8"/>
    </row>
    <row r="536" spans="2:10" ht="12.75" x14ac:dyDescent="0.2">
      <c r="B536" s="6"/>
      <c r="C536" s="6"/>
      <c r="D536" s="6"/>
      <c r="E536" s="9"/>
      <c r="F536" s="9"/>
      <c r="G536" s="11"/>
      <c r="H536" s="5"/>
      <c r="I536" s="8"/>
      <c r="J536" s="8"/>
    </row>
    <row r="537" spans="2:10" ht="12.75" x14ac:dyDescent="0.2">
      <c r="B537" s="6"/>
      <c r="C537" s="6"/>
      <c r="D537" s="6"/>
      <c r="E537" s="9"/>
      <c r="F537" s="9"/>
      <c r="G537" s="11"/>
      <c r="H537" s="5"/>
      <c r="I537" s="8"/>
      <c r="J537" s="8"/>
    </row>
    <row r="538" spans="2:10" ht="12.75" x14ac:dyDescent="0.2">
      <c r="B538" s="6"/>
      <c r="C538" s="6"/>
      <c r="D538" s="6"/>
      <c r="E538" s="9"/>
      <c r="F538" s="9"/>
      <c r="G538" s="11"/>
      <c r="H538" s="5"/>
      <c r="I538" s="8"/>
      <c r="J538" s="8"/>
    </row>
    <row r="539" spans="2:10" ht="12.75" x14ac:dyDescent="0.2">
      <c r="B539" s="6"/>
      <c r="C539" s="6"/>
      <c r="D539" s="6"/>
      <c r="E539" s="9"/>
      <c r="F539" s="9"/>
      <c r="G539" s="11"/>
      <c r="H539" s="5"/>
      <c r="I539" s="8"/>
      <c r="J539" s="8"/>
    </row>
    <row r="540" spans="2:10" ht="12.75" x14ac:dyDescent="0.2">
      <c r="B540" s="6"/>
      <c r="C540" s="6"/>
      <c r="D540" s="6"/>
      <c r="E540" s="9"/>
      <c r="F540" s="9"/>
      <c r="G540" s="11"/>
      <c r="H540" s="5"/>
      <c r="I540" s="8"/>
      <c r="J540" s="8"/>
    </row>
    <row r="541" spans="2:10" ht="12.75" x14ac:dyDescent="0.2">
      <c r="B541" s="6"/>
      <c r="C541" s="6"/>
      <c r="D541" s="6"/>
      <c r="E541" s="9"/>
      <c r="F541" s="9"/>
      <c r="G541" s="11"/>
      <c r="H541" s="5"/>
      <c r="I541" s="8"/>
      <c r="J541" s="8"/>
    </row>
    <row r="542" spans="2:10" ht="12.75" x14ac:dyDescent="0.2">
      <c r="B542" s="6"/>
      <c r="C542" s="6"/>
      <c r="D542" s="6"/>
      <c r="E542" s="9"/>
      <c r="F542" s="9"/>
      <c r="G542" s="11"/>
      <c r="H542" s="5"/>
      <c r="I542" s="8"/>
      <c r="J542" s="8"/>
    </row>
    <row r="543" spans="2:10" ht="12.75" x14ac:dyDescent="0.2">
      <c r="B543" s="6"/>
      <c r="C543" s="6"/>
      <c r="D543" s="6"/>
      <c r="E543" s="9"/>
      <c r="F543" s="9"/>
      <c r="G543" s="11"/>
      <c r="H543" s="5"/>
      <c r="I543" s="8"/>
      <c r="J543" s="8"/>
    </row>
    <row r="544" spans="2:10" ht="12.75" x14ac:dyDescent="0.2">
      <c r="B544" s="6"/>
      <c r="C544" s="6"/>
      <c r="D544" s="6"/>
      <c r="E544" s="9"/>
      <c r="F544" s="9"/>
      <c r="G544" s="11"/>
      <c r="H544" s="5"/>
      <c r="I544" s="8"/>
      <c r="J544" s="8"/>
    </row>
    <row r="545" spans="2:10" ht="12.75" x14ac:dyDescent="0.2">
      <c r="B545" s="6"/>
      <c r="C545" s="6"/>
      <c r="D545" s="6"/>
      <c r="E545" s="9"/>
      <c r="F545" s="9"/>
      <c r="G545" s="11"/>
      <c r="H545" s="5"/>
      <c r="I545" s="8"/>
      <c r="J545" s="8"/>
    </row>
    <row r="546" spans="2:10" ht="12.75" x14ac:dyDescent="0.2">
      <c r="B546" s="6"/>
      <c r="C546" s="6"/>
      <c r="D546" s="6"/>
      <c r="E546" s="9"/>
      <c r="F546" s="9"/>
      <c r="G546" s="11"/>
      <c r="H546" s="5"/>
      <c r="I546" s="8"/>
      <c r="J546" s="8"/>
    </row>
    <row r="547" spans="2:10" ht="12.75" x14ac:dyDescent="0.2">
      <c r="B547" s="6"/>
      <c r="C547" s="6"/>
      <c r="D547" s="6"/>
      <c r="E547" s="9"/>
      <c r="F547" s="9"/>
      <c r="G547" s="11"/>
      <c r="H547" s="5"/>
      <c r="I547" s="8"/>
      <c r="J547" s="8"/>
    </row>
    <row r="548" spans="2:10" ht="12.75" x14ac:dyDescent="0.2">
      <c r="B548" s="6"/>
      <c r="C548" s="6"/>
      <c r="D548" s="6"/>
      <c r="E548" s="9"/>
      <c r="F548" s="9"/>
      <c r="G548" s="11"/>
      <c r="H548" s="5"/>
      <c r="I548" s="8"/>
      <c r="J548" s="8"/>
    </row>
    <row r="549" spans="2:10" ht="12.75" x14ac:dyDescent="0.2">
      <c r="B549" s="6"/>
      <c r="C549" s="6"/>
      <c r="D549" s="6"/>
      <c r="E549" s="9"/>
      <c r="F549" s="9"/>
      <c r="G549" s="11"/>
      <c r="H549" s="5"/>
      <c r="I549" s="8"/>
      <c r="J549" s="8"/>
    </row>
    <row r="550" spans="2:10" ht="12.75" x14ac:dyDescent="0.2">
      <c r="B550" s="6"/>
      <c r="C550" s="6"/>
      <c r="D550" s="6"/>
      <c r="E550" s="9"/>
      <c r="F550" s="9"/>
      <c r="G550" s="11"/>
      <c r="H550" s="5"/>
      <c r="I550" s="8"/>
      <c r="J550" s="8"/>
    </row>
    <row r="551" spans="2:10" ht="12.75" x14ac:dyDescent="0.2">
      <c r="B551" s="6"/>
      <c r="C551" s="6"/>
      <c r="D551" s="6"/>
      <c r="E551" s="9"/>
      <c r="F551" s="9"/>
      <c r="G551" s="11"/>
      <c r="H551" s="5"/>
      <c r="I551" s="8"/>
      <c r="J551" s="8"/>
    </row>
    <row r="552" spans="2:10" ht="12.75" x14ac:dyDescent="0.2">
      <c r="B552" s="6"/>
      <c r="C552" s="6"/>
      <c r="D552" s="6"/>
      <c r="E552" s="9"/>
      <c r="F552" s="9"/>
      <c r="G552" s="11"/>
      <c r="H552" s="5"/>
      <c r="I552" s="8"/>
      <c r="J552" s="8"/>
    </row>
    <row r="553" spans="2:10" ht="12.75" x14ac:dyDescent="0.2">
      <c r="B553" s="6"/>
      <c r="C553" s="6"/>
      <c r="D553" s="6"/>
      <c r="E553" s="9"/>
      <c r="F553" s="9"/>
      <c r="G553" s="11"/>
      <c r="H553" s="5"/>
      <c r="I553" s="8"/>
      <c r="J553" s="8"/>
    </row>
    <row r="554" spans="2:10" ht="12.75" x14ac:dyDescent="0.2">
      <c r="B554" s="6"/>
      <c r="C554" s="6"/>
      <c r="D554" s="6"/>
      <c r="E554" s="9"/>
      <c r="F554" s="9"/>
      <c r="G554" s="11"/>
      <c r="H554" s="5"/>
      <c r="I554" s="8"/>
      <c r="J554" s="8"/>
    </row>
    <row r="555" spans="2:10" ht="12.75" x14ac:dyDescent="0.2">
      <c r="B555" s="6"/>
      <c r="C555" s="6"/>
      <c r="D555" s="6"/>
      <c r="E555" s="9"/>
      <c r="F555" s="9"/>
      <c r="G555" s="11"/>
      <c r="H555" s="5"/>
      <c r="I555" s="8"/>
      <c r="J555" s="8"/>
    </row>
    <row r="556" spans="2:10" ht="12.75" x14ac:dyDescent="0.2">
      <c r="B556" s="6"/>
      <c r="C556" s="6"/>
      <c r="D556" s="6"/>
      <c r="E556" s="9"/>
      <c r="F556" s="9"/>
      <c r="G556" s="11"/>
      <c r="H556" s="5"/>
      <c r="I556" s="8"/>
      <c r="J556" s="8"/>
    </row>
    <row r="557" spans="2:10" ht="12.75" x14ac:dyDescent="0.2">
      <c r="B557" s="6"/>
      <c r="C557" s="6"/>
      <c r="D557" s="6"/>
      <c r="E557" s="9"/>
      <c r="F557" s="9"/>
      <c r="G557" s="11"/>
      <c r="H557" s="5"/>
      <c r="I557" s="8"/>
      <c r="J557" s="8"/>
    </row>
    <row r="558" spans="2:10" ht="12.75" x14ac:dyDescent="0.2">
      <c r="B558" s="6"/>
      <c r="C558" s="6"/>
      <c r="D558" s="6"/>
      <c r="E558" s="9"/>
      <c r="F558" s="9"/>
      <c r="G558" s="11"/>
      <c r="H558" s="5"/>
      <c r="I558" s="8"/>
      <c r="J558" s="8"/>
    </row>
    <row r="559" spans="2:10" ht="12.75" x14ac:dyDescent="0.2">
      <c r="B559" s="6"/>
      <c r="C559" s="6"/>
      <c r="D559" s="6"/>
      <c r="E559" s="9"/>
      <c r="F559" s="9"/>
      <c r="G559" s="11"/>
      <c r="H559" s="5"/>
      <c r="I559" s="8"/>
      <c r="J559" s="8"/>
    </row>
    <row r="560" spans="2:10" ht="12.75" x14ac:dyDescent="0.2">
      <c r="B560" s="6"/>
      <c r="C560" s="6"/>
      <c r="D560" s="6"/>
      <c r="E560" s="9"/>
      <c r="F560" s="9"/>
      <c r="G560" s="11"/>
      <c r="H560" s="5"/>
      <c r="I560" s="8"/>
      <c r="J560" s="8"/>
    </row>
    <row r="561" spans="2:10" ht="12.75" x14ac:dyDescent="0.2">
      <c r="B561" s="6"/>
      <c r="C561" s="6"/>
      <c r="D561" s="6"/>
      <c r="E561" s="9"/>
      <c r="F561" s="9"/>
      <c r="G561" s="11"/>
      <c r="H561" s="5"/>
      <c r="I561" s="8"/>
      <c r="J561" s="8"/>
    </row>
    <row r="562" spans="2:10" ht="12.75" x14ac:dyDescent="0.2">
      <c r="B562" s="6"/>
      <c r="C562" s="6"/>
      <c r="D562" s="6"/>
      <c r="E562" s="9"/>
      <c r="F562" s="9"/>
      <c r="G562" s="11"/>
      <c r="H562" s="5"/>
      <c r="I562" s="8"/>
      <c r="J562" s="8"/>
    </row>
    <row r="563" spans="2:10" ht="12.75" x14ac:dyDescent="0.2">
      <c r="B563" s="6"/>
      <c r="C563" s="6"/>
      <c r="D563" s="6"/>
      <c r="E563" s="9"/>
      <c r="F563" s="9"/>
      <c r="G563" s="11"/>
      <c r="H563" s="5"/>
      <c r="I563" s="8"/>
      <c r="J563" s="8"/>
    </row>
    <row r="564" spans="2:10" ht="12.75" x14ac:dyDescent="0.2">
      <c r="B564" s="6"/>
      <c r="C564" s="6"/>
      <c r="D564" s="6"/>
      <c r="E564" s="9"/>
      <c r="F564" s="9"/>
      <c r="G564" s="11"/>
      <c r="H564" s="5"/>
      <c r="I564" s="8"/>
      <c r="J564" s="8"/>
    </row>
    <row r="565" spans="2:10" ht="12.75" x14ac:dyDescent="0.2">
      <c r="B565" s="6"/>
      <c r="C565" s="6"/>
      <c r="D565" s="6"/>
      <c r="E565" s="9"/>
      <c r="F565" s="9"/>
      <c r="G565" s="11"/>
      <c r="H565" s="5"/>
      <c r="I565" s="8"/>
      <c r="J565" s="8"/>
    </row>
    <row r="566" spans="2:10" ht="12.75" x14ac:dyDescent="0.2">
      <c r="B566" s="6"/>
      <c r="C566" s="6"/>
      <c r="D566" s="6"/>
      <c r="E566" s="9"/>
      <c r="F566" s="9"/>
      <c r="G566" s="11"/>
      <c r="H566" s="5"/>
      <c r="I566" s="8"/>
      <c r="J566" s="8"/>
    </row>
    <row r="567" spans="2:10" ht="12.75" x14ac:dyDescent="0.2">
      <c r="B567" s="6"/>
      <c r="C567" s="6"/>
      <c r="D567" s="6"/>
      <c r="E567" s="9"/>
      <c r="F567" s="9"/>
      <c r="G567" s="11"/>
      <c r="H567" s="5"/>
      <c r="I567" s="8"/>
      <c r="J567" s="8"/>
    </row>
    <row r="568" spans="2:10" ht="12.75" x14ac:dyDescent="0.2">
      <c r="B568" s="6"/>
      <c r="C568" s="6"/>
      <c r="D568" s="6"/>
      <c r="E568" s="9"/>
      <c r="F568" s="9"/>
      <c r="G568" s="11"/>
      <c r="H568" s="5"/>
      <c r="I568" s="8"/>
      <c r="J568" s="8"/>
    </row>
    <row r="569" spans="2:10" ht="12.75" x14ac:dyDescent="0.2">
      <c r="B569" s="6"/>
      <c r="C569" s="6"/>
      <c r="D569" s="6"/>
      <c r="E569" s="9"/>
      <c r="F569" s="9"/>
      <c r="G569" s="11"/>
      <c r="H569" s="5"/>
      <c r="I569" s="8"/>
      <c r="J569" s="8"/>
    </row>
    <row r="570" spans="2:10" ht="12.75" x14ac:dyDescent="0.2">
      <c r="B570" s="6"/>
      <c r="C570" s="6"/>
      <c r="D570" s="6"/>
      <c r="E570" s="9"/>
      <c r="F570" s="9"/>
      <c r="G570" s="11"/>
      <c r="H570" s="5"/>
      <c r="I570" s="8"/>
      <c r="J570" s="8"/>
    </row>
    <row r="571" spans="2:10" ht="12.75" x14ac:dyDescent="0.2">
      <c r="B571" s="6"/>
      <c r="C571" s="6"/>
      <c r="D571" s="6"/>
      <c r="E571" s="9"/>
      <c r="F571" s="9"/>
      <c r="G571" s="11"/>
      <c r="H571" s="5"/>
      <c r="I571" s="8"/>
      <c r="J571" s="8"/>
    </row>
    <row r="572" spans="2:10" ht="12.75" x14ac:dyDescent="0.2">
      <c r="B572" s="6"/>
      <c r="C572" s="6"/>
      <c r="D572" s="6"/>
      <c r="E572" s="9"/>
      <c r="F572" s="9"/>
      <c r="G572" s="11"/>
      <c r="H572" s="5"/>
      <c r="I572" s="8"/>
      <c r="J572" s="8"/>
    </row>
    <row r="573" spans="2:10" ht="12.75" x14ac:dyDescent="0.2">
      <c r="B573" s="6"/>
      <c r="C573" s="6"/>
      <c r="D573" s="6"/>
      <c r="E573" s="9"/>
      <c r="F573" s="9"/>
      <c r="G573" s="11"/>
      <c r="H573" s="5"/>
      <c r="I573" s="8"/>
      <c r="J573" s="8"/>
    </row>
    <row r="574" spans="2:10" ht="12.75" x14ac:dyDescent="0.2">
      <c r="B574" s="6"/>
      <c r="C574" s="6"/>
      <c r="D574" s="6"/>
      <c r="E574" s="9"/>
      <c r="F574" s="9"/>
      <c r="G574" s="11"/>
      <c r="H574" s="5"/>
      <c r="I574" s="8"/>
      <c r="J574" s="8"/>
    </row>
    <row r="575" spans="2:10" ht="12.75" x14ac:dyDescent="0.2">
      <c r="B575" s="6"/>
      <c r="C575" s="6"/>
      <c r="D575" s="6"/>
      <c r="E575" s="9"/>
      <c r="F575" s="9"/>
      <c r="G575" s="11"/>
      <c r="H575" s="5"/>
      <c r="I575" s="8"/>
      <c r="J575" s="8"/>
    </row>
    <row r="576" spans="2:10" ht="12.75" x14ac:dyDescent="0.2">
      <c r="B576" s="6"/>
      <c r="C576" s="6"/>
      <c r="D576" s="6"/>
      <c r="E576" s="9"/>
      <c r="F576" s="9"/>
      <c r="G576" s="11"/>
      <c r="H576" s="5"/>
      <c r="I576" s="8"/>
      <c r="J576" s="8"/>
    </row>
    <row r="577" spans="2:10" ht="12.75" x14ac:dyDescent="0.2">
      <c r="B577" s="6"/>
      <c r="C577" s="6"/>
      <c r="D577" s="6"/>
      <c r="E577" s="9"/>
      <c r="F577" s="9"/>
      <c r="G577" s="11"/>
      <c r="H577" s="5"/>
      <c r="I577" s="8"/>
      <c r="J577" s="8"/>
    </row>
    <row r="578" spans="2:10" ht="12.75" x14ac:dyDescent="0.2">
      <c r="B578" s="6"/>
      <c r="C578" s="6"/>
      <c r="D578" s="6"/>
      <c r="E578" s="9"/>
      <c r="F578" s="9"/>
      <c r="G578" s="11"/>
      <c r="H578" s="5"/>
      <c r="I578" s="8"/>
      <c r="J578" s="8"/>
    </row>
    <row r="579" spans="2:10" ht="12.75" x14ac:dyDescent="0.2">
      <c r="B579" s="6"/>
      <c r="C579" s="6"/>
      <c r="D579" s="6"/>
      <c r="E579" s="9"/>
      <c r="F579" s="9"/>
      <c r="G579" s="11"/>
      <c r="H579" s="5"/>
      <c r="I579" s="8"/>
      <c r="J579" s="8"/>
    </row>
    <row r="580" spans="2:10" ht="12.75" x14ac:dyDescent="0.2">
      <c r="B580" s="6"/>
      <c r="C580" s="6"/>
      <c r="D580" s="6"/>
      <c r="E580" s="9"/>
      <c r="F580" s="9"/>
      <c r="G580" s="11"/>
      <c r="H580" s="5"/>
      <c r="I580" s="8"/>
      <c r="J580" s="8"/>
    </row>
    <row r="581" spans="2:10" ht="12.75" x14ac:dyDescent="0.2">
      <c r="B581" s="6"/>
      <c r="C581" s="6"/>
      <c r="D581" s="6"/>
      <c r="E581" s="9"/>
      <c r="F581" s="9"/>
      <c r="G581" s="11"/>
      <c r="H581" s="5"/>
      <c r="I581" s="8"/>
      <c r="J581" s="8"/>
    </row>
    <row r="582" spans="2:10" ht="12.75" x14ac:dyDescent="0.2">
      <c r="B582" s="6"/>
      <c r="C582" s="6"/>
      <c r="D582" s="6"/>
      <c r="E582" s="9"/>
      <c r="F582" s="9"/>
      <c r="G582" s="11"/>
      <c r="H582" s="5"/>
      <c r="I582" s="8"/>
      <c r="J582" s="8"/>
    </row>
    <row r="583" spans="2:10" ht="12.75" x14ac:dyDescent="0.2">
      <c r="B583" s="6"/>
      <c r="C583" s="6"/>
      <c r="D583" s="6"/>
      <c r="E583" s="9"/>
      <c r="F583" s="9"/>
      <c r="G583" s="11"/>
      <c r="H583" s="5"/>
      <c r="I583" s="8"/>
      <c r="J583" s="8"/>
    </row>
    <row r="584" spans="2:10" ht="12.75" x14ac:dyDescent="0.2">
      <c r="B584" s="6"/>
      <c r="C584" s="6"/>
      <c r="D584" s="6"/>
      <c r="E584" s="9"/>
      <c r="F584" s="9"/>
      <c r="G584" s="11"/>
      <c r="H584" s="5"/>
      <c r="I584" s="8"/>
      <c r="J584" s="8"/>
    </row>
    <row r="585" spans="2:10" ht="12.75" x14ac:dyDescent="0.2">
      <c r="B585" s="6"/>
      <c r="C585" s="6"/>
      <c r="D585" s="6"/>
      <c r="E585" s="9"/>
      <c r="F585" s="9"/>
      <c r="G585" s="11"/>
      <c r="H585" s="5"/>
      <c r="I585" s="8"/>
      <c r="J585" s="8"/>
    </row>
    <row r="586" spans="2:10" ht="12.75" x14ac:dyDescent="0.2">
      <c r="B586" s="6"/>
      <c r="C586" s="6"/>
      <c r="D586" s="6"/>
      <c r="E586" s="9"/>
      <c r="F586" s="9"/>
      <c r="G586" s="11"/>
      <c r="H586" s="5"/>
      <c r="I586" s="8"/>
      <c r="J586" s="8"/>
    </row>
    <row r="587" spans="2:10" ht="12.75" x14ac:dyDescent="0.2">
      <c r="B587" s="6"/>
      <c r="C587" s="6"/>
      <c r="D587" s="6"/>
      <c r="E587" s="9"/>
      <c r="F587" s="9"/>
      <c r="G587" s="11"/>
      <c r="H587" s="5"/>
      <c r="I587" s="8"/>
      <c r="J587" s="8"/>
    </row>
    <row r="588" spans="2:10" ht="12.75" x14ac:dyDescent="0.2">
      <c r="B588" s="6"/>
      <c r="C588" s="6"/>
      <c r="D588" s="6"/>
      <c r="E588" s="9"/>
      <c r="F588" s="9"/>
      <c r="G588" s="11"/>
      <c r="H588" s="5"/>
      <c r="I588" s="8"/>
      <c r="J588" s="8"/>
    </row>
    <row r="589" spans="2:10" ht="12.75" x14ac:dyDescent="0.2">
      <c r="B589" s="6"/>
      <c r="C589" s="6"/>
      <c r="D589" s="6"/>
      <c r="E589" s="9"/>
      <c r="F589" s="9"/>
      <c r="G589" s="11"/>
      <c r="H589" s="5"/>
      <c r="I589" s="8"/>
      <c r="J589" s="8"/>
    </row>
    <row r="590" spans="2:10" ht="12.75" x14ac:dyDescent="0.2">
      <c r="B590" s="6"/>
      <c r="C590" s="6"/>
      <c r="D590" s="6"/>
      <c r="E590" s="9"/>
      <c r="F590" s="9"/>
      <c r="G590" s="11"/>
      <c r="H590" s="5"/>
      <c r="I590" s="8"/>
      <c r="J590" s="8"/>
    </row>
    <row r="591" spans="2:10" ht="12.75" x14ac:dyDescent="0.2">
      <c r="B591" s="6"/>
      <c r="C591" s="6"/>
      <c r="D591" s="6"/>
      <c r="E591" s="9"/>
      <c r="F591" s="9"/>
      <c r="G591" s="11"/>
      <c r="H591" s="5"/>
      <c r="I591" s="8"/>
      <c r="J591" s="8"/>
    </row>
    <row r="592" spans="2:10" ht="12.75" x14ac:dyDescent="0.2">
      <c r="B592" s="6"/>
      <c r="C592" s="6"/>
      <c r="D592" s="6"/>
      <c r="E592" s="9"/>
      <c r="F592" s="9"/>
      <c r="G592" s="11"/>
      <c r="H592" s="5"/>
      <c r="I592" s="8"/>
      <c r="J592" s="8"/>
    </row>
    <row r="593" spans="2:10" ht="12.75" x14ac:dyDescent="0.2">
      <c r="B593" s="6"/>
      <c r="C593" s="6"/>
      <c r="D593" s="6"/>
      <c r="E593" s="9"/>
      <c r="F593" s="9"/>
      <c r="G593" s="11"/>
      <c r="H593" s="5"/>
      <c r="I593" s="8"/>
      <c r="J593" s="8"/>
    </row>
    <row r="594" spans="2:10" ht="12.75" x14ac:dyDescent="0.2">
      <c r="B594" s="6"/>
      <c r="C594" s="6"/>
      <c r="D594" s="6"/>
      <c r="E594" s="9"/>
      <c r="F594" s="9"/>
      <c r="G594" s="11"/>
      <c r="H594" s="5"/>
      <c r="I594" s="8"/>
      <c r="J594" s="8"/>
    </row>
    <row r="595" spans="2:10" ht="12.75" x14ac:dyDescent="0.2">
      <c r="B595" s="6"/>
      <c r="C595" s="6"/>
      <c r="D595" s="6"/>
      <c r="E595" s="9"/>
      <c r="F595" s="9"/>
      <c r="G595" s="11"/>
      <c r="H595" s="5"/>
      <c r="I595" s="8"/>
      <c r="J595" s="8"/>
    </row>
    <row r="596" spans="2:10" ht="12.75" x14ac:dyDescent="0.2">
      <c r="B596" s="6"/>
      <c r="C596" s="6"/>
      <c r="D596" s="6"/>
      <c r="E596" s="9"/>
      <c r="F596" s="9"/>
      <c r="G596" s="11"/>
      <c r="H596" s="5"/>
      <c r="I596" s="8"/>
      <c r="J596" s="8"/>
    </row>
    <row r="597" spans="2:10" ht="12.75" x14ac:dyDescent="0.2">
      <c r="B597" s="6"/>
      <c r="C597" s="6"/>
      <c r="D597" s="6"/>
      <c r="E597" s="9"/>
      <c r="F597" s="9"/>
      <c r="G597" s="11"/>
      <c r="H597" s="5"/>
      <c r="I597" s="8"/>
      <c r="J597" s="8"/>
    </row>
    <row r="598" spans="2:10" ht="12.75" x14ac:dyDescent="0.2">
      <c r="B598" s="6"/>
      <c r="C598" s="6"/>
      <c r="D598" s="6"/>
      <c r="E598" s="9"/>
      <c r="F598" s="9"/>
      <c r="G598" s="11"/>
      <c r="H598" s="5"/>
      <c r="I598" s="8"/>
      <c r="J598" s="8"/>
    </row>
    <row r="599" spans="2:10" ht="12.75" x14ac:dyDescent="0.2">
      <c r="B599" s="6"/>
      <c r="C599" s="6"/>
      <c r="D599" s="6"/>
      <c r="E599" s="9"/>
      <c r="F599" s="9"/>
      <c r="G599" s="11"/>
      <c r="H599" s="5"/>
      <c r="I599" s="8"/>
      <c r="J599" s="8"/>
    </row>
    <row r="600" spans="2:10" ht="12.75" x14ac:dyDescent="0.2">
      <c r="B600" s="6"/>
      <c r="C600" s="6"/>
      <c r="D600" s="6"/>
      <c r="E600" s="9"/>
      <c r="F600" s="9"/>
      <c r="G600" s="11"/>
      <c r="H600" s="5"/>
      <c r="I600" s="8"/>
      <c r="J600" s="8"/>
    </row>
    <row r="601" spans="2:10" ht="12.75" x14ac:dyDescent="0.2">
      <c r="B601" s="6"/>
      <c r="C601" s="6"/>
      <c r="D601" s="6"/>
      <c r="E601" s="9"/>
      <c r="F601" s="9"/>
      <c r="G601" s="11"/>
      <c r="H601" s="5"/>
      <c r="I601" s="8"/>
      <c r="J601" s="8"/>
    </row>
    <row r="602" spans="2:10" ht="12.75" x14ac:dyDescent="0.2">
      <c r="B602" s="6"/>
      <c r="C602" s="6"/>
      <c r="D602" s="6"/>
      <c r="E602" s="9"/>
      <c r="F602" s="9"/>
      <c r="G602" s="11"/>
      <c r="H602" s="5"/>
      <c r="I602" s="8"/>
      <c r="J602" s="8"/>
    </row>
    <row r="603" spans="2:10" ht="12.75" x14ac:dyDescent="0.2">
      <c r="B603" s="6"/>
      <c r="C603" s="6"/>
      <c r="D603" s="6"/>
      <c r="E603" s="9"/>
      <c r="F603" s="9"/>
      <c r="G603" s="11"/>
      <c r="H603" s="5"/>
      <c r="I603" s="8"/>
      <c r="J603" s="8"/>
    </row>
    <row r="604" spans="2:10" ht="12.75" x14ac:dyDescent="0.2">
      <c r="B604" s="6"/>
      <c r="C604" s="6"/>
      <c r="D604" s="6"/>
      <c r="E604" s="9"/>
      <c r="F604" s="9"/>
      <c r="G604" s="11"/>
      <c r="H604" s="5"/>
      <c r="I604" s="8"/>
      <c r="J604" s="8"/>
    </row>
    <row r="605" spans="2:10" ht="12.75" x14ac:dyDescent="0.2">
      <c r="B605" s="6"/>
      <c r="C605" s="6"/>
      <c r="D605" s="6"/>
      <c r="E605" s="9"/>
      <c r="F605" s="9"/>
      <c r="G605" s="11"/>
      <c r="H605" s="5"/>
      <c r="I605" s="8"/>
      <c r="J605" s="8"/>
    </row>
    <row r="606" spans="2:10" ht="12.75" x14ac:dyDescent="0.2">
      <c r="B606" s="6"/>
      <c r="C606" s="6"/>
      <c r="D606" s="6"/>
      <c r="E606" s="9"/>
      <c r="F606" s="9"/>
      <c r="G606" s="11"/>
      <c r="H606" s="5"/>
      <c r="I606" s="8"/>
      <c r="J606" s="8"/>
    </row>
    <row r="607" spans="2:10" ht="12.75" x14ac:dyDescent="0.2">
      <c r="B607" s="6"/>
      <c r="C607" s="6"/>
      <c r="D607" s="6"/>
      <c r="E607" s="9"/>
      <c r="F607" s="9"/>
      <c r="G607" s="11"/>
      <c r="H607" s="5"/>
      <c r="I607" s="8"/>
      <c r="J607" s="8"/>
    </row>
    <row r="608" spans="2:10" ht="12.75" x14ac:dyDescent="0.2">
      <c r="B608" s="6"/>
      <c r="C608" s="6"/>
      <c r="D608" s="6"/>
      <c r="E608" s="9"/>
      <c r="F608" s="9"/>
      <c r="G608" s="11"/>
      <c r="H608" s="5"/>
      <c r="I608" s="8"/>
      <c r="J608" s="8"/>
    </row>
    <row r="609" spans="2:10" ht="12.75" x14ac:dyDescent="0.2">
      <c r="B609" s="6"/>
      <c r="C609" s="6"/>
      <c r="D609" s="6"/>
      <c r="E609" s="9"/>
      <c r="F609" s="9"/>
      <c r="G609" s="11"/>
      <c r="H609" s="5"/>
      <c r="I609" s="8"/>
      <c r="J609" s="8"/>
    </row>
    <row r="610" spans="2:10" ht="12.75" x14ac:dyDescent="0.2">
      <c r="B610" s="6"/>
      <c r="C610" s="6"/>
      <c r="D610" s="6"/>
      <c r="E610" s="9"/>
      <c r="F610" s="9"/>
      <c r="G610" s="11"/>
      <c r="H610" s="5"/>
      <c r="I610" s="8"/>
      <c r="J610" s="8"/>
    </row>
    <row r="611" spans="2:10" ht="12.75" x14ac:dyDescent="0.2">
      <c r="B611" s="6"/>
      <c r="C611" s="6"/>
      <c r="D611" s="6"/>
      <c r="E611" s="9"/>
      <c r="F611" s="9"/>
      <c r="G611" s="11"/>
      <c r="H611" s="5"/>
      <c r="I611" s="8"/>
      <c r="J611" s="8"/>
    </row>
    <row r="612" spans="2:10" ht="12.75" x14ac:dyDescent="0.2">
      <c r="B612" s="6"/>
      <c r="C612" s="6"/>
      <c r="D612" s="6"/>
      <c r="E612" s="9"/>
      <c r="F612" s="9"/>
      <c r="G612" s="11"/>
      <c r="H612" s="5"/>
      <c r="I612" s="8"/>
      <c r="J612" s="8"/>
    </row>
    <row r="613" spans="2:10" ht="12.75" x14ac:dyDescent="0.2">
      <c r="B613" s="6"/>
      <c r="C613" s="6"/>
      <c r="D613" s="6"/>
      <c r="E613" s="9"/>
      <c r="F613" s="9"/>
      <c r="G613" s="11"/>
      <c r="H613" s="5"/>
      <c r="I613" s="8"/>
      <c r="J613" s="8"/>
    </row>
    <row r="614" spans="2:10" ht="12.75" x14ac:dyDescent="0.2">
      <c r="B614" s="6"/>
      <c r="C614" s="6"/>
      <c r="D614" s="6"/>
      <c r="E614" s="9"/>
      <c r="F614" s="9"/>
      <c r="G614" s="11"/>
      <c r="H614" s="5"/>
      <c r="I614" s="8"/>
      <c r="J614" s="8"/>
    </row>
    <row r="615" spans="2:10" ht="12.75" x14ac:dyDescent="0.2">
      <c r="B615" s="6"/>
      <c r="C615" s="6"/>
      <c r="D615" s="6"/>
      <c r="E615" s="9"/>
      <c r="F615" s="9"/>
      <c r="G615" s="11"/>
      <c r="H615" s="5"/>
      <c r="I615" s="8"/>
      <c r="J615" s="8"/>
    </row>
    <row r="616" spans="2:10" ht="12.75" x14ac:dyDescent="0.2">
      <c r="B616" s="6"/>
      <c r="C616" s="6"/>
      <c r="D616" s="6"/>
      <c r="E616" s="9"/>
      <c r="F616" s="9"/>
      <c r="G616" s="11"/>
      <c r="H616" s="5"/>
      <c r="I616" s="8"/>
      <c r="J616" s="8"/>
    </row>
    <row r="617" spans="2:10" ht="12.75" x14ac:dyDescent="0.2">
      <c r="B617" s="6"/>
      <c r="C617" s="6"/>
      <c r="D617" s="6"/>
      <c r="E617" s="9"/>
      <c r="F617" s="9"/>
      <c r="G617" s="11"/>
      <c r="H617" s="5"/>
      <c r="I617" s="8"/>
      <c r="J617" s="8"/>
    </row>
    <row r="618" spans="2:10" ht="12.75" x14ac:dyDescent="0.2">
      <c r="B618" s="6"/>
      <c r="C618" s="6"/>
      <c r="D618" s="6"/>
      <c r="E618" s="9"/>
      <c r="F618" s="9"/>
      <c r="G618" s="11"/>
      <c r="H618" s="5"/>
      <c r="I618" s="8"/>
      <c r="J618" s="8"/>
    </row>
    <row r="619" spans="2:10" ht="12.75" x14ac:dyDescent="0.2">
      <c r="B619" s="6"/>
      <c r="C619" s="6"/>
      <c r="D619" s="6"/>
      <c r="E619" s="9"/>
      <c r="F619" s="9"/>
      <c r="G619" s="11"/>
      <c r="H619" s="5"/>
      <c r="I619" s="8"/>
      <c r="J619" s="8"/>
    </row>
    <row r="620" spans="2:10" ht="12.75" x14ac:dyDescent="0.2">
      <c r="B620" s="6"/>
      <c r="C620" s="6"/>
      <c r="D620" s="6"/>
      <c r="E620" s="9"/>
      <c r="F620" s="9"/>
      <c r="G620" s="11"/>
      <c r="H620" s="5"/>
      <c r="I620" s="8"/>
      <c r="J620" s="8"/>
    </row>
    <row r="621" spans="2:10" ht="12.75" x14ac:dyDescent="0.2">
      <c r="B621" s="6"/>
      <c r="C621" s="6"/>
      <c r="D621" s="6"/>
      <c r="E621" s="9"/>
      <c r="F621" s="9"/>
      <c r="G621" s="11"/>
      <c r="H621" s="5"/>
      <c r="I621" s="8"/>
      <c r="J621" s="8"/>
    </row>
    <row r="622" spans="2:10" ht="12.75" x14ac:dyDescent="0.2">
      <c r="B622" s="6"/>
      <c r="C622" s="6"/>
      <c r="D622" s="6"/>
      <c r="E622" s="9"/>
      <c r="F622" s="9"/>
      <c r="G622" s="11"/>
      <c r="H622" s="5"/>
      <c r="I622" s="8"/>
      <c r="J622" s="8"/>
    </row>
    <row r="623" spans="2:10" ht="12.75" x14ac:dyDescent="0.2">
      <c r="B623" s="6"/>
      <c r="C623" s="6"/>
      <c r="D623" s="6"/>
      <c r="E623" s="9"/>
      <c r="F623" s="9"/>
      <c r="G623" s="11"/>
      <c r="H623" s="5"/>
      <c r="I623" s="8"/>
      <c r="J623" s="8"/>
    </row>
    <row r="624" spans="2:10" ht="12.75" x14ac:dyDescent="0.2">
      <c r="B624" s="6"/>
      <c r="C624" s="6"/>
      <c r="D624" s="6"/>
      <c r="E624" s="9"/>
      <c r="F624" s="9"/>
      <c r="G624" s="11"/>
      <c r="H624" s="5"/>
      <c r="I624" s="8"/>
      <c r="J624" s="8"/>
    </row>
    <row r="625" spans="2:10" ht="12.75" x14ac:dyDescent="0.2">
      <c r="B625" s="6"/>
      <c r="C625" s="6"/>
      <c r="D625" s="6"/>
      <c r="E625" s="9"/>
      <c r="F625" s="9"/>
      <c r="G625" s="11"/>
      <c r="H625" s="5"/>
      <c r="I625" s="8"/>
      <c r="J625" s="8"/>
    </row>
    <row r="626" spans="2:10" ht="12.75" x14ac:dyDescent="0.2">
      <c r="B626" s="6"/>
      <c r="C626" s="6"/>
      <c r="D626" s="6"/>
      <c r="E626" s="9"/>
      <c r="F626" s="9"/>
      <c r="G626" s="11"/>
      <c r="H626" s="5"/>
      <c r="I626" s="8"/>
      <c r="J626" s="8"/>
    </row>
    <row r="627" spans="2:10" ht="12.75" x14ac:dyDescent="0.2">
      <c r="B627" s="6"/>
      <c r="C627" s="6"/>
      <c r="D627" s="6"/>
      <c r="E627" s="9"/>
      <c r="F627" s="9"/>
      <c r="G627" s="11"/>
      <c r="H627" s="5"/>
      <c r="I627" s="8"/>
      <c r="J627" s="8"/>
    </row>
    <row r="628" spans="2:10" ht="12.75" x14ac:dyDescent="0.2">
      <c r="B628" s="6"/>
      <c r="C628" s="6"/>
      <c r="D628" s="6"/>
      <c r="E628" s="9"/>
      <c r="F628" s="9"/>
      <c r="G628" s="11"/>
      <c r="H628" s="5"/>
      <c r="I628" s="8"/>
      <c r="J628" s="8"/>
    </row>
    <row r="629" spans="2:10" ht="12.75" x14ac:dyDescent="0.2">
      <c r="B629" s="6"/>
      <c r="C629" s="6"/>
      <c r="D629" s="6"/>
      <c r="E629" s="9"/>
      <c r="F629" s="9"/>
      <c r="G629" s="11"/>
      <c r="H629" s="5"/>
      <c r="I629" s="8"/>
      <c r="J629" s="8"/>
    </row>
    <row r="630" spans="2:10" ht="12.75" x14ac:dyDescent="0.2">
      <c r="B630" s="6"/>
      <c r="C630" s="6"/>
      <c r="D630" s="6"/>
      <c r="E630" s="9"/>
      <c r="F630" s="9"/>
      <c r="G630" s="11"/>
      <c r="H630" s="5"/>
      <c r="I630" s="8"/>
      <c r="J630" s="8"/>
    </row>
    <row r="631" spans="2:10" ht="12.75" x14ac:dyDescent="0.2">
      <c r="B631" s="6"/>
      <c r="C631" s="6"/>
      <c r="D631" s="6"/>
      <c r="E631" s="9"/>
      <c r="F631" s="9"/>
      <c r="G631" s="11"/>
      <c r="H631" s="5"/>
      <c r="I631" s="8"/>
      <c r="J631" s="8"/>
    </row>
    <row r="632" spans="2:10" ht="12.75" x14ac:dyDescent="0.2">
      <c r="B632" s="6"/>
      <c r="C632" s="6"/>
      <c r="D632" s="6"/>
      <c r="E632" s="9"/>
      <c r="F632" s="9"/>
      <c r="G632" s="11"/>
      <c r="H632" s="5"/>
      <c r="I632" s="8"/>
      <c r="J632" s="8"/>
    </row>
    <row r="633" spans="2:10" ht="12.75" x14ac:dyDescent="0.2">
      <c r="B633" s="6"/>
      <c r="C633" s="6"/>
      <c r="D633" s="6"/>
      <c r="E633" s="9"/>
      <c r="F633" s="9"/>
      <c r="G633" s="11"/>
      <c r="H633" s="5"/>
      <c r="I633" s="8"/>
      <c r="J633" s="8"/>
    </row>
    <row r="634" spans="2:10" ht="12.75" x14ac:dyDescent="0.2">
      <c r="B634" s="6"/>
      <c r="C634" s="6"/>
      <c r="D634" s="6"/>
      <c r="E634" s="9"/>
      <c r="F634" s="9"/>
      <c r="G634" s="11"/>
      <c r="H634" s="5"/>
      <c r="I634" s="8"/>
      <c r="J634" s="8"/>
    </row>
    <row r="635" spans="2:10" ht="12.75" x14ac:dyDescent="0.2">
      <c r="B635" s="6"/>
      <c r="C635" s="6"/>
      <c r="D635" s="6"/>
      <c r="E635" s="9"/>
      <c r="F635" s="9"/>
      <c r="G635" s="11"/>
      <c r="H635" s="5"/>
      <c r="I635" s="8"/>
      <c r="J635" s="8"/>
    </row>
    <row r="636" spans="2:10" ht="12.75" x14ac:dyDescent="0.2">
      <c r="B636" s="6"/>
      <c r="C636" s="6"/>
      <c r="D636" s="6"/>
      <c r="E636" s="9"/>
      <c r="F636" s="9"/>
      <c r="G636" s="11"/>
      <c r="H636" s="5"/>
      <c r="I636" s="8"/>
      <c r="J636" s="8"/>
    </row>
    <row r="637" spans="2:10" ht="12.75" x14ac:dyDescent="0.2">
      <c r="B637" s="6"/>
      <c r="C637" s="6"/>
      <c r="D637" s="6"/>
      <c r="E637" s="9"/>
      <c r="F637" s="9"/>
      <c r="G637" s="11"/>
      <c r="H637" s="5"/>
      <c r="I637" s="8"/>
      <c r="J637" s="8"/>
    </row>
    <row r="638" spans="2:10" ht="12.75" x14ac:dyDescent="0.2">
      <c r="B638" s="6"/>
      <c r="C638" s="6"/>
      <c r="D638" s="6"/>
      <c r="E638" s="9"/>
      <c r="F638" s="9"/>
      <c r="G638" s="11"/>
      <c r="H638" s="5"/>
      <c r="I638" s="8"/>
      <c r="J638" s="8"/>
    </row>
    <row r="639" spans="2:10" ht="12.75" x14ac:dyDescent="0.2">
      <c r="B639" s="6"/>
      <c r="C639" s="6"/>
      <c r="D639" s="6"/>
      <c r="E639" s="9"/>
      <c r="F639" s="9"/>
      <c r="G639" s="11"/>
      <c r="H639" s="5"/>
      <c r="I639" s="8"/>
      <c r="J639" s="8"/>
    </row>
    <row r="640" spans="2:10" ht="12.75" x14ac:dyDescent="0.2">
      <c r="B640" s="6"/>
      <c r="C640" s="6"/>
      <c r="D640" s="6"/>
      <c r="E640" s="9"/>
      <c r="F640" s="9"/>
      <c r="G640" s="11"/>
      <c r="H640" s="5"/>
      <c r="I640" s="8"/>
      <c r="J640" s="8"/>
    </row>
    <row r="641" spans="2:10" ht="12.75" x14ac:dyDescent="0.2">
      <c r="B641" s="6"/>
      <c r="C641" s="6"/>
      <c r="D641" s="6"/>
      <c r="E641" s="9"/>
      <c r="F641" s="9"/>
      <c r="G641" s="11"/>
      <c r="H641" s="5"/>
      <c r="I641" s="8"/>
      <c r="J641" s="8"/>
    </row>
    <row r="642" spans="2:10" ht="12.75" x14ac:dyDescent="0.2">
      <c r="B642" s="6"/>
      <c r="C642" s="6"/>
      <c r="D642" s="6"/>
      <c r="E642" s="9"/>
      <c r="F642" s="9"/>
      <c r="G642" s="11"/>
      <c r="H642" s="5"/>
      <c r="I642" s="8"/>
      <c r="J642" s="8"/>
    </row>
    <row r="643" spans="2:10" ht="12.75" x14ac:dyDescent="0.2">
      <c r="B643" s="6"/>
      <c r="C643" s="6"/>
      <c r="D643" s="6"/>
      <c r="E643" s="9"/>
      <c r="F643" s="9"/>
      <c r="G643" s="11"/>
      <c r="H643" s="5"/>
      <c r="I643" s="8"/>
      <c r="J643" s="8"/>
    </row>
    <row r="644" spans="2:10" ht="12.75" x14ac:dyDescent="0.2">
      <c r="B644" s="6"/>
      <c r="C644" s="6"/>
      <c r="D644" s="6"/>
      <c r="E644" s="9"/>
      <c r="F644" s="9"/>
      <c r="G644" s="11"/>
      <c r="H644" s="5"/>
      <c r="I644" s="8"/>
      <c r="J644" s="8"/>
    </row>
    <row r="645" spans="2:10" ht="12.75" x14ac:dyDescent="0.2">
      <c r="B645" s="6"/>
      <c r="C645" s="6"/>
      <c r="D645" s="6"/>
      <c r="E645" s="9"/>
      <c r="F645" s="9"/>
      <c r="G645" s="11"/>
      <c r="H645" s="5"/>
      <c r="I645" s="8"/>
      <c r="J645" s="8"/>
    </row>
    <row r="646" spans="2:10" ht="12.75" x14ac:dyDescent="0.2">
      <c r="B646" s="6"/>
      <c r="C646" s="6"/>
      <c r="D646" s="6"/>
      <c r="E646" s="9"/>
      <c r="F646" s="9"/>
      <c r="G646" s="11"/>
      <c r="H646" s="5"/>
      <c r="I646" s="8"/>
      <c r="J646" s="8"/>
    </row>
    <row r="647" spans="2:10" ht="12.75" x14ac:dyDescent="0.2">
      <c r="B647" s="6"/>
      <c r="C647" s="6"/>
      <c r="D647" s="6"/>
      <c r="E647" s="9"/>
      <c r="F647" s="9"/>
      <c r="G647" s="11"/>
      <c r="H647" s="5"/>
      <c r="I647" s="8"/>
      <c r="J647" s="8"/>
    </row>
    <row r="648" spans="2:10" ht="12.75" x14ac:dyDescent="0.2">
      <c r="B648" s="6"/>
      <c r="C648" s="6"/>
      <c r="D648" s="6"/>
      <c r="E648" s="9"/>
      <c r="F648" s="9"/>
      <c r="G648" s="11"/>
      <c r="H648" s="5"/>
      <c r="I648" s="8"/>
      <c r="J648" s="8"/>
    </row>
    <row r="649" spans="2:10" ht="12.75" x14ac:dyDescent="0.2">
      <c r="B649" s="6"/>
      <c r="C649" s="6"/>
      <c r="D649" s="6"/>
      <c r="E649" s="9"/>
      <c r="F649" s="9"/>
      <c r="G649" s="11"/>
      <c r="H649" s="5"/>
      <c r="I649" s="8"/>
      <c r="J649" s="8"/>
    </row>
    <row r="650" spans="2:10" ht="12.75" x14ac:dyDescent="0.2">
      <c r="B650" s="6"/>
      <c r="C650" s="6"/>
      <c r="D650" s="6"/>
      <c r="E650" s="9"/>
      <c r="F650" s="9"/>
      <c r="G650" s="11"/>
      <c r="H650" s="5"/>
      <c r="I650" s="8"/>
      <c r="J650" s="8"/>
    </row>
    <row r="651" spans="2:10" ht="12.75" x14ac:dyDescent="0.2">
      <c r="B651" s="6"/>
      <c r="C651" s="6"/>
      <c r="D651" s="6"/>
      <c r="E651" s="9"/>
      <c r="F651" s="9"/>
      <c r="G651" s="11"/>
      <c r="H651" s="5"/>
      <c r="I651" s="8"/>
      <c r="J651" s="8"/>
    </row>
    <row r="652" spans="2:10" ht="12.75" x14ac:dyDescent="0.2">
      <c r="B652" s="6"/>
      <c r="C652" s="6"/>
      <c r="D652" s="6"/>
      <c r="E652" s="9"/>
      <c r="F652" s="9"/>
      <c r="G652" s="11"/>
      <c r="H652" s="5"/>
      <c r="I652" s="8"/>
      <c r="J652" s="8"/>
    </row>
    <row r="653" spans="2:10" ht="12.75" x14ac:dyDescent="0.2">
      <c r="B653" s="6"/>
      <c r="C653" s="6"/>
      <c r="D653" s="6"/>
      <c r="E653" s="9"/>
      <c r="F653" s="9"/>
      <c r="G653" s="11"/>
      <c r="H653" s="5"/>
      <c r="I653" s="8"/>
      <c r="J653" s="8"/>
    </row>
    <row r="654" spans="2:10" ht="12.75" x14ac:dyDescent="0.2">
      <c r="B654" s="6"/>
      <c r="C654" s="6"/>
      <c r="D654" s="6"/>
      <c r="E654" s="9"/>
      <c r="F654" s="9"/>
      <c r="G654" s="11"/>
      <c r="H654" s="5"/>
      <c r="I654" s="8"/>
      <c r="J654" s="8"/>
    </row>
    <row r="655" spans="2:10" ht="12.75" x14ac:dyDescent="0.2">
      <c r="B655" s="6"/>
      <c r="C655" s="6"/>
      <c r="D655" s="6"/>
      <c r="E655" s="9"/>
      <c r="F655" s="9"/>
      <c r="G655" s="11"/>
      <c r="H655" s="5"/>
      <c r="I655" s="8"/>
      <c r="J655" s="8"/>
    </row>
    <row r="656" spans="2:10" ht="12.75" x14ac:dyDescent="0.2">
      <c r="B656" s="6"/>
      <c r="C656" s="6"/>
      <c r="D656" s="6"/>
      <c r="E656" s="9"/>
      <c r="F656" s="9"/>
      <c r="G656" s="11"/>
      <c r="H656" s="5"/>
      <c r="I656" s="8"/>
      <c r="J656" s="8"/>
    </row>
    <row r="657" spans="2:10" ht="12.75" x14ac:dyDescent="0.2">
      <c r="B657" s="6"/>
      <c r="C657" s="6"/>
      <c r="D657" s="6"/>
      <c r="E657" s="9"/>
      <c r="F657" s="9"/>
      <c r="G657" s="11"/>
      <c r="H657" s="5"/>
      <c r="I657" s="8"/>
      <c r="J657" s="8"/>
    </row>
    <row r="658" spans="2:10" ht="12.75" x14ac:dyDescent="0.2">
      <c r="B658" s="6"/>
      <c r="C658" s="6"/>
      <c r="D658" s="6"/>
      <c r="E658" s="9"/>
      <c r="F658" s="9"/>
      <c r="G658" s="11"/>
      <c r="H658" s="5"/>
      <c r="I658" s="8"/>
      <c r="J658" s="8"/>
    </row>
    <row r="659" spans="2:10" ht="12.75" x14ac:dyDescent="0.2">
      <c r="B659" s="6"/>
      <c r="C659" s="6"/>
      <c r="D659" s="6"/>
      <c r="E659" s="9"/>
      <c r="F659" s="9"/>
      <c r="G659" s="11"/>
      <c r="H659" s="5"/>
      <c r="I659" s="8"/>
      <c r="J659" s="8"/>
    </row>
    <row r="660" spans="2:10" ht="12.75" x14ac:dyDescent="0.2">
      <c r="B660" s="6"/>
      <c r="C660" s="6"/>
      <c r="D660" s="6"/>
      <c r="E660" s="9"/>
      <c r="F660" s="9"/>
      <c r="G660" s="11"/>
      <c r="H660" s="5"/>
      <c r="I660" s="8"/>
      <c r="J660" s="8"/>
    </row>
    <row r="661" spans="2:10" ht="12.75" x14ac:dyDescent="0.2">
      <c r="B661" s="6"/>
      <c r="C661" s="6"/>
      <c r="D661" s="6"/>
      <c r="E661" s="9"/>
      <c r="F661" s="9"/>
      <c r="G661" s="11"/>
      <c r="H661" s="5"/>
      <c r="I661" s="8"/>
      <c r="J661" s="8"/>
    </row>
    <row r="662" spans="2:10" ht="12.75" x14ac:dyDescent="0.2">
      <c r="B662" s="6"/>
      <c r="C662" s="6"/>
      <c r="D662" s="6"/>
      <c r="E662" s="9"/>
      <c r="F662" s="9"/>
      <c r="G662" s="11"/>
      <c r="H662" s="5"/>
      <c r="I662" s="8"/>
      <c r="J662" s="8"/>
    </row>
    <row r="663" spans="2:10" ht="12.75" x14ac:dyDescent="0.2">
      <c r="B663" s="6"/>
      <c r="C663" s="6"/>
      <c r="D663" s="6"/>
      <c r="E663" s="9"/>
      <c r="F663" s="9"/>
      <c r="G663" s="11"/>
      <c r="H663" s="5"/>
      <c r="I663" s="8"/>
      <c r="J663" s="8"/>
    </row>
    <row r="664" spans="2:10" ht="12.75" x14ac:dyDescent="0.2">
      <c r="B664" s="6"/>
      <c r="C664" s="6"/>
      <c r="D664" s="6"/>
      <c r="E664" s="9"/>
      <c r="F664" s="9"/>
      <c r="G664" s="11"/>
      <c r="H664" s="5"/>
      <c r="I664" s="8"/>
      <c r="J664" s="8"/>
    </row>
    <row r="665" spans="2:10" ht="12.75" x14ac:dyDescent="0.2">
      <c r="B665" s="6"/>
      <c r="C665" s="6"/>
      <c r="D665" s="6"/>
      <c r="E665" s="9"/>
      <c r="F665" s="9"/>
      <c r="G665" s="11"/>
      <c r="H665" s="5"/>
      <c r="I665" s="8"/>
      <c r="J665" s="8"/>
    </row>
    <row r="666" spans="2:10" ht="12.75" x14ac:dyDescent="0.2">
      <c r="B666" s="6"/>
      <c r="C666" s="6"/>
      <c r="D666" s="6"/>
      <c r="E666" s="9"/>
      <c r="F666" s="9"/>
      <c r="G666" s="11"/>
      <c r="H666" s="5"/>
      <c r="I666" s="8"/>
      <c r="J666" s="8"/>
    </row>
    <row r="667" spans="2:10" ht="12.75" x14ac:dyDescent="0.2">
      <c r="B667" s="6"/>
      <c r="C667" s="6"/>
      <c r="D667" s="6"/>
      <c r="E667" s="9"/>
      <c r="F667" s="9"/>
      <c r="G667" s="11"/>
      <c r="H667" s="5"/>
      <c r="I667" s="8"/>
      <c r="J667" s="8"/>
    </row>
    <row r="668" spans="2:10" ht="12.75" x14ac:dyDescent="0.2">
      <c r="B668" s="6"/>
      <c r="C668" s="6"/>
      <c r="D668" s="6"/>
      <c r="E668" s="9"/>
      <c r="F668" s="9"/>
      <c r="G668" s="11"/>
      <c r="H668" s="5"/>
      <c r="I668" s="8"/>
      <c r="J668" s="8"/>
    </row>
    <row r="669" spans="2:10" ht="12.75" x14ac:dyDescent="0.2">
      <c r="B669" s="6"/>
      <c r="C669" s="6"/>
      <c r="D669" s="6"/>
      <c r="E669" s="9"/>
      <c r="F669" s="9"/>
      <c r="G669" s="11"/>
      <c r="H669" s="5"/>
      <c r="I669" s="8"/>
      <c r="J669" s="8"/>
    </row>
    <row r="670" spans="2:10" ht="12.75" x14ac:dyDescent="0.2">
      <c r="B670" s="6"/>
      <c r="C670" s="6"/>
      <c r="D670" s="6"/>
      <c r="E670" s="9"/>
      <c r="F670" s="9"/>
      <c r="G670" s="11"/>
      <c r="H670" s="5"/>
      <c r="I670" s="8"/>
      <c r="J670" s="8"/>
    </row>
    <row r="671" spans="2:10" ht="12.75" x14ac:dyDescent="0.2">
      <c r="B671" s="6"/>
      <c r="C671" s="6"/>
      <c r="D671" s="6"/>
      <c r="E671" s="9"/>
      <c r="F671" s="9"/>
      <c r="G671" s="11"/>
      <c r="H671" s="5"/>
      <c r="I671" s="8"/>
      <c r="J671" s="8"/>
    </row>
    <row r="672" spans="2:10" ht="12.75" x14ac:dyDescent="0.2">
      <c r="B672" s="6"/>
      <c r="C672" s="6"/>
      <c r="D672" s="6"/>
      <c r="E672" s="9"/>
      <c r="F672" s="9"/>
      <c r="G672" s="11"/>
      <c r="H672" s="5"/>
      <c r="I672" s="8"/>
      <c r="J672" s="8"/>
    </row>
    <row r="673" spans="2:10" ht="12.75" x14ac:dyDescent="0.2">
      <c r="B673" s="6"/>
      <c r="C673" s="6"/>
      <c r="D673" s="6"/>
      <c r="E673" s="9"/>
      <c r="F673" s="9"/>
      <c r="G673" s="11"/>
      <c r="H673" s="5"/>
      <c r="I673" s="8"/>
      <c r="J673" s="8"/>
    </row>
    <row r="674" spans="2:10" ht="12.75" x14ac:dyDescent="0.2">
      <c r="B674" s="6"/>
      <c r="C674" s="6"/>
      <c r="D674" s="6"/>
      <c r="E674" s="9"/>
      <c r="F674" s="9"/>
      <c r="G674" s="11"/>
      <c r="H674" s="5"/>
      <c r="I674" s="8"/>
      <c r="J674" s="8"/>
    </row>
    <row r="675" spans="2:10" ht="12.75" x14ac:dyDescent="0.2">
      <c r="B675" s="6"/>
      <c r="C675" s="6"/>
      <c r="D675" s="6"/>
      <c r="E675" s="9"/>
      <c r="F675" s="9"/>
      <c r="G675" s="11"/>
      <c r="H675" s="5"/>
      <c r="I675" s="8"/>
      <c r="J675" s="8"/>
    </row>
    <row r="676" spans="2:10" ht="12.75" x14ac:dyDescent="0.2">
      <c r="B676" s="6"/>
      <c r="C676" s="6"/>
      <c r="D676" s="6"/>
      <c r="E676" s="9"/>
      <c r="F676" s="9"/>
      <c r="G676" s="11"/>
      <c r="H676" s="5"/>
      <c r="I676" s="8"/>
      <c r="J676" s="8"/>
    </row>
    <row r="677" spans="2:10" ht="12.75" x14ac:dyDescent="0.2">
      <c r="B677" s="6"/>
      <c r="C677" s="6"/>
      <c r="D677" s="6"/>
      <c r="E677" s="9"/>
      <c r="F677" s="9"/>
      <c r="G677" s="11"/>
      <c r="H677" s="5"/>
      <c r="I677" s="8"/>
      <c r="J677" s="8"/>
    </row>
    <row r="678" spans="2:10" ht="12.75" x14ac:dyDescent="0.2">
      <c r="B678" s="6"/>
      <c r="C678" s="6"/>
      <c r="D678" s="6"/>
      <c r="E678" s="9"/>
      <c r="F678" s="9"/>
      <c r="G678" s="11"/>
      <c r="H678" s="5"/>
      <c r="I678" s="8"/>
      <c r="J678" s="8"/>
    </row>
    <row r="679" spans="2:10" ht="12.75" x14ac:dyDescent="0.2">
      <c r="B679" s="6"/>
      <c r="C679" s="6"/>
      <c r="D679" s="6"/>
      <c r="E679" s="9"/>
      <c r="F679" s="9"/>
      <c r="G679" s="11"/>
      <c r="H679" s="5"/>
      <c r="I679" s="8"/>
      <c r="J679" s="8"/>
    </row>
    <row r="680" spans="2:10" ht="12.75" x14ac:dyDescent="0.2">
      <c r="B680" s="6"/>
      <c r="C680" s="6"/>
      <c r="D680" s="6"/>
      <c r="E680" s="9"/>
      <c r="F680" s="9"/>
      <c r="G680" s="11"/>
      <c r="H680" s="5"/>
      <c r="I680" s="8"/>
      <c r="J680" s="8"/>
    </row>
    <row r="681" spans="2:10" ht="12.75" x14ac:dyDescent="0.2">
      <c r="B681" s="6"/>
      <c r="C681" s="6"/>
      <c r="D681" s="6"/>
      <c r="E681" s="9"/>
      <c r="F681" s="9"/>
      <c r="G681" s="11"/>
      <c r="H681" s="5"/>
      <c r="I681" s="8"/>
      <c r="J681" s="8"/>
    </row>
    <row r="682" spans="2:10" ht="12.75" x14ac:dyDescent="0.2">
      <c r="B682" s="6"/>
      <c r="C682" s="6"/>
      <c r="D682" s="6"/>
      <c r="E682" s="9"/>
      <c r="F682" s="9"/>
      <c r="G682" s="11"/>
      <c r="H682" s="5"/>
      <c r="I682" s="8"/>
      <c r="J682" s="8"/>
    </row>
    <row r="683" spans="2:10" ht="12.75" x14ac:dyDescent="0.2">
      <c r="B683" s="6"/>
      <c r="C683" s="6"/>
      <c r="D683" s="6"/>
      <c r="E683" s="9"/>
      <c r="F683" s="9"/>
      <c r="G683" s="11"/>
      <c r="H683" s="5"/>
      <c r="I683" s="8"/>
      <c r="J683" s="8"/>
    </row>
    <row r="684" spans="2:10" ht="12.75" x14ac:dyDescent="0.2">
      <c r="B684" s="6"/>
      <c r="C684" s="6"/>
      <c r="D684" s="6"/>
      <c r="E684" s="9"/>
      <c r="F684" s="9"/>
      <c r="G684" s="11"/>
      <c r="H684" s="5"/>
      <c r="I684" s="8"/>
      <c r="J684" s="8"/>
    </row>
    <row r="685" spans="2:10" ht="12.75" x14ac:dyDescent="0.2">
      <c r="B685" s="6"/>
      <c r="C685" s="6"/>
      <c r="D685" s="6"/>
      <c r="E685" s="9"/>
      <c r="F685" s="9"/>
      <c r="G685" s="11"/>
      <c r="H685" s="5"/>
      <c r="I685" s="8"/>
      <c r="J685" s="8"/>
    </row>
    <row r="686" spans="2:10" ht="12.75" x14ac:dyDescent="0.2">
      <c r="B686" s="6"/>
      <c r="C686" s="6"/>
      <c r="D686" s="6"/>
      <c r="E686" s="9"/>
      <c r="F686" s="9"/>
      <c r="G686" s="11"/>
      <c r="H686" s="5"/>
      <c r="I686" s="8"/>
      <c r="J686" s="8"/>
    </row>
    <row r="687" spans="2:10" ht="12.75" x14ac:dyDescent="0.2">
      <c r="B687" s="6"/>
      <c r="C687" s="6"/>
      <c r="D687" s="6"/>
      <c r="E687" s="9"/>
      <c r="F687" s="9"/>
      <c r="G687" s="11"/>
      <c r="H687" s="5"/>
      <c r="I687" s="8"/>
      <c r="J687" s="8"/>
    </row>
    <row r="688" spans="2:10" ht="12.75" x14ac:dyDescent="0.2">
      <c r="B688" s="6"/>
      <c r="C688" s="6"/>
      <c r="D688" s="6"/>
      <c r="E688" s="9"/>
      <c r="F688" s="9"/>
      <c r="G688" s="11"/>
      <c r="H688" s="5"/>
      <c r="I688" s="8"/>
      <c r="J688" s="8"/>
    </row>
    <row r="689" spans="2:10" ht="12.75" x14ac:dyDescent="0.2">
      <c r="B689" s="6"/>
      <c r="C689" s="6"/>
      <c r="D689" s="6"/>
      <c r="E689" s="9"/>
      <c r="F689" s="9"/>
      <c r="G689" s="11"/>
      <c r="H689" s="5"/>
      <c r="I689" s="8"/>
      <c r="J689" s="8"/>
    </row>
    <row r="690" spans="2:10" ht="12.75" x14ac:dyDescent="0.2">
      <c r="B690" s="6"/>
      <c r="C690" s="6"/>
      <c r="D690" s="6"/>
      <c r="E690" s="9"/>
      <c r="F690" s="9"/>
      <c r="G690" s="11"/>
      <c r="H690" s="5"/>
      <c r="I690" s="8"/>
      <c r="J690" s="8"/>
    </row>
    <row r="691" spans="2:10" ht="12.75" x14ac:dyDescent="0.2">
      <c r="B691" s="6"/>
      <c r="C691" s="6"/>
      <c r="D691" s="6"/>
      <c r="E691" s="9"/>
      <c r="F691" s="9"/>
      <c r="G691" s="11"/>
      <c r="H691" s="5"/>
      <c r="I691" s="8"/>
      <c r="J691" s="8"/>
    </row>
    <row r="692" spans="2:10" ht="12.75" x14ac:dyDescent="0.2">
      <c r="B692" s="6"/>
      <c r="C692" s="6"/>
      <c r="D692" s="6"/>
      <c r="E692" s="9"/>
      <c r="F692" s="9"/>
      <c r="G692" s="11"/>
      <c r="H692" s="5"/>
      <c r="I692" s="8"/>
      <c r="J692" s="8"/>
    </row>
    <row r="693" spans="2:10" ht="12.75" x14ac:dyDescent="0.2">
      <c r="B693" s="6"/>
      <c r="C693" s="6"/>
      <c r="D693" s="6"/>
      <c r="E693" s="9"/>
      <c r="F693" s="9"/>
      <c r="G693" s="11"/>
      <c r="H693" s="5"/>
      <c r="I693" s="8"/>
      <c r="J693" s="8"/>
    </row>
    <row r="694" spans="2:10" ht="12.75" x14ac:dyDescent="0.2">
      <c r="B694" s="6"/>
      <c r="C694" s="6"/>
      <c r="D694" s="6"/>
      <c r="E694" s="9"/>
      <c r="F694" s="9"/>
      <c r="G694" s="11"/>
      <c r="H694" s="5"/>
      <c r="I694" s="8"/>
      <c r="J694" s="8"/>
    </row>
    <row r="695" spans="2:10" ht="12.75" x14ac:dyDescent="0.2">
      <c r="B695" s="6"/>
      <c r="C695" s="6"/>
      <c r="D695" s="6"/>
      <c r="E695" s="9"/>
      <c r="F695" s="9"/>
      <c r="G695" s="11"/>
      <c r="H695" s="5"/>
      <c r="I695" s="8"/>
      <c r="J695" s="8"/>
    </row>
    <row r="696" spans="2:10" ht="12.75" x14ac:dyDescent="0.2">
      <c r="B696" s="6"/>
      <c r="C696" s="6"/>
      <c r="D696" s="6"/>
      <c r="E696" s="9"/>
      <c r="F696" s="9"/>
      <c r="G696" s="11"/>
      <c r="H696" s="5"/>
      <c r="I696" s="8"/>
      <c r="J696" s="8"/>
    </row>
    <row r="697" spans="2:10" ht="12.75" x14ac:dyDescent="0.2">
      <c r="B697" s="6"/>
      <c r="C697" s="6"/>
      <c r="D697" s="6"/>
      <c r="E697" s="9"/>
      <c r="F697" s="9"/>
      <c r="G697" s="11"/>
      <c r="H697" s="5"/>
      <c r="I697" s="8"/>
      <c r="J697" s="8"/>
    </row>
    <row r="698" spans="2:10" ht="12.75" x14ac:dyDescent="0.2">
      <c r="B698" s="6"/>
      <c r="C698" s="6"/>
      <c r="D698" s="6"/>
      <c r="E698" s="9"/>
      <c r="F698" s="9"/>
      <c r="G698" s="11"/>
      <c r="H698" s="5"/>
      <c r="I698" s="8"/>
      <c r="J698" s="8"/>
    </row>
    <row r="699" spans="2:10" ht="12.75" x14ac:dyDescent="0.2">
      <c r="B699" s="6"/>
      <c r="C699" s="6"/>
      <c r="D699" s="6"/>
      <c r="E699" s="9"/>
      <c r="F699" s="9"/>
      <c r="G699" s="11"/>
      <c r="H699" s="5"/>
      <c r="I699" s="8"/>
      <c r="J699" s="8"/>
    </row>
    <row r="700" spans="2:10" ht="12.75" x14ac:dyDescent="0.2">
      <c r="B700" s="6"/>
      <c r="C700" s="6"/>
      <c r="D700" s="6"/>
      <c r="E700" s="9"/>
      <c r="F700" s="9"/>
      <c r="G700" s="11"/>
      <c r="H700" s="5"/>
      <c r="I700" s="8"/>
      <c r="J700" s="8"/>
    </row>
    <row r="701" spans="2:10" ht="12.75" x14ac:dyDescent="0.2">
      <c r="B701" s="6"/>
      <c r="C701" s="6"/>
      <c r="D701" s="6"/>
      <c r="E701" s="9"/>
      <c r="F701" s="9"/>
      <c r="G701" s="11"/>
      <c r="H701" s="5"/>
      <c r="I701" s="8"/>
      <c r="J701" s="8"/>
    </row>
    <row r="702" spans="2:10" ht="12.75" x14ac:dyDescent="0.2">
      <c r="B702" s="6"/>
      <c r="C702" s="6"/>
      <c r="D702" s="6"/>
      <c r="E702" s="9"/>
      <c r="F702" s="9"/>
      <c r="G702" s="11"/>
      <c r="H702" s="5"/>
      <c r="I702" s="8"/>
      <c r="J702" s="8"/>
    </row>
    <row r="703" spans="2:10" ht="12.75" x14ac:dyDescent="0.2">
      <c r="B703" s="6"/>
      <c r="C703" s="6"/>
      <c r="D703" s="6"/>
      <c r="E703" s="9"/>
      <c r="F703" s="9"/>
      <c r="G703" s="11"/>
      <c r="H703" s="5"/>
      <c r="I703" s="8"/>
      <c r="J703" s="8"/>
    </row>
    <row r="704" spans="2:10" ht="12.75" x14ac:dyDescent="0.2">
      <c r="B704" s="6"/>
      <c r="C704" s="6"/>
      <c r="D704" s="6"/>
      <c r="E704" s="9"/>
      <c r="F704" s="9"/>
      <c r="G704" s="11"/>
      <c r="H704" s="5"/>
      <c r="I704" s="8"/>
      <c r="J704" s="8"/>
    </row>
    <row r="705" spans="2:10" ht="12.75" x14ac:dyDescent="0.2">
      <c r="B705" s="6"/>
      <c r="C705" s="6"/>
      <c r="D705" s="6"/>
      <c r="E705" s="9"/>
      <c r="F705" s="9"/>
      <c r="G705" s="11"/>
      <c r="H705" s="5"/>
      <c r="I705" s="8"/>
      <c r="J705" s="8"/>
    </row>
    <row r="706" spans="2:10" ht="12.75" x14ac:dyDescent="0.2">
      <c r="B706" s="6"/>
      <c r="C706" s="6"/>
      <c r="D706" s="6"/>
      <c r="E706" s="9"/>
      <c r="F706" s="9"/>
      <c r="G706" s="11"/>
      <c r="H706" s="5"/>
      <c r="I706" s="8"/>
      <c r="J706" s="8"/>
    </row>
    <row r="707" spans="2:10" ht="12.75" x14ac:dyDescent="0.2">
      <c r="B707" s="6"/>
      <c r="C707" s="6"/>
      <c r="D707" s="6"/>
      <c r="E707" s="9"/>
      <c r="F707" s="9"/>
      <c r="G707" s="11"/>
      <c r="H707" s="5"/>
      <c r="I707" s="8"/>
      <c r="J707" s="8"/>
    </row>
    <row r="708" spans="2:10" ht="12.75" x14ac:dyDescent="0.2">
      <c r="B708" s="6"/>
      <c r="C708" s="6"/>
      <c r="D708" s="6"/>
      <c r="E708" s="9"/>
      <c r="F708" s="9"/>
      <c r="G708" s="11"/>
      <c r="H708" s="5"/>
      <c r="I708" s="8"/>
      <c r="J708" s="8"/>
    </row>
    <row r="709" spans="2:10" ht="12.75" x14ac:dyDescent="0.2">
      <c r="B709" s="6"/>
      <c r="C709" s="6"/>
      <c r="D709" s="6"/>
      <c r="E709" s="9"/>
      <c r="F709" s="9"/>
      <c r="G709" s="11"/>
      <c r="H709" s="5"/>
      <c r="I709" s="8"/>
      <c r="J709" s="8"/>
    </row>
    <row r="710" spans="2:10" ht="12.75" x14ac:dyDescent="0.2">
      <c r="B710" s="6"/>
      <c r="C710" s="6"/>
      <c r="D710" s="6"/>
      <c r="E710" s="9"/>
      <c r="F710" s="9"/>
      <c r="G710" s="11"/>
      <c r="H710" s="5"/>
      <c r="I710" s="8"/>
      <c r="J710" s="8"/>
    </row>
    <row r="711" spans="2:10" ht="12.75" x14ac:dyDescent="0.2">
      <c r="B711" s="6"/>
      <c r="C711" s="6"/>
      <c r="D711" s="6"/>
      <c r="E711" s="9"/>
      <c r="F711" s="9"/>
      <c r="G711" s="11"/>
      <c r="H711" s="5"/>
      <c r="I711" s="8"/>
      <c r="J711" s="8"/>
    </row>
    <row r="712" spans="2:10" ht="12.75" x14ac:dyDescent="0.2">
      <c r="B712" s="6"/>
      <c r="C712" s="6"/>
      <c r="D712" s="6"/>
      <c r="E712" s="9"/>
      <c r="F712" s="9"/>
      <c r="G712" s="11"/>
      <c r="H712" s="5"/>
      <c r="I712" s="8"/>
      <c r="J712" s="8"/>
    </row>
    <row r="713" spans="2:10" ht="12.75" x14ac:dyDescent="0.2">
      <c r="B713" s="6"/>
      <c r="C713" s="6"/>
      <c r="D713" s="6"/>
      <c r="E713" s="9"/>
      <c r="F713" s="9"/>
      <c r="G713" s="11"/>
      <c r="H713" s="5"/>
      <c r="I713" s="8"/>
      <c r="J713" s="8"/>
    </row>
    <row r="714" spans="2:10" ht="12.75" x14ac:dyDescent="0.2">
      <c r="B714" s="6"/>
      <c r="C714" s="6"/>
      <c r="D714" s="6"/>
      <c r="E714" s="9"/>
      <c r="F714" s="9"/>
      <c r="G714" s="11"/>
      <c r="H714" s="5"/>
      <c r="I714" s="8"/>
      <c r="J714" s="8"/>
    </row>
    <row r="715" spans="2:10" ht="12.75" x14ac:dyDescent="0.2">
      <c r="B715" s="6"/>
      <c r="C715" s="6"/>
      <c r="D715" s="6"/>
      <c r="E715" s="9"/>
      <c r="F715" s="9"/>
      <c r="G715" s="11"/>
      <c r="H715" s="5"/>
      <c r="I715" s="8"/>
      <c r="J715" s="8"/>
    </row>
    <row r="716" spans="2:10" ht="12.75" x14ac:dyDescent="0.2">
      <c r="B716" s="6"/>
      <c r="C716" s="6"/>
      <c r="D716" s="6"/>
      <c r="E716" s="9"/>
      <c r="F716" s="9"/>
      <c r="G716" s="11"/>
      <c r="H716" s="5"/>
      <c r="I716" s="8"/>
      <c r="J716" s="8"/>
    </row>
    <row r="717" spans="2:10" ht="12.75" x14ac:dyDescent="0.2">
      <c r="B717" s="6"/>
      <c r="C717" s="6"/>
      <c r="D717" s="6"/>
      <c r="E717" s="9"/>
      <c r="F717" s="9"/>
      <c r="G717" s="11"/>
      <c r="H717" s="5"/>
      <c r="I717" s="8"/>
      <c r="J717" s="8"/>
    </row>
    <row r="718" spans="2:10" ht="12.75" x14ac:dyDescent="0.2">
      <c r="B718" s="6"/>
      <c r="C718" s="6"/>
      <c r="D718" s="6"/>
      <c r="E718" s="9"/>
      <c r="F718" s="9"/>
      <c r="G718" s="11"/>
      <c r="H718" s="5"/>
      <c r="I718" s="8"/>
      <c r="J718" s="8"/>
    </row>
    <row r="719" spans="2:10" ht="12.75" x14ac:dyDescent="0.2">
      <c r="B719" s="6"/>
      <c r="C719" s="6"/>
      <c r="D719" s="6"/>
      <c r="E719" s="9"/>
      <c r="F719" s="9"/>
      <c r="G719" s="11"/>
      <c r="H719" s="5"/>
      <c r="I719" s="8"/>
      <c r="J719" s="8"/>
    </row>
    <row r="720" spans="2:10" ht="12.75" x14ac:dyDescent="0.2">
      <c r="B720" s="6"/>
      <c r="C720" s="6"/>
      <c r="D720" s="6"/>
      <c r="E720" s="9"/>
      <c r="F720" s="9"/>
      <c r="G720" s="11"/>
      <c r="H720" s="5"/>
      <c r="I720" s="8"/>
      <c r="J720" s="8"/>
    </row>
    <row r="721" spans="2:10" ht="12.75" x14ac:dyDescent="0.2">
      <c r="B721" s="6"/>
      <c r="C721" s="6"/>
      <c r="D721" s="6"/>
      <c r="E721" s="9"/>
      <c r="F721" s="9"/>
      <c r="G721" s="11"/>
      <c r="H721" s="5"/>
      <c r="I721" s="8"/>
      <c r="J721" s="8"/>
    </row>
    <row r="722" spans="2:10" ht="12.75" x14ac:dyDescent="0.2">
      <c r="B722" s="6"/>
      <c r="C722" s="6"/>
      <c r="D722" s="6"/>
      <c r="E722" s="9"/>
      <c r="F722" s="9"/>
      <c r="G722" s="11"/>
      <c r="H722" s="5"/>
      <c r="I722" s="8"/>
      <c r="J722" s="8"/>
    </row>
    <row r="723" spans="2:10" ht="12.75" x14ac:dyDescent="0.2">
      <c r="B723" s="6"/>
      <c r="C723" s="6"/>
      <c r="D723" s="6"/>
      <c r="E723" s="9"/>
      <c r="F723" s="9"/>
      <c r="G723" s="11"/>
      <c r="H723" s="5"/>
      <c r="I723" s="8"/>
      <c r="J723" s="8"/>
    </row>
    <row r="724" spans="2:10" ht="12.75" x14ac:dyDescent="0.2">
      <c r="B724" s="6"/>
      <c r="C724" s="6"/>
      <c r="D724" s="6"/>
      <c r="E724" s="9"/>
      <c r="F724" s="9"/>
      <c r="G724" s="11"/>
      <c r="H724" s="5"/>
      <c r="I724" s="8"/>
      <c r="J724" s="8"/>
    </row>
    <row r="725" spans="2:10" ht="12.75" x14ac:dyDescent="0.2">
      <c r="B725" s="6"/>
      <c r="C725" s="6"/>
      <c r="D725" s="6"/>
      <c r="E725" s="9"/>
      <c r="F725" s="9"/>
      <c r="G725" s="11"/>
      <c r="H725" s="5"/>
      <c r="I725" s="8"/>
      <c r="J725" s="8"/>
    </row>
    <row r="726" spans="2:10" ht="12.75" x14ac:dyDescent="0.2">
      <c r="B726" s="6"/>
      <c r="C726" s="6"/>
      <c r="D726" s="6"/>
      <c r="E726" s="9"/>
      <c r="F726" s="9"/>
      <c r="G726" s="11"/>
      <c r="H726" s="5"/>
      <c r="I726" s="8"/>
      <c r="J726" s="8"/>
    </row>
    <row r="727" spans="2:10" ht="12.75" x14ac:dyDescent="0.2">
      <c r="B727" s="6"/>
      <c r="C727" s="6"/>
      <c r="D727" s="6"/>
      <c r="E727" s="9"/>
      <c r="F727" s="9"/>
      <c r="G727" s="11"/>
      <c r="H727" s="5"/>
      <c r="I727" s="8"/>
      <c r="J727" s="8"/>
    </row>
    <row r="728" spans="2:10" ht="12.75" x14ac:dyDescent="0.2">
      <c r="B728" s="6"/>
      <c r="C728" s="6"/>
      <c r="D728" s="6"/>
      <c r="E728" s="9"/>
      <c r="F728" s="9"/>
      <c r="G728" s="11"/>
      <c r="H728" s="5"/>
      <c r="I728" s="8"/>
      <c r="J728" s="8"/>
    </row>
    <row r="729" spans="2:10" ht="12.75" x14ac:dyDescent="0.2">
      <c r="B729" s="6"/>
      <c r="C729" s="6"/>
      <c r="D729" s="6"/>
      <c r="E729" s="9"/>
      <c r="F729" s="9"/>
      <c r="G729" s="11"/>
      <c r="H729" s="5"/>
      <c r="I729" s="8"/>
      <c r="J729" s="8"/>
    </row>
    <row r="730" spans="2:10" ht="12.75" x14ac:dyDescent="0.2">
      <c r="B730" s="6"/>
      <c r="C730" s="6"/>
      <c r="D730" s="6"/>
      <c r="E730" s="9"/>
      <c r="F730" s="9"/>
      <c r="G730" s="11"/>
      <c r="H730" s="5"/>
      <c r="I730" s="8"/>
      <c r="J730" s="8"/>
    </row>
    <row r="731" spans="2:10" ht="12.75" x14ac:dyDescent="0.2">
      <c r="B731" s="6"/>
      <c r="C731" s="6"/>
      <c r="D731" s="6"/>
      <c r="E731" s="9"/>
      <c r="F731" s="9"/>
      <c r="G731" s="11"/>
      <c r="H731" s="5"/>
      <c r="I731" s="8"/>
      <c r="J731" s="8"/>
    </row>
    <row r="732" spans="2:10" ht="12.75" x14ac:dyDescent="0.2">
      <c r="B732" s="6"/>
      <c r="C732" s="6"/>
      <c r="D732" s="6"/>
      <c r="E732" s="9"/>
      <c r="F732" s="9"/>
      <c r="G732" s="11"/>
      <c r="H732" s="5"/>
      <c r="I732" s="8"/>
      <c r="J732" s="8"/>
    </row>
    <row r="733" spans="2:10" ht="12.75" x14ac:dyDescent="0.2">
      <c r="B733" s="6"/>
      <c r="C733" s="6"/>
      <c r="D733" s="6"/>
      <c r="E733" s="9"/>
      <c r="F733" s="9"/>
      <c r="G733" s="11"/>
      <c r="H733" s="5"/>
      <c r="I733" s="8"/>
      <c r="J733" s="8"/>
    </row>
    <row r="734" spans="2:10" ht="12.75" x14ac:dyDescent="0.2">
      <c r="B734" s="6"/>
      <c r="C734" s="6"/>
      <c r="D734" s="6"/>
      <c r="E734" s="9"/>
      <c r="F734" s="9"/>
      <c r="G734" s="11"/>
      <c r="H734" s="5"/>
      <c r="I734" s="8"/>
      <c r="J734" s="8"/>
    </row>
    <row r="735" spans="2:10" ht="12.75" x14ac:dyDescent="0.2">
      <c r="B735" s="6"/>
      <c r="C735" s="6"/>
      <c r="D735" s="6"/>
      <c r="E735" s="9"/>
      <c r="F735" s="9"/>
      <c r="G735" s="11"/>
      <c r="H735" s="5"/>
      <c r="I735" s="8"/>
      <c r="J735" s="8"/>
    </row>
    <row r="736" spans="2:10" ht="12.75" x14ac:dyDescent="0.2">
      <c r="B736" s="6"/>
      <c r="C736" s="6"/>
      <c r="D736" s="6"/>
      <c r="E736" s="9"/>
      <c r="F736" s="9"/>
      <c r="G736" s="11"/>
      <c r="H736" s="5"/>
      <c r="I736" s="8"/>
      <c r="J736" s="8"/>
    </row>
    <row r="737" spans="2:10" ht="12.75" x14ac:dyDescent="0.2">
      <c r="B737" s="6"/>
      <c r="C737" s="6"/>
      <c r="D737" s="6"/>
      <c r="E737" s="9"/>
      <c r="F737" s="9"/>
      <c r="G737" s="11"/>
      <c r="H737" s="5"/>
      <c r="I737" s="8"/>
      <c r="J737" s="8"/>
    </row>
    <row r="738" spans="2:10" ht="12.75" x14ac:dyDescent="0.2">
      <c r="B738" s="6"/>
      <c r="C738" s="6"/>
      <c r="D738" s="6"/>
      <c r="E738" s="9"/>
      <c r="F738" s="9"/>
      <c r="G738" s="11"/>
      <c r="H738" s="5"/>
      <c r="I738" s="8"/>
      <c r="J738" s="8"/>
    </row>
    <row r="739" spans="2:10" ht="12.75" x14ac:dyDescent="0.2">
      <c r="B739" s="6"/>
      <c r="C739" s="6"/>
      <c r="D739" s="6"/>
      <c r="E739" s="9"/>
      <c r="F739" s="9"/>
      <c r="G739" s="11"/>
      <c r="H739" s="5"/>
      <c r="I739" s="8"/>
      <c r="J739" s="8"/>
    </row>
    <row r="740" spans="2:10" ht="12.75" x14ac:dyDescent="0.2">
      <c r="B740" s="6"/>
      <c r="C740" s="6"/>
      <c r="D740" s="6"/>
      <c r="E740" s="9"/>
      <c r="F740" s="9"/>
      <c r="G740" s="11"/>
      <c r="H740" s="5"/>
      <c r="I740" s="8"/>
      <c r="J740" s="8"/>
    </row>
    <row r="741" spans="2:10" ht="12.75" x14ac:dyDescent="0.2">
      <c r="B741" s="6"/>
      <c r="C741" s="6"/>
      <c r="D741" s="6"/>
      <c r="E741" s="9"/>
      <c r="F741" s="9"/>
      <c r="G741" s="11"/>
      <c r="H741" s="5"/>
      <c r="I741" s="8"/>
      <c r="J741" s="8"/>
    </row>
    <row r="742" spans="2:10" ht="12.75" x14ac:dyDescent="0.2">
      <c r="B742" s="6"/>
      <c r="C742" s="6"/>
      <c r="D742" s="6"/>
      <c r="E742" s="9"/>
      <c r="F742" s="9"/>
      <c r="G742" s="11"/>
      <c r="H742" s="5"/>
      <c r="I742" s="8"/>
      <c r="J742" s="8"/>
    </row>
    <row r="743" spans="2:10" ht="12.75" x14ac:dyDescent="0.2">
      <c r="B743" s="6"/>
      <c r="C743" s="6"/>
      <c r="D743" s="6"/>
      <c r="E743" s="9"/>
      <c r="F743" s="9"/>
      <c r="G743" s="11"/>
      <c r="H743" s="5"/>
      <c r="I743" s="8"/>
      <c r="J743" s="8"/>
    </row>
    <row r="744" spans="2:10" ht="12.75" x14ac:dyDescent="0.2">
      <c r="B744" s="6"/>
      <c r="C744" s="6"/>
      <c r="D744" s="6"/>
      <c r="E744" s="9"/>
      <c r="F744" s="9"/>
      <c r="G744" s="11"/>
      <c r="H744" s="5"/>
      <c r="I744" s="8"/>
      <c r="J744" s="8"/>
    </row>
    <row r="745" spans="2:10" ht="12.75" x14ac:dyDescent="0.2">
      <c r="B745" s="6"/>
      <c r="C745" s="6"/>
      <c r="D745" s="6"/>
      <c r="E745" s="9"/>
      <c r="F745" s="9"/>
      <c r="G745" s="11"/>
      <c r="H745" s="5"/>
      <c r="I745" s="8"/>
      <c r="J745" s="8"/>
    </row>
    <row r="746" spans="2:10" ht="12.75" x14ac:dyDescent="0.2">
      <c r="B746" s="6"/>
      <c r="C746" s="6"/>
      <c r="D746" s="6"/>
      <c r="E746" s="9"/>
      <c r="F746" s="9"/>
      <c r="G746" s="11"/>
      <c r="H746" s="5"/>
      <c r="I746" s="8"/>
      <c r="J746" s="8"/>
    </row>
    <row r="747" spans="2:10" ht="12.75" x14ac:dyDescent="0.2">
      <c r="B747" s="6"/>
      <c r="C747" s="6"/>
      <c r="D747" s="6"/>
      <c r="E747" s="9"/>
      <c r="F747" s="9"/>
      <c r="G747" s="11"/>
      <c r="H747" s="5"/>
      <c r="I747" s="8"/>
      <c r="J747" s="8"/>
    </row>
    <row r="748" spans="2:10" ht="12.75" x14ac:dyDescent="0.2">
      <c r="B748" s="6"/>
      <c r="C748" s="6"/>
      <c r="D748" s="6"/>
      <c r="E748" s="9"/>
      <c r="F748" s="9"/>
      <c r="G748" s="11"/>
      <c r="H748" s="5"/>
      <c r="I748" s="8"/>
      <c r="J748" s="8"/>
    </row>
    <row r="749" spans="2:10" ht="12.75" x14ac:dyDescent="0.2">
      <c r="B749" s="6"/>
      <c r="C749" s="6"/>
      <c r="D749" s="6"/>
      <c r="E749" s="9"/>
      <c r="F749" s="9"/>
      <c r="G749" s="11"/>
      <c r="H749" s="5"/>
      <c r="I749" s="8"/>
      <c r="J749" s="8"/>
    </row>
    <row r="750" spans="2:10" ht="12.75" x14ac:dyDescent="0.2">
      <c r="B750" s="6"/>
      <c r="C750" s="6"/>
      <c r="D750" s="6"/>
      <c r="E750" s="9"/>
      <c r="F750" s="9"/>
      <c r="G750" s="11"/>
      <c r="H750" s="5"/>
      <c r="I750" s="8"/>
      <c r="J750" s="8"/>
    </row>
    <row r="751" spans="2:10" ht="12.75" x14ac:dyDescent="0.2">
      <c r="B751" s="6"/>
      <c r="C751" s="6"/>
      <c r="D751" s="6"/>
      <c r="E751" s="9"/>
      <c r="F751" s="9"/>
      <c r="G751" s="11"/>
      <c r="H751" s="5"/>
      <c r="I751" s="8"/>
      <c r="J751" s="8"/>
    </row>
    <row r="752" spans="2:10" ht="12.75" x14ac:dyDescent="0.2">
      <c r="B752" s="6"/>
      <c r="C752" s="6"/>
      <c r="D752" s="6"/>
      <c r="E752" s="9"/>
      <c r="F752" s="9"/>
      <c r="G752" s="11"/>
      <c r="H752" s="5"/>
      <c r="I752" s="8"/>
      <c r="J752" s="8"/>
    </row>
    <row r="753" spans="2:10" ht="12.75" x14ac:dyDescent="0.2">
      <c r="B753" s="6"/>
      <c r="C753" s="6"/>
      <c r="D753" s="6"/>
      <c r="E753" s="9"/>
      <c r="F753" s="9"/>
      <c r="G753" s="11"/>
      <c r="H753" s="5"/>
      <c r="I753" s="8"/>
      <c r="J753" s="8"/>
    </row>
    <row r="754" spans="2:10" ht="12.75" x14ac:dyDescent="0.2">
      <c r="B754" s="6"/>
      <c r="C754" s="6"/>
      <c r="D754" s="6"/>
      <c r="E754" s="9"/>
      <c r="F754" s="9"/>
      <c r="G754" s="11"/>
      <c r="H754" s="5"/>
      <c r="I754" s="8"/>
      <c r="J754" s="8"/>
    </row>
    <row r="755" spans="2:10" ht="12.75" x14ac:dyDescent="0.2">
      <c r="B755" s="6"/>
      <c r="C755" s="6"/>
      <c r="D755" s="6"/>
      <c r="E755" s="9"/>
      <c r="F755" s="9"/>
      <c r="G755" s="11"/>
      <c r="H755" s="5"/>
      <c r="I755" s="8"/>
      <c r="J755" s="8"/>
    </row>
    <row r="756" spans="2:10" ht="12.75" x14ac:dyDescent="0.2">
      <c r="B756" s="6"/>
      <c r="C756" s="6"/>
      <c r="D756" s="6"/>
      <c r="E756" s="9"/>
      <c r="F756" s="9"/>
      <c r="G756" s="11"/>
      <c r="H756" s="5"/>
      <c r="I756" s="8"/>
      <c r="J756" s="8"/>
    </row>
    <row r="757" spans="2:10" ht="12.75" x14ac:dyDescent="0.2">
      <c r="B757" s="6"/>
      <c r="C757" s="6"/>
      <c r="D757" s="6"/>
      <c r="E757" s="9"/>
      <c r="F757" s="9"/>
      <c r="G757" s="11"/>
      <c r="H757" s="5"/>
      <c r="I757" s="8"/>
      <c r="J757" s="8"/>
    </row>
    <row r="758" spans="2:10" ht="12.75" x14ac:dyDescent="0.2">
      <c r="B758" s="6"/>
      <c r="C758" s="6"/>
      <c r="D758" s="6"/>
      <c r="E758" s="9"/>
      <c r="F758" s="9"/>
      <c r="G758" s="11"/>
      <c r="H758" s="5"/>
      <c r="I758" s="8"/>
      <c r="J758" s="8"/>
    </row>
    <row r="759" spans="2:10" ht="12.75" x14ac:dyDescent="0.2">
      <c r="B759" s="6"/>
      <c r="C759" s="6"/>
      <c r="D759" s="6"/>
      <c r="E759" s="9"/>
      <c r="F759" s="9"/>
      <c r="G759" s="11"/>
      <c r="H759" s="5"/>
      <c r="I759" s="8"/>
      <c r="J759" s="8"/>
    </row>
    <row r="760" spans="2:10" ht="12.75" x14ac:dyDescent="0.2">
      <c r="B760" s="6"/>
      <c r="C760" s="6"/>
      <c r="D760" s="6"/>
      <c r="E760" s="9"/>
      <c r="F760" s="9"/>
      <c r="G760" s="11"/>
      <c r="H760" s="5"/>
      <c r="I760" s="8"/>
      <c r="J760" s="8"/>
    </row>
    <row r="761" spans="2:10" ht="12.75" x14ac:dyDescent="0.2">
      <c r="B761" s="6"/>
      <c r="C761" s="6"/>
      <c r="D761" s="6"/>
      <c r="E761" s="9"/>
      <c r="F761" s="9"/>
      <c r="G761" s="11"/>
      <c r="H761" s="5"/>
      <c r="I761" s="8"/>
      <c r="J761" s="8"/>
    </row>
    <row r="762" spans="2:10" ht="12.75" x14ac:dyDescent="0.2">
      <c r="B762" s="6"/>
      <c r="C762" s="6"/>
      <c r="D762" s="6"/>
      <c r="E762" s="9"/>
      <c r="F762" s="9"/>
      <c r="G762" s="11"/>
      <c r="H762" s="5"/>
      <c r="I762" s="8"/>
      <c r="J762" s="8"/>
    </row>
    <row r="763" spans="2:10" ht="12.75" x14ac:dyDescent="0.2">
      <c r="B763" s="6"/>
      <c r="C763" s="6"/>
      <c r="D763" s="6"/>
      <c r="E763" s="9"/>
      <c r="F763" s="9"/>
      <c r="G763" s="11"/>
      <c r="H763" s="5"/>
      <c r="I763" s="8"/>
      <c r="J763" s="8"/>
    </row>
    <row r="764" spans="2:10" ht="12.75" x14ac:dyDescent="0.2">
      <c r="B764" s="6"/>
      <c r="C764" s="6"/>
      <c r="D764" s="6"/>
      <c r="E764" s="9"/>
      <c r="F764" s="9"/>
      <c r="G764" s="11"/>
      <c r="H764" s="5"/>
      <c r="I764" s="8"/>
      <c r="J764" s="8"/>
    </row>
    <row r="765" spans="2:10" ht="12.75" x14ac:dyDescent="0.2">
      <c r="B765" s="6"/>
      <c r="C765" s="6"/>
      <c r="D765" s="6"/>
      <c r="E765" s="9"/>
      <c r="F765" s="9"/>
      <c r="G765" s="11"/>
      <c r="H765" s="5"/>
      <c r="I765" s="8"/>
      <c r="J765" s="8"/>
    </row>
    <row r="766" spans="2:10" ht="12.75" x14ac:dyDescent="0.2">
      <c r="B766" s="6"/>
      <c r="C766" s="6"/>
      <c r="D766" s="6"/>
      <c r="E766" s="9"/>
      <c r="F766" s="9"/>
      <c r="G766" s="11"/>
      <c r="H766" s="5"/>
      <c r="I766" s="8"/>
      <c r="J766" s="8"/>
    </row>
    <row r="767" spans="2:10" ht="12.75" x14ac:dyDescent="0.2">
      <c r="B767" s="6"/>
      <c r="C767" s="6"/>
      <c r="D767" s="6"/>
      <c r="E767" s="9"/>
      <c r="F767" s="9"/>
      <c r="G767" s="11"/>
      <c r="H767" s="5"/>
      <c r="I767" s="8"/>
      <c r="J767" s="8"/>
    </row>
    <row r="768" spans="2:10" ht="12.75" x14ac:dyDescent="0.2">
      <c r="B768" s="6"/>
      <c r="C768" s="6"/>
      <c r="D768" s="6"/>
      <c r="E768" s="9"/>
      <c r="F768" s="9"/>
      <c r="G768" s="11"/>
      <c r="H768" s="5"/>
      <c r="I768" s="8"/>
      <c r="J768" s="8"/>
    </row>
    <row r="769" spans="2:10" ht="12.75" x14ac:dyDescent="0.2">
      <c r="B769" s="6"/>
      <c r="C769" s="6"/>
      <c r="D769" s="6"/>
      <c r="E769" s="9"/>
      <c r="F769" s="9"/>
      <c r="G769" s="11"/>
      <c r="H769" s="5"/>
      <c r="I769" s="8"/>
      <c r="J769" s="8"/>
    </row>
    <row r="770" spans="2:10" ht="12.75" x14ac:dyDescent="0.2">
      <c r="B770" s="6"/>
      <c r="C770" s="6"/>
      <c r="D770" s="6"/>
      <c r="E770" s="9"/>
      <c r="F770" s="9"/>
      <c r="G770" s="11"/>
      <c r="H770" s="5"/>
      <c r="I770" s="8"/>
      <c r="J770" s="8"/>
    </row>
    <row r="771" spans="2:10" ht="12.75" x14ac:dyDescent="0.2">
      <c r="B771" s="6"/>
      <c r="C771" s="6"/>
      <c r="D771" s="6"/>
      <c r="E771" s="9"/>
      <c r="F771" s="9"/>
      <c r="G771" s="11"/>
      <c r="H771" s="5"/>
      <c r="I771" s="8"/>
      <c r="J771" s="8"/>
    </row>
    <row r="772" spans="2:10" ht="12.75" x14ac:dyDescent="0.2">
      <c r="B772" s="6"/>
      <c r="C772" s="6"/>
      <c r="D772" s="6"/>
      <c r="E772" s="9"/>
      <c r="F772" s="9"/>
      <c r="G772" s="11"/>
      <c r="H772" s="5"/>
      <c r="I772" s="8"/>
      <c r="J772" s="8"/>
    </row>
    <row r="773" spans="2:10" ht="12.75" x14ac:dyDescent="0.2">
      <c r="B773" s="6"/>
      <c r="C773" s="6"/>
      <c r="D773" s="6"/>
      <c r="E773" s="9"/>
      <c r="F773" s="9"/>
      <c r="G773" s="11"/>
      <c r="H773" s="5"/>
      <c r="I773" s="8"/>
      <c r="J773" s="8"/>
    </row>
    <row r="774" spans="2:10" ht="12.75" x14ac:dyDescent="0.2">
      <c r="B774" s="6"/>
      <c r="C774" s="6"/>
      <c r="D774" s="6"/>
      <c r="E774" s="9"/>
      <c r="F774" s="9"/>
      <c r="G774" s="11"/>
      <c r="H774" s="5"/>
      <c r="I774" s="8"/>
      <c r="J774" s="8"/>
    </row>
    <row r="775" spans="2:10" ht="12.75" x14ac:dyDescent="0.2">
      <c r="B775" s="6"/>
      <c r="C775" s="6"/>
      <c r="D775" s="6"/>
      <c r="E775" s="9"/>
      <c r="F775" s="9"/>
      <c r="G775" s="11"/>
      <c r="H775" s="5"/>
      <c r="I775" s="8"/>
      <c r="J775" s="8"/>
    </row>
    <row r="776" spans="2:10" ht="12.75" x14ac:dyDescent="0.2">
      <c r="B776" s="6"/>
      <c r="C776" s="6"/>
      <c r="D776" s="6"/>
      <c r="E776" s="9"/>
      <c r="F776" s="9"/>
      <c r="G776" s="11"/>
      <c r="H776" s="5"/>
      <c r="I776" s="8"/>
      <c r="J776" s="8"/>
    </row>
    <row r="777" spans="2:10" ht="12.75" x14ac:dyDescent="0.2">
      <c r="B777" s="6"/>
      <c r="C777" s="6"/>
      <c r="D777" s="6"/>
      <c r="E777" s="9"/>
      <c r="F777" s="9"/>
      <c r="G777" s="11"/>
      <c r="H777" s="5"/>
      <c r="I777" s="8"/>
      <c r="J777" s="8"/>
    </row>
    <row r="778" spans="2:10" ht="12.75" x14ac:dyDescent="0.2">
      <c r="B778" s="6"/>
      <c r="C778" s="6"/>
      <c r="D778" s="6"/>
      <c r="E778" s="9"/>
      <c r="F778" s="9"/>
      <c r="G778" s="11"/>
      <c r="H778" s="5"/>
      <c r="I778" s="8"/>
      <c r="J778" s="8"/>
    </row>
    <row r="779" spans="2:10" ht="12.75" x14ac:dyDescent="0.2">
      <c r="B779" s="6"/>
      <c r="C779" s="6"/>
      <c r="D779" s="6"/>
      <c r="E779" s="9"/>
      <c r="F779" s="9"/>
      <c r="G779" s="11"/>
      <c r="H779" s="5"/>
      <c r="I779" s="8"/>
      <c r="J779" s="8"/>
    </row>
    <row r="780" spans="2:10" ht="12.75" x14ac:dyDescent="0.2">
      <c r="B780" s="6"/>
      <c r="C780" s="6"/>
      <c r="D780" s="6"/>
      <c r="E780" s="9"/>
      <c r="F780" s="9"/>
      <c r="G780" s="11"/>
      <c r="H780" s="5"/>
      <c r="I780" s="8"/>
      <c r="J780" s="8"/>
    </row>
    <row r="781" spans="2:10" ht="12.75" x14ac:dyDescent="0.2">
      <c r="B781" s="6"/>
      <c r="C781" s="6"/>
      <c r="D781" s="6"/>
      <c r="E781" s="9"/>
      <c r="F781" s="9"/>
      <c r="G781" s="11"/>
      <c r="H781" s="5"/>
      <c r="I781" s="8"/>
      <c r="J781" s="8"/>
    </row>
    <row r="782" spans="2:10" ht="12.75" x14ac:dyDescent="0.2">
      <c r="B782" s="6"/>
      <c r="C782" s="6"/>
      <c r="D782" s="6"/>
      <c r="E782" s="9"/>
      <c r="F782" s="9"/>
      <c r="G782" s="11"/>
      <c r="H782" s="5"/>
      <c r="I782" s="8"/>
      <c r="J782" s="8"/>
    </row>
    <row r="783" spans="2:10" ht="12.75" x14ac:dyDescent="0.2">
      <c r="B783" s="6"/>
      <c r="C783" s="6"/>
      <c r="D783" s="6"/>
      <c r="E783" s="9"/>
      <c r="F783" s="9"/>
      <c r="G783" s="11"/>
      <c r="H783" s="5"/>
      <c r="I783" s="8"/>
      <c r="J783" s="8"/>
    </row>
    <row r="784" spans="2:10" ht="12.75" x14ac:dyDescent="0.2">
      <c r="B784" s="6"/>
      <c r="C784" s="6"/>
      <c r="D784" s="6"/>
      <c r="E784" s="9"/>
      <c r="F784" s="9"/>
      <c r="G784" s="11"/>
      <c r="H784" s="5"/>
      <c r="I784" s="8"/>
      <c r="J784" s="8"/>
    </row>
    <row r="785" spans="2:10" ht="12.75" x14ac:dyDescent="0.2">
      <c r="B785" s="6"/>
      <c r="C785" s="6"/>
      <c r="D785" s="6"/>
      <c r="E785" s="9"/>
      <c r="F785" s="9"/>
      <c r="G785" s="11"/>
      <c r="H785" s="5"/>
      <c r="I785" s="8"/>
      <c r="J785" s="8"/>
    </row>
    <row r="786" spans="2:10" ht="12.75" x14ac:dyDescent="0.2">
      <c r="B786" s="6"/>
      <c r="C786" s="6"/>
      <c r="D786" s="6"/>
      <c r="E786" s="9"/>
      <c r="F786" s="9"/>
      <c r="G786" s="11"/>
      <c r="H786" s="5"/>
      <c r="I786" s="8"/>
      <c r="J786" s="8"/>
    </row>
    <row r="787" spans="2:10" ht="12.75" x14ac:dyDescent="0.2">
      <c r="B787" s="6"/>
      <c r="C787" s="6"/>
      <c r="D787" s="6"/>
      <c r="E787" s="9"/>
      <c r="F787" s="9"/>
      <c r="G787" s="11"/>
      <c r="H787" s="5"/>
      <c r="I787" s="8"/>
      <c r="J787" s="8"/>
    </row>
    <row r="788" spans="2:10" ht="12.75" x14ac:dyDescent="0.2">
      <c r="B788" s="6"/>
      <c r="C788" s="6"/>
      <c r="D788" s="6"/>
      <c r="E788" s="9"/>
      <c r="F788" s="9"/>
      <c r="G788" s="11"/>
      <c r="H788" s="5"/>
      <c r="I788" s="8"/>
      <c r="J788" s="8"/>
    </row>
    <row r="789" spans="2:10" ht="12.75" x14ac:dyDescent="0.2">
      <c r="B789" s="6"/>
      <c r="C789" s="6"/>
      <c r="D789" s="6"/>
      <c r="E789" s="9"/>
      <c r="F789" s="9"/>
      <c r="G789" s="11"/>
      <c r="H789" s="5"/>
      <c r="I789" s="8"/>
      <c r="J789" s="8"/>
    </row>
    <row r="790" spans="2:10" ht="12.75" x14ac:dyDescent="0.2">
      <c r="B790" s="6"/>
      <c r="C790" s="6"/>
      <c r="D790" s="6"/>
      <c r="E790" s="9"/>
      <c r="F790" s="9"/>
      <c r="G790" s="11"/>
      <c r="H790" s="5"/>
      <c r="I790" s="8"/>
      <c r="J790" s="8"/>
    </row>
    <row r="791" spans="2:10" ht="12.75" x14ac:dyDescent="0.2">
      <c r="B791" s="6"/>
      <c r="C791" s="6"/>
      <c r="D791" s="6"/>
      <c r="E791" s="9"/>
      <c r="F791" s="9"/>
      <c r="G791" s="11"/>
      <c r="H791" s="5"/>
      <c r="I791" s="8"/>
      <c r="J791" s="8"/>
    </row>
    <row r="792" spans="2:10" ht="12.75" x14ac:dyDescent="0.2">
      <c r="B792" s="6"/>
      <c r="C792" s="6"/>
      <c r="D792" s="6"/>
      <c r="E792" s="9"/>
      <c r="F792" s="9"/>
      <c r="G792" s="11"/>
      <c r="H792" s="5"/>
      <c r="I792" s="8"/>
      <c r="J792" s="8"/>
    </row>
    <row r="793" spans="2:10" ht="12.75" x14ac:dyDescent="0.2">
      <c r="B793" s="6"/>
      <c r="C793" s="6"/>
      <c r="D793" s="6"/>
      <c r="E793" s="9"/>
      <c r="F793" s="9"/>
      <c r="G793" s="11"/>
      <c r="H793" s="5"/>
      <c r="I793" s="8"/>
      <c r="J793" s="8"/>
    </row>
    <row r="794" spans="2:10" ht="12.75" x14ac:dyDescent="0.2">
      <c r="B794" s="6"/>
      <c r="C794" s="6"/>
      <c r="D794" s="6"/>
      <c r="E794" s="9"/>
      <c r="F794" s="9"/>
      <c r="G794" s="11"/>
      <c r="H794" s="5"/>
      <c r="I794" s="8"/>
      <c r="J794" s="8"/>
    </row>
    <row r="795" spans="2:10" ht="12.75" x14ac:dyDescent="0.2">
      <c r="B795" s="6"/>
      <c r="C795" s="6"/>
      <c r="D795" s="6"/>
      <c r="E795" s="9"/>
      <c r="F795" s="9"/>
      <c r="G795" s="11"/>
      <c r="H795" s="5"/>
      <c r="I795" s="8"/>
      <c r="J795" s="8"/>
    </row>
    <row r="796" spans="2:10" ht="12.75" x14ac:dyDescent="0.2">
      <c r="B796" s="6"/>
      <c r="C796" s="6"/>
      <c r="D796" s="6"/>
      <c r="E796" s="9"/>
      <c r="F796" s="9"/>
      <c r="G796" s="11"/>
      <c r="H796" s="5"/>
      <c r="I796" s="8"/>
      <c r="J796" s="8"/>
    </row>
    <row r="797" spans="2:10" ht="12.75" x14ac:dyDescent="0.2">
      <c r="B797" s="6"/>
      <c r="C797" s="6"/>
      <c r="D797" s="6"/>
      <c r="E797" s="9"/>
      <c r="F797" s="9"/>
      <c r="G797" s="11"/>
      <c r="H797" s="5"/>
      <c r="I797" s="8"/>
      <c r="J797" s="8"/>
    </row>
    <row r="798" spans="2:10" ht="12.75" x14ac:dyDescent="0.2">
      <c r="B798" s="6"/>
      <c r="C798" s="6"/>
      <c r="D798" s="6"/>
      <c r="E798" s="9"/>
      <c r="F798" s="9"/>
      <c r="G798" s="11"/>
      <c r="H798" s="5"/>
      <c r="I798" s="8"/>
      <c r="J798" s="8"/>
    </row>
    <row r="799" spans="2:10" ht="12.75" x14ac:dyDescent="0.2">
      <c r="B799" s="6"/>
      <c r="C799" s="6"/>
      <c r="D799" s="6"/>
      <c r="E799" s="9"/>
      <c r="F799" s="9"/>
      <c r="G799" s="11"/>
      <c r="H799" s="5"/>
      <c r="I799" s="8"/>
      <c r="J799" s="8"/>
    </row>
    <row r="800" spans="2:10" ht="12.75" x14ac:dyDescent="0.2">
      <c r="B800" s="6"/>
      <c r="C800" s="6"/>
      <c r="D800" s="6"/>
      <c r="E800" s="9"/>
      <c r="F800" s="9"/>
      <c r="G800" s="11"/>
      <c r="H800" s="5"/>
      <c r="I800" s="8"/>
      <c r="J800" s="8"/>
    </row>
    <row r="801" spans="2:10" ht="12.75" x14ac:dyDescent="0.2">
      <c r="B801" s="6"/>
      <c r="C801" s="6"/>
      <c r="D801" s="6"/>
      <c r="E801" s="9"/>
      <c r="F801" s="9"/>
      <c r="G801" s="11"/>
      <c r="H801" s="5"/>
      <c r="I801" s="8"/>
      <c r="J801" s="8"/>
    </row>
    <row r="802" spans="2:10" ht="12.75" x14ac:dyDescent="0.2">
      <c r="B802" s="6"/>
      <c r="C802" s="6"/>
      <c r="D802" s="6"/>
      <c r="E802" s="9"/>
      <c r="F802" s="9"/>
      <c r="G802" s="11"/>
      <c r="H802" s="5"/>
      <c r="I802" s="8"/>
      <c r="J802" s="8"/>
    </row>
    <row r="803" spans="2:10" ht="12.75" x14ac:dyDescent="0.2">
      <c r="B803" s="6"/>
      <c r="C803" s="6"/>
      <c r="D803" s="6"/>
      <c r="E803" s="9"/>
      <c r="F803" s="9"/>
      <c r="G803" s="11"/>
      <c r="H803" s="5"/>
      <c r="I803" s="8"/>
      <c r="J803" s="8"/>
    </row>
    <row r="804" spans="2:10" ht="12.75" x14ac:dyDescent="0.2">
      <c r="B804" s="6"/>
      <c r="C804" s="6"/>
      <c r="D804" s="6"/>
      <c r="E804" s="9"/>
      <c r="F804" s="9"/>
      <c r="G804" s="11"/>
      <c r="H804" s="5"/>
      <c r="I804" s="8"/>
      <c r="J804" s="8"/>
    </row>
    <row r="805" spans="2:10" ht="12.75" x14ac:dyDescent="0.2">
      <c r="B805" s="6"/>
      <c r="C805" s="6"/>
      <c r="D805" s="6"/>
      <c r="E805" s="9"/>
      <c r="F805" s="9"/>
      <c r="G805" s="11"/>
      <c r="H805" s="5"/>
      <c r="I805" s="8"/>
      <c r="J805" s="8"/>
    </row>
    <row r="806" spans="2:10" ht="12.75" x14ac:dyDescent="0.2">
      <c r="B806" s="6"/>
      <c r="C806" s="6"/>
      <c r="D806" s="6"/>
      <c r="E806" s="9"/>
      <c r="F806" s="9"/>
      <c r="G806" s="11"/>
      <c r="H806" s="5"/>
      <c r="I806" s="8"/>
      <c r="J806" s="8"/>
    </row>
    <row r="807" spans="2:10" ht="12.75" x14ac:dyDescent="0.2">
      <c r="B807" s="6"/>
      <c r="C807" s="6"/>
      <c r="D807" s="6"/>
      <c r="E807" s="9"/>
      <c r="F807" s="9"/>
      <c r="G807" s="11"/>
      <c r="H807" s="5"/>
      <c r="I807" s="8"/>
      <c r="J807" s="8"/>
    </row>
    <row r="808" spans="2:10" ht="12.75" x14ac:dyDescent="0.2">
      <c r="B808" s="6"/>
      <c r="C808" s="6"/>
      <c r="D808" s="6"/>
      <c r="E808" s="9"/>
      <c r="F808" s="9"/>
      <c r="G808" s="11"/>
      <c r="H808" s="5"/>
      <c r="I808" s="8"/>
      <c r="J808" s="8"/>
    </row>
    <row r="809" spans="2:10" ht="12.75" x14ac:dyDescent="0.2">
      <c r="B809" s="6"/>
      <c r="C809" s="6"/>
      <c r="D809" s="6"/>
      <c r="E809" s="9"/>
      <c r="F809" s="9"/>
      <c r="G809" s="11"/>
      <c r="H809" s="5"/>
      <c r="I809" s="8"/>
      <c r="J809" s="8"/>
    </row>
    <row r="810" spans="2:10" ht="12.75" x14ac:dyDescent="0.2">
      <c r="B810" s="6"/>
      <c r="C810" s="6"/>
      <c r="D810" s="6"/>
      <c r="E810" s="9"/>
      <c r="F810" s="9"/>
      <c r="G810" s="11"/>
      <c r="H810" s="5"/>
      <c r="I810" s="8"/>
      <c r="J810" s="8"/>
    </row>
    <row r="811" spans="2:10" ht="12.75" x14ac:dyDescent="0.2">
      <c r="B811" s="6"/>
      <c r="C811" s="6"/>
      <c r="D811" s="6"/>
      <c r="E811" s="9"/>
      <c r="F811" s="9"/>
      <c r="G811" s="11"/>
      <c r="H811" s="5"/>
      <c r="I811" s="8"/>
      <c r="J811" s="8"/>
    </row>
    <row r="812" spans="2:10" ht="12.75" x14ac:dyDescent="0.2">
      <c r="B812" s="6"/>
      <c r="C812" s="6"/>
      <c r="D812" s="6"/>
      <c r="E812" s="9"/>
      <c r="F812" s="9"/>
      <c r="G812" s="11"/>
      <c r="H812" s="5"/>
      <c r="I812" s="8"/>
      <c r="J812" s="8"/>
    </row>
    <row r="813" spans="2:10" ht="12.75" x14ac:dyDescent="0.2">
      <c r="B813" s="6"/>
      <c r="C813" s="6"/>
      <c r="D813" s="6"/>
      <c r="E813" s="9"/>
      <c r="F813" s="9"/>
      <c r="G813" s="11"/>
      <c r="H813" s="5"/>
      <c r="I813" s="8"/>
      <c r="J813" s="8"/>
    </row>
    <row r="814" spans="2:10" ht="12.75" x14ac:dyDescent="0.2">
      <c r="B814" s="6"/>
      <c r="C814" s="6"/>
      <c r="D814" s="6"/>
      <c r="E814" s="9"/>
      <c r="F814" s="9"/>
      <c r="G814" s="11"/>
      <c r="H814" s="5"/>
      <c r="I814" s="8"/>
      <c r="J814" s="8"/>
    </row>
    <row r="815" spans="2:10" ht="12.75" x14ac:dyDescent="0.2">
      <c r="B815" s="6"/>
      <c r="C815" s="6"/>
      <c r="D815" s="6"/>
      <c r="E815" s="9"/>
      <c r="F815" s="9"/>
      <c r="G815" s="11"/>
      <c r="H815" s="5"/>
      <c r="I815" s="8"/>
      <c r="J815" s="8"/>
    </row>
    <row r="816" spans="2:10" ht="12.75" x14ac:dyDescent="0.2">
      <c r="B816" s="6"/>
      <c r="C816" s="6"/>
      <c r="D816" s="6"/>
      <c r="E816" s="9"/>
      <c r="F816" s="9"/>
      <c r="G816" s="11"/>
      <c r="H816" s="5"/>
      <c r="I816" s="8"/>
      <c r="J816" s="8"/>
    </row>
    <row r="817" spans="2:10" ht="12.75" x14ac:dyDescent="0.2">
      <c r="B817" s="6"/>
      <c r="C817" s="6"/>
      <c r="D817" s="6"/>
      <c r="E817" s="9"/>
      <c r="F817" s="9"/>
      <c r="G817" s="11"/>
      <c r="H817" s="5"/>
      <c r="I817" s="8"/>
      <c r="J817" s="8"/>
    </row>
    <row r="818" spans="2:10" ht="12.75" x14ac:dyDescent="0.2">
      <c r="B818" s="6"/>
      <c r="C818" s="6"/>
      <c r="D818" s="6"/>
      <c r="E818" s="9"/>
      <c r="F818" s="9"/>
      <c r="G818" s="11"/>
      <c r="H818" s="5"/>
      <c r="I818" s="8"/>
      <c r="J818" s="8"/>
    </row>
    <row r="819" spans="2:10" ht="12.75" x14ac:dyDescent="0.2">
      <c r="B819" s="6"/>
      <c r="C819" s="6"/>
      <c r="D819" s="6"/>
      <c r="E819" s="9"/>
      <c r="F819" s="9"/>
      <c r="G819" s="11"/>
      <c r="H819" s="5"/>
      <c r="I819" s="8"/>
      <c r="J819" s="8"/>
    </row>
    <row r="820" spans="2:10" ht="12.75" x14ac:dyDescent="0.2">
      <c r="B820" s="6"/>
      <c r="C820" s="6"/>
      <c r="D820" s="6"/>
      <c r="E820" s="9"/>
      <c r="F820" s="9"/>
      <c r="G820" s="11"/>
      <c r="H820" s="5"/>
      <c r="I820" s="8"/>
      <c r="J820" s="8"/>
    </row>
    <row r="821" spans="2:10" ht="12.75" x14ac:dyDescent="0.2">
      <c r="B821" s="6"/>
      <c r="C821" s="6"/>
      <c r="D821" s="6"/>
      <c r="E821" s="9"/>
      <c r="F821" s="9"/>
      <c r="G821" s="11"/>
      <c r="H821" s="5"/>
      <c r="I821" s="8"/>
      <c r="J821" s="8"/>
    </row>
    <row r="822" spans="2:10" ht="12.75" x14ac:dyDescent="0.2">
      <c r="B822" s="6"/>
      <c r="C822" s="6"/>
      <c r="D822" s="6"/>
      <c r="E822" s="9"/>
      <c r="F822" s="9"/>
      <c r="G822" s="11"/>
      <c r="H822" s="5"/>
      <c r="I822" s="8"/>
      <c r="J822" s="8"/>
    </row>
    <row r="823" spans="2:10" ht="12.75" x14ac:dyDescent="0.2">
      <c r="B823" s="6"/>
      <c r="C823" s="6"/>
      <c r="D823" s="6"/>
      <c r="E823" s="9"/>
      <c r="F823" s="9"/>
      <c r="G823" s="11"/>
      <c r="H823" s="5"/>
      <c r="I823" s="8"/>
      <c r="J823" s="8"/>
    </row>
    <row r="824" spans="2:10" ht="12.75" x14ac:dyDescent="0.2">
      <c r="B824" s="6"/>
      <c r="C824" s="6"/>
      <c r="D824" s="6"/>
      <c r="E824" s="9"/>
      <c r="F824" s="9"/>
      <c r="G824" s="11"/>
      <c r="H824" s="5"/>
      <c r="I824" s="8"/>
      <c r="J824" s="8"/>
    </row>
    <row r="825" spans="2:10" ht="12.75" x14ac:dyDescent="0.2">
      <c r="B825" s="6"/>
      <c r="C825" s="6"/>
      <c r="D825" s="6"/>
      <c r="E825" s="9"/>
      <c r="F825" s="9"/>
      <c r="G825" s="11"/>
      <c r="H825" s="5"/>
      <c r="I825" s="8"/>
      <c r="J825" s="8"/>
    </row>
    <row r="826" spans="2:10" ht="12.75" x14ac:dyDescent="0.2">
      <c r="B826" s="6"/>
      <c r="C826" s="6"/>
      <c r="D826" s="6"/>
      <c r="E826" s="9"/>
      <c r="F826" s="9"/>
      <c r="G826" s="11"/>
      <c r="H826" s="5"/>
      <c r="I826" s="8"/>
      <c r="J826" s="8"/>
    </row>
    <row r="827" spans="2:10" ht="12.75" x14ac:dyDescent="0.2">
      <c r="B827" s="6"/>
      <c r="C827" s="6"/>
      <c r="D827" s="6"/>
      <c r="E827" s="9"/>
      <c r="F827" s="9"/>
      <c r="G827" s="11"/>
      <c r="H827" s="5"/>
      <c r="I827" s="8"/>
      <c r="J827" s="8"/>
    </row>
    <row r="828" spans="2:10" ht="12.75" x14ac:dyDescent="0.2">
      <c r="B828" s="6"/>
      <c r="C828" s="6"/>
      <c r="D828" s="6"/>
      <c r="E828" s="9"/>
      <c r="F828" s="9"/>
      <c r="G828" s="11"/>
      <c r="H828" s="5"/>
      <c r="I828" s="8"/>
      <c r="J828" s="8"/>
    </row>
    <row r="829" spans="2:10" ht="12.75" x14ac:dyDescent="0.2">
      <c r="B829" s="6"/>
      <c r="C829" s="6"/>
      <c r="D829" s="6"/>
      <c r="E829" s="9"/>
      <c r="F829" s="9"/>
      <c r="G829" s="11"/>
      <c r="H829" s="5"/>
      <c r="I829" s="8"/>
      <c r="J829" s="8"/>
    </row>
    <row r="830" spans="2:10" ht="12.75" x14ac:dyDescent="0.2">
      <c r="B830" s="6"/>
      <c r="C830" s="6"/>
      <c r="D830" s="6"/>
      <c r="E830" s="9"/>
      <c r="F830" s="9"/>
      <c r="G830" s="11"/>
      <c r="H830" s="5"/>
      <c r="I830" s="8"/>
      <c r="J830" s="8"/>
    </row>
    <row r="831" spans="2:10" ht="12.75" x14ac:dyDescent="0.2">
      <c r="B831" s="6"/>
      <c r="C831" s="6"/>
      <c r="D831" s="6"/>
      <c r="E831" s="9"/>
      <c r="F831" s="9"/>
      <c r="G831" s="11"/>
      <c r="H831" s="5"/>
      <c r="I831" s="8"/>
      <c r="J831" s="8"/>
    </row>
    <row r="832" spans="2:10" ht="12.75" x14ac:dyDescent="0.2">
      <c r="B832" s="6"/>
      <c r="C832" s="6"/>
      <c r="D832" s="6"/>
      <c r="E832" s="9"/>
      <c r="F832" s="9"/>
      <c r="G832" s="11"/>
      <c r="H832" s="5"/>
      <c r="I832" s="8"/>
      <c r="J832" s="8"/>
    </row>
    <row r="833" spans="2:10" ht="12.75" x14ac:dyDescent="0.2">
      <c r="B833" s="6"/>
      <c r="C833" s="6"/>
      <c r="D833" s="6"/>
      <c r="E833" s="9"/>
      <c r="F833" s="9"/>
      <c r="G833" s="11"/>
      <c r="H833" s="5"/>
      <c r="I833" s="8"/>
      <c r="J833" s="8"/>
    </row>
    <row r="834" spans="2:10" ht="12.75" x14ac:dyDescent="0.2">
      <c r="B834" s="6"/>
      <c r="C834" s="6"/>
      <c r="D834" s="6"/>
      <c r="E834" s="9"/>
      <c r="F834" s="9"/>
      <c r="G834" s="11"/>
      <c r="H834" s="5"/>
      <c r="I834" s="8"/>
      <c r="J834" s="8"/>
    </row>
    <row r="835" spans="2:10" ht="12.75" x14ac:dyDescent="0.2">
      <c r="B835" s="6"/>
      <c r="C835" s="6"/>
      <c r="D835" s="6"/>
      <c r="E835" s="9"/>
      <c r="F835" s="9"/>
      <c r="G835" s="11"/>
      <c r="H835" s="5"/>
      <c r="I835" s="8"/>
      <c r="J835" s="8"/>
    </row>
    <row r="836" spans="2:10" ht="12.75" x14ac:dyDescent="0.2">
      <c r="B836" s="6"/>
      <c r="C836" s="6"/>
      <c r="D836" s="6"/>
      <c r="E836" s="9"/>
      <c r="F836" s="9"/>
      <c r="G836" s="11"/>
      <c r="H836" s="5"/>
      <c r="I836" s="8"/>
      <c r="J836" s="8"/>
    </row>
    <row r="837" spans="2:10" ht="12.75" x14ac:dyDescent="0.2">
      <c r="B837" s="6"/>
      <c r="C837" s="6"/>
      <c r="D837" s="6"/>
      <c r="E837" s="9"/>
      <c r="F837" s="9"/>
      <c r="G837" s="11"/>
      <c r="H837" s="5"/>
      <c r="I837" s="8"/>
      <c r="J837" s="8"/>
    </row>
    <row r="838" spans="2:10" ht="12.75" x14ac:dyDescent="0.2">
      <c r="B838" s="6"/>
      <c r="C838" s="6"/>
      <c r="D838" s="6"/>
      <c r="E838" s="9"/>
      <c r="F838" s="9"/>
      <c r="G838" s="11"/>
      <c r="H838" s="5"/>
      <c r="I838" s="8"/>
      <c r="J838" s="8"/>
    </row>
    <row r="839" spans="2:10" ht="12.75" x14ac:dyDescent="0.2">
      <c r="B839" s="6"/>
      <c r="C839" s="6"/>
      <c r="D839" s="6"/>
      <c r="E839" s="9"/>
      <c r="F839" s="9"/>
      <c r="G839" s="11"/>
      <c r="H839" s="5"/>
      <c r="I839" s="8"/>
      <c r="J839" s="8"/>
    </row>
    <row r="840" spans="2:10" ht="12.75" x14ac:dyDescent="0.2">
      <c r="B840" s="6"/>
      <c r="C840" s="6"/>
      <c r="D840" s="6"/>
      <c r="E840" s="9"/>
      <c r="F840" s="9"/>
      <c r="G840" s="11"/>
      <c r="H840" s="5"/>
      <c r="I840" s="8"/>
      <c r="J840" s="8"/>
    </row>
    <row r="841" spans="2:10" ht="12.75" x14ac:dyDescent="0.2">
      <c r="B841" s="6"/>
      <c r="C841" s="6"/>
      <c r="D841" s="6"/>
      <c r="E841" s="9"/>
      <c r="F841" s="9"/>
      <c r="G841" s="11"/>
      <c r="H841" s="5"/>
      <c r="I841" s="8"/>
      <c r="J841" s="8"/>
    </row>
    <row r="842" spans="2:10" ht="12.75" x14ac:dyDescent="0.2">
      <c r="B842" s="6"/>
      <c r="C842" s="6"/>
      <c r="D842" s="6"/>
      <c r="E842" s="9"/>
      <c r="F842" s="9"/>
      <c r="G842" s="11"/>
      <c r="H842" s="5"/>
      <c r="I842" s="8"/>
      <c r="J842" s="8"/>
    </row>
    <row r="843" spans="2:10" ht="12.75" x14ac:dyDescent="0.2">
      <c r="B843" s="6"/>
      <c r="C843" s="6"/>
      <c r="D843" s="6"/>
      <c r="E843" s="9"/>
      <c r="F843" s="9"/>
      <c r="G843" s="11"/>
      <c r="H843" s="5"/>
      <c r="I843" s="8"/>
      <c r="J843" s="8"/>
    </row>
    <row r="844" spans="2:10" ht="12.75" x14ac:dyDescent="0.2">
      <c r="B844" s="6"/>
      <c r="C844" s="6"/>
      <c r="D844" s="6"/>
      <c r="E844" s="9"/>
      <c r="F844" s="9"/>
      <c r="G844" s="11"/>
      <c r="H844" s="5"/>
      <c r="I844" s="8"/>
      <c r="J844" s="8"/>
    </row>
    <row r="845" spans="2:10" ht="12.75" x14ac:dyDescent="0.2">
      <c r="B845" s="6"/>
      <c r="C845" s="6"/>
      <c r="D845" s="6"/>
      <c r="E845" s="9"/>
      <c r="F845" s="9"/>
      <c r="G845" s="11"/>
      <c r="H845" s="5"/>
      <c r="I845" s="8"/>
      <c r="J845" s="8"/>
    </row>
    <row r="846" spans="2:10" ht="12.75" x14ac:dyDescent="0.2">
      <c r="B846" s="6"/>
      <c r="C846" s="6"/>
      <c r="D846" s="6"/>
      <c r="E846" s="9"/>
      <c r="F846" s="9"/>
      <c r="G846" s="11"/>
      <c r="H846" s="5"/>
      <c r="I846" s="8"/>
      <c r="J846" s="8"/>
    </row>
    <row r="847" spans="2:10" ht="12.75" x14ac:dyDescent="0.2">
      <c r="B847" s="6"/>
      <c r="C847" s="6"/>
      <c r="D847" s="6"/>
      <c r="E847" s="9"/>
      <c r="F847" s="9"/>
      <c r="G847" s="11"/>
      <c r="H847" s="5"/>
      <c r="I847" s="8"/>
      <c r="J847" s="8"/>
    </row>
    <row r="848" spans="2:10" ht="12.75" x14ac:dyDescent="0.2">
      <c r="B848" s="6"/>
      <c r="C848" s="6"/>
      <c r="D848" s="6"/>
      <c r="E848" s="9"/>
      <c r="F848" s="9"/>
      <c r="G848" s="11"/>
      <c r="H848" s="5"/>
      <c r="I848" s="8"/>
      <c r="J848" s="8"/>
    </row>
    <row r="849" spans="2:10" ht="12.75" x14ac:dyDescent="0.2">
      <c r="B849" s="6"/>
      <c r="C849" s="6"/>
      <c r="D849" s="6"/>
      <c r="E849" s="9"/>
      <c r="F849" s="9"/>
      <c r="G849" s="11"/>
      <c r="H849" s="5"/>
      <c r="I849" s="8"/>
      <c r="J849" s="8"/>
    </row>
    <row r="850" spans="2:10" ht="12.75" x14ac:dyDescent="0.2">
      <c r="B850" s="6"/>
      <c r="C850" s="6"/>
      <c r="D850" s="6"/>
      <c r="E850" s="9"/>
      <c r="F850" s="9"/>
      <c r="G850" s="11"/>
      <c r="H850" s="5"/>
      <c r="I850" s="8"/>
      <c r="J850" s="8"/>
    </row>
    <row r="851" spans="2:10" ht="12.75" x14ac:dyDescent="0.2">
      <c r="B851" s="6"/>
      <c r="C851" s="6"/>
      <c r="D851" s="6"/>
      <c r="E851" s="9"/>
      <c r="F851" s="9"/>
      <c r="G851" s="11"/>
      <c r="H851" s="5"/>
      <c r="I851" s="8"/>
      <c r="J851" s="8"/>
    </row>
    <row r="852" spans="2:10" ht="12.75" x14ac:dyDescent="0.2">
      <c r="B852" s="6"/>
      <c r="C852" s="6"/>
      <c r="D852" s="6"/>
      <c r="E852" s="9"/>
      <c r="F852" s="9"/>
      <c r="G852" s="11"/>
      <c r="H852" s="5"/>
      <c r="I852" s="8"/>
      <c r="J852" s="8"/>
    </row>
    <row r="853" spans="2:10" ht="12.75" x14ac:dyDescent="0.2">
      <c r="B853" s="6"/>
      <c r="C853" s="6"/>
      <c r="D853" s="6"/>
      <c r="E853" s="9"/>
      <c r="F853" s="9"/>
      <c r="G853" s="11"/>
      <c r="H853" s="5"/>
      <c r="I853" s="8"/>
      <c r="J853" s="8"/>
    </row>
    <row r="854" spans="2:10" ht="12.75" x14ac:dyDescent="0.2">
      <c r="B854" s="6"/>
      <c r="C854" s="6"/>
      <c r="D854" s="6"/>
      <c r="E854" s="9"/>
      <c r="F854" s="9"/>
      <c r="G854" s="11"/>
      <c r="H854" s="5"/>
      <c r="I854" s="8"/>
      <c r="J854" s="8"/>
    </row>
    <row r="855" spans="2:10" ht="12.75" x14ac:dyDescent="0.2">
      <c r="B855" s="6"/>
      <c r="C855" s="6"/>
      <c r="D855" s="6"/>
      <c r="E855" s="9"/>
      <c r="F855" s="9"/>
      <c r="G855" s="11"/>
      <c r="H855" s="5"/>
      <c r="I855" s="8"/>
      <c r="J855" s="8"/>
    </row>
    <row r="856" spans="2:10" ht="12.75" x14ac:dyDescent="0.2">
      <c r="B856" s="6"/>
      <c r="C856" s="6"/>
      <c r="D856" s="6"/>
      <c r="E856" s="9"/>
      <c r="F856" s="9"/>
      <c r="G856" s="11"/>
      <c r="H856" s="5"/>
      <c r="I856" s="8"/>
      <c r="J856" s="8"/>
    </row>
    <row r="857" spans="2:10" ht="12.75" x14ac:dyDescent="0.2">
      <c r="B857" s="6"/>
      <c r="C857" s="6"/>
      <c r="D857" s="6"/>
      <c r="E857" s="9"/>
      <c r="F857" s="9"/>
      <c r="G857" s="11"/>
      <c r="H857" s="5"/>
      <c r="I857" s="8"/>
      <c r="J857" s="8"/>
    </row>
    <row r="858" spans="2:10" ht="12.75" x14ac:dyDescent="0.2">
      <c r="B858" s="6"/>
      <c r="C858" s="6"/>
      <c r="D858" s="6"/>
      <c r="E858" s="9"/>
      <c r="F858" s="9"/>
      <c r="G858" s="11"/>
      <c r="H858" s="5"/>
      <c r="I858" s="8"/>
      <c r="J858" s="8"/>
    </row>
    <row r="859" spans="2:10" ht="12.75" x14ac:dyDescent="0.2">
      <c r="B859" s="6"/>
      <c r="C859" s="6"/>
      <c r="D859" s="6"/>
      <c r="E859" s="9"/>
      <c r="F859" s="9"/>
      <c r="G859" s="11"/>
      <c r="H859" s="5"/>
      <c r="I859" s="8"/>
      <c r="J859" s="8"/>
    </row>
    <row r="860" spans="2:10" ht="12.75" x14ac:dyDescent="0.2">
      <c r="B860" s="6"/>
      <c r="C860" s="6"/>
      <c r="D860" s="6"/>
      <c r="E860" s="9"/>
      <c r="F860" s="9"/>
      <c r="G860" s="11"/>
      <c r="H860" s="5"/>
      <c r="I860" s="8"/>
      <c r="J860" s="8"/>
    </row>
    <row r="861" spans="2:10" ht="12.75" x14ac:dyDescent="0.2">
      <c r="B861" s="6"/>
      <c r="C861" s="6"/>
      <c r="D861" s="6"/>
      <c r="E861" s="9"/>
      <c r="F861" s="9"/>
      <c r="G861" s="11"/>
      <c r="H861" s="5"/>
      <c r="I861" s="8"/>
      <c r="J861" s="8"/>
    </row>
  </sheetData>
  <dataValidations count="1">
    <dataValidation type="list" allowBlank="1" showErrorMessage="1" sqref="C3:C7" xr:uid="{00000000-0002-0000-0800-000000000000}">
      <formula1>"5DD,EOM,LBD,TP"</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Y861"/>
  <sheetViews>
    <sheetView workbookViewId="0">
      <pane ySplit="1" topLeftCell="A2" activePane="bottomLeft" state="frozen"/>
      <selection pane="bottomLeft" activeCell="B3" sqref="B3"/>
    </sheetView>
  </sheetViews>
  <sheetFormatPr defaultColWidth="12.42578125" defaultRowHeight="15.75" customHeight="1" x14ac:dyDescent="0.2"/>
  <cols>
    <col min="1" max="1" width="8.42578125" customWidth="1"/>
    <col min="2" max="2" width="6.140625" customWidth="1"/>
    <col min="3" max="3" width="9.28515625" customWidth="1"/>
    <col min="4" max="4" width="7" customWidth="1"/>
    <col min="5" max="5" width="7.42578125" customWidth="1"/>
    <col min="6" max="6" width="8" customWidth="1"/>
    <col min="7" max="7" width="8.28515625" customWidth="1"/>
    <col min="8" max="8" width="7.85546875" customWidth="1"/>
    <col min="9" max="9" width="6.85546875" customWidth="1"/>
    <col min="10" max="10" width="7" customWidth="1"/>
    <col min="11" max="11" width="6.42578125" customWidth="1"/>
    <col min="12" max="12" width="5.140625" customWidth="1"/>
    <col min="13" max="13" width="7.85546875" customWidth="1"/>
    <col min="14" max="14" width="13.42578125" customWidth="1"/>
    <col min="15" max="15" width="10.85546875" customWidth="1"/>
    <col min="16" max="16" width="11.42578125" customWidth="1"/>
    <col min="17" max="17" width="6.42578125" customWidth="1"/>
    <col min="18" max="18" width="7.140625" customWidth="1"/>
    <col min="19" max="19" width="9.140625" customWidth="1"/>
    <col min="20" max="20" width="6.42578125" customWidth="1"/>
    <col min="21" max="21" width="11.140625" customWidth="1"/>
    <col min="22" max="22" width="9.28515625" customWidth="1"/>
    <col min="23" max="23" width="8.85546875" customWidth="1"/>
    <col min="24" max="25" width="7" customWidth="1"/>
  </cols>
  <sheetData>
    <row r="1" spans="1:25" ht="15" customHeight="1" x14ac:dyDescent="0.2">
      <c r="A1" s="14" t="s">
        <v>2</v>
      </c>
      <c r="B1" s="15" t="s">
        <v>3</v>
      </c>
      <c r="C1" s="15" t="s">
        <v>4</v>
      </c>
      <c r="D1" s="15" t="s">
        <v>0</v>
      </c>
      <c r="E1" s="16" t="s">
        <v>5</v>
      </c>
      <c r="F1" s="16" t="s">
        <v>6</v>
      </c>
      <c r="G1" s="17" t="s">
        <v>7</v>
      </c>
      <c r="H1" s="18" t="s">
        <v>8</v>
      </c>
      <c r="I1" s="19" t="s">
        <v>9</v>
      </c>
      <c r="J1" s="19" t="s">
        <v>10</v>
      </c>
      <c r="K1" s="19" t="s">
        <v>11</v>
      </c>
      <c r="L1" s="18" t="s">
        <v>12</v>
      </c>
      <c r="M1" s="20"/>
      <c r="N1" s="20"/>
      <c r="O1" s="20"/>
      <c r="P1" s="20"/>
      <c r="Q1" s="20"/>
      <c r="R1" s="20"/>
      <c r="S1" s="20"/>
      <c r="T1" s="20"/>
      <c r="U1" s="20"/>
      <c r="V1" s="20"/>
      <c r="W1" s="20"/>
      <c r="X1" s="20"/>
      <c r="Y1" s="20"/>
    </row>
    <row r="2" spans="1:25" ht="12.75" x14ac:dyDescent="0.2">
      <c r="A2" s="10"/>
      <c r="B2" s="6"/>
      <c r="C2" s="6"/>
      <c r="D2" s="6"/>
      <c r="E2" s="9"/>
      <c r="F2" s="9"/>
      <c r="G2" s="11"/>
      <c r="H2" s="5"/>
      <c r="I2" s="6"/>
      <c r="J2" s="6"/>
      <c r="K2" s="20"/>
      <c r="L2" s="20"/>
      <c r="M2" s="20"/>
      <c r="Q2" s="20"/>
      <c r="X2" s="6"/>
      <c r="Y2" s="6"/>
    </row>
    <row r="3" spans="1:25" ht="12.75" x14ac:dyDescent="0.2">
      <c r="A3" s="10">
        <v>45685</v>
      </c>
      <c r="B3" s="1" t="s">
        <v>13</v>
      </c>
      <c r="C3" s="1" t="s">
        <v>14</v>
      </c>
      <c r="D3" s="6">
        <v>127.29</v>
      </c>
      <c r="E3" s="9">
        <f t="shared" ref="E3:E4" si="0">$O$3/D3</f>
        <v>1.9640191688270876</v>
      </c>
      <c r="F3" s="9">
        <f>E3</f>
        <v>1.9640191688270876</v>
      </c>
      <c r="G3" s="11">
        <f t="shared" ref="G3:G4" si="1">$O$4/D3</f>
        <v>1.9640191688270876</v>
      </c>
      <c r="H3" s="5">
        <f t="shared" ref="H3:H4" si="2">D3*G3</f>
        <v>250</v>
      </c>
      <c r="I3" s="6">
        <f t="shared" ref="I3:I4" si="3">D3-(D3*$O$5)</f>
        <v>117.74325</v>
      </c>
      <c r="J3" s="6">
        <f t="shared" ref="J3:J4" si="4">D3+(D3*$O$6)</f>
        <v>155.93025</v>
      </c>
      <c r="K3" s="5"/>
      <c r="L3" s="5"/>
      <c r="M3" s="5"/>
      <c r="N3" s="20" t="s">
        <v>21</v>
      </c>
      <c r="O3" s="5">
        <v>250</v>
      </c>
      <c r="W3" s="6"/>
      <c r="X3" s="6"/>
      <c r="Y3" s="6"/>
    </row>
    <row r="4" spans="1:25" ht="12.75" x14ac:dyDescent="0.2">
      <c r="A4" s="10">
        <v>45685</v>
      </c>
      <c r="B4" s="1" t="s">
        <v>16</v>
      </c>
      <c r="C4" s="1" t="s">
        <v>14</v>
      </c>
      <c r="D4" s="6">
        <v>127.29</v>
      </c>
      <c r="E4" s="9">
        <f t="shared" si="0"/>
        <v>1.9640191688270876</v>
      </c>
      <c r="F4" s="9">
        <f>F3+E4</f>
        <v>3.9280383376541752</v>
      </c>
      <c r="G4" s="11">
        <f t="shared" si="1"/>
        <v>1.9640191688270876</v>
      </c>
      <c r="H4" s="5">
        <f t="shared" si="2"/>
        <v>250</v>
      </c>
      <c r="I4" s="6">
        <f t="shared" si="3"/>
        <v>117.74325</v>
      </c>
      <c r="J4" s="6">
        <f t="shared" si="4"/>
        <v>155.93025</v>
      </c>
      <c r="K4" s="6"/>
      <c r="L4" s="6"/>
      <c r="M4" s="6"/>
      <c r="N4" s="3" t="s">
        <v>8</v>
      </c>
      <c r="O4" s="5">
        <v>250</v>
      </c>
      <c r="P4" s="10"/>
      <c r="Q4" s="6"/>
      <c r="R4" s="6"/>
      <c r="S4" s="6"/>
      <c r="T4" s="6"/>
      <c r="U4" s="6"/>
      <c r="V4" s="6"/>
      <c r="W4" s="6"/>
      <c r="X4" s="6"/>
      <c r="Y4" s="6"/>
    </row>
    <row r="5" spans="1:25" ht="12.75" x14ac:dyDescent="0.2">
      <c r="A5" s="10"/>
      <c r="D5" s="6"/>
      <c r="E5" s="9"/>
      <c r="F5" s="9"/>
      <c r="G5" s="11"/>
      <c r="H5" s="5"/>
      <c r="I5" s="6"/>
      <c r="K5" s="6"/>
      <c r="L5" s="6"/>
      <c r="M5" s="6"/>
      <c r="N5" s="3" t="s">
        <v>18</v>
      </c>
      <c r="O5" s="4">
        <v>7.4999999999999997E-2</v>
      </c>
      <c r="P5" s="4"/>
      <c r="Q5" s="6"/>
      <c r="R5" s="6"/>
      <c r="S5" s="6"/>
      <c r="T5" s="6"/>
      <c r="U5" s="6"/>
      <c r="V5" s="6"/>
      <c r="W5" s="6"/>
      <c r="X5" s="6"/>
      <c r="Y5" s="6"/>
    </row>
    <row r="6" spans="1:25" ht="12.75" x14ac:dyDescent="0.2">
      <c r="A6" s="10"/>
      <c r="D6" s="6"/>
      <c r="E6" s="9"/>
      <c r="F6" s="9"/>
      <c r="G6" s="11"/>
      <c r="H6" s="5"/>
      <c r="I6" s="6"/>
      <c r="K6" s="6"/>
      <c r="L6" s="6"/>
      <c r="M6" s="6"/>
      <c r="N6" s="3" t="s">
        <v>10</v>
      </c>
      <c r="O6" s="4">
        <f>O5*3</f>
        <v>0.22499999999999998</v>
      </c>
      <c r="P6" s="4"/>
      <c r="Q6" s="4"/>
      <c r="R6" s="6"/>
      <c r="S6" s="6"/>
      <c r="T6" s="6"/>
      <c r="U6" s="6"/>
      <c r="V6" s="6"/>
      <c r="W6" s="6"/>
      <c r="X6" s="6"/>
      <c r="Y6" s="6"/>
    </row>
    <row r="7" spans="1:25" ht="12.75" x14ac:dyDescent="0.2">
      <c r="A7" s="10"/>
      <c r="D7" s="6"/>
      <c r="E7" s="9"/>
      <c r="F7" s="9"/>
      <c r="G7" s="11"/>
      <c r="H7" s="5"/>
      <c r="I7" s="6"/>
      <c r="K7" s="6"/>
      <c r="L7" s="6"/>
      <c r="M7" s="6"/>
      <c r="N7" s="20" t="s">
        <v>19</v>
      </c>
      <c r="O7" s="5">
        <f>(O8/250)*O3</f>
        <v>500</v>
      </c>
      <c r="P7" s="6"/>
      <c r="Q7" s="6"/>
      <c r="R7" s="6"/>
      <c r="S7" s="6"/>
      <c r="T7" s="6"/>
      <c r="U7" s="6"/>
      <c r="V7" s="6"/>
      <c r="W7" s="6"/>
      <c r="X7" s="6"/>
      <c r="Y7" s="6"/>
    </row>
    <row r="8" spans="1:25" ht="12.75" x14ac:dyDescent="0.2">
      <c r="A8" s="21"/>
      <c r="B8" s="22"/>
      <c r="C8" s="22"/>
      <c r="D8" s="23"/>
      <c r="E8" s="24"/>
      <c r="F8" s="24"/>
      <c r="G8" s="25"/>
      <c r="H8" s="26"/>
      <c r="I8" s="23"/>
      <c r="J8" s="22"/>
      <c r="K8" s="6"/>
      <c r="L8" s="6"/>
      <c r="M8" s="6"/>
      <c r="N8" s="3" t="s">
        <v>20</v>
      </c>
      <c r="O8" s="5">
        <f>SUM(H3:H42)</f>
        <v>500</v>
      </c>
      <c r="P8" s="4"/>
      <c r="R8" s="6"/>
      <c r="S8" s="6"/>
      <c r="T8" s="6"/>
      <c r="U8" s="6"/>
      <c r="V8" s="6"/>
      <c r="W8" s="6"/>
      <c r="X8" s="6"/>
      <c r="Y8" s="6"/>
    </row>
    <row r="9" spans="1:25" ht="12.75" x14ac:dyDescent="0.2">
      <c r="A9" s="21"/>
      <c r="B9" s="22"/>
      <c r="C9" s="22"/>
      <c r="D9" s="23"/>
      <c r="E9" s="24"/>
      <c r="F9" s="24"/>
      <c r="G9" s="25"/>
      <c r="H9" s="26"/>
      <c r="I9" s="23"/>
      <c r="J9" s="22"/>
      <c r="K9" s="6"/>
      <c r="L9" s="6"/>
      <c r="M9" s="6"/>
      <c r="N9" s="20"/>
      <c r="O9" s="6"/>
      <c r="P9" s="6"/>
      <c r="Q9" s="6"/>
      <c r="R9" s="6"/>
      <c r="S9" s="6"/>
      <c r="T9" s="6"/>
      <c r="U9" s="6"/>
      <c r="V9" s="6"/>
      <c r="W9" s="6"/>
      <c r="X9" s="6"/>
      <c r="Y9" s="6"/>
    </row>
    <row r="10" spans="1:25" ht="12.75" x14ac:dyDescent="0.2">
      <c r="A10" s="21"/>
      <c r="B10" s="22"/>
      <c r="C10" s="22"/>
      <c r="D10" s="23"/>
      <c r="E10" s="24"/>
      <c r="F10" s="24"/>
      <c r="G10" s="25"/>
      <c r="H10" s="26"/>
      <c r="I10" s="23"/>
      <c r="J10" s="22"/>
      <c r="K10" s="6"/>
      <c r="L10" s="6"/>
      <c r="M10" s="6"/>
      <c r="N10" s="3"/>
      <c r="O10" s="6"/>
      <c r="P10" s="4"/>
      <c r="Q10" s="6"/>
      <c r="R10" s="6"/>
      <c r="S10" s="6"/>
      <c r="T10" s="6"/>
      <c r="U10" s="6"/>
      <c r="V10" s="6"/>
      <c r="W10" s="6"/>
      <c r="X10" s="6"/>
      <c r="Y10" s="6"/>
    </row>
    <row r="11" spans="1:25" ht="12.75" x14ac:dyDescent="0.2">
      <c r="A11" s="10"/>
      <c r="B11" s="1"/>
      <c r="D11" s="6"/>
      <c r="E11" s="9"/>
      <c r="F11" s="9"/>
      <c r="G11" s="11"/>
      <c r="H11" s="5"/>
      <c r="I11" s="6"/>
      <c r="K11" s="6"/>
      <c r="L11" s="6"/>
      <c r="M11" s="6"/>
      <c r="N11" s="6"/>
      <c r="O11" s="9"/>
      <c r="P11" s="6"/>
      <c r="Q11" s="6"/>
      <c r="R11" s="6"/>
      <c r="S11" s="6"/>
      <c r="T11" s="6"/>
      <c r="U11" s="6"/>
      <c r="V11" s="6"/>
      <c r="W11" s="6"/>
      <c r="X11" s="6"/>
      <c r="Y11" s="6"/>
    </row>
    <row r="12" spans="1:25" ht="12.75" x14ac:dyDescent="0.2">
      <c r="A12" s="10"/>
      <c r="B12" s="1"/>
      <c r="D12" s="6"/>
      <c r="E12" s="9"/>
      <c r="F12" s="9"/>
      <c r="G12" s="11"/>
      <c r="H12" s="5"/>
      <c r="I12" s="6"/>
      <c r="K12" s="6"/>
      <c r="L12" s="6"/>
      <c r="M12" s="6"/>
      <c r="N12" s="6"/>
      <c r="O12" s="6"/>
      <c r="P12" s="6"/>
      <c r="Q12" s="6"/>
      <c r="R12" s="6"/>
      <c r="S12" s="6"/>
      <c r="T12" s="6"/>
      <c r="U12" s="6"/>
      <c r="V12" s="6"/>
      <c r="W12" s="6"/>
      <c r="X12" s="6"/>
      <c r="Y12" s="6"/>
    </row>
    <row r="13" spans="1:25" ht="12.75" x14ac:dyDescent="0.2">
      <c r="A13" s="21"/>
      <c r="B13" s="22"/>
      <c r="C13" s="22"/>
      <c r="D13" s="23"/>
      <c r="E13" s="24"/>
      <c r="F13" s="24"/>
      <c r="G13" s="25"/>
      <c r="H13" s="26"/>
      <c r="I13" s="23"/>
      <c r="J13" s="22"/>
      <c r="K13" s="6"/>
      <c r="L13" s="6"/>
      <c r="M13" s="6"/>
      <c r="N13" s="6"/>
      <c r="O13" s="6"/>
      <c r="P13" s="6"/>
      <c r="Q13" s="6"/>
      <c r="R13" s="6"/>
      <c r="S13" s="6"/>
      <c r="T13" s="6"/>
      <c r="U13" s="6"/>
      <c r="V13" s="6"/>
      <c r="W13" s="6"/>
      <c r="X13" s="6"/>
      <c r="Y13" s="6"/>
    </row>
    <row r="14" spans="1:25" ht="12.75" x14ac:dyDescent="0.2">
      <c r="A14" s="21"/>
      <c r="B14" s="22"/>
      <c r="C14" s="22"/>
      <c r="D14" s="23"/>
      <c r="E14" s="24"/>
      <c r="F14" s="24"/>
      <c r="G14" s="25"/>
      <c r="H14" s="26"/>
      <c r="I14" s="23"/>
      <c r="J14" s="22"/>
      <c r="K14" s="6"/>
      <c r="L14" s="6"/>
      <c r="M14" s="6"/>
      <c r="N14" s="6"/>
      <c r="O14" s="3"/>
      <c r="P14" s="3"/>
      <c r="Q14" s="3"/>
      <c r="R14" s="3"/>
      <c r="S14" s="3"/>
      <c r="T14" s="6"/>
      <c r="U14" s="6"/>
      <c r="V14" s="6"/>
      <c r="W14" s="6"/>
      <c r="X14" s="6"/>
      <c r="Y14" s="6"/>
    </row>
    <row r="15" spans="1:25" ht="12.75" x14ac:dyDescent="0.2">
      <c r="A15" s="21"/>
      <c r="B15" s="22"/>
      <c r="C15" s="22"/>
      <c r="D15" s="23"/>
      <c r="E15" s="24"/>
      <c r="F15" s="24"/>
      <c r="G15" s="25"/>
      <c r="H15" s="26"/>
      <c r="I15" s="23"/>
      <c r="J15" s="22"/>
      <c r="N15" s="27"/>
      <c r="O15" s="5"/>
      <c r="P15" s="4"/>
      <c r="Q15" s="7"/>
      <c r="R15" s="2"/>
      <c r="S15" s="2"/>
      <c r="T15" s="6"/>
      <c r="U15" s="6"/>
      <c r="V15" s="6"/>
      <c r="W15" s="6"/>
      <c r="X15" s="6"/>
      <c r="Y15" s="6"/>
    </row>
    <row r="16" spans="1:25" ht="12.75" x14ac:dyDescent="0.2">
      <c r="A16" s="10"/>
      <c r="B16" s="1"/>
      <c r="D16" s="6"/>
      <c r="E16" s="9"/>
      <c r="F16" s="9"/>
      <c r="G16" s="11"/>
      <c r="H16" s="5"/>
      <c r="I16" s="6"/>
      <c r="N16" s="27"/>
      <c r="O16" s="5"/>
      <c r="P16" s="4"/>
      <c r="Q16" s="7"/>
      <c r="R16" s="2"/>
      <c r="S16" s="2"/>
      <c r="T16" s="6"/>
      <c r="U16" s="6"/>
      <c r="V16" s="6"/>
      <c r="W16" s="6"/>
      <c r="X16" s="6"/>
      <c r="Y16" s="6"/>
    </row>
    <row r="17" spans="1:25" ht="12.75" x14ac:dyDescent="0.2">
      <c r="A17" s="10"/>
      <c r="B17" s="1"/>
      <c r="D17" s="6"/>
      <c r="E17" s="9"/>
      <c r="F17" s="9"/>
      <c r="G17" s="11"/>
      <c r="H17" s="5"/>
      <c r="I17" s="6"/>
      <c r="K17" s="6"/>
      <c r="L17" s="6"/>
      <c r="M17" s="6"/>
      <c r="N17" s="27"/>
      <c r="O17" s="5"/>
      <c r="P17" s="4"/>
      <c r="R17" s="6"/>
      <c r="S17" s="6"/>
      <c r="T17" s="6"/>
      <c r="U17" s="6"/>
      <c r="V17" s="6"/>
      <c r="W17" s="6"/>
      <c r="X17" s="6"/>
      <c r="Y17" s="6"/>
    </row>
    <row r="18" spans="1:25" ht="12.75" x14ac:dyDescent="0.2">
      <c r="A18" s="10"/>
      <c r="B18" s="1"/>
      <c r="D18" s="6"/>
      <c r="E18" s="9"/>
      <c r="F18" s="9"/>
      <c r="G18" s="11"/>
      <c r="H18" s="5"/>
      <c r="I18" s="6"/>
      <c r="K18" s="9"/>
      <c r="L18" s="9"/>
      <c r="M18" s="9"/>
      <c r="N18" s="27"/>
      <c r="O18" s="5"/>
      <c r="P18" s="4"/>
      <c r="R18" s="6"/>
      <c r="S18" s="5"/>
      <c r="T18" s="5"/>
      <c r="U18" s="5"/>
      <c r="V18" s="5"/>
      <c r="W18" s="9"/>
      <c r="X18" s="5"/>
      <c r="Y18" s="5"/>
    </row>
    <row r="19" spans="1:25" ht="12.75" x14ac:dyDescent="0.2">
      <c r="A19" s="10"/>
      <c r="B19" s="1"/>
      <c r="D19" s="6"/>
      <c r="E19" s="9"/>
      <c r="F19" s="9"/>
      <c r="G19" s="11"/>
      <c r="H19" s="5"/>
      <c r="I19" s="6"/>
      <c r="K19" s="6"/>
      <c r="L19" s="6"/>
      <c r="M19" s="6"/>
      <c r="N19" s="27"/>
      <c r="O19" s="5"/>
      <c r="P19" s="4"/>
      <c r="Q19" s="7"/>
      <c r="R19" s="2"/>
      <c r="S19" s="6"/>
      <c r="T19" s="6"/>
      <c r="U19" s="6"/>
      <c r="V19" s="6"/>
      <c r="W19" s="6"/>
      <c r="X19" s="6"/>
      <c r="Y19" s="6"/>
    </row>
    <row r="20" spans="1:25" ht="12.75" x14ac:dyDescent="0.2">
      <c r="A20" s="10"/>
      <c r="D20" s="6"/>
      <c r="E20" s="9"/>
      <c r="F20" s="9"/>
      <c r="G20" s="11"/>
      <c r="H20" s="5"/>
      <c r="I20" s="6"/>
      <c r="K20" s="6"/>
      <c r="L20" s="6"/>
      <c r="M20" s="6"/>
      <c r="N20" s="27"/>
      <c r="O20" s="7"/>
      <c r="P20" s="2"/>
      <c r="S20" s="6"/>
      <c r="T20" s="6"/>
      <c r="U20" s="6"/>
      <c r="V20" s="6"/>
      <c r="W20" s="6"/>
      <c r="X20" s="6"/>
      <c r="Y20" s="6"/>
    </row>
    <row r="21" spans="1:25" ht="12.75" x14ac:dyDescent="0.2">
      <c r="A21" s="21"/>
      <c r="B21" s="22"/>
      <c r="C21" s="22"/>
      <c r="D21" s="23"/>
      <c r="E21" s="24"/>
      <c r="F21" s="24"/>
      <c r="G21" s="25"/>
      <c r="H21" s="26"/>
      <c r="I21" s="23"/>
      <c r="J21" s="22"/>
      <c r="K21" s="6"/>
      <c r="L21" s="6"/>
      <c r="M21" s="6"/>
      <c r="N21" s="27"/>
      <c r="O21" s="9"/>
      <c r="P21" s="9"/>
      <c r="Q21" s="9"/>
      <c r="R21" s="6"/>
      <c r="S21" s="6"/>
      <c r="T21" s="6"/>
      <c r="U21" s="6"/>
      <c r="V21" s="6"/>
      <c r="W21" s="6"/>
      <c r="X21" s="6"/>
      <c r="Y21" s="6"/>
    </row>
    <row r="22" spans="1:25" ht="12.75" x14ac:dyDescent="0.2">
      <c r="A22" s="21"/>
      <c r="B22" s="22"/>
      <c r="C22" s="22"/>
      <c r="D22" s="23"/>
      <c r="E22" s="24"/>
      <c r="F22" s="24"/>
      <c r="G22" s="25"/>
      <c r="H22" s="26"/>
      <c r="I22" s="23"/>
      <c r="J22" s="22"/>
      <c r="K22" s="6"/>
      <c r="L22" s="6"/>
      <c r="M22" s="6"/>
      <c r="N22" s="27"/>
      <c r="O22" s="6"/>
      <c r="P22" s="6"/>
      <c r="Q22" s="6"/>
      <c r="R22" s="6"/>
      <c r="S22" s="6"/>
      <c r="T22" s="6"/>
      <c r="U22" s="6"/>
      <c r="V22" s="6"/>
      <c r="W22" s="6"/>
      <c r="X22" s="6"/>
      <c r="Y22" s="6"/>
    </row>
    <row r="23" spans="1:25" ht="12.75" x14ac:dyDescent="0.2">
      <c r="A23" s="10"/>
      <c r="B23" s="1"/>
      <c r="D23" s="6"/>
      <c r="E23" s="9"/>
      <c r="F23" s="9"/>
      <c r="G23" s="11"/>
      <c r="H23" s="5"/>
      <c r="I23" s="6"/>
      <c r="K23" s="6"/>
      <c r="L23" s="6"/>
      <c r="M23" s="6"/>
      <c r="N23" s="27"/>
      <c r="O23" s="6"/>
      <c r="P23" s="6"/>
      <c r="Q23" s="6"/>
      <c r="R23" s="6"/>
      <c r="S23" s="6"/>
      <c r="T23" s="6"/>
      <c r="U23" s="6"/>
      <c r="V23" s="6"/>
      <c r="W23" s="6"/>
      <c r="X23" s="6"/>
      <c r="Y23" s="6"/>
    </row>
    <row r="24" spans="1:25" ht="12.75" x14ac:dyDescent="0.2">
      <c r="A24" s="10"/>
      <c r="D24" s="6"/>
      <c r="E24" s="9"/>
      <c r="F24" s="9"/>
      <c r="G24" s="11"/>
      <c r="H24" s="5"/>
      <c r="I24" s="6"/>
      <c r="K24" s="6"/>
      <c r="L24" s="6"/>
      <c r="M24" s="6"/>
      <c r="N24" s="27"/>
      <c r="O24" s="6"/>
      <c r="P24" s="6"/>
      <c r="Q24" s="6"/>
      <c r="R24" s="6"/>
      <c r="S24" s="6"/>
      <c r="T24" s="6"/>
      <c r="U24" s="6"/>
      <c r="V24" s="6"/>
      <c r="W24" s="6"/>
      <c r="X24" s="6"/>
      <c r="Y24" s="6"/>
    </row>
    <row r="25" spans="1:25" ht="12.75" x14ac:dyDescent="0.2">
      <c r="A25" s="10"/>
      <c r="B25" s="1"/>
      <c r="D25" s="6"/>
      <c r="E25" s="9"/>
      <c r="F25" s="9"/>
      <c r="G25" s="11"/>
      <c r="H25" s="5"/>
      <c r="I25" s="6"/>
      <c r="K25" s="6"/>
      <c r="L25" s="6"/>
      <c r="M25" s="6"/>
      <c r="N25" s="27"/>
      <c r="O25" s="6"/>
      <c r="P25" s="6"/>
      <c r="Q25" s="6"/>
      <c r="R25" s="6"/>
      <c r="S25" s="6"/>
      <c r="T25" s="6"/>
      <c r="U25" s="6"/>
      <c r="V25" s="6"/>
      <c r="W25" s="6"/>
      <c r="X25" s="6"/>
      <c r="Y25" s="6"/>
    </row>
    <row r="26" spans="1:25" ht="12.75" x14ac:dyDescent="0.2">
      <c r="A26" s="10"/>
      <c r="D26" s="6"/>
      <c r="E26" s="9"/>
      <c r="F26" s="9"/>
      <c r="G26" s="11"/>
      <c r="H26" s="5"/>
      <c r="I26" s="6"/>
      <c r="K26" s="6"/>
      <c r="L26" s="6"/>
      <c r="M26" s="6"/>
      <c r="N26" s="27"/>
      <c r="O26" s="6"/>
      <c r="P26" s="6"/>
      <c r="Q26" s="6"/>
      <c r="R26" s="6"/>
      <c r="S26" s="6"/>
      <c r="T26" s="6"/>
      <c r="U26" s="6"/>
      <c r="V26" s="6"/>
      <c r="W26" s="6"/>
      <c r="X26" s="6"/>
      <c r="Y26" s="6"/>
    </row>
    <row r="27" spans="1:25" ht="12.75" x14ac:dyDescent="0.2">
      <c r="A27" s="10"/>
      <c r="D27" s="6"/>
      <c r="E27" s="9"/>
      <c r="F27" s="9"/>
      <c r="G27" s="11"/>
      <c r="H27" s="5"/>
      <c r="I27" s="6"/>
      <c r="K27" s="6"/>
      <c r="L27" s="6"/>
      <c r="M27" s="6"/>
      <c r="N27" s="27"/>
      <c r="O27" s="6"/>
      <c r="P27" s="6"/>
      <c r="Q27" s="6"/>
      <c r="R27" s="6"/>
      <c r="S27" s="6"/>
      <c r="T27" s="6"/>
      <c r="U27" s="6"/>
      <c r="V27" s="6"/>
      <c r="W27" s="6"/>
      <c r="X27" s="6"/>
      <c r="Y27" s="6"/>
    </row>
    <row r="28" spans="1:25" ht="12.75" x14ac:dyDescent="0.2">
      <c r="A28" s="10"/>
      <c r="B28" s="1"/>
      <c r="D28" s="6"/>
      <c r="E28" s="9"/>
      <c r="F28" s="9"/>
      <c r="G28" s="11"/>
      <c r="H28" s="5"/>
      <c r="I28" s="6"/>
      <c r="K28" s="6"/>
      <c r="L28" s="6"/>
      <c r="M28" s="6"/>
      <c r="N28" s="6"/>
      <c r="O28" s="6"/>
      <c r="P28" s="6"/>
      <c r="Q28" s="6"/>
      <c r="R28" s="6"/>
      <c r="S28" s="6"/>
      <c r="T28" s="6"/>
      <c r="U28" s="6"/>
      <c r="V28" s="6"/>
      <c r="W28" s="6"/>
      <c r="X28" s="6"/>
      <c r="Y28" s="6"/>
    </row>
    <row r="29" spans="1:25" ht="12.75" x14ac:dyDescent="0.2">
      <c r="A29" s="10"/>
      <c r="B29" s="1"/>
      <c r="D29" s="6"/>
      <c r="E29" s="9"/>
      <c r="F29" s="9"/>
      <c r="G29" s="11"/>
      <c r="H29" s="5"/>
      <c r="I29" s="6"/>
      <c r="K29" s="6"/>
      <c r="L29" s="6"/>
      <c r="M29" s="6"/>
      <c r="N29" s="6"/>
      <c r="O29" s="6"/>
      <c r="P29" s="6"/>
      <c r="Q29" s="6"/>
      <c r="R29" s="6"/>
      <c r="S29" s="6"/>
      <c r="T29" s="6"/>
      <c r="U29" s="6"/>
      <c r="V29" s="6"/>
      <c r="W29" s="6"/>
      <c r="X29" s="6"/>
      <c r="Y29" s="6"/>
    </row>
    <row r="30" spans="1:25" ht="12.75" x14ac:dyDescent="0.2">
      <c r="A30" s="10"/>
      <c r="B30" s="1"/>
      <c r="D30" s="6"/>
      <c r="E30" s="9"/>
      <c r="F30" s="9"/>
      <c r="G30" s="11"/>
      <c r="H30" s="5"/>
      <c r="I30" s="6"/>
      <c r="K30" s="6"/>
      <c r="L30" s="6"/>
      <c r="M30" s="6"/>
      <c r="N30" s="6"/>
      <c r="O30" s="6"/>
      <c r="P30" s="6"/>
      <c r="Q30" s="6"/>
      <c r="R30" s="6"/>
      <c r="S30" s="6"/>
      <c r="T30" s="6"/>
      <c r="U30" s="6"/>
      <c r="V30" s="6"/>
      <c r="W30" s="6"/>
      <c r="X30" s="6"/>
      <c r="Y30" s="6"/>
    </row>
    <row r="31" spans="1:25" ht="12.75" x14ac:dyDescent="0.2">
      <c r="A31" s="10"/>
      <c r="B31" s="1"/>
      <c r="D31" s="6"/>
      <c r="E31" s="9"/>
      <c r="F31" s="9"/>
      <c r="G31" s="11"/>
      <c r="H31" s="5"/>
      <c r="I31" s="6"/>
      <c r="K31" s="6"/>
      <c r="L31" s="6"/>
      <c r="M31" s="6"/>
      <c r="N31" s="6"/>
      <c r="O31" s="6"/>
      <c r="P31" s="6"/>
      <c r="Q31" s="6"/>
      <c r="R31" s="6"/>
      <c r="S31" s="6"/>
      <c r="T31" s="6"/>
      <c r="U31" s="6"/>
      <c r="V31" s="6"/>
      <c r="W31" s="6"/>
      <c r="X31" s="6"/>
      <c r="Y31" s="6"/>
    </row>
    <row r="32" spans="1:25" ht="12.75" x14ac:dyDescent="0.2">
      <c r="A32" s="10"/>
      <c r="B32" s="1"/>
      <c r="D32" s="6"/>
      <c r="E32" s="9"/>
      <c r="F32" s="9"/>
      <c r="G32" s="11"/>
      <c r="H32" s="5"/>
      <c r="I32" s="6"/>
      <c r="K32" s="6"/>
      <c r="L32" s="6"/>
      <c r="M32" s="6"/>
      <c r="N32" s="6"/>
      <c r="O32" s="6"/>
      <c r="P32" s="6"/>
      <c r="Q32" s="6"/>
      <c r="R32" s="6"/>
      <c r="S32" s="6"/>
      <c r="T32" s="6"/>
      <c r="U32" s="6"/>
      <c r="V32" s="6"/>
      <c r="W32" s="6"/>
      <c r="X32" s="6"/>
      <c r="Y32" s="6"/>
    </row>
    <row r="33" spans="1:25" ht="12.75" x14ac:dyDescent="0.2">
      <c r="A33" s="10"/>
      <c r="B33" s="1"/>
      <c r="D33" s="6"/>
      <c r="E33" s="9"/>
      <c r="F33" s="9"/>
      <c r="G33" s="11"/>
      <c r="H33" s="5"/>
      <c r="I33" s="6"/>
      <c r="K33" s="6"/>
      <c r="L33" s="6"/>
      <c r="M33" s="6"/>
      <c r="N33" s="6"/>
      <c r="O33" s="6"/>
      <c r="P33" s="6"/>
      <c r="Q33" s="6"/>
      <c r="R33" s="6"/>
      <c r="S33" s="6"/>
      <c r="T33" s="6"/>
      <c r="U33" s="6"/>
      <c r="V33" s="6"/>
      <c r="W33" s="6"/>
      <c r="X33" s="6"/>
      <c r="Y33" s="6"/>
    </row>
    <row r="34" spans="1:25" ht="12.75" x14ac:dyDescent="0.2">
      <c r="A34" s="10"/>
      <c r="B34" s="1"/>
      <c r="D34" s="6"/>
      <c r="E34" s="9"/>
      <c r="F34" s="9"/>
      <c r="G34" s="11"/>
      <c r="H34" s="5"/>
      <c r="I34" s="6"/>
      <c r="K34" s="6"/>
      <c r="L34" s="6"/>
      <c r="M34" s="6"/>
      <c r="N34" s="6"/>
      <c r="O34" s="6"/>
      <c r="P34" s="6"/>
      <c r="Q34" s="6"/>
      <c r="R34" s="6"/>
      <c r="S34" s="6"/>
      <c r="T34" s="6"/>
      <c r="U34" s="6"/>
      <c r="V34" s="6"/>
      <c r="W34" s="6"/>
      <c r="X34" s="6"/>
      <c r="Y34" s="6"/>
    </row>
    <row r="35" spans="1:25" ht="12.75" x14ac:dyDescent="0.2">
      <c r="A35" s="10"/>
      <c r="B35" s="1"/>
      <c r="D35" s="6"/>
      <c r="E35" s="9"/>
      <c r="F35" s="9"/>
      <c r="G35" s="11"/>
      <c r="H35" s="5"/>
      <c r="I35" s="6"/>
      <c r="K35" s="6"/>
      <c r="L35" s="6"/>
      <c r="M35" s="6"/>
      <c r="N35" s="6"/>
      <c r="O35" s="6"/>
      <c r="P35" s="6"/>
      <c r="Q35" s="6"/>
      <c r="R35" s="6"/>
      <c r="S35" s="6"/>
      <c r="T35" s="6"/>
      <c r="U35" s="6"/>
      <c r="V35" s="6"/>
      <c r="W35" s="6"/>
      <c r="X35" s="6"/>
      <c r="Y35" s="6"/>
    </row>
    <row r="36" spans="1:25" ht="12.75" x14ac:dyDescent="0.2">
      <c r="A36" s="10"/>
      <c r="B36" s="1"/>
      <c r="D36" s="6"/>
      <c r="E36" s="9"/>
      <c r="F36" s="9"/>
      <c r="G36" s="11"/>
      <c r="H36" s="5"/>
      <c r="I36" s="6"/>
      <c r="K36" s="9"/>
      <c r="L36" s="9"/>
      <c r="M36" s="9"/>
      <c r="N36" s="6"/>
      <c r="O36" s="6"/>
      <c r="P36" s="6"/>
      <c r="Q36" s="6"/>
      <c r="R36" s="6"/>
      <c r="S36" s="5"/>
      <c r="T36" s="5"/>
      <c r="U36" s="5"/>
      <c r="V36" s="5"/>
      <c r="W36" s="9"/>
      <c r="X36" s="5"/>
      <c r="Y36" s="5"/>
    </row>
    <row r="37" spans="1:25" ht="12.75" x14ac:dyDescent="0.2">
      <c r="A37" s="10"/>
      <c r="B37" s="1"/>
      <c r="D37" s="6"/>
      <c r="E37" s="9"/>
      <c r="F37" s="9"/>
      <c r="G37" s="11"/>
      <c r="H37" s="5"/>
      <c r="I37" s="6"/>
      <c r="K37" s="6"/>
      <c r="L37" s="6"/>
      <c r="M37" s="6"/>
      <c r="N37" s="6"/>
      <c r="O37" s="6"/>
      <c r="P37" s="6"/>
      <c r="Q37" s="6"/>
      <c r="R37" s="6"/>
      <c r="S37" s="6"/>
      <c r="T37" s="6"/>
      <c r="U37" s="6"/>
      <c r="V37" s="6"/>
      <c r="W37" s="6"/>
      <c r="X37" s="6"/>
      <c r="Y37" s="6"/>
    </row>
    <row r="38" spans="1:25" ht="12.75" x14ac:dyDescent="0.2">
      <c r="A38" s="10"/>
      <c r="B38" s="1"/>
      <c r="D38" s="6"/>
      <c r="E38" s="9"/>
      <c r="F38" s="9"/>
      <c r="G38" s="11"/>
      <c r="H38" s="5"/>
      <c r="I38" s="6"/>
      <c r="K38" s="6"/>
      <c r="L38" s="6"/>
      <c r="M38" s="6"/>
      <c r="N38" s="6"/>
      <c r="O38" s="6"/>
      <c r="P38" s="6"/>
      <c r="Q38" s="6"/>
      <c r="R38" s="5"/>
      <c r="S38" s="6"/>
      <c r="T38" s="6"/>
      <c r="U38" s="6"/>
      <c r="V38" s="6"/>
      <c r="W38" s="6"/>
      <c r="X38" s="6"/>
      <c r="Y38" s="6"/>
    </row>
    <row r="39" spans="1:25" ht="12.75" x14ac:dyDescent="0.2">
      <c r="A39" s="10"/>
      <c r="B39" s="1"/>
      <c r="D39" s="6"/>
      <c r="E39" s="9"/>
      <c r="F39" s="9"/>
      <c r="G39" s="11"/>
      <c r="H39" s="5"/>
      <c r="I39" s="6"/>
      <c r="K39" s="6"/>
      <c r="L39" s="6"/>
      <c r="M39" s="6"/>
      <c r="N39" s="9"/>
      <c r="O39" s="9"/>
      <c r="P39" s="6"/>
      <c r="Q39" s="9"/>
      <c r="R39" s="6"/>
      <c r="S39" s="6"/>
      <c r="T39" s="6"/>
      <c r="U39" s="6"/>
      <c r="V39" s="6"/>
      <c r="W39" s="6"/>
      <c r="X39" s="6"/>
      <c r="Y39" s="6"/>
    </row>
    <row r="40" spans="1:25" ht="12.75" x14ac:dyDescent="0.2">
      <c r="A40" s="10"/>
      <c r="B40" s="1"/>
      <c r="D40" s="6"/>
      <c r="E40" s="9"/>
      <c r="F40" s="9"/>
      <c r="G40" s="11"/>
      <c r="H40" s="5"/>
      <c r="I40" s="6"/>
      <c r="K40" s="6"/>
      <c r="L40" s="6"/>
      <c r="M40" s="6"/>
      <c r="N40" s="6"/>
      <c r="O40" s="6"/>
      <c r="P40" s="6"/>
      <c r="Q40" s="6"/>
      <c r="R40" s="6"/>
      <c r="S40" s="6"/>
      <c r="T40" s="6"/>
      <c r="U40" s="6"/>
      <c r="V40" s="6"/>
      <c r="W40" s="6"/>
      <c r="X40" s="6"/>
      <c r="Y40" s="6"/>
    </row>
    <row r="41" spans="1:25" ht="12.75" x14ac:dyDescent="0.2">
      <c r="A41" s="10"/>
      <c r="B41" s="1"/>
      <c r="D41" s="6"/>
      <c r="E41" s="9"/>
      <c r="F41" s="9"/>
      <c r="G41" s="11"/>
      <c r="H41" s="5"/>
      <c r="I41" s="6"/>
      <c r="K41" s="6"/>
      <c r="L41" s="6"/>
      <c r="M41" s="6"/>
      <c r="N41" s="6"/>
      <c r="O41" s="6"/>
      <c r="P41" s="6"/>
      <c r="Q41" s="6"/>
      <c r="R41" s="6"/>
      <c r="S41" s="6"/>
      <c r="T41" s="6"/>
      <c r="U41" s="6"/>
      <c r="V41" s="6"/>
      <c r="W41" s="6"/>
      <c r="X41" s="6"/>
      <c r="Y41" s="6"/>
    </row>
    <row r="42" spans="1:25" ht="12.75" x14ac:dyDescent="0.2">
      <c r="A42" s="10"/>
      <c r="B42" s="1"/>
      <c r="D42" s="6"/>
      <c r="E42" s="9"/>
      <c r="F42" s="9"/>
      <c r="G42" s="11"/>
      <c r="H42" s="5"/>
      <c r="I42" s="6"/>
      <c r="K42" s="6"/>
      <c r="L42" s="6"/>
      <c r="M42" s="6"/>
      <c r="N42" s="6"/>
      <c r="O42" s="6"/>
      <c r="P42" s="6"/>
      <c r="Q42" s="6"/>
      <c r="R42" s="6"/>
      <c r="S42" s="6"/>
      <c r="T42" s="6"/>
      <c r="U42" s="6"/>
      <c r="V42" s="6"/>
      <c r="W42" s="6"/>
      <c r="X42" s="6"/>
      <c r="Y42" s="6"/>
    </row>
    <row r="43" spans="1:25" ht="12.75" x14ac:dyDescent="0.2">
      <c r="A43" s="10"/>
      <c r="B43" s="1"/>
      <c r="D43" s="6"/>
      <c r="E43" s="9"/>
      <c r="F43" s="9"/>
      <c r="G43" s="11"/>
      <c r="H43" s="5"/>
      <c r="I43" s="6"/>
      <c r="K43" s="6"/>
      <c r="L43" s="6"/>
      <c r="M43" s="6"/>
      <c r="N43" s="6"/>
      <c r="O43" s="6"/>
      <c r="P43" s="6"/>
      <c r="Q43" s="6"/>
      <c r="R43" s="6"/>
      <c r="S43" s="6"/>
      <c r="T43" s="6"/>
      <c r="U43" s="6"/>
      <c r="V43" s="6"/>
      <c r="W43" s="6"/>
      <c r="X43" s="6"/>
      <c r="Y43" s="6"/>
    </row>
    <row r="44" spans="1:25" ht="12.75" x14ac:dyDescent="0.2">
      <c r="A44" s="10"/>
      <c r="B44" s="1"/>
      <c r="D44" s="6"/>
      <c r="E44" s="9"/>
      <c r="F44" s="9"/>
      <c r="G44" s="11"/>
      <c r="H44" s="5"/>
      <c r="I44" s="6"/>
      <c r="K44" s="6"/>
      <c r="L44" s="6"/>
      <c r="M44" s="6"/>
      <c r="N44" s="6"/>
      <c r="O44" s="6"/>
      <c r="P44" s="6"/>
      <c r="Q44" s="6"/>
      <c r="R44" s="6"/>
      <c r="S44" s="6"/>
      <c r="T44" s="6"/>
      <c r="U44" s="6"/>
      <c r="V44" s="6"/>
      <c r="W44" s="6"/>
      <c r="X44" s="6"/>
      <c r="Y44" s="6"/>
    </row>
    <row r="45" spans="1:25" ht="12.75" x14ac:dyDescent="0.2">
      <c r="A45" s="10"/>
      <c r="B45" s="1"/>
      <c r="D45" s="6"/>
      <c r="E45" s="9"/>
      <c r="F45" s="9"/>
      <c r="G45" s="11"/>
      <c r="H45" s="5"/>
      <c r="I45" s="6"/>
      <c r="K45" s="6"/>
      <c r="L45" s="6"/>
      <c r="M45" s="6"/>
      <c r="N45" s="6"/>
      <c r="O45" s="6"/>
      <c r="P45" s="6"/>
      <c r="Q45" s="6"/>
      <c r="R45" s="6"/>
      <c r="S45" s="6"/>
      <c r="T45" s="6"/>
      <c r="U45" s="6"/>
      <c r="V45" s="6"/>
      <c r="W45" s="6"/>
      <c r="X45" s="6"/>
      <c r="Y45" s="6"/>
    </row>
    <row r="46" spans="1:25" ht="12.75" x14ac:dyDescent="0.2">
      <c r="A46" s="10"/>
      <c r="B46" s="1"/>
      <c r="D46" s="6"/>
      <c r="E46" s="9"/>
      <c r="F46" s="9"/>
      <c r="G46" s="11"/>
      <c r="H46" s="5"/>
      <c r="I46" s="6"/>
      <c r="K46" s="6"/>
      <c r="L46" s="6"/>
      <c r="M46" s="6"/>
      <c r="N46" s="6"/>
      <c r="O46" s="6"/>
      <c r="P46" s="6"/>
      <c r="Q46" s="6"/>
      <c r="R46" s="6"/>
      <c r="S46" s="6"/>
      <c r="T46" s="6"/>
      <c r="U46" s="6"/>
      <c r="V46" s="6"/>
      <c r="W46" s="6"/>
      <c r="X46" s="6"/>
      <c r="Y46" s="6"/>
    </row>
    <row r="47" spans="1:25" ht="12.75" x14ac:dyDescent="0.2">
      <c r="A47" s="10"/>
      <c r="B47" s="1"/>
      <c r="D47" s="6"/>
      <c r="E47" s="9"/>
      <c r="F47" s="9"/>
      <c r="G47" s="11"/>
      <c r="H47" s="5"/>
      <c r="I47" s="6"/>
      <c r="K47" s="6"/>
      <c r="L47" s="6"/>
      <c r="M47" s="6"/>
      <c r="N47" s="6"/>
      <c r="O47" s="6"/>
      <c r="P47" s="6"/>
      <c r="Q47" s="6"/>
      <c r="R47" s="6"/>
      <c r="S47" s="6"/>
      <c r="T47" s="6"/>
      <c r="U47" s="6"/>
      <c r="V47" s="6"/>
      <c r="W47" s="6"/>
      <c r="X47" s="6"/>
      <c r="Y47" s="6"/>
    </row>
    <row r="48" spans="1:25" ht="12.75" x14ac:dyDescent="0.2">
      <c r="A48" s="10"/>
      <c r="B48" s="1"/>
      <c r="D48" s="6"/>
      <c r="E48" s="9"/>
      <c r="F48" s="9"/>
      <c r="G48" s="11"/>
      <c r="H48" s="5"/>
      <c r="I48" s="6"/>
      <c r="K48" s="6"/>
      <c r="L48" s="6"/>
      <c r="M48" s="6"/>
      <c r="N48" s="6"/>
      <c r="O48" s="6"/>
      <c r="P48" s="6"/>
      <c r="Q48" s="6"/>
      <c r="R48" s="6"/>
      <c r="S48" s="6"/>
      <c r="T48" s="6"/>
      <c r="U48" s="6"/>
      <c r="V48" s="6"/>
      <c r="W48" s="6"/>
      <c r="X48" s="6"/>
      <c r="Y48" s="6"/>
    </row>
    <row r="49" spans="1:25" ht="12.75" x14ac:dyDescent="0.2">
      <c r="A49" s="10"/>
      <c r="B49" s="1"/>
      <c r="D49" s="6"/>
      <c r="E49" s="9"/>
      <c r="F49" s="9"/>
      <c r="G49" s="11"/>
      <c r="H49" s="5"/>
      <c r="I49" s="6"/>
      <c r="K49" s="6"/>
      <c r="L49" s="6"/>
      <c r="M49" s="6"/>
      <c r="N49" s="6"/>
      <c r="O49" s="6"/>
      <c r="P49" s="6"/>
      <c r="Q49" s="6"/>
      <c r="R49" s="6"/>
      <c r="S49" s="6"/>
      <c r="T49" s="6"/>
      <c r="U49" s="6"/>
      <c r="V49" s="6"/>
      <c r="W49" s="6"/>
      <c r="X49" s="6"/>
      <c r="Y49" s="6"/>
    </row>
    <row r="50" spans="1:25" ht="12.75" x14ac:dyDescent="0.2">
      <c r="A50" s="10"/>
      <c r="B50" s="1"/>
      <c r="D50" s="6"/>
      <c r="E50" s="9"/>
      <c r="F50" s="9"/>
      <c r="G50" s="11"/>
      <c r="H50" s="5"/>
      <c r="I50" s="6"/>
      <c r="K50" s="9"/>
      <c r="L50" s="9"/>
      <c r="M50" s="9"/>
      <c r="N50" s="6"/>
      <c r="O50" s="6"/>
      <c r="P50" s="6"/>
      <c r="Q50" s="6"/>
      <c r="R50" s="6"/>
      <c r="S50" s="5"/>
      <c r="T50" s="5"/>
      <c r="U50" s="5"/>
      <c r="V50" s="5"/>
      <c r="W50" s="9"/>
      <c r="X50" s="5"/>
      <c r="Y50" s="5"/>
    </row>
    <row r="51" spans="1:25" ht="12.75" x14ac:dyDescent="0.2">
      <c r="A51" s="10"/>
      <c r="B51" s="1"/>
      <c r="D51" s="6"/>
      <c r="E51" s="9"/>
      <c r="F51" s="9"/>
      <c r="G51" s="11"/>
      <c r="H51" s="5"/>
      <c r="I51" s="6"/>
      <c r="K51" s="6"/>
      <c r="L51" s="6"/>
      <c r="M51" s="6"/>
      <c r="N51" s="6"/>
      <c r="O51" s="6"/>
      <c r="P51" s="6"/>
      <c r="Q51" s="6"/>
      <c r="R51" s="6"/>
      <c r="S51" s="6"/>
      <c r="T51" s="6"/>
      <c r="U51" s="6"/>
      <c r="V51" s="6"/>
      <c r="W51" s="6"/>
      <c r="X51" s="6"/>
      <c r="Y51" s="6"/>
    </row>
    <row r="52" spans="1:25" ht="12.75" x14ac:dyDescent="0.2">
      <c r="A52" s="10"/>
      <c r="B52" s="1"/>
      <c r="D52" s="6"/>
      <c r="E52" s="9"/>
      <c r="F52" s="9"/>
      <c r="G52" s="11"/>
      <c r="H52" s="5"/>
      <c r="I52" s="6"/>
      <c r="K52" s="6"/>
      <c r="L52" s="6"/>
      <c r="M52" s="6"/>
      <c r="N52" s="6"/>
      <c r="O52" s="6"/>
      <c r="P52" s="6"/>
      <c r="Q52" s="6"/>
      <c r="R52" s="5"/>
      <c r="S52" s="6"/>
      <c r="T52" s="6"/>
      <c r="U52" s="6"/>
      <c r="V52" s="6"/>
      <c r="W52" s="6"/>
      <c r="X52" s="6"/>
      <c r="Y52" s="6"/>
    </row>
    <row r="53" spans="1:25" ht="12.75" x14ac:dyDescent="0.2">
      <c r="A53" s="10"/>
      <c r="B53" s="1"/>
      <c r="D53" s="6"/>
      <c r="E53" s="9"/>
      <c r="F53" s="9"/>
      <c r="G53" s="11"/>
      <c r="H53" s="5"/>
      <c r="I53" s="6"/>
      <c r="K53" s="6"/>
      <c r="L53" s="6"/>
      <c r="M53" s="6"/>
      <c r="N53" s="9"/>
      <c r="O53" s="9"/>
      <c r="P53" s="9"/>
      <c r="Q53" s="9"/>
      <c r="R53" s="6"/>
      <c r="S53" s="6"/>
      <c r="T53" s="6"/>
      <c r="U53" s="6"/>
      <c r="V53" s="6"/>
      <c r="W53" s="6"/>
      <c r="X53" s="6"/>
      <c r="Y53" s="6"/>
    </row>
    <row r="54" spans="1:25" ht="12.75" x14ac:dyDescent="0.2">
      <c r="A54" s="10"/>
      <c r="B54" s="1"/>
      <c r="D54" s="6"/>
      <c r="E54" s="9"/>
      <c r="F54" s="9"/>
      <c r="G54" s="11"/>
      <c r="H54" s="5"/>
      <c r="I54" s="6"/>
      <c r="K54" s="6"/>
      <c r="L54" s="6"/>
      <c r="M54" s="6"/>
      <c r="N54" s="6"/>
      <c r="O54" s="6"/>
      <c r="P54" s="6"/>
      <c r="Q54" s="6"/>
      <c r="R54" s="6"/>
      <c r="S54" s="6"/>
      <c r="T54" s="6"/>
      <c r="U54" s="6"/>
      <c r="V54" s="6"/>
      <c r="W54" s="6"/>
      <c r="X54" s="6"/>
      <c r="Y54" s="6"/>
    </row>
    <row r="55" spans="1:25" ht="12.75" x14ac:dyDescent="0.2">
      <c r="A55" s="10"/>
      <c r="B55" s="1"/>
      <c r="D55" s="6"/>
      <c r="E55" s="9"/>
      <c r="F55" s="9"/>
      <c r="G55" s="11"/>
      <c r="H55" s="5"/>
      <c r="I55" s="6"/>
      <c r="K55" s="6"/>
      <c r="L55" s="6"/>
      <c r="M55" s="6"/>
      <c r="N55" s="6"/>
      <c r="O55" s="6"/>
      <c r="P55" s="6"/>
      <c r="Q55" s="6"/>
      <c r="R55" s="6"/>
      <c r="S55" s="6"/>
      <c r="T55" s="6"/>
      <c r="U55" s="6"/>
      <c r="V55" s="6"/>
      <c r="W55" s="6"/>
      <c r="X55" s="6"/>
      <c r="Y55" s="6"/>
    </row>
    <row r="56" spans="1:25" ht="12.75" x14ac:dyDescent="0.2">
      <c r="A56" s="10"/>
      <c r="B56" s="1"/>
      <c r="D56" s="6"/>
      <c r="E56" s="9"/>
      <c r="F56" s="9"/>
      <c r="G56" s="11"/>
      <c r="H56" s="5"/>
      <c r="I56" s="6"/>
      <c r="K56" s="6"/>
      <c r="L56" s="6"/>
      <c r="M56" s="6"/>
      <c r="N56" s="6"/>
      <c r="O56" s="6"/>
      <c r="P56" s="6"/>
      <c r="Q56" s="6"/>
      <c r="R56" s="6"/>
      <c r="S56" s="6"/>
      <c r="T56" s="6"/>
      <c r="U56" s="6"/>
      <c r="V56" s="6"/>
      <c r="W56" s="6"/>
      <c r="X56" s="6"/>
      <c r="Y56" s="6"/>
    </row>
    <row r="57" spans="1:25" ht="12.75" x14ac:dyDescent="0.2">
      <c r="A57" s="10"/>
      <c r="B57" s="6"/>
      <c r="C57" s="6"/>
      <c r="D57" s="6"/>
      <c r="E57" s="9"/>
      <c r="F57" s="9"/>
      <c r="G57" s="11"/>
      <c r="H57" s="5"/>
      <c r="I57" s="6"/>
      <c r="J57" s="6"/>
      <c r="K57" s="6"/>
      <c r="L57" s="6"/>
      <c r="M57" s="6"/>
      <c r="N57" s="6"/>
      <c r="O57" s="6"/>
      <c r="P57" s="6"/>
      <c r="Q57" s="6"/>
      <c r="R57" s="6"/>
      <c r="S57" s="6"/>
      <c r="T57" s="6"/>
      <c r="U57" s="6"/>
      <c r="V57" s="6"/>
      <c r="W57" s="6"/>
      <c r="X57" s="6"/>
      <c r="Y57" s="6"/>
    </row>
    <row r="58" spans="1:25" ht="12.75" x14ac:dyDescent="0.2">
      <c r="A58" s="10"/>
      <c r="B58" s="6"/>
      <c r="C58" s="6"/>
      <c r="D58" s="6"/>
      <c r="E58" s="9"/>
      <c r="F58" s="9"/>
      <c r="G58" s="11"/>
      <c r="H58" s="5"/>
      <c r="I58" s="6"/>
      <c r="J58" s="6"/>
      <c r="K58" s="6"/>
      <c r="L58" s="6"/>
      <c r="M58" s="6"/>
      <c r="N58" s="6"/>
      <c r="O58" s="6"/>
      <c r="P58" s="6"/>
      <c r="Q58" s="6"/>
      <c r="R58" s="6"/>
      <c r="S58" s="6"/>
      <c r="T58" s="6"/>
      <c r="U58" s="6"/>
      <c r="V58" s="6"/>
      <c r="W58" s="6"/>
      <c r="X58" s="6"/>
      <c r="Y58" s="6"/>
    </row>
    <row r="59" spans="1:25" ht="12.75" x14ac:dyDescent="0.2">
      <c r="A59" s="10"/>
      <c r="B59" s="6"/>
      <c r="C59" s="6"/>
      <c r="D59" s="6"/>
      <c r="E59" s="9"/>
      <c r="F59" s="9"/>
      <c r="G59" s="11"/>
      <c r="H59" s="5"/>
      <c r="I59" s="6"/>
      <c r="J59" s="6"/>
      <c r="K59" s="6"/>
      <c r="L59" s="6"/>
      <c r="M59" s="6"/>
      <c r="N59" s="6"/>
      <c r="O59" s="6"/>
      <c r="P59" s="6"/>
      <c r="Q59" s="6"/>
      <c r="R59" s="6"/>
      <c r="S59" s="6"/>
      <c r="T59" s="6"/>
      <c r="U59" s="6"/>
      <c r="V59" s="6"/>
      <c r="W59" s="6"/>
      <c r="X59" s="6"/>
      <c r="Y59" s="6"/>
    </row>
    <row r="60" spans="1:25" ht="12.75" x14ac:dyDescent="0.2">
      <c r="A60" s="10"/>
      <c r="B60" s="6"/>
      <c r="C60" s="6"/>
      <c r="D60" s="6"/>
      <c r="E60" s="9"/>
      <c r="F60" s="9"/>
      <c r="G60" s="11"/>
      <c r="H60" s="5"/>
      <c r="I60" s="6"/>
      <c r="J60" s="6"/>
      <c r="K60" s="6"/>
      <c r="L60" s="6"/>
      <c r="M60" s="6"/>
      <c r="N60" s="6"/>
      <c r="O60" s="6"/>
      <c r="P60" s="6"/>
      <c r="Q60" s="6"/>
      <c r="R60" s="6"/>
      <c r="S60" s="6"/>
      <c r="T60" s="6"/>
      <c r="U60" s="6"/>
      <c r="V60" s="6"/>
      <c r="W60" s="6"/>
      <c r="X60" s="6"/>
      <c r="Y60" s="6"/>
    </row>
    <row r="61" spans="1:25" ht="12.75" x14ac:dyDescent="0.2">
      <c r="A61" s="10"/>
      <c r="B61" s="6"/>
      <c r="C61" s="6"/>
      <c r="D61" s="6"/>
      <c r="E61" s="9"/>
      <c r="F61" s="9"/>
      <c r="G61" s="11"/>
      <c r="H61" s="5"/>
      <c r="I61" s="6"/>
      <c r="J61" s="6"/>
      <c r="K61" s="6"/>
      <c r="L61" s="6"/>
      <c r="M61" s="6"/>
      <c r="N61" s="6"/>
      <c r="O61" s="6"/>
      <c r="P61" s="6"/>
      <c r="Q61" s="6"/>
      <c r="R61" s="6"/>
      <c r="S61" s="6"/>
      <c r="T61" s="6"/>
      <c r="U61" s="6"/>
      <c r="V61" s="6"/>
      <c r="W61" s="6"/>
      <c r="X61" s="6"/>
      <c r="Y61" s="6"/>
    </row>
    <row r="62" spans="1:25" ht="12.75" x14ac:dyDescent="0.2">
      <c r="A62" s="10"/>
      <c r="B62" s="6"/>
      <c r="C62" s="6"/>
      <c r="D62" s="6"/>
      <c r="E62" s="9"/>
      <c r="F62" s="9"/>
      <c r="G62" s="11"/>
      <c r="H62" s="5"/>
      <c r="I62" s="6"/>
      <c r="J62" s="6"/>
      <c r="K62" s="6"/>
      <c r="L62" s="6"/>
      <c r="M62" s="6"/>
      <c r="N62" s="6"/>
      <c r="O62" s="6"/>
      <c r="P62" s="6"/>
      <c r="Q62" s="6"/>
      <c r="R62" s="6"/>
      <c r="S62" s="6"/>
      <c r="T62" s="6"/>
      <c r="U62" s="6"/>
      <c r="V62" s="6"/>
      <c r="W62" s="6"/>
      <c r="X62" s="6"/>
      <c r="Y62" s="6"/>
    </row>
    <row r="63" spans="1:25" ht="12.75" x14ac:dyDescent="0.2">
      <c r="A63" s="10"/>
      <c r="B63" s="6"/>
      <c r="C63" s="6"/>
      <c r="D63" s="6"/>
      <c r="E63" s="9"/>
      <c r="F63" s="9"/>
      <c r="G63" s="11"/>
      <c r="H63" s="5"/>
      <c r="I63" s="6"/>
      <c r="J63" s="6"/>
      <c r="K63" s="6"/>
      <c r="L63" s="6"/>
      <c r="M63" s="6"/>
      <c r="N63" s="6"/>
      <c r="O63" s="6"/>
      <c r="P63" s="6"/>
      <c r="Q63" s="6"/>
      <c r="R63" s="6"/>
      <c r="S63" s="6"/>
      <c r="T63" s="6"/>
      <c r="U63" s="6"/>
      <c r="V63" s="6"/>
      <c r="W63" s="6"/>
      <c r="X63" s="6"/>
      <c r="Y63" s="6"/>
    </row>
    <row r="64" spans="1:25" ht="12.75" x14ac:dyDescent="0.2">
      <c r="A64" s="10"/>
      <c r="B64" s="6"/>
      <c r="C64" s="6"/>
      <c r="D64" s="6"/>
      <c r="E64" s="9"/>
      <c r="F64" s="9"/>
      <c r="G64" s="11"/>
      <c r="H64" s="5"/>
      <c r="I64" s="6"/>
      <c r="J64" s="6"/>
      <c r="K64" s="6"/>
      <c r="L64" s="6"/>
      <c r="M64" s="6"/>
      <c r="N64" s="6"/>
      <c r="O64" s="6"/>
      <c r="P64" s="6"/>
      <c r="Q64" s="6"/>
      <c r="R64" s="6"/>
      <c r="S64" s="6"/>
      <c r="T64" s="6"/>
      <c r="U64" s="6"/>
      <c r="V64" s="6"/>
      <c r="W64" s="6"/>
      <c r="X64" s="6"/>
      <c r="Y64" s="6"/>
    </row>
    <row r="65" spans="1:25" ht="12.75" x14ac:dyDescent="0.2">
      <c r="A65" s="10"/>
      <c r="B65" s="6"/>
      <c r="C65" s="6"/>
      <c r="D65" s="6"/>
      <c r="E65" s="9"/>
      <c r="F65" s="9"/>
      <c r="G65" s="11"/>
      <c r="H65" s="5"/>
      <c r="I65" s="6"/>
      <c r="J65" s="6"/>
      <c r="K65" s="6"/>
      <c r="L65" s="6"/>
      <c r="M65" s="6"/>
      <c r="N65" s="6"/>
      <c r="O65" s="6"/>
      <c r="P65" s="6"/>
      <c r="Q65" s="6"/>
      <c r="R65" s="6"/>
      <c r="S65" s="6"/>
      <c r="T65" s="6"/>
      <c r="U65" s="6"/>
      <c r="V65" s="6"/>
      <c r="W65" s="6"/>
      <c r="X65" s="6"/>
      <c r="Y65" s="6"/>
    </row>
    <row r="66" spans="1:25" ht="12.75" x14ac:dyDescent="0.2">
      <c r="A66" s="10"/>
      <c r="B66" s="6"/>
      <c r="C66" s="6"/>
      <c r="D66" s="6"/>
      <c r="E66" s="9"/>
      <c r="F66" s="9"/>
      <c r="G66" s="11"/>
      <c r="H66" s="5"/>
      <c r="I66" s="6"/>
      <c r="J66" s="6"/>
      <c r="K66" s="6"/>
      <c r="L66" s="6"/>
      <c r="M66" s="6"/>
      <c r="N66" s="6"/>
      <c r="O66" s="6"/>
      <c r="P66" s="6"/>
      <c r="Q66" s="6"/>
      <c r="R66" s="6"/>
      <c r="S66" s="6"/>
      <c r="T66" s="6"/>
      <c r="U66" s="6"/>
      <c r="V66" s="6"/>
      <c r="W66" s="6"/>
      <c r="X66" s="6"/>
      <c r="Y66" s="6"/>
    </row>
    <row r="67" spans="1:25" ht="12.75" x14ac:dyDescent="0.2">
      <c r="A67" s="10"/>
      <c r="B67" s="6"/>
      <c r="C67" s="6"/>
      <c r="D67" s="6"/>
      <c r="E67" s="9"/>
      <c r="F67" s="9"/>
      <c r="G67" s="11"/>
      <c r="H67" s="5"/>
      <c r="I67" s="6"/>
      <c r="J67" s="6"/>
      <c r="K67" s="6"/>
      <c r="L67" s="6"/>
      <c r="M67" s="6"/>
      <c r="N67" s="6"/>
      <c r="O67" s="6"/>
      <c r="P67" s="6"/>
      <c r="Q67" s="6"/>
      <c r="R67" s="6"/>
      <c r="S67" s="6"/>
      <c r="T67" s="6"/>
      <c r="U67" s="6"/>
      <c r="V67" s="6"/>
      <c r="W67" s="6"/>
      <c r="X67" s="6"/>
      <c r="Y67" s="6"/>
    </row>
    <row r="68" spans="1:25" ht="12.75" x14ac:dyDescent="0.2">
      <c r="A68" s="10"/>
      <c r="B68" s="6"/>
      <c r="C68" s="6"/>
      <c r="D68" s="6"/>
      <c r="E68" s="9"/>
      <c r="F68" s="9"/>
      <c r="G68" s="11"/>
      <c r="H68" s="5"/>
      <c r="I68" s="6"/>
      <c r="J68" s="6"/>
      <c r="K68" s="9"/>
      <c r="L68" s="9"/>
      <c r="M68" s="9"/>
      <c r="N68" s="6"/>
      <c r="O68" s="6"/>
      <c r="P68" s="6"/>
      <c r="Q68" s="6"/>
      <c r="R68" s="6"/>
      <c r="S68" s="5"/>
      <c r="T68" s="5"/>
      <c r="U68" s="5"/>
      <c r="V68" s="5"/>
      <c r="W68" s="9"/>
      <c r="X68" s="5"/>
      <c r="Y68" s="5"/>
    </row>
    <row r="69" spans="1:25" ht="12.75" x14ac:dyDescent="0.2">
      <c r="A69" s="10"/>
      <c r="B69" s="6"/>
      <c r="C69" s="6"/>
      <c r="D69" s="6"/>
      <c r="E69" s="9"/>
      <c r="F69" s="9"/>
      <c r="G69" s="11"/>
      <c r="H69" s="5"/>
      <c r="I69" s="6"/>
      <c r="J69" s="6"/>
      <c r="K69" s="6"/>
      <c r="L69" s="6"/>
      <c r="M69" s="6"/>
      <c r="N69" s="6"/>
      <c r="O69" s="6"/>
      <c r="P69" s="6"/>
      <c r="Q69" s="6"/>
      <c r="R69" s="6"/>
      <c r="S69" s="6"/>
      <c r="T69" s="6"/>
      <c r="U69" s="6"/>
      <c r="V69" s="6"/>
      <c r="W69" s="6"/>
      <c r="X69" s="6"/>
      <c r="Y69" s="6"/>
    </row>
    <row r="70" spans="1:25" ht="12.75" x14ac:dyDescent="0.2">
      <c r="A70" s="10"/>
      <c r="B70" s="6"/>
      <c r="C70" s="6"/>
      <c r="D70" s="6"/>
      <c r="E70" s="9"/>
      <c r="F70" s="9"/>
      <c r="G70" s="11"/>
      <c r="H70" s="5"/>
      <c r="I70" s="6"/>
      <c r="J70" s="6"/>
      <c r="K70" s="6"/>
      <c r="L70" s="6"/>
      <c r="M70" s="6"/>
      <c r="N70" s="6"/>
      <c r="O70" s="6"/>
      <c r="P70" s="6"/>
      <c r="Q70" s="6"/>
      <c r="R70" s="5"/>
      <c r="S70" s="6"/>
      <c r="T70" s="6"/>
      <c r="U70" s="6"/>
      <c r="V70" s="6"/>
      <c r="W70" s="6"/>
      <c r="X70" s="6"/>
      <c r="Y70" s="6"/>
    </row>
    <row r="71" spans="1:25" ht="12.75" x14ac:dyDescent="0.2">
      <c r="A71" s="10"/>
      <c r="B71" s="6"/>
      <c r="C71" s="6"/>
      <c r="D71" s="6"/>
      <c r="E71" s="9"/>
      <c r="F71" s="9"/>
      <c r="G71" s="11"/>
      <c r="H71" s="5"/>
      <c r="I71" s="6"/>
      <c r="J71" s="6"/>
      <c r="K71" s="6"/>
      <c r="L71" s="6"/>
      <c r="M71" s="6"/>
      <c r="N71" s="9"/>
      <c r="O71" s="9"/>
      <c r="P71" s="9"/>
      <c r="Q71" s="9"/>
      <c r="R71" s="6"/>
      <c r="S71" s="6"/>
      <c r="T71" s="6"/>
      <c r="U71" s="6"/>
      <c r="V71" s="6"/>
      <c r="W71" s="6"/>
      <c r="X71" s="6"/>
      <c r="Y71" s="6"/>
    </row>
    <row r="72" spans="1:25" ht="12.75" x14ac:dyDescent="0.2">
      <c r="A72" s="10"/>
      <c r="B72" s="6"/>
      <c r="C72" s="6"/>
      <c r="D72" s="6"/>
      <c r="E72" s="9"/>
      <c r="F72" s="9"/>
      <c r="G72" s="11"/>
      <c r="H72" s="5"/>
      <c r="I72" s="6"/>
      <c r="J72" s="6"/>
      <c r="K72" s="6"/>
      <c r="L72" s="6"/>
      <c r="M72" s="6"/>
      <c r="N72" s="6"/>
      <c r="O72" s="6"/>
      <c r="P72" s="6"/>
      <c r="Q72" s="6"/>
      <c r="R72" s="6"/>
      <c r="S72" s="6"/>
      <c r="T72" s="6"/>
      <c r="U72" s="6"/>
      <c r="V72" s="6"/>
      <c r="W72" s="6"/>
      <c r="X72" s="6"/>
      <c r="Y72" s="6"/>
    </row>
    <row r="73" spans="1:25" ht="12.75" x14ac:dyDescent="0.2">
      <c r="A73" s="10"/>
      <c r="B73" s="6"/>
      <c r="C73" s="6"/>
      <c r="D73" s="6"/>
      <c r="E73" s="9"/>
      <c r="F73" s="9"/>
      <c r="G73" s="11"/>
      <c r="H73" s="5"/>
      <c r="I73" s="6"/>
      <c r="J73" s="6"/>
      <c r="K73" s="6"/>
      <c r="L73" s="6"/>
      <c r="M73" s="6"/>
      <c r="N73" s="6"/>
      <c r="O73" s="6"/>
      <c r="P73" s="6"/>
      <c r="Q73" s="6"/>
      <c r="R73" s="6"/>
      <c r="S73" s="6"/>
      <c r="T73" s="6"/>
      <c r="U73" s="6"/>
      <c r="V73" s="6"/>
      <c r="W73" s="6"/>
      <c r="X73" s="6"/>
      <c r="Y73" s="6"/>
    </row>
    <row r="74" spans="1:25" ht="12.75" x14ac:dyDescent="0.2">
      <c r="B74" s="6"/>
      <c r="C74" s="6"/>
      <c r="D74" s="6"/>
      <c r="E74" s="9"/>
      <c r="F74" s="9"/>
      <c r="G74" s="11"/>
      <c r="H74" s="5"/>
      <c r="I74" s="6"/>
      <c r="J74" s="6"/>
      <c r="K74" s="6"/>
      <c r="L74" s="6"/>
      <c r="M74" s="6"/>
      <c r="N74" s="6"/>
      <c r="O74" s="6"/>
      <c r="P74" s="6"/>
      <c r="Q74" s="6"/>
      <c r="R74" s="6"/>
      <c r="S74" s="6"/>
      <c r="T74" s="6"/>
      <c r="U74" s="6"/>
      <c r="V74" s="6"/>
      <c r="W74" s="6"/>
      <c r="X74" s="6"/>
      <c r="Y74" s="6"/>
    </row>
    <row r="75" spans="1:25" ht="12.75" x14ac:dyDescent="0.2">
      <c r="B75" s="6"/>
      <c r="C75" s="6"/>
      <c r="D75" s="6"/>
      <c r="E75" s="9"/>
      <c r="F75" s="9"/>
      <c r="G75" s="11"/>
      <c r="H75" s="5"/>
      <c r="K75" s="6"/>
      <c r="L75" s="6"/>
      <c r="M75" s="6"/>
      <c r="N75" s="6"/>
      <c r="O75" s="6"/>
      <c r="P75" s="6"/>
      <c r="Q75" s="6"/>
      <c r="R75" s="6"/>
      <c r="S75" s="6"/>
      <c r="T75" s="6"/>
      <c r="U75" s="6"/>
      <c r="V75" s="6"/>
      <c r="W75" s="6"/>
      <c r="X75" s="6"/>
      <c r="Y75" s="6"/>
    </row>
    <row r="76" spans="1:25" ht="12.75" x14ac:dyDescent="0.2">
      <c r="A76" s="10"/>
      <c r="B76" s="6"/>
      <c r="C76" s="6"/>
      <c r="D76" s="6"/>
      <c r="E76" s="9"/>
      <c r="F76" s="9"/>
      <c r="G76" s="11"/>
      <c r="H76" s="5"/>
      <c r="I76" s="6"/>
      <c r="J76" s="6"/>
      <c r="K76" s="6"/>
      <c r="L76" s="6"/>
      <c r="M76" s="6"/>
      <c r="N76" s="6"/>
      <c r="O76" s="6"/>
      <c r="P76" s="6"/>
      <c r="Q76" s="6"/>
      <c r="R76" s="6"/>
      <c r="S76" s="6"/>
      <c r="T76" s="6"/>
      <c r="U76" s="6"/>
      <c r="V76" s="6"/>
      <c r="W76" s="6"/>
      <c r="X76" s="6"/>
      <c r="Y76" s="6"/>
    </row>
    <row r="77" spans="1:25" ht="12.75" x14ac:dyDescent="0.2">
      <c r="A77" s="10"/>
      <c r="B77" s="6"/>
      <c r="C77" s="6"/>
      <c r="D77" s="6"/>
      <c r="E77" s="9"/>
      <c r="F77" s="9"/>
      <c r="G77" s="11"/>
      <c r="H77" s="5"/>
      <c r="I77" s="6"/>
      <c r="J77" s="6"/>
      <c r="K77" s="6"/>
      <c r="L77" s="6"/>
      <c r="M77" s="6"/>
      <c r="N77" s="6"/>
      <c r="O77" s="6"/>
      <c r="P77" s="6"/>
      <c r="Q77" s="6"/>
      <c r="R77" s="6"/>
      <c r="S77" s="6"/>
      <c r="T77" s="6"/>
      <c r="U77" s="6"/>
      <c r="V77" s="6"/>
      <c r="W77" s="6"/>
      <c r="X77" s="6"/>
      <c r="Y77" s="6"/>
    </row>
    <row r="78" spans="1:25" ht="12.75" x14ac:dyDescent="0.2">
      <c r="A78" s="10"/>
      <c r="B78" s="6"/>
      <c r="C78" s="6"/>
      <c r="D78" s="6"/>
      <c r="E78" s="9"/>
      <c r="F78" s="9"/>
      <c r="G78" s="11"/>
      <c r="H78" s="5"/>
      <c r="I78" s="6"/>
      <c r="J78" s="6"/>
      <c r="K78" s="6"/>
      <c r="L78" s="6"/>
      <c r="M78" s="6"/>
      <c r="N78" s="6"/>
      <c r="O78" s="6"/>
      <c r="P78" s="6"/>
      <c r="Q78" s="6"/>
      <c r="R78" s="6"/>
      <c r="S78" s="6"/>
      <c r="T78" s="6"/>
      <c r="U78" s="6"/>
      <c r="V78" s="6"/>
      <c r="W78" s="6"/>
      <c r="X78" s="6"/>
      <c r="Y78" s="6"/>
    </row>
    <row r="79" spans="1:25" ht="12.75" x14ac:dyDescent="0.2">
      <c r="A79" s="10"/>
      <c r="B79" s="6"/>
      <c r="C79" s="6"/>
      <c r="D79" s="6"/>
      <c r="E79" s="9"/>
      <c r="F79" s="9"/>
      <c r="G79" s="11"/>
      <c r="H79" s="5"/>
      <c r="I79" s="6"/>
      <c r="J79" s="6"/>
      <c r="K79" s="6"/>
      <c r="L79" s="6"/>
      <c r="M79" s="6"/>
      <c r="N79" s="6"/>
      <c r="O79" s="6"/>
      <c r="P79" s="6"/>
      <c r="Q79" s="6"/>
      <c r="R79" s="6"/>
      <c r="S79" s="6"/>
      <c r="T79" s="6"/>
      <c r="U79" s="6"/>
      <c r="V79" s="6"/>
      <c r="W79" s="6"/>
      <c r="X79" s="6"/>
      <c r="Y79" s="6"/>
    </row>
    <row r="80" spans="1:25" ht="12.75" x14ac:dyDescent="0.2">
      <c r="A80" s="10"/>
      <c r="B80" s="6"/>
      <c r="C80" s="6"/>
      <c r="D80" s="6"/>
      <c r="E80" s="9"/>
      <c r="F80" s="9"/>
      <c r="G80" s="11"/>
      <c r="H80" s="5"/>
      <c r="I80" s="6"/>
      <c r="J80" s="6"/>
      <c r="K80" s="6"/>
      <c r="L80" s="6"/>
      <c r="M80" s="6"/>
      <c r="N80" s="6"/>
      <c r="O80" s="6"/>
      <c r="P80" s="6"/>
      <c r="Q80" s="6"/>
      <c r="R80" s="6"/>
      <c r="S80" s="6"/>
      <c r="T80" s="6"/>
      <c r="U80" s="6"/>
      <c r="V80" s="6"/>
      <c r="W80" s="6"/>
      <c r="X80" s="6"/>
      <c r="Y80" s="6"/>
    </row>
    <row r="81" spans="1:25" ht="12.75" x14ac:dyDescent="0.2">
      <c r="A81" s="10"/>
      <c r="B81" s="6"/>
      <c r="C81" s="6"/>
      <c r="D81" s="6"/>
      <c r="E81" s="9"/>
      <c r="F81" s="9"/>
      <c r="G81" s="11"/>
      <c r="H81" s="5"/>
      <c r="I81" s="6"/>
      <c r="J81" s="6"/>
      <c r="K81" s="6"/>
      <c r="L81" s="6"/>
      <c r="M81" s="6"/>
      <c r="N81" s="6"/>
      <c r="O81" s="6"/>
      <c r="P81" s="6"/>
      <c r="Q81" s="6"/>
      <c r="R81" s="6"/>
      <c r="S81" s="6"/>
      <c r="T81" s="6"/>
      <c r="U81" s="6"/>
      <c r="V81" s="6"/>
      <c r="W81" s="6"/>
      <c r="X81" s="6"/>
      <c r="Y81" s="6"/>
    </row>
    <row r="82" spans="1:25" ht="12.75" x14ac:dyDescent="0.2">
      <c r="A82" s="10"/>
      <c r="B82" s="6"/>
      <c r="C82" s="6"/>
      <c r="D82" s="6"/>
      <c r="E82" s="9"/>
      <c r="F82" s="9"/>
      <c r="G82" s="11"/>
      <c r="H82" s="5"/>
      <c r="I82" s="6"/>
      <c r="J82" s="6"/>
      <c r="K82" s="6"/>
      <c r="L82" s="6"/>
      <c r="M82" s="6"/>
      <c r="N82" s="6"/>
      <c r="O82" s="6"/>
      <c r="P82" s="6"/>
      <c r="Q82" s="6"/>
      <c r="R82" s="6"/>
      <c r="S82" s="6"/>
      <c r="T82" s="6"/>
      <c r="U82" s="6"/>
      <c r="V82" s="6"/>
      <c r="W82" s="6"/>
      <c r="X82" s="6"/>
      <c r="Y82" s="6"/>
    </row>
    <row r="83" spans="1:25" ht="12.75" x14ac:dyDescent="0.2">
      <c r="A83" s="10"/>
      <c r="B83" s="6"/>
      <c r="C83" s="6"/>
      <c r="D83" s="6"/>
      <c r="E83" s="9"/>
      <c r="F83" s="9"/>
      <c r="G83" s="11"/>
      <c r="H83" s="5"/>
      <c r="I83" s="6"/>
      <c r="J83" s="6"/>
      <c r="K83" s="6"/>
      <c r="L83" s="6"/>
      <c r="M83" s="6"/>
      <c r="N83" s="6"/>
      <c r="O83" s="6"/>
      <c r="P83" s="6"/>
      <c r="Q83" s="6"/>
      <c r="R83" s="6"/>
      <c r="S83" s="6"/>
      <c r="T83" s="6"/>
      <c r="U83" s="6"/>
      <c r="V83" s="6"/>
      <c r="W83" s="6"/>
      <c r="X83" s="6"/>
      <c r="Y83" s="6"/>
    </row>
    <row r="84" spans="1:25" ht="12.75" x14ac:dyDescent="0.2">
      <c r="A84" s="10"/>
      <c r="B84" s="6"/>
      <c r="C84" s="6"/>
      <c r="D84" s="6"/>
      <c r="E84" s="9"/>
      <c r="F84" s="9"/>
      <c r="G84" s="11"/>
      <c r="H84" s="5"/>
      <c r="I84" s="6"/>
      <c r="J84" s="6"/>
      <c r="K84" s="6"/>
      <c r="L84" s="6"/>
      <c r="M84" s="6"/>
      <c r="N84" s="6"/>
      <c r="O84" s="6"/>
      <c r="P84" s="6"/>
      <c r="Q84" s="6"/>
      <c r="R84" s="6"/>
      <c r="S84" s="6"/>
      <c r="T84" s="6"/>
      <c r="U84" s="6"/>
      <c r="V84" s="6"/>
      <c r="W84" s="6"/>
      <c r="X84" s="6"/>
      <c r="Y84" s="6"/>
    </row>
    <row r="85" spans="1:25" ht="12.75" x14ac:dyDescent="0.2">
      <c r="A85" s="10"/>
      <c r="B85" s="6"/>
      <c r="C85" s="6"/>
      <c r="D85" s="6"/>
      <c r="E85" s="9"/>
      <c r="F85" s="9"/>
      <c r="G85" s="11"/>
      <c r="H85" s="5"/>
      <c r="I85" s="6"/>
      <c r="J85" s="6"/>
      <c r="K85" s="9"/>
      <c r="L85" s="9"/>
      <c r="M85" s="9"/>
      <c r="N85" s="6"/>
      <c r="O85" s="6"/>
      <c r="P85" s="6"/>
      <c r="Q85" s="6"/>
      <c r="R85" s="6"/>
      <c r="S85" s="5"/>
      <c r="T85" s="5"/>
      <c r="U85" s="5"/>
      <c r="V85" s="5"/>
      <c r="W85" s="9"/>
      <c r="X85" s="5"/>
      <c r="Y85" s="5"/>
    </row>
    <row r="86" spans="1:25" ht="12.75" x14ac:dyDescent="0.2">
      <c r="A86" s="10"/>
      <c r="B86" s="6"/>
      <c r="C86" s="6"/>
      <c r="D86" s="6"/>
      <c r="E86" s="9"/>
      <c r="F86" s="9"/>
      <c r="G86" s="11"/>
      <c r="H86" s="5"/>
      <c r="I86" s="6"/>
      <c r="J86" s="6"/>
      <c r="K86" s="6"/>
      <c r="L86" s="6"/>
      <c r="M86" s="6"/>
      <c r="N86" s="6"/>
      <c r="O86" s="6"/>
      <c r="P86" s="6"/>
      <c r="Q86" s="6"/>
      <c r="R86" s="6"/>
      <c r="S86" s="6"/>
      <c r="T86" s="6"/>
      <c r="U86" s="6"/>
      <c r="V86" s="6"/>
      <c r="W86" s="6"/>
      <c r="X86" s="6"/>
      <c r="Y86" s="6"/>
    </row>
    <row r="87" spans="1:25" ht="12.75" x14ac:dyDescent="0.2">
      <c r="A87" s="10"/>
      <c r="B87" s="6"/>
      <c r="C87" s="6"/>
      <c r="D87" s="6"/>
      <c r="E87" s="9"/>
      <c r="F87" s="9"/>
      <c r="G87" s="11"/>
      <c r="H87" s="5"/>
      <c r="I87" s="6"/>
      <c r="J87" s="6"/>
      <c r="K87" s="6"/>
      <c r="L87" s="6"/>
      <c r="M87" s="6"/>
      <c r="N87" s="6"/>
      <c r="O87" s="6"/>
      <c r="P87" s="6"/>
      <c r="Q87" s="6"/>
      <c r="R87" s="5"/>
      <c r="S87" s="6"/>
      <c r="T87" s="6"/>
      <c r="U87" s="6"/>
      <c r="V87" s="6"/>
      <c r="W87" s="6"/>
      <c r="X87" s="6"/>
      <c r="Y87" s="6"/>
    </row>
    <row r="88" spans="1:25" ht="12.75" x14ac:dyDescent="0.2">
      <c r="A88" s="10"/>
      <c r="B88" s="6"/>
      <c r="C88" s="6"/>
      <c r="D88" s="6"/>
      <c r="E88" s="9"/>
      <c r="F88" s="9"/>
      <c r="G88" s="11"/>
      <c r="H88" s="5"/>
      <c r="I88" s="6"/>
      <c r="J88" s="6"/>
      <c r="K88" s="6"/>
      <c r="L88" s="6"/>
      <c r="M88" s="6"/>
      <c r="N88" s="9"/>
      <c r="O88" s="9"/>
      <c r="P88" s="9"/>
      <c r="Q88" s="9"/>
      <c r="R88" s="6"/>
      <c r="S88" s="6"/>
      <c r="T88" s="6"/>
      <c r="U88" s="6"/>
      <c r="V88" s="6"/>
      <c r="W88" s="6"/>
      <c r="X88" s="6"/>
      <c r="Y88" s="6"/>
    </row>
    <row r="89" spans="1:25" ht="12.75" x14ac:dyDescent="0.2">
      <c r="A89" s="10"/>
      <c r="B89" s="6"/>
      <c r="C89" s="6"/>
      <c r="D89" s="6"/>
      <c r="E89" s="9"/>
      <c r="F89" s="9"/>
      <c r="G89" s="11"/>
      <c r="H89" s="5"/>
      <c r="I89" s="6"/>
      <c r="J89" s="6"/>
      <c r="K89" s="6"/>
      <c r="L89" s="6"/>
      <c r="M89" s="6"/>
      <c r="N89" s="6"/>
      <c r="O89" s="6"/>
      <c r="P89" s="6"/>
      <c r="Q89" s="6"/>
      <c r="R89" s="6"/>
      <c r="S89" s="6"/>
      <c r="T89" s="6"/>
      <c r="U89" s="6"/>
      <c r="V89" s="6"/>
      <c r="W89" s="6"/>
      <c r="X89" s="6"/>
      <c r="Y89" s="6"/>
    </row>
    <row r="90" spans="1:25" ht="12.75" x14ac:dyDescent="0.2">
      <c r="A90" s="10"/>
      <c r="B90" s="6"/>
      <c r="C90" s="6"/>
      <c r="D90" s="6"/>
      <c r="E90" s="9"/>
      <c r="F90" s="9"/>
      <c r="G90" s="11"/>
      <c r="H90" s="5"/>
      <c r="I90" s="6"/>
      <c r="J90" s="6"/>
      <c r="K90" s="6"/>
      <c r="L90" s="6"/>
      <c r="M90" s="6"/>
      <c r="N90" s="6"/>
      <c r="O90" s="6"/>
      <c r="P90" s="6"/>
      <c r="Q90" s="6"/>
      <c r="R90" s="6"/>
      <c r="S90" s="6"/>
      <c r="T90" s="6"/>
      <c r="U90" s="6"/>
      <c r="V90" s="6"/>
      <c r="W90" s="6"/>
      <c r="X90" s="6"/>
      <c r="Y90" s="6"/>
    </row>
    <row r="91" spans="1:25" ht="12.75" x14ac:dyDescent="0.2">
      <c r="B91" s="6"/>
      <c r="C91" s="6"/>
      <c r="D91" s="6"/>
      <c r="E91" s="9"/>
      <c r="F91" s="9"/>
      <c r="G91" s="11"/>
      <c r="H91" s="5"/>
      <c r="I91" s="6"/>
      <c r="J91" s="6"/>
      <c r="K91" s="6"/>
      <c r="L91" s="6"/>
      <c r="M91" s="6"/>
      <c r="N91" s="6"/>
      <c r="O91" s="6"/>
      <c r="P91" s="6"/>
      <c r="Q91" s="6"/>
      <c r="R91" s="6"/>
      <c r="S91" s="6"/>
      <c r="T91" s="6"/>
      <c r="U91" s="6"/>
      <c r="V91" s="6"/>
      <c r="W91" s="6"/>
      <c r="X91" s="6"/>
      <c r="Y91" s="6"/>
    </row>
    <row r="92" spans="1:25" ht="12.75" x14ac:dyDescent="0.2">
      <c r="A92" s="10"/>
      <c r="B92" s="6"/>
      <c r="C92" s="6"/>
      <c r="D92" s="6"/>
      <c r="E92" s="9"/>
      <c r="F92" s="9"/>
      <c r="G92" s="11"/>
      <c r="H92" s="5"/>
      <c r="I92" s="6"/>
      <c r="J92" s="6"/>
      <c r="K92" s="6"/>
      <c r="L92" s="6"/>
      <c r="M92" s="6"/>
      <c r="N92" s="6"/>
      <c r="O92" s="6"/>
      <c r="P92" s="6"/>
      <c r="Q92" s="6"/>
      <c r="R92" s="6"/>
      <c r="S92" s="6"/>
      <c r="T92" s="6"/>
      <c r="U92" s="6"/>
      <c r="V92" s="6"/>
      <c r="W92" s="6"/>
      <c r="X92" s="6"/>
      <c r="Y92" s="6"/>
    </row>
    <row r="93" spans="1:25" ht="12.75" x14ac:dyDescent="0.2">
      <c r="A93" s="10"/>
      <c r="B93" s="6"/>
      <c r="C93" s="6"/>
      <c r="D93" s="6"/>
      <c r="E93" s="9"/>
      <c r="F93" s="9"/>
      <c r="G93" s="11"/>
      <c r="H93" s="5"/>
      <c r="I93" s="6"/>
      <c r="J93" s="6"/>
      <c r="K93" s="6"/>
      <c r="L93" s="6"/>
      <c r="M93" s="6"/>
      <c r="N93" s="6"/>
      <c r="O93" s="6"/>
      <c r="P93" s="6"/>
      <c r="Q93" s="6"/>
      <c r="R93" s="6"/>
      <c r="S93" s="6"/>
      <c r="T93" s="6"/>
      <c r="U93" s="6"/>
      <c r="V93" s="6"/>
      <c r="W93" s="6"/>
      <c r="X93" s="6"/>
      <c r="Y93" s="6"/>
    </row>
    <row r="94" spans="1:25" ht="12.75" x14ac:dyDescent="0.2">
      <c r="A94" s="10"/>
      <c r="B94" s="6"/>
      <c r="C94" s="6"/>
      <c r="D94" s="6"/>
      <c r="E94" s="9"/>
      <c r="F94" s="9"/>
      <c r="G94" s="11"/>
      <c r="H94" s="5"/>
      <c r="I94" s="6"/>
      <c r="J94" s="6"/>
      <c r="K94" s="6"/>
      <c r="L94" s="6"/>
      <c r="M94" s="6"/>
      <c r="N94" s="6"/>
      <c r="O94" s="6"/>
      <c r="P94" s="6"/>
      <c r="Q94" s="6"/>
      <c r="R94" s="6"/>
      <c r="S94" s="6"/>
      <c r="T94" s="6"/>
      <c r="U94" s="6"/>
      <c r="V94" s="6"/>
      <c r="W94" s="6"/>
      <c r="X94" s="6"/>
      <c r="Y94" s="6"/>
    </row>
    <row r="95" spans="1:25" ht="12.75" x14ac:dyDescent="0.2">
      <c r="A95" s="10"/>
      <c r="B95" s="6"/>
      <c r="C95" s="6"/>
      <c r="D95" s="6"/>
      <c r="E95" s="9"/>
      <c r="F95" s="9"/>
      <c r="G95" s="11"/>
      <c r="H95" s="5"/>
      <c r="I95" s="6"/>
      <c r="J95" s="6"/>
      <c r="K95" s="6"/>
      <c r="L95" s="6"/>
      <c r="M95" s="6"/>
      <c r="N95" s="6"/>
      <c r="O95" s="6"/>
      <c r="P95" s="6"/>
      <c r="Q95" s="6"/>
      <c r="R95" s="6"/>
      <c r="S95" s="6"/>
      <c r="T95" s="6"/>
      <c r="U95" s="6"/>
      <c r="V95" s="6"/>
      <c r="W95" s="6"/>
      <c r="X95" s="6"/>
      <c r="Y95" s="6"/>
    </row>
    <row r="96" spans="1:25" ht="12.75" x14ac:dyDescent="0.2">
      <c r="A96" s="10"/>
      <c r="B96" s="6"/>
      <c r="C96" s="6"/>
      <c r="D96" s="6"/>
      <c r="E96" s="9"/>
      <c r="F96" s="9"/>
      <c r="G96" s="11"/>
      <c r="H96" s="5"/>
      <c r="I96" s="6"/>
      <c r="J96" s="6"/>
      <c r="K96" s="6"/>
      <c r="L96" s="6"/>
      <c r="M96" s="6"/>
      <c r="N96" s="6"/>
      <c r="O96" s="6"/>
      <c r="P96" s="6"/>
      <c r="Q96" s="6"/>
      <c r="R96" s="6"/>
      <c r="S96" s="6"/>
      <c r="T96" s="6"/>
      <c r="U96" s="6"/>
      <c r="V96" s="6"/>
      <c r="W96" s="6"/>
      <c r="X96" s="6"/>
      <c r="Y96" s="6"/>
    </row>
    <row r="97" spans="1:25" ht="12.75" x14ac:dyDescent="0.2">
      <c r="A97" s="10"/>
      <c r="B97" s="6"/>
      <c r="C97" s="6"/>
      <c r="D97" s="6"/>
      <c r="E97" s="9"/>
      <c r="F97" s="9"/>
      <c r="G97" s="11"/>
      <c r="H97" s="5"/>
      <c r="I97" s="6"/>
      <c r="J97" s="6"/>
      <c r="K97" s="6"/>
      <c r="L97" s="6"/>
      <c r="M97" s="6"/>
      <c r="N97" s="6"/>
      <c r="O97" s="6"/>
      <c r="P97" s="6"/>
      <c r="Q97" s="6"/>
      <c r="R97" s="6"/>
      <c r="S97" s="6"/>
      <c r="T97" s="6"/>
      <c r="U97" s="6"/>
      <c r="V97" s="6"/>
      <c r="W97" s="6"/>
      <c r="X97" s="6"/>
      <c r="Y97" s="6"/>
    </row>
    <row r="98" spans="1:25" ht="12.75" x14ac:dyDescent="0.2">
      <c r="A98" s="10"/>
      <c r="B98" s="6"/>
      <c r="C98" s="6"/>
      <c r="D98" s="6"/>
      <c r="E98" s="9"/>
      <c r="F98" s="9"/>
      <c r="G98" s="11"/>
      <c r="H98" s="5"/>
      <c r="I98" s="6"/>
      <c r="J98" s="6"/>
      <c r="K98" s="6"/>
      <c r="L98" s="6"/>
      <c r="M98" s="6"/>
      <c r="N98" s="6"/>
      <c r="O98" s="6"/>
      <c r="P98" s="6"/>
      <c r="Q98" s="6"/>
      <c r="R98" s="6"/>
      <c r="S98" s="6"/>
      <c r="T98" s="6"/>
      <c r="U98" s="6"/>
      <c r="V98" s="6"/>
      <c r="W98" s="6"/>
      <c r="X98" s="6"/>
      <c r="Y98" s="6"/>
    </row>
    <row r="99" spans="1:25" ht="12.75" x14ac:dyDescent="0.2">
      <c r="A99" s="10"/>
      <c r="B99" s="6"/>
      <c r="C99" s="6"/>
      <c r="D99" s="6"/>
      <c r="E99" s="9"/>
      <c r="F99" s="9"/>
      <c r="G99" s="11"/>
      <c r="H99" s="5"/>
      <c r="I99" s="6"/>
      <c r="J99" s="6"/>
      <c r="K99" s="6"/>
      <c r="L99" s="6"/>
      <c r="M99" s="6"/>
      <c r="N99" s="6"/>
      <c r="O99" s="6"/>
      <c r="P99" s="6"/>
      <c r="Q99" s="6"/>
      <c r="R99" s="6"/>
      <c r="S99" s="6"/>
      <c r="T99" s="6"/>
      <c r="U99" s="6"/>
      <c r="V99" s="6"/>
      <c r="W99" s="6"/>
      <c r="X99" s="6"/>
      <c r="Y99" s="6"/>
    </row>
    <row r="100" spans="1:25" ht="12.75" x14ac:dyDescent="0.2">
      <c r="A100" s="10"/>
      <c r="B100" s="6"/>
      <c r="C100" s="6"/>
      <c r="D100" s="6"/>
      <c r="E100" s="9"/>
      <c r="F100" s="9"/>
      <c r="G100" s="11"/>
      <c r="H100" s="5"/>
      <c r="I100" s="6"/>
      <c r="J100" s="6"/>
      <c r="K100" s="6"/>
      <c r="L100" s="6"/>
      <c r="M100" s="6"/>
      <c r="N100" s="6"/>
      <c r="O100" s="6"/>
      <c r="P100" s="6"/>
      <c r="Q100" s="6"/>
      <c r="R100" s="6"/>
      <c r="S100" s="6"/>
      <c r="T100" s="6"/>
      <c r="U100" s="6"/>
      <c r="V100" s="6"/>
      <c r="W100" s="6"/>
      <c r="X100" s="6"/>
      <c r="Y100" s="6"/>
    </row>
    <row r="101" spans="1:25" ht="12.75" x14ac:dyDescent="0.2">
      <c r="A101" s="10"/>
      <c r="B101" s="6"/>
      <c r="C101" s="6"/>
      <c r="D101" s="6"/>
      <c r="E101" s="9"/>
      <c r="F101" s="9"/>
      <c r="G101" s="11"/>
      <c r="H101" s="5"/>
      <c r="I101" s="6"/>
      <c r="J101" s="6"/>
      <c r="K101" s="6"/>
      <c r="L101" s="6"/>
      <c r="M101" s="6"/>
      <c r="N101" s="6"/>
      <c r="O101" s="6"/>
      <c r="P101" s="6"/>
      <c r="Q101" s="6"/>
      <c r="R101" s="6"/>
      <c r="S101" s="6"/>
      <c r="T101" s="6"/>
      <c r="U101" s="6"/>
      <c r="V101" s="6"/>
      <c r="W101" s="6"/>
      <c r="X101" s="6"/>
      <c r="Y101" s="6"/>
    </row>
    <row r="102" spans="1:25" ht="12.75" x14ac:dyDescent="0.2">
      <c r="A102" s="10"/>
      <c r="B102" s="6"/>
      <c r="C102" s="6"/>
      <c r="D102" s="6"/>
      <c r="E102" s="9"/>
      <c r="F102" s="9"/>
      <c r="G102" s="11"/>
      <c r="H102" s="5"/>
      <c r="I102" s="6"/>
      <c r="J102" s="6"/>
      <c r="N102" s="6"/>
      <c r="O102" s="6"/>
      <c r="P102" s="6"/>
      <c r="Q102" s="6"/>
      <c r="R102" s="6"/>
    </row>
    <row r="103" spans="1:25" ht="12.75" x14ac:dyDescent="0.2">
      <c r="A103" s="10"/>
      <c r="B103" s="6"/>
      <c r="C103" s="6"/>
      <c r="D103" s="6"/>
      <c r="E103" s="9"/>
      <c r="F103" s="9"/>
      <c r="G103" s="11"/>
      <c r="H103" s="5"/>
      <c r="I103" s="6"/>
      <c r="J103" s="6"/>
      <c r="K103" s="6"/>
      <c r="L103" s="6"/>
      <c r="M103" s="6"/>
      <c r="N103" s="6"/>
      <c r="O103" s="6"/>
      <c r="P103" s="6"/>
      <c r="Q103" s="6"/>
      <c r="R103" s="6"/>
      <c r="S103" s="6"/>
      <c r="T103" s="6"/>
      <c r="U103" s="6"/>
      <c r="V103" s="6"/>
      <c r="W103" s="6"/>
      <c r="X103" s="6"/>
      <c r="Y103" s="6"/>
    </row>
    <row r="104" spans="1:25" ht="12.75" x14ac:dyDescent="0.2">
      <c r="A104" s="10"/>
      <c r="B104" s="6"/>
      <c r="C104" s="6"/>
      <c r="D104" s="6"/>
      <c r="E104" s="9"/>
      <c r="F104" s="9"/>
      <c r="G104" s="11"/>
      <c r="H104" s="5"/>
      <c r="I104" s="6"/>
      <c r="J104" s="6"/>
      <c r="N104" s="6"/>
      <c r="O104" s="6"/>
      <c r="P104" s="6"/>
      <c r="Q104" s="6"/>
    </row>
    <row r="105" spans="1:25" ht="12.75" x14ac:dyDescent="0.2">
      <c r="A105" s="10"/>
      <c r="B105" s="6"/>
      <c r="C105" s="6"/>
      <c r="D105" s="6"/>
      <c r="E105" s="9"/>
      <c r="F105" s="9"/>
      <c r="G105" s="11"/>
      <c r="H105" s="5"/>
      <c r="I105" s="6"/>
      <c r="J105" s="6"/>
      <c r="K105" s="6"/>
      <c r="L105" s="6"/>
      <c r="M105" s="6"/>
      <c r="R105" s="6"/>
      <c r="S105" s="6"/>
      <c r="T105" s="6"/>
      <c r="U105" s="6"/>
      <c r="V105" s="6"/>
      <c r="W105" s="6"/>
      <c r="X105" s="6"/>
      <c r="Y105" s="6"/>
    </row>
    <row r="106" spans="1:25" ht="12.75" x14ac:dyDescent="0.2">
      <c r="A106" s="10"/>
      <c r="B106" s="6"/>
      <c r="C106" s="6"/>
      <c r="D106" s="6"/>
      <c r="E106" s="9"/>
      <c r="F106" s="9"/>
      <c r="G106" s="11"/>
      <c r="H106" s="5"/>
      <c r="I106" s="8"/>
      <c r="J106" s="8"/>
      <c r="N106" s="6"/>
      <c r="O106" s="6"/>
      <c r="P106" s="6"/>
      <c r="Q106" s="6"/>
    </row>
    <row r="107" spans="1:25" ht="12.75" x14ac:dyDescent="0.2">
      <c r="A107" s="10"/>
      <c r="B107" s="6"/>
      <c r="C107" s="6"/>
      <c r="D107" s="6"/>
      <c r="E107" s="9"/>
      <c r="F107" s="9"/>
      <c r="G107" s="11"/>
      <c r="H107" s="5"/>
      <c r="I107" s="6"/>
      <c r="J107" s="6"/>
      <c r="K107" s="6"/>
      <c r="L107" s="6"/>
      <c r="M107" s="6"/>
      <c r="R107" s="6"/>
      <c r="S107" s="6"/>
      <c r="T107" s="6"/>
      <c r="U107" s="6"/>
      <c r="V107" s="6"/>
      <c r="W107" s="6"/>
      <c r="X107" s="6"/>
      <c r="Y107" s="6"/>
    </row>
    <row r="108" spans="1:25" ht="12.75" x14ac:dyDescent="0.2">
      <c r="A108" s="10"/>
      <c r="B108" s="6"/>
      <c r="C108" s="6"/>
      <c r="D108" s="6"/>
      <c r="E108" s="9"/>
      <c r="F108" s="9"/>
      <c r="G108" s="11"/>
      <c r="H108" s="5"/>
      <c r="I108" s="8"/>
      <c r="J108" s="8"/>
      <c r="N108" s="6"/>
      <c r="O108" s="6"/>
      <c r="P108" s="6"/>
      <c r="Q108" s="6"/>
    </row>
    <row r="109" spans="1:25" ht="12.75" x14ac:dyDescent="0.2">
      <c r="B109" s="6"/>
      <c r="C109" s="6"/>
      <c r="D109" s="6"/>
      <c r="E109" s="9"/>
      <c r="F109" s="9"/>
      <c r="G109" s="11"/>
      <c r="H109" s="5"/>
      <c r="I109" s="6"/>
      <c r="J109" s="6"/>
      <c r="R109" s="6"/>
    </row>
    <row r="110" spans="1:25" ht="12.75" x14ac:dyDescent="0.2">
      <c r="B110" s="6"/>
      <c r="C110" s="6"/>
      <c r="D110" s="6"/>
      <c r="E110" s="9"/>
      <c r="F110" s="9"/>
      <c r="G110" s="11"/>
      <c r="H110" s="5"/>
      <c r="I110" s="8"/>
      <c r="J110" s="8"/>
      <c r="N110" s="6"/>
      <c r="O110" s="6"/>
      <c r="P110" s="6"/>
      <c r="Q110" s="6"/>
    </row>
    <row r="111" spans="1:25" ht="12.75" x14ac:dyDescent="0.2">
      <c r="B111" s="6"/>
      <c r="C111" s="6"/>
      <c r="D111" s="6"/>
      <c r="E111" s="9"/>
      <c r="F111" s="9"/>
      <c r="G111" s="11"/>
      <c r="H111" s="5"/>
      <c r="I111" s="6"/>
      <c r="J111" s="6"/>
    </row>
    <row r="112" spans="1:25" ht="12.75" x14ac:dyDescent="0.2">
      <c r="B112" s="6"/>
      <c r="C112" s="6"/>
      <c r="D112" s="6"/>
      <c r="E112" s="9"/>
      <c r="F112" s="9"/>
      <c r="G112" s="11"/>
      <c r="H112" s="5"/>
      <c r="I112" s="8"/>
      <c r="J112" s="8"/>
    </row>
    <row r="113" spans="2:10" ht="12.75" x14ac:dyDescent="0.2">
      <c r="B113" s="6"/>
      <c r="C113" s="6"/>
      <c r="D113" s="6"/>
      <c r="E113" s="9"/>
      <c r="F113" s="9"/>
      <c r="G113" s="11"/>
      <c r="H113" s="5"/>
      <c r="I113" s="8"/>
      <c r="J113" s="8"/>
    </row>
    <row r="114" spans="2:10" ht="12.75" x14ac:dyDescent="0.2">
      <c r="B114" s="6"/>
      <c r="C114" s="6"/>
      <c r="D114" s="6"/>
      <c r="E114" s="9"/>
      <c r="F114" s="9"/>
      <c r="G114" s="11"/>
      <c r="H114" s="5"/>
      <c r="I114" s="8"/>
      <c r="J114" s="8"/>
    </row>
    <row r="115" spans="2:10" ht="12.75" x14ac:dyDescent="0.2">
      <c r="B115" s="6"/>
      <c r="C115" s="6"/>
      <c r="D115" s="6"/>
      <c r="E115" s="9"/>
      <c r="F115" s="9"/>
      <c r="G115" s="11"/>
      <c r="H115" s="5"/>
      <c r="I115" s="8"/>
      <c r="J115" s="8"/>
    </row>
    <row r="116" spans="2:10" ht="12.75" x14ac:dyDescent="0.2">
      <c r="B116" s="6"/>
      <c r="C116" s="6"/>
      <c r="D116" s="6"/>
      <c r="E116" s="9"/>
      <c r="F116" s="9"/>
      <c r="G116" s="11"/>
      <c r="H116" s="5"/>
      <c r="I116" s="8"/>
      <c r="J116" s="8"/>
    </row>
    <row r="117" spans="2:10" ht="12.75" x14ac:dyDescent="0.2">
      <c r="B117" s="6"/>
      <c r="C117" s="6"/>
      <c r="D117" s="6"/>
      <c r="E117" s="9"/>
      <c r="F117" s="9"/>
      <c r="G117" s="11"/>
      <c r="H117" s="5"/>
      <c r="I117" s="8"/>
      <c r="J117" s="8"/>
    </row>
    <row r="118" spans="2:10" ht="12.75" x14ac:dyDescent="0.2">
      <c r="B118" s="6"/>
      <c r="C118" s="6"/>
      <c r="D118" s="6"/>
      <c r="E118" s="9"/>
      <c r="F118" s="9"/>
      <c r="G118" s="11"/>
      <c r="H118" s="5"/>
      <c r="I118" s="8"/>
      <c r="J118" s="8"/>
    </row>
    <row r="119" spans="2:10" ht="12.75" x14ac:dyDescent="0.2">
      <c r="B119" s="6"/>
      <c r="C119" s="6"/>
      <c r="D119" s="6"/>
      <c r="E119" s="9"/>
      <c r="F119" s="9"/>
      <c r="G119" s="11"/>
      <c r="H119" s="5"/>
      <c r="I119" s="8"/>
      <c r="J119" s="8"/>
    </row>
    <row r="120" spans="2:10" ht="12.75" x14ac:dyDescent="0.2">
      <c r="B120" s="6"/>
      <c r="C120" s="6"/>
      <c r="D120" s="6"/>
      <c r="E120" s="9"/>
      <c r="F120" s="9"/>
      <c r="G120" s="11"/>
      <c r="H120" s="5"/>
      <c r="I120" s="8"/>
      <c r="J120" s="8"/>
    </row>
    <row r="121" spans="2:10" ht="12.75" x14ac:dyDescent="0.2">
      <c r="B121" s="6"/>
      <c r="C121" s="6"/>
      <c r="D121" s="6"/>
      <c r="E121" s="9"/>
      <c r="F121" s="9"/>
      <c r="G121" s="11"/>
      <c r="H121" s="5"/>
      <c r="I121" s="8"/>
      <c r="J121" s="8"/>
    </row>
    <row r="122" spans="2:10" ht="12.75" x14ac:dyDescent="0.2">
      <c r="B122" s="6"/>
      <c r="C122" s="6"/>
      <c r="D122" s="6"/>
      <c r="E122" s="9"/>
      <c r="F122" s="9"/>
      <c r="G122" s="11"/>
      <c r="H122" s="5"/>
      <c r="I122" s="8"/>
      <c r="J122" s="8"/>
    </row>
    <row r="123" spans="2:10" ht="12.75" x14ac:dyDescent="0.2">
      <c r="B123" s="6"/>
      <c r="C123" s="6"/>
      <c r="D123" s="6"/>
      <c r="E123" s="9"/>
      <c r="F123" s="9"/>
      <c r="G123" s="11"/>
      <c r="H123" s="5"/>
      <c r="I123" s="8"/>
      <c r="J123" s="8"/>
    </row>
    <row r="124" spans="2:10" ht="12.75" x14ac:dyDescent="0.2">
      <c r="B124" s="6"/>
      <c r="C124" s="6"/>
      <c r="D124" s="6"/>
      <c r="E124" s="9"/>
      <c r="F124" s="9"/>
      <c r="G124" s="11"/>
      <c r="H124" s="5"/>
      <c r="I124" s="8"/>
      <c r="J124" s="8"/>
    </row>
    <row r="125" spans="2:10" ht="12.75" x14ac:dyDescent="0.2">
      <c r="B125" s="6"/>
      <c r="C125" s="6"/>
      <c r="D125" s="6"/>
      <c r="E125" s="9"/>
      <c r="F125" s="9"/>
      <c r="G125" s="11"/>
      <c r="H125" s="5"/>
      <c r="I125" s="8"/>
      <c r="J125" s="8"/>
    </row>
    <row r="126" spans="2:10" ht="12.75" x14ac:dyDescent="0.2">
      <c r="B126" s="6"/>
      <c r="C126" s="6"/>
      <c r="D126" s="6"/>
      <c r="E126" s="9"/>
      <c r="F126" s="9"/>
      <c r="G126" s="11"/>
      <c r="H126" s="5"/>
      <c r="I126" s="8"/>
      <c r="J126" s="8"/>
    </row>
    <row r="127" spans="2:10" ht="12.75" x14ac:dyDescent="0.2">
      <c r="B127" s="6"/>
      <c r="C127" s="6"/>
      <c r="D127" s="6"/>
      <c r="E127" s="9"/>
      <c r="F127" s="9"/>
      <c r="G127" s="11"/>
      <c r="H127" s="5"/>
      <c r="I127" s="8"/>
      <c r="J127" s="8"/>
    </row>
    <row r="128" spans="2:10" ht="12.75" x14ac:dyDescent="0.2">
      <c r="B128" s="6"/>
      <c r="C128" s="6"/>
      <c r="D128" s="6"/>
      <c r="E128" s="9"/>
      <c r="F128" s="9"/>
      <c r="G128" s="11"/>
      <c r="H128" s="5"/>
      <c r="I128" s="8"/>
      <c r="J128" s="8"/>
    </row>
    <row r="129" spans="2:10" ht="12.75" x14ac:dyDescent="0.2">
      <c r="B129" s="6"/>
      <c r="C129" s="6"/>
      <c r="D129" s="6"/>
      <c r="E129" s="9"/>
      <c r="F129" s="9"/>
      <c r="G129" s="11"/>
      <c r="H129" s="5"/>
      <c r="I129" s="8"/>
      <c r="J129" s="8"/>
    </row>
    <row r="130" spans="2:10" ht="12.75" x14ac:dyDescent="0.2">
      <c r="B130" s="6"/>
      <c r="C130" s="6"/>
      <c r="D130" s="6"/>
      <c r="E130" s="9"/>
      <c r="F130" s="9"/>
      <c r="G130" s="11"/>
      <c r="H130" s="5"/>
      <c r="I130" s="8"/>
      <c r="J130" s="8"/>
    </row>
    <row r="131" spans="2:10" ht="12.75" x14ac:dyDescent="0.2">
      <c r="B131" s="6"/>
      <c r="C131" s="6"/>
      <c r="D131" s="6"/>
      <c r="E131" s="9"/>
      <c r="F131" s="9"/>
      <c r="G131" s="11"/>
      <c r="H131" s="5"/>
      <c r="I131" s="8"/>
      <c r="J131" s="8"/>
    </row>
    <row r="132" spans="2:10" ht="12.75" x14ac:dyDescent="0.2">
      <c r="B132" s="6"/>
      <c r="C132" s="6"/>
      <c r="D132" s="6"/>
      <c r="E132" s="9"/>
      <c r="F132" s="9"/>
      <c r="G132" s="11"/>
      <c r="H132" s="5"/>
      <c r="I132" s="8"/>
      <c r="J132" s="8"/>
    </row>
    <row r="133" spans="2:10" ht="12.75" x14ac:dyDescent="0.2">
      <c r="B133" s="6"/>
      <c r="C133" s="6"/>
      <c r="D133" s="6"/>
      <c r="E133" s="9"/>
      <c r="F133" s="9"/>
      <c r="G133" s="11"/>
      <c r="H133" s="5"/>
      <c r="I133" s="8"/>
      <c r="J133" s="8"/>
    </row>
    <row r="134" spans="2:10" ht="12.75" x14ac:dyDescent="0.2">
      <c r="B134" s="6"/>
      <c r="C134" s="6"/>
      <c r="D134" s="6"/>
      <c r="E134" s="9"/>
      <c r="F134" s="9"/>
      <c r="G134" s="11"/>
      <c r="H134" s="5"/>
      <c r="I134" s="8"/>
      <c r="J134" s="8"/>
    </row>
    <row r="135" spans="2:10" ht="12.75" x14ac:dyDescent="0.2">
      <c r="B135" s="6"/>
      <c r="C135" s="6"/>
      <c r="D135" s="6"/>
      <c r="E135" s="9"/>
      <c r="F135" s="9"/>
      <c r="G135" s="11"/>
      <c r="H135" s="5"/>
      <c r="I135" s="8"/>
      <c r="J135" s="8"/>
    </row>
    <row r="136" spans="2:10" ht="12.75" x14ac:dyDescent="0.2">
      <c r="B136" s="6"/>
      <c r="C136" s="6"/>
      <c r="D136" s="6"/>
      <c r="E136" s="9"/>
      <c r="F136" s="9"/>
      <c r="G136" s="11"/>
      <c r="H136" s="5"/>
      <c r="I136" s="8"/>
      <c r="J136" s="8"/>
    </row>
    <row r="137" spans="2:10" ht="12.75" x14ac:dyDescent="0.2">
      <c r="B137" s="6"/>
      <c r="C137" s="6"/>
      <c r="D137" s="6"/>
      <c r="E137" s="9"/>
      <c r="F137" s="9"/>
      <c r="G137" s="11"/>
      <c r="H137" s="5"/>
      <c r="I137" s="8"/>
      <c r="J137" s="8"/>
    </row>
    <row r="138" spans="2:10" ht="12.75" x14ac:dyDescent="0.2">
      <c r="B138" s="6"/>
      <c r="C138" s="6"/>
      <c r="D138" s="6"/>
      <c r="E138" s="9"/>
      <c r="F138" s="9"/>
      <c r="G138" s="11"/>
      <c r="H138" s="5"/>
      <c r="I138" s="8"/>
      <c r="J138" s="8"/>
    </row>
    <row r="139" spans="2:10" ht="12.75" x14ac:dyDescent="0.2">
      <c r="B139" s="6"/>
      <c r="C139" s="6"/>
      <c r="D139" s="6"/>
      <c r="E139" s="9"/>
      <c r="F139" s="9"/>
      <c r="G139" s="11"/>
      <c r="H139" s="5"/>
      <c r="I139" s="8"/>
      <c r="J139" s="8"/>
    </row>
    <row r="140" spans="2:10" ht="12.75" x14ac:dyDescent="0.2">
      <c r="B140" s="6"/>
      <c r="C140" s="6"/>
      <c r="D140" s="6"/>
      <c r="E140" s="9"/>
      <c r="F140" s="9"/>
      <c r="G140" s="11"/>
      <c r="H140" s="5"/>
      <c r="I140" s="8"/>
      <c r="J140" s="8"/>
    </row>
    <row r="141" spans="2:10" ht="12.75" x14ac:dyDescent="0.2">
      <c r="B141" s="6"/>
      <c r="C141" s="6"/>
      <c r="D141" s="6"/>
      <c r="E141" s="9"/>
      <c r="F141" s="9"/>
      <c r="G141" s="11"/>
      <c r="H141" s="5"/>
      <c r="I141" s="8"/>
      <c r="J141" s="8"/>
    </row>
    <row r="142" spans="2:10" ht="12.75" x14ac:dyDescent="0.2">
      <c r="B142" s="6"/>
      <c r="C142" s="6"/>
      <c r="D142" s="6"/>
      <c r="E142" s="9"/>
      <c r="F142" s="9"/>
      <c r="G142" s="11"/>
      <c r="H142" s="5"/>
      <c r="I142" s="8"/>
      <c r="J142" s="8"/>
    </row>
    <row r="143" spans="2:10" ht="12.75" x14ac:dyDescent="0.2">
      <c r="B143" s="6"/>
      <c r="C143" s="6"/>
      <c r="D143" s="6"/>
      <c r="E143" s="9"/>
      <c r="F143" s="9"/>
      <c r="G143" s="11"/>
      <c r="H143" s="5"/>
      <c r="I143" s="8"/>
      <c r="J143" s="8"/>
    </row>
    <row r="144" spans="2:10" ht="12.75" x14ac:dyDescent="0.2">
      <c r="B144" s="6"/>
      <c r="C144" s="6"/>
      <c r="D144" s="6"/>
      <c r="E144" s="9"/>
      <c r="F144" s="9"/>
      <c r="G144" s="11"/>
      <c r="H144" s="5"/>
      <c r="I144" s="8"/>
      <c r="J144" s="8"/>
    </row>
    <row r="145" spans="2:10" ht="12.75" x14ac:dyDescent="0.2">
      <c r="B145" s="6"/>
      <c r="C145" s="6"/>
      <c r="D145" s="6"/>
      <c r="E145" s="9"/>
      <c r="F145" s="9"/>
      <c r="G145" s="11"/>
      <c r="H145" s="5"/>
      <c r="I145" s="8"/>
      <c r="J145" s="8"/>
    </row>
    <row r="146" spans="2:10" ht="12.75" x14ac:dyDescent="0.2">
      <c r="B146" s="6"/>
      <c r="C146" s="6"/>
      <c r="D146" s="6"/>
      <c r="E146" s="9"/>
      <c r="F146" s="9"/>
      <c r="G146" s="11"/>
      <c r="H146" s="5"/>
      <c r="I146" s="8"/>
      <c r="J146" s="8"/>
    </row>
    <row r="147" spans="2:10" ht="12.75" x14ac:dyDescent="0.2">
      <c r="B147" s="6"/>
      <c r="C147" s="6"/>
      <c r="D147" s="6"/>
      <c r="E147" s="9"/>
      <c r="F147" s="9"/>
      <c r="G147" s="11"/>
      <c r="H147" s="5"/>
      <c r="I147" s="8"/>
      <c r="J147" s="8"/>
    </row>
    <row r="148" spans="2:10" ht="12.75" x14ac:dyDescent="0.2">
      <c r="B148" s="6"/>
      <c r="C148" s="6"/>
      <c r="D148" s="6"/>
      <c r="E148" s="9"/>
      <c r="F148" s="9"/>
      <c r="G148" s="11"/>
      <c r="H148" s="5"/>
      <c r="I148" s="8"/>
      <c r="J148" s="8"/>
    </row>
    <row r="149" spans="2:10" ht="12.75" x14ac:dyDescent="0.2">
      <c r="B149" s="6"/>
      <c r="C149" s="6"/>
      <c r="D149" s="6"/>
      <c r="E149" s="9"/>
      <c r="F149" s="9"/>
      <c r="G149" s="11"/>
      <c r="H149" s="5"/>
      <c r="I149" s="8"/>
      <c r="J149" s="8"/>
    </row>
    <row r="150" spans="2:10" ht="12.75" x14ac:dyDescent="0.2">
      <c r="B150" s="6"/>
      <c r="C150" s="6"/>
      <c r="D150" s="6"/>
      <c r="E150" s="9"/>
      <c r="F150" s="9"/>
      <c r="G150" s="11"/>
      <c r="H150" s="5"/>
      <c r="I150" s="8"/>
      <c r="J150" s="8"/>
    </row>
    <row r="151" spans="2:10" ht="12.75" x14ac:dyDescent="0.2">
      <c r="B151" s="6"/>
      <c r="C151" s="6"/>
      <c r="D151" s="6"/>
      <c r="E151" s="9"/>
      <c r="F151" s="9"/>
      <c r="G151" s="11"/>
      <c r="H151" s="5"/>
      <c r="I151" s="8"/>
      <c r="J151" s="8"/>
    </row>
    <row r="152" spans="2:10" ht="12.75" x14ac:dyDescent="0.2">
      <c r="B152" s="6"/>
      <c r="C152" s="6"/>
      <c r="D152" s="6"/>
      <c r="E152" s="9"/>
      <c r="F152" s="9"/>
      <c r="G152" s="11"/>
      <c r="H152" s="5"/>
      <c r="I152" s="8"/>
      <c r="J152" s="8"/>
    </row>
    <row r="153" spans="2:10" ht="12.75" x14ac:dyDescent="0.2">
      <c r="B153" s="6"/>
      <c r="C153" s="6"/>
      <c r="D153" s="6"/>
      <c r="E153" s="9"/>
      <c r="F153" s="9"/>
      <c r="G153" s="11"/>
      <c r="H153" s="5"/>
      <c r="I153" s="8"/>
      <c r="J153" s="8"/>
    </row>
    <row r="154" spans="2:10" ht="12.75" x14ac:dyDescent="0.2">
      <c r="B154" s="6"/>
      <c r="C154" s="6"/>
      <c r="D154" s="6"/>
      <c r="E154" s="9"/>
      <c r="F154" s="9"/>
      <c r="G154" s="11"/>
      <c r="H154" s="5"/>
      <c r="I154" s="8"/>
      <c r="J154" s="8"/>
    </row>
    <row r="155" spans="2:10" ht="12.75" x14ac:dyDescent="0.2">
      <c r="B155" s="6"/>
      <c r="C155" s="6"/>
      <c r="D155" s="6"/>
      <c r="E155" s="9"/>
      <c r="F155" s="9"/>
      <c r="G155" s="11"/>
      <c r="H155" s="5"/>
      <c r="I155" s="8"/>
      <c r="J155" s="8"/>
    </row>
    <row r="156" spans="2:10" ht="12.75" x14ac:dyDescent="0.2">
      <c r="B156" s="6"/>
      <c r="C156" s="6"/>
      <c r="D156" s="6"/>
      <c r="E156" s="9"/>
      <c r="F156" s="9"/>
      <c r="G156" s="11"/>
      <c r="H156" s="5"/>
      <c r="I156" s="8"/>
      <c r="J156" s="8"/>
    </row>
    <row r="157" spans="2:10" ht="12.75" x14ac:dyDescent="0.2">
      <c r="B157" s="6"/>
      <c r="C157" s="6"/>
      <c r="D157" s="6"/>
      <c r="E157" s="9"/>
      <c r="F157" s="9"/>
      <c r="G157" s="11"/>
      <c r="H157" s="5"/>
      <c r="I157" s="8"/>
      <c r="J157" s="8"/>
    </row>
    <row r="158" spans="2:10" ht="12.75" x14ac:dyDescent="0.2">
      <c r="B158" s="6"/>
      <c r="C158" s="6"/>
      <c r="D158" s="6"/>
      <c r="E158" s="9"/>
      <c r="F158" s="9"/>
      <c r="G158" s="11"/>
      <c r="H158" s="5"/>
      <c r="I158" s="8"/>
      <c r="J158" s="8"/>
    </row>
    <row r="159" spans="2:10" ht="12.75" x14ac:dyDescent="0.2">
      <c r="B159" s="6"/>
      <c r="C159" s="6"/>
      <c r="D159" s="6"/>
      <c r="E159" s="9"/>
      <c r="F159" s="9"/>
      <c r="G159" s="11"/>
      <c r="H159" s="5"/>
      <c r="I159" s="8"/>
      <c r="J159" s="8"/>
    </row>
    <row r="160" spans="2:10" ht="12.75" x14ac:dyDescent="0.2">
      <c r="B160" s="6"/>
      <c r="C160" s="6"/>
      <c r="D160" s="6"/>
      <c r="E160" s="9"/>
      <c r="F160" s="9"/>
      <c r="G160" s="11"/>
      <c r="H160" s="5"/>
      <c r="I160" s="8"/>
      <c r="J160" s="8"/>
    </row>
    <row r="161" spans="2:10" ht="12.75" x14ac:dyDescent="0.2">
      <c r="B161" s="6"/>
      <c r="C161" s="6"/>
      <c r="D161" s="6"/>
      <c r="E161" s="9"/>
      <c r="F161" s="9"/>
      <c r="G161" s="11"/>
      <c r="H161" s="5"/>
      <c r="I161" s="8"/>
      <c r="J161" s="8"/>
    </row>
    <row r="162" spans="2:10" ht="12.75" x14ac:dyDescent="0.2">
      <c r="B162" s="6"/>
      <c r="C162" s="6"/>
      <c r="D162" s="6"/>
      <c r="E162" s="9"/>
      <c r="F162" s="9"/>
      <c r="G162" s="11"/>
      <c r="H162" s="5"/>
      <c r="I162" s="8"/>
      <c r="J162" s="8"/>
    </row>
    <row r="163" spans="2:10" ht="12.75" x14ac:dyDescent="0.2">
      <c r="B163" s="6"/>
      <c r="C163" s="6"/>
      <c r="D163" s="6"/>
      <c r="E163" s="9"/>
      <c r="F163" s="9"/>
      <c r="G163" s="11"/>
      <c r="H163" s="5"/>
      <c r="I163" s="8"/>
      <c r="J163" s="8"/>
    </row>
    <row r="164" spans="2:10" ht="12.75" x14ac:dyDescent="0.2">
      <c r="B164" s="6"/>
      <c r="C164" s="6"/>
      <c r="D164" s="6"/>
      <c r="E164" s="9"/>
      <c r="F164" s="9"/>
      <c r="G164" s="11"/>
      <c r="H164" s="5"/>
      <c r="I164" s="8"/>
      <c r="J164" s="8"/>
    </row>
    <row r="165" spans="2:10" ht="12.75" x14ac:dyDescent="0.2">
      <c r="B165" s="6"/>
      <c r="C165" s="6"/>
      <c r="D165" s="6"/>
      <c r="E165" s="9"/>
      <c r="F165" s="9"/>
      <c r="G165" s="11"/>
      <c r="H165" s="5"/>
      <c r="I165" s="8"/>
      <c r="J165" s="8"/>
    </row>
    <row r="166" spans="2:10" ht="12.75" x14ac:dyDescent="0.2">
      <c r="B166" s="6"/>
      <c r="C166" s="6"/>
      <c r="D166" s="6"/>
      <c r="E166" s="9"/>
      <c r="F166" s="9"/>
      <c r="G166" s="11"/>
      <c r="H166" s="5"/>
      <c r="I166" s="8"/>
      <c r="J166" s="8"/>
    </row>
    <row r="167" spans="2:10" ht="12.75" x14ac:dyDescent="0.2">
      <c r="B167" s="6"/>
      <c r="C167" s="6"/>
      <c r="D167" s="6"/>
      <c r="E167" s="9"/>
      <c r="F167" s="9"/>
      <c r="G167" s="11"/>
      <c r="H167" s="5"/>
      <c r="I167" s="8"/>
      <c r="J167" s="8"/>
    </row>
    <row r="168" spans="2:10" ht="12.75" x14ac:dyDescent="0.2">
      <c r="B168" s="6"/>
      <c r="C168" s="6"/>
      <c r="D168" s="6"/>
      <c r="E168" s="9"/>
      <c r="F168" s="9"/>
      <c r="G168" s="11"/>
      <c r="H168" s="5"/>
      <c r="I168" s="8"/>
      <c r="J168" s="8"/>
    </row>
    <row r="169" spans="2:10" ht="12.75" x14ac:dyDescent="0.2">
      <c r="B169" s="6"/>
      <c r="C169" s="6"/>
      <c r="D169" s="6"/>
      <c r="E169" s="9"/>
      <c r="F169" s="9"/>
      <c r="G169" s="11"/>
      <c r="H169" s="5"/>
      <c r="I169" s="8"/>
      <c r="J169" s="8"/>
    </row>
    <row r="170" spans="2:10" ht="12.75" x14ac:dyDescent="0.2">
      <c r="B170" s="6"/>
      <c r="C170" s="6"/>
      <c r="D170" s="6"/>
      <c r="E170" s="9"/>
      <c r="F170" s="9"/>
      <c r="G170" s="11"/>
      <c r="H170" s="5"/>
      <c r="I170" s="8"/>
      <c r="J170" s="8"/>
    </row>
    <row r="171" spans="2:10" ht="12.75" x14ac:dyDescent="0.2">
      <c r="B171" s="6"/>
      <c r="C171" s="6"/>
      <c r="D171" s="6"/>
      <c r="E171" s="9"/>
      <c r="F171" s="9"/>
      <c r="G171" s="11"/>
      <c r="H171" s="5"/>
      <c r="I171" s="8"/>
      <c r="J171" s="8"/>
    </row>
    <row r="172" spans="2:10" ht="12.75" x14ac:dyDescent="0.2">
      <c r="B172" s="6"/>
      <c r="C172" s="6"/>
      <c r="D172" s="6"/>
      <c r="E172" s="9"/>
      <c r="F172" s="9"/>
      <c r="G172" s="11"/>
      <c r="H172" s="5"/>
      <c r="I172" s="8"/>
      <c r="J172" s="8"/>
    </row>
    <row r="173" spans="2:10" ht="12.75" x14ac:dyDescent="0.2">
      <c r="B173" s="6"/>
      <c r="C173" s="6"/>
      <c r="D173" s="6"/>
      <c r="E173" s="9"/>
      <c r="F173" s="9"/>
      <c r="G173" s="11"/>
      <c r="H173" s="5"/>
      <c r="I173" s="8"/>
      <c r="J173" s="8"/>
    </row>
    <row r="174" spans="2:10" ht="12.75" x14ac:dyDescent="0.2">
      <c r="B174" s="6"/>
      <c r="C174" s="6"/>
      <c r="D174" s="6"/>
      <c r="E174" s="9"/>
      <c r="F174" s="9"/>
      <c r="G174" s="11"/>
      <c r="H174" s="5"/>
      <c r="I174" s="8"/>
      <c r="J174" s="8"/>
    </row>
    <row r="175" spans="2:10" ht="12.75" x14ac:dyDescent="0.2">
      <c r="B175" s="6"/>
      <c r="C175" s="6"/>
      <c r="D175" s="6"/>
      <c r="E175" s="9"/>
      <c r="F175" s="9"/>
      <c r="G175" s="11"/>
      <c r="H175" s="5"/>
      <c r="I175" s="8"/>
      <c r="J175" s="8"/>
    </row>
    <row r="176" spans="2:10" ht="12.75" x14ac:dyDescent="0.2">
      <c r="B176" s="6"/>
      <c r="C176" s="6"/>
      <c r="D176" s="6"/>
      <c r="E176" s="9"/>
      <c r="F176" s="9"/>
      <c r="G176" s="11"/>
      <c r="H176" s="5"/>
      <c r="I176" s="8"/>
      <c r="J176" s="8"/>
    </row>
    <row r="177" spans="2:10" ht="12.75" x14ac:dyDescent="0.2">
      <c r="B177" s="6"/>
      <c r="C177" s="6"/>
      <c r="D177" s="6"/>
      <c r="E177" s="9"/>
      <c r="F177" s="9"/>
      <c r="G177" s="11"/>
      <c r="H177" s="5"/>
      <c r="I177" s="8"/>
      <c r="J177" s="8"/>
    </row>
    <row r="178" spans="2:10" ht="12.75" x14ac:dyDescent="0.2">
      <c r="B178" s="6"/>
      <c r="C178" s="6"/>
      <c r="D178" s="6"/>
      <c r="E178" s="9"/>
      <c r="F178" s="9"/>
      <c r="G178" s="11"/>
      <c r="H178" s="5"/>
      <c r="I178" s="8"/>
      <c r="J178" s="8"/>
    </row>
    <row r="179" spans="2:10" ht="12.75" x14ac:dyDescent="0.2">
      <c r="B179" s="6"/>
      <c r="C179" s="6"/>
      <c r="D179" s="6"/>
      <c r="E179" s="9"/>
      <c r="F179" s="9"/>
      <c r="G179" s="11"/>
      <c r="H179" s="5"/>
      <c r="I179" s="8"/>
      <c r="J179" s="8"/>
    </row>
    <row r="180" spans="2:10" ht="12.75" x14ac:dyDescent="0.2">
      <c r="B180" s="6"/>
      <c r="C180" s="6"/>
      <c r="D180" s="6"/>
      <c r="E180" s="9"/>
      <c r="F180" s="9"/>
      <c r="G180" s="11"/>
      <c r="H180" s="5"/>
      <c r="I180" s="8"/>
      <c r="J180" s="8"/>
    </row>
    <row r="181" spans="2:10" ht="12.75" x14ac:dyDescent="0.2">
      <c r="B181" s="6"/>
      <c r="C181" s="6"/>
      <c r="D181" s="6"/>
      <c r="E181" s="9"/>
      <c r="F181" s="9"/>
      <c r="G181" s="11"/>
      <c r="H181" s="5"/>
      <c r="I181" s="8"/>
      <c r="J181" s="8"/>
    </row>
    <row r="182" spans="2:10" ht="12.75" x14ac:dyDescent="0.2">
      <c r="B182" s="6"/>
      <c r="C182" s="6"/>
      <c r="D182" s="6"/>
      <c r="E182" s="9"/>
      <c r="F182" s="9"/>
      <c r="G182" s="11"/>
      <c r="H182" s="5"/>
      <c r="I182" s="8"/>
      <c r="J182" s="8"/>
    </row>
    <row r="183" spans="2:10" ht="12.75" x14ac:dyDescent="0.2">
      <c r="B183" s="6"/>
      <c r="C183" s="6"/>
      <c r="D183" s="6"/>
      <c r="E183" s="9"/>
      <c r="F183" s="9"/>
      <c r="G183" s="11"/>
      <c r="H183" s="5"/>
      <c r="I183" s="8"/>
      <c r="J183" s="8"/>
    </row>
    <row r="184" spans="2:10" ht="12.75" x14ac:dyDescent="0.2">
      <c r="B184" s="6"/>
      <c r="C184" s="6"/>
      <c r="D184" s="6"/>
      <c r="E184" s="9"/>
      <c r="F184" s="9"/>
      <c r="G184" s="11"/>
      <c r="H184" s="5"/>
      <c r="I184" s="8"/>
      <c r="J184" s="8"/>
    </row>
    <row r="185" spans="2:10" ht="12.75" x14ac:dyDescent="0.2">
      <c r="B185" s="6"/>
      <c r="C185" s="6"/>
      <c r="D185" s="6"/>
      <c r="E185" s="9"/>
      <c r="F185" s="9"/>
      <c r="G185" s="11"/>
      <c r="H185" s="5"/>
      <c r="I185" s="8"/>
      <c r="J185" s="8"/>
    </row>
    <row r="186" spans="2:10" ht="12.75" x14ac:dyDescent="0.2">
      <c r="B186" s="6"/>
      <c r="C186" s="6"/>
      <c r="D186" s="6"/>
      <c r="E186" s="9"/>
      <c r="F186" s="9"/>
      <c r="G186" s="11"/>
      <c r="H186" s="5"/>
      <c r="I186" s="8"/>
      <c r="J186" s="8"/>
    </row>
    <row r="187" spans="2:10" ht="12.75" x14ac:dyDescent="0.2">
      <c r="B187" s="6"/>
      <c r="C187" s="6"/>
      <c r="D187" s="6"/>
      <c r="E187" s="9"/>
      <c r="F187" s="9"/>
      <c r="G187" s="11"/>
      <c r="H187" s="5"/>
      <c r="I187" s="8"/>
      <c r="J187" s="8"/>
    </row>
    <row r="188" spans="2:10" ht="12.75" x14ac:dyDescent="0.2">
      <c r="B188" s="6"/>
      <c r="C188" s="6"/>
      <c r="D188" s="6"/>
      <c r="E188" s="9"/>
      <c r="F188" s="9"/>
      <c r="G188" s="11"/>
      <c r="H188" s="5"/>
      <c r="I188" s="8"/>
      <c r="J188" s="8"/>
    </row>
    <row r="189" spans="2:10" ht="12.75" x14ac:dyDescent="0.2">
      <c r="B189" s="6"/>
      <c r="C189" s="6"/>
      <c r="D189" s="6"/>
      <c r="E189" s="9"/>
      <c r="F189" s="9"/>
      <c r="G189" s="11"/>
      <c r="H189" s="5"/>
      <c r="I189" s="8"/>
      <c r="J189" s="8"/>
    </row>
    <row r="190" spans="2:10" ht="12.75" x14ac:dyDescent="0.2">
      <c r="B190" s="6"/>
      <c r="C190" s="6"/>
      <c r="D190" s="6"/>
      <c r="E190" s="9"/>
      <c r="F190" s="9"/>
      <c r="G190" s="11"/>
      <c r="H190" s="5"/>
      <c r="I190" s="8"/>
      <c r="J190" s="8"/>
    </row>
    <row r="191" spans="2:10" ht="12.75" x14ac:dyDescent="0.2">
      <c r="B191" s="6"/>
      <c r="C191" s="6"/>
      <c r="D191" s="6"/>
      <c r="E191" s="9"/>
      <c r="F191" s="9"/>
      <c r="G191" s="11"/>
      <c r="H191" s="5"/>
      <c r="I191" s="8"/>
      <c r="J191" s="8"/>
    </row>
    <row r="192" spans="2:10" ht="12.75" x14ac:dyDescent="0.2">
      <c r="B192" s="6"/>
      <c r="C192" s="6"/>
      <c r="D192" s="6"/>
      <c r="E192" s="9"/>
      <c r="F192" s="9"/>
      <c r="G192" s="11"/>
      <c r="H192" s="5"/>
      <c r="I192" s="8"/>
      <c r="J192" s="8"/>
    </row>
    <row r="193" spans="2:10" ht="12.75" x14ac:dyDescent="0.2">
      <c r="B193" s="6"/>
      <c r="C193" s="6"/>
      <c r="D193" s="6"/>
      <c r="E193" s="9"/>
      <c r="F193" s="9"/>
      <c r="G193" s="11"/>
      <c r="H193" s="5"/>
      <c r="I193" s="8"/>
      <c r="J193" s="8"/>
    </row>
    <row r="194" spans="2:10" ht="12.75" x14ac:dyDescent="0.2">
      <c r="B194" s="6"/>
      <c r="C194" s="6"/>
      <c r="D194" s="6"/>
      <c r="E194" s="9"/>
      <c r="F194" s="9"/>
      <c r="G194" s="11"/>
      <c r="H194" s="5"/>
      <c r="I194" s="8"/>
      <c r="J194" s="8"/>
    </row>
    <row r="195" spans="2:10" ht="12.75" x14ac:dyDescent="0.2">
      <c r="B195" s="6"/>
      <c r="C195" s="6"/>
      <c r="D195" s="6"/>
      <c r="E195" s="9"/>
      <c r="F195" s="9"/>
      <c r="G195" s="11"/>
      <c r="H195" s="5"/>
      <c r="I195" s="8"/>
      <c r="J195" s="8"/>
    </row>
    <row r="196" spans="2:10" ht="12.75" x14ac:dyDescent="0.2">
      <c r="B196" s="6"/>
      <c r="C196" s="6"/>
      <c r="D196" s="6"/>
      <c r="E196" s="9"/>
      <c r="F196" s="9"/>
      <c r="G196" s="11"/>
      <c r="H196" s="5"/>
      <c r="I196" s="8"/>
      <c r="J196" s="8"/>
    </row>
    <row r="197" spans="2:10" ht="12.75" x14ac:dyDescent="0.2">
      <c r="B197" s="6"/>
      <c r="C197" s="6"/>
      <c r="D197" s="6"/>
      <c r="E197" s="9"/>
      <c r="F197" s="9"/>
      <c r="G197" s="11"/>
      <c r="H197" s="5"/>
      <c r="I197" s="8"/>
      <c r="J197" s="8"/>
    </row>
    <row r="198" spans="2:10" ht="12.75" x14ac:dyDescent="0.2">
      <c r="B198" s="6"/>
      <c r="C198" s="6"/>
      <c r="D198" s="6"/>
      <c r="E198" s="9"/>
      <c r="F198" s="9"/>
      <c r="G198" s="11"/>
      <c r="H198" s="5"/>
      <c r="I198" s="8"/>
      <c r="J198" s="8"/>
    </row>
    <row r="199" spans="2:10" ht="12.75" x14ac:dyDescent="0.2">
      <c r="B199" s="6"/>
      <c r="C199" s="6"/>
      <c r="D199" s="6"/>
      <c r="E199" s="9"/>
      <c r="F199" s="9"/>
      <c r="G199" s="11"/>
      <c r="H199" s="5"/>
      <c r="I199" s="8"/>
      <c r="J199" s="8"/>
    </row>
    <row r="200" spans="2:10" ht="12.75" x14ac:dyDescent="0.2">
      <c r="B200" s="6"/>
      <c r="C200" s="6"/>
      <c r="D200" s="6"/>
      <c r="E200" s="9"/>
      <c r="F200" s="9"/>
      <c r="G200" s="11"/>
      <c r="H200" s="5"/>
      <c r="I200" s="8"/>
      <c r="J200" s="8"/>
    </row>
    <row r="201" spans="2:10" ht="12.75" x14ac:dyDescent="0.2">
      <c r="B201" s="6"/>
      <c r="C201" s="6"/>
      <c r="D201" s="6"/>
      <c r="E201" s="9"/>
      <c r="F201" s="9"/>
      <c r="G201" s="11"/>
      <c r="H201" s="5"/>
      <c r="I201" s="8"/>
      <c r="J201" s="8"/>
    </row>
    <row r="202" spans="2:10" ht="12.75" x14ac:dyDescent="0.2">
      <c r="B202" s="6"/>
      <c r="C202" s="6"/>
      <c r="D202" s="6"/>
      <c r="E202" s="9"/>
      <c r="F202" s="9"/>
      <c r="G202" s="11"/>
      <c r="H202" s="5"/>
      <c r="I202" s="8"/>
      <c r="J202" s="8"/>
    </row>
    <row r="203" spans="2:10" ht="12.75" x14ac:dyDescent="0.2">
      <c r="B203" s="6"/>
      <c r="C203" s="6"/>
      <c r="D203" s="6"/>
      <c r="E203" s="9"/>
      <c r="F203" s="9"/>
      <c r="G203" s="11"/>
      <c r="H203" s="5"/>
      <c r="I203" s="8"/>
      <c r="J203" s="8"/>
    </row>
    <row r="204" spans="2:10" ht="12.75" x14ac:dyDescent="0.2">
      <c r="B204" s="6"/>
      <c r="C204" s="6"/>
      <c r="D204" s="6"/>
      <c r="E204" s="9"/>
      <c r="F204" s="9"/>
      <c r="G204" s="11"/>
      <c r="H204" s="5"/>
      <c r="I204" s="8"/>
      <c r="J204" s="8"/>
    </row>
    <row r="205" spans="2:10" ht="12.75" x14ac:dyDescent="0.2">
      <c r="B205" s="6"/>
      <c r="C205" s="6"/>
      <c r="D205" s="6"/>
      <c r="E205" s="9"/>
      <c r="F205" s="9"/>
      <c r="G205" s="11"/>
      <c r="H205" s="5"/>
      <c r="I205" s="8"/>
      <c r="J205" s="8"/>
    </row>
    <row r="206" spans="2:10" ht="12.75" x14ac:dyDescent="0.2">
      <c r="B206" s="6"/>
      <c r="C206" s="6"/>
      <c r="D206" s="6"/>
      <c r="E206" s="9"/>
      <c r="F206" s="9"/>
      <c r="G206" s="11"/>
      <c r="H206" s="5"/>
      <c r="I206" s="8"/>
      <c r="J206" s="8"/>
    </row>
    <row r="207" spans="2:10" ht="12.75" x14ac:dyDescent="0.2">
      <c r="B207" s="6"/>
      <c r="C207" s="6"/>
      <c r="D207" s="6"/>
      <c r="E207" s="9"/>
      <c r="F207" s="9"/>
      <c r="G207" s="11"/>
      <c r="H207" s="5"/>
      <c r="I207" s="8"/>
      <c r="J207" s="8"/>
    </row>
    <row r="208" spans="2:10" ht="12.75" x14ac:dyDescent="0.2">
      <c r="B208" s="6"/>
      <c r="C208" s="6"/>
      <c r="D208" s="6"/>
      <c r="E208" s="9"/>
      <c r="F208" s="9"/>
      <c r="G208" s="11"/>
      <c r="H208" s="5"/>
      <c r="I208" s="8"/>
      <c r="J208" s="8"/>
    </row>
    <row r="209" spans="2:10" ht="12.75" x14ac:dyDescent="0.2">
      <c r="B209" s="6"/>
      <c r="C209" s="6"/>
      <c r="D209" s="6"/>
      <c r="E209" s="9"/>
      <c r="F209" s="9"/>
      <c r="G209" s="11"/>
      <c r="H209" s="5"/>
      <c r="I209" s="8"/>
      <c r="J209" s="8"/>
    </row>
    <row r="210" spans="2:10" ht="12.75" x14ac:dyDescent="0.2">
      <c r="B210" s="6"/>
      <c r="C210" s="6"/>
      <c r="D210" s="6"/>
      <c r="E210" s="9"/>
      <c r="F210" s="9"/>
      <c r="G210" s="11"/>
      <c r="H210" s="5"/>
      <c r="I210" s="8"/>
      <c r="J210" s="8"/>
    </row>
    <row r="211" spans="2:10" ht="12.75" x14ac:dyDescent="0.2">
      <c r="B211" s="6"/>
      <c r="C211" s="6"/>
      <c r="D211" s="6"/>
      <c r="E211" s="9"/>
      <c r="F211" s="9"/>
      <c r="G211" s="11"/>
      <c r="H211" s="5"/>
      <c r="I211" s="8"/>
      <c r="J211" s="8"/>
    </row>
    <row r="212" spans="2:10" ht="12.75" x14ac:dyDescent="0.2">
      <c r="B212" s="6"/>
      <c r="C212" s="6"/>
      <c r="D212" s="6"/>
      <c r="E212" s="9"/>
      <c r="F212" s="9"/>
      <c r="G212" s="11"/>
      <c r="H212" s="5"/>
      <c r="I212" s="8"/>
      <c r="J212" s="8"/>
    </row>
    <row r="213" spans="2:10" ht="12.75" x14ac:dyDescent="0.2">
      <c r="B213" s="6"/>
      <c r="C213" s="6"/>
      <c r="D213" s="6"/>
      <c r="E213" s="9"/>
      <c r="F213" s="9"/>
      <c r="G213" s="11"/>
      <c r="H213" s="5"/>
      <c r="I213" s="8"/>
      <c r="J213" s="8"/>
    </row>
    <row r="214" spans="2:10" ht="12.75" x14ac:dyDescent="0.2">
      <c r="B214" s="6"/>
      <c r="C214" s="6"/>
      <c r="D214" s="6"/>
      <c r="E214" s="9"/>
      <c r="F214" s="9"/>
      <c r="G214" s="11"/>
      <c r="H214" s="5"/>
      <c r="I214" s="8"/>
      <c r="J214" s="8"/>
    </row>
    <row r="215" spans="2:10" ht="12.75" x14ac:dyDescent="0.2">
      <c r="B215" s="6"/>
      <c r="C215" s="6"/>
      <c r="D215" s="6"/>
      <c r="E215" s="9"/>
      <c r="F215" s="9"/>
      <c r="G215" s="11"/>
      <c r="H215" s="5"/>
      <c r="I215" s="8"/>
      <c r="J215" s="8"/>
    </row>
    <row r="216" spans="2:10" ht="12.75" x14ac:dyDescent="0.2">
      <c r="B216" s="6"/>
      <c r="C216" s="6"/>
      <c r="D216" s="6"/>
      <c r="E216" s="9"/>
      <c r="F216" s="9"/>
      <c r="G216" s="11"/>
      <c r="H216" s="5"/>
      <c r="I216" s="8"/>
      <c r="J216" s="8"/>
    </row>
    <row r="217" spans="2:10" ht="12.75" x14ac:dyDescent="0.2">
      <c r="B217" s="6"/>
      <c r="C217" s="6"/>
      <c r="D217" s="6"/>
      <c r="E217" s="9"/>
      <c r="F217" s="9"/>
      <c r="G217" s="11"/>
      <c r="H217" s="5"/>
      <c r="I217" s="8"/>
      <c r="J217" s="8"/>
    </row>
    <row r="218" spans="2:10" ht="12.75" x14ac:dyDescent="0.2">
      <c r="B218" s="6"/>
      <c r="C218" s="6"/>
      <c r="D218" s="6"/>
      <c r="E218" s="9"/>
      <c r="F218" s="9"/>
      <c r="G218" s="11"/>
      <c r="H218" s="5"/>
      <c r="I218" s="8"/>
      <c r="J218" s="8"/>
    </row>
    <row r="219" spans="2:10" ht="12.75" x14ac:dyDescent="0.2">
      <c r="B219" s="6"/>
      <c r="C219" s="6"/>
      <c r="D219" s="6"/>
      <c r="E219" s="9"/>
      <c r="F219" s="9"/>
      <c r="G219" s="11"/>
      <c r="H219" s="5"/>
      <c r="I219" s="8"/>
      <c r="J219" s="8"/>
    </row>
    <row r="220" spans="2:10" ht="12.75" x14ac:dyDescent="0.2">
      <c r="B220" s="6"/>
      <c r="C220" s="6"/>
      <c r="D220" s="6"/>
      <c r="E220" s="9"/>
      <c r="F220" s="9"/>
      <c r="G220" s="11"/>
      <c r="H220" s="5"/>
      <c r="I220" s="8"/>
      <c r="J220" s="8"/>
    </row>
    <row r="221" spans="2:10" ht="12.75" x14ac:dyDescent="0.2">
      <c r="B221" s="6"/>
      <c r="C221" s="6"/>
      <c r="D221" s="6"/>
      <c r="E221" s="9"/>
      <c r="F221" s="9"/>
      <c r="G221" s="11"/>
      <c r="H221" s="5"/>
      <c r="I221" s="8"/>
      <c r="J221" s="8"/>
    </row>
    <row r="222" spans="2:10" ht="12.75" x14ac:dyDescent="0.2">
      <c r="B222" s="6"/>
      <c r="C222" s="6"/>
      <c r="D222" s="6"/>
      <c r="E222" s="9"/>
      <c r="F222" s="9"/>
      <c r="G222" s="11"/>
      <c r="H222" s="5"/>
      <c r="I222" s="8"/>
      <c r="J222" s="8"/>
    </row>
    <row r="223" spans="2:10" ht="12.75" x14ac:dyDescent="0.2">
      <c r="B223" s="6"/>
      <c r="C223" s="6"/>
      <c r="D223" s="6"/>
      <c r="E223" s="9"/>
      <c r="F223" s="9"/>
      <c r="G223" s="11"/>
      <c r="H223" s="5"/>
      <c r="I223" s="8"/>
      <c r="J223" s="8"/>
    </row>
    <row r="224" spans="2:10" ht="12.75" x14ac:dyDescent="0.2">
      <c r="B224" s="6"/>
      <c r="C224" s="6"/>
      <c r="D224" s="6"/>
      <c r="E224" s="9"/>
      <c r="F224" s="9"/>
      <c r="G224" s="11"/>
      <c r="H224" s="5"/>
      <c r="I224" s="8"/>
      <c r="J224" s="8"/>
    </row>
    <row r="225" spans="2:10" ht="12.75" x14ac:dyDescent="0.2">
      <c r="B225" s="6"/>
      <c r="C225" s="6"/>
      <c r="D225" s="6"/>
      <c r="E225" s="9"/>
      <c r="F225" s="9"/>
      <c r="G225" s="11"/>
      <c r="H225" s="5"/>
      <c r="I225" s="8"/>
      <c r="J225" s="8"/>
    </row>
    <row r="226" spans="2:10" ht="12.75" x14ac:dyDescent="0.2">
      <c r="B226" s="6"/>
      <c r="C226" s="6"/>
      <c r="D226" s="6"/>
      <c r="E226" s="9"/>
      <c r="F226" s="9"/>
      <c r="G226" s="11"/>
      <c r="H226" s="5"/>
      <c r="I226" s="8"/>
      <c r="J226" s="8"/>
    </row>
    <row r="227" spans="2:10" ht="12.75" x14ac:dyDescent="0.2">
      <c r="B227" s="6"/>
      <c r="C227" s="6"/>
      <c r="D227" s="6"/>
      <c r="E227" s="9"/>
      <c r="F227" s="9"/>
      <c r="G227" s="11"/>
      <c r="H227" s="5"/>
      <c r="I227" s="8"/>
      <c r="J227" s="8"/>
    </row>
    <row r="228" spans="2:10" ht="12.75" x14ac:dyDescent="0.2">
      <c r="B228" s="6"/>
      <c r="C228" s="6"/>
      <c r="D228" s="6"/>
      <c r="E228" s="9"/>
      <c r="F228" s="9"/>
      <c r="G228" s="11"/>
      <c r="H228" s="5"/>
      <c r="I228" s="8"/>
      <c r="J228" s="8"/>
    </row>
    <row r="229" spans="2:10" ht="12.75" x14ac:dyDescent="0.2">
      <c r="B229" s="6"/>
      <c r="C229" s="6"/>
      <c r="D229" s="6"/>
      <c r="E229" s="9"/>
      <c r="F229" s="9"/>
      <c r="G229" s="11"/>
      <c r="H229" s="5"/>
      <c r="I229" s="8"/>
      <c r="J229" s="8"/>
    </row>
    <row r="230" spans="2:10" ht="12.75" x14ac:dyDescent="0.2">
      <c r="B230" s="6"/>
      <c r="C230" s="6"/>
      <c r="D230" s="6"/>
      <c r="E230" s="9"/>
      <c r="F230" s="9"/>
      <c r="G230" s="11"/>
      <c r="H230" s="5"/>
      <c r="I230" s="8"/>
      <c r="J230" s="8"/>
    </row>
    <row r="231" spans="2:10" ht="12.75" x14ac:dyDescent="0.2">
      <c r="B231" s="6"/>
      <c r="C231" s="6"/>
      <c r="D231" s="6"/>
      <c r="E231" s="9"/>
      <c r="F231" s="9"/>
      <c r="G231" s="11"/>
      <c r="H231" s="5"/>
      <c r="I231" s="8"/>
      <c r="J231" s="8"/>
    </row>
    <row r="232" spans="2:10" ht="12.75" x14ac:dyDescent="0.2">
      <c r="B232" s="6"/>
      <c r="C232" s="6"/>
      <c r="D232" s="6"/>
      <c r="E232" s="9"/>
      <c r="F232" s="9"/>
      <c r="G232" s="11"/>
      <c r="H232" s="5"/>
      <c r="I232" s="8"/>
      <c r="J232" s="8"/>
    </row>
    <row r="233" spans="2:10" ht="12.75" x14ac:dyDescent="0.2">
      <c r="B233" s="6"/>
      <c r="C233" s="6"/>
      <c r="D233" s="6"/>
      <c r="E233" s="9"/>
      <c r="F233" s="9"/>
      <c r="G233" s="11"/>
      <c r="H233" s="5"/>
      <c r="I233" s="8"/>
      <c r="J233" s="8"/>
    </row>
    <row r="234" spans="2:10" ht="12.75" x14ac:dyDescent="0.2">
      <c r="B234" s="6"/>
      <c r="C234" s="6"/>
      <c r="D234" s="6"/>
      <c r="E234" s="9"/>
      <c r="F234" s="9"/>
      <c r="G234" s="11"/>
      <c r="H234" s="5"/>
      <c r="I234" s="8"/>
      <c r="J234" s="8"/>
    </row>
    <row r="235" spans="2:10" ht="12.75" x14ac:dyDescent="0.2">
      <c r="B235" s="6"/>
      <c r="C235" s="6"/>
      <c r="D235" s="6"/>
      <c r="E235" s="9"/>
      <c r="F235" s="9"/>
      <c r="G235" s="11"/>
      <c r="H235" s="5"/>
      <c r="I235" s="8"/>
      <c r="J235" s="8"/>
    </row>
    <row r="236" spans="2:10" ht="12.75" x14ac:dyDescent="0.2">
      <c r="B236" s="6"/>
      <c r="C236" s="6"/>
      <c r="D236" s="6"/>
      <c r="E236" s="9"/>
      <c r="F236" s="9"/>
      <c r="G236" s="11"/>
      <c r="H236" s="5"/>
      <c r="I236" s="8"/>
      <c r="J236" s="8"/>
    </row>
    <row r="237" spans="2:10" ht="12.75" x14ac:dyDescent="0.2">
      <c r="B237" s="6"/>
      <c r="C237" s="6"/>
      <c r="D237" s="6"/>
      <c r="E237" s="9"/>
      <c r="F237" s="9"/>
      <c r="G237" s="11"/>
      <c r="H237" s="5"/>
      <c r="I237" s="8"/>
      <c r="J237" s="8"/>
    </row>
    <row r="238" spans="2:10" ht="12.75" x14ac:dyDescent="0.2">
      <c r="B238" s="6"/>
      <c r="C238" s="6"/>
      <c r="D238" s="6"/>
      <c r="E238" s="9"/>
      <c r="F238" s="9"/>
      <c r="G238" s="11"/>
      <c r="H238" s="5"/>
      <c r="I238" s="8"/>
      <c r="J238" s="8"/>
    </row>
    <row r="239" spans="2:10" ht="12.75" x14ac:dyDescent="0.2">
      <c r="B239" s="6"/>
      <c r="C239" s="6"/>
      <c r="D239" s="6"/>
      <c r="E239" s="9"/>
      <c r="F239" s="9"/>
      <c r="G239" s="11"/>
      <c r="H239" s="5"/>
      <c r="I239" s="8"/>
      <c r="J239" s="8"/>
    </row>
    <row r="240" spans="2:10" ht="12.75" x14ac:dyDescent="0.2">
      <c r="B240" s="6"/>
      <c r="C240" s="6"/>
      <c r="D240" s="6"/>
      <c r="E240" s="9"/>
      <c r="F240" s="9"/>
      <c r="G240" s="11"/>
      <c r="H240" s="5"/>
      <c r="I240" s="8"/>
      <c r="J240" s="8"/>
    </row>
    <row r="241" spans="2:10" ht="12.75" x14ac:dyDescent="0.2">
      <c r="B241" s="6"/>
      <c r="C241" s="6"/>
      <c r="D241" s="6"/>
      <c r="E241" s="9"/>
      <c r="F241" s="9"/>
      <c r="G241" s="11"/>
      <c r="H241" s="5"/>
      <c r="I241" s="8"/>
      <c r="J241" s="8"/>
    </row>
    <row r="242" spans="2:10" ht="12.75" x14ac:dyDescent="0.2">
      <c r="B242" s="6"/>
      <c r="C242" s="6"/>
      <c r="D242" s="6"/>
      <c r="E242" s="9"/>
      <c r="F242" s="9"/>
      <c r="G242" s="11"/>
      <c r="H242" s="5"/>
      <c r="I242" s="8"/>
      <c r="J242" s="8"/>
    </row>
    <row r="243" spans="2:10" ht="12.75" x14ac:dyDescent="0.2">
      <c r="B243" s="6"/>
      <c r="C243" s="6"/>
      <c r="D243" s="6"/>
      <c r="E243" s="9"/>
      <c r="F243" s="9"/>
      <c r="G243" s="11"/>
      <c r="H243" s="5"/>
      <c r="I243" s="8"/>
      <c r="J243" s="8"/>
    </row>
    <row r="244" spans="2:10" ht="12.75" x14ac:dyDescent="0.2">
      <c r="B244" s="6"/>
      <c r="C244" s="6"/>
      <c r="D244" s="6"/>
      <c r="E244" s="9"/>
      <c r="F244" s="9"/>
      <c r="G244" s="11"/>
      <c r="H244" s="5"/>
      <c r="I244" s="8"/>
      <c r="J244" s="8"/>
    </row>
    <row r="245" spans="2:10" ht="12.75" x14ac:dyDescent="0.2">
      <c r="B245" s="6"/>
      <c r="C245" s="6"/>
      <c r="D245" s="6"/>
      <c r="E245" s="9"/>
      <c r="F245" s="9"/>
      <c r="G245" s="11"/>
      <c r="H245" s="5"/>
      <c r="I245" s="8"/>
      <c r="J245" s="8"/>
    </row>
    <row r="246" spans="2:10" ht="12.75" x14ac:dyDescent="0.2">
      <c r="B246" s="6"/>
      <c r="C246" s="6"/>
      <c r="D246" s="6"/>
      <c r="E246" s="9"/>
      <c r="F246" s="9"/>
      <c r="G246" s="11"/>
      <c r="H246" s="5"/>
      <c r="I246" s="8"/>
      <c r="J246" s="8"/>
    </row>
    <row r="247" spans="2:10" ht="12.75" x14ac:dyDescent="0.2">
      <c r="B247" s="6"/>
      <c r="C247" s="6"/>
      <c r="D247" s="6"/>
      <c r="E247" s="9"/>
      <c r="F247" s="9"/>
      <c r="G247" s="11"/>
      <c r="H247" s="5"/>
      <c r="I247" s="8"/>
      <c r="J247" s="8"/>
    </row>
    <row r="248" spans="2:10" ht="12.75" x14ac:dyDescent="0.2">
      <c r="B248" s="6"/>
      <c r="C248" s="6"/>
      <c r="D248" s="6"/>
      <c r="E248" s="9"/>
      <c r="F248" s="9"/>
      <c r="G248" s="11"/>
      <c r="H248" s="5"/>
      <c r="I248" s="8"/>
      <c r="J248" s="8"/>
    </row>
    <row r="249" spans="2:10" ht="12.75" x14ac:dyDescent="0.2">
      <c r="B249" s="6"/>
      <c r="C249" s="6"/>
      <c r="D249" s="6"/>
      <c r="E249" s="9"/>
      <c r="F249" s="9"/>
      <c r="G249" s="11"/>
      <c r="H249" s="5"/>
      <c r="I249" s="8"/>
      <c r="J249" s="8"/>
    </row>
    <row r="250" spans="2:10" ht="12.75" x14ac:dyDescent="0.2">
      <c r="B250" s="6"/>
      <c r="C250" s="6"/>
      <c r="D250" s="6"/>
      <c r="E250" s="9"/>
      <c r="F250" s="9"/>
      <c r="G250" s="11"/>
      <c r="H250" s="5"/>
      <c r="I250" s="8"/>
      <c r="J250" s="8"/>
    </row>
    <row r="251" spans="2:10" ht="12.75" x14ac:dyDescent="0.2">
      <c r="B251" s="6"/>
      <c r="C251" s="6"/>
      <c r="D251" s="6"/>
      <c r="E251" s="9"/>
      <c r="F251" s="9"/>
      <c r="G251" s="11"/>
      <c r="H251" s="5"/>
      <c r="I251" s="8"/>
      <c r="J251" s="8"/>
    </row>
    <row r="252" spans="2:10" ht="12.75" x14ac:dyDescent="0.2">
      <c r="B252" s="6"/>
      <c r="C252" s="6"/>
      <c r="D252" s="6"/>
      <c r="E252" s="9"/>
      <c r="F252" s="9"/>
      <c r="G252" s="11"/>
      <c r="H252" s="5"/>
      <c r="I252" s="8"/>
      <c r="J252" s="8"/>
    </row>
    <row r="253" spans="2:10" ht="12.75" x14ac:dyDescent="0.2">
      <c r="B253" s="6"/>
      <c r="C253" s="6"/>
      <c r="D253" s="6"/>
      <c r="E253" s="9"/>
      <c r="F253" s="9"/>
      <c r="G253" s="11"/>
      <c r="H253" s="5"/>
      <c r="I253" s="8"/>
      <c r="J253" s="8"/>
    </row>
    <row r="254" spans="2:10" ht="12.75" x14ac:dyDescent="0.2">
      <c r="B254" s="6"/>
      <c r="C254" s="6"/>
      <c r="D254" s="6"/>
      <c r="E254" s="9"/>
      <c r="F254" s="9"/>
      <c r="G254" s="11"/>
      <c r="H254" s="5"/>
      <c r="I254" s="8"/>
      <c r="J254" s="8"/>
    </row>
    <row r="255" spans="2:10" ht="12.75" x14ac:dyDescent="0.2">
      <c r="B255" s="6"/>
      <c r="C255" s="6"/>
      <c r="D255" s="6"/>
      <c r="E255" s="9"/>
      <c r="F255" s="9"/>
      <c r="G255" s="11"/>
      <c r="H255" s="5"/>
      <c r="I255" s="8"/>
      <c r="J255" s="8"/>
    </row>
    <row r="256" spans="2:10" ht="12.75" x14ac:dyDescent="0.2">
      <c r="B256" s="6"/>
      <c r="C256" s="6"/>
      <c r="D256" s="6"/>
      <c r="E256" s="9"/>
      <c r="F256" s="9"/>
      <c r="G256" s="11"/>
      <c r="H256" s="5"/>
      <c r="I256" s="8"/>
      <c r="J256" s="8"/>
    </row>
    <row r="257" spans="2:10" ht="12.75" x14ac:dyDescent="0.2">
      <c r="B257" s="6"/>
      <c r="C257" s="6"/>
      <c r="D257" s="6"/>
      <c r="E257" s="9"/>
      <c r="F257" s="9"/>
      <c r="G257" s="11"/>
      <c r="H257" s="5"/>
      <c r="I257" s="8"/>
      <c r="J257" s="8"/>
    </row>
    <row r="258" spans="2:10" ht="12.75" x14ac:dyDescent="0.2">
      <c r="B258" s="6"/>
      <c r="C258" s="6"/>
      <c r="D258" s="6"/>
      <c r="E258" s="9"/>
      <c r="F258" s="9"/>
      <c r="G258" s="11"/>
      <c r="H258" s="5"/>
      <c r="I258" s="8"/>
      <c r="J258" s="8"/>
    </row>
    <row r="259" spans="2:10" ht="12.75" x14ac:dyDescent="0.2">
      <c r="B259" s="6"/>
      <c r="C259" s="6"/>
      <c r="D259" s="6"/>
      <c r="E259" s="9"/>
      <c r="F259" s="9"/>
      <c r="G259" s="11"/>
      <c r="H259" s="5"/>
      <c r="I259" s="8"/>
      <c r="J259" s="8"/>
    </row>
    <row r="260" spans="2:10" ht="12.75" x14ac:dyDescent="0.2">
      <c r="B260" s="6"/>
      <c r="C260" s="6"/>
      <c r="D260" s="6"/>
      <c r="E260" s="9"/>
      <c r="F260" s="9"/>
      <c r="G260" s="11"/>
      <c r="H260" s="5"/>
      <c r="I260" s="8"/>
      <c r="J260" s="8"/>
    </row>
    <row r="261" spans="2:10" ht="12.75" x14ac:dyDescent="0.2">
      <c r="B261" s="6"/>
      <c r="C261" s="6"/>
      <c r="D261" s="6"/>
      <c r="E261" s="9"/>
      <c r="F261" s="9"/>
      <c r="G261" s="11"/>
      <c r="H261" s="5"/>
      <c r="I261" s="8"/>
      <c r="J261" s="8"/>
    </row>
    <row r="262" spans="2:10" ht="12.75" x14ac:dyDescent="0.2">
      <c r="B262" s="6"/>
      <c r="C262" s="6"/>
      <c r="D262" s="6"/>
      <c r="E262" s="9"/>
      <c r="F262" s="9"/>
      <c r="G262" s="11"/>
      <c r="H262" s="5"/>
      <c r="I262" s="8"/>
      <c r="J262" s="8"/>
    </row>
    <row r="263" spans="2:10" ht="12.75" x14ac:dyDescent="0.2">
      <c r="B263" s="6"/>
      <c r="C263" s="6"/>
      <c r="D263" s="6"/>
      <c r="E263" s="9"/>
      <c r="F263" s="9"/>
      <c r="G263" s="11"/>
      <c r="H263" s="5"/>
      <c r="I263" s="8"/>
      <c r="J263" s="8"/>
    </row>
    <row r="264" spans="2:10" ht="12.75" x14ac:dyDescent="0.2">
      <c r="B264" s="6"/>
      <c r="C264" s="6"/>
      <c r="D264" s="6"/>
      <c r="E264" s="9"/>
      <c r="F264" s="9"/>
      <c r="G264" s="11"/>
      <c r="H264" s="5"/>
      <c r="I264" s="8"/>
      <c r="J264" s="8"/>
    </row>
    <row r="265" spans="2:10" ht="12.75" x14ac:dyDescent="0.2">
      <c r="B265" s="6"/>
      <c r="C265" s="6"/>
      <c r="D265" s="6"/>
      <c r="E265" s="9"/>
      <c r="F265" s="9"/>
      <c r="G265" s="11"/>
      <c r="H265" s="5"/>
      <c r="I265" s="8"/>
      <c r="J265" s="8"/>
    </row>
    <row r="266" spans="2:10" ht="12.75" x14ac:dyDescent="0.2">
      <c r="B266" s="6"/>
      <c r="C266" s="6"/>
      <c r="D266" s="6"/>
      <c r="E266" s="9"/>
      <c r="F266" s="9"/>
      <c r="G266" s="11"/>
      <c r="H266" s="5"/>
      <c r="I266" s="8"/>
      <c r="J266" s="8"/>
    </row>
    <row r="267" spans="2:10" ht="12.75" x14ac:dyDescent="0.2">
      <c r="B267" s="6"/>
      <c r="C267" s="6"/>
      <c r="D267" s="6"/>
      <c r="E267" s="9"/>
      <c r="F267" s="9"/>
      <c r="G267" s="11"/>
      <c r="H267" s="5"/>
      <c r="I267" s="8"/>
      <c r="J267" s="8"/>
    </row>
    <row r="268" spans="2:10" ht="12.75" x14ac:dyDescent="0.2">
      <c r="B268" s="6"/>
      <c r="C268" s="6"/>
      <c r="D268" s="6"/>
      <c r="E268" s="9"/>
      <c r="F268" s="9"/>
      <c r="G268" s="11"/>
      <c r="H268" s="5"/>
      <c r="I268" s="8"/>
      <c r="J268" s="8"/>
    </row>
    <row r="269" spans="2:10" ht="12.75" x14ac:dyDescent="0.2">
      <c r="B269" s="6"/>
      <c r="C269" s="6"/>
      <c r="D269" s="6"/>
      <c r="E269" s="9"/>
      <c r="F269" s="9"/>
      <c r="G269" s="11"/>
      <c r="H269" s="5"/>
      <c r="I269" s="8"/>
      <c r="J269" s="8"/>
    </row>
    <row r="270" spans="2:10" ht="12.75" x14ac:dyDescent="0.2">
      <c r="B270" s="6"/>
      <c r="C270" s="6"/>
      <c r="D270" s="6"/>
      <c r="E270" s="9"/>
      <c r="F270" s="9"/>
      <c r="G270" s="11"/>
      <c r="H270" s="5"/>
      <c r="I270" s="8"/>
      <c r="J270" s="8"/>
    </row>
    <row r="271" spans="2:10" ht="12.75" x14ac:dyDescent="0.2">
      <c r="B271" s="6"/>
      <c r="C271" s="6"/>
      <c r="D271" s="6"/>
      <c r="E271" s="9"/>
      <c r="F271" s="9"/>
      <c r="G271" s="11"/>
      <c r="H271" s="5"/>
      <c r="I271" s="8"/>
      <c r="J271" s="8"/>
    </row>
    <row r="272" spans="2:10" ht="12.75" x14ac:dyDescent="0.2">
      <c r="B272" s="6"/>
      <c r="C272" s="6"/>
      <c r="D272" s="6"/>
      <c r="E272" s="9"/>
      <c r="F272" s="9"/>
      <c r="G272" s="11"/>
      <c r="H272" s="5"/>
      <c r="I272" s="8"/>
      <c r="J272" s="8"/>
    </row>
    <row r="273" spans="2:10" ht="12.75" x14ac:dyDescent="0.2">
      <c r="B273" s="6"/>
      <c r="C273" s="6"/>
      <c r="D273" s="6"/>
      <c r="E273" s="9"/>
      <c r="F273" s="9"/>
      <c r="G273" s="11"/>
      <c r="H273" s="5"/>
      <c r="I273" s="8"/>
      <c r="J273" s="8"/>
    </row>
    <row r="274" spans="2:10" ht="12.75" x14ac:dyDescent="0.2">
      <c r="B274" s="6"/>
      <c r="C274" s="6"/>
      <c r="D274" s="6"/>
      <c r="E274" s="9"/>
      <c r="F274" s="9"/>
      <c r="G274" s="11"/>
      <c r="H274" s="5"/>
      <c r="I274" s="8"/>
      <c r="J274" s="8"/>
    </row>
    <row r="275" spans="2:10" ht="12.75" x14ac:dyDescent="0.2">
      <c r="B275" s="6"/>
      <c r="C275" s="6"/>
      <c r="D275" s="6"/>
      <c r="E275" s="9"/>
      <c r="F275" s="9"/>
      <c r="G275" s="11"/>
      <c r="H275" s="5"/>
      <c r="I275" s="8"/>
      <c r="J275" s="8"/>
    </row>
    <row r="276" spans="2:10" ht="12.75" x14ac:dyDescent="0.2">
      <c r="B276" s="6"/>
      <c r="C276" s="6"/>
      <c r="D276" s="6"/>
      <c r="E276" s="9"/>
      <c r="F276" s="9"/>
      <c r="G276" s="11"/>
      <c r="H276" s="5"/>
      <c r="I276" s="8"/>
      <c r="J276" s="8"/>
    </row>
    <row r="277" spans="2:10" ht="12.75" x14ac:dyDescent="0.2">
      <c r="B277" s="6"/>
      <c r="C277" s="6"/>
      <c r="D277" s="6"/>
      <c r="E277" s="9"/>
      <c r="F277" s="9"/>
      <c r="G277" s="11"/>
      <c r="H277" s="5"/>
      <c r="I277" s="8"/>
      <c r="J277" s="8"/>
    </row>
    <row r="278" spans="2:10" ht="12.75" x14ac:dyDescent="0.2">
      <c r="B278" s="6"/>
      <c r="C278" s="6"/>
      <c r="D278" s="6"/>
      <c r="E278" s="9"/>
      <c r="F278" s="9"/>
      <c r="G278" s="11"/>
      <c r="H278" s="5"/>
      <c r="I278" s="8"/>
      <c r="J278" s="8"/>
    </row>
    <row r="279" spans="2:10" ht="12.75" x14ac:dyDescent="0.2">
      <c r="B279" s="6"/>
      <c r="C279" s="6"/>
      <c r="D279" s="6"/>
      <c r="E279" s="9"/>
      <c r="F279" s="9"/>
      <c r="G279" s="11"/>
      <c r="H279" s="5"/>
      <c r="I279" s="8"/>
      <c r="J279" s="8"/>
    </row>
    <row r="280" spans="2:10" ht="12.75" x14ac:dyDescent="0.2">
      <c r="B280" s="6"/>
      <c r="C280" s="6"/>
      <c r="D280" s="6"/>
      <c r="E280" s="9"/>
      <c r="F280" s="9"/>
      <c r="G280" s="11"/>
      <c r="H280" s="5"/>
      <c r="I280" s="8"/>
      <c r="J280" s="8"/>
    </row>
    <row r="281" spans="2:10" ht="12.75" x14ac:dyDescent="0.2">
      <c r="B281" s="6"/>
      <c r="C281" s="6"/>
      <c r="D281" s="6"/>
      <c r="E281" s="9"/>
      <c r="F281" s="9"/>
      <c r="G281" s="11"/>
      <c r="H281" s="5"/>
      <c r="I281" s="8"/>
      <c r="J281" s="8"/>
    </row>
    <row r="282" spans="2:10" ht="12.75" x14ac:dyDescent="0.2">
      <c r="B282" s="6"/>
      <c r="C282" s="6"/>
      <c r="D282" s="6"/>
      <c r="E282" s="9"/>
      <c r="F282" s="9"/>
      <c r="G282" s="11"/>
      <c r="H282" s="5"/>
      <c r="I282" s="8"/>
      <c r="J282" s="8"/>
    </row>
    <row r="283" spans="2:10" ht="12.75" x14ac:dyDescent="0.2">
      <c r="B283" s="6"/>
      <c r="C283" s="6"/>
      <c r="D283" s="6"/>
      <c r="E283" s="9"/>
      <c r="F283" s="9"/>
      <c r="G283" s="11"/>
      <c r="H283" s="5"/>
      <c r="I283" s="8"/>
      <c r="J283" s="8"/>
    </row>
    <row r="284" spans="2:10" ht="12.75" x14ac:dyDescent="0.2">
      <c r="B284" s="6"/>
      <c r="C284" s="6"/>
      <c r="D284" s="6"/>
      <c r="E284" s="9"/>
      <c r="F284" s="9"/>
      <c r="G284" s="11"/>
      <c r="H284" s="5"/>
      <c r="I284" s="8"/>
      <c r="J284" s="8"/>
    </row>
    <row r="285" spans="2:10" ht="12.75" x14ac:dyDescent="0.2">
      <c r="B285" s="6"/>
      <c r="C285" s="6"/>
      <c r="D285" s="6"/>
      <c r="E285" s="9"/>
      <c r="F285" s="9"/>
      <c r="G285" s="11"/>
      <c r="H285" s="5"/>
      <c r="I285" s="8"/>
      <c r="J285" s="8"/>
    </row>
    <row r="286" spans="2:10" ht="12.75" x14ac:dyDescent="0.2">
      <c r="B286" s="6"/>
      <c r="C286" s="6"/>
      <c r="D286" s="6"/>
      <c r="E286" s="9"/>
      <c r="F286" s="9"/>
      <c r="G286" s="11"/>
      <c r="H286" s="5"/>
      <c r="I286" s="8"/>
      <c r="J286" s="8"/>
    </row>
    <row r="287" spans="2:10" ht="12.75" x14ac:dyDescent="0.2">
      <c r="B287" s="6"/>
      <c r="C287" s="6"/>
      <c r="D287" s="6"/>
      <c r="E287" s="9"/>
      <c r="F287" s="9"/>
      <c r="G287" s="11"/>
      <c r="H287" s="5"/>
      <c r="I287" s="8"/>
      <c r="J287" s="8"/>
    </row>
    <row r="288" spans="2:10" ht="12.75" x14ac:dyDescent="0.2">
      <c r="B288" s="6"/>
      <c r="C288" s="6"/>
      <c r="D288" s="6"/>
      <c r="E288" s="9"/>
      <c r="F288" s="9"/>
      <c r="G288" s="11"/>
      <c r="H288" s="5"/>
      <c r="I288" s="8"/>
      <c r="J288" s="8"/>
    </row>
    <row r="289" spans="2:10" ht="12.75" x14ac:dyDescent="0.2">
      <c r="B289" s="6"/>
      <c r="C289" s="6"/>
      <c r="D289" s="6"/>
      <c r="E289" s="9"/>
      <c r="F289" s="9"/>
      <c r="G289" s="11"/>
      <c r="H289" s="5"/>
      <c r="I289" s="8"/>
      <c r="J289" s="8"/>
    </row>
    <row r="290" spans="2:10" ht="12.75" x14ac:dyDescent="0.2">
      <c r="B290" s="6"/>
      <c r="C290" s="6"/>
      <c r="D290" s="6"/>
      <c r="E290" s="9"/>
      <c r="F290" s="9"/>
      <c r="G290" s="11"/>
      <c r="H290" s="5"/>
      <c r="I290" s="8"/>
      <c r="J290" s="8"/>
    </row>
    <row r="291" spans="2:10" ht="12.75" x14ac:dyDescent="0.2">
      <c r="B291" s="6"/>
      <c r="C291" s="6"/>
      <c r="D291" s="6"/>
      <c r="E291" s="9"/>
      <c r="F291" s="9"/>
      <c r="G291" s="11"/>
      <c r="H291" s="5"/>
      <c r="I291" s="8"/>
      <c r="J291" s="8"/>
    </row>
    <row r="292" spans="2:10" ht="12.75" x14ac:dyDescent="0.2">
      <c r="B292" s="6"/>
      <c r="C292" s="6"/>
      <c r="D292" s="6"/>
      <c r="E292" s="9"/>
      <c r="F292" s="9"/>
      <c r="G292" s="11"/>
      <c r="H292" s="5"/>
      <c r="I292" s="8"/>
      <c r="J292" s="8"/>
    </row>
    <row r="293" spans="2:10" ht="12.75" x14ac:dyDescent="0.2">
      <c r="B293" s="6"/>
      <c r="C293" s="6"/>
      <c r="D293" s="6"/>
      <c r="E293" s="9"/>
      <c r="F293" s="9"/>
      <c r="G293" s="11"/>
      <c r="H293" s="5"/>
      <c r="I293" s="8"/>
      <c r="J293" s="8"/>
    </row>
    <row r="294" spans="2:10" ht="12.75" x14ac:dyDescent="0.2">
      <c r="B294" s="6"/>
      <c r="C294" s="6"/>
      <c r="D294" s="6"/>
      <c r="E294" s="9"/>
      <c r="F294" s="9"/>
      <c r="G294" s="11"/>
      <c r="H294" s="5"/>
      <c r="I294" s="8"/>
      <c r="J294" s="8"/>
    </row>
    <row r="295" spans="2:10" ht="12.75" x14ac:dyDescent="0.2">
      <c r="B295" s="6"/>
      <c r="C295" s="6"/>
      <c r="D295" s="6"/>
      <c r="E295" s="9"/>
      <c r="F295" s="9"/>
      <c r="G295" s="11"/>
      <c r="H295" s="5"/>
      <c r="I295" s="8"/>
      <c r="J295" s="8"/>
    </row>
    <row r="296" spans="2:10" ht="12.75" x14ac:dyDescent="0.2">
      <c r="B296" s="6"/>
      <c r="C296" s="6"/>
      <c r="D296" s="6"/>
      <c r="E296" s="9"/>
      <c r="F296" s="9"/>
      <c r="G296" s="11"/>
      <c r="H296" s="5"/>
      <c r="I296" s="8"/>
      <c r="J296" s="8"/>
    </row>
    <row r="297" spans="2:10" ht="12.75" x14ac:dyDescent="0.2">
      <c r="B297" s="6"/>
      <c r="C297" s="6"/>
      <c r="D297" s="6"/>
      <c r="E297" s="9"/>
      <c r="F297" s="9"/>
      <c r="G297" s="11"/>
      <c r="H297" s="5"/>
      <c r="I297" s="8"/>
      <c r="J297" s="8"/>
    </row>
    <row r="298" spans="2:10" ht="12.75" x14ac:dyDescent="0.2">
      <c r="B298" s="6"/>
      <c r="C298" s="6"/>
      <c r="D298" s="6"/>
      <c r="E298" s="9"/>
      <c r="F298" s="9"/>
      <c r="G298" s="11"/>
      <c r="H298" s="5"/>
      <c r="I298" s="8"/>
      <c r="J298" s="8"/>
    </row>
    <row r="299" spans="2:10" ht="12.75" x14ac:dyDescent="0.2">
      <c r="B299" s="6"/>
      <c r="C299" s="6"/>
      <c r="D299" s="6"/>
      <c r="E299" s="9"/>
      <c r="F299" s="9"/>
      <c r="G299" s="11"/>
      <c r="H299" s="5"/>
      <c r="I299" s="8"/>
      <c r="J299" s="8"/>
    </row>
    <row r="300" spans="2:10" ht="12.75" x14ac:dyDescent="0.2">
      <c r="B300" s="6"/>
      <c r="C300" s="6"/>
      <c r="D300" s="6"/>
      <c r="E300" s="9"/>
      <c r="F300" s="9"/>
      <c r="G300" s="11"/>
      <c r="H300" s="5"/>
      <c r="I300" s="8"/>
      <c r="J300" s="8"/>
    </row>
    <row r="301" spans="2:10" ht="12.75" x14ac:dyDescent="0.2">
      <c r="B301" s="6"/>
      <c r="C301" s="6"/>
      <c r="D301" s="6"/>
      <c r="E301" s="9"/>
      <c r="F301" s="9"/>
      <c r="G301" s="11"/>
      <c r="H301" s="5"/>
      <c r="I301" s="8"/>
      <c r="J301" s="8"/>
    </row>
    <row r="302" spans="2:10" ht="12.75" x14ac:dyDescent="0.2">
      <c r="B302" s="6"/>
      <c r="C302" s="6"/>
      <c r="D302" s="6"/>
      <c r="E302" s="9"/>
      <c r="F302" s="9"/>
      <c r="G302" s="11"/>
      <c r="H302" s="5"/>
      <c r="I302" s="8"/>
      <c r="J302" s="8"/>
    </row>
    <row r="303" spans="2:10" ht="12.75" x14ac:dyDescent="0.2">
      <c r="B303" s="6"/>
      <c r="C303" s="6"/>
      <c r="D303" s="6"/>
      <c r="E303" s="9"/>
      <c r="F303" s="9"/>
      <c r="G303" s="11"/>
      <c r="H303" s="5"/>
      <c r="I303" s="8"/>
      <c r="J303" s="8"/>
    </row>
    <row r="304" spans="2:10" ht="12.75" x14ac:dyDescent="0.2">
      <c r="B304" s="6"/>
      <c r="C304" s="6"/>
      <c r="D304" s="6"/>
      <c r="E304" s="9"/>
      <c r="F304" s="9"/>
      <c r="G304" s="11"/>
      <c r="H304" s="5"/>
      <c r="I304" s="8"/>
      <c r="J304" s="8"/>
    </row>
    <row r="305" spans="2:10" ht="12.75" x14ac:dyDescent="0.2">
      <c r="B305" s="6"/>
      <c r="C305" s="6"/>
      <c r="D305" s="6"/>
      <c r="E305" s="9"/>
      <c r="F305" s="9"/>
      <c r="G305" s="11"/>
      <c r="H305" s="5"/>
      <c r="I305" s="8"/>
      <c r="J305" s="8"/>
    </row>
    <row r="306" spans="2:10" ht="12.75" x14ac:dyDescent="0.2">
      <c r="B306" s="6"/>
      <c r="C306" s="6"/>
      <c r="D306" s="6"/>
      <c r="E306" s="9"/>
      <c r="F306" s="9"/>
      <c r="G306" s="11"/>
      <c r="H306" s="5"/>
      <c r="I306" s="8"/>
      <c r="J306" s="8"/>
    </row>
    <row r="307" spans="2:10" ht="12.75" x14ac:dyDescent="0.2">
      <c r="B307" s="6"/>
      <c r="C307" s="6"/>
      <c r="D307" s="6"/>
      <c r="E307" s="9"/>
      <c r="F307" s="9"/>
      <c r="G307" s="11"/>
      <c r="H307" s="5"/>
      <c r="I307" s="8"/>
      <c r="J307" s="8"/>
    </row>
    <row r="308" spans="2:10" ht="12.75" x14ac:dyDescent="0.2">
      <c r="B308" s="6"/>
      <c r="C308" s="6"/>
      <c r="D308" s="6"/>
      <c r="E308" s="9"/>
      <c r="F308" s="9"/>
      <c r="G308" s="11"/>
      <c r="H308" s="5"/>
      <c r="I308" s="8"/>
      <c r="J308" s="8"/>
    </row>
    <row r="309" spans="2:10" ht="12.75" x14ac:dyDescent="0.2">
      <c r="B309" s="6"/>
      <c r="C309" s="6"/>
      <c r="D309" s="6"/>
      <c r="E309" s="9"/>
      <c r="F309" s="9"/>
      <c r="G309" s="11"/>
      <c r="H309" s="5"/>
      <c r="I309" s="8"/>
      <c r="J309" s="8"/>
    </row>
    <row r="310" spans="2:10" ht="12.75" x14ac:dyDescent="0.2">
      <c r="B310" s="6"/>
      <c r="C310" s="6"/>
      <c r="D310" s="6"/>
      <c r="E310" s="9"/>
      <c r="F310" s="9"/>
      <c r="G310" s="11"/>
      <c r="H310" s="5"/>
      <c r="I310" s="8"/>
      <c r="J310" s="8"/>
    </row>
    <row r="311" spans="2:10" ht="12.75" x14ac:dyDescent="0.2">
      <c r="B311" s="6"/>
      <c r="C311" s="6"/>
      <c r="D311" s="6"/>
      <c r="E311" s="9"/>
      <c r="F311" s="9"/>
      <c r="G311" s="11"/>
      <c r="H311" s="5"/>
      <c r="I311" s="8"/>
      <c r="J311" s="8"/>
    </row>
    <row r="312" spans="2:10" ht="12.75" x14ac:dyDescent="0.2">
      <c r="B312" s="6"/>
      <c r="C312" s="6"/>
      <c r="D312" s="6"/>
      <c r="E312" s="9"/>
      <c r="F312" s="9"/>
      <c r="G312" s="11"/>
      <c r="H312" s="5"/>
      <c r="I312" s="8"/>
      <c r="J312" s="8"/>
    </row>
    <row r="313" spans="2:10" ht="12.75" x14ac:dyDescent="0.2">
      <c r="B313" s="6"/>
      <c r="C313" s="6"/>
      <c r="D313" s="6"/>
      <c r="E313" s="9"/>
      <c r="F313" s="9"/>
      <c r="G313" s="11"/>
      <c r="H313" s="5"/>
      <c r="I313" s="8"/>
      <c r="J313" s="8"/>
    </row>
    <row r="314" spans="2:10" ht="12.75" x14ac:dyDescent="0.2">
      <c r="B314" s="6"/>
      <c r="C314" s="6"/>
      <c r="D314" s="6"/>
      <c r="E314" s="9"/>
      <c r="F314" s="9"/>
      <c r="G314" s="11"/>
      <c r="H314" s="5"/>
      <c r="I314" s="8"/>
      <c r="J314" s="8"/>
    </row>
    <row r="315" spans="2:10" ht="12.75" x14ac:dyDescent="0.2">
      <c r="B315" s="6"/>
      <c r="C315" s="6"/>
      <c r="D315" s="6"/>
      <c r="E315" s="9"/>
      <c r="F315" s="9"/>
      <c r="G315" s="11"/>
      <c r="H315" s="5"/>
      <c r="I315" s="8"/>
      <c r="J315" s="8"/>
    </row>
    <row r="316" spans="2:10" ht="12.75" x14ac:dyDescent="0.2">
      <c r="B316" s="6"/>
      <c r="C316" s="6"/>
      <c r="D316" s="6"/>
      <c r="E316" s="9"/>
      <c r="F316" s="9"/>
      <c r="G316" s="11"/>
      <c r="H316" s="5"/>
      <c r="I316" s="8"/>
      <c r="J316" s="8"/>
    </row>
    <row r="317" spans="2:10" ht="12.75" x14ac:dyDescent="0.2">
      <c r="B317" s="6"/>
      <c r="C317" s="6"/>
      <c r="D317" s="6"/>
      <c r="E317" s="9"/>
      <c r="F317" s="9"/>
      <c r="G317" s="11"/>
      <c r="H317" s="5"/>
      <c r="I317" s="8"/>
      <c r="J317" s="8"/>
    </row>
    <row r="318" spans="2:10" ht="12.75" x14ac:dyDescent="0.2">
      <c r="B318" s="6"/>
      <c r="C318" s="6"/>
      <c r="D318" s="6"/>
      <c r="E318" s="9"/>
      <c r="F318" s="9"/>
      <c r="G318" s="11"/>
      <c r="H318" s="5"/>
      <c r="I318" s="8"/>
      <c r="J318" s="8"/>
    </row>
    <row r="319" spans="2:10" ht="12.75" x14ac:dyDescent="0.2">
      <c r="B319" s="6"/>
      <c r="C319" s="6"/>
      <c r="D319" s="6"/>
      <c r="E319" s="9"/>
      <c r="F319" s="9"/>
      <c r="G319" s="11"/>
      <c r="H319" s="5"/>
      <c r="I319" s="8"/>
      <c r="J319" s="8"/>
    </row>
    <row r="320" spans="2:10" ht="12.75" x14ac:dyDescent="0.2">
      <c r="B320" s="6"/>
      <c r="C320" s="6"/>
      <c r="D320" s="6"/>
      <c r="E320" s="9"/>
      <c r="F320" s="9"/>
      <c r="G320" s="11"/>
      <c r="H320" s="5"/>
      <c r="I320" s="8"/>
      <c r="J320" s="8"/>
    </row>
    <row r="321" spans="2:10" ht="12.75" x14ac:dyDescent="0.2">
      <c r="B321" s="6"/>
      <c r="C321" s="6"/>
      <c r="D321" s="6"/>
      <c r="E321" s="9"/>
      <c r="F321" s="9"/>
      <c r="G321" s="11"/>
      <c r="H321" s="5"/>
      <c r="I321" s="8"/>
      <c r="J321" s="8"/>
    </row>
    <row r="322" spans="2:10" ht="12.75" x14ac:dyDescent="0.2">
      <c r="B322" s="6"/>
      <c r="C322" s="6"/>
      <c r="D322" s="6"/>
      <c r="E322" s="9"/>
      <c r="F322" s="9"/>
      <c r="G322" s="11"/>
      <c r="H322" s="5"/>
      <c r="I322" s="8"/>
      <c r="J322" s="8"/>
    </row>
    <row r="323" spans="2:10" ht="12.75" x14ac:dyDescent="0.2">
      <c r="B323" s="6"/>
      <c r="C323" s="6"/>
      <c r="D323" s="6"/>
      <c r="E323" s="9"/>
      <c r="F323" s="9"/>
      <c r="G323" s="11"/>
      <c r="H323" s="5"/>
      <c r="I323" s="8"/>
      <c r="J323" s="8"/>
    </row>
    <row r="324" spans="2:10" ht="12.75" x14ac:dyDescent="0.2">
      <c r="B324" s="6"/>
      <c r="C324" s="6"/>
      <c r="D324" s="6"/>
      <c r="E324" s="9"/>
      <c r="F324" s="9"/>
      <c r="G324" s="11"/>
      <c r="H324" s="5"/>
      <c r="I324" s="8"/>
      <c r="J324" s="8"/>
    </row>
    <row r="325" spans="2:10" ht="12.75" x14ac:dyDescent="0.2">
      <c r="B325" s="6"/>
      <c r="C325" s="6"/>
      <c r="D325" s="6"/>
      <c r="E325" s="9"/>
      <c r="F325" s="9"/>
      <c r="G325" s="11"/>
      <c r="H325" s="5"/>
      <c r="I325" s="8"/>
      <c r="J325" s="8"/>
    </row>
    <row r="326" spans="2:10" ht="12.75" x14ac:dyDescent="0.2">
      <c r="B326" s="6"/>
      <c r="C326" s="6"/>
      <c r="D326" s="6"/>
      <c r="E326" s="9"/>
      <c r="F326" s="9"/>
      <c r="G326" s="11"/>
      <c r="H326" s="5"/>
      <c r="I326" s="8"/>
      <c r="J326" s="8"/>
    </row>
    <row r="327" spans="2:10" ht="12.75" x14ac:dyDescent="0.2">
      <c r="B327" s="6"/>
      <c r="C327" s="6"/>
      <c r="D327" s="6"/>
      <c r="E327" s="9"/>
      <c r="F327" s="9"/>
      <c r="G327" s="11"/>
      <c r="H327" s="5"/>
      <c r="I327" s="8"/>
      <c r="J327" s="8"/>
    </row>
    <row r="328" spans="2:10" ht="12.75" x14ac:dyDescent="0.2">
      <c r="B328" s="6"/>
      <c r="C328" s="6"/>
      <c r="D328" s="6"/>
      <c r="E328" s="9"/>
      <c r="F328" s="9"/>
      <c r="G328" s="11"/>
      <c r="H328" s="5"/>
      <c r="I328" s="8"/>
      <c r="J328" s="8"/>
    </row>
    <row r="329" spans="2:10" ht="12.75" x14ac:dyDescent="0.2">
      <c r="B329" s="6"/>
      <c r="C329" s="6"/>
      <c r="D329" s="6"/>
      <c r="E329" s="9"/>
      <c r="F329" s="9"/>
      <c r="G329" s="11"/>
      <c r="H329" s="5"/>
      <c r="I329" s="8"/>
      <c r="J329" s="8"/>
    </row>
    <row r="330" spans="2:10" ht="12.75" x14ac:dyDescent="0.2">
      <c r="B330" s="6"/>
      <c r="C330" s="6"/>
      <c r="D330" s="6"/>
      <c r="E330" s="9"/>
      <c r="F330" s="9"/>
      <c r="G330" s="11"/>
      <c r="H330" s="5"/>
      <c r="I330" s="8"/>
      <c r="J330" s="8"/>
    </row>
    <row r="331" spans="2:10" ht="12.75" x14ac:dyDescent="0.2">
      <c r="B331" s="6"/>
      <c r="C331" s="6"/>
      <c r="D331" s="6"/>
      <c r="E331" s="9"/>
      <c r="F331" s="9"/>
      <c r="G331" s="11"/>
      <c r="H331" s="5"/>
      <c r="I331" s="8"/>
      <c r="J331" s="8"/>
    </row>
    <row r="332" spans="2:10" ht="12.75" x14ac:dyDescent="0.2">
      <c r="B332" s="6"/>
      <c r="C332" s="6"/>
      <c r="D332" s="6"/>
      <c r="E332" s="9"/>
      <c r="F332" s="9"/>
      <c r="G332" s="11"/>
      <c r="H332" s="5"/>
      <c r="I332" s="8"/>
      <c r="J332" s="8"/>
    </row>
    <row r="333" spans="2:10" ht="12.75" x14ac:dyDescent="0.2">
      <c r="B333" s="6"/>
      <c r="C333" s="6"/>
      <c r="D333" s="6"/>
      <c r="E333" s="9"/>
      <c r="F333" s="9"/>
      <c r="G333" s="11"/>
      <c r="H333" s="5"/>
      <c r="I333" s="8"/>
      <c r="J333" s="8"/>
    </row>
    <row r="334" spans="2:10" ht="12.75" x14ac:dyDescent="0.2">
      <c r="B334" s="6"/>
      <c r="C334" s="6"/>
      <c r="D334" s="6"/>
      <c r="E334" s="9"/>
      <c r="F334" s="9"/>
      <c r="G334" s="11"/>
      <c r="H334" s="5"/>
      <c r="I334" s="8"/>
      <c r="J334" s="8"/>
    </row>
    <row r="335" spans="2:10" ht="12.75" x14ac:dyDescent="0.2">
      <c r="B335" s="6"/>
      <c r="C335" s="6"/>
      <c r="D335" s="6"/>
      <c r="E335" s="9"/>
      <c r="F335" s="9"/>
      <c r="G335" s="11"/>
      <c r="H335" s="5"/>
      <c r="I335" s="8"/>
      <c r="J335" s="8"/>
    </row>
    <row r="336" spans="2:10" ht="12.75" x14ac:dyDescent="0.2">
      <c r="B336" s="6"/>
      <c r="C336" s="6"/>
      <c r="D336" s="6"/>
      <c r="E336" s="9"/>
      <c r="F336" s="9"/>
      <c r="G336" s="11"/>
      <c r="H336" s="5"/>
      <c r="I336" s="8"/>
      <c r="J336" s="8"/>
    </row>
    <row r="337" spans="2:10" ht="12.75" x14ac:dyDescent="0.2">
      <c r="B337" s="6"/>
      <c r="C337" s="6"/>
      <c r="D337" s="6"/>
      <c r="E337" s="9"/>
      <c r="F337" s="9"/>
      <c r="G337" s="11"/>
      <c r="H337" s="5"/>
      <c r="I337" s="8"/>
      <c r="J337" s="8"/>
    </row>
    <row r="338" spans="2:10" ht="12.75" x14ac:dyDescent="0.2">
      <c r="B338" s="6"/>
      <c r="C338" s="6"/>
      <c r="D338" s="6"/>
      <c r="E338" s="9"/>
      <c r="F338" s="9"/>
      <c r="G338" s="11"/>
      <c r="H338" s="5"/>
      <c r="I338" s="8"/>
      <c r="J338" s="8"/>
    </row>
    <row r="339" spans="2:10" ht="12.75" x14ac:dyDescent="0.2">
      <c r="B339" s="6"/>
      <c r="C339" s="6"/>
      <c r="D339" s="6"/>
      <c r="E339" s="9"/>
      <c r="F339" s="9"/>
      <c r="G339" s="11"/>
      <c r="H339" s="5"/>
      <c r="I339" s="8"/>
      <c r="J339" s="8"/>
    </row>
    <row r="340" spans="2:10" ht="12.75" x14ac:dyDescent="0.2">
      <c r="B340" s="6"/>
      <c r="C340" s="6"/>
      <c r="D340" s="6"/>
      <c r="E340" s="9"/>
      <c r="F340" s="9"/>
      <c r="G340" s="11"/>
      <c r="H340" s="5"/>
      <c r="I340" s="8"/>
      <c r="J340" s="8"/>
    </row>
    <row r="341" spans="2:10" ht="12.75" x14ac:dyDescent="0.2">
      <c r="B341" s="6"/>
      <c r="C341" s="6"/>
      <c r="D341" s="6"/>
      <c r="E341" s="9"/>
      <c r="F341" s="9"/>
      <c r="G341" s="11"/>
      <c r="H341" s="5"/>
      <c r="I341" s="8"/>
      <c r="J341" s="8"/>
    </row>
    <row r="342" spans="2:10" ht="12.75" x14ac:dyDescent="0.2">
      <c r="B342" s="6"/>
      <c r="C342" s="6"/>
      <c r="D342" s="6"/>
      <c r="E342" s="9"/>
      <c r="F342" s="9"/>
      <c r="G342" s="11"/>
      <c r="H342" s="5"/>
      <c r="I342" s="8"/>
      <c r="J342" s="8"/>
    </row>
    <row r="343" spans="2:10" ht="12.75" x14ac:dyDescent="0.2">
      <c r="B343" s="6"/>
      <c r="C343" s="6"/>
      <c r="D343" s="6"/>
      <c r="E343" s="9"/>
      <c r="F343" s="9"/>
      <c r="G343" s="11"/>
      <c r="H343" s="5"/>
      <c r="I343" s="8"/>
      <c r="J343" s="8"/>
    </row>
    <row r="344" spans="2:10" ht="12.75" x14ac:dyDescent="0.2">
      <c r="B344" s="6"/>
      <c r="C344" s="6"/>
      <c r="D344" s="6"/>
      <c r="E344" s="9"/>
      <c r="F344" s="9"/>
      <c r="G344" s="11"/>
      <c r="H344" s="5"/>
      <c r="I344" s="8"/>
      <c r="J344" s="8"/>
    </row>
    <row r="345" spans="2:10" ht="12.75" x14ac:dyDescent="0.2">
      <c r="B345" s="6"/>
      <c r="C345" s="6"/>
      <c r="D345" s="6"/>
      <c r="E345" s="9"/>
      <c r="F345" s="9"/>
      <c r="G345" s="11"/>
      <c r="H345" s="5"/>
      <c r="I345" s="8"/>
      <c r="J345" s="8"/>
    </row>
    <row r="346" spans="2:10" ht="12.75" x14ac:dyDescent="0.2">
      <c r="B346" s="6"/>
      <c r="C346" s="6"/>
      <c r="D346" s="6"/>
      <c r="E346" s="9"/>
      <c r="F346" s="9"/>
      <c r="G346" s="11"/>
      <c r="H346" s="5"/>
      <c r="I346" s="8"/>
      <c r="J346" s="8"/>
    </row>
    <row r="347" spans="2:10" ht="12.75" x14ac:dyDescent="0.2">
      <c r="B347" s="6"/>
      <c r="C347" s="6"/>
      <c r="D347" s="6"/>
      <c r="E347" s="9"/>
      <c r="F347" s="9"/>
      <c r="G347" s="11"/>
      <c r="H347" s="5"/>
      <c r="I347" s="8"/>
      <c r="J347" s="8"/>
    </row>
    <row r="348" spans="2:10" ht="12.75" x14ac:dyDescent="0.2">
      <c r="B348" s="6"/>
      <c r="C348" s="6"/>
      <c r="D348" s="6"/>
      <c r="E348" s="9"/>
      <c r="F348" s="9"/>
      <c r="G348" s="11"/>
      <c r="H348" s="5"/>
      <c r="I348" s="8"/>
      <c r="J348" s="8"/>
    </row>
    <row r="349" spans="2:10" ht="12.75" x14ac:dyDescent="0.2">
      <c r="B349" s="6"/>
      <c r="C349" s="6"/>
      <c r="D349" s="6"/>
      <c r="E349" s="9"/>
      <c r="F349" s="9"/>
      <c r="G349" s="11"/>
      <c r="H349" s="5"/>
      <c r="I349" s="8"/>
      <c r="J349" s="8"/>
    </row>
    <row r="350" spans="2:10" ht="12.75" x14ac:dyDescent="0.2">
      <c r="B350" s="6"/>
      <c r="C350" s="6"/>
      <c r="D350" s="6"/>
      <c r="E350" s="9"/>
      <c r="F350" s="9"/>
      <c r="G350" s="11"/>
      <c r="H350" s="5"/>
      <c r="I350" s="8"/>
      <c r="J350" s="8"/>
    </row>
    <row r="351" spans="2:10" ht="12.75" x14ac:dyDescent="0.2">
      <c r="B351" s="6"/>
      <c r="C351" s="6"/>
      <c r="D351" s="6"/>
      <c r="E351" s="9"/>
      <c r="F351" s="9"/>
      <c r="G351" s="11"/>
      <c r="H351" s="5"/>
      <c r="I351" s="8"/>
      <c r="J351" s="8"/>
    </row>
    <row r="352" spans="2:10" ht="12.75" x14ac:dyDescent="0.2">
      <c r="B352" s="6"/>
      <c r="C352" s="6"/>
      <c r="D352" s="6"/>
      <c r="E352" s="9"/>
      <c r="F352" s="9"/>
      <c r="G352" s="11"/>
      <c r="H352" s="5"/>
      <c r="I352" s="8"/>
      <c r="J352" s="8"/>
    </row>
    <row r="353" spans="2:10" ht="12.75" x14ac:dyDescent="0.2">
      <c r="B353" s="6"/>
      <c r="C353" s="6"/>
      <c r="D353" s="6"/>
      <c r="E353" s="9"/>
      <c r="F353" s="9"/>
      <c r="G353" s="11"/>
      <c r="H353" s="5"/>
      <c r="I353" s="8"/>
      <c r="J353" s="8"/>
    </row>
    <row r="354" spans="2:10" ht="12.75" x14ac:dyDescent="0.2">
      <c r="B354" s="6"/>
      <c r="C354" s="6"/>
      <c r="D354" s="6"/>
      <c r="E354" s="9"/>
      <c r="F354" s="9"/>
      <c r="G354" s="11"/>
      <c r="H354" s="5"/>
      <c r="I354" s="8"/>
      <c r="J354" s="8"/>
    </row>
    <row r="355" spans="2:10" ht="12.75" x14ac:dyDescent="0.2">
      <c r="B355" s="6"/>
      <c r="C355" s="6"/>
      <c r="D355" s="6"/>
      <c r="E355" s="9"/>
      <c r="F355" s="9"/>
      <c r="G355" s="11"/>
      <c r="H355" s="5"/>
      <c r="I355" s="8"/>
      <c r="J355" s="8"/>
    </row>
    <row r="356" spans="2:10" ht="12.75" x14ac:dyDescent="0.2">
      <c r="B356" s="6"/>
      <c r="C356" s="6"/>
      <c r="D356" s="6"/>
      <c r="E356" s="9"/>
      <c r="F356" s="9"/>
      <c r="G356" s="11"/>
      <c r="H356" s="5"/>
      <c r="I356" s="8"/>
      <c r="J356" s="8"/>
    </row>
    <row r="357" spans="2:10" ht="12.75" x14ac:dyDescent="0.2">
      <c r="B357" s="6"/>
      <c r="C357" s="6"/>
      <c r="D357" s="6"/>
      <c r="E357" s="9"/>
      <c r="F357" s="9"/>
      <c r="G357" s="11"/>
      <c r="H357" s="5"/>
      <c r="I357" s="8"/>
      <c r="J357" s="8"/>
    </row>
    <row r="358" spans="2:10" ht="12.75" x14ac:dyDescent="0.2">
      <c r="B358" s="6"/>
      <c r="C358" s="6"/>
      <c r="D358" s="6"/>
      <c r="E358" s="9"/>
      <c r="F358" s="9"/>
      <c r="G358" s="11"/>
      <c r="H358" s="5"/>
      <c r="I358" s="8"/>
      <c r="J358" s="8"/>
    </row>
    <row r="359" spans="2:10" ht="12.75" x14ac:dyDescent="0.2">
      <c r="B359" s="6"/>
      <c r="C359" s="6"/>
      <c r="D359" s="6"/>
      <c r="E359" s="9"/>
      <c r="F359" s="9"/>
      <c r="G359" s="11"/>
      <c r="H359" s="5"/>
      <c r="I359" s="8"/>
      <c r="J359" s="8"/>
    </row>
    <row r="360" spans="2:10" ht="12.75" x14ac:dyDescent="0.2">
      <c r="B360" s="6"/>
      <c r="C360" s="6"/>
      <c r="D360" s="6"/>
      <c r="E360" s="9"/>
      <c r="F360" s="9"/>
      <c r="G360" s="11"/>
      <c r="H360" s="5"/>
      <c r="I360" s="8"/>
      <c r="J360" s="8"/>
    </row>
    <row r="361" spans="2:10" ht="12.75" x14ac:dyDescent="0.2">
      <c r="B361" s="6"/>
      <c r="C361" s="6"/>
      <c r="D361" s="6"/>
      <c r="E361" s="9"/>
      <c r="F361" s="9"/>
      <c r="G361" s="11"/>
      <c r="H361" s="5"/>
      <c r="I361" s="8"/>
      <c r="J361" s="8"/>
    </row>
    <row r="362" spans="2:10" ht="12.75" x14ac:dyDescent="0.2">
      <c r="B362" s="6"/>
      <c r="C362" s="6"/>
      <c r="D362" s="6"/>
      <c r="E362" s="9"/>
      <c r="F362" s="9"/>
      <c r="G362" s="11"/>
      <c r="H362" s="5"/>
      <c r="I362" s="8"/>
      <c r="J362" s="8"/>
    </row>
    <row r="363" spans="2:10" ht="12.75" x14ac:dyDescent="0.2">
      <c r="B363" s="6"/>
      <c r="C363" s="6"/>
      <c r="D363" s="6"/>
      <c r="E363" s="9"/>
      <c r="F363" s="9"/>
      <c r="G363" s="11"/>
      <c r="H363" s="5"/>
      <c r="I363" s="8"/>
      <c r="J363" s="8"/>
    </row>
    <row r="364" spans="2:10" ht="12.75" x14ac:dyDescent="0.2">
      <c r="B364" s="6"/>
      <c r="C364" s="6"/>
      <c r="D364" s="6"/>
      <c r="E364" s="9"/>
      <c r="F364" s="9"/>
      <c r="G364" s="11"/>
      <c r="H364" s="5"/>
      <c r="I364" s="8"/>
      <c r="J364" s="8"/>
    </row>
    <row r="365" spans="2:10" ht="12.75" x14ac:dyDescent="0.2">
      <c r="B365" s="6"/>
      <c r="C365" s="6"/>
      <c r="D365" s="6"/>
      <c r="E365" s="9"/>
      <c r="F365" s="9"/>
      <c r="G365" s="11"/>
      <c r="H365" s="5"/>
      <c r="I365" s="8"/>
      <c r="J365" s="8"/>
    </row>
    <row r="366" spans="2:10" ht="12.75" x14ac:dyDescent="0.2">
      <c r="B366" s="6"/>
      <c r="C366" s="6"/>
      <c r="D366" s="6"/>
      <c r="E366" s="9"/>
      <c r="F366" s="9"/>
      <c r="G366" s="11"/>
      <c r="H366" s="5"/>
      <c r="I366" s="8"/>
      <c r="J366" s="8"/>
    </row>
    <row r="367" spans="2:10" ht="12.75" x14ac:dyDescent="0.2">
      <c r="B367" s="6"/>
      <c r="C367" s="6"/>
      <c r="D367" s="6"/>
      <c r="E367" s="9"/>
      <c r="F367" s="9"/>
      <c r="G367" s="11"/>
      <c r="H367" s="5"/>
      <c r="I367" s="8"/>
      <c r="J367" s="8"/>
    </row>
    <row r="368" spans="2:10" ht="12.75" x14ac:dyDescent="0.2">
      <c r="B368" s="6"/>
      <c r="C368" s="6"/>
      <c r="D368" s="6"/>
      <c r="E368" s="9"/>
      <c r="F368" s="9"/>
      <c r="G368" s="11"/>
      <c r="H368" s="5"/>
      <c r="I368" s="8"/>
      <c r="J368" s="8"/>
    </row>
    <row r="369" spans="2:10" ht="12.75" x14ac:dyDescent="0.2">
      <c r="B369" s="6"/>
      <c r="C369" s="6"/>
      <c r="D369" s="6"/>
      <c r="E369" s="9"/>
      <c r="F369" s="9"/>
      <c r="G369" s="11"/>
      <c r="H369" s="5"/>
      <c r="I369" s="8"/>
      <c r="J369" s="8"/>
    </row>
    <row r="370" spans="2:10" ht="12.75" x14ac:dyDescent="0.2">
      <c r="B370" s="6"/>
      <c r="C370" s="6"/>
      <c r="D370" s="6"/>
      <c r="E370" s="9"/>
      <c r="F370" s="9"/>
      <c r="G370" s="11"/>
      <c r="H370" s="5"/>
      <c r="I370" s="8"/>
      <c r="J370" s="8"/>
    </row>
    <row r="371" spans="2:10" ht="12.75" x14ac:dyDescent="0.2">
      <c r="B371" s="6"/>
      <c r="C371" s="6"/>
      <c r="D371" s="6"/>
      <c r="E371" s="9"/>
      <c r="F371" s="9"/>
      <c r="G371" s="11"/>
      <c r="H371" s="5"/>
      <c r="I371" s="8"/>
      <c r="J371" s="8"/>
    </row>
    <row r="372" spans="2:10" ht="12.75" x14ac:dyDescent="0.2">
      <c r="B372" s="6"/>
      <c r="C372" s="6"/>
      <c r="D372" s="6"/>
      <c r="E372" s="9"/>
      <c r="F372" s="9"/>
      <c r="G372" s="11"/>
      <c r="H372" s="5"/>
      <c r="I372" s="8"/>
      <c r="J372" s="8"/>
    </row>
    <row r="373" spans="2:10" ht="12.75" x14ac:dyDescent="0.2">
      <c r="B373" s="6"/>
      <c r="C373" s="6"/>
      <c r="D373" s="6"/>
      <c r="E373" s="9"/>
      <c r="F373" s="9"/>
      <c r="G373" s="11"/>
      <c r="H373" s="5"/>
      <c r="I373" s="8"/>
      <c r="J373" s="8"/>
    </row>
    <row r="374" spans="2:10" ht="12.75" x14ac:dyDescent="0.2">
      <c r="B374" s="6"/>
      <c r="C374" s="6"/>
      <c r="D374" s="6"/>
      <c r="E374" s="9"/>
      <c r="F374" s="9"/>
      <c r="G374" s="11"/>
      <c r="H374" s="5"/>
      <c r="I374" s="8"/>
      <c r="J374" s="8"/>
    </row>
    <row r="375" spans="2:10" ht="12.75" x14ac:dyDescent="0.2">
      <c r="B375" s="6"/>
      <c r="C375" s="6"/>
      <c r="D375" s="6"/>
      <c r="E375" s="9"/>
      <c r="F375" s="9"/>
      <c r="G375" s="11"/>
      <c r="H375" s="5"/>
      <c r="I375" s="8"/>
      <c r="J375" s="8"/>
    </row>
    <row r="376" spans="2:10" ht="12.75" x14ac:dyDescent="0.2">
      <c r="B376" s="6"/>
      <c r="C376" s="6"/>
      <c r="D376" s="6"/>
      <c r="E376" s="9"/>
      <c r="F376" s="9"/>
      <c r="G376" s="11"/>
      <c r="H376" s="5"/>
      <c r="I376" s="8"/>
      <c r="J376" s="8"/>
    </row>
    <row r="377" spans="2:10" ht="12.75" x14ac:dyDescent="0.2">
      <c r="B377" s="6"/>
      <c r="C377" s="6"/>
      <c r="D377" s="6"/>
      <c r="E377" s="9"/>
      <c r="F377" s="9"/>
      <c r="G377" s="11"/>
      <c r="H377" s="5"/>
      <c r="I377" s="8"/>
      <c r="J377" s="8"/>
    </row>
    <row r="378" spans="2:10" ht="12.75" x14ac:dyDescent="0.2">
      <c r="B378" s="6"/>
      <c r="C378" s="6"/>
      <c r="D378" s="6"/>
      <c r="E378" s="9"/>
      <c r="F378" s="9"/>
      <c r="G378" s="11"/>
      <c r="H378" s="5"/>
      <c r="I378" s="8"/>
      <c r="J378" s="8"/>
    </row>
    <row r="379" spans="2:10" ht="12.75" x14ac:dyDescent="0.2">
      <c r="B379" s="6"/>
      <c r="C379" s="6"/>
      <c r="D379" s="6"/>
      <c r="E379" s="9"/>
      <c r="F379" s="9"/>
      <c r="G379" s="11"/>
      <c r="H379" s="5"/>
      <c r="I379" s="8"/>
      <c r="J379" s="8"/>
    </row>
    <row r="380" spans="2:10" ht="12.75" x14ac:dyDescent="0.2">
      <c r="B380" s="6"/>
      <c r="C380" s="6"/>
      <c r="D380" s="6"/>
      <c r="E380" s="9"/>
      <c r="F380" s="9"/>
      <c r="G380" s="11"/>
      <c r="H380" s="5"/>
      <c r="I380" s="8"/>
      <c r="J380" s="8"/>
    </row>
    <row r="381" spans="2:10" ht="12.75" x14ac:dyDescent="0.2">
      <c r="B381" s="6"/>
      <c r="C381" s="6"/>
      <c r="D381" s="6"/>
      <c r="E381" s="9"/>
      <c r="F381" s="9"/>
      <c r="G381" s="11"/>
      <c r="H381" s="5"/>
      <c r="I381" s="8"/>
      <c r="J381" s="8"/>
    </row>
    <row r="382" spans="2:10" ht="12.75" x14ac:dyDescent="0.2">
      <c r="B382" s="6"/>
      <c r="C382" s="6"/>
      <c r="D382" s="6"/>
      <c r="E382" s="9"/>
      <c r="F382" s="9"/>
      <c r="G382" s="11"/>
      <c r="H382" s="5"/>
      <c r="I382" s="8"/>
      <c r="J382" s="8"/>
    </row>
    <row r="383" spans="2:10" ht="12.75" x14ac:dyDescent="0.2">
      <c r="B383" s="6"/>
      <c r="C383" s="6"/>
      <c r="D383" s="6"/>
      <c r="E383" s="9"/>
      <c r="F383" s="9"/>
      <c r="G383" s="11"/>
      <c r="H383" s="5"/>
      <c r="I383" s="8"/>
      <c r="J383" s="8"/>
    </row>
    <row r="384" spans="2:10" ht="12.75" x14ac:dyDescent="0.2">
      <c r="B384" s="6"/>
      <c r="C384" s="6"/>
      <c r="D384" s="6"/>
      <c r="E384" s="9"/>
      <c r="F384" s="9"/>
      <c r="G384" s="11"/>
      <c r="H384" s="5"/>
      <c r="I384" s="8"/>
      <c r="J384" s="8"/>
    </row>
    <row r="385" spans="2:10" ht="12.75" x14ac:dyDescent="0.2">
      <c r="B385" s="6"/>
      <c r="C385" s="6"/>
      <c r="D385" s="6"/>
      <c r="E385" s="9"/>
      <c r="F385" s="9"/>
      <c r="G385" s="11"/>
      <c r="H385" s="5"/>
      <c r="I385" s="8"/>
      <c r="J385" s="8"/>
    </row>
    <row r="386" spans="2:10" ht="12.75" x14ac:dyDescent="0.2">
      <c r="B386" s="6"/>
      <c r="C386" s="6"/>
      <c r="D386" s="6"/>
      <c r="E386" s="9"/>
      <c r="F386" s="9"/>
      <c r="G386" s="11"/>
      <c r="H386" s="5"/>
      <c r="I386" s="8"/>
      <c r="J386" s="8"/>
    </row>
    <row r="387" spans="2:10" ht="12.75" x14ac:dyDescent="0.2">
      <c r="B387" s="6"/>
      <c r="C387" s="6"/>
      <c r="D387" s="6"/>
      <c r="E387" s="9"/>
      <c r="F387" s="9"/>
      <c r="G387" s="11"/>
      <c r="H387" s="5"/>
      <c r="I387" s="8"/>
      <c r="J387" s="8"/>
    </row>
    <row r="388" spans="2:10" ht="12.75" x14ac:dyDescent="0.2">
      <c r="B388" s="6"/>
      <c r="C388" s="6"/>
      <c r="D388" s="6"/>
      <c r="E388" s="9"/>
      <c r="F388" s="9"/>
      <c r="G388" s="11"/>
      <c r="H388" s="5"/>
      <c r="I388" s="8"/>
      <c r="J388" s="8"/>
    </row>
    <row r="389" spans="2:10" ht="12.75" x14ac:dyDescent="0.2">
      <c r="B389" s="6"/>
      <c r="C389" s="6"/>
      <c r="D389" s="6"/>
      <c r="E389" s="9"/>
      <c r="F389" s="9"/>
      <c r="G389" s="11"/>
      <c r="H389" s="5"/>
      <c r="I389" s="8"/>
      <c r="J389" s="8"/>
    </row>
    <row r="390" spans="2:10" ht="12.75" x14ac:dyDescent="0.2">
      <c r="B390" s="6"/>
      <c r="C390" s="6"/>
      <c r="D390" s="6"/>
      <c r="E390" s="9"/>
      <c r="F390" s="9"/>
      <c r="G390" s="11"/>
      <c r="H390" s="5"/>
      <c r="I390" s="8"/>
      <c r="J390" s="8"/>
    </row>
    <row r="391" spans="2:10" ht="12.75" x14ac:dyDescent="0.2">
      <c r="B391" s="6"/>
      <c r="C391" s="6"/>
      <c r="D391" s="6"/>
      <c r="E391" s="9"/>
      <c r="F391" s="9"/>
      <c r="G391" s="11"/>
      <c r="H391" s="5"/>
      <c r="I391" s="8"/>
      <c r="J391" s="8"/>
    </row>
    <row r="392" spans="2:10" ht="12.75" x14ac:dyDescent="0.2">
      <c r="B392" s="6"/>
      <c r="C392" s="6"/>
      <c r="D392" s="6"/>
      <c r="E392" s="9"/>
      <c r="F392" s="9"/>
      <c r="G392" s="11"/>
      <c r="H392" s="5"/>
      <c r="I392" s="8"/>
      <c r="J392" s="8"/>
    </row>
    <row r="393" spans="2:10" ht="12.75" x14ac:dyDescent="0.2">
      <c r="B393" s="6"/>
      <c r="C393" s="6"/>
      <c r="D393" s="6"/>
      <c r="E393" s="9"/>
      <c r="F393" s="9"/>
      <c r="G393" s="11"/>
      <c r="H393" s="5"/>
      <c r="I393" s="8"/>
      <c r="J393" s="8"/>
    </row>
    <row r="394" spans="2:10" ht="12.75" x14ac:dyDescent="0.2">
      <c r="B394" s="6"/>
      <c r="C394" s="6"/>
      <c r="D394" s="6"/>
      <c r="E394" s="9"/>
      <c r="F394" s="9"/>
      <c r="G394" s="11"/>
      <c r="H394" s="5"/>
      <c r="I394" s="8"/>
      <c r="J394" s="8"/>
    </row>
    <row r="395" spans="2:10" ht="12.75" x14ac:dyDescent="0.2">
      <c r="B395" s="6"/>
      <c r="C395" s="6"/>
      <c r="D395" s="6"/>
      <c r="E395" s="9"/>
      <c r="F395" s="9"/>
      <c r="G395" s="11"/>
      <c r="H395" s="5"/>
      <c r="I395" s="8"/>
      <c r="J395" s="8"/>
    </row>
    <row r="396" spans="2:10" ht="12.75" x14ac:dyDescent="0.2">
      <c r="B396" s="6"/>
      <c r="C396" s="6"/>
      <c r="D396" s="6"/>
      <c r="E396" s="9"/>
      <c r="F396" s="9"/>
      <c r="G396" s="11"/>
      <c r="H396" s="5"/>
      <c r="I396" s="8"/>
      <c r="J396" s="8"/>
    </row>
    <row r="397" spans="2:10" ht="12.75" x14ac:dyDescent="0.2">
      <c r="B397" s="6"/>
      <c r="C397" s="6"/>
      <c r="D397" s="6"/>
      <c r="E397" s="9"/>
      <c r="F397" s="9"/>
      <c r="G397" s="11"/>
      <c r="H397" s="5"/>
      <c r="I397" s="8"/>
      <c r="J397" s="8"/>
    </row>
    <row r="398" spans="2:10" ht="12.75" x14ac:dyDescent="0.2">
      <c r="B398" s="6"/>
      <c r="C398" s="6"/>
      <c r="D398" s="6"/>
      <c r="E398" s="9"/>
      <c r="F398" s="9"/>
      <c r="G398" s="11"/>
      <c r="H398" s="5"/>
      <c r="I398" s="8"/>
      <c r="J398" s="8"/>
    </row>
    <row r="399" spans="2:10" ht="12.75" x14ac:dyDescent="0.2">
      <c r="B399" s="6"/>
      <c r="C399" s="6"/>
      <c r="D399" s="6"/>
      <c r="E399" s="9"/>
      <c r="F399" s="9"/>
      <c r="G399" s="11"/>
      <c r="H399" s="5"/>
      <c r="I399" s="8"/>
      <c r="J399" s="8"/>
    </row>
    <row r="400" spans="2:10" ht="12.75" x14ac:dyDescent="0.2">
      <c r="B400" s="6"/>
      <c r="C400" s="6"/>
      <c r="D400" s="6"/>
      <c r="E400" s="9"/>
      <c r="F400" s="9"/>
      <c r="G400" s="11"/>
      <c r="H400" s="5"/>
      <c r="I400" s="8"/>
      <c r="J400" s="8"/>
    </row>
    <row r="401" spans="2:10" ht="12.75" x14ac:dyDescent="0.2">
      <c r="B401" s="6"/>
      <c r="C401" s="6"/>
      <c r="D401" s="6"/>
      <c r="E401" s="9"/>
      <c r="F401" s="9"/>
      <c r="G401" s="11"/>
      <c r="H401" s="5"/>
      <c r="I401" s="8"/>
      <c r="J401" s="8"/>
    </row>
    <row r="402" spans="2:10" ht="12.75" x14ac:dyDescent="0.2">
      <c r="B402" s="6"/>
      <c r="C402" s="6"/>
      <c r="D402" s="6"/>
      <c r="E402" s="9"/>
      <c r="F402" s="9"/>
      <c r="G402" s="11"/>
      <c r="H402" s="5"/>
      <c r="I402" s="8"/>
      <c r="J402" s="8"/>
    </row>
    <row r="403" spans="2:10" ht="12.75" x14ac:dyDescent="0.2">
      <c r="B403" s="6"/>
      <c r="C403" s="6"/>
      <c r="D403" s="6"/>
      <c r="E403" s="9"/>
      <c r="F403" s="9"/>
      <c r="G403" s="11"/>
      <c r="H403" s="5"/>
      <c r="I403" s="8"/>
      <c r="J403" s="8"/>
    </row>
    <row r="404" spans="2:10" ht="12.75" x14ac:dyDescent="0.2">
      <c r="B404" s="6"/>
      <c r="C404" s="6"/>
      <c r="D404" s="6"/>
      <c r="E404" s="9"/>
      <c r="F404" s="9"/>
      <c r="G404" s="11"/>
      <c r="H404" s="5"/>
      <c r="I404" s="8"/>
      <c r="J404" s="8"/>
    </row>
    <row r="405" spans="2:10" ht="12.75" x14ac:dyDescent="0.2">
      <c r="B405" s="6"/>
      <c r="C405" s="6"/>
      <c r="D405" s="6"/>
      <c r="E405" s="9"/>
      <c r="F405" s="9"/>
      <c r="G405" s="11"/>
      <c r="H405" s="5"/>
      <c r="I405" s="8"/>
      <c r="J405" s="8"/>
    </row>
    <row r="406" spans="2:10" ht="12.75" x14ac:dyDescent="0.2">
      <c r="B406" s="6"/>
      <c r="C406" s="6"/>
      <c r="D406" s="6"/>
      <c r="E406" s="9"/>
      <c r="F406" s="9"/>
      <c r="G406" s="11"/>
      <c r="H406" s="5"/>
      <c r="I406" s="8"/>
      <c r="J406" s="8"/>
    </row>
    <row r="407" spans="2:10" ht="12.75" x14ac:dyDescent="0.2">
      <c r="B407" s="6"/>
      <c r="C407" s="6"/>
      <c r="D407" s="6"/>
      <c r="E407" s="9"/>
      <c r="F407" s="9"/>
      <c r="G407" s="11"/>
      <c r="H407" s="5"/>
      <c r="I407" s="8"/>
      <c r="J407" s="8"/>
    </row>
    <row r="408" spans="2:10" ht="12.75" x14ac:dyDescent="0.2">
      <c r="B408" s="6"/>
      <c r="C408" s="6"/>
      <c r="D408" s="6"/>
      <c r="E408" s="9"/>
      <c r="F408" s="9"/>
      <c r="G408" s="11"/>
      <c r="H408" s="5"/>
      <c r="I408" s="8"/>
      <c r="J408" s="8"/>
    </row>
    <row r="409" spans="2:10" ht="12.75" x14ac:dyDescent="0.2">
      <c r="B409" s="6"/>
      <c r="C409" s="6"/>
      <c r="D409" s="6"/>
      <c r="E409" s="9"/>
      <c r="F409" s="9"/>
      <c r="G409" s="11"/>
      <c r="H409" s="5"/>
      <c r="I409" s="8"/>
      <c r="J409" s="8"/>
    </row>
    <row r="410" spans="2:10" ht="12.75" x14ac:dyDescent="0.2">
      <c r="B410" s="6"/>
      <c r="C410" s="6"/>
      <c r="D410" s="6"/>
      <c r="E410" s="9"/>
      <c r="F410" s="9"/>
      <c r="G410" s="11"/>
      <c r="H410" s="5"/>
      <c r="I410" s="8"/>
      <c r="J410" s="8"/>
    </row>
    <row r="411" spans="2:10" ht="12.75" x14ac:dyDescent="0.2">
      <c r="B411" s="6"/>
      <c r="C411" s="6"/>
      <c r="D411" s="6"/>
      <c r="E411" s="9"/>
      <c r="F411" s="9"/>
      <c r="G411" s="11"/>
      <c r="H411" s="5"/>
      <c r="I411" s="8"/>
      <c r="J411" s="8"/>
    </row>
    <row r="412" spans="2:10" ht="12.75" x14ac:dyDescent="0.2">
      <c r="B412" s="6"/>
      <c r="C412" s="6"/>
      <c r="D412" s="6"/>
      <c r="E412" s="9"/>
      <c r="F412" s="9"/>
      <c r="G412" s="11"/>
      <c r="H412" s="5"/>
      <c r="I412" s="8"/>
      <c r="J412" s="8"/>
    </row>
    <row r="413" spans="2:10" ht="12.75" x14ac:dyDescent="0.2">
      <c r="B413" s="6"/>
      <c r="C413" s="6"/>
      <c r="D413" s="6"/>
      <c r="E413" s="9"/>
      <c r="F413" s="9"/>
      <c r="G413" s="11"/>
      <c r="H413" s="5"/>
      <c r="I413" s="8"/>
      <c r="J413" s="8"/>
    </row>
    <row r="414" spans="2:10" ht="12.75" x14ac:dyDescent="0.2">
      <c r="B414" s="6"/>
      <c r="C414" s="6"/>
      <c r="D414" s="6"/>
      <c r="E414" s="9"/>
      <c r="F414" s="9"/>
      <c r="G414" s="11"/>
      <c r="H414" s="5"/>
      <c r="I414" s="8"/>
      <c r="J414" s="8"/>
    </row>
    <row r="415" spans="2:10" ht="12.75" x14ac:dyDescent="0.2">
      <c r="B415" s="6"/>
      <c r="C415" s="6"/>
      <c r="D415" s="6"/>
      <c r="E415" s="9"/>
      <c r="F415" s="9"/>
      <c r="G415" s="11"/>
      <c r="H415" s="5"/>
      <c r="I415" s="8"/>
      <c r="J415" s="8"/>
    </row>
    <row r="416" spans="2:10" ht="12.75" x14ac:dyDescent="0.2">
      <c r="B416" s="6"/>
      <c r="C416" s="6"/>
      <c r="D416" s="6"/>
      <c r="E416" s="9"/>
      <c r="F416" s="9"/>
      <c r="G416" s="11"/>
      <c r="H416" s="5"/>
      <c r="I416" s="8"/>
      <c r="J416" s="8"/>
    </row>
    <row r="417" spans="2:10" ht="12.75" x14ac:dyDescent="0.2">
      <c r="B417" s="6"/>
      <c r="C417" s="6"/>
      <c r="D417" s="6"/>
      <c r="E417" s="9"/>
      <c r="F417" s="9"/>
      <c r="G417" s="11"/>
      <c r="H417" s="5"/>
      <c r="I417" s="8"/>
      <c r="J417" s="8"/>
    </row>
    <row r="418" spans="2:10" ht="12.75" x14ac:dyDescent="0.2">
      <c r="B418" s="6"/>
      <c r="C418" s="6"/>
      <c r="D418" s="6"/>
      <c r="E418" s="9"/>
      <c r="F418" s="9"/>
      <c r="G418" s="11"/>
      <c r="H418" s="5"/>
      <c r="I418" s="8"/>
      <c r="J418" s="8"/>
    </row>
    <row r="419" spans="2:10" ht="12.75" x14ac:dyDescent="0.2">
      <c r="B419" s="6"/>
      <c r="C419" s="6"/>
      <c r="D419" s="6"/>
      <c r="E419" s="9"/>
      <c r="F419" s="9"/>
      <c r="G419" s="11"/>
      <c r="H419" s="5"/>
      <c r="I419" s="8"/>
      <c r="J419" s="8"/>
    </row>
    <row r="420" spans="2:10" ht="12.75" x14ac:dyDescent="0.2">
      <c r="B420" s="6"/>
      <c r="C420" s="6"/>
      <c r="D420" s="6"/>
      <c r="E420" s="9"/>
      <c r="F420" s="9"/>
      <c r="G420" s="11"/>
      <c r="H420" s="5"/>
      <c r="I420" s="8"/>
      <c r="J420" s="8"/>
    </row>
    <row r="421" spans="2:10" ht="12.75" x14ac:dyDescent="0.2">
      <c r="B421" s="6"/>
      <c r="C421" s="6"/>
      <c r="D421" s="6"/>
      <c r="E421" s="9"/>
      <c r="F421" s="9"/>
      <c r="G421" s="11"/>
      <c r="H421" s="5"/>
      <c r="I421" s="8"/>
      <c r="J421" s="8"/>
    </row>
    <row r="422" spans="2:10" ht="12.75" x14ac:dyDescent="0.2">
      <c r="B422" s="6"/>
      <c r="C422" s="6"/>
      <c r="D422" s="6"/>
      <c r="E422" s="9"/>
      <c r="F422" s="9"/>
      <c r="G422" s="11"/>
      <c r="H422" s="5"/>
      <c r="I422" s="8"/>
      <c r="J422" s="8"/>
    </row>
    <row r="423" spans="2:10" ht="12.75" x14ac:dyDescent="0.2">
      <c r="B423" s="6"/>
      <c r="C423" s="6"/>
      <c r="D423" s="6"/>
      <c r="E423" s="9"/>
      <c r="F423" s="9"/>
      <c r="G423" s="11"/>
      <c r="H423" s="5"/>
      <c r="I423" s="8"/>
      <c r="J423" s="8"/>
    </row>
    <row r="424" spans="2:10" ht="12.75" x14ac:dyDescent="0.2">
      <c r="B424" s="6"/>
      <c r="C424" s="6"/>
      <c r="D424" s="6"/>
      <c r="E424" s="9"/>
      <c r="F424" s="9"/>
      <c r="G424" s="11"/>
      <c r="H424" s="5"/>
      <c r="I424" s="8"/>
      <c r="J424" s="8"/>
    </row>
    <row r="425" spans="2:10" ht="12.75" x14ac:dyDescent="0.2">
      <c r="B425" s="6"/>
      <c r="C425" s="6"/>
      <c r="D425" s="6"/>
      <c r="E425" s="9"/>
      <c r="F425" s="9"/>
      <c r="G425" s="11"/>
      <c r="H425" s="5"/>
      <c r="I425" s="8"/>
      <c r="J425" s="8"/>
    </row>
    <row r="426" spans="2:10" ht="12.75" x14ac:dyDescent="0.2">
      <c r="B426" s="6"/>
      <c r="C426" s="6"/>
      <c r="D426" s="6"/>
      <c r="E426" s="9"/>
      <c r="F426" s="9"/>
      <c r="G426" s="11"/>
      <c r="H426" s="5"/>
      <c r="I426" s="8"/>
      <c r="J426" s="8"/>
    </row>
    <row r="427" spans="2:10" ht="12.75" x14ac:dyDescent="0.2">
      <c r="B427" s="6"/>
      <c r="C427" s="6"/>
      <c r="D427" s="6"/>
      <c r="E427" s="9"/>
      <c r="F427" s="9"/>
      <c r="G427" s="11"/>
      <c r="H427" s="5"/>
      <c r="I427" s="8"/>
      <c r="J427" s="8"/>
    </row>
    <row r="428" spans="2:10" ht="12.75" x14ac:dyDescent="0.2">
      <c r="B428" s="6"/>
      <c r="C428" s="6"/>
      <c r="D428" s="6"/>
      <c r="E428" s="9"/>
      <c r="F428" s="9"/>
      <c r="G428" s="11"/>
      <c r="H428" s="5"/>
      <c r="I428" s="8"/>
      <c r="J428" s="8"/>
    </row>
    <row r="429" spans="2:10" ht="12.75" x14ac:dyDescent="0.2">
      <c r="B429" s="6"/>
      <c r="C429" s="6"/>
      <c r="D429" s="6"/>
      <c r="E429" s="9"/>
      <c r="F429" s="9"/>
      <c r="G429" s="11"/>
      <c r="H429" s="5"/>
      <c r="I429" s="8"/>
      <c r="J429" s="8"/>
    </row>
    <row r="430" spans="2:10" ht="12.75" x14ac:dyDescent="0.2">
      <c r="B430" s="6"/>
      <c r="C430" s="6"/>
      <c r="D430" s="6"/>
      <c r="E430" s="9"/>
      <c r="F430" s="9"/>
      <c r="G430" s="11"/>
      <c r="H430" s="5"/>
      <c r="I430" s="8"/>
      <c r="J430" s="8"/>
    </row>
    <row r="431" spans="2:10" ht="12.75" x14ac:dyDescent="0.2">
      <c r="B431" s="6"/>
      <c r="C431" s="6"/>
      <c r="D431" s="6"/>
      <c r="E431" s="9"/>
      <c r="F431" s="9"/>
      <c r="G431" s="11"/>
      <c r="H431" s="5"/>
      <c r="I431" s="8"/>
      <c r="J431" s="8"/>
    </row>
    <row r="432" spans="2:10" ht="12.75" x14ac:dyDescent="0.2">
      <c r="B432" s="6"/>
      <c r="C432" s="6"/>
      <c r="D432" s="6"/>
      <c r="E432" s="9"/>
      <c r="F432" s="9"/>
      <c r="G432" s="11"/>
      <c r="H432" s="5"/>
      <c r="I432" s="8"/>
      <c r="J432" s="8"/>
    </row>
    <row r="433" spans="2:10" ht="12.75" x14ac:dyDescent="0.2">
      <c r="B433" s="6"/>
      <c r="C433" s="6"/>
      <c r="D433" s="6"/>
      <c r="E433" s="9"/>
      <c r="F433" s="9"/>
      <c r="G433" s="11"/>
      <c r="H433" s="5"/>
      <c r="I433" s="8"/>
      <c r="J433" s="8"/>
    </row>
    <row r="434" spans="2:10" ht="12.75" x14ac:dyDescent="0.2">
      <c r="B434" s="6"/>
      <c r="C434" s="6"/>
      <c r="D434" s="6"/>
      <c r="E434" s="9"/>
      <c r="F434" s="9"/>
      <c r="G434" s="11"/>
      <c r="H434" s="5"/>
      <c r="I434" s="8"/>
      <c r="J434" s="8"/>
    </row>
    <row r="435" spans="2:10" ht="12.75" x14ac:dyDescent="0.2">
      <c r="B435" s="6"/>
      <c r="C435" s="6"/>
      <c r="D435" s="6"/>
      <c r="E435" s="9"/>
      <c r="F435" s="9"/>
      <c r="G435" s="11"/>
      <c r="H435" s="5"/>
      <c r="I435" s="8"/>
      <c r="J435" s="8"/>
    </row>
    <row r="436" spans="2:10" ht="12.75" x14ac:dyDescent="0.2">
      <c r="B436" s="6"/>
      <c r="C436" s="6"/>
      <c r="D436" s="6"/>
      <c r="E436" s="9"/>
      <c r="F436" s="9"/>
      <c r="G436" s="11"/>
      <c r="H436" s="5"/>
      <c r="I436" s="8"/>
      <c r="J436" s="8"/>
    </row>
    <row r="437" spans="2:10" ht="12.75" x14ac:dyDescent="0.2">
      <c r="B437" s="6"/>
      <c r="C437" s="6"/>
      <c r="D437" s="6"/>
      <c r="E437" s="9"/>
      <c r="F437" s="9"/>
      <c r="G437" s="11"/>
      <c r="H437" s="5"/>
      <c r="I437" s="8"/>
      <c r="J437" s="8"/>
    </row>
    <row r="438" spans="2:10" ht="12.75" x14ac:dyDescent="0.2">
      <c r="B438" s="6"/>
      <c r="C438" s="6"/>
      <c r="D438" s="6"/>
      <c r="E438" s="9"/>
      <c r="F438" s="9"/>
      <c r="G438" s="11"/>
      <c r="H438" s="5"/>
      <c r="I438" s="8"/>
      <c r="J438" s="8"/>
    </row>
    <row r="439" spans="2:10" ht="12.75" x14ac:dyDescent="0.2">
      <c r="B439" s="6"/>
      <c r="C439" s="6"/>
      <c r="D439" s="6"/>
      <c r="E439" s="9"/>
      <c r="F439" s="9"/>
      <c r="G439" s="11"/>
      <c r="H439" s="5"/>
      <c r="I439" s="8"/>
      <c r="J439" s="8"/>
    </row>
    <row r="440" spans="2:10" ht="12.75" x14ac:dyDescent="0.2">
      <c r="B440" s="6"/>
      <c r="C440" s="6"/>
      <c r="D440" s="6"/>
      <c r="E440" s="9"/>
      <c r="F440" s="9"/>
      <c r="G440" s="11"/>
      <c r="H440" s="5"/>
      <c r="I440" s="8"/>
      <c r="J440" s="8"/>
    </row>
    <row r="441" spans="2:10" ht="12.75" x14ac:dyDescent="0.2">
      <c r="B441" s="6"/>
      <c r="C441" s="6"/>
      <c r="D441" s="6"/>
      <c r="E441" s="9"/>
      <c r="F441" s="9"/>
      <c r="G441" s="11"/>
      <c r="H441" s="5"/>
      <c r="I441" s="8"/>
      <c r="J441" s="8"/>
    </row>
    <row r="442" spans="2:10" ht="12.75" x14ac:dyDescent="0.2">
      <c r="B442" s="6"/>
      <c r="C442" s="6"/>
      <c r="D442" s="6"/>
      <c r="E442" s="9"/>
      <c r="F442" s="9"/>
      <c r="G442" s="11"/>
      <c r="H442" s="5"/>
      <c r="I442" s="8"/>
      <c r="J442" s="8"/>
    </row>
    <row r="443" spans="2:10" ht="12.75" x14ac:dyDescent="0.2">
      <c r="B443" s="6"/>
      <c r="C443" s="6"/>
      <c r="D443" s="6"/>
      <c r="E443" s="9"/>
      <c r="F443" s="9"/>
      <c r="G443" s="11"/>
      <c r="H443" s="5"/>
      <c r="I443" s="8"/>
      <c r="J443" s="8"/>
    </row>
    <row r="444" spans="2:10" ht="12.75" x14ac:dyDescent="0.2">
      <c r="B444" s="6"/>
      <c r="C444" s="6"/>
      <c r="D444" s="6"/>
      <c r="E444" s="9"/>
      <c r="F444" s="9"/>
      <c r="G444" s="11"/>
      <c r="H444" s="5"/>
      <c r="I444" s="8"/>
      <c r="J444" s="8"/>
    </row>
    <row r="445" spans="2:10" ht="12.75" x14ac:dyDescent="0.2">
      <c r="B445" s="6"/>
      <c r="C445" s="6"/>
      <c r="D445" s="6"/>
      <c r="E445" s="9"/>
      <c r="F445" s="9"/>
      <c r="G445" s="11"/>
      <c r="H445" s="5"/>
      <c r="I445" s="8"/>
      <c r="J445" s="8"/>
    </row>
    <row r="446" spans="2:10" ht="12.75" x14ac:dyDescent="0.2">
      <c r="B446" s="6"/>
      <c r="C446" s="6"/>
      <c r="D446" s="6"/>
      <c r="E446" s="9"/>
      <c r="F446" s="9"/>
      <c r="G446" s="11"/>
      <c r="H446" s="5"/>
      <c r="I446" s="8"/>
      <c r="J446" s="8"/>
    </row>
    <row r="447" spans="2:10" ht="12.75" x14ac:dyDescent="0.2">
      <c r="B447" s="6"/>
      <c r="C447" s="6"/>
      <c r="D447" s="6"/>
      <c r="E447" s="9"/>
      <c r="F447" s="9"/>
      <c r="G447" s="11"/>
      <c r="H447" s="5"/>
      <c r="I447" s="8"/>
      <c r="J447" s="8"/>
    </row>
    <row r="448" spans="2:10" ht="12.75" x14ac:dyDescent="0.2">
      <c r="B448" s="6"/>
      <c r="C448" s="6"/>
      <c r="D448" s="6"/>
      <c r="E448" s="9"/>
      <c r="F448" s="9"/>
      <c r="G448" s="11"/>
      <c r="H448" s="5"/>
      <c r="I448" s="8"/>
      <c r="J448" s="8"/>
    </row>
    <row r="449" spans="2:10" ht="12.75" x14ac:dyDescent="0.2">
      <c r="B449" s="6"/>
      <c r="C449" s="6"/>
      <c r="D449" s="6"/>
      <c r="E449" s="9"/>
      <c r="F449" s="9"/>
      <c r="G449" s="11"/>
      <c r="H449" s="5"/>
      <c r="I449" s="8"/>
      <c r="J449" s="8"/>
    </row>
    <row r="450" spans="2:10" ht="12.75" x14ac:dyDescent="0.2">
      <c r="B450" s="6"/>
      <c r="C450" s="6"/>
      <c r="D450" s="6"/>
      <c r="E450" s="9"/>
      <c r="F450" s="9"/>
      <c r="G450" s="11"/>
      <c r="H450" s="5"/>
      <c r="I450" s="8"/>
      <c r="J450" s="8"/>
    </row>
    <row r="451" spans="2:10" ht="12.75" x14ac:dyDescent="0.2">
      <c r="B451" s="6"/>
      <c r="C451" s="6"/>
      <c r="D451" s="6"/>
      <c r="E451" s="9"/>
      <c r="F451" s="9"/>
      <c r="G451" s="11"/>
      <c r="H451" s="5"/>
      <c r="I451" s="8"/>
      <c r="J451" s="8"/>
    </row>
    <row r="452" spans="2:10" ht="12.75" x14ac:dyDescent="0.2">
      <c r="B452" s="6"/>
      <c r="C452" s="6"/>
      <c r="D452" s="6"/>
      <c r="E452" s="9"/>
      <c r="F452" s="9"/>
      <c r="G452" s="11"/>
      <c r="H452" s="5"/>
      <c r="I452" s="8"/>
      <c r="J452" s="8"/>
    </row>
    <row r="453" spans="2:10" ht="12.75" x14ac:dyDescent="0.2">
      <c r="B453" s="6"/>
      <c r="C453" s="6"/>
      <c r="D453" s="6"/>
      <c r="E453" s="9"/>
      <c r="F453" s="9"/>
      <c r="G453" s="11"/>
      <c r="H453" s="5"/>
      <c r="I453" s="8"/>
      <c r="J453" s="8"/>
    </row>
    <row r="454" spans="2:10" ht="12.75" x14ac:dyDescent="0.2">
      <c r="B454" s="6"/>
      <c r="C454" s="6"/>
      <c r="D454" s="6"/>
      <c r="E454" s="9"/>
      <c r="F454" s="9"/>
      <c r="G454" s="11"/>
      <c r="H454" s="5"/>
      <c r="I454" s="8"/>
      <c r="J454" s="8"/>
    </row>
    <row r="455" spans="2:10" ht="12.75" x14ac:dyDescent="0.2">
      <c r="B455" s="6"/>
      <c r="C455" s="6"/>
      <c r="D455" s="6"/>
      <c r="E455" s="9"/>
      <c r="F455" s="9"/>
      <c r="G455" s="11"/>
      <c r="H455" s="5"/>
      <c r="I455" s="8"/>
      <c r="J455" s="8"/>
    </row>
    <row r="456" spans="2:10" ht="12.75" x14ac:dyDescent="0.2">
      <c r="B456" s="6"/>
      <c r="C456" s="6"/>
      <c r="D456" s="6"/>
      <c r="E456" s="9"/>
      <c r="F456" s="9"/>
      <c r="G456" s="11"/>
      <c r="H456" s="5"/>
      <c r="I456" s="8"/>
      <c r="J456" s="8"/>
    </row>
    <row r="457" spans="2:10" ht="12.75" x14ac:dyDescent="0.2">
      <c r="B457" s="6"/>
      <c r="C457" s="6"/>
      <c r="D457" s="6"/>
      <c r="E457" s="9"/>
      <c r="F457" s="9"/>
      <c r="G457" s="11"/>
      <c r="H457" s="5"/>
      <c r="I457" s="8"/>
      <c r="J457" s="8"/>
    </row>
    <row r="458" spans="2:10" ht="12.75" x14ac:dyDescent="0.2">
      <c r="B458" s="6"/>
      <c r="C458" s="6"/>
      <c r="D458" s="6"/>
      <c r="E458" s="9"/>
      <c r="F458" s="9"/>
      <c r="G458" s="11"/>
      <c r="H458" s="5"/>
      <c r="I458" s="8"/>
      <c r="J458" s="8"/>
    </row>
    <row r="459" spans="2:10" ht="12.75" x14ac:dyDescent="0.2">
      <c r="B459" s="6"/>
      <c r="C459" s="6"/>
      <c r="D459" s="6"/>
      <c r="E459" s="9"/>
      <c r="F459" s="9"/>
      <c r="G459" s="11"/>
      <c r="H459" s="5"/>
      <c r="I459" s="8"/>
      <c r="J459" s="8"/>
    </row>
    <row r="460" spans="2:10" ht="12.75" x14ac:dyDescent="0.2">
      <c r="B460" s="6"/>
      <c r="C460" s="6"/>
      <c r="D460" s="6"/>
      <c r="E460" s="9"/>
      <c r="F460" s="9"/>
      <c r="G460" s="11"/>
      <c r="H460" s="5"/>
      <c r="I460" s="8"/>
      <c r="J460" s="8"/>
    </row>
    <row r="461" spans="2:10" ht="12.75" x14ac:dyDescent="0.2">
      <c r="B461" s="6"/>
      <c r="C461" s="6"/>
      <c r="D461" s="6"/>
      <c r="E461" s="9"/>
      <c r="F461" s="9"/>
      <c r="G461" s="11"/>
      <c r="H461" s="5"/>
      <c r="I461" s="8"/>
      <c r="J461" s="8"/>
    </row>
    <row r="462" spans="2:10" ht="12.75" x14ac:dyDescent="0.2">
      <c r="B462" s="6"/>
      <c r="C462" s="6"/>
      <c r="D462" s="6"/>
      <c r="E462" s="9"/>
      <c r="F462" s="9"/>
      <c r="G462" s="11"/>
      <c r="H462" s="5"/>
      <c r="I462" s="8"/>
      <c r="J462" s="8"/>
    </row>
    <row r="463" spans="2:10" ht="12.75" x14ac:dyDescent="0.2">
      <c r="B463" s="6"/>
      <c r="C463" s="6"/>
      <c r="D463" s="6"/>
      <c r="E463" s="9"/>
      <c r="F463" s="9"/>
      <c r="G463" s="11"/>
      <c r="H463" s="5"/>
      <c r="I463" s="8"/>
      <c r="J463" s="8"/>
    </row>
    <row r="464" spans="2:10" ht="12.75" x14ac:dyDescent="0.2">
      <c r="B464" s="6"/>
      <c r="C464" s="6"/>
      <c r="D464" s="6"/>
      <c r="E464" s="9"/>
      <c r="F464" s="9"/>
      <c r="G464" s="11"/>
      <c r="H464" s="5"/>
      <c r="I464" s="8"/>
      <c r="J464" s="8"/>
    </row>
    <row r="465" spans="2:10" ht="12.75" x14ac:dyDescent="0.2">
      <c r="B465" s="6"/>
      <c r="C465" s="6"/>
      <c r="D465" s="6"/>
      <c r="E465" s="9"/>
      <c r="F465" s="9"/>
      <c r="G465" s="11"/>
      <c r="H465" s="5"/>
      <c r="I465" s="8"/>
      <c r="J465" s="8"/>
    </row>
    <row r="466" spans="2:10" ht="12.75" x14ac:dyDescent="0.2">
      <c r="B466" s="6"/>
      <c r="C466" s="6"/>
      <c r="D466" s="6"/>
      <c r="E466" s="9"/>
      <c r="F466" s="9"/>
      <c r="G466" s="11"/>
      <c r="H466" s="5"/>
      <c r="I466" s="8"/>
      <c r="J466" s="8"/>
    </row>
    <row r="467" spans="2:10" ht="12.75" x14ac:dyDescent="0.2">
      <c r="B467" s="6"/>
      <c r="C467" s="6"/>
      <c r="D467" s="6"/>
      <c r="E467" s="9"/>
      <c r="F467" s="9"/>
      <c r="G467" s="11"/>
      <c r="H467" s="5"/>
      <c r="I467" s="8"/>
      <c r="J467" s="8"/>
    </row>
    <row r="468" spans="2:10" ht="12.75" x14ac:dyDescent="0.2">
      <c r="B468" s="6"/>
      <c r="C468" s="6"/>
      <c r="D468" s="6"/>
      <c r="E468" s="9"/>
      <c r="F468" s="9"/>
      <c r="G468" s="11"/>
      <c r="H468" s="5"/>
      <c r="I468" s="8"/>
      <c r="J468" s="8"/>
    </row>
    <row r="469" spans="2:10" ht="12.75" x14ac:dyDescent="0.2">
      <c r="B469" s="6"/>
      <c r="C469" s="6"/>
      <c r="D469" s="6"/>
      <c r="E469" s="9"/>
      <c r="F469" s="9"/>
      <c r="G469" s="11"/>
      <c r="H469" s="5"/>
      <c r="I469" s="8"/>
      <c r="J469" s="8"/>
    </row>
    <row r="470" spans="2:10" ht="12.75" x14ac:dyDescent="0.2">
      <c r="B470" s="6"/>
      <c r="C470" s="6"/>
      <c r="D470" s="6"/>
      <c r="E470" s="9"/>
      <c r="F470" s="9"/>
      <c r="G470" s="11"/>
      <c r="H470" s="5"/>
      <c r="I470" s="8"/>
      <c r="J470" s="8"/>
    </row>
    <row r="471" spans="2:10" ht="12.75" x14ac:dyDescent="0.2">
      <c r="B471" s="6"/>
      <c r="C471" s="6"/>
      <c r="D471" s="6"/>
      <c r="E471" s="9"/>
      <c r="F471" s="9"/>
      <c r="G471" s="11"/>
      <c r="H471" s="5"/>
      <c r="I471" s="8"/>
      <c r="J471" s="8"/>
    </row>
    <row r="472" spans="2:10" ht="12.75" x14ac:dyDescent="0.2">
      <c r="B472" s="6"/>
      <c r="C472" s="6"/>
      <c r="D472" s="6"/>
      <c r="E472" s="9"/>
      <c r="F472" s="9"/>
      <c r="G472" s="11"/>
      <c r="H472" s="5"/>
      <c r="I472" s="8"/>
      <c r="J472" s="8"/>
    </row>
    <row r="473" spans="2:10" ht="12.75" x14ac:dyDescent="0.2">
      <c r="B473" s="6"/>
      <c r="C473" s="6"/>
      <c r="D473" s="6"/>
      <c r="E473" s="9"/>
      <c r="F473" s="9"/>
      <c r="G473" s="11"/>
      <c r="H473" s="5"/>
      <c r="I473" s="8"/>
      <c r="J473" s="8"/>
    </row>
    <row r="474" spans="2:10" ht="12.75" x14ac:dyDescent="0.2">
      <c r="B474" s="6"/>
      <c r="C474" s="6"/>
      <c r="D474" s="6"/>
      <c r="E474" s="9"/>
      <c r="F474" s="9"/>
      <c r="G474" s="11"/>
      <c r="H474" s="5"/>
      <c r="I474" s="8"/>
      <c r="J474" s="8"/>
    </row>
    <row r="475" spans="2:10" ht="12.75" x14ac:dyDescent="0.2">
      <c r="B475" s="6"/>
      <c r="C475" s="6"/>
      <c r="D475" s="6"/>
      <c r="E475" s="9"/>
      <c r="F475" s="9"/>
      <c r="G475" s="11"/>
      <c r="H475" s="5"/>
      <c r="I475" s="8"/>
      <c r="J475" s="8"/>
    </row>
    <row r="476" spans="2:10" ht="12.75" x14ac:dyDescent="0.2">
      <c r="B476" s="6"/>
      <c r="C476" s="6"/>
      <c r="D476" s="6"/>
      <c r="E476" s="9"/>
      <c r="F476" s="9"/>
      <c r="G476" s="11"/>
      <c r="H476" s="5"/>
      <c r="I476" s="8"/>
      <c r="J476" s="8"/>
    </row>
    <row r="477" spans="2:10" ht="12.75" x14ac:dyDescent="0.2">
      <c r="B477" s="6"/>
      <c r="C477" s="6"/>
      <c r="D477" s="6"/>
      <c r="E477" s="9"/>
      <c r="F477" s="9"/>
      <c r="G477" s="11"/>
      <c r="H477" s="5"/>
      <c r="I477" s="8"/>
      <c r="J477" s="8"/>
    </row>
    <row r="478" spans="2:10" ht="12.75" x14ac:dyDescent="0.2">
      <c r="B478" s="6"/>
      <c r="C478" s="6"/>
      <c r="D478" s="6"/>
      <c r="E478" s="9"/>
      <c r="F478" s="9"/>
      <c r="G478" s="11"/>
      <c r="H478" s="5"/>
      <c r="I478" s="8"/>
      <c r="J478" s="8"/>
    </row>
    <row r="479" spans="2:10" ht="12.75" x14ac:dyDescent="0.2">
      <c r="B479" s="6"/>
      <c r="C479" s="6"/>
      <c r="D479" s="6"/>
      <c r="E479" s="9"/>
      <c r="F479" s="9"/>
      <c r="G479" s="11"/>
      <c r="H479" s="5"/>
      <c r="I479" s="8"/>
      <c r="J479" s="8"/>
    </row>
    <row r="480" spans="2:10" ht="12.75" x14ac:dyDescent="0.2">
      <c r="B480" s="6"/>
      <c r="C480" s="6"/>
      <c r="D480" s="6"/>
      <c r="E480" s="9"/>
      <c r="F480" s="9"/>
      <c r="G480" s="11"/>
      <c r="H480" s="5"/>
      <c r="I480" s="8"/>
      <c r="J480" s="8"/>
    </row>
    <row r="481" spans="2:10" ht="12.75" x14ac:dyDescent="0.2">
      <c r="B481" s="6"/>
      <c r="C481" s="6"/>
      <c r="D481" s="6"/>
      <c r="E481" s="9"/>
      <c r="F481" s="9"/>
      <c r="G481" s="11"/>
      <c r="H481" s="5"/>
      <c r="I481" s="8"/>
      <c r="J481" s="8"/>
    </row>
    <row r="482" spans="2:10" ht="12.75" x14ac:dyDescent="0.2">
      <c r="B482" s="6"/>
      <c r="C482" s="6"/>
      <c r="D482" s="6"/>
      <c r="E482" s="9"/>
      <c r="F482" s="9"/>
      <c r="G482" s="11"/>
      <c r="H482" s="5"/>
      <c r="I482" s="8"/>
      <c r="J482" s="8"/>
    </row>
    <row r="483" spans="2:10" ht="12.75" x14ac:dyDescent="0.2">
      <c r="B483" s="6"/>
      <c r="C483" s="6"/>
      <c r="D483" s="6"/>
      <c r="E483" s="9"/>
      <c r="F483" s="9"/>
      <c r="G483" s="11"/>
      <c r="H483" s="5"/>
      <c r="I483" s="8"/>
      <c r="J483" s="8"/>
    </row>
    <row r="484" spans="2:10" ht="12.75" x14ac:dyDescent="0.2">
      <c r="B484" s="6"/>
      <c r="C484" s="6"/>
      <c r="D484" s="6"/>
      <c r="E484" s="9"/>
      <c r="F484" s="9"/>
      <c r="G484" s="11"/>
      <c r="H484" s="5"/>
      <c r="I484" s="8"/>
      <c r="J484" s="8"/>
    </row>
    <row r="485" spans="2:10" ht="12.75" x14ac:dyDescent="0.2">
      <c r="B485" s="6"/>
      <c r="C485" s="6"/>
      <c r="D485" s="6"/>
      <c r="E485" s="9"/>
      <c r="F485" s="9"/>
      <c r="G485" s="11"/>
      <c r="H485" s="5"/>
      <c r="I485" s="8"/>
      <c r="J485" s="8"/>
    </row>
    <row r="486" spans="2:10" ht="12.75" x14ac:dyDescent="0.2">
      <c r="B486" s="6"/>
      <c r="C486" s="6"/>
      <c r="D486" s="6"/>
      <c r="E486" s="9"/>
      <c r="F486" s="9"/>
      <c r="G486" s="11"/>
      <c r="H486" s="5"/>
      <c r="I486" s="8"/>
      <c r="J486" s="8"/>
    </row>
    <row r="487" spans="2:10" ht="12.75" x14ac:dyDescent="0.2">
      <c r="B487" s="6"/>
      <c r="C487" s="6"/>
      <c r="D487" s="6"/>
      <c r="E487" s="9"/>
      <c r="F487" s="9"/>
      <c r="G487" s="11"/>
      <c r="H487" s="5"/>
      <c r="I487" s="8"/>
      <c r="J487" s="8"/>
    </row>
    <row r="488" spans="2:10" ht="12.75" x14ac:dyDescent="0.2">
      <c r="B488" s="6"/>
      <c r="C488" s="6"/>
      <c r="D488" s="6"/>
      <c r="E488" s="9"/>
      <c r="F488" s="9"/>
      <c r="G488" s="11"/>
      <c r="H488" s="5"/>
      <c r="I488" s="8"/>
      <c r="J488" s="8"/>
    </row>
    <row r="489" spans="2:10" ht="12.75" x14ac:dyDescent="0.2">
      <c r="B489" s="6"/>
      <c r="C489" s="6"/>
      <c r="D489" s="6"/>
      <c r="E489" s="9"/>
      <c r="F489" s="9"/>
      <c r="G489" s="11"/>
      <c r="H489" s="5"/>
      <c r="I489" s="8"/>
      <c r="J489" s="8"/>
    </row>
    <row r="490" spans="2:10" ht="12.75" x14ac:dyDescent="0.2">
      <c r="B490" s="6"/>
      <c r="C490" s="6"/>
      <c r="D490" s="6"/>
      <c r="E490" s="9"/>
      <c r="F490" s="9"/>
      <c r="G490" s="11"/>
      <c r="H490" s="5"/>
      <c r="I490" s="8"/>
      <c r="J490" s="8"/>
    </row>
    <row r="491" spans="2:10" ht="12.75" x14ac:dyDescent="0.2">
      <c r="B491" s="6"/>
      <c r="C491" s="6"/>
      <c r="D491" s="6"/>
      <c r="E491" s="9"/>
      <c r="F491" s="9"/>
      <c r="G491" s="11"/>
      <c r="H491" s="5"/>
      <c r="I491" s="8"/>
      <c r="J491" s="8"/>
    </row>
    <row r="492" spans="2:10" ht="12.75" x14ac:dyDescent="0.2">
      <c r="B492" s="6"/>
      <c r="C492" s="6"/>
      <c r="D492" s="6"/>
      <c r="E492" s="9"/>
      <c r="F492" s="9"/>
      <c r="G492" s="11"/>
      <c r="H492" s="5"/>
      <c r="I492" s="8"/>
      <c r="J492" s="8"/>
    </row>
    <row r="493" spans="2:10" ht="12.75" x14ac:dyDescent="0.2">
      <c r="B493" s="6"/>
      <c r="C493" s="6"/>
      <c r="D493" s="6"/>
      <c r="E493" s="9"/>
      <c r="F493" s="9"/>
      <c r="G493" s="11"/>
      <c r="H493" s="5"/>
      <c r="I493" s="8"/>
      <c r="J493" s="8"/>
    </row>
    <row r="494" spans="2:10" ht="12.75" x14ac:dyDescent="0.2">
      <c r="B494" s="6"/>
      <c r="C494" s="6"/>
      <c r="D494" s="6"/>
      <c r="E494" s="9"/>
      <c r="F494" s="9"/>
      <c r="G494" s="11"/>
      <c r="H494" s="5"/>
      <c r="I494" s="8"/>
      <c r="J494" s="8"/>
    </row>
    <row r="495" spans="2:10" ht="12.75" x14ac:dyDescent="0.2">
      <c r="B495" s="6"/>
      <c r="C495" s="6"/>
      <c r="D495" s="6"/>
      <c r="E495" s="9"/>
      <c r="F495" s="9"/>
      <c r="G495" s="11"/>
      <c r="H495" s="5"/>
      <c r="I495" s="8"/>
      <c r="J495" s="8"/>
    </row>
    <row r="496" spans="2:10" ht="12.75" x14ac:dyDescent="0.2">
      <c r="B496" s="6"/>
      <c r="C496" s="6"/>
      <c r="D496" s="6"/>
      <c r="E496" s="9"/>
      <c r="F496" s="9"/>
      <c r="G496" s="11"/>
      <c r="H496" s="5"/>
      <c r="I496" s="8"/>
      <c r="J496" s="8"/>
    </row>
    <row r="497" spans="2:10" ht="12.75" x14ac:dyDescent="0.2">
      <c r="B497" s="6"/>
      <c r="C497" s="6"/>
      <c r="D497" s="6"/>
      <c r="E497" s="9"/>
      <c r="F497" s="9"/>
      <c r="G497" s="11"/>
      <c r="H497" s="5"/>
      <c r="I497" s="8"/>
      <c r="J497" s="8"/>
    </row>
    <row r="498" spans="2:10" ht="12.75" x14ac:dyDescent="0.2">
      <c r="B498" s="6"/>
      <c r="C498" s="6"/>
      <c r="D498" s="6"/>
      <c r="E498" s="9"/>
      <c r="F498" s="9"/>
      <c r="G498" s="11"/>
      <c r="H498" s="5"/>
      <c r="I498" s="8"/>
      <c r="J498" s="8"/>
    </row>
    <row r="499" spans="2:10" ht="12.75" x14ac:dyDescent="0.2">
      <c r="B499" s="6"/>
      <c r="C499" s="6"/>
      <c r="D499" s="6"/>
      <c r="E499" s="9"/>
      <c r="F499" s="9"/>
      <c r="G499" s="11"/>
      <c r="H499" s="5"/>
      <c r="I499" s="8"/>
      <c r="J499" s="8"/>
    </row>
    <row r="500" spans="2:10" ht="12.75" x14ac:dyDescent="0.2">
      <c r="B500" s="6"/>
      <c r="C500" s="6"/>
      <c r="D500" s="6"/>
      <c r="E500" s="9"/>
      <c r="F500" s="9"/>
      <c r="G500" s="11"/>
      <c r="H500" s="5"/>
      <c r="I500" s="8"/>
      <c r="J500" s="8"/>
    </row>
    <row r="501" spans="2:10" ht="12.75" x14ac:dyDescent="0.2">
      <c r="B501" s="6"/>
      <c r="C501" s="6"/>
      <c r="D501" s="6"/>
      <c r="E501" s="9"/>
      <c r="F501" s="9"/>
      <c r="G501" s="11"/>
      <c r="H501" s="5"/>
      <c r="I501" s="8"/>
      <c r="J501" s="8"/>
    </row>
    <row r="502" spans="2:10" ht="12.75" x14ac:dyDescent="0.2">
      <c r="B502" s="6"/>
      <c r="C502" s="6"/>
      <c r="D502" s="6"/>
      <c r="E502" s="9"/>
      <c r="F502" s="9"/>
      <c r="G502" s="11"/>
      <c r="H502" s="5"/>
      <c r="I502" s="8"/>
      <c r="J502" s="8"/>
    </row>
    <row r="503" spans="2:10" ht="12.75" x14ac:dyDescent="0.2">
      <c r="B503" s="6"/>
      <c r="C503" s="6"/>
      <c r="D503" s="6"/>
      <c r="E503" s="9"/>
      <c r="F503" s="9"/>
      <c r="G503" s="11"/>
      <c r="H503" s="5"/>
      <c r="I503" s="8"/>
      <c r="J503" s="8"/>
    </row>
    <row r="504" spans="2:10" ht="12.75" x14ac:dyDescent="0.2">
      <c r="B504" s="6"/>
      <c r="C504" s="6"/>
      <c r="D504" s="6"/>
      <c r="E504" s="9"/>
      <c r="F504" s="9"/>
      <c r="G504" s="11"/>
      <c r="H504" s="5"/>
      <c r="I504" s="8"/>
      <c r="J504" s="8"/>
    </row>
    <row r="505" spans="2:10" ht="12.75" x14ac:dyDescent="0.2">
      <c r="B505" s="6"/>
      <c r="C505" s="6"/>
      <c r="D505" s="6"/>
      <c r="E505" s="9"/>
      <c r="F505" s="9"/>
      <c r="G505" s="11"/>
      <c r="H505" s="5"/>
      <c r="I505" s="8"/>
      <c r="J505" s="8"/>
    </row>
    <row r="506" spans="2:10" ht="12.75" x14ac:dyDescent="0.2">
      <c r="B506" s="6"/>
      <c r="C506" s="6"/>
      <c r="D506" s="6"/>
      <c r="E506" s="9"/>
      <c r="F506" s="9"/>
      <c r="G506" s="11"/>
      <c r="H506" s="5"/>
      <c r="I506" s="8"/>
      <c r="J506" s="8"/>
    </row>
    <row r="507" spans="2:10" ht="12.75" x14ac:dyDescent="0.2">
      <c r="B507" s="6"/>
      <c r="C507" s="6"/>
      <c r="D507" s="6"/>
      <c r="E507" s="9"/>
      <c r="F507" s="9"/>
      <c r="G507" s="11"/>
      <c r="H507" s="5"/>
      <c r="I507" s="8"/>
      <c r="J507" s="8"/>
    </row>
    <row r="508" spans="2:10" ht="12.75" x14ac:dyDescent="0.2">
      <c r="B508" s="6"/>
      <c r="C508" s="6"/>
      <c r="D508" s="6"/>
      <c r="E508" s="9"/>
      <c r="F508" s="9"/>
      <c r="G508" s="11"/>
      <c r="H508" s="5"/>
      <c r="I508" s="8"/>
      <c r="J508" s="8"/>
    </row>
    <row r="509" spans="2:10" ht="12.75" x14ac:dyDescent="0.2">
      <c r="B509" s="6"/>
      <c r="C509" s="6"/>
      <c r="D509" s="6"/>
      <c r="E509" s="9"/>
      <c r="F509" s="9"/>
      <c r="G509" s="11"/>
      <c r="H509" s="5"/>
      <c r="I509" s="8"/>
      <c r="J509" s="8"/>
    </row>
    <row r="510" spans="2:10" ht="12.75" x14ac:dyDescent="0.2">
      <c r="B510" s="6"/>
      <c r="C510" s="6"/>
      <c r="D510" s="6"/>
      <c r="E510" s="9"/>
      <c r="F510" s="9"/>
      <c r="G510" s="11"/>
      <c r="H510" s="5"/>
      <c r="I510" s="8"/>
      <c r="J510" s="8"/>
    </row>
    <row r="511" spans="2:10" ht="12.75" x14ac:dyDescent="0.2">
      <c r="B511" s="6"/>
      <c r="C511" s="6"/>
      <c r="D511" s="6"/>
      <c r="E511" s="9"/>
      <c r="F511" s="9"/>
      <c r="G511" s="11"/>
      <c r="H511" s="5"/>
      <c r="I511" s="8"/>
      <c r="J511" s="8"/>
    </row>
    <row r="512" spans="2:10" ht="12.75" x14ac:dyDescent="0.2">
      <c r="B512" s="6"/>
      <c r="C512" s="6"/>
      <c r="D512" s="6"/>
      <c r="E512" s="9"/>
      <c r="F512" s="9"/>
      <c r="G512" s="11"/>
      <c r="H512" s="5"/>
      <c r="I512" s="8"/>
      <c r="J512" s="8"/>
    </row>
    <row r="513" spans="2:10" ht="12.75" x14ac:dyDescent="0.2">
      <c r="B513" s="6"/>
      <c r="C513" s="6"/>
      <c r="D513" s="6"/>
      <c r="E513" s="9"/>
      <c r="F513" s="9"/>
      <c r="G513" s="11"/>
      <c r="H513" s="5"/>
      <c r="I513" s="8"/>
      <c r="J513" s="8"/>
    </row>
    <row r="514" spans="2:10" ht="12.75" x14ac:dyDescent="0.2">
      <c r="B514" s="6"/>
      <c r="C514" s="6"/>
      <c r="D514" s="6"/>
      <c r="E514" s="9"/>
      <c r="F514" s="9"/>
      <c r="G514" s="11"/>
      <c r="H514" s="5"/>
      <c r="I514" s="8"/>
      <c r="J514" s="8"/>
    </row>
    <row r="515" spans="2:10" ht="12.75" x14ac:dyDescent="0.2">
      <c r="B515" s="6"/>
      <c r="C515" s="6"/>
      <c r="D515" s="6"/>
      <c r="E515" s="9"/>
      <c r="F515" s="9"/>
      <c r="G515" s="11"/>
      <c r="H515" s="5"/>
      <c r="I515" s="8"/>
      <c r="J515" s="8"/>
    </row>
    <row r="516" spans="2:10" ht="12.75" x14ac:dyDescent="0.2">
      <c r="B516" s="6"/>
      <c r="C516" s="6"/>
      <c r="D516" s="6"/>
      <c r="E516" s="9"/>
      <c r="F516" s="9"/>
      <c r="G516" s="11"/>
      <c r="H516" s="5"/>
      <c r="I516" s="8"/>
      <c r="J516" s="8"/>
    </row>
    <row r="517" spans="2:10" ht="12.75" x14ac:dyDescent="0.2">
      <c r="B517" s="6"/>
      <c r="C517" s="6"/>
      <c r="D517" s="6"/>
      <c r="E517" s="9"/>
      <c r="F517" s="9"/>
      <c r="G517" s="11"/>
      <c r="H517" s="5"/>
      <c r="I517" s="8"/>
      <c r="J517" s="8"/>
    </row>
    <row r="518" spans="2:10" ht="12.75" x14ac:dyDescent="0.2">
      <c r="B518" s="6"/>
      <c r="C518" s="6"/>
      <c r="D518" s="6"/>
      <c r="E518" s="9"/>
      <c r="F518" s="9"/>
      <c r="G518" s="11"/>
      <c r="H518" s="5"/>
      <c r="I518" s="8"/>
      <c r="J518" s="8"/>
    </row>
    <row r="519" spans="2:10" ht="12.75" x14ac:dyDescent="0.2">
      <c r="B519" s="6"/>
      <c r="C519" s="6"/>
      <c r="D519" s="6"/>
      <c r="E519" s="9"/>
      <c r="F519" s="9"/>
      <c r="G519" s="11"/>
      <c r="H519" s="5"/>
      <c r="I519" s="8"/>
      <c r="J519" s="8"/>
    </row>
    <row r="520" spans="2:10" ht="12.75" x14ac:dyDescent="0.2">
      <c r="B520" s="6"/>
      <c r="C520" s="6"/>
      <c r="D520" s="6"/>
      <c r="E520" s="9"/>
      <c r="F520" s="9"/>
      <c r="G520" s="11"/>
      <c r="H520" s="5"/>
      <c r="I520" s="8"/>
      <c r="J520" s="8"/>
    </row>
    <row r="521" spans="2:10" ht="12.75" x14ac:dyDescent="0.2">
      <c r="B521" s="6"/>
      <c r="C521" s="6"/>
      <c r="D521" s="6"/>
      <c r="E521" s="9"/>
      <c r="F521" s="9"/>
      <c r="G521" s="11"/>
      <c r="H521" s="5"/>
      <c r="I521" s="8"/>
      <c r="J521" s="8"/>
    </row>
    <row r="522" spans="2:10" ht="12.75" x14ac:dyDescent="0.2">
      <c r="B522" s="6"/>
      <c r="C522" s="6"/>
      <c r="D522" s="6"/>
      <c r="E522" s="9"/>
      <c r="F522" s="9"/>
      <c r="G522" s="11"/>
      <c r="H522" s="5"/>
      <c r="I522" s="8"/>
      <c r="J522" s="8"/>
    </row>
    <row r="523" spans="2:10" ht="12.75" x14ac:dyDescent="0.2">
      <c r="B523" s="6"/>
      <c r="C523" s="6"/>
      <c r="D523" s="6"/>
      <c r="E523" s="9"/>
      <c r="F523" s="9"/>
      <c r="G523" s="11"/>
      <c r="H523" s="5"/>
      <c r="I523" s="8"/>
      <c r="J523" s="8"/>
    </row>
    <row r="524" spans="2:10" ht="12.75" x14ac:dyDescent="0.2">
      <c r="B524" s="6"/>
      <c r="C524" s="6"/>
      <c r="D524" s="6"/>
      <c r="E524" s="9"/>
      <c r="F524" s="9"/>
      <c r="G524" s="11"/>
      <c r="H524" s="5"/>
      <c r="I524" s="8"/>
      <c r="J524" s="8"/>
    </row>
    <row r="525" spans="2:10" ht="12.75" x14ac:dyDescent="0.2">
      <c r="B525" s="6"/>
      <c r="C525" s="6"/>
      <c r="D525" s="6"/>
      <c r="E525" s="9"/>
      <c r="F525" s="9"/>
      <c r="G525" s="11"/>
      <c r="H525" s="5"/>
      <c r="I525" s="8"/>
      <c r="J525" s="8"/>
    </row>
    <row r="526" spans="2:10" ht="12.75" x14ac:dyDescent="0.2">
      <c r="B526" s="6"/>
      <c r="C526" s="6"/>
      <c r="D526" s="6"/>
      <c r="E526" s="9"/>
      <c r="F526" s="9"/>
      <c r="G526" s="11"/>
      <c r="H526" s="5"/>
      <c r="I526" s="8"/>
      <c r="J526" s="8"/>
    </row>
    <row r="527" spans="2:10" ht="12.75" x14ac:dyDescent="0.2">
      <c r="B527" s="6"/>
      <c r="C527" s="6"/>
      <c r="D527" s="6"/>
      <c r="E527" s="9"/>
      <c r="F527" s="9"/>
      <c r="G527" s="11"/>
      <c r="H527" s="5"/>
      <c r="I527" s="8"/>
      <c r="J527" s="8"/>
    </row>
    <row r="528" spans="2:10" ht="12.75" x14ac:dyDescent="0.2">
      <c r="B528" s="6"/>
      <c r="C528" s="6"/>
      <c r="D528" s="6"/>
      <c r="E528" s="9"/>
      <c r="F528" s="9"/>
      <c r="G528" s="11"/>
      <c r="H528" s="5"/>
      <c r="I528" s="8"/>
      <c r="J528" s="8"/>
    </row>
    <row r="529" spans="2:10" ht="12.75" x14ac:dyDescent="0.2">
      <c r="B529" s="6"/>
      <c r="C529" s="6"/>
      <c r="D529" s="6"/>
      <c r="E529" s="9"/>
      <c r="F529" s="9"/>
      <c r="G529" s="11"/>
      <c r="H529" s="5"/>
      <c r="I529" s="8"/>
      <c r="J529" s="8"/>
    </row>
    <row r="530" spans="2:10" ht="12.75" x14ac:dyDescent="0.2">
      <c r="B530" s="6"/>
      <c r="C530" s="6"/>
      <c r="D530" s="6"/>
      <c r="E530" s="9"/>
      <c r="F530" s="9"/>
      <c r="G530" s="11"/>
      <c r="H530" s="5"/>
      <c r="I530" s="8"/>
      <c r="J530" s="8"/>
    </row>
    <row r="531" spans="2:10" ht="12.75" x14ac:dyDescent="0.2">
      <c r="B531" s="6"/>
      <c r="C531" s="6"/>
      <c r="D531" s="6"/>
      <c r="E531" s="9"/>
      <c r="F531" s="9"/>
      <c r="G531" s="11"/>
      <c r="H531" s="5"/>
      <c r="I531" s="8"/>
      <c r="J531" s="8"/>
    </row>
    <row r="532" spans="2:10" ht="12.75" x14ac:dyDescent="0.2">
      <c r="B532" s="6"/>
      <c r="C532" s="6"/>
      <c r="D532" s="6"/>
      <c r="E532" s="9"/>
      <c r="F532" s="9"/>
      <c r="G532" s="11"/>
      <c r="H532" s="5"/>
      <c r="I532" s="8"/>
      <c r="J532" s="8"/>
    </row>
    <row r="533" spans="2:10" ht="12.75" x14ac:dyDescent="0.2">
      <c r="B533" s="6"/>
      <c r="C533" s="6"/>
      <c r="D533" s="6"/>
      <c r="E533" s="9"/>
      <c r="F533" s="9"/>
      <c r="G533" s="11"/>
      <c r="H533" s="5"/>
      <c r="I533" s="8"/>
      <c r="J533" s="8"/>
    </row>
    <row r="534" spans="2:10" ht="12.75" x14ac:dyDescent="0.2">
      <c r="B534" s="6"/>
      <c r="C534" s="6"/>
      <c r="D534" s="6"/>
      <c r="E534" s="9"/>
      <c r="F534" s="9"/>
      <c r="G534" s="11"/>
      <c r="H534" s="5"/>
      <c r="I534" s="8"/>
      <c r="J534" s="8"/>
    </row>
    <row r="535" spans="2:10" ht="12.75" x14ac:dyDescent="0.2">
      <c r="B535" s="6"/>
      <c r="C535" s="6"/>
      <c r="D535" s="6"/>
      <c r="E535" s="9"/>
      <c r="F535" s="9"/>
      <c r="G535" s="11"/>
      <c r="H535" s="5"/>
      <c r="I535" s="8"/>
      <c r="J535" s="8"/>
    </row>
    <row r="536" spans="2:10" ht="12.75" x14ac:dyDescent="0.2">
      <c r="B536" s="6"/>
      <c r="C536" s="6"/>
      <c r="D536" s="6"/>
      <c r="E536" s="9"/>
      <c r="F536" s="9"/>
      <c r="G536" s="11"/>
      <c r="H536" s="5"/>
      <c r="I536" s="8"/>
      <c r="J536" s="8"/>
    </row>
    <row r="537" spans="2:10" ht="12.75" x14ac:dyDescent="0.2">
      <c r="B537" s="6"/>
      <c r="C537" s="6"/>
      <c r="D537" s="6"/>
      <c r="E537" s="9"/>
      <c r="F537" s="9"/>
      <c r="G537" s="11"/>
      <c r="H537" s="5"/>
      <c r="I537" s="8"/>
      <c r="J537" s="8"/>
    </row>
    <row r="538" spans="2:10" ht="12.75" x14ac:dyDescent="0.2">
      <c r="B538" s="6"/>
      <c r="C538" s="6"/>
      <c r="D538" s="6"/>
      <c r="E538" s="9"/>
      <c r="F538" s="9"/>
      <c r="G538" s="11"/>
      <c r="H538" s="5"/>
      <c r="I538" s="8"/>
      <c r="J538" s="8"/>
    </row>
    <row r="539" spans="2:10" ht="12.75" x14ac:dyDescent="0.2">
      <c r="B539" s="6"/>
      <c r="C539" s="6"/>
      <c r="D539" s="6"/>
      <c r="E539" s="9"/>
      <c r="F539" s="9"/>
      <c r="G539" s="11"/>
      <c r="H539" s="5"/>
      <c r="I539" s="8"/>
      <c r="J539" s="8"/>
    </row>
    <row r="540" spans="2:10" ht="12.75" x14ac:dyDescent="0.2">
      <c r="B540" s="6"/>
      <c r="C540" s="6"/>
      <c r="D540" s="6"/>
      <c r="E540" s="9"/>
      <c r="F540" s="9"/>
      <c r="G540" s="11"/>
      <c r="H540" s="5"/>
      <c r="I540" s="8"/>
      <c r="J540" s="8"/>
    </row>
    <row r="541" spans="2:10" ht="12.75" x14ac:dyDescent="0.2">
      <c r="B541" s="6"/>
      <c r="C541" s="6"/>
      <c r="D541" s="6"/>
      <c r="E541" s="9"/>
      <c r="F541" s="9"/>
      <c r="G541" s="11"/>
      <c r="H541" s="5"/>
      <c r="I541" s="8"/>
      <c r="J541" s="8"/>
    </row>
    <row r="542" spans="2:10" ht="12.75" x14ac:dyDescent="0.2">
      <c r="B542" s="6"/>
      <c r="C542" s="6"/>
      <c r="D542" s="6"/>
      <c r="E542" s="9"/>
      <c r="F542" s="9"/>
      <c r="G542" s="11"/>
      <c r="H542" s="5"/>
      <c r="I542" s="8"/>
      <c r="J542" s="8"/>
    </row>
    <row r="543" spans="2:10" ht="12.75" x14ac:dyDescent="0.2">
      <c r="B543" s="6"/>
      <c r="C543" s="6"/>
      <c r="D543" s="6"/>
      <c r="E543" s="9"/>
      <c r="F543" s="9"/>
      <c r="G543" s="11"/>
      <c r="H543" s="5"/>
      <c r="I543" s="8"/>
      <c r="J543" s="8"/>
    </row>
    <row r="544" spans="2:10" ht="12.75" x14ac:dyDescent="0.2">
      <c r="B544" s="6"/>
      <c r="C544" s="6"/>
      <c r="D544" s="6"/>
      <c r="E544" s="9"/>
      <c r="F544" s="9"/>
      <c r="G544" s="11"/>
      <c r="H544" s="5"/>
      <c r="I544" s="8"/>
      <c r="J544" s="8"/>
    </row>
    <row r="545" spans="2:10" ht="12.75" x14ac:dyDescent="0.2">
      <c r="B545" s="6"/>
      <c r="C545" s="6"/>
      <c r="D545" s="6"/>
      <c r="E545" s="9"/>
      <c r="F545" s="9"/>
      <c r="G545" s="11"/>
      <c r="H545" s="5"/>
      <c r="I545" s="8"/>
      <c r="J545" s="8"/>
    </row>
    <row r="546" spans="2:10" ht="12.75" x14ac:dyDescent="0.2">
      <c r="B546" s="6"/>
      <c r="C546" s="6"/>
      <c r="D546" s="6"/>
      <c r="E546" s="9"/>
      <c r="F546" s="9"/>
      <c r="G546" s="11"/>
      <c r="H546" s="5"/>
      <c r="I546" s="8"/>
      <c r="J546" s="8"/>
    </row>
    <row r="547" spans="2:10" ht="12.75" x14ac:dyDescent="0.2">
      <c r="B547" s="6"/>
      <c r="C547" s="6"/>
      <c r="D547" s="6"/>
      <c r="E547" s="9"/>
      <c r="F547" s="9"/>
      <c r="G547" s="11"/>
      <c r="H547" s="5"/>
      <c r="I547" s="8"/>
      <c r="J547" s="8"/>
    </row>
    <row r="548" spans="2:10" ht="12.75" x14ac:dyDescent="0.2">
      <c r="B548" s="6"/>
      <c r="C548" s="6"/>
      <c r="D548" s="6"/>
      <c r="E548" s="9"/>
      <c r="F548" s="9"/>
      <c r="G548" s="11"/>
      <c r="H548" s="5"/>
      <c r="I548" s="8"/>
      <c r="J548" s="8"/>
    </row>
    <row r="549" spans="2:10" ht="12.75" x14ac:dyDescent="0.2">
      <c r="B549" s="6"/>
      <c r="C549" s="6"/>
      <c r="D549" s="6"/>
      <c r="E549" s="9"/>
      <c r="F549" s="9"/>
      <c r="G549" s="11"/>
      <c r="H549" s="5"/>
      <c r="I549" s="8"/>
      <c r="J549" s="8"/>
    </row>
    <row r="550" spans="2:10" ht="12.75" x14ac:dyDescent="0.2">
      <c r="B550" s="6"/>
      <c r="C550" s="6"/>
      <c r="D550" s="6"/>
      <c r="E550" s="9"/>
      <c r="F550" s="9"/>
      <c r="G550" s="11"/>
      <c r="H550" s="5"/>
      <c r="I550" s="8"/>
      <c r="J550" s="8"/>
    </row>
    <row r="551" spans="2:10" ht="12.75" x14ac:dyDescent="0.2">
      <c r="B551" s="6"/>
      <c r="C551" s="6"/>
      <c r="D551" s="6"/>
      <c r="E551" s="9"/>
      <c r="F551" s="9"/>
      <c r="G551" s="11"/>
      <c r="H551" s="5"/>
      <c r="I551" s="8"/>
      <c r="J551" s="8"/>
    </row>
    <row r="552" spans="2:10" ht="12.75" x14ac:dyDescent="0.2">
      <c r="B552" s="6"/>
      <c r="C552" s="6"/>
      <c r="D552" s="6"/>
      <c r="E552" s="9"/>
      <c r="F552" s="9"/>
      <c r="G552" s="11"/>
      <c r="H552" s="5"/>
      <c r="I552" s="8"/>
      <c r="J552" s="8"/>
    </row>
    <row r="553" spans="2:10" ht="12.75" x14ac:dyDescent="0.2">
      <c r="B553" s="6"/>
      <c r="C553" s="6"/>
      <c r="D553" s="6"/>
      <c r="E553" s="9"/>
      <c r="F553" s="9"/>
      <c r="G553" s="11"/>
      <c r="H553" s="5"/>
      <c r="I553" s="8"/>
      <c r="J553" s="8"/>
    </row>
    <row r="554" spans="2:10" ht="12.75" x14ac:dyDescent="0.2">
      <c r="B554" s="6"/>
      <c r="C554" s="6"/>
      <c r="D554" s="6"/>
      <c r="E554" s="9"/>
      <c r="F554" s="9"/>
      <c r="G554" s="11"/>
      <c r="H554" s="5"/>
      <c r="I554" s="8"/>
      <c r="J554" s="8"/>
    </row>
    <row r="555" spans="2:10" ht="12.75" x14ac:dyDescent="0.2">
      <c r="B555" s="6"/>
      <c r="C555" s="6"/>
      <c r="D555" s="6"/>
      <c r="E555" s="9"/>
      <c r="F555" s="9"/>
      <c r="G555" s="11"/>
      <c r="H555" s="5"/>
      <c r="I555" s="8"/>
      <c r="J555" s="8"/>
    </row>
    <row r="556" spans="2:10" ht="12.75" x14ac:dyDescent="0.2">
      <c r="B556" s="6"/>
      <c r="C556" s="6"/>
      <c r="D556" s="6"/>
      <c r="E556" s="9"/>
      <c r="F556" s="9"/>
      <c r="G556" s="11"/>
      <c r="H556" s="5"/>
      <c r="I556" s="8"/>
      <c r="J556" s="8"/>
    </row>
    <row r="557" spans="2:10" ht="12.75" x14ac:dyDescent="0.2">
      <c r="B557" s="6"/>
      <c r="C557" s="6"/>
      <c r="D557" s="6"/>
      <c r="E557" s="9"/>
      <c r="F557" s="9"/>
      <c r="G557" s="11"/>
      <c r="H557" s="5"/>
      <c r="I557" s="8"/>
      <c r="J557" s="8"/>
    </row>
    <row r="558" spans="2:10" ht="12.75" x14ac:dyDescent="0.2">
      <c r="B558" s="6"/>
      <c r="C558" s="6"/>
      <c r="D558" s="6"/>
      <c r="E558" s="9"/>
      <c r="F558" s="9"/>
      <c r="G558" s="11"/>
      <c r="H558" s="5"/>
      <c r="I558" s="8"/>
      <c r="J558" s="8"/>
    </row>
    <row r="559" spans="2:10" ht="12.75" x14ac:dyDescent="0.2">
      <c r="B559" s="6"/>
      <c r="C559" s="6"/>
      <c r="D559" s="6"/>
      <c r="E559" s="9"/>
      <c r="F559" s="9"/>
      <c r="G559" s="11"/>
      <c r="H559" s="5"/>
      <c r="I559" s="8"/>
      <c r="J559" s="8"/>
    </row>
    <row r="560" spans="2:10" ht="12.75" x14ac:dyDescent="0.2">
      <c r="B560" s="6"/>
      <c r="C560" s="6"/>
      <c r="D560" s="6"/>
      <c r="E560" s="9"/>
      <c r="F560" s="9"/>
      <c r="G560" s="11"/>
      <c r="H560" s="5"/>
      <c r="I560" s="8"/>
      <c r="J560" s="8"/>
    </row>
    <row r="561" spans="2:10" ht="12.75" x14ac:dyDescent="0.2">
      <c r="B561" s="6"/>
      <c r="C561" s="6"/>
      <c r="D561" s="6"/>
      <c r="E561" s="9"/>
      <c r="F561" s="9"/>
      <c r="G561" s="11"/>
      <c r="H561" s="5"/>
      <c r="I561" s="8"/>
      <c r="J561" s="8"/>
    </row>
    <row r="562" spans="2:10" ht="12.75" x14ac:dyDescent="0.2">
      <c r="B562" s="6"/>
      <c r="C562" s="6"/>
      <c r="D562" s="6"/>
      <c r="E562" s="9"/>
      <c r="F562" s="9"/>
      <c r="G562" s="11"/>
      <c r="H562" s="5"/>
      <c r="I562" s="8"/>
      <c r="J562" s="8"/>
    </row>
    <row r="563" spans="2:10" ht="12.75" x14ac:dyDescent="0.2">
      <c r="B563" s="6"/>
      <c r="C563" s="6"/>
      <c r="D563" s="6"/>
      <c r="E563" s="9"/>
      <c r="F563" s="9"/>
      <c r="G563" s="11"/>
      <c r="H563" s="5"/>
      <c r="I563" s="8"/>
      <c r="J563" s="8"/>
    </row>
    <row r="564" spans="2:10" ht="12.75" x14ac:dyDescent="0.2">
      <c r="B564" s="6"/>
      <c r="C564" s="6"/>
      <c r="D564" s="6"/>
      <c r="E564" s="9"/>
      <c r="F564" s="9"/>
      <c r="G564" s="11"/>
      <c r="H564" s="5"/>
      <c r="I564" s="8"/>
      <c r="J564" s="8"/>
    </row>
    <row r="565" spans="2:10" ht="12.75" x14ac:dyDescent="0.2">
      <c r="B565" s="6"/>
      <c r="C565" s="6"/>
      <c r="D565" s="6"/>
      <c r="E565" s="9"/>
      <c r="F565" s="9"/>
      <c r="G565" s="11"/>
      <c r="H565" s="5"/>
      <c r="I565" s="8"/>
      <c r="J565" s="8"/>
    </row>
    <row r="566" spans="2:10" ht="12.75" x14ac:dyDescent="0.2">
      <c r="B566" s="6"/>
      <c r="C566" s="6"/>
      <c r="D566" s="6"/>
      <c r="E566" s="9"/>
      <c r="F566" s="9"/>
      <c r="G566" s="11"/>
      <c r="H566" s="5"/>
      <c r="I566" s="8"/>
      <c r="J566" s="8"/>
    </row>
    <row r="567" spans="2:10" ht="12.75" x14ac:dyDescent="0.2">
      <c r="B567" s="6"/>
      <c r="C567" s="6"/>
      <c r="D567" s="6"/>
      <c r="E567" s="9"/>
      <c r="F567" s="9"/>
      <c r="G567" s="11"/>
      <c r="H567" s="5"/>
      <c r="I567" s="8"/>
      <c r="J567" s="8"/>
    </row>
    <row r="568" spans="2:10" ht="12.75" x14ac:dyDescent="0.2">
      <c r="B568" s="6"/>
      <c r="C568" s="6"/>
      <c r="D568" s="6"/>
      <c r="E568" s="9"/>
      <c r="F568" s="9"/>
      <c r="G568" s="11"/>
      <c r="H568" s="5"/>
      <c r="I568" s="8"/>
      <c r="J568" s="8"/>
    </row>
    <row r="569" spans="2:10" ht="12.75" x14ac:dyDescent="0.2">
      <c r="B569" s="6"/>
      <c r="C569" s="6"/>
      <c r="D569" s="6"/>
      <c r="E569" s="9"/>
      <c r="F569" s="9"/>
      <c r="G569" s="11"/>
      <c r="H569" s="5"/>
      <c r="I569" s="8"/>
      <c r="J569" s="8"/>
    </row>
    <row r="570" spans="2:10" ht="12.75" x14ac:dyDescent="0.2">
      <c r="B570" s="6"/>
      <c r="C570" s="6"/>
      <c r="D570" s="6"/>
      <c r="E570" s="9"/>
      <c r="F570" s="9"/>
      <c r="G570" s="11"/>
      <c r="H570" s="5"/>
      <c r="I570" s="8"/>
      <c r="J570" s="8"/>
    </row>
    <row r="571" spans="2:10" ht="12.75" x14ac:dyDescent="0.2">
      <c r="B571" s="6"/>
      <c r="C571" s="6"/>
      <c r="D571" s="6"/>
      <c r="E571" s="9"/>
      <c r="F571" s="9"/>
      <c r="G571" s="11"/>
      <c r="H571" s="5"/>
      <c r="I571" s="8"/>
      <c r="J571" s="8"/>
    </row>
    <row r="572" spans="2:10" ht="12.75" x14ac:dyDescent="0.2">
      <c r="B572" s="6"/>
      <c r="C572" s="6"/>
      <c r="D572" s="6"/>
      <c r="E572" s="9"/>
      <c r="F572" s="9"/>
      <c r="G572" s="11"/>
      <c r="H572" s="5"/>
      <c r="I572" s="8"/>
      <c r="J572" s="8"/>
    </row>
    <row r="573" spans="2:10" ht="12.75" x14ac:dyDescent="0.2">
      <c r="B573" s="6"/>
      <c r="C573" s="6"/>
      <c r="D573" s="6"/>
      <c r="E573" s="9"/>
      <c r="F573" s="9"/>
      <c r="G573" s="11"/>
      <c r="H573" s="5"/>
      <c r="I573" s="8"/>
      <c r="J573" s="8"/>
    </row>
    <row r="574" spans="2:10" ht="12.75" x14ac:dyDescent="0.2">
      <c r="B574" s="6"/>
      <c r="C574" s="6"/>
      <c r="D574" s="6"/>
      <c r="E574" s="9"/>
      <c r="F574" s="9"/>
      <c r="G574" s="11"/>
      <c r="H574" s="5"/>
      <c r="I574" s="8"/>
      <c r="J574" s="8"/>
    </row>
    <row r="575" spans="2:10" ht="12.75" x14ac:dyDescent="0.2">
      <c r="B575" s="6"/>
      <c r="C575" s="6"/>
      <c r="D575" s="6"/>
      <c r="E575" s="9"/>
      <c r="F575" s="9"/>
      <c r="G575" s="11"/>
      <c r="H575" s="5"/>
      <c r="I575" s="8"/>
      <c r="J575" s="8"/>
    </row>
    <row r="576" spans="2:10" ht="12.75" x14ac:dyDescent="0.2">
      <c r="B576" s="6"/>
      <c r="C576" s="6"/>
      <c r="D576" s="6"/>
      <c r="E576" s="9"/>
      <c r="F576" s="9"/>
      <c r="G576" s="11"/>
      <c r="H576" s="5"/>
      <c r="I576" s="8"/>
      <c r="J576" s="8"/>
    </row>
    <row r="577" spans="2:10" ht="12.75" x14ac:dyDescent="0.2">
      <c r="B577" s="6"/>
      <c r="C577" s="6"/>
      <c r="D577" s="6"/>
      <c r="E577" s="9"/>
      <c r="F577" s="9"/>
      <c r="G577" s="11"/>
      <c r="H577" s="5"/>
      <c r="I577" s="8"/>
      <c r="J577" s="8"/>
    </row>
    <row r="578" spans="2:10" ht="12.75" x14ac:dyDescent="0.2">
      <c r="B578" s="6"/>
      <c r="C578" s="6"/>
      <c r="D578" s="6"/>
      <c r="E578" s="9"/>
      <c r="F578" s="9"/>
      <c r="G578" s="11"/>
      <c r="H578" s="5"/>
      <c r="I578" s="8"/>
      <c r="J578" s="8"/>
    </row>
    <row r="579" spans="2:10" ht="12.75" x14ac:dyDescent="0.2">
      <c r="B579" s="6"/>
      <c r="C579" s="6"/>
      <c r="D579" s="6"/>
      <c r="E579" s="9"/>
      <c r="F579" s="9"/>
      <c r="G579" s="11"/>
      <c r="H579" s="5"/>
      <c r="I579" s="8"/>
      <c r="J579" s="8"/>
    </row>
    <row r="580" spans="2:10" ht="12.75" x14ac:dyDescent="0.2">
      <c r="B580" s="6"/>
      <c r="C580" s="6"/>
      <c r="D580" s="6"/>
      <c r="E580" s="9"/>
      <c r="F580" s="9"/>
      <c r="G580" s="11"/>
      <c r="H580" s="5"/>
      <c r="I580" s="8"/>
      <c r="J580" s="8"/>
    </row>
    <row r="581" spans="2:10" ht="12.75" x14ac:dyDescent="0.2">
      <c r="B581" s="6"/>
      <c r="C581" s="6"/>
      <c r="D581" s="6"/>
      <c r="E581" s="9"/>
      <c r="F581" s="9"/>
      <c r="G581" s="11"/>
      <c r="H581" s="5"/>
      <c r="I581" s="8"/>
      <c r="J581" s="8"/>
    </row>
    <row r="582" spans="2:10" ht="12.75" x14ac:dyDescent="0.2">
      <c r="B582" s="6"/>
      <c r="C582" s="6"/>
      <c r="D582" s="6"/>
      <c r="E582" s="9"/>
      <c r="F582" s="9"/>
      <c r="G582" s="11"/>
      <c r="H582" s="5"/>
      <c r="I582" s="8"/>
      <c r="J582" s="8"/>
    </row>
    <row r="583" spans="2:10" ht="12.75" x14ac:dyDescent="0.2">
      <c r="B583" s="6"/>
      <c r="C583" s="6"/>
      <c r="D583" s="6"/>
      <c r="E583" s="9"/>
      <c r="F583" s="9"/>
      <c r="G583" s="11"/>
      <c r="H583" s="5"/>
      <c r="I583" s="8"/>
      <c r="J583" s="8"/>
    </row>
    <row r="584" spans="2:10" ht="12.75" x14ac:dyDescent="0.2">
      <c r="B584" s="6"/>
      <c r="C584" s="6"/>
      <c r="D584" s="6"/>
      <c r="E584" s="9"/>
      <c r="F584" s="9"/>
      <c r="G584" s="11"/>
      <c r="H584" s="5"/>
      <c r="I584" s="8"/>
      <c r="J584" s="8"/>
    </row>
    <row r="585" spans="2:10" ht="12.75" x14ac:dyDescent="0.2">
      <c r="B585" s="6"/>
      <c r="C585" s="6"/>
      <c r="D585" s="6"/>
      <c r="E585" s="9"/>
      <c r="F585" s="9"/>
      <c r="G585" s="11"/>
      <c r="H585" s="5"/>
      <c r="I585" s="8"/>
      <c r="J585" s="8"/>
    </row>
    <row r="586" spans="2:10" ht="12.75" x14ac:dyDescent="0.2">
      <c r="B586" s="6"/>
      <c r="C586" s="6"/>
      <c r="D586" s="6"/>
      <c r="E586" s="9"/>
      <c r="F586" s="9"/>
      <c r="G586" s="11"/>
      <c r="H586" s="5"/>
      <c r="I586" s="8"/>
      <c r="J586" s="8"/>
    </row>
    <row r="587" spans="2:10" ht="12.75" x14ac:dyDescent="0.2">
      <c r="B587" s="6"/>
      <c r="C587" s="6"/>
      <c r="D587" s="6"/>
      <c r="E587" s="9"/>
      <c r="F587" s="9"/>
      <c r="G587" s="11"/>
      <c r="H587" s="5"/>
      <c r="I587" s="8"/>
      <c r="J587" s="8"/>
    </row>
    <row r="588" spans="2:10" ht="12.75" x14ac:dyDescent="0.2">
      <c r="B588" s="6"/>
      <c r="C588" s="6"/>
      <c r="D588" s="6"/>
      <c r="E588" s="9"/>
      <c r="F588" s="9"/>
      <c r="G588" s="11"/>
      <c r="H588" s="5"/>
      <c r="I588" s="8"/>
      <c r="J588" s="8"/>
    </row>
    <row r="589" spans="2:10" ht="12.75" x14ac:dyDescent="0.2">
      <c r="B589" s="6"/>
      <c r="C589" s="6"/>
      <c r="D589" s="6"/>
      <c r="E589" s="9"/>
      <c r="F589" s="9"/>
      <c r="G589" s="11"/>
      <c r="H589" s="5"/>
      <c r="I589" s="8"/>
      <c r="J589" s="8"/>
    </row>
    <row r="590" spans="2:10" ht="12.75" x14ac:dyDescent="0.2">
      <c r="B590" s="6"/>
      <c r="C590" s="6"/>
      <c r="D590" s="6"/>
      <c r="E590" s="9"/>
      <c r="F590" s="9"/>
      <c r="G590" s="11"/>
      <c r="H590" s="5"/>
      <c r="I590" s="8"/>
      <c r="J590" s="8"/>
    </row>
    <row r="591" spans="2:10" ht="12.75" x14ac:dyDescent="0.2">
      <c r="B591" s="6"/>
      <c r="C591" s="6"/>
      <c r="D591" s="6"/>
      <c r="E591" s="9"/>
      <c r="F591" s="9"/>
      <c r="G591" s="11"/>
      <c r="H591" s="5"/>
      <c r="I591" s="8"/>
      <c r="J591" s="8"/>
    </row>
    <row r="592" spans="2:10" ht="12.75" x14ac:dyDescent="0.2">
      <c r="B592" s="6"/>
      <c r="C592" s="6"/>
      <c r="D592" s="6"/>
      <c r="E592" s="9"/>
      <c r="F592" s="9"/>
      <c r="G592" s="11"/>
      <c r="H592" s="5"/>
      <c r="I592" s="8"/>
      <c r="J592" s="8"/>
    </row>
    <row r="593" spans="2:10" ht="12.75" x14ac:dyDescent="0.2">
      <c r="B593" s="6"/>
      <c r="C593" s="6"/>
      <c r="D593" s="6"/>
      <c r="E593" s="9"/>
      <c r="F593" s="9"/>
      <c r="G593" s="11"/>
      <c r="H593" s="5"/>
      <c r="I593" s="8"/>
      <c r="J593" s="8"/>
    </row>
    <row r="594" spans="2:10" ht="12.75" x14ac:dyDescent="0.2">
      <c r="B594" s="6"/>
      <c r="C594" s="6"/>
      <c r="D594" s="6"/>
      <c r="E594" s="9"/>
      <c r="F594" s="9"/>
      <c r="G594" s="11"/>
      <c r="H594" s="5"/>
      <c r="I594" s="8"/>
      <c r="J594" s="8"/>
    </row>
    <row r="595" spans="2:10" ht="12.75" x14ac:dyDescent="0.2">
      <c r="B595" s="6"/>
      <c r="C595" s="6"/>
      <c r="D595" s="6"/>
      <c r="E595" s="9"/>
      <c r="F595" s="9"/>
      <c r="G595" s="11"/>
      <c r="H595" s="5"/>
      <c r="I595" s="8"/>
      <c r="J595" s="8"/>
    </row>
    <row r="596" spans="2:10" ht="12.75" x14ac:dyDescent="0.2">
      <c r="B596" s="6"/>
      <c r="C596" s="6"/>
      <c r="D596" s="6"/>
      <c r="E596" s="9"/>
      <c r="F596" s="9"/>
      <c r="G596" s="11"/>
      <c r="H596" s="5"/>
      <c r="I596" s="8"/>
      <c r="J596" s="8"/>
    </row>
    <row r="597" spans="2:10" ht="12.75" x14ac:dyDescent="0.2">
      <c r="B597" s="6"/>
      <c r="C597" s="6"/>
      <c r="D597" s="6"/>
      <c r="E597" s="9"/>
      <c r="F597" s="9"/>
      <c r="G597" s="11"/>
      <c r="H597" s="5"/>
      <c r="I597" s="8"/>
      <c r="J597" s="8"/>
    </row>
    <row r="598" spans="2:10" ht="12.75" x14ac:dyDescent="0.2">
      <c r="B598" s="6"/>
      <c r="C598" s="6"/>
      <c r="D598" s="6"/>
      <c r="E598" s="9"/>
      <c r="F598" s="9"/>
      <c r="G598" s="11"/>
      <c r="H598" s="5"/>
      <c r="I598" s="8"/>
      <c r="J598" s="8"/>
    </row>
    <row r="599" spans="2:10" ht="12.75" x14ac:dyDescent="0.2">
      <c r="B599" s="6"/>
      <c r="C599" s="6"/>
      <c r="D599" s="6"/>
      <c r="E599" s="9"/>
      <c r="F599" s="9"/>
      <c r="G599" s="11"/>
      <c r="H599" s="5"/>
      <c r="I599" s="8"/>
      <c r="J599" s="8"/>
    </row>
    <row r="600" spans="2:10" ht="12.75" x14ac:dyDescent="0.2">
      <c r="B600" s="6"/>
      <c r="C600" s="6"/>
      <c r="D600" s="6"/>
      <c r="E600" s="9"/>
      <c r="F600" s="9"/>
      <c r="G600" s="11"/>
      <c r="H600" s="5"/>
      <c r="I600" s="8"/>
      <c r="J600" s="8"/>
    </row>
    <row r="601" spans="2:10" ht="12.75" x14ac:dyDescent="0.2">
      <c r="B601" s="6"/>
      <c r="C601" s="6"/>
      <c r="D601" s="6"/>
      <c r="E601" s="9"/>
      <c r="F601" s="9"/>
      <c r="G601" s="11"/>
      <c r="H601" s="5"/>
      <c r="I601" s="8"/>
      <c r="J601" s="8"/>
    </row>
    <row r="602" spans="2:10" ht="12.75" x14ac:dyDescent="0.2">
      <c r="B602" s="6"/>
      <c r="C602" s="6"/>
      <c r="D602" s="6"/>
      <c r="E602" s="9"/>
      <c r="F602" s="9"/>
      <c r="G602" s="11"/>
      <c r="H602" s="5"/>
      <c r="I602" s="8"/>
      <c r="J602" s="8"/>
    </row>
    <row r="603" spans="2:10" ht="12.75" x14ac:dyDescent="0.2">
      <c r="B603" s="6"/>
      <c r="C603" s="6"/>
      <c r="D603" s="6"/>
      <c r="E603" s="9"/>
      <c r="F603" s="9"/>
      <c r="G603" s="11"/>
      <c r="H603" s="5"/>
      <c r="I603" s="8"/>
      <c r="J603" s="8"/>
    </row>
    <row r="604" spans="2:10" ht="12.75" x14ac:dyDescent="0.2">
      <c r="B604" s="6"/>
      <c r="C604" s="6"/>
      <c r="D604" s="6"/>
      <c r="E604" s="9"/>
      <c r="F604" s="9"/>
      <c r="G604" s="11"/>
      <c r="H604" s="5"/>
      <c r="I604" s="8"/>
      <c r="J604" s="8"/>
    </row>
    <row r="605" spans="2:10" ht="12.75" x14ac:dyDescent="0.2">
      <c r="B605" s="6"/>
      <c r="C605" s="6"/>
      <c r="D605" s="6"/>
      <c r="E605" s="9"/>
      <c r="F605" s="9"/>
      <c r="G605" s="11"/>
      <c r="H605" s="5"/>
      <c r="I605" s="8"/>
      <c r="J605" s="8"/>
    </row>
    <row r="606" spans="2:10" ht="12.75" x14ac:dyDescent="0.2">
      <c r="B606" s="6"/>
      <c r="C606" s="6"/>
      <c r="D606" s="6"/>
      <c r="E606" s="9"/>
      <c r="F606" s="9"/>
      <c r="G606" s="11"/>
      <c r="H606" s="5"/>
      <c r="I606" s="8"/>
      <c r="J606" s="8"/>
    </row>
    <row r="607" spans="2:10" ht="12.75" x14ac:dyDescent="0.2">
      <c r="B607" s="6"/>
      <c r="C607" s="6"/>
      <c r="D607" s="6"/>
      <c r="E607" s="9"/>
      <c r="F607" s="9"/>
      <c r="G607" s="11"/>
      <c r="H607" s="5"/>
      <c r="I607" s="8"/>
      <c r="J607" s="8"/>
    </row>
    <row r="608" spans="2:10" ht="12.75" x14ac:dyDescent="0.2">
      <c r="B608" s="6"/>
      <c r="C608" s="6"/>
      <c r="D608" s="6"/>
      <c r="E608" s="9"/>
      <c r="F608" s="9"/>
      <c r="G608" s="11"/>
      <c r="H608" s="5"/>
      <c r="I608" s="8"/>
      <c r="J608" s="8"/>
    </row>
    <row r="609" spans="2:10" ht="12.75" x14ac:dyDescent="0.2">
      <c r="B609" s="6"/>
      <c r="C609" s="6"/>
      <c r="D609" s="6"/>
      <c r="E609" s="9"/>
      <c r="F609" s="9"/>
      <c r="G609" s="11"/>
      <c r="H609" s="5"/>
      <c r="I609" s="8"/>
      <c r="J609" s="8"/>
    </row>
    <row r="610" spans="2:10" ht="12.75" x14ac:dyDescent="0.2">
      <c r="B610" s="6"/>
      <c r="C610" s="6"/>
      <c r="D610" s="6"/>
      <c r="E610" s="9"/>
      <c r="F610" s="9"/>
      <c r="G610" s="11"/>
      <c r="H610" s="5"/>
      <c r="I610" s="8"/>
      <c r="J610" s="8"/>
    </row>
    <row r="611" spans="2:10" ht="12.75" x14ac:dyDescent="0.2">
      <c r="B611" s="6"/>
      <c r="C611" s="6"/>
      <c r="D611" s="6"/>
      <c r="E611" s="9"/>
      <c r="F611" s="9"/>
      <c r="G611" s="11"/>
      <c r="H611" s="5"/>
      <c r="I611" s="8"/>
      <c r="J611" s="8"/>
    </row>
    <row r="612" spans="2:10" ht="12.75" x14ac:dyDescent="0.2">
      <c r="B612" s="6"/>
      <c r="C612" s="6"/>
      <c r="D612" s="6"/>
      <c r="E612" s="9"/>
      <c r="F612" s="9"/>
      <c r="G612" s="11"/>
      <c r="H612" s="5"/>
      <c r="I612" s="8"/>
      <c r="J612" s="8"/>
    </row>
    <row r="613" spans="2:10" ht="12.75" x14ac:dyDescent="0.2">
      <c r="B613" s="6"/>
      <c r="C613" s="6"/>
      <c r="D613" s="6"/>
      <c r="E613" s="9"/>
      <c r="F613" s="9"/>
      <c r="G613" s="11"/>
      <c r="H613" s="5"/>
      <c r="I613" s="8"/>
      <c r="J613" s="8"/>
    </row>
    <row r="614" spans="2:10" ht="12.75" x14ac:dyDescent="0.2">
      <c r="B614" s="6"/>
      <c r="C614" s="6"/>
      <c r="D614" s="6"/>
      <c r="E614" s="9"/>
      <c r="F614" s="9"/>
      <c r="G614" s="11"/>
      <c r="H614" s="5"/>
      <c r="I614" s="8"/>
      <c r="J614" s="8"/>
    </row>
    <row r="615" spans="2:10" ht="12.75" x14ac:dyDescent="0.2">
      <c r="B615" s="6"/>
      <c r="C615" s="6"/>
      <c r="D615" s="6"/>
      <c r="E615" s="9"/>
      <c r="F615" s="9"/>
      <c r="G615" s="11"/>
      <c r="H615" s="5"/>
      <c r="I615" s="8"/>
      <c r="J615" s="8"/>
    </row>
    <row r="616" spans="2:10" ht="12.75" x14ac:dyDescent="0.2">
      <c r="B616" s="6"/>
      <c r="C616" s="6"/>
      <c r="D616" s="6"/>
      <c r="E616" s="9"/>
      <c r="F616" s="9"/>
      <c r="G616" s="11"/>
      <c r="H616" s="5"/>
      <c r="I616" s="8"/>
      <c r="J616" s="8"/>
    </row>
    <row r="617" spans="2:10" ht="12.75" x14ac:dyDescent="0.2">
      <c r="B617" s="6"/>
      <c r="C617" s="6"/>
      <c r="D617" s="6"/>
      <c r="E617" s="9"/>
      <c r="F617" s="9"/>
      <c r="G617" s="11"/>
      <c r="H617" s="5"/>
      <c r="I617" s="8"/>
      <c r="J617" s="8"/>
    </row>
    <row r="618" spans="2:10" ht="12.75" x14ac:dyDescent="0.2">
      <c r="B618" s="6"/>
      <c r="C618" s="6"/>
      <c r="D618" s="6"/>
      <c r="E618" s="9"/>
      <c r="F618" s="9"/>
      <c r="G618" s="11"/>
      <c r="H618" s="5"/>
      <c r="I618" s="8"/>
      <c r="J618" s="8"/>
    </row>
    <row r="619" spans="2:10" ht="12.75" x14ac:dyDescent="0.2">
      <c r="B619" s="6"/>
      <c r="C619" s="6"/>
      <c r="D619" s="6"/>
      <c r="E619" s="9"/>
      <c r="F619" s="9"/>
      <c r="G619" s="11"/>
      <c r="H619" s="5"/>
      <c r="I619" s="8"/>
      <c r="J619" s="8"/>
    </row>
    <row r="620" spans="2:10" ht="12.75" x14ac:dyDescent="0.2">
      <c r="B620" s="6"/>
      <c r="C620" s="6"/>
      <c r="D620" s="6"/>
      <c r="E620" s="9"/>
      <c r="F620" s="9"/>
      <c r="G620" s="11"/>
      <c r="H620" s="5"/>
      <c r="I620" s="8"/>
      <c r="J620" s="8"/>
    </row>
    <row r="621" spans="2:10" ht="12.75" x14ac:dyDescent="0.2">
      <c r="B621" s="6"/>
      <c r="C621" s="6"/>
      <c r="D621" s="6"/>
      <c r="E621" s="9"/>
      <c r="F621" s="9"/>
      <c r="G621" s="11"/>
      <c r="H621" s="5"/>
      <c r="I621" s="8"/>
      <c r="J621" s="8"/>
    </row>
    <row r="622" spans="2:10" ht="12.75" x14ac:dyDescent="0.2">
      <c r="B622" s="6"/>
      <c r="C622" s="6"/>
      <c r="D622" s="6"/>
      <c r="E622" s="9"/>
      <c r="F622" s="9"/>
      <c r="G622" s="11"/>
      <c r="H622" s="5"/>
      <c r="I622" s="8"/>
      <c r="J622" s="8"/>
    </row>
    <row r="623" spans="2:10" ht="12.75" x14ac:dyDescent="0.2">
      <c r="B623" s="6"/>
      <c r="C623" s="6"/>
      <c r="D623" s="6"/>
      <c r="E623" s="9"/>
      <c r="F623" s="9"/>
      <c r="G623" s="11"/>
      <c r="H623" s="5"/>
      <c r="I623" s="8"/>
      <c r="J623" s="8"/>
    </row>
    <row r="624" spans="2:10" ht="12.75" x14ac:dyDescent="0.2">
      <c r="B624" s="6"/>
      <c r="C624" s="6"/>
      <c r="D624" s="6"/>
      <c r="E624" s="9"/>
      <c r="F624" s="9"/>
      <c r="G624" s="11"/>
      <c r="H624" s="5"/>
      <c r="I624" s="8"/>
      <c r="J624" s="8"/>
    </row>
    <row r="625" spans="2:10" ht="12.75" x14ac:dyDescent="0.2">
      <c r="B625" s="6"/>
      <c r="C625" s="6"/>
      <c r="D625" s="6"/>
      <c r="E625" s="9"/>
      <c r="F625" s="9"/>
      <c r="G625" s="11"/>
      <c r="H625" s="5"/>
      <c r="I625" s="8"/>
      <c r="J625" s="8"/>
    </row>
    <row r="626" spans="2:10" ht="12.75" x14ac:dyDescent="0.2">
      <c r="B626" s="6"/>
      <c r="C626" s="6"/>
      <c r="D626" s="6"/>
      <c r="E626" s="9"/>
      <c r="F626" s="9"/>
      <c r="G626" s="11"/>
      <c r="H626" s="5"/>
      <c r="I626" s="8"/>
      <c r="J626" s="8"/>
    </row>
    <row r="627" spans="2:10" ht="12.75" x14ac:dyDescent="0.2">
      <c r="B627" s="6"/>
      <c r="C627" s="6"/>
      <c r="D627" s="6"/>
      <c r="E627" s="9"/>
      <c r="F627" s="9"/>
      <c r="G627" s="11"/>
      <c r="H627" s="5"/>
      <c r="I627" s="8"/>
      <c r="J627" s="8"/>
    </row>
    <row r="628" spans="2:10" ht="12.75" x14ac:dyDescent="0.2">
      <c r="B628" s="6"/>
      <c r="C628" s="6"/>
      <c r="D628" s="6"/>
      <c r="E628" s="9"/>
      <c r="F628" s="9"/>
      <c r="G628" s="11"/>
      <c r="H628" s="5"/>
      <c r="I628" s="8"/>
      <c r="J628" s="8"/>
    </row>
    <row r="629" spans="2:10" ht="12.75" x14ac:dyDescent="0.2">
      <c r="B629" s="6"/>
      <c r="C629" s="6"/>
      <c r="D629" s="6"/>
      <c r="E629" s="9"/>
      <c r="F629" s="9"/>
      <c r="G629" s="11"/>
      <c r="H629" s="5"/>
      <c r="I629" s="8"/>
      <c r="J629" s="8"/>
    </row>
    <row r="630" spans="2:10" ht="12.75" x14ac:dyDescent="0.2">
      <c r="B630" s="6"/>
      <c r="C630" s="6"/>
      <c r="D630" s="6"/>
      <c r="E630" s="9"/>
      <c r="F630" s="9"/>
      <c r="G630" s="11"/>
      <c r="H630" s="5"/>
      <c r="I630" s="8"/>
      <c r="J630" s="8"/>
    </row>
    <row r="631" spans="2:10" ht="12.75" x14ac:dyDescent="0.2">
      <c r="B631" s="6"/>
      <c r="C631" s="6"/>
      <c r="D631" s="6"/>
      <c r="E631" s="9"/>
      <c r="F631" s="9"/>
      <c r="G631" s="11"/>
      <c r="H631" s="5"/>
      <c r="I631" s="8"/>
      <c r="J631" s="8"/>
    </row>
    <row r="632" spans="2:10" ht="12.75" x14ac:dyDescent="0.2">
      <c r="B632" s="6"/>
      <c r="C632" s="6"/>
      <c r="D632" s="6"/>
      <c r="E632" s="9"/>
      <c r="F632" s="9"/>
      <c r="G632" s="11"/>
      <c r="H632" s="5"/>
      <c r="I632" s="8"/>
      <c r="J632" s="8"/>
    </row>
    <row r="633" spans="2:10" ht="12.75" x14ac:dyDescent="0.2">
      <c r="B633" s="6"/>
      <c r="C633" s="6"/>
      <c r="D633" s="6"/>
      <c r="E633" s="9"/>
      <c r="F633" s="9"/>
      <c r="G633" s="11"/>
      <c r="H633" s="5"/>
      <c r="I633" s="8"/>
      <c r="J633" s="8"/>
    </row>
    <row r="634" spans="2:10" ht="12.75" x14ac:dyDescent="0.2">
      <c r="B634" s="6"/>
      <c r="C634" s="6"/>
      <c r="D634" s="6"/>
      <c r="E634" s="9"/>
      <c r="F634" s="9"/>
      <c r="G634" s="11"/>
      <c r="H634" s="5"/>
      <c r="I634" s="8"/>
      <c r="J634" s="8"/>
    </row>
    <row r="635" spans="2:10" ht="12.75" x14ac:dyDescent="0.2">
      <c r="B635" s="6"/>
      <c r="C635" s="6"/>
      <c r="D635" s="6"/>
      <c r="E635" s="9"/>
      <c r="F635" s="9"/>
      <c r="G635" s="11"/>
      <c r="H635" s="5"/>
      <c r="I635" s="8"/>
      <c r="J635" s="8"/>
    </row>
    <row r="636" spans="2:10" ht="12.75" x14ac:dyDescent="0.2">
      <c r="B636" s="6"/>
      <c r="C636" s="6"/>
      <c r="D636" s="6"/>
      <c r="E636" s="9"/>
      <c r="F636" s="9"/>
      <c r="G636" s="11"/>
      <c r="H636" s="5"/>
      <c r="I636" s="8"/>
      <c r="J636" s="8"/>
    </row>
    <row r="637" spans="2:10" ht="12.75" x14ac:dyDescent="0.2">
      <c r="B637" s="6"/>
      <c r="C637" s="6"/>
      <c r="D637" s="6"/>
      <c r="E637" s="9"/>
      <c r="F637" s="9"/>
      <c r="G637" s="11"/>
      <c r="H637" s="5"/>
      <c r="I637" s="8"/>
      <c r="J637" s="8"/>
    </row>
    <row r="638" spans="2:10" ht="12.75" x14ac:dyDescent="0.2">
      <c r="B638" s="6"/>
      <c r="C638" s="6"/>
      <c r="D638" s="6"/>
      <c r="E638" s="9"/>
      <c r="F638" s="9"/>
      <c r="G638" s="11"/>
      <c r="H638" s="5"/>
      <c r="I638" s="8"/>
      <c r="J638" s="8"/>
    </row>
    <row r="639" spans="2:10" ht="12.75" x14ac:dyDescent="0.2">
      <c r="B639" s="6"/>
      <c r="C639" s="6"/>
      <c r="D639" s="6"/>
      <c r="E639" s="9"/>
      <c r="F639" s="9"/>
      <c r="G639" s="11"/>
      <c r="H639" s="5"/>
      <c r="I639" s="8"/>
      <c r="J639" s="8"/>
    </row>
    <row r="640" spans="2:10" ht="12.75" x14ac:dyDescent="0.2">
      <c r="B640" s="6"/>
      <c r="C640" s="6"/>
      <c r="D640" s="6"/>
      <c r="E640" s="9"/>
      <c r="F640" s="9"/>
      <c r="G640" s="11"/>
      <c r="H640" s="5"/>
      <c r="I640" s="8"/>
      <c r="J640" s="8"/>
    </row>
    <row r="641" spans="2:10" ht="12.75" x14ac:dyDescent="0.2">
      <c r="B641" s="6"/>
      <c r="C641" s="6"/>
      <c r="D641" s="6"/>
      <c r="E641" s="9"/>
      <c r="F641" s="9"/>
      <c r="G641" s="11"/>
      <c r="H641" s="5"/>
      <c r="I641" s="8"/>
      <c r="J641" s="8"/>
    </row>
    <row r="642" spans="2:10" ht="12.75" x14ac:dyDescent="0.2">
      <c r="B642" s="6"/>
      <c r="C642" s="6"/>
      <c r="D642" s="6"/>
      <c r="E642" s="9"/>
      <c r="F642" s="9"/>
      <c r="G642" s="11"/>
      <c r="H642" s="5"/>
      <c r="I642" s="8"/>
      <c r="J642" s="8"/>
    </row>
    <row r="643" spans="2:10" ht="12.75" x14ac:dyDescent="0.2">
      <c r="B643" s="6"/>
      <c r="C643" s="6"/>
      <c r="D643" s="6"/>
      <c r="E643" s="9"/>
      <c r="F643" s="9"/>
      <c r="G643" s="11"/>
      <c r="H643" s="5"/>
      <c r="I643" s="8"/>
      <c r="J643" s="8"/>
    </row>
    <row r="644" spans="2:10" ht="12.75" x14ac:dyDescent="0.2">
      <c r="B644" s="6"/>
      <c r="C644" s="6"/>
      <c r="D644" s="6"/>
      <c r="E644" s="9"/>
      <c r="F644" s="9"/>
      <c r="G644" s="11"/>
      <c r="H644" s="5"/>
      <c r="I644" s="8"/>
      <c r="J644" s="8"/>
    </row>
    <row r="645" spans="2:10" ht="12.75" x14ac:dyDescent="0.2">
      <c r="B645" s="6"/>
      <c r="C645" s="6"/>
      <c r="D645" s="6"/>
      <c r="E645" s="9"/>
      <c r="F645" s="9"/>
      <c r="G645" s="11"/>
      <c r="H645" s="5"/>
      <c r="I645" s="8"/>
      <c r="J645" s="8"/>
    </row>
    <row r="646" spans="2:10" ht="12.75" x14ac:dyDescent="0.2">
      <c r="B646" s="6"/>
      <c r="C646" s="6"/>
      <c r="D646" s="6"/>
      <c r="E646" s="9"/>
      <c r="F646" s="9"/>
      <c r="G646" s="11"/>
      <c r="H646" s="5"/>
      <c r="I646" s="8"/>
      <c r="J646" s="8"/>
    </row>
    <row r="647" spans="2:10" ht="12.75" x14ac:dyDescent="0.2">
      <c r="B647" s="6"/>
      <c r="C647" s="6"/>
      <c r="D647" s="6"/>
      <c r="E647" s="9"/>
      <c r="F647" s="9"/>
      <c r="G647" s="11"/>
      <c r="H647" s="5"/>
      <c r="I647" s="8"/>
      <c r="J647" s="8"/>
    </row>
    <row r="648" spans="2:10" ht="12.75" x14ac:dyDescent="0.2">
      <c r="B648" s="6"/>
      <c r="C648" s="6"/>
      <c r="D648" s="6"/>
      <c r="E648" s="9"/>
      <c r="F648" s="9"/>
      <c r="G648" s="11"/>
      <c r="H648" s="5"/>
      <c r="I648" s="8"/>
      <c r="J648" s="8"/>
    </row>
    <row r="649" spans="2:10" ht="12.75" x14ac:dyDescent="0.2">
      <c r="B649" s="6"/>
      <c r="C649" s="6"/>
      <c r="D649" s="6"/>
      <c r="E649" s="9"/>
      <c r="F649" s="9"/>
      <c r="G649" s="11"/>
      <c r="H649" s="5"/>
      <c r="I649" s="8"/>
      <c r="J649" s="8"/>
    </row>
    <row r="650" spans="2:10" ht="12.75" x14ac:dyDescent="0.2">
      <c r="B650" s="6"/>
      <c r="C650" s="6"/>
      <c r="D650" s="6"/>
      <c r="E650" s="9"/>
      <c r="F650" s="9"/>
      <c r="G650" s="11"/>
      <c r="H650" s="5"/>
      <c r="I650" s="8"/>
      <c r="J650" s="8"/>
    </row>
    <row r="651" spans="2:10" ht="12.75" x14ac:dyDescent="0.2">
      <c r="B651" s="6"/>
      <c r="C651" s="6"/>
      <c r="D651" s="6"/>
      <c r="E651" s="9"/>
      <c r="F651" s="9"/>
      <c r="G651" s="11"/>
      <c r="H651" s="5"/>
      <c r="I651" s="8"/>
      <c r="J651" s="8"/>
    </row>
    <row r="652" spans="2:10" ht="12.75" x14ac:dyDescent="0.2">
      <c r="B652" s="6"/>
      <c r="C652" s="6"/>
      <c r="D652" s="6"/>
      <c r="E652" s="9"/>
      <c r="F652" s="9"/>
      <c r="G652" s="11"/>
      <c r="H652" s="5"/>
      <c r="I652" s="8"/>
      <c r="J652" s="8"/>
    </row>
    <row r="653" spans="2:10" ht="12.75" x14ac:dyDescent="0.2">
      <c r="B653" s="6"/>
      <c r="C653" s="6"/>
      <c r="D653" s="6"/>
      <c r="E653" s="9"/>
      <c r="F653" s="9"/>
      <c r="G653" s="11"/>
      <c r="H653" s="5"/>
      <c r="I653" s="8"/>
      <c r="J653" s="8"/>
    </row>
    <row r="654" spans="2:10" ht="12.75" x14ac:dyDescent="0.2">
      <c r="B654" s="6"/>
      <c r="C654" s="6"/>
      <c r="D654" s="6"/>
      <c r="E654" s="9"/>
      <c r="F654" s="9"/>
      <c r="G654" s="11"/>
      <c r="H654" s="5"/>
      <c r="I654" s="8"/>
      <c r="J654" s="8"/>
    </row>
    <row r="655" spans="2:10" ht="12.75" x14ac:dyDescent="0.2">
      <c r="B655" s="6"/>
      <c r="C655" s="6"/>
      <c r="D655" s="6"/>
      <c r="E655" s="9"/>
      <c r="F655" s="9"/>
      <c r="G655" s="11"/>
      <c r="H655" s="5"/>
      <c r="I655" s="8"/>
      <c r="J655" s="8"/>
    </row>
    <row r="656" spans="2:10" ht="12.75" x14ac:dyDescent="0.2">
      <c r="B656" s="6"/>
      <c r="C656" s="6"/>
      <c r="D656" s="6"/>
      <c r="E656" s="9"/>
      <c r="F656" s="9"/>
      <c r="G656" s="11"/>
      <c r="H656" s="5"/>
      <c r="I656" s="8"/>
      <c r="J656" s="8"/>
    </row>
    <row r="657" spans="2:10" ht="12.75" x14ac:dyDescent="0.2">
      <c r="B657" s="6"/>
      <c r="C657" s="6"/>
      <c r="D657" s="6"/>
      <c r="E657" s="9"/>
      <c r="F657" s="9"/>
      <c r="G657" s="11"/>
      <c r="H657" s="5"/>
      <c r="I657" s="8"/>
      <c r="J657" s="8"/>
    </row>
    <row r="658" spans="2:10" ht="12.75" x14ac:dyDescent="0.2">
      <c r="B658" s="6"/>
      <c r="C658" s="6"/>
      <c r="D658" s="6"/>
      <c r="E658" s="9"/>
      <c r="F658" s="9"/>
      <c r="G658" s="11"/>
      <c r="H658" s="5"/>
      <c r="I658" s="8"/>
      <c r="J658" s="8"/>
    </row>
    <row r="659" spans="2:10" ht="12.75" x14ac:dyDescent="0.2">
      <c r="B659" s="6"/>
      <c r="C659" s="6"/>
      <c r="D659" s="6"/>
      <c r="E659" s="9"/>
      <c r="F659" s="9"/>
      <c r="G659" s="11"/>
      <c r="H659" s="5"/>
      <c r="I659" s="8"/>
      <c r="J659" s="8"/>
    </row>
    <row r="660" spans="2:10" ht="12.75" x14ac:dyDescent="0.2">
      <c r="B660" s="6"/>
      <c r="C660" s="6"/>
      <c r="D660" s="6"/>
      <c r="E660" s="9"/>
      <c r="F660" s="9"/>
      <c r="G660" s="11"/>
      <c r="H660" s="5"/>
      <c r="I660" s="8"/>
      <c r="J660" s="8"/>
    </row>
    <row r="661" spans="2:10" ht="12.75" x14ac:dyDescent="0.2">
      <c r="B661" s="6"/>
      <c r="C661" s="6"/>
      <c r="D661" s="6"/>
      <c r="E661" s="9"/>
      <c r="F661" s="9"/>
      <c r="G661" s="11"/>
      <c r="H661" s="5"/>
      <c r="I661" s="8"/>
      <c r="J661" s="8"/>
    </row>
    <row r="662" spans="2:10" ht="12.75" x14ac:dyDescent="0.2">
      <c r="B662" s="6"/>
      <c r="C662" s="6"/>
      <c r="D662" s="6"/>
      <c r="E662" s="9"/>
      <c r="F662" s="9"/>
      <c r="G662" s="11"/>
      <c r="H662" s="5"/>
      <c r="I662" s="8"/>
      <c r="J662" s="8"/>
    </row>
    <row r="663" spans="2:10" ht="12.75" x14ac:dyDescent="0.2">
      <c r="B663" s="6"/>
      <c r="C663" s="6"/>
      <c r="D663" s="6"/>
      <c r="E663" s="9"/>
      <c r="F663" s="9"/>
      <c r="G663" s="11"/>
      <c r="H663" s="5"/>
      <c r="I663" s="8"/>
      <c r="J663" s="8"/>
    </row>
    <row r="664" spans="2:10" ht="12.75" x14ac:dyDescent="0.2">
      <c r="B664" s="6"/>
      <c r="C664" s="6"/>
      <c r="D664" s="6"/>
      <c r="E664" s="9"/>
      <c r="F664" s="9"/>
      <c r="G664" s="11"/>
      <c r="H664" s="5"/>
      <c r="I664" s="8"/>
      <c r="J664" s="8"/>
    </row>
    <row r="665" spans="2:10" ht="12.75" x14ac:dyDescent="0.2">
      <c r="B665" s="6"/>
      <c r="C665" s="6"/>
      <c r="D665" s="6"/>
      <c r="E665" s="9"/>
      <c r="F665" s="9"/>
      <c r="G665" s="11"/>
      <c r="H665" s="5"/>
      <c r="I665" s="8"/>
      <c r="J665" s="8"/>
    </row>
    <row r="666" spans="2:10" ht="12.75" x14ac:dyDescent="0.2">
      <c r="B666" s="6"/>
      <c r="C666" s="6"/>
      <c r="D666" s="6"/>
      <c r="E666" s="9"/>
      <c r="F666" s="9"/>
      <c r="G666" s="11"/>
      <c r="H666" s="5"/>
      <c r="I666" s="8"/>
      <c r="J666" s="8"/>
    </row>
    <row r="667" spans="2:10" ht="12.75" x14ac:dyDescent="0.2">
      <c r="B667" s="6"/>
      <c r="C667" s="6"/>
      <c r="D667" s="6"/>
      <c r="E667" s="9"/>
      <c r="F667" s="9"/>
      <c r="G667" s="11"/>
      <c r="H667" s="5"/>
      <c r="I667" s="8"/>
      <c r="J667" s="8"/>
    </row>
    <row r="668" spans="2:10" ht="12.75" x14ac:dyDescent="0.2">
      <c r="B668" s="6"/>
      <c r="C668" s="6"/>
      <c r="D668" s="6"/>
      <c r="E668" s="9"/>
      <c r="F668" s="9"/>
      <c r="G668" s="11"/>
      <c r="H668" s="5"/>
      <c r="I668" s="8"/>
      <c r="J668" s="8"/>
    </row>
    <row r="669" spans="2:10" ht="12.75" x14ac:dyDescent="0.2">
      <c r="B669" s="6"/>
      <c r="C669" s="6"/>
      <c r="D669" s="6"/>
      <c r="E669" s="9"/>
      <c r="F669" s="9"/>
      <c r="G669" s="11"/>
      <c r="H669" s="5"/>
      <c r="I669" s="8"/>
      <c r="J669" s="8"/>
    </row>
    <row r="670" spans="2:10" ht="12.75" x14ac:dyDescent="0.2">
      <c r="B670" s="6"/>
      <c r="C670" s="6"/>
      <c r="D670" s="6"/>
      <c r="E670" s="9"/>
      <c r="F670" s="9"/>
      <c r="G670" s="11"/>
      <c r="H670" s="5"/>
      <c r="I670" s="8"/>
      <c r="J670" s="8"/>
    </row>
    <row r="671" spans="2:10" ht="12.75" x14ac:dyDescent="0.2">
      <c r="B671" s="6"/>
      <c r="C671" s="6"/>
      <c r="D671" s="6"/>
      <c r="E671" s="9"/>
      <c r="F671" s="9"/>
      <c r="G671" s="11"/>
      <c r="H671" s="5"/>
      <c r="I671" s="8"/>
      <c r="J671" s="8"/>
    </row>
    <row r="672" spans="2:10" ht="12.75" x14ac:dyDescent="0.2">
      <c r="B672" s="6"/>
      <c r="C672" s="6"/>
      <c r="D672" s="6"/>
      <c r="E672" s="9"/>
      <c r="F672" s="9"/>
      <c r="G672" s="11"/>
      <c r="H672" s="5"/>
      <c r="I672" s="8"/>
      <c r="J672" s="8"/>
    </row>
    <row r="673" spans="2:10" ht="12.75" x14ac:dyDescent="0.2">
      <c r="B673" s="6"/>
      <c r="C673" s="6"/>
      <c r="D673" s="6"/>
      <c r="E673" s="9"/>
      <c r="F673" s="9"/>
      <c r="G673" s="11"/>
      <c r="H673" s="5"/>
      <c r="I673" s="8"/>
      <c r="J673" s="8"/>
    </row>
    <row r="674" spans="2:10" ht="12.75" x14ac:dyDescent="0.2">
      <c r="B674" s="6"/>
      <c r="C674" s="6"/>
      <c r="D674" s="6"/>
      <c r="E674" s="9"/>
      <c r="F674" s="9"/>
      <c r="G674" s="11"/>
      <c r="H674" s="5"/>
      <c r="I674" s="8"/>
      <c r="J674" s="8"/>
    </row>
    <row r="675" spans="2:10" ht="12.75" x14ac:dyDescent="0.2">
      <c r="B675" s="6"/>
      <c r="C675" s="6"/>
      <c r="D675" s="6"/>
      <c r="E675" s="9"/>
      <c r="F675" s="9"/>
      <c r="G675" s="11"/>
      <c r="H675" s="5"/>
      <c r="I675" s="8"/>
      <c r="J675" s="8"/>
    </row>
    <row r="676" spans="2:10" ht="12.75" x14ac:dyDescent="0.2">
      <c r="B676" s="6"/>
      <c r="C676" s="6"/>
      <c r="D676" s="6"/>
      <c r="E676" s="9"/>
      <c r="F676" s="9"/>
      <c r="G676" s="11"/>
      <c r="H676" s="5"/>
      <c r="I676" s="8"/>
      <c r="J676" s="8"/>
    </row>
    <row r="677" spans="2:10" ht="12.75" x14ac:dyDescent="0.2">
      <c r="B677" s="6"/>
      <c r="C677" s="6"/>
      <c r="D677" s="6"/>
      <c r="E677" s="9"/>
      <c r="F677" s="9"/>
      <c r="G677" s="11"/>
      <c r="H677" s="5"/>
      <c r="I677" s="8"/>
      <c r="J677" s="8"/>
    </row>
    <row r="678" spans="2:10" ht="12.75" x14ac:dyDescent="0.2">
      <c r="B678" s="6"/>
      <c r="C678" s="6"/>
      <c r="D678" s="6"/>
      <c r="E678" s="9"/>
      <c r="F678" s="9"/>
      <c r="G678" s="11"/>
      <c r="H678" s="5"/>
      <c r="I678" s="8"/>
      <c r="J678" s="8"/>
    </row>
    <row r="679" spans="2:10" ht="12.75" x14ac:dyDescent="0.2">
      <c r="B679" s="6"/>
      <c r="C679" s="6"/>
      <c r="D679" s="6"/>
      <c r="E679" s="9"/>
      <c r="F679" s="9"/>
      <c r="G679" s="11"/>
      <c r="H679" s="5"/>
      <c r="I679" s="8"/>
      <c r="J679" s="8"/>
    </row>
    <row r="680" spans="2:10" ht="12.75" x14ac:dyDescent="0.2">
      <c r="B680" s="6"/>
      <c r="C680" s="6"/>
      <c r="D680" s="6"/>
      <c r="E680" s="9"/>
      <c r="F680" s="9"/>
      <c r="G680" s="11"/>
      <c r="H680" s="5"/>
      <c r="I680" s="8"/>
      <c r="J680" s="8"/>
    </row>
    <row r="681" spans="2:10" ht="12.75" x14ac:dyDescent="0.2">
      <c r="B681" s="6"/>
      <c r="C681" s="6"/>
      <c r="D681" s="6"/>
      <c r="E681" s="9"/>
      <c r="F681" s="9"/>
      <c r="G681" s="11"/>
      <c r="H681" s="5"/>
      <c r="I681" s="8"/>
      <c r="J681" s="8"/>
    </row>
    <row r="682" spans="2:10" ht="12.75" x14ac:dyDescent="0.2">
      <c r="B682" s="6"/>
      <c r="C682" s="6"/>
      <c r="D682" s="6"/>
      <c r="E682" s="9"/>
      <c r="F682" s="9"/>
      <c r="G682" s="11"/>
      <c r="H682" s="5"/>
      <c r="I682" s="8"/>
      <c r="J682" s="8"/>
    </row>
    <row r="683" spans="2:10" ht="12.75" x14ac:dyDescent="0.2">
      <c r="B683" s="6"/>
      <c r="C683" s="6"/>
      <c r="D683" s="6"/>
      <c r="E683" s="9"/>
      <c r="F683" s="9"/>
      <c r="G683" s="11"/>
      <c r="H683" s="5"/>
      <c r="I683" s="8"/>
      <c r="J683" s="8"/>
    </row>
    <row r="684" spans="2:10" ht="12.75" x14ac:dyDescent="0.2">
      <c r="B684" s="6"/>
      <c r="C684" s="6"/>
      <c r="D684" s="6"/>
      <c r="E684" s="9"/>
      <c r="F684" s="9"/>
      <c r="G684" s="11"/>
      <c r="H684" s="5"/>
      <c r="I684" s="8"/>
      <c r="J684" s="8"/>
    </row>
    <row r="685" spans="2:10" ht="12.75" x14ac:dyDescent="0.2">
      <c r="B685" s="6"/>
      <c r="C685" s="6"/>
      <c r="D685" s="6"/>
      <c r="E685" s="9"/>
      <c r="F685" s="9"/>
      <c r="G685" s="11"/>
      <c r="H685" s="5"/>
      <c r="I685" s="8"/>
      <c r="J685" s="8"/>
    </row>
    <row r="686" spans="2:10" ht="12.75" x14ac:dyDescent="0.2">
      <c r="B686" s="6"/>
      <c r="C686" s="6"/>
      <c r="D686" s="6"/>
      <c r="E686" s="9"/>
      <c r="F686" s="9"/>
      <c r="G686" s="11"/>
      <c r="H686" s="5"/>
      <c r="I686" s="8"/>
      <c r="J686" s="8"/>
    </row>
    <row r="687" spans="2:10" ht="12.75" x14ac:dyDescent="0.2">
      <c r="B687" s="6"/>
      <c r="C687" s="6"/>
      <c r="D687" s="6"/>
      <c r="E687" s="9"/>
      <c r="F687" s="9"/>
      <c r="G687" s="11"/>
      <c r="H687" s="5"/>
      <c r="I687" s="8"/>
      <c r="J687" s="8"/>
    </row>
    <row r="688" spans="2:10" ht="12.75" x14ac:dyDescent="0.2">
      <c r="B688" s="6"/>
      <c r="C688" s="6"/>
      <c r="D688" s="6"/>
      <c r="E688" s="9"/>
      <c r="F688" s="9"/>
      <c r="G688" s="11"/>
      <c r="H688" s="5"/>
      <c r="I688" s="8"/>
      <c r="J688" s="8"/>
    </row>
    <row r="689" spans="2:10" ht="12.75" x14ac:dyDescent="0.2">
      <c r="B689" s="6"/>
      <c r="C689" s="6"/>
      <c r="D689" s="6"/>
      <c r="E689" s="9"/>
      <c r="F689" s="9"/>
      <c r="G689" s="11"/>
      <c r="H689" s="5"/>
      <c r="I689" s="8"/>
      <c r="J689" s="8"/>
    </row>
    <row r="690" spans="2:10" ht="12.75" x14ac:dyDescent="0.2">
      <c r="B690" s="6"/>
      <c r="C690" s="6"/>
      <c r="D690" s="6"/>
      <c r="E690" s="9"/>
      <c r="F690" s="9"/>
      <c r="G690" s="11"/>
      <c r="H690" s="5"/>
      <c r="I690" s="8"/>
      <c r="J690" s="8"/>
    </row>
    <row r="691" spans="2:10" ht="12.75" x14ac:dyDescent="0.2">
      <c r="B691" s="6"/>
      <c r="C691" s="6"/>
      <c r="D691" s="6"/>
      <c r="E691" s="9"/>
      <c r="F691" s="9"/>
      <c r="G691" s="11"/>
      <c r="H691" s="5"/>
      <c r="I691" s="8"/>
      <c r="J691" s="8"/>
    </row>
    <row r="692" spans="2:10" ht="12.75" x14ac:dyDescent="0.2">
      <c r="B692" s="6"/>
      <c r="C692" s="6"/>
      <c r="D692" s="6"/>
      <c r="E692" s="9"/>
      <c r="F692" s="9"/>
      <c r="G692" s="11"/>
      <c r="H692" s="5"/>
      <c r="I692" s="8"/>
      <c r="J692" s="8"/>
    </row>
    <row r="693" spans="2:10" ht="12.75" x14ac:dyDescent="0.2">
      <c r="B693" s="6"/>
      <c r="C693" s="6"/>
      <c r="D693" s="6"/>
      <c r="E693" s="9"/>
      <c r="F693" s="9"/>
      <c r="G693" s="11"/>
      <c r="H693" s="5"/>
      <c r="I693" s="8"/>
      <c r="J693" s="8"/>
    </row>
    <row r="694" spans="2:10" ht="12.75" x14ac:dyDescent="0.2">
      <c r="B694" s="6"/>
      <c r="C694" s="6"/>
      <c r="D694" s="6"/>
      <c r="E694" s="9"/>
      <c r="F694" s="9"/>
      <c r="G694" s="11"/>
      <c r="H694" s="5"/>
      <c r="I694" s="8"/>
      <c r="J694" s="8"/>
    </row>
    <row r="695" spans="2:10" ht="12.75" x14ac:dyDescent="0.2">
      <c r="B695" s="6"/>
      <c r="C695" s="6"/>
      <c r="D695" s="6"/>
      <c r="E695" s="9"/>
      <c r="F695" s="9"/>
      <c r="G695" s="11"/>
      <c r="H695" s="5"/>
      <c r="I695" s="8"/>
      <c r="J695" s="8"/>
    </row>
    <row r="696" spans="2:10" ht="12.75" x14ac:dyDescent="0.2">
      <c r="B696" s="6"/>
      <c r="C696" s="6"/>
      <c r="D696" s="6"/>
      <c r="E696" s="9"/>
      <c r="F696" s="9"/>
      <c r="G696" s="11"/>
      <c r="H696" s="5"/>
      <c r="I696" s="8"/>
      <c r="J696" s="8"/>
    </row>
    <row r="697" spans="2:10" ht="12.75" x14ac:dyDescent="0.2">
      <c r="B697" s="6"/>
      <c r="C697" s="6"/>
      <c r="D697" s="6"/>
      <c r="E697" s="9"/>
      <c r="F697" s="9"/>
      <c r="G697" s="11"/>
      <c r="H697" s="5"/>
      <c r="I697" s="8"/>
      <c r="J697" s="8"/>
    </row>
    <row r="698" spans="2:10" ht="12.75" x14ac:dyDescent="0.2">
      <c r="B698" s="6"/>
      <c r="C698" s="6"/>
      <c r="D698" s="6"/>
      <c r="E698" s="9"/>
      <c r="F698" s="9"/>
      <c r="G698" s="11"/>
      <c r="H698" s="5"/>
      <c r="I698" s="8"/>
      <c r="J698" s="8"/>
    </row>
    <row r="699" spans="2:10" ht="12.75" x14ac:dyDescent="0.2">
      <c r="B699" s="6"/>
      <c r="C699" s="6"/>
      <c r="D699" s="6"/>
      <c r="E699" s="9"/>
      <c r="F699" s="9"/>
      <c r="G699" s="11"/>
      <c r="H699" s="5"/>
      <c r="I699" s="8"/>
      <c r="J699" s="8"/>
    </row>
    <row r="700" spans="2:10" ht="12.75" x14ac:dyDescent="0.2">
      <c r="B700" s="6"/>
      <c r="C700" s="6"/>
      <c r="D700" s="6"/>
      <c r="E700" s="9"/>
      <c r="F700" s="9"/>
      <c r="G700" s="11"/>
      <c r="H700" s="5"/>
      <c r="I700" s="8"/>
      <c r="J700" s="8"/>
    </row>
    <row r="701" spans="2:10" ht="12.75" x14ac:dyDescent="0.2">
      <c r="B701" s="6"/>
      <c r="C701" s="6"/>
      <c r="D701" s="6"/>
      <c r="E701" s="9"/>
      <c r="F701" s="9"/>
      <c r="G701" s="11"/>
      <c r="H701" s="5"/>
      <c r="I701" s="8"/>
      <c r="J701" s="8"/>
    </row>
    <row r="702" spans="2:10" ht="12.75" x14ac:dyDescent="0.2">
      <c r="B702" s="6"/>
      <c r="C702" s="6"/>
      <c r="D702" s="6"/>
      <c r="E702" s="9"/>
      <c r="F702" s="9"/>
      <c r="G702" s="11"/>
      <c r="H702" s="5"/>
      <c r="I702" s="8"/>
      <c r="J702" s="8"/>
    </row>
    <row r="703" spans="2:10" ht="12.75" x14ac:dyDescent="0.2">
      <c r="B703" s="6"/>
      <c r="C703" s="6"/>
      <c r="D703" s="6"/>
      <c r="E703" s="9"/>
      <c r="F703" s="9"/>
      <c r="G703" s="11"/>
      <c r="H703" s="5"/>
      <c r="I703" s="8"/>
      <c r="J703" s="8"/>
    </row>
    <row r="704" spans="2:10" ht="12.75" x14ac:dyDescent="0.2">
      <c r="B704" s="6"/>
      <c r="C704" s="6"/>
      <c r="D704" s="6"/>
      <c r="E704" s="9"/>
      <c r="F704" s="9"/>
      <c r="G704" s="11"/>
      <c r="H704" s="5"/>
      <c r="I704" s="8"/>
      <c r="J704" s="8"/>
    </row>
    <row r="705" spans="2:10" ht="12.75" x14ac:dyDescent="0.2">
      <c r="B705" s="6"/>
      <c r="C705" s="6"/>
      <c r="D705" s="6"/>
      <c r="E705" s="9"/>
      <c r="F705" s="9"/>
      <c r="G705" s="11"/>
      <c r="H705" s="5"/>
      <c r="I705" s="8"/>
      <c r="J705" s="8"/>
    </row>
    <row r="706" spans="2:10" ht="12.75" x14ac:dyDescent="0.2">
      <c r="B706" s="6"/>
      <c r="C706" s="6"/>
      <c r="D706" s="6"/>
      <c r="E706" s="9"/>
      <c r="F706" s="9"/>
      <c r="G706" s="11"/>
      <c r="H706" s="5"/>
      <c r="I706" s="8"/>
      <c r="J706" s="8"/>
    </row>
    <row r="707" spans="2:10" ht="12.75" x14ac:dyDescent="0.2">
      <c r="B707" s="6"/>
      <c r="C707" s="6"/>
      <c r="D707" s="6"/>
      <c r="E707" s="9"/>
      <c r="F707" s="9"/>
      <c r="G707" s="11"/>
      <c r="H707" s="5"/>
      <c r="I707" s="8"/>
      <c r="J707" s="8"/>
    </row>
    <row r="708" spans="2:10" ht="12.75" x14ac:dyDescent="0.2">
      <c r="B708" s="6"/>
      <c r="C708" s="6"/>
      <c r="D708" s="6"/>
      <c r="E708" s="9"/>
      <c r="F708" s="9"/>
      <c r="G708" s="11"/>
      <c r="H708" s="5"/>
      <c r="I708" s="8"/>
      <c r="J708" s="8"/>
    </row>
    <row r="709" spans="2:10" ht="12.75" x14ac:dyDescent="0.2">
      <c r="B709" s="6"/>
      <c r="C709" s="6"/>
      <c r="D709" s="6"/>
      <c r="E709" s="9"/>
      <c r="F709" s="9"/>
      <c r="G709" s="11"/>
      <c r="H709" s="5"/>
      <c r="I709" s="8"/>
      <c r="J709" s="8"/>
    </row>
    <row r="710" spans="2:10" ht="12.75" x14ac:dyDescent="0.2">
      <c r="B710" s="6"/>
      <c r="C710" s="6"/>
      <c r="D710" s="6"/>
      <c r="E710" s="9"/>
      <c r="F710" s="9"/>
      <c r="G710" s="11"/>
      <c r="H710" s="5"/>
      <c r="I710" s="8"/>
      <c r="J710" s="8"/>
    </row>
    <row r="711" spans="2:10" ht="12.75" x14ac:dyDescent="0.2">
      <c r="B711" s="6"/>
      <c r="C711" s="6"/>
      <c r="D711" s="6"/>
      <c r="E711" s="9"/>
      <c r="F711" s="9"/>
      <c r="G711" s="11"/>
      <c r="H711" s="5"/>
      <c r="I711" s="8"/>
      <c r="J711" s="8"/>
    </row>
    <row r="712" spans="2:10" ht="12.75" x14ac:dyDescent="0.2">
      <c r="B712" s="6"/>
      <c r="C712" s="6"/>
      <c r="D712" s="6"/>
      <c r="E712" s="9"/>
      <c r="F712" s="9"/>
      <c r="G712" s="11"/>
      <c r="H712" s="5"/>
      <c r="I712" s="8"/>
      <c r="J712" s="8"/>
    </row>
    <row r="713" spans="2:10" ht="12.75" x14ac:dyDescent="0.2">
      <c r="B713" s="6"/>
      <c r="C713" s="6"/>
      <c r="D713" s="6"/>
      <c r="E713" s="9"/>
      <c r="F713" s="9"/>
      <c r="G713" s="11"/>
      <c r="H713" s="5"/>
      <c r="I713" s="8"/>
      <c r="J713" s="8"/>
    </row>
    <row r="714" spans="2:10" ht="12.75" x14ac:dyDescent="0.2">
      <c r="B714" s="6"/>
      <c r="C714" s="6"/>
      <c r="D714" s="6"/>
      <c r="E714" s="9"/>
      <c r="F714" s="9"/>
      <c r="G714" s="11"/>
      <c r="H714" s="5"/>
      <c r="I714" s="8"/>
      <c r="J714" s="8"/>
    </row>
    <row r="715" spans="2:10" ht="12.75" x14ac:dyDescent="0.2">
      <c r="B715" s="6"/>
      <c r="C715" s="6"/>
      <c r="D715" s="6"/>
      <c r="E715" s="9"/>
      <c r="F715" s="9"/>
      <c r="G715" s="11"/>
      <c r="H715" s="5"/>
      <c r="I715" s="8"/>
      <c r="J715" s="8"/>
    </row>
    <row r="716" spans="2:10" ht="12.75" x14ac:dyDescent="0.2">
      <c r="B716" s="6"/>
      <c r="C716" s="6"/>
      <c r="D716" s="6"/>
      <c r="E716" s="9"/>
      <c r="F716" s="9"/>
      <c r="G716" s="11"/>
      <c r="H716" s="5"/>
      <c r="I716" s="8"/>
      <c r="J716" s="8"/>
    </row>
    <row r="717" spans="2:10" ht="12.75" x14ac:dyDescent="0.2">
      <c r="B717" s="6"/>
      <c r="C717" s="6"/>
      <c r="D717" s="6"/>
      <c r="E717" s="9"/>
      <c r="F717" s="9"/>
      <c r="G717" s="11"/>
      <c r="H717" s="5"/>
      <c r="I717" s="8"/>
      <c r="J717" s="8"/>
    </row>
    <row r="718" spans="2:10" ht="12.75" x14ac:dyDescent="0.2">
      <c r="B718" s="6"/>
      <c r="C718" s="6"/>
      <c r="D718" s="6"/>
      <c r="E718" s="9"/>
      <c r="F718" s="9"/>
      <c r="G718" s="11"/>
      <c r="H718" s="5"/>
      <c r="I718" s="8"/>
      <c r="J718" s="8"/>
    </row>
    <row r="719" spans="2:10" ht="12.75" x14ac:dyDescent="0.2">
      <c r="B719" s="6"/>
      <c r="C719" s="6"/>
      <c r="D719" s="6"/>
      <c r="E719" s="9"/>
      <c r="F719" s="9"/>
      <c r="G719" s="11"/>
      <c r="H719" s="5"/>
      <c r="I719" s="8"/>
      <c r="J719" s="8"/>
    </row>
    <row r="720" spans="2:10" ht="12.75" x14ac:dyDescent="0.2">
      <c r="B720" s="6"/>
      <c r="C720" s="6"/>
      <c r="D720" s="6"/>
      <c r="E720" s="9"/>
      <c r="F720" s="9"/>
      <c r="G720" s="11"/>
      <c r="H720" s="5"/>
      <c r="I720" s="8"/>
      <c r="J720" s="8"/>
    </row>
    <row r="721" spans="2:10" ht="12.75" x14ac:dyDescent="0.2">
      <c r="B721" s="6"/>
      <c r="C721" s="6"/>
      <c r="D721" s="6"/>
      <c r="E721" s="9"/>
      <c r="F721" s="9"/>
      <c r="G721" s="11"/>
      <c r="H721" s="5"/>
      <c r="I721" s="8"/>
      <c r="J721" s="8"/>
    </row>
    <row r="722" spans="2:10" ht="12.75" x14ac:dyDescent="0.2">
      <c r="B722" s="6"/>
      <c r="C722" s="6"/>
      <c r="D722" s="6"/>
      <c r="E722" s="9"/>
      <c r="F722" s="9"/>
      <c r="G722" s="11"/>
      <c r="H722" s="5"/>
      <c r="I722" s="8"/>
      <c r="J722" s="8"/>
    </row>
    <row r="723" spans="2:10" ht="12.75" x14ac:dyDescent="0.2">
      <c r="B723" s="6"/>
      <c r="C723" s="6"/>
      <c r="D723" s="6"/>
      <c r="E723" s="9"/>
      <c r="F723" s="9"/>
      <c r="G723" s="11"/>
      <c r="H723" s="5"/>
      <c r="I723" s="8"/>
      <c r="J723" s="8"/>
    </row>
    <row r="724" spans="2:10" ht="12.75" x14ac:dyDescent="0.2">
      <c r="B724" s="6"/>
      <c r="C724" s="6"/>
      <c r="D724" s="6"/>
      <c r="E724" s="9"/>
      <c r="F724" s="9"/>
      <c r="G724" s="11"/>
      <c r="H724" s="5"/>
      <c r="I724" s="8"/>
      <c r="J724" s="8"/>
    </row>
    <row r="725" spans="2:10" ht="12.75" x14ac:dyDescent="0.2">
      <c r="B725" s="6"/>
      <c r="C725" s="6"/>
      <c r="D725" s="6"/>
      <c r="E725" s="9"/>
      <c r="F725" s="9"/>
      <c r="G725" s="11"/>
      <c r="H725" s="5"/>
      <c r="I725" s="8"/>
      <c r="J725" s="8"/>
    </row>
    <row r="726" spans="2:10" ht="12.75" x14ac:dyDescent="0.2">
      <c r="B726" s="6"/>
      <c r="C726" s="6"/>
      <c r="D726" s="6"/>
      <c r="E726" s="9"/>
      <c r="F726" s="9"/>
      <c r="G726" s="11"/>
      <c r="H726" s="5"/>
      <c r="I726" s="8"/>
      <c r="J726" s="8"/>
    </row>
    <row r="727" spans="2:10" ht="12.75" x14ac:dyDescent="0.2">
      <c r="B727" s="6"/>
      <c r="C727" s="6"/>
      <c r="D727" s="6"/>
      <c r="E727" s="9"/>
      <c r="F727" s="9"/>
      <c r="G727" s="11"/>
      <c r="H727" s="5"/>
      <c r="I727" s="8"/>
      <c r="J727" s="8"/>
    </row>
    <row r="728" spans="2:10" ht="12.75" x14ac:dyDescent="0.2">
      <c r="B728" s="6"/>
      <c r="C728" s="6"/>
      <c r="D728" s="6"/>
      <c r="E728" s="9"/>
      <c r="F728" s="9"/>
      <c r="G728" s="11"/>
      <c r="H728" s="5"/>
      <c r="I728" s="8"/>
      <c r="J728" s="8"/>
    </row>
    <row r="729" spans="2:10" ht="12.75" x14ac:dyDescent="0.2">
      <c r="B729" s="6"/>
      <c r="C729" s="6"/>
      <c r="D729" s="6"/>
      <c r="E729" s="9"/>
      <c r="F729" s="9"/>
      <c r="G729" s="11"/>
      <c r="H729" s="5"/>
      <c r="I729" s="8"/>
      <c r="J729" s="8"/>
    </row>
    <row r="730" spans="2:10" ht="12.75" x14ac:dyDescent="0.2">
      <c r="B730" s="6"/>
      <c r="C730" s="6"/>
      <c r="D730" s="6"/>
      <c r="E730" s="9"/>
      <c r="F730" s="9"/>
      <c r="G730" s="11"/>
      <c r="H730" s="5"/>
      <c r="I730" s="8"/>
      <c r="J730" s="8"/>
    </row>
    <row r="731" spans="2:10" ht="12.75" x14ac:dyDescent="0.2">
      <c r="B731" s="6"/>
      <c r="C731" s="6"/>
      <c r="D731" s="6"/>
      <c r="E731" s="9"/>
      <c r="F731" s="9"/>
      <c r="G731" s="11"/>
      <c r="H731" s="5"/>
      <c r="I731" s="8"/>
      <c r="J731" s="8"/>
    </row>
    <row r="732" spans="2:10" ht="12.75" x14ac:dyDescent="0.2">
      <c r="B732" s="6"/>
      <c r="C732" s="6"/>
      <c r="D732" s="6"/>
      <c r="E732" s="9"/>
      <c r="F732" s="9"/>
      <c r="G732" s="11"/>
      <c r="H732" s="5"/>
      <c r="I732" s="8"/>
      <c r="J732" s="8"/>
    </row>
    <row r="733" spans="2:10" ht="12.75" x14ac:dyDescent="0.2">
      <c r="B733" s="6"/>
      <c r="C733" s="6"/>
      <c r="D733" s="6"/>
      <c r="E733" s="9"/>
      <c r="F733" s="9"/>
      <c r="G733" s="11"/>
      <c r="H733" s="5"/>
      <c r="I733" s="8"/>
      <c r="J733" s="8"/>
    </row>
    <row r="734" spans="2:10" ht="12.75" x14ac:dyDescent="0.2">
      <c r="B734" s="6"/>
      <c r="C734" s="6"/>
      <c r="D734" s="6"/>
      <c r="E734" s="9"/>
      <c r="F734" s="9"/>
      <c r="G734" s="11"/>
      <c r="H734" s="5"/>
      <c r="I734" s="8"/>
      <c r="J734" s="8"/>
    </row>
    <row r="735" spans="2:10" ht="12.75" x14ac:dyDescent="0.2">
      <c r="B735" s="6"/>
      <c r="C735" s="6"/>
      <c r="D735" s="6"/>
      <c r="E735" s="9"/>
      <c r="F735" s="9"/>
      <c r="G735" s="11"/>
      <c r="H735" s="5"/>
      <c r="I735" s="8"/>
      <c r="J735" s="8"/>
    </row>
    <row r="736" spans="2:10" ht="12.75" x14ac:dyDescent="0.2">
      <c r="B736" s="6"/>
      <c r="C736" s="6"/>
      <c r="D736" s="6"/>
      <c r="E736" s="9"/>
      <c r="F736" s="9"/>
      <c r="G736" s="11"/>
      <c r="H736" s="5"/>
      <c r="I736" s="8"/>
      <c r="J736" s="8"/>
    </row>
    <row r="737" spans="2:10" ht="12.75" x14ac:dyDescent="0.2">
      <c r="B737" s="6"/>
      <c r="C737" s="6"/>
      <c r="D737" s="6"/>
      <c r="E737" s="9"/>
      <c r="F737" s="9"/>
      <c r="G737" s="11"/>
      <c r="H737" s="5"/>
      <c r="I737" s="8"/>
      <c r="J737" s="8"/>
    </row>
    <row r="738" spans="2:10" ht="12.75" x14ac:dyDescent="0.2">
      <c r="B738" s="6"/>
      <c r="C738" s="6"/>
      <c r="D738" s="6"/>
      <c r="E738" s="9"/>
      <c r="F738" s="9"/>
      <c r="G738" s="11"/>
      <c r="H738" s="5"/>
      <c r="I738" s="8"/>
      <c r="J738" s="8"/>
    </row>
    <row r="739" spans="2:10" ht="12.75" x14ac:dyDescent="0.2">
      <c r="B739" s="6"/>
      <c r="C739" s="6"/>
      <c r="D739" s="6"/>
      <c r="E739" s="9"/>
      <c r="F739" s="9"/>
      <c r="G739" s="11"/>
      <c r="H739" s="5"/>
      <c r="I739" s="8"/>
      <c r="J739" s="8"/>
    </row>
    <row r="740" spans="2:10" ht="12.75" x14ac:dyDescent="0.2">
      <c r="B740" s="6"/>
      <c r="C740" s="6"/>
      <c r="D740" s="6"/>
      <c r="E740" s="9"/>
      <c r="F740" s="9"/>
      <c r="G740" s="11"/>
      <c r="H740" s="5"/>
      <c r="I740" s="8"/>
      <c r="J740" s="8"/>
    </row>
    <row r="741" spans="2:10" ht="12.75" x14ac:dyDescent="0.2">
      <c r="B741" s="6"/>
      <c r="C741" s="6"/>
      <c r="D741" s="6"/>
      <c r="E741" s="9"/>
      <c r="F741" s="9"/>
      <c r="G741" s="11"/>
      <c r="H741" s="5"/>
      <c r="I741" s="8"/>
      <c r="J741" s="8"/>
    </row>
    <row r="742" spans="2:10" ht="12.75" x14ac:dyDescent="0.2">
      <c r="B742" s="6"/>
      <c r="C742" s="6"/>
      <c r="D742" s="6"/>
      <c r="E742" s="9"/>
      <c r="F742" s="9"/>
      <c r="G742" s="11"/>
      <c r="H742" s="5"/>
      <c r="I742" s="8"/>
      <c r="J742" s="8"/>
    </row>
    <row r="743" spans="2:10" ht="12.75" x14ac:dyDescent="0.2">
      <c r="B743" s="6"/>
      <c r="C743" s="6"/>
      <c r="D743" s="6"/>
      <c r="E743" s="9"/>
      <c r="F743" s="9"/>
      <c r="G743" s="11"/>
      <c r="H743" s="5"/>
      <c r="I743" s="8"/>
      <c r="J743" s="8"/>
    </row>
    <row r="744" spans="2:10" ht="12.75" x14ac:dyDescent="0.2">
      <c r="B744" s="6"/>
      <c r="C744" s="6"/>
      <c r="D744" s="6"/>
      <c r="E744" s="9"/>
      <c r="F744" s="9"/>
      <c r="G744" s="11"/>
      <c r="H744" s="5"/>
      <c r="I744" s="8"/>
      <c r="J744" s="8"/>
    </row>
    <row r="745" spans="2:10" ht="12.75" x14ac:dyDescent="0.2">
      <c r="B745" s="6"/>
      <c r="C745" s="6"/>
      <c r="D745" s="6"/>
      <c r="E745" s="9"/>
      <c r="F745" s="9"/>
      <c r="G745" s="11"/>
      <c r="H745" s="5"/>
      <c r="I745" s="8"/>
      <c r="J745" s="8"/>
    </row>
    <row r="746" spans="2:10" ht="12.75" x14ac:dyDescent="0.2">
      <c r="B746" s="6"/>
      <c r="C746" s="6"/>
      <c r="D746" s="6"/>
      <c r="E746" s="9"/>
      <c r="F746" s="9"/>
      <c r="G746" s="11"/>
      <c r="H746" s="5"/>
      <c r="I746" s="8"/>
      <c r="J746" s="8"/>
    </row>
    <row r="747" spans="2:10" ht="12.75" x14ac:dyDescent="0.2">
      <c r="B747" s="6"/>
      <c r="C747" s="6"/>
      <c r="D747" s="6"/>
      <c r="E747" s="9"/>
      <c r="F747" s="9"/>
      <c r="G747" s="11"/>
      <c r="H747" s="5"/>
      <c r="I747" s="8"/>
      <c r="J747" s="8"/>
    </row>
    <row r="748" spans="2:10" ht="12.75" x14ac:dyDescent="0.2">
      <c r="B748" s="6"/>
      <c r="C748" s="6"/>
      <c r="D748" s="6"/>
      <c r="E748" s="9"/>
      <c r="F748" s="9"/>
      <c r="G748" s="11"/>
      <c r="H748" s="5"/>
      <c r="I748" s="8"/>
      <c r="J748" s="8"/>
    </row>
    <row r="749" spans="2:10" ht="12.75" x14ac:dyDescent="0.2">
      <c r="B749" s="6"/>
      <c r="C749" s="6"/>
      <c r="D749" s="6"/>
      <c r="E749" s="9"/>
      <c r="F749" s="9"/>
      <c r="G749" s="11"/>
      <c r="H749" s="5"/>
      <c r="I749" s="8"/>
      <c r="J749" s="8"/>
    </row>
    <row r="750" spans="2:10" ht="12.75" x14ac:dyDescent="0.2">
      <c r="B750" s="6"/>
      <c r="C750" s="6"/>
      <c r="D750" s="6"/>
      <c r="E750" s="9"/>
      <c r="F750" s="9"/>
      <c r="G750" s="11"/>
      <c r="H750" s="5"/>
      <c r="I750" s="8"/>
      <c r="J750" s="8"/>
    </row>
    <row r="751" spans="2:10" ht="12.75" x14ac:dyDescent="0.2">
      <c r="B751" s="6"/>
      <c r="C751" s="6"/>
      <c r="D751" s="6"/>
      <c r="E751" s="9"/>
      <c r="F751" s="9"/>
      <c r="G751" s="11"/>
      <c r="H751" s="5"/>
      <c r="I751" s="8"/>
      <c r="J751" s="8"/>
    </row>
    <row r="752" spans="2:10" ht="12.75" x14ac:dyDescent="0.2">
      <c r="B752" s="6"/>
      <c r="C752" s="6"/>
      <c r="D752" s="6"/>
      <c r="E752" s="9"/>
      <c r="F752" s="9"/>
      <c r="G752" s="11"/>
      <c r="H752" s="5"/>
      <c r="I752" s="8"/>
      <c r="J752" s="8"/>
    </row>
    <row r="753" spans="2:10" ht="12.75" x14ac:dyDescent="0.2">
      <c r="B753" s="6"/>
      <c r="C753" s="6"/>
      <c r="D753" s="6"/>
      <c r="E753" s="9"/>
      <c r="F753" s="9"/>
      <c r="G753" s="11"/>
      <c r="H753" s="5"/>
      <c r="I753" s="8"/>
      <c r="J753" s="8"/>
    </row>
    <row r="754" spans="2:10" ht="12.75" x14ac:dyDescent="0.2">
      <c r="B754" s="6"/>
      <c r="C754" s="6"/>
      <c r="D754" s="6"/>
      <c r="E754" s="9"/>
      <c r="F754" s="9"/>
      <c r="G754" s="11"/>
      <c r="H754" s="5"/>
      <c r="I754" s="8"/>
      <c r="J754" s="8"/>
    </row>
    <row r="755" spans="2:10" ht="12.75" x14ac:dyDescent="0.2">
      <c r="B755" s="6"/>
      <c r="C755" s="6"/>
      <c r="D755" s="6"/>
      <c r="E755" s="9"/>
      <c r="F755" s="9"/>
      <c r="G755" s="11"/>
      <c r="H755" s="5"/>
      <c r="I755" s="8"/>
      <c r="J755" s="8"/>
    </row>
    <row r="756" spans="2:10" ht="12.75" x14ac:dyDescent="0.2">
      <c r="B756" s="6"/>
      <c r="C756" s="6"/>
      <c r="D756" s="6"/>
      <c r="E756" s="9"/>
      <c r="F756" s="9"/>
      <c r="G756" s="11"/>
      <c r="H756" s="5"/>
      <c r="I756" s="8"/>
      <c r="J756" s="8"/>
    </row>
    <row r="757" spans="2:10" ht="12.75" x14ac:dyDescent="0.2">
      <c r="B757" s="6"/>
      <c r="C757" s="6"/>
      <c r="D757" s="6"/>
      <c r="E757" s="9"/>
      <c r="F757" s="9"/>
      <c r="G757" s="11"/>
      <c r="H757" s="5"/>
      <c r="I757" s="8"/>
      <c r="J757" s="8"/>
    </row>
    <row r="758" spans="2:10" ht="12.75" x14ac:dyDescent="0.2">
      <c r="B758" s="6"/>
      <c r="C758" s="6"/>
      <c r="D758" s="6"/>
      <c r="E758" s="9"/>
      <c r="F758" s="9"/>
      <c r="G758" s="11"/>
      <c r="H758" s="5"/>
      <c r="I758" s="8"/>
      <c r="J758" s="8"/>
    </row>
    <row r="759" spans="2:10" ht="12.75" x14ac:dyDescent="0.2">
      <c r="B759" s="6"/>
      <c r="C759" s="6"/>
      <c r="D759" s="6"/>
      <c r="E759" s="9"/>
      <c r="F759" s="9"/>
      <c r="G759" s="11"/>
      <c r="H759" s="5"/>
      <c r="I759" s="8"/>
      <c r="J759" s="8"/>
    </row>
    <row r="760" spans="2:10" ht="12.75" x14ac:dyDescent="0.2">
      <c r="B760" s="6"/>
      <c r="C760" s="6"/>
      <c r="D760" s="6"/>
      <c r="E760" s="9"/>
      <c r="F760" s="9"/>
      <c r="G760" s="11"/>
      <c r="H760" s="5"/>
      <c r="I760" s="8"/>
      <c r="J760" s="8"/>
    </row>
    <row r="761" spans="2:10" ht="12.75" x14ac:dyDescent="0.2">
      <c r="B761" s="6"/>
      <c r="C761" s="6"/>
      <c r="D761" s="6"/>
      <c r="E761" s="9"/>
      <c r="F761" s="9"/>
      <c r="G761" s="11"/>
      <c r="H761" s="5"/>
      <c r="I761" s="8"/>
      <c r="J761" s="8"/>
    </row>
    <row r="762" spans="2:10" ht="12.75" x14ac:dyDescent="0.2">
      <c r="B762" s="6"/>
      <c r="C762" s="6"/>
      <c r="D762" s="6"/>
      <c r="E762" s="9"/>
      <c r="F762" s="9"/>
      <c r="G762" s="11"/>
      <c r="H762" s="5"/>
      <c r="I762" s="8"/>
      <c r="J762" s="8"/>
    </row>
    <row r="763" spans="2:10" ht="12.75" x14ac:dyDescent="0.2">
      <c r="B763" s="6"/>
      <c r="C763" s="6"/>
      <c r="D763" s="6"/>
      <c r="E763" s="9"/>
      <c r="F763" s="9"/>
      <c r="G763" s="11"/>
      <c r="H763" s="5"/>
      <c r="I763" s="8"/>
      <c r="J763" s="8"/>
    </row>
    <row r="764" spans="2:10" ht="12.75" x14ac:dyDescent="0.2">
      <c r="B764" s="6"/>
      <c r="C764" s="6"/>
      <c r="D764" s="6"/>
      <c r="E764" s="9"/>
      <c r="F764" s="9"/>
      <c r="G764" s="11"/>
      <c r="H764" s="5"/>
      <c r="I764" s="8"/>
      <c r="J764" s="8"/>
    </row>
    <row r="765" spans="2:10" ht="12.75" x14ac:dyDescent="0.2">
      <c r="B765" s="6"/>
      <c r="C765" s="6"/>
      <c r="D765" s="6"/>
      <c r="E765" s="9"/>
      <c r="F765" s="9"/>
      <c r="G765" s="11"/>
      <c r="H765" s="5"/>
      <c r="I765" s="8"/>
      <c r="J765" s="8"/>
    </row>
    <row r="766" spans="2:10" ht="12.75" x14ac:dyDescent="0.2">
      <c r="B766" s="6"/>
      <c r="C766" s="6"/>
      <c r="D766" s="6"/>
      <c r="E766" s="9"/>
      <c r="F766" s="9"/>
      <c r="G766" s="11"/>
      <c r="H766" s="5"/>
      <c r="I766" s="8"/>
      <c r="J766" s="8"/>
    </row>
    <row r="767" spans="2:10" ht="12.75" x14ac:dyDescent="0.2">
      <c r="B767" s="6"/>
      <c r="C767" s="6"/>
      <c r="D767" s="6"/>
      <c r="E767" s="9"/>
      <c r="F767" s="9"/>
      <c r="G767" s="11"/>
      <c r="H767" s="5"/>
      <c r="I767" s="8"/>
      <c r="J767" s="8"/>
    </row>
    <row r="768" spans="2:10" ht="12.75" x14ac:dyDescent="0.2">
      <c r="B768" s="6"/>
      <c r="C768" s="6"/>
      <c r="D768" s="6"/>
      <c r="E768" s="9"/>
      <c r="F768" s="9"/>
      <c r="G768" s="11"/>
      <c r="H768" s="5"/>
      <c r="I768" s="8"/>
      <c r="J768" s="8"/>
    </row>
    <row r="769" spans="2:10" ht="12.75" x14ac:dyDescent="0.2">
      <c r="B769" s="6"/>
      <c r="C769" s="6"/>
      <c r="D769" s="6"/>
      <c r="E769" s="9"/>
      <c r="F769" s="9"/>
      <c r="G769" s="11"/>
      <c r="H769" s="5"/>
      <c r="I769" s="8"/>
      <c r="J769" s="8"/>
    </row>
    <row r="770" spans="2:10" ht="12.75" x14ac:dyDescent="0.2">
      <c r="B770" s="6"/>
      <c r="C770" s="6"/>
      <c r="D770" s="6"/>
      <c r="E770" s="9"/>
      <c r="F770" s="9"/>
      <c r="G770" s="11"/>
      <c r="H770" s="5"/>
      <c r="I770" s="8"/>
      <c r="J770" s="8"/>
    </row>
    <row r="771" spans="2:10" ht="12.75" x14ac:dyDescent="0.2">
      <c r="B771" s="6"/>
      <c r="C771" s="6"/>
      <c r="D771" s="6"/>
      <c r="E771" s="9"/>
      <c r="F771" s="9"/>
      <c r="G771" s="11"/>
      <c r="H771" s="5"/>
      <c r="I771" s="8"/>
      <c r="J771" s="8"/>
    </row>
    <row r="772" spans="2:10" ht="12.75" x14ac:dyDescent="0.2">
      <c r="B772" s="6"/>
      <c r="C772" s="6"/>
      <c r="D772" s="6"/>
      <c r="E772" s="9"/>
      <c r="F772" s="9"/>
      <c r="G772" s="11"/>
      <c r="H772" s="5"/>
      <c r="I772" s="8"/>
      <c r="J772" s="8"/>
    </row>
    <row r="773" spans="2:10" ht="12.75" x14ac:dyDescent="0.2">
      <c r="B773" s="6"/>
      <c r="C773" s="6"/>
      <c r="D773" s="6"/>
      <c r="E773" s="9"/>
      <c r="F773" s="9"/>
      <c r="G773" s="11"/>
      <c r="H773" s="5"/>
      <c r="I773" s="8"/>
      <c r="J773" s="8"/>
    </row>
    <row r="774" spans="2:10" ht="12.75" x14ac:dyDescent="0.2">
      <c r="B774" s="6"/>
      <c r="C774" s="6"/>
      <c r="D774" s="6"/>
      <c r="E774" s="9"/>
      <c r="F774" s="9"/>
      <c r="G774" s="11"/>
      <c r="H774" s="5"/>
      <c r="I774" s="8"/>
      <c r="J774" s="8"/>
    </row>
    <row r="775" spans="2:10" ht="12.75" x14ac:dyDescent="0.2">
      <c r="B775" s="6"/>
      <c r="C775" s="6"/>
      <c r="D775" s="6"/>
      <c r="E775" s="9"/>
      <c r="F775" s="9"/>
      <c r="G775" s="11"/>
      <c r="H775" s="5"/>
      <c r="I775" s="8"/>
      <c r="J775" s="8"/>
    </row>
    <row r="776" spans="2:10" ht="12.75" x14ac:dyDescent="0.2">
      <c r="B776" s="6"/>
      <c r="C776" s="6"/>
      <c r="D776" s="6"/>
      <c r="E776" s="9"/>
      <c r="F776" s="9"/>
      <c r="G776" s="11"/>
      <c r="H776" s="5"/>
      <c r="I776" s="8"/>
      <c r="J776" s="8"/>
    </row>
    <row r="777" spans="2:10" ht="12.75" x14ac:dyDescent="0.2">
      <c r="B777" s="6"/>
      <c r="C777" s="6"/>
      <c r="D777" s="6"/>
      <c r="E777" s="9"/>
      <c r="F777" s="9"/>
      <c r="G777" s="11"/>
      <c r="H777" s="5"/>
      <c r="I777" s="8"/>
      <c r="J777" s="8"/>
    </row>
    <row r="778" spans="2:10" ht="12.75" x14ac:dyDescent="0.2">
      <c r="B778" s="6"/>
      <c r="C778" s="6"/>
      <c r="D778" s="6"/>
      <c r="E778" s="9"/>
      <c r="F778" s="9"/>
      <c r="G778" s="11"/>
      <c r="H778" s="5"/>
      <c r="I778" s="8"/>
      <c r="J778" s="8"/>
    </row>
    <row r="779" spans="2:10" ht="12.75" x14ac:dyDescent="0.2">
      <c r="B779" s="6"/>
      <c r="C779" s="6"/>
      <c r="D779" s="6"/>
      <c r="E779" s="9"/>
      <c r="F779" s="9"/>
      <c r="G779" s="11"/>
      <c r="H779" s="5"/>
      <c r="I779" s="8"/>
      <c r="J779" s="8"/>
    </row>
    <row r="780" spans="2:10" ht="12.75" x14ac:dyDescent="0.2">
      <c r="B780" s="6"/>
      <c r="C780" s="6"/>
      <c r="D780" s="6"/>
      <c r="E780" s="9"/>
      <c r="F780" s="9"/>
      <c r="G780" s="11"/>
      <c r="H780" s="5"/>
      <c r="I780" s="8"/>
      <c r="J780" s="8"/>
    </row>
    <row r="781" spans="2:10" ht="12.75" x14ac:dyDescent="0.2">
      <c r="B781" s="6"/>
      <c r="C781" s="6"/>
      <c r="D781" s="6"/>
      <c r="E781" s="9"/>
      <c r="F781" s="9"/>
      <c r="G781" s="11"/>
      <c r="H781" s="5"/>
      <c r="I781" s="8"/>
      <c r="J781" s="8"/>
    </row>
    <row r="782" spans="2:10" ht="12.75" x14ac:dyDescent="0.2">
      <c r="B782" s="6"/>
      <c r="C782" s="6"/>
      <c r="D782" s="6"/>
      <c r="E782" s="9"/>
      <c r="F782" s="9"/>
      <c r="G782" s="11"/>
      <c r="H782" s="5"/>
      <c r="I782" s="8"/>
      <c r="J782" s="8"/>
    </row>
    <row r="783" spans="2:10" ht="12.75" x14ac:dyDescent="0.2">
      <c r="B783" s="6"/>
      <c r="C783" s="6"/>
      <c r="D783" s="6"/>
      <c r="E783" s="9"/>
      <c r="F783" s="9"/>
      <c r="G783" s="11"/>
      <c r="H783" s="5"/>
      <c r="I783" s="8"/>
      <c r="J783" s="8"/>
    </row>
    <row r="784" spans="2:10" ht="12.75" x14ac:dyDescent="0.2">
      <c r="B784" s="6"/>
      <c r="C784" s="6"/>
      <c r="D784" s="6"/>
      <c r="E784" s="9"/>
      <c r="F784" s="9"/>
      <c r="G784" s="11"/>
      <c r="H784" s="5"/>
      <c r="I784" s="8"/>
      <c r="J784" s="8"/>
    </row>
    <row r="785" spans="2:10" ht="12.75" x14ac:dyDescent="0.2">
      <c r="B785" s="6"/>
      <c r="C785" s="6"/>
      <c r="D785" s="6"/>
      <c r="E785" s="9"/>
      <c r="F785" s="9"/>
      <c r="G785" s="11"/>
      <c r="H785" s="5"/>
      <c r="I785" s="8"/>
      <c r="J785" s="8"/>
    </row>
    <row r="786" spans="2:10" ht="12.75" x14ac:dyDescent="0.2">
      <c r="B786" s="6"/>
      <c r="C786" s="6"/>
      <c r="D786" s="6"/>
      <c r="E786" s="9"/>
      <c r="F786" s="9"/>
      <c r="G786" s="11"/>
      <c r="H786" s="5"/>
      <c r="I786" s="8"/>
      <c r="J786" s="8"/>
    </row>
    <row r="787" spans="2:10" ht="12.75" x14ac:dyDescent="0.2">
      <c r="B787" s="6"/>
      <c r="C787" s="6"/>
      <c r="D787" s="6"/>
      <c r="E787" s="9"/>
      <c r="F787" s="9"/>
      <c r="G787" s="11"/>
      <c r="H787" s="5"/>
      <c r="I787" s="8"/>
      <c r="J787" s="8"/>
    </row>
    <row r="788" spans="2:10" ht="12.75" x14ac:dyDescent="0.2">
      <c r="B788" s="6"/>
      <c r="C788" s="6"/>
      <c r="D788" s="6"/>
      <c r="E788" s="9"/>
      <c r="F788" s="9"/>
      <c r="G788" s="11"/>
      <c r="H788" s="5"/>
      <c r="I788" s="8"/>
      <c r="J788" s="8"/>
    </row>
    <row r="789" spans="2:10" ht="12.75" x14ac:dyDescent="0.2">
      <c r="B789" s="6"/>
      <c r="C789" s="6"/>
      <c r="D789" s="6"/>
      <c r="E789" s="9"/>
      <c r="F789" s="9"/>
      <c r="G789" s="11"/>
      <c r="H789" s="5"/>
      <c r="I789" s="8"/>
      <c r="J789" s="8"/>
    </row>
    <row r="790" spans="2:10" ht="12.75" x14ac:dyDescent="0.2">
      <c r="B790" s="6"/>
      <c r="C790" s="6"/>
      <c r="D790" s="6"/>
      <c r="E790" s="9"/>
      <c r="F790" s="9"/>
      <c r="G790" s="11"/>
      <c r="H790" s="5"/>
      <c r="I790" s="8"/>
      <c r="J790" s="8"/>
    </row>
    <row r="791" spans="2:10" ht="12.75" x14ac:dyDescent="0.2">
      <c r="B791" s="6"/>
      <c r="C791" s="6"/>
      <c r="D791" s="6"/>
      <c r="E791" s="9"/>
      <c r="F791" s="9"/>
      <c r="G791" s="11"/>
      <c r="H791" s="5"/>
      <c r="I791" s="8"/>
      <c r="J791" s="8"/>
    </row>
    <row r="792" spans="2:10" ht="12.75" x14ac:dyDescent="0.2">
      <c r="B792" s="6"/>
      <c r="C792" s="6"/>
      <c r="D792" s="6"/>
      <c r="E792" s="9"/>
      <c r="F792" s="9"/>
      <c r="G792" s="11"/>
      <c r="H792" s="5"/>
      <c r="I792" s="8"/>
      <c r="J792" s="8"/>
    </row>
    <row r="793" spans="2:10" ht="12.75" x14ac:dyDescent="0.2">
      <c r="B793" s="6"/>
      <c r="C793" s="6"/>
      <c r="D793" s="6"/>
      <c r="E793" s="9"/>
      <c r="F793" s="9"/>
      <c r="G793" s="11"/>
      <c r="H793" s="5"/>
      <c r="I793" s="8"/>
      <c r="J793" s="8"/>
    </row>
    <row r="794" spans="2:10" ht="12.75" x14ac:dyDescent="0.2">
      <c r="B794" s="6"/>
      <c r="C794" s="6"/>
      <c r="D794" s="6"/>
      <c r="E794" s="9"/>
      <c r="F794" s="9"/>
      <c r="G794" s="11"/>
      <c r="H794" s="5"/>
      <c r="I794" s="8"/>
      <c r="J794" s="8"/>
    </row>
    <row r="795" spans="2:10" ht="12.75" x14ac:dyDescent="0.2">
      <c r="B795" s="6"/>
      <c r="C795" s="6"/>
      <c r="D795" s="6"/>
      <c r="E795" s="9"/>
      <c r="F795" s="9"/>
      <c r="G795" s="11"/>
      <c r="H795" s="5"/>
      <c r="I795" s="8"/>
      <c r="J795" s="8"/>
    </row>
    <row r="796" spans="2:10" ht="12.75" x14ac:dyDescent="0.2">
      <c r="B796" s="6"/>
      <c r="C796" s="6"/>
      <c r="D796" s="6"/>
      <c r="E796" s="9"/>
      <c r="F796" s="9"/>
      <c r="G796" s="11"/>
      <c r="H796" s="5"/>
      <c r="I796" s="8"/>
      <c r="J796" s="8"/>
    </row>
    <row r="797" spans="2:10" ht="12.75" x14ac:dyDescent="0.2">
      <c r="B797" s="6"/>
      <c r="C797" s="6"/>
      <c r="D797" s="6"/>
      <c r="E797" s="9"/>
      <c r="F797" s="9"/>
      <c r="G797" s="11"/>
      <c r="H797" s="5"/>
      <c r="I797" s="8"/>
      <c r="J797" s="8"/>
    </row>
    <row r="798" spans="2:10" ht="12.75" x14ac:dyDescent="0.2">
      <c r="B798" s="6"/>
      <c r="C798" s="6"/>
      <c r="D798" s="6"/>
      <c r="E798" s="9"/>
      <c r="F798" s="9"/>
      <c r="G798" s="11"/>
      <c r="H798" s="5"/>
      <c r="I798" s="8"/>
      <c r="J798" s="8"/>
    </row>
    <row r="799" spans="2:10" ht="12.75" x14ac:dyDescent="0.2">
      <c r="B799" s="6"/>
      <c r="C799" s="6"/>
      <c r="D799" s="6"/>
      <c r="E799" s="9"/>
      <c r="F799" s="9"/>
      <c r="G799" s="11"/>
      <c r="H799" s="5"/>
      <c r="I799" s="8"/>
      <c r="J799" s="8"/>
    </row>
    <row r="800" spans="2:10" ht="12.75" x14ac:dyDescent="0.2">
      <c r="B800" s="6"/>
      <c r="C800" s="6"/>
      <c r="D800" s="6"/>
      <c r="E800" s="9"/>
      <c r="F800" s="9"/>
      <c r="G800" s="11"/>
      <c r="H800" s="5"/>
      <c r="I800" s="8"/>
      <c r="J800" s="8"/>
    </row>
    <row r="801" spans="2:10" ht="12.75" x14ac:dyDescent="0.2">
      <c r="B801" s="6"/>
      <c r="C801" s="6"/>
      <c r="D801" s="6"/>
      <c r="E801" s="9"/>
      <c r="F801" s="9"/>
      <c r="G801" s="11"/>
      <c r="H801" s="5"/>
      <c r="I801" s="8"/>
      <c r="J801" s="8"/>
    </row>
    <row r="802" spans="2:10" ht="12.75" x14ac:dyDescent="0.2">
      <c r="B802" s="6"/>
      <c r="C802" s="6"/>
      <c r="D802" s="6"/>
      <c r="E802" s="9"/>
      <c r="F802" s="9"/>
      <c r="G802" s="11"/>
      <c r="H802" s="5"/>
      <c r="I802" s="8"/>
      <c r="J802" s="8"/>
    </row>
    <row r="803" spans="2:10" ht="12.75" x14ac:dyDescent="0.2">
      <c r="B803" s="6"/>
      <c r="C803" s="6"/>
      <c r="D803" s="6"/>
      <c r="E803" s="9"/>
      <c r="F803" s="9"/>
      <c r="G803" s="11"/>
      <c r="H803" s="5"/>
      <c r="I803" s="8"/>
      <c r="J803" s="8"/>
    </row>
    <row r="804" spans="2:10" ht="12.75" x14ac:dyDescent="0.2">
      <c r="B804" s="6"/>
      <c r="C804" s="6"/>
      <c r="D804" s="6"/>
      <c r="E804" s="9"/>
      <c r="F804" s="9"/>
      <c r="G804" s="11"/>
      <c r="H804" s="5"/>
      <c r="I804" s="8"/>
      <c r="J804" s="8"/>
    </row>
    <row r="805" spans="2:10" ht="12.75" x14ac:dyDescent="0.2">
      <c r="B805" s="6"/>
      <c r="C805" s="6"/>
      <c r="D805" s="6"/>
      <c r="E805" s="9"/>
      <c r="F805" s="9"/>
      <c r="G805" s="11"/>
      <c r="H805" s="5"/>
      <c r="I805" s="8"/>
      <c r="J805" s="8"/>
    </row>
    <row r="806" spans="2:10" ht="12.75" x14ac:dyDescent="0.2">
      <c r="B806" s="6"/>
      <c r="C806" s="6"/>
      <c r="D806" s="6"/>
      <c r="E806" s="9"/>
      <c r="F806" s="9"/>
      <c r="G806" s="11"/>
      <c r="H806" s="5"/>
      <c r="I806" s="8"/>
      <c r="J806" s="8"/>
    </row>
    <row r="807" spans="2:10" ht="12.75" x14ac:dyDescent="0.2">
      <c r="B807" s="6"/>
      <c r="C807" s="6"/>
      <c r="D807" s="6"/>
      <c r="E807" s="9"/>
      <c r="F807" s="9"/>
      <c r="G807" s="11"/>
      <c r="H807" s="5"/>
      <c r="I807" s="8"/>
      <c r="J807" s="8"/>
    </row>
    <row r="808" spans="2:10" ht="12.75" x14ac:dyDescent="0.2">
      <c r="B808" s="6"/>
      <c r="C808" s="6"/>
      <c r="D808" s="6"/>
      <c r="E808" s="9"/>
      <c r="F808" s="9"/>
      <c r="G808" s="11"/>
      <c r="H808" s="5"/>
      <c r="I808" s="8"/>
      <c r="J808" s="8"/>
    </row>
    <row r="809" spans="2:10" ht="12.75" x14ac:dyDescent="0.2">
      <c r="B809" s="6"/>
      <c r="C809" s="6"/>
      <c r="D809" s="6"/>
      <c r="E809" s="9"/>
      <c r="F809" s="9"/>
      <c r="G809" s="11"/>
      <c r="H809" s="5"/>
      <c r="I809" s="8"/>
      <c r="J809" s="8"/>
    </row>
    <row r="810" spans="2:10" ht="12.75" x14ac:dyDescent="0.2">
      <c r="B810" s="6"/>
      <c r="C810" s="6"/>
      <c r="D810" s="6"/>
      <c r="E810" s="9"/>
      <c r="F810" s="9"/>
      <c r="G810" s="11"/>
      <c r="H810" s="5"/>
      <c r="I810" s="8"/>
      <c r="J810" s="8"/>
    </row>
    <row r="811" spans="2:10" ht="12.75" x14ac:dyDescent="0.2">
      <c r="B811" s="6"/>
      <c r="C811" s="6"/>
      <c r="D811" s="6"/>
      <c r="E811" s="9"/>
      <c r="F811" s="9"/>
      <c r="G811" s="11"/>
      <c r="H811" s="5"/>
      <c r="I811" s="8"/>
      <c r="J811" s="8"/>
    </row>
    <row r="812" spans="2:10" ht="12.75" x14ac:dyDescent="0.2">
      <c r="B812" s="6"/>
      <c r="C812" s="6"/>
      <c r="D812" s="6"/>
      <c r="E812" s="9"/>
      <c r="F812" s="9"/>
      <c r="G812" s="11"/>
      <c r="H812" s="5"/>
      <c r="I812" s="8"/>
      <c r="J812" s="8"/>
    </row>
    <row r="813" spans="2:10" ht="12.75" x14ac:dyDescent="0.2">
      <c r="B813" s="6"/>
      <c r="C813" s="6"/>
      <c r="D813" s="6"/>
      <c r="E813" s="9"/>
      <c r="F813" s="9"/>
      <c r="G813" s="11"/>
      <c r="H813" s="5"/>
      <c r="I813" s="8"/>
      <c r="J813" s="8"/>
    </row>
    <row r="814" spans="2:10" ht="12.75" x14ac:dyDescent="0.2">
      <c r="B814" s="6"/>
      <c r="C814" s="6"/>
      <c r="D814" s="6"/>
      <c r="E814" s="9"/>
      <c r="F814" s="9"/>
      <c r="G814" s="11"/>
      <c r="H814" s="5"/>
      <c r="I814" s="8"/>
      <c r="J814" s="8"/>
    </row>
    <row r="815" spans="2:10" ht="12.75" x14ac:dyDescent="0.2">
      <c r="B815" s="6"/>
      <c r="C815" s="6"/>
      <c r="D815" s="6"/>
      <c r="E815" s="9"/>
      <c r="F815" s="9"/>
      <c r="G815" s="11"/>
      <c r="H815" s="5"/>
      <c r="I815" s="8"/>
      <c r="J815" s="8"/>
    </row>
    <row r="816" spans="2:10" ht="12.75" x14ac:dyDescent="0.2">
      <c r="B816" s="6"/>
      <c r="C816" s="6"/>
      <c r="D816" s="6"/>
      <c r="E816" s="9"/>
      <c r="F816" s="9"/>
      <c r="G816" s="11"/>
      <c r="H816" s="5"/>
      <c r="I816" s="8"/>
      <c r="J816" s="8"/>
    </row>
    <row r="817" spans="2:10" ht="12.75" x14ac:dyDescent="0.2">
      <c r="B817" s="6"/>
      <c r="C817" s="6"/>
      <c r="D817" s="6"/>
      <c r="E817" s="9"/>
      <c r="F817" s="9"/>
      <c r="G817" s="11"/>
      <c r="H817" s="5"/>
      <c r="I817" s="8"/>
      <c r="J817" s="8"/>
    </row>
    <row r="818" spans="2:10" ht="12.75" x14ac:dyDescent="0.2">
      <c r="B818" s="6"/>
      <c r="C818" s="6"/>
      <c r="D818" s="6"/>
      <c r="E818" s="9"/>
      <c r="F818" s="9"/>
      <c r="G818" s="11"/>
      <c r="H818" s="5"/>
      <c r="I818" s="8"/>
      <c r="J818" s="8"/>
    </row>
    <row r="819" spans="2:10" ht="12.75" x14ac:dyDescent="0.2">
      <c r="B819" s="6"/>
      <c r="C819" s="6"/>
      <c r="D819" s="6"/>
      <c r="E819" s="9"/>
      <c r="F819" s="9"/>
      <c r="G819" s="11"/>
      <c r="H819" s="5"/>
      <c r="I819" s="8"/>
      <c r="J819" s="8"/>
    </row>
    <row r="820" spans="2:10" ht="12.75" x14ac:dyDescent="0.2">
      <c r="B820" s="6"/>
      <c r="C820" s="6"/>
      <c r="D820" s="6"/>
      <c r="E820" s="9"/>
      <c r="F820" s="9"/>
      <c r="G820" s="11"/>
      <c r="H820" s="5"/>
      <c r="I820" s="8"/>
      <c r="J820" s="8"/>
    </row>
    <row r="821" spans="2:10" ht="12.75" x14ac:dyDescent="0.2">
      <c r="B821" s="6"/>
      <c r="C821" s="6"/>
      <c r="D821" s="6"/>
      <c r="E821" s="9"/>
      <c r="F821" s="9"/>
      <c r="G821" s="11"/>
      <c r="H821" s="5"/>
      <c r="I821" s="8"/>
      <c r="J821" s="8"/>
    </row>
    <row r="822" spans="2:10" ht="12.75" x14ac:dyDescent="0.2">
      <c r="B822" s="6"/>
      <c r="C822" s="6"/>
      <c r="D822" s="6"/>
      <c r="E822" s="9"/>
      <c r="F822" s="9"/>
      <c r="G822" s="11"/>
      <c r="H822" s="5"/>
      <c r="I822" s="8"/>
      <c r="J822" s="8"/>
    </row>
    <row r="823" spans="2:10" ht="12.75" x14ac:dyDescent="0.2">
      <c r="B823" s="6"/>
      <c r="C823" s="6"/>
      <c r="D823" s="6"/>
      <c r="E823" s="9"/>
      <c r="F823" s="9"/>
      <c r="G823" s="11"/>
      <c r="H823" s="5"/>
      <c r="I823" s="8"/>
      <c r="J823" s="8"/>
    </row>
    <row r="824" spans="2:10" ht="12.75" x14ac:dyDescent="0.2">
      <c r="B824" s="6"/>
      <c r="C824" s="6"/>
      <c r="D824" s="6"/>
      <c r="E824" s="9"/>
      <c r="F824" s="9"/>
      <c r="G824" s="11"/>
      <c r="H824" s="5"/>
      <c r="I824" s="8"/>
      <c r="J824" s="8"/>
    </row>
    <row r="825" spans="2:10" ht="12.75" x14ac:dyDescent="0.2">
      <c r="B825" s="6"/>
      <c r="C825" s="6"/>
      <c r="D825" s="6"/>
      <c r="E825" s="9"/>
      <c r="F825" s="9"/>
      <c r="G825" s="11"/>
      <c r="H825" s="5"/>
      <c r="I825" s="8"/>
      <c r="J825" s="8"/>
    </row>
    <row r="826" spans="2:10" ht="12.75" x14ac:dyDescent="0.2">
      <c r="B826" s="6"/>
      <c r="C826" s="6"/>
      <c r="D826" s="6"/>
      <c r="E826" s="9"/>
      <c r="F826" s="9"/>
      <c r="G826" s="11"/>
      <c r="H826" s="5"/>
      <c r="I826" s="8"/>
      <c r="J826" s="8"/>
    </row>
    <row r="827" spans="2:10" ht="12.75" x14ac:dyDescent="0.2">
      <c r="B827" s="6"/>
      <c r="C827" s="6"/>
      <c r="D827" s="6"/>
      <c r="E827" s="9"/>
      <c r="F827" s="9"/>
      <c r="G827" s="11"/>
      <c r="H827" s="5"/>
      <c r="I827" s="8"/>
      <c r="J827" s="8"/>
    </row>
    <row r="828" spans="2:10" ht="12.75" x14ac:dyDescent="0.2">
      <c r="B828" s="6"/>
      <c r="C828" s="6"/>
      <c r="D828" s="6"/>
      <c r="E828" s="9"/>
      <c r="F828" s="9"/>
      <c r="G828" s="11"/>
      <c r="H828" s="5"/>
      <c r="I828" s="8"/>
      <c r="J828" s="8"/>
    </row>
    <row r="829" spans="2:10" ht="12.75" x14ac:dyDescent="0.2">
      <c r="B829" s="6"/>
      <c r="C829" s="6"/>
      <c r="D829" s="6"/>
      <c r="E829" s="9"/>
      <c r="F829" s="9"/>
      <c r="G829" s="11"/>
      <c r="H829" s="5"/>
      <c r="I829" s="8"/>
      <c r="J829" s="8"/>
    </row>
    <row r="830" spans="2:10" ht="12.75" x14ac:dyDescent="0.2">
      <c r="B830" s="6"/>
      <c r="C830" s="6"/>
      <c r="D830" s="6"/>
      <c r="E830" s="9"/>
      <c r="F830" s="9"/>
      <c r="G830" s="11"/>
      <c r="H830" s="5"/>
      <c r="I830" s="8"/>
      <c r="J830" s="8"/>
    </row>
    <row r="831" spans="2:10" ht="12.75" x14ac:dyDescent="0.2">
      <c r="B831" s="6"/>
      <c r="C831" s="6"/>
      <c r="D831" s="6"/>
      <c r="E831" s="9"/>
      <c r="F831" s="9"/>
      <c r="G831" s="11"/>
      <c r="H831" s="5"/>
      <c r="I831" s="8"/>
      <c r="J831" s="8"/>
    </row>
    <row r="832" spans="2:10" ht="12.75" x14ac:dyDescent="0.2">
      <c r="B832" s="6"/>
      <c r="C832" s="6"/>
      <c r="D832" s="6"/>
      <c r="E832" s="9"/>
      <c r="F832" s="9"/>
      <c r="G832" s="11"/>
      <c r="H832" s="5"/>
      <c r="I832" s="8"/>
      <c r="J832" s="8"/>
    </row>
    <row r="833" spans="2:10" ht="12.75" x14ac:dyDescent="0.2">
      <c r="B833" s="6"/>
      <c r="C833" s="6"/>
      <c r="D833" s="6"/>
      <c r="E833" s="9"/>
      <c r="F833" s="9"/>
      <c r="G833" s="11"/>
      <c r="H833" s="5"/>
      <c r="I833" s="8"/>
      <c r="J833" s="8"/>
    </row>
    <row r="834" spans="2:10" ht="12.75" x14ac:dyDescent="0.2">
      <c r="B834" s="6"/>
      <c r="C834" s="6"/>
      <c r="D834" s="6"/>
      <c r="E834" s="9"/>
      <c r="F834" s="9"/>
      <c r="G834" s="11"/>
      <c r="H834" s="5"/>
      <c r="I834" s="8"/>
      <c r="J834" s="8"/>
    </row>
    <row r="835" spans="2:10" ht="12.75" x14ac:dyDescent="0.2">
      <c r="B835" s="6"/>
      <c r="C835" s="6"/>
      <c r="D835" s="6"/>
      <c r="E835" s="9"/>
      <c r="F835" s="9"/>
      <c r="G835" s="11"/>
      <c r="H835" s="5"/>
      <c r="I835" s="8"/>
      <c r="J835" s="8"/>
    </row>
    <row r="836" spans="2:10" ht="12.75" x14ac:dyDescent="0.2">
      <c r="B836" s="6"/>
      <c r="C836" s="6"/>
      <c r="D836" s="6"/>
      <c r="E836" s="9"/>
      <c r="F836" s="9"/>
      <c r="G836" s="11"/>
      <c r="H836" s="5"/>
      <c r="I836" s="8"/>
      <c r="J836" s="8"/>
    </row>
    <row r="837" spans="2:10" ht="12.75" x14ac:dyDescent="0.2">
      <c r="B837" s="6"/>
      <c r="C837" s="6"/>
      <c r="D837" s="6"/>
      <c r="E837" s="9"/>
      <c r="F837" s="9"/>
      <c r="G837" s="11"/>
      <c r="H837" s="5"/>
      <c r="I837" s="8"/>
      <c r="J837" s="8"/>
    </row>
    <row r="838" spans="2:10" ht="12.75" x14ac:dyDescent="0.2">
      <c r="B838" s="6"/>
      <c r="C838" s="6"/>
      <c r="D838" s="6"/>
      <c r="E838" s="9"/>
      <c r="F838" s="9"/>
      <c r="G838" s="11"/>
      <c r="H838" s="5"/>
      <c r="I838" s="8"/>
      <c r="J838" s="8"/>
    </row>
    <row r="839" spans="2:10" ht="12.75" x14ac:dyDescent="0.2">
      <c r="B839" s="6"/>
      <c r="C839" s="6"/>
      <c r="D839" s="6"/>
      <c r="E839" s="9"/>
      <c r="F839" s="9"/>
      <c r="G839" s="11"/>
      <c r="H839" s="5"/>
      <c r="I839" s="8"/>
      <c r="J839" s="8"/>
    </row>
    <row r="840" spans="2:10" ht="12.75" x14ac:dyDescent="0.2">
      <c r="B840" s="6"/>
      <c r="C840" s="6"/>
      <c r="D840" s="6"/>
      <c r="E840" s="9"/>
      <c r="F840" s="9"/>
      <c r="G840" s="11"/>
      <c r="H840" s="5"/>
      <c r="I840" s="8"/>
      <c r="J840" s="8"/>
    </row>
    <row r="841" spans="2:10" ht="12.75" x14ac:dyDescent="0.2">
      <c r="B841" s="6"/>
      <c r="C841" s="6"/>
      <c r="D841" s="6"/>
      <c r="E841" s="9"/>
      <c r="F841" s="9"/>
      <c r="G841" s="11"/>
      <c r="H841" s="5"/>
      <c r="I841" s="8"/>
      <c r="J841" s="8"/>
    </row>
    <row r="842" spans="2:10" ht="12.75" x14ac:dyDescent="0.2">
      <c r="B842" s="6"/>
      <c r="C842" s="6"/>
      <c r="D842" s="6"/>
      <c r="E842" s="9"/>
      <c r="F842" s="9"/>
      <c r="G842" s="11"/>
      <c r="H842" s="5"/>
      <c r="I842" s="8"/>
      <c r="J842" s="8"/>
    </row>
    <row r="843" spans="2:10" ht="12.75" x14ac:dyDescent="0.2">
      <c r="B843" s="6"/>
      <c r="C843" s="6"/>
      <c r="D843" s="6"/>
      <c r="E843" s="9"/>
      <c r="F843" s="9"/>
      <c r="G843" s="11"/>
      <c r="H843" s="5"/>
      <c r="I843" s="8"/>
      <c r="J843" s="8"/>
    </row>
    <row r="844" spans="2:10" ht="12.75" x14ac:dyDescent="0.2">
      <c r="B844" s="6"/>
      <c r="C844" s="6"/>
      <c r="D844" s="6"/>
      <c r="E844" s="9"/>
      <c r="F844" s="9"/>
      <c r="G844" s="11"/>
      <c r="H844" s="5"/>
      <c r="I844" s="8"/>
      <c r="J844" s="8"/>
    </row>
    <row r="845" spans="2:10" ht="12.75" x14ac:dyDescent="0.2">
      <c r="B845" s="6"/>
      <c r="C845" s="6"/>
      <c r="D845" s="6"/>
      <c r="E845" s="9"/>
      <c r="F845" s="9"/>
      <c r="G845" s="11"/>
      <c r="H845" s="5"/>
      <c r="I845" s="8"/>
      <c r="J845" s="8"/>
    </row>
    <row r="846" spans="2:10" ht="12.75" x14ac:dyDescent="0.2">
      <c r="B846" s="6"/>
      <c r="C846" s="6"/>
      <c r="D846" s="6"/>
      <c r="E846" s="9"/>
      <c r="F846" s="9"/>
      <c r="G846" s="11"/>
      <c r="H846" s="5"/>
      <c r="I846" s="8"/>
      <c r="J846" s="8"/>
    </row>
    <row r="847" spans="2:10" ht="12.75" x14ac:dyDescent="0.2">
      <c r="B847" s="6"/>
      <c r="C847" s="6"/>
      <c r="D847" s="6"/>
      <c r="E847" s="9"/>
      <c r="F847" s="9"/>
      <c r="G847" s="11"/>
      <c r="H847" s="5"/>
      <c r="I847" s="8"/>
      <c r="J847" s="8"/>
    </row>
    <row r="848" spans="2:10" ht="12.75" x14ac:dyDescent="0.2">
      <c r="B848" s="6"/>
      <c r="C848" s="6"/>
      <c r="D848" s="6"/>
      <c r="E848" s="9"/>
      <c r="F848" s="9"/>
      <c r="G848" s="11"/>
      <c r="H848" s="5"/>
      <c r="I848" s="8"/>
      <c r="J848" s="8"/>
    </row>
    <row r="849" spans="2:10" ht="12.75" x14ac:dyDescent="0.2">
      <c r="B849" s="6"/>
      <c r="C849" s="6"/>
      <c r="D849" s="6"/>
      <c r="E849" s="9"/>
      <c r="F849" s="9"/>
      <c r="G849" s="11"/>
      <c r="H849" s="5"/>
      <c r="I849" s="8"/>
      <c r="J849" s="8"/>
    </row>
    <row r="850" spans="2:10" ht="12.75" x14ac:dyDescent="0.2">
      <c r="B850" s="6"/>
      <c r="C850" s="6"/>
      <c r="D850" s="6"/>
      <c r="E850" s="9"/>
      <c r="F850" s="9"/>
      <c r="G850" s="11"/>
      <c r="H850" s="5"/>
      <c r="I850" s="8"/>
      <c r="J850" s="8"/>
    </row>
    <row r="851" spans="2:10" ht="12.75" x14ac:dyDescent="0.2">
      <c r="B851" s="6"/>
      <c r="C851" s="6"/>
      <c r="D851" s="6"/>
      <c r="E851" s="9"/>
      <c r="F851" s="9"/>
      <c r="G851" s="11"/>
      <c r="H851" s="5"/>
      <c r="I851" s="8"/>
      <c r="J851" s="8"/>
    </row>
    <row r="852" spans="2:10" ht="12.75" x14ac:dyDescent="0.2">
      <c r="B852" s="6"/>
      <c r="C852" s="6"/>
      <c r="D852" s="6"/>
      <c r="E852" s="9"/>
      <c r="F852" s="9"/>
      <c r="G852" s="11"/>
      <c r="H852" s="5"/>
      <c r="I852" s="8"/>
      <c r="J852" s="8"/>
    </row>
    <row r="853" spans="2:10" ht="12.75" x14ac:dyDescent="0.2">
      <c r="B853" s="6"/>
      <c r="C853" s="6"/>
      <c r="D853" s="6"/>
      <c r="E853" s="9"/>
      <c r="F853" s="9"/>
      <c r="G853" s="11"/>
      <c r="H853" s="5"/>
      <c r="I853" s="8"/>
      <c r="J853" s="8"/>
    </row>
    <row r="854" spans="2:10" ht="12.75" x14ac:dyDescent="0.2">
      <c r="B854" s="6"/>
      <c r="C854" s="6"/>
      <c r="D854" s="6"/>
      <c r="E854" s="9"/>
      <c r="F854" s="9"/>
      <c r="G854" s="11"/>
      <c r="H854" s="5"/>
      <c r="I854" s="8"/>
      <c r="J854" s="8"/>
    </row>
    <row r="855" spans="2:10" ht="12.75" x14ac:dyDescent="0.2">
      <c r="B855" s="6"/>
      <c r="C855" s="6"/>
      <c r="D855" s="6"/>
      <c r="E855" s="9"/>
      <c r="F855" s="9"/>
      <c r="G855" s="11"/>
      <c r="H855" s="5"/>
      <c r="I855" s="8"/>
      <c r="J855" s="8"/>
    </row>
    <row r="856" spans="2:10" ht="12.75" x14ac:dyDescent="0.2">
      <c r="B856" s="6"/>
      <c r="C856" s="6"/>
      <c r="D856" s="6"/>
      <c r="E856" s="9"/>
      <c r="F856" s="9"/>
      <c r="G856" s="11"/>
      <c r="H856" s="5"/>
      <c r="I856" s="8"/>
      <c r="J856" s="8"/>
    </row>
    <row r="857" spans="2:10" ht="12.75" x14ac:dyDescent="0.2">
      <c r="B857" s="6"/>
      <c r="C857" s="6"/>
      <c r="D857" s="6"/>
      <c r="E857" s="9"/>
      <c r="F857" s="9"/>
      <c r="G857" s="11"/>
      <c r="H857" s="5"/>
      <c r="I857" s="8"/>
      <c r="J857" s="8"/>
    </row>
    <row r="858" spans="2:10" ht="12.75" x14ac:dyDescent="0.2">
      <c r="B858" s="6"/>
      <c r="C858" s="6"/>
      <c r="D858" s="6"/>
      <c r="E858" s="9"/>
      <c r="F858" s="9"/>
      <c r="G858" s="11"/>
      <c r="H858" s="5"/>
      <c r="I858" s="8"/>
      <c r="J858" s="8"/>
    </row>
    <row r="859" spans="2:10" ht="12.75" x14ac:dyDescent="0.2">
      <c r="B859" s="6"/>
      <c r="C859" s="6"/>
      <c r="D859" s="6"/>
      <c r="E859" s="9"/>
      <c r="F859" s="9"/>
      <c r="G859" s="11"/>
      <c r="H859" s="5"/>
      <c r="I859" s="8"/>
      <c r="J859" s="8"/>
    </row>
    <row r="860" spans="2:10" ht="12.75" x14ac:dyDescent="0.2">
      <c r="B860" s="6"/>
      <c r="C860" s="6"/>
      <c r="D860" s="6"/>
      <c r="E860" s="9"/>
      <c r="F860" s="9"/>
      <c r="G860" s="11"/>
      <c r="H860" s="5"/>
      <c r="I860" s="8"/>
      <c r="J860" s="8"/>
    </row>
    <row r="861" spans="2:10" ht="12.75" x14ac:dyDescent="0.2">
      <c r="B861" s="6"/>
      <c r="C861" s="6"/>
      <c r="D861" s="6"/>
      <c r="E861" s="9"/>
      <c r="F861" s="9"/>
      <c r="G861" s="11"/>
      <c r="H861" s="5"/>
      <c r="I861" s="8"/>
      <c r="J861" s="8"/>
    </row>
  </sheetData>
  <dataValidations count="1">
    <dataValidation type="list" allowBlank="1" showErrorMessage="1" sqref="C3:C4" xr:uid="{00000000-0002-0000-0900-000000000000}">
      <formula1>"5DD,EOM,LBD,TP"</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Y861"/>
  <sheetViews>
    <sheetView workbookViewId="0">
      <pane ySplit="1" topLeftCell="A2" activePane="bottomLeft" state="frozen"/>
      <selection pane="bottomLeft" activeCell="B3" sqref="B3"/>
    </sheetView>
  </sheetViews>
  <sheetFormatPr defaultColWidth="12.42578125" defaultRowHeight="15.75" customHeight="1" x14ac:dyDescent="0.2"/>
  <cols>
    <col min="1" max="1" width="8.42578125" customWidth="1"/>
    <col min="2" max="2" width="6.140625" customWidth="1"/>
    <col min="3" max="3" width="9.28515625" customWidth="1"/>
    <col min="4" max="4" width="7" customWidth="1"/>
    <col min="5" max="5" width="7.42578125" customWidth="1"/>
    <col min="6" max="6" width="8" customWidth="1"/>
    <col min="7" max="7" width="8.28515625" customWidth="1"/>
    <col min="8" max="8" width="7.85546875" customWidth="1"/>
    <col min="9" max="10" width="7" customWidth="1"/>
    <col min="11" max="11" width="6.42578125" customWidth="1"/>
    <col min="12" max="12" width="5.140625" customWidth="1"/>
    <col min="13" max="13" width="7.85546875" customWidth="1"/>
    <col min="14" max="14" width="13.42578125" customWidth="1"/>
    <col min="15" max="15" width="10.85546875" customWidth="1"/>
    <col min="16" max="16" width="11.42578125" customWidth="1"/>
    <col min="17" max="17" width="6.42578125" customWidth="1"/>
    <col min="18" max="18" width="7.140625" customWidth="1"/>
    <col min="19" max="19" width="9.140625" customWidth="1"/>
    <col min="20" max="20" width="6.42578125" customWidth="1"/>
    <col min="21" max="21" width="11.140625" customWidth="1"/>
    <col min="22" max="22" width="9.28515625" customWidth="1"/>
    <col min="23" max="23" width="8.85546875" customWidth="1"/>
    <col min="24" max="25" width="7" customWidth="1"/>
  </cols>
  <sheetData>
    <row r="1" spans="1:25" ht="15" customHeight="1" x14ac:dyDescent="0.2">
      <c r="A1" s="14" t="s">
        <v>2</v>
      </c>
      <c r="B1" s="15" t="s">
        <v>3</v>
      </c>
      <c r="C1" s="15" t="s">
        <v>4</v>
      </c>
      <c r="D1" s="15" t="s">
        <v>0</v>
      </c>
      <c r="E1" s="16" t="s">
        <v>5</v>
      </c>
      <c r="F1" s="16" t="s">
        <v>6</v>
      </c>
      <c r="G1" s="17" t="s">
        <v>7</v>
      </c>
      <c r="H1" s="18" t="s">
        <v>8</v>
      </c>
      <c r="I1" s="19" t="s">
        <v>9</v>
      </c>
      <c r="J1" s="19" t="s">
        <v>10</v>
      </c>
      <c r="K1" s="19" t="s">
        <v>11</v>
      </c>
      <c r="L1" s="18" t="s">
        <v>12</v>
      </c>
      <c r="M1" s="20"/>
      <c r="N1" s="20"/>
      <c r="O1" s="20"/>
      <c r="P1" s="20"/>
      <c r="Q1" s="20"/>
      <c r="R1" s="20"/>
      <c r="S1" s="20"/>
      <c r="T1" s="20"/>
      <c r="U1" s="20"/>
      <c r="V1" s="20"/>
      <c r="W1" s="20"/>
      <c r="X1" s="20"/>
      <c r="Y1" s="20"/>
    </row>
    <row r="2" spans="1:25" ht="12.75" x14ac:dyDescent="0.2">
      <c r="A2" s="10"/>
      <c r="B2" s="6"/>
      <c r="C2" s="6"/>
      <c r="D2" s="6"/>
      <c r="E2" s="9"/>
      <c r="F2" s="9"/>
      <c r="G2" s="11"/>
      <c r="H2" s="5"/>
      <c r="I2" s="6"/>
      <c r="J2" s="6"/>
      <c r="K2" s="20"/>
      <c r="L2" s="20"/>
      <c r="M2" s="20"/>
      <c r="Q2" s="20"/>
      <c r="X2" s="6"/>
      <c r="Y2" s="6"/>
    </row>
    <row r="3" spans="1:25" ht="12.75" x14ac:dyDescent="0.2">
      <c r="A3" s="10">
        <v>45701</v>
      </c>
      <c r="B3" s="1" t="s">
        <v>13</v>
      </c>
      <c r="C3" s="1" t="s">
        <v>14</v>
      </c>
      <c r="D3" s="6">
        <v>199.45</v>
      </c>
      <c r="E3" s="9">
        <f t="shared" ref="E3:E4" si="0">$O$3/D3</f>
        <v>1.2534469791927803</v>
      </c>
      <c r="F3" s="9">
        <f>E3</f>
        <v>1.2534469791927803</v>
      </c>
      <c r="G3" s="11">
        <f t="shared" ref="G3:G4" si="1">$O$4/D3</f>
        <v>1.2534469791927803</v>
      </c>
      <c r="H3" s="5">
        <f t="shared" ref="H3:H4" si="2">D3*G3</f>
        <v>250</v>
      </c>
      <c r="I3" s="6">
        <f t="shared" ref="I3:I4" si="3">D3-(D3*$O$5)</f>
        <v>183.494</v>
      </c>
      <c r="J3" s="6">
        <f t="shared" ref="J3:J4" si="4">D3+(D3*$O$6)</f>
        <v>247.31799999999998</v>
      </c>
      <c r="K3" s="5"/>
      <c r="L3" s="5"/>
      <c r="M3" s="5"/>
      <c r="N3" s="20" t="s">
        <v>21</v>
      </c>
      <c r="O3" s="5">
        <v>250</v>
      </c>
      <c r="W3" s="6"/>
      <c r="X3" s="6"/>
      <c r="Y3" s="6"/>
    </row>
    <row r="4" spans="1:25" ht="12.75" x14ac:dyDescent="0.2">
      <c r="A4" s="10">
        <v>45701</v>
      </c>
      <c r="B4" s="1" t="s">
        <v>16</v>
      </c>
      <c r="C4" s="1" t="s">
        <v>14</v>
      </c>
      <c r="D4" s="6">
        <v>199.45</v>
      </c>
      <c r="E4" s="9">
        <f t="shared" si="0"/>
        <v>1.2534469791927803</v>
      </c>
      <c r="F4" s="9">
        <f>F3+E4</f>
        <v>2.5068939583855605</v>
      </c>
      <c r="G4" s="11">
        <f t="shared" si="1"/>
        <v>1.2534469791927803</v>
      </c>
      <c r="H4" s="5">
        <f t="shared" si="2"/>
        <v>250</v>
      </c>
      <c r="I4" s="6">
        <f t="shared" si="3"/>
        <v>183.494</v>
      </c>
      <c r="J4" s="6">
        <f t="shared" si="4"/>
        <v>247.31799999999998</v>
      </c>
      <c r="K4" s="6"/>
      <c r="L4" s="6"/>
      <c r="M4" s="6"/>
      <c r="N4" s="3" t="s">
        <v>8</v>
      </c>
      <c r="O4" s="5">
        <v>250</v>
      </c>
      <c r="P4" s="10"/>
      <c r="Q4" s="6"/>
      <c r="R4" s="6"/>
      <c r="S4" s="6"/>
      <c r="T4" s="6"/>
      <c r="U4" s="6"/>
      <c r="V4" s="6"/>
      <c r="W4" s="6"/>
      <c r="X4" s="6"/>
      <c r="Y4" s="6"/>
    </row>
    <row r="5" spans="1:25" ht="12.75" x14ac:dyDescent="0.2">
      <c r="A5" s="10"/>
      <c r="D5" s="6"/>
      <c r="E5" s="9"/>
      <c r="F5" s="9"/>
      <c r="G5" s="11"/>
      <c r="H5" s="5"/>
      <c r="I5" s="6"/>
      <c r="K5" s="6"/>
      <c r="L5" s="6"/>
      <c r="M5" s="6"/>
      <c r="N5" s="3" t="s">
        <v>18</v>
      </c>
      <c r="O5" s="4">
        <v>0.08</v>
      </c>
      <c r="P5" s="4"/>
      <c r="Q5" s="6"/>
      <c r="R5" s="6"/>
      <c r="S5" s="6"/>
      <c r="T5" s="6"/>
      <c r="U5" s="6"/>
      <c r="V5" s="6"/>
      <c r="W5" s="6"/>
      <c r="X5" s="6"/>
      <c r="Y5" s="6"/>
    </row>
    <row r="6" spans="1:25" ht="12.75" x14ac:dyDescent="0.2">
      <c r="A6" s="10"/>
      <c r="D6" s="6"/>
      <c r="E6" s="9"/>
      <c r="F6" s="9"/>
      <c r="G6" s="11"/>
      <c r="H6" s="5"/>
      <c r="I6" s="6"/>
      <c r="K6" s="6"/>
      <c r="L6" s="6"/>
      <c r="M6" s="6"/>
      <c r="N6" s="3" t="s">
        <v>10</v>
      </c>
      <c r="O6" s="4">
        <f>O5*3</f>
        <v>0.24</v>
      </c>
      <c r="P6" s="4"/>
      <c r="Q6" s="4"/>
      <c r="R6" s="6"/>
      <c r="S6" s="6"/>
      <c r="T6" s="6"/>
      <c r="U6" s="6"/>
      <c r="V6" s="6"/>
      <c r="W6" s="6"/>
      <c r="X6" s="6"/>
      <c r="Y6" s="6"/>
    </row>
    <row r="7" spans="1:25" ht="12.75" x14ac:dyDescent="0.2">
      <c r="A7" s="10"/>
      <c r="D7" s="6"/>
      <c r="E7" s="9"/>
      <c r="F7" s="9"/>
      <c r="G7" s="11"/>
      <c r="H7" s="5"/>
      <c r="I7" s="6"/>
      <c r="K7" s="6"/>
      <c r="L7" s="6"/>
      <c r="M7" s="6"/>
      <c r="N7" s="20" t="s">
        <v>19</v>
      </c>
      <c r="O7" s="5">
        <f>(O8/250)*O3</f>
        <v>500</v>
      </c>
      <c r="P7" s="6"/>
      <c r="Q7" s="6"/>
      <c r="R7" s="6"/>
      <c r="S7" s="6"/>
      <c r="T7" s="6"/>
      <c r="U7" s="6"/>
      <c r="V7" s="6"/>
      <c r="W7" s="6"/>
      <c r="X7" s="6"/>
      <c r="Y7" s="6"/>
    </row>
    <row r="8" spans="1:25" ht="12.75" x14ac:dyDescent="0.2">
      <c r="A8" s="21"/>
      <c r="B8" s="22"/>
      <c r="C8" s="22"/>
      <c r="D8" s="23"/>
      <c r="E8" s="24"/>
      <c r="F8" s="24"/>
      <c r="G8" s="25"/>
      <c r="H8" s="26"/>
      <c r="I8" s="23"/>
      <c r="J8" s="22"/>
      <c r="K8" s="6"/>
      <c r="L8" s="6"/>
      <c r="M8" s="6"/>
      <c r="N8" s="3" t="s">
        <v>20</v>
      </c>
      <c r="O8" s="5">
        <f>SUM(H3:H42)</f>
        <v>500</v>
      </c>
      <c r="P8" s="4"/>
      <c r="R8" s="6"/>
      <c r="S8" s="6"/>
      <c r="T8" s="6"/>
      <c r="U8" s="6"/>
      <c r="V8" s="6"/>
      <c r="W8" s="6"/>
      <c r="X8" s="6"/>
      <c r="Y8" s="6"/>
    </row>
    <row r="9" spans="1:25" ht="12.75" x14ac:dyDescent="0.2">
      <c r="A9" s="21"/>
      <c r="B9" s="22"/>
      <c r="C9" s="22"/>
      <c r="D9" s="23"/>
      <c r="E9" s="24"/>
      <c r="F9" s="24"/>
      <c r="G9" s="25"/>
      <c r="H9" s="26"/>
      <c r="I9" s="23"/>
      <c r="J9" s="22"/>
      <c r="K9" s="6"/>
      <c r="L9" s="6"/>
      <c r="M9" s="6"/>
      <c r="N9" s="20"/>
      <c r="O9" s="6"/>
      <c r="P9" s="6"/>
      <c r="Q9" s="6"/>
      <c r="R9" s="6"/>
      <c r="S9" s="6"/>
      <c r="T9" s="6"/>
      <c r="U9" s="6"/>
      <c r="V9" s="6"/>
      <c r="W9" s="6"/>
      <c r="X9" s="6"/>
      <c r="Y9" s="6"/>
    </row>
    <row r="10" spans="1:25" ht="12.75" x14ac:dyDescent="0.2">
      <c r="A10" s="21"/>
      <c r="B10" s="22"/>
      <c r="C10" s="22"/>
      <c r="D10" s="23"/>
      <c r="E10" s="24"/>
      <c r="F10" s="24"/>
      <c r="G10" s="25"/>
      <c r="H10" s="26"/>
      <c r="I10" s="23"/>
      <c r="J10" s="22"/>
      <c r="K10" s="6"/>
      <c r="L10" s="6"/>
      <c r="M10" s="6"/>
      <c r="N10" s="3"/>
      <c r="O10" s="6"/>
      <c r="P10" s="4"/>
      <c r="Q10" s="6"/>
      <c r="R10" s="6"/>
      <c r="S10" s="6"/>
      <c r="T10" s="6"/>
      <c r="U10" s="6"/>
      <c r="V10" s="6"/>
      <c r="W10" s="6"/>
      <c r="X10" s="6"/>
      <c r="Y10" s="6"/>
    </row>
    <row r="11" spans="1:25" ht="12.75" x14ac:dyDescent="0.2">
      <c r="A11" s="10"/>
      <c r="B11" s="1"/>
      <c r="D11" s="6"/>
      <c r="E11" s="9"/>
      <c r="F11" s="9"/>
      <c r="G11" s="11"/>
      <c r="H11" s="5"/>
      <c r="I11" s="6"/>
      <c r="K11" s="6"/>
      <c r="L11" s="6"/>
      <c r="M11" s="6"/>
      <c r="N11" s="6"/>
      <c r="O11" s="9"/>
      <c r="P11" s="6"/>
      <c r="Q11" s="6"/>
      <c r="R11" s="6"/>
      <c r="S11" s="6"/>
      <c r="T11" s="6"/>
      <c r="U11" s="6"/>
      <c r="V11" s="6"/>
      <c r="W11" s="6"/>
      <c r="X11" s="6"/>
      <c r="Y11" s="6"/>
    </row>
    <row r="12" spans="1:25" ht="12.75" x14ac:dyDescent="0.2">
      <c r="A12" s="10"/>
      <c r="B12" s="1"/>
      <c r="D12" s="6"/>
      <c r="E12" s="9"/>
      <c r="F12" s="9"/>
      <c r="G12" s="11"/>
      <c r="H12" s="5"/>
      <c r="I12" s="6"/>
      <c r="K12" s="6"/>
      <c r="L12" s="6"/>
      <c r="M12" s="6"/>
      <c r="N12" s="6"/>
      <c r="O12" s="6"/>
      <c r="P12" s="6"/>
      <c r="Q12" s="6"/>
      <c r="R12" s="6"/>
      <c r="S12" s="6"/>
      <c r="T12" s="6"/>
      <c r="U12" s="6"/>
      <c r="V12" s="6"/>
      <c r="W12" s="6"/>
      <c r="X12" s="6"/>
      <c r="Y12" s="6"/>
    </row>
    <row r="13" spans="1:25" ht="12.75" x14ac:dyDescent="0.2">
      <c r="A13" s="21"/>
      <c r="B13" s="22"/>
      <c r="C13" s="22"/>
      <c r="D13" s="23"/>
      <c r="E13" s="24"/>
      <c r="F13" s="24"/>
      <c r="G13" s="25"/>
      <c r="H13" s="26"/>
      <c r="I13" s="23"/>
      <c r="J13" s="22"/>
      <c r="K13" s="6"/>
      <c r="L13" s="6"/>
      <c r="M13" s="6"/>
      <c r="N13" s="6"/>
      <c r="O13" s="6"/>
      <c r="P13" s="6"/>
      <c r="Q13" s="6"/>
      <c r="R13" s="6"/>
      <c r="S13" s="6"/>
      <c r="T13" s="6"/>
      <c r="U13" s="6"/>
      <c r="V13" s="6"/>
      <c r="W13" s="6"/>
      <c r="X13" s="6"/>
      <c r="Y13" s="6"/>
    </row>
    <row r="14" spans="1:25" ht="12.75" x14ac:dyDescent="0.2">
      <c r="A14" s="21"/>
      <c r="B14" s="22"/>
      <c r="C14" s="22"/>
      <c r="D14" s="23"/>
      <c r="E14" s="24"/>
      <c r="F14" s="24"/>
      <c r="G14" s="25"/>
      <c r="H14" s="26"/>
      <c r="I14" s="23"/>
      <c r="J14" s="22"/>
      <c r="K14" s="6"/>
      <c r="L14" s="6"/>
      <c r="M14" s="6"/>
      <c r="N14" s="6"/>
      <c r="O14" s="3"/>
      <c r="P14" s="3"/>
      <c r="Q14" s="3"/>
      <c r="R14" s="3"/>
      <c r="S14" s="3"/>
      <c r="T14" s="6"/>
      <c r="U14" s="6"/>
      <c r="V14" s="6"/>
      <c r="W14" s="6"/>
      <c r="X14" s="6"/>
      <c r="Y14" s="6"/>
    </row>
    <row r="15" spans="1:25" ht="12.75" x14ac:dyDescent="0.2">
      <c r="A15" s="21"/>
      <c r="B15" s="22"/>
      <c r="C15" s="22"/>
      <c r="D15" s="23"/>
      <c r="E15" s="24"/>
      <c r="F15" s="24"/>
      <c r="G15" s="25"/>
      <c r="H15" s="26"/>
      <c r="I15" s="23"/>
      <c r="J15" s="22"/>
      <c r="N15" s="27"/>
      <c r="O15" s="5"/>
      <c r="P15" s="4"/>
      <c r="Q15" s="7"/>
      <c r="R15" s="2"/>
      <c r="S15" s="2"/>
      <c r="T15" s="6"/>
      <c r="U15" s="6"/>
      <c r="V15" s="6"/>
      <c r="W15" s="6"/>
      <c r="X15" s="6"/>
      <c r="Y15" s="6"/>
    </row>
    <row r="16" spans="1:25" ht="12.75" x14ac:dyDescent="0.2">
      <c r="A16" s="10"/>
      <c r="B16" s="1"/>
      <c r="D16" s="6"/>
      <c r="E16" s="9"/>
      <c r="F16" s="9"/>
      <c r="G16" s="11"/>
      <c r="H16" s="5"/>
      <c r="I16" s="6"/>
      <c r="N16" s="27"/>
      <c r="O16" s="5"/>
      <c r="P16" s="4"/>
      <c r="Q16" s="7"/>
      <c r="R16" s="2"/>
      <c r="S16" s="2"/>
      <c r="T16" s="6"/>
      <c r="U16" s="6"/>
      <c r="V16" s="6"/>
      <c r="W16" s="6"/>
      <c r="X16" s="6"/>
      <c r="Y16" s="6"/>
    </row>
    <row r="17" spans="1:25" ht="12.75" x14ac:dyDescent="0.2">
      <c r="A17" s="10"/>
      <c r="B17" s="1"/>
      <c r="D17" s="6"/>
      <c r="E17" s="9"/>
      <c r="F17" s="9"/>
      <c r="G17" s="11"/>
      <c r="H17" s="5"/>
      <c r="I17" s="6"/>
      <c r="K17" s="6"/>
      <c r="L17" s="6"/>
      <c r="M17" s="6"/>
      <c r="N17" s="27"/>
      <c r="O17" s="5"/>
      <c r="P17" s="4"/>
      <c r="R17" s="6"/>
      <c r="S17" s="6"/>
      <c r="T17" s="6"/>
      <c r="U17" s="6"/>
      <c r="V17" s="6"/>
      <c r="W17" s="6"/>
      <c r="X17" s="6"/>
      <c r="Y17" s="6"/>
    </row>
    <row r="18" spans="1:25" ht="12.75" x14ac:dyDescent="0.2">
      <c r="A18" s="10"/>
      <c r="B18" s="1"/>
      <c r="D18" s="6"/>
      <c r="E18" s="9"/>
      <c r="F18" s="9"/>
      <c r="G18" s="11"/>
      <c r="H18" s="5"/>
      <c r="I18" s="6"/>
      <c r="K18" s="9"/>
      <c r="L18" s="9"/>
      <c r="M18" s="9"/>
      <c r="N18" s="27"/>
      <c r="O18" s="5"/>
      <c r="P18" s="4"/>
      <c r="R18" s="6"/>
      <c r="S18" s="5"/>
      <c r="T18" s="5"/>
      <c r="U18" s="5"/>
      <c r="V18" s="5"/>
      <c r="W18" s="9"/>
      <c r="X18" s="5"/>
      <c r="Y18" s="5"/>
    </row>
    <row r="19" spans="1:25" ht="12.75" x14ac:dyDescent="0.2">
      <c r="A19" s="10"/>
      <c r="B19" s="1"/>
      <c r="D19" s="6"/>
      <c r="E19" s="9"/>
      <c r="F19" s="9"/>
      <c r="G19" s="11"/>
      <c r="H19" s="5"/>
      <c r="I19" s="6"/>
      <c r="K19" s="6"/>
      <c r="L19" s="6"/>
      <c r="M19" s="6"/>
      <c r="N19" s="27"/>
      <c r="O19" s="5"/>
      <c r="P19" s="4"/>
      <c r="Q19" s="7"/>
      <c r="R19" s="2"/>
      <c r="S19" s="6"/>
      <c r="T19" s="6"/>
      <c r="U19" s="6"/>
      <c r="V19" s="6"/>
      <c r="W19" s="6"/>
      <c r="X19" s="6"/>
      <c r="Y19" s="6"/>
    </row>
    <row r="20" spans="1:25" ht="12.75" x14ac:dyDescent="0.2">
      <c r="A20" s="10"/>
      <c r="D20" s="6"/>
      <c r="E20" s="9"/>
      <c r="F20" s="9"/>
      <c r="G20" s="11"/>
      <c r="H20" s="5"/>
      <c r="I20" s="6"/>
      <c r="K20" s="6"/>
      <c r="L20" s="6"/>
      <c r="M20" s="6"/>
      <c r="N20" s="27"/>
      <c r="O20" s="7"/>
      <c r="P20" s="2"/>
      <c r="S20" s="6"/>
      <c r="T20" s="6"/>
      <c r="U20" s="6"/>
      <c r="V20" s="6"/>
      <c r="W20" s="6"/>
      <c r="X20" s="6"/>
      <c r="Y20" s="6"/>
    </row>
    <row r="21" spans="1:25" ht="12.75" x14ac:dyDescent="0.2">
      <c r="A21" s="21"/>
      <c r="B21" s="22"/>
      <c r="C21" s="22"/>
      <c r="D21" s="23"/>
      <c r="E21" s="24"/>
      <c r="F21" s="24"/>
      <c r="G21" s="25"/>
      <c r="H21" s="26"/>
      <c r="I21" s="23"/>
      <c r="J21" s="22"/>
      <c r="K21" s="6"/>
      <c r="L21" s="6"/>
      <c r="M21" s="6"/>
      <c r="N21" s="27"/>
      <c r="O21" s="9"/>
      <c r="P21" s="9"/>
      <c r="Q21" s="9"/>
      <c r="R21" s="6"/>
      <c r="S21" s="6"/>
      <c r="T21" s="6"/>
      <c r="U21" s="6"/>
      <c r="V21" s="6"/>
      <c r="W21" s="6"/>
      <c r="X21" s="6"/>
      <c r="Y21" s="6"/>
    </row>
    <row r="22" spans="1:25" ht="12.75" x14ac:dyDescent="0.2">
      <c r="A22" s="21"/>
      <c r="B22" s="22"/>
      <c r="C22" s="22"/>
      <c r="D22" s="23"/>
      <c r="E22" s="24"/>
      <c r="F22" s="24"/>
      <c r="G22" s="25"/>
      <c r="H22" s="26"/>
      <c r="I22" s="23"/>
      <c r="J22" s="22"/>
      <c r="K22" s="6"/>
      <c r="L22" s="6"/>
      <c r="M22" s="6"/>
      <c r="N22" s="27"/>
      <c r="O22" s="6"/>
      <c r="P22" s="6"/>
      <c r="Q22" s="6"/>
      <c r="R22" s="6"/>
      <c r="S22" s="6"/>
      <c r="T22" s="6"/>
      <c r="U22" s="6"/>
      <c r="V22" s="6"/>
      <c r="W22" s="6"/>
      <c r="X22" s="6"/>
      <c r="Y22" s="6"/>
    </row>
    <row r="23" spans="1:25" ht="12.75" x14ac:dyDescent="0.2">
      <c r="A23" s="10"/>
      <c r="B23" s="1"/>
      <c r="D23" s="6"/>
      <c r="E23" s="9"/>
      <c r="F23" s="9"/>
      <c r="G23" s="11"/>
      <c r="H23" s="5"/>
      <c r="I23" s="6"/>
      <c r="K23" s="6"/>
      <c r="L23" s="6"/>
      <c r="M23" s="6"/>
      <c r="N23" s="27"/>
      <c r="O23" s="6"/>
      <c r="P23" s="6"/>
      <c r="Q23" s="6"/>
      <c r="R23" s="6"/>
      <c r="S23" s="6"/>
      <c r="T23" s="6"/>
      <c r="U23" s="6"/>
      <c r="V23" s="6"/>
      <c r="W23" s="6"/>
      <c r="X23" s="6"/>
      <c r="Y23" s="6"/>
    </row>
    <row r="24" spans="1:25" ht="12.75" x14ac:dyDescent="0.2">
      <c r="A24" s="10"/>
      <c r="D24" s="6"/>
      <c r="E24" s="9"/>
      <c r="F24" s="9"/>
      <c r="G24" s="11"/>
      <c r="H24" s="5"/>
      <c r="I24" s="6"/>
      <c r="K24" s="6"/>
      <c r="L24" s="6"/>
      <c r="M24" s="6"/>
      <c r="N24" s="27"/>
      <c r="O24" s="6"/>
      <c r="P24" s="6"/>
      <c r="Q24" s="6"/>
      <c r="R24" s="6"/>
      <c r="S24" s="6"/>
      <c r="T24" s="6"/>
      <c r="U24" s="6"/>
      <c r="V24" s="6"/>
      <c r="W24" s="6"/>
      <c r="X24" s="6"/>
      <c r="Y24" s="6"/>
    </row>
    <row r="25" spans="1:25" ht="12.75" x14ac:dyDescent="0.2">
      <c r="A25" s="10"/>
      <c r="B25" s="1"/>
      <c r="D25" s="6"/>
      <c r="E25" s="9"/>
      <c r="F25" s="9"/>
      <c r="G25" s="11"/>
      <c r="H25" s="5"/>
      <c r="I25" s="6"/>
      <c r="K25" s="6"/>
      <c r="L25" s="6"/>
      <c r="M25" s="6"/>
      <c r="N25" s="27"/>
      <c r="O25" s="6"/>
      <c r="P25" s="6"/>
      <c r="Q25" s="6"/>
      <c r="R25" s="6"/>
      <c r="S25" s="6"/>
      <c r="T25" s="6"/>
      <c r="U25" s="6"/>
      <c r="V25" s="6"/>
      <c r="W25" s="6"/>
      <c r="X25" s="6"/>
      <c r="Y25" s="6"/>
    </row>
    <row r="26" spans="1:25" ht="12.75" x14ac:dyDescent="0.2">
      <c r="A26" s="10"/>
      <c r="D26" s="6"/>
      <c r="E26" s="9"/>
      <c r="F26" s="9"/>
      <c r="G26" s="11"/>
      <c r="H26" s="5"/>
      <c r="I26" s="6"/>
      <c r="K26" s="6"/>
      <c r="L26" s="6"/>
      <c r="M26" s="6"/>
      <c r="N26" s="27"/>
      <c r="O26" s="6"/>
      <c r="P26" s="6"/>
      <c r="Q26" s="6"/>
      <c r="R26" s="6"/>
      <c r="S26" s="6"/>
      <c r="T26" s="6"/>
      <c r="U26" s="6"/>
      <c r="V26" s="6"/>
      <c r="W26" s="6"/>
      <c r="X26" s="6"/>
      <c r="Y26" s="6"/>
    </row>
    <row r="27" spans="1:25" ht="12.75" x14ac:dyDescent="0.2">
      <c r="A27" s="10"/>
      <c r="D27" s="6"/>
      <c r="E27" s="9"/>
      <c r="F27" s="9"/>
      <c r="G27" s="11"/>
      <c r="H27" s="5"/>
      <c r="I27" s="6"/>
      <c r="K27" s="6"/>
      <c r="L27" s="6"/>
      <c r="M27" s="6"/>
      <c r="N27" s="27"/>
      <c r="O27" s="6"/>
      <c r="P27" s="6"/>
      <c r="Q27" s="6"/>
      <c r="R27" s="6"/>
      <c r="S27" s="6"/>
      <c r="T27" s="6"/>
      <c r="U27" s="6"/>
      <c r="V27" s="6"/>
      <c r="W27" s="6"/>
      <c r="X27" s="6"/>
      <c r="Y27" s="6"/>
    </row>
    <row r="28" spans="1:25" ht="12.75" x14ac:dyDescent="0.2">
      <c r="A28" s="10"/>
      <c r="B28" s="1"/>
      <c r="D28" s="6"/>
      <c r="E28" s="9"/>
      <c r="F28" s="9"/>
      <c r="G28" s="11"/>
      <c r="H28" s="5"/>
      <c r="I28" s="6"/>
      <c r="K28" s="6"/>
      <c r="L28" s="6"/>
      <c r="M28" s="6"/>
      <c r="N28" s="6"/>
      <c r="O28" s="6"/>
      <c r="P28" s="6"/>
      <c r="Q28" s="6"/>
      <c r="R28" s="6"/>
      <c r="S28" s="6"/>
      <c r="T28" s="6"/>
      <c r="U28" s="6"/>
      <c r="V28" s="6"/>
      <c r="W28" s="6"/>
      <c r="X28" s="6"/>
      <c r="Y28" s="6"/>
    </row>
    <row r="29" spans="1:25" ht="12.75" x14ac:dyDescent="0.2">
      <c r="A29" s="10"/>
      <c r="B29" s="1"/>
      <c r="D29" s="6"/>
      <c r="E29" s="9"/>
      <c r="F29" s="9"/>
      <c r="G29" s="11"/>
      <c r="H29" s="5"/>
      <c r="I29" s="6"/>
      <c r="K29" s="6"/>
      <c r="L29" s="6"/>
      <c r="M29" s="6"/>
      <c r="N29" s="6"/>
      <c r="O29" s="6"/>
      <c r="P29" s="6"/>
      <c r="Q29" s="6"/>
      <c r="R29" s="6"/>
      <c r="S29" s="6"/>
      <c r="T29" s="6"/>
      <c r="U29" s="6"/>
      <c r="V29" s="6"/>
      <c r="W29" s="6"/>
      <c r="X29" s="6"/>
      <c r="Y29" s="6"/>
    </row>
    <row r="30" spans="1:25" ht="12.75" x14ac:dyDescent="0.2">
      <c r="A30" s="10"/>
      <c r="B30" s="1"/>
      <c r="D30" s="6"/>
      <c r="E30" s="9"/>
      <c r="F30" s="9"/>
      <c r="G30" s="11"/>
      <c r="H30" s="5"/>
      <c r="I30" s="6"/>
      <c r="K30" s="6"/>
      <c r="L30" s="6"/>
      <c r="M30" s="6"/>
      <c r="N30" s="6"/>
      <c r="O30" s="6"/>
      <c r="P30" s="6"/>
      <c r="Q30" s="6"/>
      <c r="R30" s="6"/>
      <c r="S30" s="6"/>
      <c r="T30" s="6"/>
      <c r="U30" s="6"/>
      <c r="V30" s="6"/>
      <c r="W30" s="6"/>
      <c r="X30" s="6"/>
      <c r="Y30" s="6"/>
    </row>
    <row r="31" spans="1:25" ht="12.75" x14ac:dyDescent="0.2">
      <c r="A31" s="10"/>
      <c r="B31" s="1"/>
      <c r="D31" s="6"/>
      <c r="E31" s="9"/>
      <c r="F31" s="9"/>
      <c r="G31" s="11"/>
      <c r="H31" s="5"/>
      <c r="I31" s="6"/>
      <c r="K31" s="6"/>
      <c r="L31" s="6"/>
      <c r="M31" s="6"/>
      <c r="N31" s="6"/>
      <c r="O31" s="6"/>
      <c r="P31" s="6"/>
      <c r="Q31" s="6"/>
      <c r="R31" s="6"/>
      <c r="S31" s="6"/>
      <c r="T31" s="6"/>
      <c r="U31" s="6"/>
      <c r="V31" s="6"/>
      <c r="W31" s="6"/>
      <c r="X31" s="6"/>
      <c r="Y31" s="6"/>
    </row>
    <row r="32" spans="1:25" ht="12.75" x14ac:dyDescent="0.2">
      <c r="A32" s="10"/>
      <c r="B32" s="1"/>
      <c r="D32" s="6"/>
      <c r="E32" s="9"/>
      <c r="F32" s="9"/>
      <c r="G32" s="11"/>
      <c r="H32" s="5"/>
      <c r="I32" s="6"/>
      <c r="K32" s="6"/>
      <c r="L32" s="6"/>
      <c r="M32" s="6"/>
      <c r="N32" s="6"/>
      <c r="O32" s="6"/>
      <c r="P32" s="6"/>
      <c r="Q32" s="6"/>
      <c r="R32" s="6"/>
      <c r="S32" s="6"/>
      <c r="T32" s="6"/>
      <c r="U32" s="6"/>
      <c r="V32" s="6"/>
      <c r="W32" s="6"/>
      <c r="X32" s="6"/>
      <c r="Y32" s="6"/>
    </row>
    <row r="33" spans="1:25" ht="12.75" x14ac:dyDescent="0.2">
      <c r="A33" s="10"/>
      <c r="B33" s="1"/>
      <c r="D33" s="6"/>
      <c r="E33" s="9"/>
      <c r="F33" s="9"/>
      <c r="G33" s="11"/>
      <c r="H33" s="5"/>
      <c r="I33" s="6"/>
      <c r="K33" s="6"/>
      <c r="L33" s="6"/>
      <c r="M33" s="6"/>
      <c r="N33" s="6"/>
      <c r="O33" s="6"/>
      <c r="P33" s="6"/>
      <c r="Q33" s="6"/>
      <c r="R33" s="6"/>
      <c r="S33" s="6"/>
      <c r="T33" s="6"/>
      <c r="U33" s="6"/>
      <c r="V33" s="6"/>
      <c r="W33" s="6"/>
      <c r="X33" s="6"/>
      <c r="Y33" s="6"/>
    </row>
    <row r="34" spans="1:25" ht="12.75" x14ac:dyDescent="0.2">
      <c r="A34" s="10"/>
      <c r="B34" s="1"/>
      <c r="D34" s="6"/>
      <c r="E34" s="9"/>
      <c r="F34" s="9"/>
      <c r="G34" s="11"/>
      <c r="H34" s="5"/>
      <c r="I34" s="6"/>
      <c r="K34" s="6"/>
      <c r="L34" s="6"/>
      <c r="M34" s="6"/>
      <c r="N34" s="6"/>
      <c r="O34" s="6"/>
      <c r="P34" s="6"/>
      <c r="Q34" s="6"/>
      <c r="R34" s="6"/>
      <c r="S34" s="6"/>
      <c r="T34" s="6"/>
      <c r="U34" s="6"/>
      <c r="V34" s="6"/>
      <c r="W34" s="6"/>
      <c r="X34" s="6"/>
      <c r="Y34" s="6"/>
    </row>
    <row r="35" spans="1:25" ht="12.75" x14ac:dyDescent="0.2">
      <c r="A35" s="10"/>
      <c r="B35" s="1"/>
      <c r="D35" s="6"/>
      <c r="E35" s="9"/>
      <c r="F35" s="9"/>
      <c r="G35" s="11"/>
      <c r="H35" s="5"/>
      <c r="I35" s="6"/>
      <c r="K35" s="6"/>
      <c r="L35" s="6"/>
      <c r="M35" s="6"/>
      <c r="N35" s="6"/>
      <c r="O35" s="6"/>
      <c r="P35" s="6"/>
      <c r="Q35" s="6"/>
      <c r="R35" s="6"/>
      <c r="S35" s="6"/>
      <c r="T35" s="6"/>
      <c r="U35" s="6"/>
      <c r="V35" s="6"/>
      <c r="W35" s="6"/>
      <c r="X35" s="6"/>
      <c r="Y35" s="6"/>
    </row>
    <row r="36" spans="1:25" ht="12.75" x14ac:dyDescent="0.2">
      <c r="A36" s="10"/>
      <c r="B36" s="1"/>
      <c r="D36" s="6"/>
      <c r="E36" s="9"/>
      <c r="F36" s="9"/>
      <c r="G36" s="11"/>
      <c r="H36" s="5"/>
      <c r="I36" s="6"/>
      <c r="K36" s="9"/>
      <c r="L36" s="9"/>
      <c r="M36" s="9"/>
      <c r="N36" s="6"/>
      <c r="O36" s="6"/>
      <c r="P36" s="6"/>
      <c r="Q36" s="6"/>
      <c r="R36" s="6"/>
      <c r="S36" s="5"/>
      <c r="T36" s="5"/>
      <c r="U36" s="5"/>
      <c r="V36" s="5"/>
      <c r="W36" s="9"/>
      <c r="X36" s="5"/>
      <c r="Y36" s="5"/>
    </row>
    <row r="37" spans="1:25" ht="12.75" x14ac:dyDescent="0.2">
      <c r="A37" s="10"/>
      <c r="B37" s="1"/>
      <c r="D37" s="6"/>
      <c r="E37" s="9"/>
      <c r="F37" s="9"/>
      <c r="G37" s="11"/>
      <c r="H37" s="5"/>
      <c r="I37" s="6"/>
      <c r="K37" s="6"/>
      <c r="L37" s="6"/>
      <c r="M37" s="6"/>
      <c r="N37" s="6"/>
      <c r="O37" s="6"/>
      <c r="P37" s="6"/>
      <c r="Q37" s="6"/>
      <c r="R37" s="6"/>
      <c r="S37" s="6"/>
      <c r="T37" s="6"/>
      <c r="U37" s="6"/>
      <c r="V37" s="6"/>
      <c r="W37" s="6"/>
      <c r="X37" s="6"/>
      <c r="Y37" s="6"/>
    </row>
    <row r="38" spans="1:25" ht="12.75" x14ac:dyDescent="0.2">
      <c r="A38" s="10"/>
      <c r="B38" s="1"/>
      <c r="D38" s="6"/>
      <c r="E38" s="9"/>
      <c r="F38" s="9"/>
      <c r="G38" s="11"/>
      <c r="H38" s="5"/>
      <c r="I38" s="6"/>
      <c r="K38" s="6"/>
      <c r="L38" s="6"/>
      <c r="M38" s="6"/>
      <c r="N38" s="6"/>
      <c r="O38" s="6"/>
      <c r="P38" s="6"/>
      <c r="Q38" s="6"/>
      <c r="R38" s="5"/>
      <c r="S38" s="6"/>
      <c r="T38" s="6"/>
      <c r="U38" s="6"/>
      <c r="V38" s="6"/>
      <c r="W38" s="6"/>
      <c r="X38" s="6"/>
      <c r="Y38" s="6"/>
    </row>
    <row r="39" spans="1:25" ht="12.75" x14ac:dyDescent="0.2">
      <c r="A39" s="10"/>
      <c r="B39" s="1"/>
      <c r="D39" s="6"/>
      <c r="E39" s="9"/>
      <c r="F39" s="9"/>
      <c r="G39" s="11"/>
      <c r="H39" s="5"/>
      <c r="I39" s="6"/>
      <c r="K39" s="6"/>
      <c r="L39" s="6"/>
      <c r="M39" s="6"/>
      <c r="N39" s="9"/>
      <c r="O39" s="9"/>
      <c r="P39" s="6"/>
      <c r="Q39" s="9"/>
      <c r="R39" s="6"/>
      <c r="S39" s="6"/>
      <c r="T39" s="6"/>
      <c r="U39" s="6"/>
      <c r="V39" s="6"/>
      <c r="W39" s="6"/>
      <c r="X39" s="6"/>
      <c r="Y39" s="6"/>
    </row>
    <row r="40" spans="1:25" ht="12.75" x14ac:dyDescent="0.2">
      <c r="A40" s="10"/>
      <c r="B40" s="1"/>
      <c r="D40" s="6"/>
      <c r="E40" s="9"/>
      <c r="F40" s="9"/>
      <c r="G40" s="11"/>
      <c r="H40" s="5"/>
      <c r="I40" s="6"/>
      <c r="K40" s="6"/>
      <c r="L40" s="6"/>
      <c r="M40" s="6"/>
      <c r="N40" s="6"/>
      <c r="O40" s="6"/>
      <c r="P40" s="6"/>
      <c r="Q40" s="6"/>
      <c r="R40" s="6"/>
      <c r="S40" s="6"/>
      <c r="T40" s="6"/>
      <c r="U40" s="6"/>
      <c r="V40" s="6"/>
      <c r="W40" s="6"/>
      <c r="X40" s="6"/>
      <c r="Y40" s="6"/>
    </row>
    <row r="41" spans="1:25" ht="12.75" x14ac:dyDescent="0.2">
      <c r="A41" s="10"/>
      <c r="B41" s="1"/>
      <c r="D41" s="6"/>
      <c r="E41" s="9"/>
      <c r="F41" s="9"/>
      <c r="G41" s="11"/>
      <c r="H41" s="5"/>
      <c r="I41" s="6"/>
      <c r="K41" s="6"/>
      <c r="L41" s="6"/>
      <c r="M41" s="6"/>
      <c r="N41" s="6"/>
      <c r="O41" s="6"/>
      <c r="P41" s="6"/>
      <c r="Q41" s="6"/>
      <c r="R41" s="6"/>
      <c r="S41" s="6"/>
      <c r="T41" s="6"/>
      <c r="U41" s="6"/>
      <c r="V41" s="6"/>
      <c r="W41" s="6"/>
      <c r="X41" s="6"/>
      <c r="Y41" s="6"/>
    </row>
    <row r="42" spans="1:25" ht="12.75" x14ac:dyDescent="0.2">
      <c r="A42" s="10"/>
      <c r="B42" s="1"/>
      <c r="D42" s="6"/>
      <c r="E42" s="9"/>
      <c r="F42" s="9"/>
      <c r="G42" s="11"/>
      <c r="H42" s="5"/>
      <c r="I42" s="6"/>
      <c r="K42" s="6"/>
      <c r="L42" s="6"/>
      <c r="M42" s="6"/>
      <c r="N42" s="6"/>
      <c r="O42" s="6"/>
      <c r="P42" s="6"/>
      <c r="Q42" s="6"/>
      <c r="R42" s="6"/>
      <c r="S42" s="6"/>
      <c r="T42" s="6"/>
      <c r="U42" s="6"/>
      <c r="V42" s="6"/>
      <c r="W42" s="6"/>
      <c r="X42" s="6"/>
      <c r="Y42" s="6"/>
    </row>
    <row r="43" spans="1:25" ht="12.75" x14ac:dyDescent="0.2">
      <c r="A43" s="10"/>
      <c r="B43" s="1"/>
      <c r="D43" s="6"/>
      <c r="E43" s="9"/>
      <c r="F43" s="9"/>
      <c r="G43" s="11"/>
      <c r="H43" s="5"/>
      <c r="I43" s="6"/>
      <c r="K43" s="6"/>
      <c r="L43" s="6"/>
      <c r="M43" s="6"/>
      <c r="N43" s="6"/>
      <c r="O43" s="6"/>
      <c r="P43" s="6"/>
      <c r="Q43" s="6"/>
      <c r="R43" s="6"/>
      <c r="S43" s="6"/>
      <c r="T43" s="6"/>
      <c r="U43" s="6"/>
      <c r="V43" s="6"/>
      <c r="W43" s="6"/>
      <c r="X43" s="6"/>
      <c r="Y43" s="6"/>
    </row>
    <row r="44" spans="1:25" ht="12.75" x14ac:dyDescent="0.2">
      <c r="A44" s="10"/>
      <c r="B44" s="1"/>
      <c r="D44" s="6"/>
      <c r="E44" s="9"/>
      <c r="F44" s="9"/>
      <c r="G44" s="11"/>
      <c r="H44" s="5"/>
      <c r="I44" s="6"/>
      <c r="K44" s="6"/>
      <c r="L44" s="6"/>
      <c r="M44" s="6"/>
      <c r="N44" s="6"/>
      <c r="O44" s="6"/>
      <c r="P44" s="6"/>
      <c r="Q44" s="6"/>
      <c r="R44" s="6"/>
      <c r="S44" s="6"/>
      <c r="T44" s="6"/>
      <c r="U44" s="6"/>
      <c r="V44" s="6"/>
      <c r="W44" s="6"/>
      <c r="X44" s="6"/>
      <c r="Y44" s="6"/>
    </row>
    <row r="45" spans="1:25" ht="12.75" x14ac:dyDescent="0.2">
      <c r="A45" s="10"/>
      <c r="B45" s="1"/>
      <c r="D45" s="6"/>
      <c r="E45" s="9"/>
      <c r="F45" s="9"/>
      <c r="G45" s="11"/>
      <c r="H45" s="5"/>
      <c r="I45" s="6"/>
      <c r="K45" s="6"/>
      <c r="L45" s="6"/>
      <c r="M45" s="6"/>
      <c r="N45" s="6"/>
      <c r="O45" s="6"/>
      <c r="P45" s="6"/>
      <c r="Q45" s="6"/>
      <c r="R45" s="6"/>
      <c r="S45" s="6"/>
      <c r="T45" s="6"/>
      <c r="U45" s="6"/>
      <c r="V45" s="6"/>
      <c r="W45" s="6"/>
      <c r="X45" s="6"/>
      <c r="Y45" s="6"/>
    </row>
    <row r="46" spans="1:25" ht="12.75" x14ac:dyDescent="0.2">
      <c r="A46" s="10"/>
      <c r="B46" s="1"/>
      <c r="D46" s="6"/>
      <c r="E46" s="9"/>
      <c r="F46" s="9"/>
      <c r="G46" s="11"/>
      <c r="H46" s="5"/>
      <c r="I46" s="6"/>
      <c r="K46" s="6"/>
      <c r="L46" s="6"/>
      <c r="M46" s="6"/>
      <c r="N46" s="6"/>
      <c r="O46" s="6"/>
      <c r="P46" s="6"/>
      <c r="Q46" s="6"/>
      <c r="R46" s="6"/>
      <c r="S46" s="6"/>
      <c r="T46" s="6"/>
      <c r="U46" s="6"/>
      <c r="V46" s="6"/>
      <c r="W46" s="6"/>
      <c r="X46" s="6"/>
      <c r="Y46" s="6"/>
    </row>
    <row r="47" spans="1:25" ht="12.75" x14ac:dyDescent="0.2">
      <c r="A47" s="10"/>
      <c r="B47" s="1"/>
      <c r="D47" s="6"/>
      <c r="E47" s="9"/>
      <c r="F47" s="9"/>
      <c r="G47" s="11"/>
      <c r="H47" s="5"/>
      <c r="I47" s="6"/>
      <c r="K47" s="6"/>
      <c r="L47" s="6"/>
      <c r="M47" s="6"/>
      <c r="N47" s="6"/>
      <c r="O47" s="6"/>
      <c r="P47" s="6"/>
      <c r="Q47" s="6"/>
      <c r="R47" s="6"/>
      <c r="S47" s="6"/>
      <c r="T47" s="6"/>
      <c r="U47" s="6"/>
      <c r="V47" s="6"/>
      <c r="W47" s="6"/>
      <c r="X47" s="6"/>
      <c r="Y47" s="6"/>
    </row>
    <row r="48" spans="1:25" ht="12.75" x14ac:dyDescent="0.2">
      <c r="A48" s="10"/>
      <c r="B48" s="1"/>
      <c r="D48" s="6"/>
      <c r="E48" s="9"/>
      <c r="F48" s="9"/>
      <c r="G48" s="11"/>
      <c r="H48" s="5"/>
      <c r="I48" s="6"/>
      <c r="K48" s="6"/>
      <c r="L48" s="6"/>
      <c r="M48" s="6"/>
      <c r="N48" s="6"/>
      <c r="O48" s="6"/>
      <c r="P48" s="6"/>
      <c r="Q48" s="6"/>
      <c r="R48" s="6"/>
      <c r="S48" s="6"/>
      <c r="T48" s="6"/>
      <c r="U48" s="6"/>
      <c r="V48" s="6"/>
      <c r="W48" s="6"/>
      <c r="X48" s="6"/>
      <c r="Y48" s="6"/>
    </row>
    <row r="49" spans="1:25" ht="12.75" x14ac:dyDescent="0.2">
      <c r="A49" s="10"/>
      <c r="B49" s="1"/>
      <c r="D49" s="6"/>
      <c r="E49" s="9"/>
      <c r="F49" s="9"/>
      <c r="G49" s="11"/>
      <c r="H49" s="5"/>
      <c r="I49" s="6"/>
      <c r="K49" s="6"/>
      <c r="L49" s="6"/>
      <c r="M49" s="6"/>
      <c r="N49" s="6"/>
      <c r="O49" s="6"/>
      <c r="P49" s="6"/>
      <c r="Q49" s="6"/>
      <c r="R49" s="6"/>
      <c r="S49" s="6"/>
      <c r="T49" s="6"/>
      <c r="U49" s="6"/>
      <c r="V49" s="6"/>
      <c r="W49" s="6"/>
      <c r="X49" s="6"/>
      <c r="Y49" s="6"/>
    </row>
    <row r="50" spans="1:25" ht="12.75" x14ac:dyDescent="0.2">
      <c r="A50" s="10"/>
      <c r="B50" s="1"/>
      <c r="D50" s="6"/>
      <c r="E50" s="9"/>
      <c r="F50" s="9"/>
      <c r="G50" s="11"/>
      <c r="H50" s="5"/>
      <c r="I50" s="6"/>
      <c r="K50" s="9"/>
      <c r="L50" s="9"/>
      <c r="M50" s="9"/>
      <c r="N50" s="6"/>
      <c r="O50" s="6"/>
      <c r="P50" s="6"/>
      <c r="Q50" s="6"/>
      <c r="R50" s="6"/>
      <c r="S50" s="5"/>
      <c r="T50" s="5"/>
      <c r="U50" s="5"/>
      <c r="V50" s="5"/>
      <c r="W50" s="9"/>
      <c r="X50" s="5"/>
      <c r="Y50" s="5"/>
    </row>
    <row r="51" spans="1:25" ht="12.75" x14ac:dyDescent="0.2">
      <c r="A51" s="10"/>
      <c r="B51" s="1"/>
      <c r="D51" s="6"/>
      <c r="E51" s="9"/>
      <c r="F51" s="9"/>
      <c r="G51" s="11"/>
      <c r="H51" s="5"/>
      <c r="I51" s="6"/>
      <c r="K51" s="6"/>
      <c r="L51" s="6"/>
      <c r="M51" s="6"/>
      <c r="N51" s="6"/>
      <c r="O51" s="6"/>
      <c r="P51" s="6"/>
      <c r="Q51" s="6"/>
      <c r="R51" s="6"/>
      <c r="S51" s="6"/>
      <c r="T51" s="6"/>
      <c r="U51" s="6"/>
      <c r="V51" s="6"/>
      <c r="W51" s="6"/>
      <c r="X51" s="6"/>
      <c r="Y51" s="6"/>
    </row>
    <row r="52" spans="1:25" ht="12.75" x14ac:dyDescent="0.2">
      <c r="A52" s="10"/>
      <c r="B52" s="1"/>
      <c r="D52" s="6"/>
      <c r="E52" s="9"/>
      <c r="F52" s="9"/>
      <c r="G52" s="11"/>
      <c r="H52" s="5"/>
      <c r="I52" s="6"/>
      <c r="K52" s="6"/>
      <c r="L52" s="6"/>
      <c r="M52" s="6"/>
      <c r="N52" s="6"/>
      <c r="O52" s="6"/>
      <c r="P52" s="6"/>
      <c r="Q52" s="6"/>
      <c r="R52" s="5"/>
      <c r="S52" s="6"/>
      <c r="T52" s="6"/>
      <c r="U52" s="6"/>
      <c r="V52" s="6"/>
      <c r="W52" s="6"/>
      <c r="X52" s="6"/>
      <c r="Y52" s="6"/>
    </row>
    <row r="53" spans="1:25" ht="12.75" x14ac:dyDescent="0.2">
      <c r="A53" s="10"/>
      <c r="B53" s="1"/>
      <c r="D53" s="6"/>
      <c r="E53" s="9"/>
      <c r="F53" s="9"/>
      <c r="G53" s="11"/>
      <c r="H53" s="5"/>
      <c r="I53" s="6"/>
      <c r="K53" s="6"/>
      <c r="L53" s="6"/>
      <c r="M53" s="6"/>
      <c r="N53" s="9"/>
      <c r="O53" s="9"/>
      <c r="P53" s="9"/>
      <c r="Q53" s="9"/>
      <c r="R53" s="6"/>
      <c r="S53" s="6"/>
      <c r="T53" s="6"/>
      <c r="U53" s="6"/>
      <c r="V53" s="6"/>
      <c r="W53" s="6"/>
      <c r="X53" s="6"/>
      <c r="Y53" s="6"/>
    </row>
    <row r="54" spans="1:25" ht="12.75" x14ac:dyDescent="0.2">
      <c r="A54" s="10"/>
      <c r="B54" s="1"/>
      <c r="D54" s="6"/>
      <c r="E54" s="9"/>
      <c r="F54" s="9"/>
      <c r="G54" s="11"/>
      <c r="H54" s="5"/>
      <c r="I54" s="6"/>
      <c r="K54" s="6"/>
      <c r="L54" s="6"/>
      <c r="M54" s="6"/>
      <c r="N54" s="6"/>
      <c r="O54" s="6"/>
      <c r="P54" s="6"/>
      <c r="Q54" s="6"/>
      <c r="R54" s="6"/>
      <c r="S54" s="6"/>
      <c r="T54" s="6"/>
      <c r="U54" s="6"/>
      <c r="V54" s="6"/>
      <c r="W54" s="6"/>
      <c r="X54" s="6"/>
      <c r="Y54" s="6"/>
    </row>
    <row r="55" spans="1:25" ht="12.75" x14ac:dyDescent="0.2">
      <c r="A55" s="10"/>
      <c r="B55" s="1"/>
      <c r="D55" s="6"/>
      <c r="E55" s="9"/>
      <c r="F55" s="9"/>
      <c r="G55" s="11"/>
      <c r="H55" s="5"/>
      <c r="I55" s="6"/>
      <c r="K55" s="6"/>
      <c r="L55" s="6"/>
      <c r="M55" s="6"/>
      <c r="N55" s="6"/>
      <c r="O55" s="6"/>
      <c r="P55" s="6"/>
      <c r="Q55" s="6"/>
      <c r="R55" s="6"/>
      <c r="S55" s="6"/>
      <c r="T55" s="6"/>
      <c r="U55" s="6"/>
      <c r="V55" s="6"/>
      <c r="W55" s="6"/>
      <c r="X55" s="6"/>
      <c r="Y55" s="6"/>
    </row>
    <row r="56" spans="1:25" ht="12.75" x14ac:dyDescent="0.2">
      <c r="A56" s="10"/>
      <c r="B56" s="1"/>
      <c r="D56" s="6"/>
      <c r="E56" s="9"/>
      <c r="F56" s="9"/>
      <c r="G56" s="11"/>
      <c r="H56" s="5"/>
      <c r="I56" s="6"/>
      <c r="K56" s="6"/>
      <c r="L56" s="6"/>
      <c r="M56" s="6"/>
      <c r="N56" s="6"/>
      <c r="O56" s="6"/>
      <c r="P56" s="6"/>
      <c r="Q56" s="6"/>
      <c r="R56" s="6"/>
      <c r="S56" s="6"/>
      <c r="T56" s="6"/>
      <c r="U56" s="6"/>
      <c r="V56" s="6"/>
      <c r="W56" s="6"/>
      <c r="X56" s="6"/>
      <c r="Y56" s="6"/>
    </row>
    <row r="57" spans="1:25" ht="12.75" x14ac:dyDescent="0.2">
      <c r="A57" s="10"/>
      <c r="B57" s="6"/>
      <c r="C57" s="6"/>
      <c r="D57" s="6"/>
      <c r="E57" s="9"/>
      <c r="F57" s="9"/>
      <c r="G57" s="11"/>
      <c r="H57" s="5"/>
      <c r="I57" s="6"/>
      <c r="J57" s="6"/>
      <c r="K57" s="6"/>
      <c r="L57" s="6"/>
      <c r="M57" s="6"/>
      <c r="N57" s="6"/>
      <c r="O57" s="6"/>
      <c r="P57" s="6"/>
      <c r="Q57" s="6"/>
      <c r="R57" s="6"/>
      <c r="S57" s="6"/>
      <c r="T57" s="6"/>
      <c r="U57" s="6"/>
      <c r="V57" s="6"/>
      <c r="W57" s="6"/>
      <c r="X57" s="6"/>
      <c r="Y57" s="6"/>
    </row>
    <row r="58" spans="1:25" ht="12.75" x14ac:dyDescent="0.2">
      <c r="A58" s="10"/>
      <c r="B58" s="6"/>
      <c r="C58" s="6"/>
      <c r="D58" s="6"/>
      <c r="E58" s="9"/>
      <c r="F58" s="9"/>
      <c r="G58" s="11"/>
      <c r="H58" s="5"/>
      <c r="I58" s="6"/>
      <c r="J58" s="6"/>
      <c r="K58" s="6"/>
      <c r="L58" s="6"/>
      <c r="M58" s="6"/>
      <c r="N58" s="6"/>
      <c r="O58" s="6"/>
      <c r="P58" s="6"/>
      <c r="Q58" s="6"/>
      <c r="R58" s="6"/>
      <c r="S58" s="6"/>
      <c r="T58" s="6"/>
      <c r="U58" s="6"/>
      <c r="V58" s="6"/>
      <c r="W58" s="6"/>
      <c r="X58" s="6"/>
      <c r="Y58" s="6"/>
    </row>
    <row r="59" spans="1:25" ht="12.75" x14ac:dyDescent="0.2">
      <c r="A59" s="10"/>
      <c r="B59" s="6"/>
      <c r="C59" s="6"/>
      <c r="D59" s="6"/>
      <c r="E59" s="9"/>
      <c r="F59" s="9"/>
      <c r="G59" s="11"/>
      <c r="H59" s="5"/>
      <c r="I59" s="6"/>
      <c r="J59" s="6"/>
      <c r="K59" s="6"/>
      <c r="L59" s="6"/>
      <c r="M59" s="6"/>
      <c r="N59" s="6"/>
      <c r="O59" s="6"/>
      <c r="P59" s="6"/>
      <c r="Q59" s="6"/>
      <c r="R59" s="6"/>
      <c r="S59" s="6"/>
      <c r="T59" s="6"/>
      <c r="U59" s="6"/>
      <c r="V59" s="6"/>
      <c r="W59" s="6"/>
      <c r="X59" s="6"/>
      <c r="Y59" s="6"/>
    </row>
    <row r="60" spans="1:25" ht="12.75" x14ac:dyDescent="0.2">
      <c r="A60" s="10"/>
      <c r="B60" s="6"/>
      <c r="C60" s="6"/>
      <c r="D60" s="6"/>
      <c r="E60" s="9"/>
      <c r="F60" s="9"/>
      <c r="G60" s="11"/>
      <c r="H60" s="5"/>
      <c r="I60" s="6"/>
      <c r="J60" s="6"/>
      <c r="K60" s="6"/>
      <c r="L60" s="6"/>
      <c r="M60" s="6"/>
      <c r="N60" s="6"/>
      <c r="O60" s="6"/>
      <c r="P60" s="6"/>
      <c r="Q60" s="6"/>
      <c r="R60" s="6"/>
      <c r="S60" s="6"/>
      <c r="T60" s="6"/>
      <c r="U60" s="6"/>
      <c r="V60" s="6"/>
      <c r="W60" s="6"/>
      <c r="X60" s="6"/>
      <c r="Y60" s="6"/>
    </row>
    <row r="61" spans="1:25" ht="12.75" x14ac:dyDescent="0.2">
      <c r="A61" s="10"/>
      <c r="B61" s="6"/>
      <c r="C61" s="6"/>
      <c r="D61" s="6"/>
      <c r="E61" s="9"/>
      <c r="F61" s="9"/>
      <c r="G61" s="11"/>
      <c r="H61" s="5"/>
      <c r="I61" s="6"/>
      <c r="J61" s="6"/>
      <c r="K61" s="6"/>
      <c r="L61" s="6"/>
      <c r="M61" s="6"/>
      <c r="N61" s="6"/>
      <c r="O61" s="6"/>
      <c r="P61" s="6"/>
      <c r="Q61" s="6"/>
      <c r="R61" s="6"/>
      <c r="S61" s="6"/>
      <c r="T61" s="6"/>
      <c r="U61" s="6"/>
      <c r="V61" s="6"/>
      <c r="W61" s="6"/>
      <c r="X61" s="6"/>
      <c r="Y61" s="6"/>
    </row>
    <row r="62" spans="1:25" ht="12.75" x14ac:dyDescent="0.2">
      <c r="A62" s="10"/>
      <c r="B62" s="6"/>
      <c r="C62" s="6"/>
      <c r="D62" s="6"/>
      <c r="E62" s="9"/>
      <c r="F62" s="9"/>
      <c r="G62" s="11"/>
      <c r="H62" s="5"/>
      <c r="I62" s="6"/>
      <c r="J62" s="6"/>
      <c r="K62" s="6"/>
      <c r="L62" s="6"/>
      <c r="M62" s="6"/>
      <c r="N62" s="6"/>
      <c r="O62" s="6"/>
      <c r="P62" s="6"/>
      <c r="Q62" s="6"/>
      <c r="R62" s="6"/>
      <c r="S62" s="6"/>
      <c r="T62" s="6"/>
      <c r="U62" s="6"/>
      <c r="V62" s="6"/>
      <c r="W62" s="6"/>
      <c r="X62" s="6"/>
      <c r="Y62" s="6"/>
    </row>
    <row r="63" spans="1:25" ht="12.75" x14ac:dyDescent="0.2">
      <c r="A63" s="10"/>
      <c r="B63" s="6"/>
      <c r="C63" s="6"/>
      <c r="D63" s="6"/>
      <c r="E63" s="9"/>
      <c r="F63" s="9"/>
      <c r="G63" s="11"/>
      <c r="H63" s="5"/>
      <c r="I63" s="6"/>
      <c r="J63" s="6"/>
      <c r="K63" s="6"/>
      <c r="L63" s="6"/>
      <c r="M63" s="6"/>
      <c r="N63" s="6"/>
      <c r="O63" s="6"/>
      <c r="P63" s="6"/>
      <c r="Q63" s="6"/>
      <c r="R63" s="6"/>
      <c r="S63" s="6"/>
      <c r="T63" s="6"/>
      <c r="U63" s="6"/>
      <c r="V63" s="6"/>
      <c r="W63" s="6"/>
      <c r="X63" s="6"/>
      <c r="Y63" s="6"/>
    </row>
    <row r="64" spans="1:25" ht="12.75" x14ac:dyDescent="0.2">
      <c r="A64" s="10"/>
      <c r="B64" s="6"/>
      <c r="C64" s="6"/>
      <c r="D64" s="6"/>
      <c r="E64" s="9"/>
      <c r="F64" s="9"/>
      <c r="G64" s="11"/>
      <c r="H64" s="5"/>
      <c r="I64" s="6"/>
      <c r="J64" s="6"/>
      <c r="K64" s="6"/>
      <c r="L64" s="6"/>
      <c r="M64" s="6"/>
      <c r="N64" s="6"/>
      <c r="O64" s="6"/>
      <c r="P64" s="6"/>
      <c r="Q64" s="6"/>
      <c r="R64" s="6"/>
      <c r="S64" s="6"/>
      <c r="T64" s="6"/>
      <c r="U64" s="6"/>
      <c r="V64" s="6"/>
      <c r="W64" s="6"/>
      <c r="X64" s="6"/>
      <c r="Y64" s="6"/>
    </row>
    <row r="65" spans="1:25" ht="12.75" x14ac:dyDescent="0.2">
      <c r="A65" s="10"/>
      <c r="B65" s="6"/>
      <c r="C65" s="6"/>
      <c r="D65" s="6"/>
      <c r="E65" s="9"/>
      <c r="F65" s="9"/>
      <c r="G65" s="11"/>
      <c r="H65" s="5"/>
      <c r="I65" s="6"/>
      <c r="J65" s="6"/>
      <c r="K65" s="6"/>
      <c r="L65" s="6"/>
      <c r="M65" s="6"/>
      <c r="N65" s="6"/>
      <c r="O65" s="6"/>
      <c r="P65" s="6"/>
      <c r="Q65" s="6"/>
      <c r="R65" s="6"/>
      <c r="S65" s="6"/>
      <c r="T65" s="6"/>
      <c r="U65" s="6"/>
      <c r="V65" s="6"/>
      <c r="W65" s="6"/>
      <c r="X65" s="6"/>
      <c r="Y65" s="6"/>
    </row>
    <row r="66" spans="1:25" ht="12.75" x14ac:dyDescent="0.2">
      <c r="A66" s="10"/>
      <c r="B66" s="6"/>
      <c r="C66" s="6"/>
      <c r="D66" s="6"/>
      <c r="E66" s="9"/>
      <c r="F66" s="9"/>
      <c r="G66" s="11"/>
      <c r="H66" s="5"/>
      <c r="I66" s="6"/>
      <c r="J66" s="6"/>
      <c r="K66" s="6"/>
      <c r="L66" s="6"/>
      <c r="M66" s="6"/>
      <c r="N66" s="6"/>
      <c r="O66" s="6"/>
      <c r="P66" s="6"/>
      <c r="Q66" s="6"/>
      <c r="R66" s="6"/>
      <c r="S66" s="6"/>
      <c r="T66" s="6"/>
      <c r="U66" s="6"/>
      <c r="V66" s="6"/>
      <c r="W66" s="6"/>
      <c r="X66" s="6"/>
      <c r="Y66" s="6"/>
    </row>
    <row r="67" spans="1:25" ht="12.75" x14ac:dyDescent="0.2">
      <c r="A67" s="10"/>
      <c r="B67" s="6"/>
      <c r="C67" s="6"/>
      <c r="D67" s="6"/>
      <c r="E67" s="9"/>
      <c r="F67" s="9"/>
      <c r="G67" s="11"/>
      <c r="H67" s="5"/>
      <c r="I67" s="6"/>
      <c r="J67" s="6"/>
      <c r="K67" s="6"/>
      <c r="L67" s="6"/>
      <c r="M67" s="6"/>
      <c r="N67" s="6"/>
      <c r="O67" s="6"/>
      <c r="P67" s="6"/>
      <c r="Q67" s="6"/>
      <c r="R67" s="6"/>
      <c r="S67" s="6"/>
      <c r="T67" s="6"/>
      <c r="U67" s="6"/>
      <c r="V67" s="6"/>
      <c r="W67" s="6"/>
      <c r="X67" s="6"/>
      <c r="Y67" s="6"/>
    </row>
    <row r="68" spans="1:25" ht="12.75" x14ac:dyDescent="0.2">
      <c r="A68" s="10"/>
      <c r="B68" s="6"/>
      <c r="C68" s="6"/>
      <c r="D68" s="6"/>
      <c r="E68" s="9"/>
      <c r="F68" s="9"/>
      <c r="G68" s="11"/>
      <c r="H68" s="5"/>
      <c r="I68" s="6"/>
      <c r="J68" s="6"/>
      <c r="K68" s="9"/>
      <c r="L68" s="9"/>
      <c r="M68" s="9"/>
      <c r="N68" s="6"/>
      <c r="O68" s="6"/>
      <c r="P68" s="6"/>
      <c r="Q68" s="6"/>
      <c r="R68" s="6"/>
      <c r="S68" s="5"/>
      <c r="T68" s="5"/>
      <c r="U68" s="5"/>
      <c r="V68" s="5"/>
      <c r="W68" s="9"/>
      <c r="X68" s="5"/>
      <c r="Y68" s="5"/>
    </row>
    <row r="69" spans="1:25" ht="12.75" x14ac:dyDescent="0.2">
      <c r="A69" s="10"/>
      <c r="B69" s="6"/>
      <c r="C69" s="6"/>
      <c r="D69" s="6"/>
      <c r="E69" s="9"/>
      <c r="F69" s="9"/>
      <c r="G69" s="11"/>
      <c r="H69" s="5"/>
      <c r="I69" s="6"/>
      <c r="J69" s="6"/>
      <c r="K69" s="6"/>
      <c r="L69" s="6"/>
      <c r="M69" s="6"/>
      <c r="N69" s="6"/>
      <c r="O69" s="6"/>
      <c r="P69" s="6"/>
      <c r="Q69" s="6"/>
      <c r="R69" s="6"/>
      <c r="S69" s="6"/>
      <c r="T69" s="6"/>
      <c r="U69" s="6"/>
      <c r="V69" s="6"/>
      <c r="W69" s="6"/>
      <c r="X69" s="6"/>
      <c r="Y69" s="6"/>
    </row>
    <row r="70" spans="1:25" ht="12.75" x14ac:dyDescent="0.2">
      <c r="A70" s="10"/>
      <c r="B70" s="6"/>
      <c r="C70" s="6"/>
      <c r="D70" s="6"/>
      <c r="E70" s="9"/>
      <c r="F70" s="9"/>
      <c r="G70" s="11"/>
      <c r="H70" s="5"/>
      <c r="I70" s="6"/>
      <c r="J70" s="6"/>
      <c r="K70" s="6"/>
      <c r="L70" s="6"/>
      <c r="M70" s="6"/>
      <c r="N70" s="6"/>
      <c r="O70" s="6"/>
      <c r="P70" s="6"/>
      <c r="Q70" s="6"/>
      <c r="R70" s="5"/>
      <c r="S70" s="6"/>
      <c r="T70" s="6"/>
      <c r="U70" s="6"/>
      <c r="V70" s="6"/>
      <c r="W70" s="6"/>
      <c r="X70" s="6"/>
      <c r="Y70" s="6"/>
    </row>
    <row r="71" spans="1:25" ht="12.75" x14ac:dyDescent="0.2">
      <c r="A71" s="10"/>
      <c r="B71" s="6"/>
      <c r="C71" s="6"/>
      <c r="D71" s="6"/>
      <c r="E71" s="9"/>
      <c r="F71" s="9"/>
      <c r="G71" s="11"/>
      <c r="H71" s="5"/>
      <c r="I71" s="6"/>
      <c r="J71" s="6"/>
      <c r="K71" s="6"/>
      <c r="L71" s="6"/>
      <c r="M71" s="6"/>
      <c r="N71" s="9"/>
      <c r="O71" s="9"/>
      <c r="P71" s="9"/>
      <c r="Q71" s="9"/>
      <c r="R71" s="6"/>
      <c r="S71" s="6"/>
      <c r="T71" s="6"/>
      <c r="U71" s="6"/>
      <c r="V71" s="6"/>
      <c r="W71" s="6"/>
      <c r="X71" s="6"/>
      <c r="Y71" s="6"/>
    </row>
    <row r="72" spans="1:25" ht="12.75" x14ac:dyDescent="0.2">
      <c r="A72" s="10"/>
      <c r="B72" s="6"/>
      <c r="C72" s="6"/>
      <c r="D72" s="6"/>
      <c r="E72" s="9"/>
      <c r="F72" s="9"/>
      <c r="G72" s="11"/>
      <c r="H72" s="5"/>
      <c r="I72" s="6"/>
      <c r="J72" s="6"/>
      <c r="K72" s="6"/>
      <c r="L72" s="6"/>
      <c r="M72" s="6"/>
      <c r="N72" s="6"/>
      <c r="O72" s="6"/>
      <c r="P72" s="6"/>
      <c r="Q72" s="6"/>
      <c r="R72" s="6"/>
      <c r="S72" s="6"/>
      <c r="T72" s="6"/>
      <c r="U72" s="6"/>
      <c r="V72" s="6"/>
      <c r="W72" s="6"/>
      <c r="X72" s="6"/>
      <c r="Y72" s="6"/>
    </row>
    <row r="73" spans="1:25" ht="12.75" x14ac:dyDescent="0.2">
      <c r="A73" s="10"/>
      <c r="B73" s="6"/>
      <c r="C73" s="6"/>
      <c r="D73" s="6"/>
      <c r="E73" s="9"/>
      <c r="F73" s="9"/>
      <c r="G73" s="11"/>
      <c r="H73" s="5"/>
      <c r="I73" s="6"/>
      <c r="J73" s="6"/>
      <c r="K73" s="6"/>
      <c r="L73" s="6"/>
      <c r="M73" s="6"/>
      <c r="N73" s="6"/>
      <c r="O73" s="6"/>
      <c r="P73" s="6"/>
      <c r="Q73" s="6"/>
      <c r="R73" s="6"/>
      <c r="S73" s="6"/>
      <c r="T73" s="6"/>
      <c r="U73" s="6"/>
      <c r="V73" s="6"/>
      <c r="W73" s="6"/>
      <c r="X73" s="6"/>
      <c r="Y73" s="6"/>
    </row>
    <row r="74" spans="1:25" ht="12.75" x14ac:dyDescent="0.2">
      <c r="B74" s="6"/>
      <c r="C74" s="6"/>
      <c r="D74" s="6"/>
      <c r="E74" s="9"/>
      <c r="F74" s="9"/>
      <c r="G74" s="11"/>
      <c r="H74" s="5"/>
      <c r="I74" s="6"/>
      <c r="J74" s="6"/>
      <c r="K74" s="6"/>
      <c r="L74" s="6"/>
      <c r="M74" s="6"/>
      <c r="N74" s="6"/>
      <c r="O74" s="6"/>
      <c r="P74" s="6"/>
      <c r="Q74" s="6"/>
      <c r="R74" s="6"/>
      <c r="S74" s="6"/>
      <c r="T74" s="6"/>
      <c r="U74" s="6"/>
      <c r="V74" s="6"/>
      <c r="W74" s="6"/>
      <c r="X74" s="6"/>
      <c r="Y74" s="6"/>
    </row>
    <row r="75" spans="1:25" ht="12.75" x14ac:dyDescent="0.2">
      <c r="B75" s="6"/>
      <c r="C75" s="6"/>
      <c r="D75" s="6"/>
      <c r="E75" s="9"/>
      <c r="F75" s="9"/>
      <c r="G75" s="11"/>
      <c r="H75" s="5"/>
      <c r="K75" s="6"/>
      <c r="L75" s="6"/>
      <c r="M75" s="6"/>
      <c r="N75" s="6"/>
      <c r="O75" s="6"/>
      <c r="P75" s="6"/>
      <c r="Q75" s="6"/>
      <c r="R75" s="6"/>
      <c r="S75" s="6"/>
      <c r="T75" s="6"/>
      <c r="U75" s="6"/>
      <c r="V75" s="6"/>
      <c r="W75" s="6"/>
      <c r="X75" s="6"/>
      <c r="Y75" s="6"/>
    </row>
    <row r="76" spans="1:25" ht="12.75" x14ac:dyDescent="0.2">
      <c r="A76" s="10"/>
      <c r="B76" s="6"/>
      <c r="C76" s="6"/>
      <c r="D76" s="6"/>
      <c r="E76" s="9"/>
      <c r="F76" s="9"/>
      <c r="G76" s="11"/>
      <c r="H76" s="5"/>
      <c r="I76" s="6"/>
      <c r="J76" s="6"/>
      <c r="K76" s="6"/>
      <c r="L76" s="6"/>
      <c r="M76" s="6"/>
      <c r="N76" s="6"/>
      <c r="O76" s="6"/>
      <c r="P76" s="6"/>
      <c r="Q76" s="6"/>
      <c r="R76" s="6"/>
      <c r="S76" s="6"/>
      <c r="T76" s="6"/>
      <c r="U76" s="6"/>
      <c r="V76" s="6"/>
      <c r="W76" s="6"/>
      <c r="X76" s="6"/>
      <c r="Y76" s="6"/>
    </row>
    <row r="77" spans="1:25" ht="12.75" x14ac:dyDescent="0.2">
      <c r="A77" s="10"/>
      <c r="B77" s="6"/>
      <c r="C77" s="6"/>
      <c r="D77" s="6"/>
      <c r="E77" s="9"/>
      <c r="F77" s="9"/>
      <c r="G77" s="11"/>
      <c r="H77" s="5"/>
      <c r="I77" s="6"/>
      <c r="J77" s="6"/>
      <c r="K77" s="6"/>
      <c r="L77" s="6"/>
      <c r="M77" s="6"/>
      <c r="N77" s="6"/>
      <c r="O77" s="6"/>
      <c r="P77" s="6"/>
      <c r="Q77" s="6"/>
      <c r="R77" s="6"/>
      <c r="S77" s="6"/>
      <c r="T77" s="6"/>
      <c r="U77" s="6"/>
      <c r="V77" s="6"/>
      <c r="W77" s="6"/>
      <c r="X77" s="6"/>
      <c r="Y77" s="6"/>
    </row>
    <row r="78" spans="1:25" ht="12.75" x14ac:dyDescent="0.2">
      <c r="A78" s="10"/>
      <c r="B78" s="6"/>
      <c r="C78" s="6"/>
      <c r="D78" s="6"/>
      <c r="E78" s="9"/>
      <c r="F78" s="9"/>
      <c r="G78" s="11"/>
      <c r="H78" s="5"/>
      <c r="I78" s="6"/>
      <c r="J78" s="6"/>
      <c r="K78" s="6"/>
      <c r="L78" s="6"/>
      <c r="M78" s="6"/>
      <c r="N78" s="6"/>
      <c r="O78" s="6"/>
      <c r="P78" s="6"/>
      <c r="Q78" s="6"/>
      <c r="R78" s="6"/>
      <c r="S78" s="6"/>
      <c r="T78" s="6"/>
      <c r="U78" s="6"/>
      <c r="V78" s="6"/>
      <c r="W78" s="6"/>
      <c r="X78" s="6"/>
      <c r="Y78" s="6"/>
    </row>
    <row r="79" spans="1:25" ht="12.75" x14ac:dyDescent="0.2">
      <c r="A79" s="10"/>
      <c r="B79" s="6"/>
      <c r="C79" s="6"/>
      <c r="D79" s="6"/>
      <c r="E79" s="9"/>
      <c r="F79" s="9"/>
      <c r="G79" s="11"/>
      <c r="H79" s="5"/>
      <c r="I79" s="6"/>
      <c r="J79" s="6"/>
      <c r="K79" s="6"/>
      <c r="L79" s="6"/>
      <c r="M79" s="6"/>
      <c r="N79" s="6"/>
      <c r="O79" s="6"/>
      <c r="P79" s="6"/>
      <c r="Q79" s="6"/>
      <c r="R79" s="6"/>
      <c r="S79" s="6"/>
      <c r="T79" s="6"/>
      <c r="U79" s="6"/>
      <c r="V79" s="6"/>
      <c r="W79" s="6"/>
      <c r="X79" s="6"/>
      <c r="Y79" s="6"/>
    </row>
    <row r="80" spans="1:25" ht="12.75" x14ac:dyDescent="0.2">
      <c r="A80" s="10"/>
      <c r="B80" s="6"/>
      <c r="C80" s="6"/>
      <c r="D80" s="6"/>
      <c r="E80" s="9"/>
      <c r="F80" s="9"/>
      <c r="G80" s="11"/>
      <c r="H80" s="5"/>
      <c r="I80" s="6"/>
      <c r="J80" s="6"/>
      <c r="K80" s="6"/>
      <c r="L80" s="6"/>
      <c r="M80" s="6"/>
      <c r="N80" s="6"/>
      <c r="O80" s="6"/>
      <c r="P80" s="6"/>
      <c r="Q80" s="6"/>
      <c r="R80" s="6"/>
      <c r="S80" s="6"/>
      <c r="T80" s="6"/>
      <c r="U80" s="6"/>
      <c r="V80" s="6"/>
      <c r="W80" s="6"/>
      <c r="X80" s="6"/>
      <c r="Y80" s="6"/>
    </row>
    <row r="81" spans="1:25" ht="12.75" x14ac:dyDescent="0.2">
      <c r="A81" s="10"/>
      <c r="B81" s="6"/>
      <c r="C81" s="6"/>
      <c r="D81" s="6"/>
      <c r="E81" s="9"/>
      <c r="F81" s="9"/>
      <c r="G81" s="11"/>
      <c r="H81" s="5"/>
      <c r="I81" s="6"/>
      <c r="J81" s="6"/>
      <c r="K81" s="6"/>
      <c r="L81" s="6"/>
      <c r="M81" s="6"/>
      <c r="N81" s="6"/>
      <c r="O81" s="6"/>
      <c r="P81" s="6"/>
      <c r="Q81" s="6"/>
      <c r="R81" s="6"/>
      <c r="S81" s="6"/>
      <c r="T81" s="6"/>
      <c r="U81" s="6"/>
      <c r="V81" s="6"/>
      <c r="W81" s="6"/>
      <c r="X81" s="6"/>
      <c r="Y81" s="6"/>
    </row>
    <row r="82" spans="1:25" ht="12.75" x14ac:dyDescent="0.2">
      <c r="A82" s="10"/>
      <c r="B82" s="6"/>
      <c r="C82" s="6"/>
      <c r="D82" s="6"/>
      <c r="E82" s="9"/>
      <c r="F82" s="9"/>
      <c r="G82" s="11"/>
      <c r="H82" s="5"/>
      <c r="I82" s="6"/>
      <c r="J82" s="6"/>
      <c r="K82" s="6"/>
      <c r="L82" s="6"/>
      <c r="M82" s="6"/>
      <c r="N82" s="6"/>
      <c r="O82" s="6"/>
      <c r="P82" s="6"/>
      <c r="Q82" s="6"/>
      <c r="R82" s="6"/>
      <c r="S82" s="6"/>
      <c r="T82" s="6"/>
      <c r="U82" s="6"/>
      <c r="V82" s="6"/>
      <c r="W82" s="6"/>
      <c r="X82" s="6"/>
      <c r="Y82" s="6"/>
    </row>
    <row r="83" spans="1:25" ht="12.75" x14ac:dyDescent="0.2">
      <c r="A83" s="10"/>
      <c r="B83" s="6"/>
      <c r="C83" s="6"/>
      <c r="D83" s="6"/>
      <c r="E83" s="9"/>
      <c r="F83" s="9"/>
      <c r="G83" s="11"/>
      <c r="H83" s="5"/>
      <c r="I83" s="6"/>
      <c r="J83" s="6"/>
      <c r="K83" s="6"/>
      <c r="L83" s="6"/>
      <c r="M83" s="6"/>
      <c r="N83" s="6"/>
      <c r="O83" s="6"/>
      <c r="P83" s="6"/>
      <c r="Q83" s="6"/>
      <c r="R83" s="6"/>
      <c r="S83" s="6"/>
      <c r="T83" s="6"/>
      <c r="U83" s="6"/>
      <c r="V83" s="6"/>
      <c r="W83" s="6"/>
      <c r="X83" s="6"/>
      <c r="Y83" s="6"/>
    </row>
    <row r="84" spans="1:25" ht="12.75" x14ac:dyDescent="0.2">
      <c r="A84" s="10"/>
      <c r="B84" s="6"/>
      <c r="C84" s="6"/>
      <c r="D84" s="6"/>
      <c r="E84" s="9"/>
      <c r="F84" s="9"/>
      <c r="G84" s="11"/>
      <c r="H84" s="5"/>
      <c r="I84" s="6"/>
      <c r="J84" s="6"/>
      <c r="K84" s="6"/>
      <c r="L84" s="6"/>
      <c r="M84" s="6"/>
      <c r="N84" s="6"/>
      <c r="O84" s="6"/>
      <c r="P84" s="6"/>
      <c r="Q84" s="6"/>
      <c r="R84" s="6"/>
      <c r="S84" s="6"/>
      <c r="T84" s="6"/>
      <c r="U84" s="6"/>
      <c r="V84" s="6"/>
      <c r="W84" s="6"/>
      <c r="X84" s="6"/>
      <c r="Y84" s="6"/>
    </row>
    <row r="85" spans="1:25" ht="12.75" x14ac:dyDescent="0.2">
      <c r="A85" s="10"/>
      <c r="B85" s="6"/>
      <c r="C85" s="6"/>
      <c r="D85" s="6"/>
      <c r="E85" s="9"/>
      <c r="F85" s="9"/>
      <c r="G85" s="11"/>
      <c r="H85" s="5"/>
      <c r="I85" s="6"/>
      <c r="J85" s="6"/>
      <c r="K85" s="9"/>
      <c r="L85" s="9"/>
      <c r="M85" s="9"/>
      <c r="N85" s="6"/>
      <c r="O85" s="6"/>
      <c r="P85" s="6"/>
      <c r="Q85" s="6"/>
      <c r="R85" s="6"/>
      <c r="S85" s="5"/>
      <c r="T85" s="5"/>
      <c r="U85" s="5"/>
      <c r="V85" s="5"/>
      <c r="W85" s="9"/>
      <c r="X85" s="5"/>
      <c r="Y85" s="5"/>
    </row>
    <row r="86" spans="1:25" ht="12.75" x14ac:dyDescent="0.2">
      <c r="A86" s="10"/>
      <c r="B86" s="6"/>
      <c r="C86" s="6"/>
      <c r="D86" s="6"/>
      <c r="E86" s="9"/>
      <c r="F86" s="9"/>
      <c r="G86" s="11"/>
      <c r="H86" s="5"/>
      <c r="I86" s="6"/>
      <c r="J86" s="6"/>
      <c r="K86" s="6"/>
      <c r="L86" s="6"/>
      <c r="M86" s="6"/>
      <c r="N86" s="6"/>
      <c r="O86" s="6"/>
      <c r="P86" s="6"/>
      <c r="Q86" s="6"/>
      <c r="R86" s="6"/>
      <c r="S86" s="6"/>
      <c r="T86" s="6"/>
      <c r="U86" s="6"/>
      <c r="V86" s="6"/>
      <c r="W86" s="6"/>
      <c r="X86" s="6"/>
      <c r="Y86" s="6"/>
    </row>
    <row r="87" spans="1:25" ht="12.75" x14ac:dyDescent="0.2">
      <c r="A87" s="10"/>
      <c r="B87" s="6"/>
      <c r="C87" s="6"/>
      <c r="D87" s="6"/>
      <c r="E87" s="9"/>
      <c r="F87" s="9"/>
      <c r="G87" s="11"/>
      <c r="H87" s="5"/>
      <c r="I87" s="6"/>
      <c r="J87" s="6"/>
      <c r="K87" s="6"/>
      <c r="L87" s="6"/>
      <c r="M87" s="6"/>
      <c r="N87" s="6"/>
      <c r="O87" s="6"/>
      <c r="P87" s="6"/>
      <c r="Q87" s="6"/>
      <c r="R87" s="5"/>
      <c r="S87" s="6"/>
      <c r="T87" s="6"/>
      <c r="U87" s="6"/>
      <c r="V87" s="6"/>
      <c r="W87" s="6"/>
      <c r="X87" s="6"/>
      <c r="Y87" s="6"/>
    </row>
    <row r="88" spans="1:25" ht="12.75" x14ac:dyDescent="0.2">
      <c r="A88" s="10"/>
      <c r="B88" s="6"/>
      <c r="C88" s="6"/>
      <c r="D88" s="6"/>
      <c r="E88" s="9"/>
      <c r="F88" s="9"/>
      <c r="G88" s="11"/>
      <c r="H88" s="5"/>
      <c r="I88" s="6"/>
      <c r="J88" s="6"/>
      <c r="K88" s="6"/>
      <c r="L88" s="6"/>
      <c r="M88" s="6"/>
      <c r="N88" s="9"/>
      <c r="O88" s="9"/>
      <c r="P88" s="9"/>
      <c r="Q88" s="9"/>
      <c r="R88" s="6"/>
      <c r="S88" s="6"/>
      <c r="T88" s="6"/>
      <c r="U88" s="6"/>
      <c r="V88" s="6"/>
      <c r="W88" s="6"/>
      <c r="X88" s="6"/>
      <c r="Y88" s="6"/>
    </row>
    <row r="89" spans="1:25" ht="12.75" x14ac:dyDescent="0.2">
      <c r="A89" s="10"/>
      <c r="B89" s="6"/>
      <c r="C89" s="6"/>
      <c r="D89" s="6"/>
      <c r="E89" s="9"/>
      <c r="F89" s="9"/>
      <c r="G89" s="11"/>
      <c r="H89" s="5"/>
      <c r="I89" s="6"/>
      <c r="J89" s="6"/>
      <c r="K89" s="6"/>
      <c r="L89" s="6"/>
      <c r="M89" s="6"/>
      <c r="N89" s="6"/>
      <c r="O89" s="6"/>
      <c r="P89" s="6"/>
      <c r="Q89" s="6"/>
      <c r="R89" s="6"/>
      <c r="S89" s="6"/>
      <c r="T89" s="6"/>
      <c r="U89" s="6"/>
      <c r="V89" s="6"/>
      <c r="W89" s="6"/>
      <c r="X89" s="6"/>
      <c r="Y89" s="6"/>
    </row>
    <row r="90" spans="1:25" ht="12.75" x14ac:dyDescent="0.2">
      <c r="A90" s="10"/>
      <c r="B90" s="6"/>
      <c r="C90" s="6"/>
      <c r="D90" s="6"/>
      <c r="E90" s="9"/>
      <c r="F90" s="9"/>
      <c r="G90" s="11"/>
      <c r="H90" s="5"/>
      <c r="I90" s="6"/>
      <c r="J90" s="6"/>
      <c r="K90" s="6"/>
      <c r="L90" s="6"/>
      <c r="M90" s="6"/>
      <c r="N90" s="6"/>
      <c r="O90" s="6"/>
      <c r="P90" s="6"/>
      <c r="Q90" s="6"/>
      <c r="R90" s="6"/>
      <c r="S90" s="6"/>
      <c r="T90" s="6"/>
      <c r="U90" s="6"/>
      <c r="V90" s="6"/>
      <c r="W90" s="6"/>
      <c r="X90" s="6"/>
      <c r="Y90" s="6"/>
    </row>
    <row r="91" spans="1:25" ht="12.75" x14ac:dyDescent="0.2">
      <c r="B91" s="6"/>
      <c r="C91" s="6"/>
      <c r="D91" s="6"/>
      <c r="E91" s="9"/>
      <c r="F91" s="9"/>
      <c r="G91" s="11"/>
      <c r="H91" s="5"/>
      <c r="I91" s="6"/>
      <c r="J91" s="6"/>
      <c r="K91" s="6"/>
      <c r="L91" s="6"/>
      <c r="M91" s="6"/>
      <c r="N91" s="6"/>
      <c r="O91" s="6"/>
      <c r="P91" s="6"/>
      <c r="Q91" s="6"/>
      <c r="R91" s="6"/>
      <c r="S91" s="6"/>
      <c r="T91" s="6"/>
      <c r="U91" s="6"/>
      <c r="V91" s="6"/>
      <c r="W91" s="6"/>
      <c r="X91" s="6"/>
      <c r="Y91" s="6"/>
    </row>
    <row r="92" spans="1:25" ht="12.75" x14ac:dyDescent="0.2">
      <c r="A92" s="10"/>
      <c r="B92" s="6"/>
      <c r="C92" s="6"/>
      <c r="D92" s="6"/>
      <c r="E92" s="9"/>
      <c r="F92" s="9"/>
      <c r="G92" s="11"/>
      <c r="H92" s="5"/>
      <c r="I92" s="6"/>
      <c r="J92" s="6"/>
      <c r="K92" s="6"/>
      <c r="L92" s="6"/>
      <c r="M92" s="6"/>
      <c r="N92" s="6"/>
      <c r="O92" s="6"/>
      <c r="P92" s="6"/>
      <c r="Q92" s="6"/>
      <c r="R92" s="6"/>
      <c r="S92" s="6"/>
      <c r="T92" s="6"/>
      <c r="U92" s="6"/>
      <c r="V92" s="6"/>
      <c r="W92" s="6"/>
      <c r="X92" s="6"/>
      <c r="Y92" s="6"/>
    </row>
    <row r="93" spans="1:25" ht="12.75" x14ac:dyDescent="0.2">
      <c r="A93" s="10"/>
      <c r="B93" s="6"/>
      <c r="C93" s="6"/>
      <c r="D93" s="6"/>
      <c r="E93" s="9"/>
      <c r="F93" s="9"/>
      <c r="G93" s="11"/>
      <c r="H93" s="5"/>
      <c r="I93" s="6"/>
      <c r="J93" s="6"/>
      <c r="K93" s="6"/>
      <c r="L93" s="6"/>
      <c r="M93" s="6"/>
      <c r="N93" s="6"/>
      <c r="O93" s="6"/>
      <c r="P93" s="6"/>
      <c r="Q93" s="6"/>
      <c r="R93" s="6"/>
      <c r="S93" s="6"/>
      <c r="T93" s="6"/>
      <c r="U93" s="6"/>
      <c r="V93" s="6"/>
      <c r="W93" s="6"/>
      <c r="X93" s="6"/>
      <c r="Y93" s="6"/>
    </row>
    <row r="94" spans="1:25" ht="12.75" x14ac:dyDescent="0.2">
      <c r="A94" s="10"/>
      <c r="B94" s="6"/>
      <c r="C94" s="6"/>
      <c r="D94" s="6"/>
      <c r="E94" s="9"/>
      <c r="F94" s="9"/>
      <c r="G94" s="11"/>
      <c r="H94" s="5"/>
      <c r="I94" s="6"/>
      <c r="J94" s="6"/>
      <c r="K94" s="6"/>
      <c r="L94" s="6"/>
      <c r="M94" s="6"/>
      <c r="N94" s="6"/>
      <c r="O94" s="6"/>
      <c r="P94" s="6"/>
      <c r="Q94" s="6"/>
      <c r="R94" s="6"/>
      <c r="S94" s="6"/>
      <c r="T94" s="6"/>
      <c r="U94" s="6"/>
      <c r="V94" s="6"/>
      <c r="W94" s="6"/>
      <c r="X94" s="6"/>
      <c r="Y94" s="6"/>
    </row>
    <row r="95" spans="1:25" ht="12.75" x14ac:dyDescent="0.2">
      <c r="A95" s="10"/>
      <c r="B95" s="6"/>
      <c r="C95" s="6"/>
      <c r="D95" s="6"/>
      <c r="E95" s="9"/>
      <c r="F95" s="9"/>
      <c r="G95" s="11"/>
      <c r="H95" s="5"/>
      <c r="I95" s="6"/>
      <c r="J95" s="6"/>
      <c r="K95" s="6"/>
      <c r="L95" s="6"/>
      <c r="M95" s="6"/>
      <c r="N95" s="6"/>
      <c r="O95" s="6"/>
      <c r="P95" s="6"/>
      <c r="Q95" s="6"/>
      <c r="R95" s="6"/>
      <c r="S95" s="6"/>
      <c r="T95" s="6"/>
      <c r="U95" s="6"/>
      <c r="V95" s="6"/>
      <c r="W95" s="6"/>
      <c r="X95" s="6"/>
      <c r="Y95" s="6"/>
    </row>
    <row r="96" spans="1:25" ht="12.75" x14ac:dyDescent="0.2">
      <c r="A96" s="10"/>
      <c r="B96" s="6"/>
      <c r="C96" s="6"/>
      <c r="D96" s="6"/>
      <c r="E96" s="9"/>
      <c r="F96" s="9"/>
      <c r="G96" s="11"/>
      <c r="H96" s="5"/>
      <c r="I96" s="6"/>
      <c r="J96" s="6"/>
      <c r="K96" s="6"/>
      <c r="L96" s="6"/>
      <c r="M96" s="6"/>
      <c r="N96" s="6"/>
      <c r="O96" s="6"/>
      <c r="P96" s="6"/>
      <c r="Q96" s="6"/>
      <c r="R96" s="6"/>
      <c r="S96" s="6"/>
      <c r="T96" s="6"/>
      <c r="U96" s="6"/>
      <c r="V96" s="6"/>
      <c r="W96" s="6"/>
      <c r="X96" s="6"/>
      <c r="Y96" s="6"/>
    </row>
    <row r="97" spans="1:25" ht="12.75" x14ac:dyDescent="0.2">
      <c r="A97" s="10"/>
      <c r="B97" s="6"/>
      <c r="C97" s="6"/>
      <c r="D97" s="6"/>
      <c r="E97" s="9"/>
      <c r="F97" s="9"/>
      <c r="G97" s="11"/>
      <c r="H97" s="5"/>
      <c r="I97" s="6"/>
      <c r="J97" s="6"/>
      <c r="K97" s="6"/>
      <c r="L97" s="6"/>
      <c r="M97" s="6"/>
      <c r="N97" s="6"/>
      <c r="O97" s="6"/>
      <c r="P97" s="6"/>
      <c r="Q97" s="6"/>
      <c r="R97" s="6"/>
      <c r="S97" s="6"/>
      <c r="T97" s="6"/>
      <c r="U97" s="6"/>
      <c r="V97" s="6"/>
      <c r="W97" s="6"/>
      <c r="X97" s="6"/>
      <c r="Y97" s="6"/>
    </row>
    <row r="98" spans="1:25" ht="12.75" x14ac:dyDescent="0.2">
      <c r="A98" s="10"/>
      <c r="B98" s="6"/>
      <c r="C98" s="6"/>
      <c r="D98" s="6"/>
      <c r="E98" s="9"/>
      <c r="F98" s="9"/>
      <c r="G98" s="11"/>
      <c r="H98" s="5"/>
      <c r="I98" s="6"/>
      <c r="J98" s="6"/>
      <c r="K98" s="6"/>
      <c r="L98" s="6"/>
      <c r="M98" s="6"/>
      <c r="N98" s="6"/>
      <c r="O98" s="6"/>
      <c r="P98" s="6"/>
      <c r="Q98" s="6"/>
      <c r="R98" s="6"/>
      <c r="S98" s="6"/>
      <c r="T98" s="6"/>
      <c r="U98" s="6"/>
      <c r="V98" s="6"/>
      <c r="W98" s="6"/>
      <c r="X98" s="6"/>
      <c r="Y98" s="6"/>
    </row>
    <row r="99" spans="1:25" ht="12.75" x14ac:dyDescent="0.2">
      <c r="A99" s="10"/>
      <c r="B99" s="6"/>
      <c r="C99" s="6"/>
      <c r="D99" s="6"/>
      <c r="E99" s="9"/>
      <c r="F99" s="9"/>
      <c r="G99" s="11"/>
      <c r="H99" s="5"/>
      <c r="I99" s="6"/>
      <c r="J99" s="6"/>
      <c r="K99" s="6"/>
      <c r="L99" s="6"/>
      <c r="M99" s="6"/>
      <c r="N99" s="6"/>
      <c r="O99" s="6"/>
      <c r="P99" s="6"/>
      <c r="Q99" s="6"/>
      <c r="R99" s="6"/>
      <c r="S99" s="6"/>
      <c r="T99" s="6"/>
      <c r="U99" s="6"/>
      <c r="V99" s="6"/>
      <c r="W99" s="6"/>
      <c r="X99" s="6"/>
      <c r="Y99" s="6"/>
    </row>
    <row r="100" spans="1:25" ht="12.75" x14ac:dyDescent="0.2">
      <c r="A100" s="10"/>
      <c r="B100" s="6"/>
      <c r="C100" s="6"/>
      <c r="D100" s="6"/>
      <c r="E100" s="9"/>
      <c r="F100" s="9"/>
      <c r="G100" s="11"/>
      <c r="H100" s="5"/>
      <c r="I100" s="6"/>
      <c r="J100" s="6"/>
      <c r="K100" s="6"/>
      <c r="L100" s="6"/>
      <c r="M100" s="6"/>
      <c r="N100" s="6"/>
      <c r="O100" s="6"/>
      <c r="P100" s="6"/>
      <c r="Q100" s="6"/>
      <c r="R100" s="6"/>
      <c r="S100" s="6"/>
      <c r="T100" s="6"/>
      <c r="U100" s="6"/>
      <c r="V100" s="6"/>
      <c r="W100" s="6"/>
      <c r="X100" s="6"/>
      <c r="Y100" s="6"/>
    </row>
    <row r="101" spans="1:25" ht="12.75" x14ac:dyDescent="0.2">
      <c r="A101" s="10"/>
      <c r="B101" s="6"/>
      <c r="C101" s="6"/>
      <c r="D101" s="6"/>
      <c r="E101" s="9"/>
      <c r="F101" s="9"/>
      <c r="G101" s="11"/>
      <c r="H101" s="5"/>
      <c r="I101" s="6"/>
      <c r="J101" s="6"/>
      <c r="K101" s="6"/>
      <c r="L101" s="6"/>
      <c r="M101" s="6"/>
      <c r="N101" s="6"/>
      <c r="O101" s="6"/>
      <c r="P101" s="6"/>
      <c r="Q101" s="6"/>
      <c r="R101" s="6"/>
      <c r="S101" s="6"/>
      <c r="T101" s="6"/>
      <c r="U101" s="6"/>
      <c r="V101" s="6"/>
      <c r="W101" s="6"/>
      <c r="X101" s="6"/>
      <c r="Y101" s="6"/>
    </row>
    <row r="102" spans="1:25" ht="12.75" x14ac:dyDescent="0.2">
      <c r="A102" s="10"/>
      <c r="B102" s="6"/>
      <c r="C102" s="6"/>
      <c r="D102" s="6"/>
      <c r="E102" s="9"/>
      <c r="F102" s="9"/>
      <c r="G102" s="11"/>
      <c r="H102" s="5"/>
      <c r="I102" s="6"/>
      <c r="J102" s="6"/>
      <c r="N102" s="6"/>
      <c r="O102" s="6"/>
      <c r="P102" s="6"/>
      <c r="Q102" s="6"/>
      <c r="R102" s="6"/>
    </row>
    <row r="103" spans="1:25" ht="12.75" x14ac:dyDescent="0.2">
      <c r="A103" s="10"/>
      <c r="B103" s="6"/>
      <c r="C103" s="6"/>
      <c r="D103" s="6"/>
      <c r="E103" s="9"/>
      <c r="F103" s="9"/>
      <c r="G103" s="11"/>
      <c r="H103" s="5"/>
      <c r="I103" s="6"/>
      <c r="J103" s="6"/>
      <c r="K103" s="6"/>
      <c r="L103" s="6"/>
      <c r="M103" s="6"/>
      <c r="N103" s="6"/>
      <c r="O103" s="6"/>
      <c r="P103" s="6"/>
      <c r="Q103" s="6"/>
      <c r="R103" s="6"/>
      <c r="S103" s="6"/>
      <c r="T103" s="6"/>
      <c r="U103" s="6"/>
      <c r="V103" s="6"/>
      <c r="W103" s="6"/>
      <c r="X103" s="6"/>
      <c r="Y103" s="6"/>
    </row>
    <row r="104" spans="1:25" ht="12.75" x14ac:dyDescent="0.2">
      <c r="A104" s="10"/>
      <c r="B104" s="6"/>
      <c r="C104" s="6"/>
      <c r="D104" s="6"/>
      <c r="E104" s="9"/>
      <c r="F104" s="9"/>
      <c r="G104" s="11"/>
      <c r="H104" s="5"/>
      <c r="I104" s="6"/>
      <c r="J104" s="6"/>
      <c r="N104" s="6"/>
      <c r="O104" s="6"/>
      <c r="P104" s="6"/>
      <c r="Q104" s="6"/>
    </row>
    <row r="105" spans="1:25" ht="12.75" x14ac:dyDescent="0.2">
      <c r="A105" s="10"/>
      <c r="B105" s="6"/>
      <c r="C105" s="6"/>
      <c r="D105" s="6"/>
      <c r="E105" s="9"/>
      <c r="F105" s="9"/>
      <c r="G105" s="11"/>
      <c r="H105" s="5"/>
      <c r="I105" s="6"/>
      <c r="J105" s="6"/>
      <c r="K105" s="6"/>
      <c r="L105" s="6"/>
      <c r="M105" s="6"/>
      <c r="R105" s="6"/>
      <c r="S105" s="6"/>
      <c r="T105" s="6"/>
      <c r="U105" s="6"/>
      <c r="V105" s="6"/>
      <c r="W105" s="6"/>
      <c r="X105" s="6"/>
      <c r="Y105" s="6"/>
    </row>
    <row r="106" spans="1:25" ht="12.75" x14ac:dyDescent="0.2">
      <c r="A106" s="10"/>
      <c r="B106" s="6"/>
      <c r="C106" s="6"/>
      <c r="D106" s="6"/>
      <c r="E106" s="9"/>
      <c r="F106" s="9"/>
      <c r="G106" s="11"/>
      <c r="H106" s="5"/>
      <c r="I106" s="8"/>
      <c r="J106" s="8"/>
      <c r="N106" s="6"/>
      <c r="O106" s="6"/>
      <c r="P106" s="6"/>
      <c r="Q106" s="6"/>
    </row>
    <row r="107" spans="1:25" ht="12.75" x14ac:dyDescent="0.2">
      <c r="A107" s="10"/>
      <c r="B107" s="6"/>
      <c r="C107" s="6"/>
      <c r="D107" s="6"/>
      <c r="E107" s="9"/>
      <c r="F107" s="9"/>
      <c r="G107" s="11"/>
      <c r="H107" s="5"/>
      <c r="I107" s="6"/>
      <c r="J107" s="6"/>
      <c r="K107" s="6"/>
      <c r="L107" s="6"/>
      <c r="M107" s="6"/>
      <c r="R107" s="6"/>
      <c r="S107" s="6"/>
      <c r="T107" s="6"/>
      <c r="U107" s="6"/>
      <c r="V107" s="6"/>
      <c r="W107" s="6"/>
      <c r="X107" s="6"/>
      <c r="Y107" s="6"/>
    </row>
    <row r="108" spans="1:25" ht="12.75" x14ac:dyDescent="0.2">
      <c r="A108" s="10"/>
      <c r="B108" s="6"/>
      <c r="C108" s="6"/>
      <c r="D108" s="6"/>
      <c r="E108" s="9"/>
      <c r="F108" s="9"/>
      <c r="G108" s="11"/>
      <c r="H108" s="5"/>
      <c r="I108" s="8"/>
      <c r="J108" s="8"/>
      <c r="N108" s="6"/>
      <c r="O108" s="6"/>
      <c r="P108" s="6"/>
      <c r="Q108" s="6"/>
    </row>
    <row r="109" spans="1:25" ht="12.75" x14ac:dyDescent="0.2">
      <c r="B109" s="6"/>
      <c r="C109" s="6"/>
      <c r="D109" s="6"/>
      <c r="E109" s="9"/>
      <c r="F109" s="9"/>
      <c r="G109" s="11"/>
      <c r="H109" s="5"/>
      <c r="I109" s="6"/>
      <c r="J109" s="6"/>
      <c r="R109" s="6"/>
    </row>
    <row r="110" spans="1:25" ht="12.75" x14ac:dyDescent="0.2">
      <c r="B110" s="6"/>
      <c r="C110" s="6"/>
      <c r="D110" s="6"/>
      <c r="E110" s="9"/>
      <c r="F110" s="9"/>
      <c r="G110" s="11"/>
      <c r="H110" s="5"/>
      <c r="I110" s="8"/>
      <c r="J110" s="8"/>
      <c r="N110" s="6"/>
      <c r="O110" s="6"/>
      <c r="P110" s="6"/>
      <c r="Q110" s="6"/>
    </row>
    <row r="111" spans="1:25" ht="12.75" x14ac:dyDescent="0.2">
      <c r="B111" s="6"/>
      <c r="C111" s="6"/>
      <c r="D111" s="6"/>
      <c r="E111" s="9"/>
      <c r="F111" s="9"/>
      <c r="G111" s="11"/>
      <c r="H111" s="5"/>
      <c r="I111" s="6"/>
      <c r="J111" s="6"/>
    </row>
    <row r="112" spans="1:25" ht="12.75" x14ac:dyDescent="0.2">
      <c r="B112" s="6"/>
      <c r="C112" s="6"/>
      <c r="D112" s="6"/>
      <c r="E112" s="9"/>
      <c r="F112" s="9"/>
      <c r="G112" s="11"/>
      <c r="H112" s="5"/>
      <c r="I112" s="8"/>
      <c r="J112" s="8"/>
    </row>
    <row r="113" spans="2:10" ht="12.75" x14ac:dyDescent="0.2">
      <c r="B113" s="6"/>
      <c r="C113" s="6"/>
      <c r="D113" s="6"/>
      <c r="E113" s="9"/>
      <c r="F113" s="9"/>
      <c r="G113" s="11"/>
      <c r="H113" s="5"/>
      <c r="I113" s="8"/>
      <c r="J113" s="8"/>
    </row>
    <row r="114" spans="2:10" ht="12.75" x14ac:dyDescent="0.2">
      <c r="B114" s="6"/>
      <c r="C114" s="6"/>
      <c r="D114" s="6"/>
      <c r="E114" s="9"/>
      <c r="F114" s="9"/>
      <c r="G114" s="11"/>
      <c r="H114" s="5"/>
      <c r="I114" s="8"/>
      <c r="J114" s="8"/>
    </row>
    <row r="115" spans="2:10" ht="12.75" x14ac:dyDescent="0.2">
      <c r="B115" s="6"/>
      <c r="C115" s="6"/>
      <c r="D115" s="6"/>
      <c r="E115" s="9"/>
      <c r="F115" s="9"/>
      <c r="G115" s="11"/>
      <c r="H115" s="5"/>
      <c r="I115" s="8"/>
      <c r="J115" s="8"/>
    </row>
    <row r="116" spans="2:10" ht="12.75" x14ac:dyDescent="0.2">
      <c r="B116" s="6"/>
      <c r="C116" s="6"/>
      <c r="D116" s="6"/>
      <c r="E116" s="9"/>
      <c r="F116" s="9"/>
      <c r="G116" s="11"/>
      <c r="H116" s="5"/>
      <c r="I116" s="8"/>
      <c r="J116" s="8"/>
    </row>
    <row r="117" spans="2:10" ht="12.75" x14ac:dyDescent="0.2">
      <c r="B117" s="6"/>
      <c r="C117" s="6"/>
      <c r="D117" s="6"/>
      <c r="E117" s="9"/>
      <c r="F117" s="9"/>
      <c r="G117" s="11"/>
      <c r="H117" s="5"/>
      <c r="I117" s="8"/>
      <c r="J117" s="8"/>
    </row>
    <row r="118" spans="2:10" ht="12.75" x14ac:dyDescent="0.2">
      <c r="B118" s="6"/>
      <c r="C118" s="6"/>
      <c r="D118" s="6"/>
      <c r="E118" s="9"/>
      <c r="F118" s="9"/>
      <c r="G118" s="11"/>
      <c r="H118" s="5"/>
      <c r="I118" s="8"/>
      <c r="J118" s="8"/>
    </row>
    <row r="119" spans="2:10" ht="12.75" x14ac:dyDescent="0.2">
      <c r="B119" s="6"/>
      <c r="C119" s="6"/>
      <c r="D119" s="6"/>
      <c r="E119" s="9"/>
      <c r="F119" s="9"/>
      <c r="G119" s="11"/>
      <c r="H119" s="5"/>
      <c r="I119" s="8"/>
      <c r="J119" s="8"/>
    </row>
    <row r="120" spans="2:10" ht="12.75" x14ac:dyDescent="0.2">
      <c r="B120" s="6"/>
      <c r="C120" s="6"/>
      <c r="D120" s="6"/>
      <c r="E120" s="9"/>
      <c r="F120" s="9"/>
      <c r="G120" s="11"/>
      <c r="H120" s="5"/>
      <c r="I120" s="8"/>
      <c r="J120" s="8"/>
    </row>
    <row r="121" spans="2:10" ht="12.75" x14ac:dyDescent="0.2">
      <c r="B121" s="6"/>
      <c r="C121" s="6"/>
      <c r="D121" s="6"/>
      <c r="E121" s="9"/>
      <c r="F121" s="9"/>
      <c r="G121" s="11"/>
      <c r="H121" s="5"/>
      <c r="I121" s="8"/>
      <c r="J121" s="8"/>
    </row>
    <row r="122" spans="2:10" ht="12.75" x14ac:dyDescent="0.2">
      <c r="B122" s="6"/>
      <c r="C122" s="6"/>
      <c r="D122" s="6"/>
      <c r="E122" s="9"/>
      <c r="F122" s="9"/>
      <c r="G122" s="11"/>
      <c r="H122" s="5"/>
      <c r="I122" s="8"/>
      <c r="J122" s="8"/>
    </row>
    <row r="123" spans="2:10" ht="12.75" x14ac:dyDescent="0.2">
      <c r="B123" s="6"/>
      <c r="C123" s="6"/>
      <c r="D123" s="6"/>
      <c r="E123" s="9"/>
      <c r="F123" s="9"/>
      <c r="G123" s="11"/>
      <c r="H123" s="5"/>
      <c r="I123" s="8"/>
      <c r="J123" s="8"/>
    </row>
    <row r="124" spans="2:10" ht="12.75" x14ac:dyDescent="0.2">
      <c r="B124" s="6"/>
      <c r="C124" s="6"/>
      <c r="D124" s="6"/>
      <c r="E124" s="9"/>
      <c r="F124" s="9"/>
      <c r="G124" s="11"/>
      <c r="H124" s="5"/>
      <c r="I124" s="8"/>
      <c r="J124" s="8"/>
    </row>
    <row r="125" spans="2:10" ht="12.75" x14ac:dyDescent="0.2">
      <c r="B125" s="6"/>
      <c r="C125" s="6"/>
      <c r="D125" s="6"/>
      <c r="E125" s="9"/>
      <c r="F125" s="9"/>
      <c r="G125" s="11"/>
      <c r="H125" s="5"/>
      <c r="I125" s="8"/>
      <c r="J125" s="8"/>
    </row>
    <row r="126" spans="2:10" ht="12.75" x14ac:dyDescent="0.2">
      <c r="B126" s="6"/>
      <c r="C126" s="6"/>
      <c r="D126" s="6"/>
      <c r="E126" s="9"/>
      <c r="F126" s="9"/>
      <c r="G126" s="11"/>
      <c r="H126" s="5"/>
      <c r="I126" s="8"/>
      <c r="J126" s="8"/>
    </row>
    <row r="127" spans="2:10" ht="12.75" x14ac:dyDescent="0.2">
      <c r="B127" s="6"/>
      <c r="C127" s="6"/>
      <c r="D127" s="6"/>
      <c r="E127" s="9"/>
      <c r="F127" s="9"/>
      <c r="G127" s="11"/>
      <c r="H127" s="5"/>
      <c r="I127" s="8"/>
      <c r="J127" s="8"/>
    </row>
    <row r="128" spans="2:10" ht="12.75" x14ac:dyDescent="0.2">
      <c r="B128" s="6"/>
      <c r="C128" s="6"/>
      <c r="D128" s="6"/>
      <c r="E128" s="9"/>
      <c r="F128" s="9"/>
      <c r="G128" s="11"/>
      <c r="H128" s="5"/>
      <c r="I128" s="8"/>
      <c r="J128" s="8"/>
    </row>
    <row r="129" spans="2:10" ht="12.75" x14ac:dyDescent="0.2">
      <c r="B129" s="6"/>
      <c r="C129" s="6"/>
      <c r="D129" s="6"/>
      <c r="E129" s="9"/>
      <c r="F129" s="9"/>
      <c r="G129" s="11"/>
      <c r="H129" s="5"/>
      <c r="I129" s="8"/>
      <c r="J129" s="8"/>
    </row>
    <row r="130" spans="2:10" ht="12.75" x14ac:dyDescent="0.2">
      <c r="B130" s="6"/>
      <c r="C130" s="6"/>
      <c r="D130" s="6"/>
      <c r="E130" s="9"/>
      <c r="F130" s="9"/>
      <c r="G130" s="11"/>
      <c r="H130" s="5"/>
      <c r="I130" s="8"/>
      <c r="J130" s="8"/>
    </row>
    <row r="131" spans="2:10" ht="12.75" x14ac:dyDescent="0.2">
      <c r="B131" s="6"/>
      <c r="C131" s="6"/>
      <c r="D131" s="6"/>
      <c r="E131" s="9"/>
      <c r="F131" s="9"/>
      <c r="G131" s="11"/>
      <c r="H131" s="5"/>
      <c r="I131" s="8"/>
      <c r="J131" s="8"/>
    </row>
    <row r="132" spans="2:10" ht="12.75" x14ac:dyDescent="0.2">
      <c r="B132" s="6"/>
      <c r="C132" s="6"/>
      <c r="D132" s="6"/>
      <c r="E132" s="9"/>
      <c r="F132" s="9"/>
      <c r="G132" s="11"/>
      <c r="H132" s="5"/>
      <c r="I132" s="8"/>
      <c r="J132" s="8"/>
    </row>
    <row r="133" spans="2:10" ht="12.75" x14ac:dyDescent="0.2">
      <c r="B133" s="6"/>
      <c r="C133" s="6"/>
      <c r="D133" s="6"/>
      <c r="E133" s="9"/>
      <c r="F133" s="9"/>
      <c r="G133" s="11"/>
      <c r="H133" s="5"/>
      <c r="I133" s="8"/>
      <c r="J133" s="8"/>
    </row>
    <row r="134" spans="2:10" ht="12.75" x14ac:dyDescent="0.2">
      <c r="B134" s="6"/>
      <c r="C134" s="6"/>
      <c r="D134" s="6"/>
      <c r="E134" s="9"/>
      <c r="F134" s="9"/>
      <c r="G134" s="11"/>
      <c r="H134" s="5"/>
      <c r="I134" s="8"/>
      <c r="J134" s="8"/>
    </row>
    <row r="135" spans="2:10" ht="12.75" x14ac:dyDescent="0.2">
      <c r="B135" s="6"/>
      <c r="C135" s="6"/>
      <c r="D135" s="6"/>
      <c r="E135" s="9"/>
      <c r="F135" s="9"/>
      <c r="G135" s="11"/>
      <c r="H135" s="5"/>
      <c r="I135" s="8"/>
      <c r="J135" s="8"/>
    </row>
    <row r="136" spans="2:10" ht="12.75" x14ac:dyDescent="0.2">
      <c r="B136" s="6"/>
      <c r="C136" s="6"/>
      <c r="D136" s="6"/>
      <c r="E136" s="9"/>
      <c r="F136" s="9"/>
      <c r="G136" s="11"/>
      <c r="H136" s="5"/>
      <c r="I136" s="8"/>
      <c r="J136" s="8"/>
    </row>
    <row r="137" spans="2:10" ht="12.75" x14ac:dyDescent="0.2">
      <c r="B137" s="6"/>
      <c r="C137" s="6"/>
      <c r="D137" s="6"/>
      <c r="E137" s="9"/>
      <c r="F137" s="9"/>
      <c r="G137" s="11"/>
      <c r="H137" s="5"/>
      <c r="I137" s="8"/>
      <c r="J137" s="8"/>
    </row>
    <row r="138" spans="2:10" ht="12.75" x14ac:dyDescent="0.2">
      <c r="B138" s="6"/>
      <c r="C138" s="6"/>
      <c r="D138" s="6"/>
      <c r="E138" s="9"/>
      <c r="F138" s="9"/>
      <c r="G138" s="11"/>
      <c r="H138" s="5"/>
      <c r="I138" s="8"/>
      <c r="J138" s="8"/>
    </row>
    <row r="139" spans="2:10" ht="12.75" x14ac:dyDescent="0.2">
      <c r="B139" s="6"/>
      <c r="C139" s="6"/>
      <c r="D139" s="6"/>
      <c r="E139" s="9"/>
      <c r="F139" s="9"/>
      <c r="G139" s="11"/>
      <c r="H139" s="5"/>
      <c r="I139" s="8"/>
      <c r="J139" s="8"/>
    </row>
    <row r="140" spans="2:10" ht="12.75" x14ac:dyDescent="0.2">
      <c r="B140" s="6"/>
      <c r="C140" s="6"/>
      <c r="D140" s="6"/>
      <c r="E140" s="9"/>
      <c r="F140" s="9"/>
      <c r="G140" s="11"/>
      <c r="H140" s="5"/>
      <c r="I140" s="8"/>
      <c r="J140" s="8"/>
    </row>
    <row r="141" spans="2:10" ht="12.75" x14ac:dyDescent="0.2">
      <c r="B141" s="6"/>
      <c r="C141" s="6"/>
      <c r="D141" s="6"/>
      <c r="E141" s="9"/>
      <c r="F141" s="9"/>
      <c r="G141" s="11"/>
      <c r="H141" s="5"/>
      <c r="I141" s="8"/>
      <c r="J141" s="8"/>
    </row>
    <row r="142" spans="2:10" ht="12.75" x14ac:dyDescent="0.2">
      <c r="B142" s="6"/>
      <c r="C142" s="6"/>
      <c r="D142" s="6"/>
      <c r="E142" s="9"/>
      <c r="F142" s="9"/>
      <c r="G142" s="11"/>
      <c r="H142" s="5"/>
      <c r="I142" s="8"/>
      <c r="J142" s="8"/>
    </row>
    <row r="143" spans="2:10" ht="12.75" x14ac:dyDescent="0.2">
      <c r="B143" s="6"/>
      <c r="C143" s="6"/>
      <c r="D143" s="6"/>
      <c r="E143" s="9"/>
      <c r="F143" s="9"/>
      <c r="G143" s="11"/>
      <c r="H143" s="5"/>
      <c r="I143" s="8"/>
      <c r="J143" s="8"/>
    </row>
    <row r="144" spans="2:10" ht="12.75" x14ac:dyDescent="0.2">
      <c r="B144" s="6"/>
      <c r="C144" s="6"/>
      <c r="D144" s="6"/>
      <c r="E144" s="9"/>
      <c r="F144" s="9"/>
      <c r="G144" s="11"/>
      <c r="H144" s="5"/>
      <c r="I144" s="8"/>
      <c r="J144" s="8"/>
    </row>
    <row r="145" spans="2:10" ht="12.75" x14ac:dyDescent="0.2">
      <c r="B145" s="6"/>
      <c r="C145" s="6"/>
      <c r="D145" s="6"/>
      <c r="E145" s="9"/>
      <c r="F145" s="9"/>
      <c r="G145" s="11"/>
      <c r="H145" s="5"/>
      <c r="I145" s="8"/>
      <c r="J145" s="8"/>
    </row>
    <row r="146" spans="2:10" ht="12.75" x14ac:dyDescent="0.2">
      <c r="B146" s="6"/>
      <c r="C146" s="6"/>
      <c r="D146" s="6"/>
      <c r="E146" s="9"/>
      <c r="F146" s="9"/>
      <c r="G146" s="11"/>
      <c r="H146" s="5"/>
      <c r="I146" s="8"/>
      <c r="J146" s="8"/>
    </row>
    <row r="147" spans="2:10" ht="12.75" x14ac:dyDescent="0.2">
      <c r="B147" s="6"/>
      <c r="C147" s="6"/>
      <c r="D147" s="6"/>
      <c r="E147" s="9"/>
      <c r="F147" s="9"/>
      <c r="G147" s="11"/>
      <c r="H147" s="5"/>
      <c r="I147" s="8"/>
      <c r="J147" s="8"/>
    </row>
    <row r="148" spans="2:10" ht="12.75" x14ac:dyDescent="0.2">
      <c r="B148" s="6"/>
      <c r="C148" s="6"/>
      <c r="D148" s="6"/>
      <c r="E148" s="9"/>
      <c r="F148" s="9"/>
      <c r="G148" s="11"/>
      <c r="H148" s="5"/>
      <c r="I148" s="8"/>
      <c r="J148" s="8"/>
    </row>
    <row r="149" spans="2:10" ht="12.75" x14ac:dyDescent="0.2">
      <c r="B149" s="6"/>
      <c r="C149" s="6"/>
      <c r="D149" s="6"/>
      <c r="E149" s="9"/>
      <c r="F149" s="9"/>
      <c r="G149" s="11"/>
      <c r="H149" s="5"/>
      <c r="I149" s="8"/>
      <c r="J149" s="8"/>
    </row>
    <row r="150" spans="2:10" ht="12.75" x14ac:dyDescent="0.2">
      <c r="B150" s="6"/>
      <c r="C150" s="6"/>
      <c r="D150" s="6"/>
      <c r="E150" s="9"/>
      <c r="F150" s="9"/>
      <c r="G150" s="11"/>
      <c r="H150" s="5"/>
      <c r="I150" s="8"/>
      <c r="J150" s="8"/>
    </row>
    <row r="151" spans="2:10" ht="12.75" x14ac:dyDescent="0.2">
      <c r="B151" s="6"/>
      <c r="C151" s="6"/>
      <c r="D151" s="6"/>
      <c r="E151" s="9"/>
      <c r="F151" s="9"/>
      <c r="G151" s="11"/>
      <c r="H151" s="5"/>
      <c r="I151" s="8"/>
      <c r="J151" s="8"/>
    </row>
    <row r="152" spans="2:10" ht="12.75" x14ac:dyDescent="0.2">
      <c r="B152" s="6"/>
      <c r="C152" s="6"/>
      <c r="D152" s="6"/>
      <c r="E152" s="9"/>
      <c r="F152" s="9"/>
      <c r="G152" s="11"/>
      <c r="H152" s="5"/>
      <c r="I152" s="8"/>
      <c r="J152" s="8"/>
    </row>
    <row r="153" spans="2:10" ht="12.75" x14ac:dyDescent="0.2">
      <c r="B153" s="6"/>
      <c r="C153" s="6"/>
      <c r="D153" s="6"/>
      <c r="E153" s="9"/>
      <c r="F153" s="9"/>
      <c r="G153" s="11"/>
      <c r="H153" s="5"/>
      <c r="I153" s="8"/>
      <c r="J153" s="8"/>
    </row>
    <row r="154" spans="2:10" ht="12.75" x14ac:dyDescent="0.2">
      <c r="B154" s="6"/>
      <c r="C154" s="6"/>
      <c r="D154" s="6"/>
      <c r="E154" s="9"/>
      <c r="F154" s="9"/>
      <c r="G154" s="11"/>
      <c r="H154" s="5"/>
      <c r="I154" s="8"/>
      <c r="J154" s="8"/>
    </row>
    <row r="155" spans="2:10" ht="12.75" x14ac:dyDescent="0.2">
      <c r="B155" s="6"/>
      <c r="C155" s="6"/>
      <c r="D155" s="6"/>
      <c r="E155" s="9"/>
      <c r="F155" s="9"/>
      <c r="G155" s="11"/>
      <c r="H155" s="5"/>
      <c r="I155" s="8"/>
      <c r="J155" s="8"/>
    </row>
    <row r="156" spans="2:10" ht="12.75" x14ac:dyDescent="0.2">
      <c r="B156" s="6"/>
      <c r="C156" s="6"/>
      <c r="D156" s="6"/>
      <c r="E156" s="9"/>
      <c r="F156" s="9"/>
      <c r="G156" s="11"/>
      <c r="H156" s="5"/>
      <c r="I156" s="8"/>
      <c r="J156" s="8"/>
    </row>
    <row r="157" spans="2:10" ht="12.75" x14ac:dyDescent="0.2">
      <c r="B157" s="6"/>
      <c r="C157" s="6"/>
      <c r="D157" s="6"/>
      <c r="E157" s="9"/>
      <c r="F157" s="9"/>
      <c r="G157" s="11"/>
      <c r="H157" s="5"/>
      <c r="I157" s="8"/>
      <c r="J157" s="8"/>
    </row>
    <row r="158" spans="2:10" ht="12.75" x14ac:dyDescent="0.2">
      <c r="B158" s="6"/>
      <c r="C158" s="6"/>
      <c r="D158" s="6"/>
      <c r="E158" s="9"/>
      <c r="F158" s="9"/>
      <c r="G158" s="11"/>
      <c r="H158" s="5"/>
      <c r="I158" s="8"/>
      <c r="J158" s="8"/>
    </row>
    <row r="159" spans="2:10" ht="12.75" x14ac:dyDescent="0.2">
      <c r="B159" s="6"/>
      <c r="C159" s="6"/>
      <c r="D159" s="6"/>
      <c r="E159" s="9"/>
      <c r="F159" s="9"/>
      <c r="G159" s="11"/>
      <c r="H159" s="5"/>
      <c r="I159" s="8"/>
      <c r="J159" s="8"/>
    </row>
    <row r="160" spans="2:10" ht="12.75" x14ac:dyDescent="0.2">
      <c r="B160" s="6"/>
      <c r="C160" s="6"/>
      <c r="D160" s="6"/>
      <c r="E160" s="9"/>
      <c r="F160" s="9"/>
      <c r="G160" s="11"/>
      <c r="H160" s="5"/>
      <c r="I160" s="8"/>
      <c r="J160" s="8"/>
    </row>
    <row r="161" spans="2:10" ht="12.75" x14ac:dyDescent="0.2">
      <c r="B161" s="6"/>
      <c r="C161" s="6"/>
      <c r="D161" s="6"/>
      <c r="E161" s="9"/>
      <c r="F161" s="9"/>
      <c r="G161" s="11"/>
      <c r="H161" s="5"/>
      <c r="I161" s="8"/>
      <c r="J161" s="8"/>
    </row>
    <row r="162" spans="2:10" ht="12.75" x14ac:dyDescent="0.2">
      <c r="B162" s="6"/>
      <c r="C162" s="6"/>
      <c r="D162" s="6"/>
      <c r="E162" s="9"/>
      <c r="F162" s="9"/>
      <c r="G162" s="11"/>
      <c r="H162" s="5"/>
      <c r="I162" s="8"/>
      <c r="J162" s="8"/>
    </row>
    <row r="163" spans="2:10" ht="12.75" x14ac:dyDescent="0.2">
      <c r="B163" s="6"/>
      <c r="C163" s="6"/>
      <c r="D163" s="6"/>
      <c r="E163" s="9"/>
      <c r="F163" s="9"/>
      <c r="G163" s="11"/>
      <c r="H163" s="5"/>
      <c r="I163" s="8"/>
      <c r="J163" s="8"/>
    </row>
    <row r="164" spans="2:10" ht="12.75" x14ac:dyDescent="0.2">
      <c r="B164" s="6"/>
      <c r="C164" s="6"/>
      <c r="D164" s="6"/>
      <c r="E164" s="9"/>
      <c r="F164" s="9"/>
      <c r="G164" s="11"/>
      <c r="H164" s="5"/>
      <c r="I164" s="8"/>
      <c r="J164" s="8"/>
    </row>
    <row r="165" spans="2:10" ht="12.75" x14ac:dyDescent="0.2">
      <c r="B165" s="6"/>
      <c r="C165" s="6"/>
      <c r="D165" s="6"/>
      <c r="E165" s="9"/>
      <c r="F165" s="9"/>
      <c r="G165" s="11"/>
      <c r="H165" s="5"/>
      <c r="I165" s="8"/>
      <c r="J165" s="8"/>
    </row>
    <row r="166" spans="2:10" ht="12.75" x14ac:dyDescent="0.2">
      <c r="B166" s="6"/>
      <c r="C166" s="6"/>
      <c r="D166" s="6"/>
      <c r="E166" s="9"/>
      <c r="F166" s="9"/>
      <c r="G166" s="11"/>
      <c r="H166" s="5"/>
      <c r="I166" s="8"/>
      <c r="J166" s="8"/>
    </row>
    <row r="167" spans="2:10" ht="12.75" x14ac:dyDescent="0.2">
      <c r="B167" s="6"/>
      <c r="C167" s="6"/>
      <c r="D167" s="6"/>
      <c r="E167" s="9"/>
      <c r="F167" s="9"/>
      <c r="G167" s="11"/>
      <c r="H167" s="5"/>
      <c r="I167" s="8"/>
      <c r="J167" s="8"/>
    </row>
    <row r="168" spans="2:10" ht="12.75" x14ac:dyDescent="0.2">
      <c r="B168" s="6"/>
      <c r="C168" s="6"/>
      <c r="D168" s="6"/>
      <c r="E168" s="9"/>
      <c r="F168" s="9"/>
      <c r="G168" s="11"/>
      <c r="H168" s="5"/>
      <c r="I168" s="8"/>
      <c r="J168" s="8"/>
    </row>
    <row r="169" spans="2:10" ht="12.75" x14ac:dyDescent="0.2">
      <c r="B169" s="6"/>
      <c r="C169" s="6"/>
      <c r="D169" s="6"/>
      <c r="E169" s="9"/>
      <c r="F169" s="9"/>
      <c r="G169" s="11"/>
      <c r="H169" s="5"/>
      <c r="I169" s="8"/>
      <c r="J169" s="8"/>
    </row>
    <row r="170" spans="2:10" ht="12.75" x14ac:dyDescent="0.2">
      <c r="B170" s="6"/>
      <c r="C170" s="6"/>
      <c r="D170" s="6"/>
      <c r="E170" s="9"/>
      <c r="F170" s="9"/>
      <c r="G170" s="11"/>
      <c r="H170" s="5"/>
      <c r="I170" s="8"/>
      <c r="J170" s="8"/>
    </row>
    <row r="171" spans="2:10" ht="12.75" x14ac:dyDescent="0.2">
      <c r="B171" s="6"/>
      <c r="C171" s="6"/>
      <c r="D171" s="6"/>
      <c r="E171" s="9"/>
      <c r="F171" s="9"/>
      <c r="G171" s="11"/>
      <c r="H171" s="5"/>
      <c r="I171" s="8"/>
      <c r="J171" s="8"/>
    </row>
    <row r="172" spans="2:10" ht="12.75" x14ac:dyDescent="0.2">
      <c r="B172" s="6"/>
      <c r="C172" s="6"/>
      <c r="D172" s="6"/>
      <c r="E172" s="9"/>
      <c r="F172" s="9"/>
      <c r="G172" s="11"/>
      <c r="H172" s="5"/>
      <c r="I172" s="8"/>
      <c r="J172" s="8"/>
    </row>
    <row r="173" spans="2:10" ht="12.75" x14ac:dyDescent="0.2">
      <c r="B173" s="6"/>
      <c r="C173" s="6"/>
      <c r="D173" s="6"/>
      <c r="E173" s="9"/>
      <c r="F173" s="9"/>
      <c r="G173" s="11"/>
      <c r="H173" s="5"/>
      <c r="I173" s="8"/>
      <c r="J173" s="8"/>
    </row>
    <row r="174" spans="2:10" ht="12.75" x14ac:dyDescent="0.2">
      <c r="B174" s="6"/>
      <c r="C174" s="6"/>
      <c r="D174" s="6"/>
      <c r="E174" s="9"/>
      <c r="F174" s="9"/>
      <c r="G174" s="11"/>
      <c r="H174" s="5"/>
      <c r="I174" s="8"/>
      <c r="J174" s="8"/>
    </row>
    <row r="175" spans="2:10" ht="12.75" x14ac:dyDescent="0.2">
      <c r="B175" s="6"/>
      <c r="C175" s="6"/>
      <c r="D175" s="6"/>
      <c r="E175" s="9"/>
      <c r="F175" s="9"/>
      <c r="G175" s="11"/>
      <c r="H175" s="5"/>
      <c r="I175" s="8"/>
      <c r="J175" s="8"/>
    </row>
    <row r="176" spans="2:10" ht="12.75" x14ac:dyDescent="0.2">
      <c r="B176" s="6"/>
      <c r="C176" s="6"/>
      <c r="D176" s="6"/>
      <c r="E176" s="9"/>
      <c r="F176" s="9"/>
      <c r="G176" s="11"/>
      <c r="H176" s="5"/>
      <c r="I176" s="8"/>
      <c r="J176" s="8"/>
    </row>
    <row r="177" spans="2:10" ht="12.75" x14ac:dyDescent="0.2">
      <c r="B177" s="6"/>
      <c r="C177" s="6"/>
      <c r="D177" s="6"/>
      <c r="E177" s="9"/>
      <c r="F177" s="9"/>
      <c r="G177" s="11"/>
      <c r="H177" s="5"/>
      <c r="I177" s="8"/>
      <c r="J177" s="8"/>
    </row>
    <row r="178" spans="2:10" ht="12.75" x14ac:dyDescent="0.2">
      <c r="B178" s="6"/>
      <c r="C178" s="6"/>
      <c r="D178" s="6"/>
      <c r="E178" s="9"/>
      <c r="F178" s="9"/>
      <c r="G178" s="11"/>
      <c r="H178" s="5"/>
      <c r="I178" s="8"/>
      <c r="J178" s="8"/>
    </row>
    <row r="179" spans="2:10" ht="12.75" x14ac:dyDescent="0.2">
      <c r="B179" s="6"/>
      <c r="C179" s="6"/>
      <c r="D179" s="6"/>
      <c r="E179" s="9"/>
      <c r="F179" s="9"/>
      <c r="G179" s="11"/>
      <c r="H179" s="5"/>
      <c r="I179" s="8"/>
      <c r="J179" s="8"/>
    </row>
    <row r="180" spans="2:10" ht="12.75" x14ac:dyDescent="0.2">
      <c r="B180" s="6"/>
      <c r="C180" s="6"/>
      <c r="D180" s="6"/>
      <c r="E180" s="9"/>
      <c r="F180" s="9"/>
      <c r="G180" s="11"/>
      <c r="H180" s="5"/>
      <c r="I180" s="8"/>
      <c r="J180" s="8"/>
    </row>
    <row r="181" spans="2:10" ht="12.75" x14ac:dyDescent="0.2">
      <c r="B181" s="6"/>
      <c r="C181" s="6"/>
      <c r="D181" s="6"/>
      <c r="E181" s="9"/>
      <c r="F181" s="9"/>
      <c r="G181" s="11"/>
      <c r="H181" s="5"/>
      <c r="I181" s="8"/>
      <c r="J181" s="8"/>
    </row>
    <row r="182" spans="2:10" ht="12.75" x14ac:dyDescent="0.2">
      <c r="B182" s="6"/>
      <c r="C182" s="6"/>
      <c r="D182" s="6"/>
      <c r="E182" s="9"/>
      <c r="F182" s="9"/>
      <c r="G182" s="11"/>
      <c r="H182" s="5"/>
      <c r="I182" s="8"/>
      <c r="J182" s="8"/>
    </row>
    <row r="183" spans="2:10" ht="12.75" x14ac:dyDescent="0.2">
      <c r="B183" s="6"/>
      <c r="C183" s="6"/>
      <c r="D183" s="6"/>
      <c r="E183" s="9"/>
      <c r="F183" s="9"/>
      <c r="G183" s="11"/>
      <c r="H183" s="5"/>
      <c r="I183" s="8"/>
      <c r="J183" s="8"/>
    </row>
    <row r="184" spans="2:10" ht="12.75" x14ac:dyDescent="0.2">
      <c r="B184" s="6"/>
      <c r="C184" s="6"/>
      <c r="D184" s="6"/>
      <c r="E184" s="9"/>
      <c r="F184" s="9"/>
      <c r="G184" s="11"/>
      <c r="H184" s="5"/>
      <c r="I184" s="8"/>
      <c r="J184" s="8"/>
    </row>
    <row r="185" spans="2:10" ht="12.75" x14ac:dyDescent="0.2">
      <c r="B185" s="6"/>
      <c r="C185" s="6"/>
      <c r="D185" s="6"/>
      <c r="E185" s="9"/>
      <c r="F185" s="9"/>
      <c r="G185" s="11"/>
      <c r="H185" s="5"/>
      <c r="I185" s="8"/>
      <c r="J185" s="8"/>
    </row>
    <row r="186" spans="2:10" ht="12.75" x14ac:dyDescent="0.2">
      <c r="B186" s="6"/>
      <c r="C186" s="6"/>
      <c r="D186" s="6"/>
      <c r="E186" s="9"/>
      <c r="F186" s="9"/>
      <c r="G186" s="11"/>
      <c r="H186" s="5"/>
      <c r="I186" s="8"/>
      <c r="J186" s="8"/>
    </row>
    <row r="187" spans="2:10" ht="12.75" x14ac:dyDescent="0.2">
      <c r="B187" s="6"/>
      <c r="C187" s="6"/>
      <c r="D187" s="6"/>
      <c r="E187" s="9"/>
      <c r="F187" s="9"/>
      <c r="G187" s="11"/>
      <c r="H187" s="5"/>
      <c r="I187" s="8"/>
      <c r="J187" s="8"/>
    </row>
    <row r="188" spans="2:10" ht="12.75" x14ac:dyDescent="0.2">
      <c r="B188" s="6"/>
      <c r="C188" s="6"/>
      <c r="D188" s="6"/>
      <c r="E188" s="9"/>
      <c r="F188" s="9"/>
      <c r="G188" s="11"/>
      <c r="H188" s="5"/>
      <c r="I188" s="8"/>
      <c r="J188" s="8"/>
    </row>
    <row r="189" spans="2:10" ht="12.75" x14ac:dyDescent="0.2">
      <c r="B189" s="6"/>
      <c r="C189" s="6"/>
      <c r="D189" s="6"/>
      <c r="E189" s="9"/>
      <c r="F189" s="9"/>
      <c r="G189" s="11"/>
      <c r="H189" s="5"/>
      <c r="I189" s="8"/>
      <c r="J189" s="8"/>
    </row>
    <row r="190" spans="2:10" ht="12.75" x14ac:dyDescent="0.2">
      <c r="B190" s="6"/>
      <c r="C190" s="6"/>
      <c r="D190" s="6"/>
      <c r="E190" s="9"/>
      <c r="F190" s="9"/>
      <c r="G190" s="11"/>
      <c r="H190" s="5"/>
      <c r="I190" s="8"/>
      <c r="J190" s="8"/>
    </row>
    <row r="191" spans="2:10" ht="12.75" x14ac:dyDescent="0.2">
      <c r="B191" s="6"/>
      <c r="C191" s="6"/>
      <c r="D191" s="6"/>
      <c r="E191" s="9"/>
      <c r="F191" s="9"/>
      <c r="G191" s="11"/>
      <c r="H191" s="5"/>
      <c r="I191" s="8"/>
      <c r="J191" s="8"/>
    </row>
    <row r="192" spans="2:10" ht="12.75" x14ac:dyDescent="0.2">
      <c r="B192" s="6"/>
      <c r="C192" s="6"/>
      <c r="D192" s="6"/>
      <c r="E192" s="9"/>
      <c r="F192" s="9"/>
      <c r="G192" s="11"/>
      <c r="H192" s="5"/>
      <c r="I192" s="8"/>
      <c r="J192" s="8"/>
    </row>
    <row r="193" spans="2:10" ht="12.75" x14ac:dyDescent="0.2">
      <c r="B193" s="6"/>
      <c r="C193" s="6"/>
      <c r="D193" s="6"/>
      <c r="E193" s="9"/>
      <c r="F193" s="9"/>
      <c r="G193" s="11"/>
      <c r="H193" s="5"/>
      <c r="I193" s="8"/>
      <c r="J193" s="8"/>
    </row>
    <row r="194" spans="2:10" ht="12.75" x14ac:dyDescent="0.2">
      <c r="B194" s="6"/>
      <c r="C194" s="6"/>
      <c r="D194" s="6"/>
      <c r="E194" s="9"/>
      <c r="F194" s="9"/>
      <c r="G194" s="11"/>
      <c r="H194" s="5"/>
      <c r="I194" s="8"/>
      <c r="J194" s="8"/>
    </row>
    <row r="195" spans="2:10" ht="12.75" x14ac:dyDescent="0.2">
      <c r="B195" s="6"/>
      <c r="C195" s="6"/>
      <c r="D195" s="6"/>
      <c r="E195" s="9"/>
      <c r="F195" s="9"/>
      <c r="G195" s="11"/>
      <c r="H195" s="5"/>
      <c r="I195" s="8"/>
      <c r="J195" s="8"/>
    </row>
    <row r="196" spans="2:10" ht="12.75" x14ac:dyDescent="0.2">
      <c r="B196" s="6"/>
      <c r="C196" s="6"/>
      <c r="D196" s="6"/>
      <c r="E196" s="9"/>
      <c r="F196" s="9"/>
      <c r="G196" s="11"/>
      <c r="H196" s="5"/>
      <c r="I196" s="8"/>
      <c r="J196" s="8"/>
    </row>
    <row r="197" spans="2:10" ht="12.75" x14ac:dyDescent="0.2">
      <c r="B197" s="6"/>
      <c r="C197" s="6"/>
      <c r="D197" s="6"/>
      <c r="E197" s="9"/>
      <c r="F197" s="9"/>
      <c r="G197" s="11"/>
      <c r="H197" s="5"/>
      <c r="I197" s="8"/>
      <c r="J197" s="8"/>
    </row>
    <row r="198" spans="2:10" ht="12.75" x14ac:dyDescent="0.2">
      <c r="B198" s="6"/>
      <c r="C198" s="6"/>
      <c r="D198" s="6"/>
      <c r="E198" s="9"/>
      <c r="F198" s="9"/>
      <c r="G198" s="11"/>
      <c r="H198" s="5"/>
      <c r="I198" s="8"/>
      <c r="J198" s="8"/>
    </row>
    <row r="199" spans="2:10" ht="12.75" x14ac:dyDescent="0.2">
      <c r="B199" s="6"/>
      <c r="C199" s="6"/>
      <c r="D199" s="6"/>
      <c r="E199" s="9"/>
      <c r="F199" s="9"/>
      <c r="G199" s="11"/>
      <c r="H199" s="5"/>
      <c r="I199" s="8"/>
      <c r="J199" s="8"/>
    </row>
    <row r="200" spans="2:10" ht="12.75" x14ac:dyDescent="0.2">
      <c r="B200" s="6"/>
      <c r="C200" s="6"/>
      <c r="D200" s="6"/>
      <c r="E200" s="9"/>
      <c r="F200" s="9"/>
      <c r="G200" s="11"/>
      <c r="H200" s="5"/>
      <c r="I200" s="8"/>
      <c r="J200" s="8"/>
    </row>
    <row r="201" spans="2:10" ht="12.75" x14ac:dyDescent="0.2">
      <c r="B201" s="6"/>
      <c r="C201" s="6"/>
      <c r="D201" s="6"/>
      <c r="E201" s="9"/>
      <c r="F201" s="9"/>
      <c r="G201" s="11"/>
      <c r="H201" s="5"/>
      <c r="I201" s="8"/>
      <c r="J201" s="8"/>
    </row>
    <row r="202" spans="2:10" ht="12.75" x14ac:dyDescent="0.2">
      <c r="B202" s="6"/>
      <c r="C202" s="6"/>
      <c r="D202" s="6"/>
      <c r="E202" s="9"/>
      <c r="F202" s="9"/>
      <c r="G202" s="11"/>
      <c r="H202" s="5"/>
      <c r="I202" s="8"/>
      <c r="J202" s="8"/>
    </row>
    <row r="203" spans="2:10" ht="12.75" x14ac:dyDescent="0.2">
      <c r="B203" s="6"/>
      <c r="C203" s="6"/>
      <c r="D203" s="6"/>
      <c r="E203" s="9"/>
      <c r="F203" s="9"/>
      <c r="G203" s="11"/>
      <c r="H203" s="5"/>
      <c r="I203" s="8"/>
      <c r="J203" s="8"/>
    </row>
    <row r="204" spans="2:10" ht="12.75" x14ac:dyDescent="0.2">
      <c r="B204" s="6"/>
      <c r="C204" s="6"/>
      <c r="D204" s="6"/>
      <c r="E204" s="9"/>
      <c r="F204" s="9"/>
      <c r="G204" s="11"/>
      <c r="H204" s="5"/>
      <c r="I204" s="8"/>
      <c r="J204" s="8"/>
    </row>
    <row r="205" spans="2:10" ht="12.75" x14ac:dyDescent="0.2">
      <c r="B205" s="6"/>
      <c r="C205" s="6"/>
      <c r="D205" s="6"/>
      <c r="E205" s="9"/>
      <c r="F205" s="9"/>
      <c r="G205" s="11"/>
      <c r="H205" s="5"/>
      <c r="I205" s="8"/>
      <c r="J205" s="8"/>
    </row>
    <row r="206" spans="2:10" ht="12.75" x14ac:dyDescent="0.2">
      <c r="B206" s="6"/>
      <c r="C206" s="6"/>
      <c r="D206" s="6"/>
      <c r="E206" s="9"/>
      <c r="F206" s="9"/>
      <c r="G206" s="11"/>
      <c r="H206" s="5"/>
      <c r="I206" s="8"/>
      <c r="J206" s="8"/>
    </row>
    <row r="207" spans="2:10" ht="12.75" x14ac:dyDescent="0.2">
      <c r="B207" s="6"/>
      <c r="C207" s="6"/>
      <c r="D207" s="6"/>
      <c r="E207" s="9"/>
      <c r="F207" s="9"/>
      <c r="G207" s="11"/>
      <c r="H207" s="5"/>
      <c r="I207" s="8"/>
      <c r="J207" s="8"/>
    </row>
    <row r="208" spans="2:10" ht="12.75" x14ac:dyDescent="0.2">
      <c r="B208" s="6"/>
      <c r="C208" s="6"/>
      <c r="D208" s="6"/>
      <c r="E208" s="9"/>
      <c r="F208" s="9"/>
      <c r="G208" s="11"/>
      <c r="H208" s="5"/>
      <c r="I208" s="8"/>
      <c r="J208" s="8"/>
    </row>
    <row r="209" spans="2:10" ht="12.75" x14ac:dyDescent="0.2">
      <c r="B209" s="6"/>
      <c r="C209" s="6"/>
      <c r="D209" s="6"/>
      <c r="E209" s="9"/>
      <c r="F209" s="9"/>
      <c r="G209" s="11"/>
      <c r="H209" s="5"/>
      <c r="I209" s="8"/>
      <c r="J209" s="8"/>
    </row>
    <row r="210" spans="2:10" ht="12.75" x14ac:dyDescent="0.2">
      <c r="B210" s="6"/>
      <c r="C210" s="6"/>
      <c r="D210" s="6"/>
      <c r="E210" s="9"/>
      <c r="F210" s="9"/>
      <c r="G210" s="11"/>
      <c r="H210" s="5"/>
      <c r="I210" s="8"/>
      <c r="J210" s="8"/>
    </row>
    <row r="211" spans="2:10" ht="12.75" x14ac:dyDescent="0.2">
      <c r="B211" s="6"/>
      <c r="C211" s="6"/>
      <c r="D211" s="6"/>
      <c r="E211" s="9"/>
      <c r="F211" s="9"/>
      <c r="G211" s="11"/>
      <c r="H211" s="5"/>
      <c r="I211" s="8"/>
      <c r="J211" s="8"/>
    </row>
    <row r="212" spans="2:10" ht="12.75" x14ac:dyDescent="0.2">
      <c r="B212" s="6"/>
      <c r="C212" s="6"/>
      <c r="D212" s="6"/>
      <c r="E212" s="9"/>
      <c r="F212" s="9"/>
      <c r="G212" s="11"/>
      <c r="H212" s="5"/>
      <c r="I212" s="8"/>
      <c r="J212" s="8"/>
    </row>
    <row r="213" spans="2:10" ht="12.75" x14ac:dyDescent="0.2">
      <c r="B213" s="6"/>
      <c r="C213" s="6"/>
      <c r="D213" s="6"/>
      <c r="E213" s="9"/>
      <c r="F213" s="9"/>
      <c r="G213" s="11"/>
      <c r="H213" s="5"/>
      <c r="I213" s="8"/>
      <c r="J213" s="8"/>
    </row>
    <row r="214" spans="2:10" ht="12.75" x14ac:dyDescent="0.2">
      <c r="B214" s="6"/>
      <c r="C214" s="6"/>
      <c r="D214" s="6"/>
      <c r="E214" s="9"/>
      <c r="F214" s="9"/>
      <c r="G214" s="11"/>
      <c r="H214" s="5"/>
      <c r="I214" s="8"/>
      <c r="J214" s="8"/>
    </row>
    <row r="215" spans="2:10" ht="12.75" x14ac:dyDescent="0.2">
      <c r="B215" s="6"/>
      <c r="C215" s="6"/>
      <c r="D215" s="6"/>
      <c r="E215" s="9"/>
      <c r="F215" s="9"/>
      <c r="G215" s="11"/>
      <c r="H215" s="5"/>
      <c r="I215" s="8"/>
      <c r="J215" s="8"/>
    </row>
    <row r="216" spans="2:10" ht="12.75" x14ac:dyDescent="0.2">
      <c r="B216" s="6"/>
      <c r="C216" s="6"/>
      <c r="D216" s="6"/>
      <c r="E216" s="9"/>
      <c r="F216" s="9"/>
      <c r="G216" s="11"/>
      <c r="H216" s="5"/>
      <c r="I216" s="8"/>
      <c r="J216" s="8"/>
    </row>
    <row r="217" spans="2:10" ht="12.75" x14ac:dyDescent="0.2">
      <c r="B217" s="6"/>
      <c r="C217" s="6"/>
      <c r="D217" s="6"/>
      <c r="E217" s="9"/>
      <c r="F217" s="9"/>
      <c r="G217" s="11"/>
      <c r="H217" s="5"/>
      <c r="I217" s="8"/>
      <c r="J217" s="8"/>
    </row>
    <row r="218" spans="2:10" ht="12.75" x14ac:dyDescent="0.2">
      <c r="B218" s="6"/>
      <c r="C218" s="6"/>
      <c r="D218" s="6"/>
      <c r="E218" s="9"/>
      <c r="F218" s="9"/>
      <c r="G218" s="11"/>
      <c r="H218" s="5"/>
      <c r="I218" s="8"/>
      <c r="J218" s="8"/>
    </row>
    <row r="219" spans="2:10" ht="12.75" x14ac:dyDescent="0.2">
      <c r="B219" s="6"/>
      <c r="C219" s="6"/>
      <c r="D219" s="6"/>
      <c r="E219" s="9"/>
      <c r="F219" s="9"/>
      <c r="G219" s="11"/>
      <c r="H219" s="5"/>
      <c r="I219" s="8"/>
      <c r="J219" s="8"/>
    </row>
    <row r="220" spans="2:10" ht="12.75" x14ac:dyDescent="0.2">
      <c r="B220" s="6"/>
      <c r="C220" s="6"/>
      <c r="D220" s="6"/>
      <c r="E220" s="9"/>
      <c r="F220" s="9"/>
      <c r="G220" s="11"/>
      <c r="H220" s="5"/>
      <c r="I220" s="8"/>
      <c r="J220" s="8"/>
    </row>
    <row r="221" spans="2:10" ht="12.75" x14ac:dyDescent="0.2">
      <c r="B221" s="6"/>
      <c r="C221" s="6"/>
      <c r="D221" s="6"/>
      <c r="E221" s="9"/>
      <c r="F221" s="9"/>
      <c r="G221" s="11"/>
      <c r="H221" s="5"/>
      <c r="I221" s="8"/>
      <c r="J221" s="8"/>
    </row>
    <row r="222" spans="2:10" ht="12.75" x14ac:dyDescent="0.2">
      <c r="B222" s="6"/>
      <c r="C222" s="6"/>
      <c r="D222" s="6"/>
      <c r="E222" s="9"/>
      <c r="F222" s="9"/>
      <c r="G222" s="11"/>
      <c r="H222" s="5"/>
      <c r="I222" s="8"/>
      <c r="J222" s="8"/>
    </row>
    <row r="223" spans="2:10" ht="12.75" x14ac:dyDescent="0.2">
      <c r="B223" s="6"/>
      <c r="C223" s="6"/>
      <c r="D223" s="6"/>
      <c r="E223" s="9"/>
      <c r="F223" s="9"/>
      <c r="G223" s="11"/>
      <c r="H223" s="5"/>
      <c r="I223" s="8"/>
      <c r="J223" s="8"/>
    </row>
    <row r="224" spans="2:10" ht="12.75" x14ac:dyDescent="0.2">
      <c r="B224" s="6"/>
      <c r="C224" s="6"/>
      <c r="D224" s="6"/>
      <c r="E224" s="9"/>
      <c r="F224" s="9"/>
      <c r="G224" s="11"/>
      <c r="H224" s="5"/>
      <c r="I224" s="8"/>
      <c r="J224" s="8"/>
    </row>
    <row r="225" spans="2:10" ht="12.75" x14ac:dyDescent="0.2">
      <c r="B225" s="6"/>
      <c r="C225" s="6"/>
      <c r="D225" s="6"/>
      <c r="E225" s="9"/>
      <c r="F225" s="9"/>
      <c r="G225" s="11"/>
      <c r="H225" s="5"/>
      <c r="I225" s="8"/>
      <c r="J225" s="8"/>
    </row>
    <row r="226" spans="2:10" ht="12.75" x14ac:dyDescent="0.2">
      <c r="B226" s="6"/>
      <c r="C226" s="6"/>
      <c r="D226" s="6"/>
      <c r="E226" s="9"/>
      <c r="F226" s="9"/>
      <c r="G226" s="11"/>
      <c r="H226" s="5"/>
      <c r="I226" s="8"/>
      <c r="J226" s="8"/>
    </row>
    <row r="227" spans="2:10" ht="12.75" x14ac:dyDescent="0.2">
      <c r="B227" s="6"/>
      <c r="C227" s="6"/>
      <c r="D227" s="6"/>
      <c r="E227" s="9"/>
      <c r="F227" s="9"/>
      <c r="G227" s="11"/>
      <c r="H227" s="5"/>
      <c r="I227" s="8"/>
      <c r="J227" s="8"/>
    </row>
    <row r="228" spans="2:10" ht="12.75" x14ac:dyDescent="0.2">
      <c r="B228" s="6"/>
      <c r="C228" s="6"/>
      <c r="D228" s="6"/>
      <c r="E228" s="9"/>
      <c r="F228" s="9"/>
      <c r="G228" s="11"/>
      <c r="H228" s="5"/>
      <c r="I228" s="8"/>
      <c r="J228" s="8"/>
    </row>
    <row r="229" spans="2:10" ht="12.75" x14ac:dyDescent="0.2">
      <c r="B229" s="6"/>
      <c r="C229" s="6"/>
      <c r="D229" s="6"/>
      <c r="E229" s="9"/>
      <c r="F229" s="9"/>
      <c r="G229" s="11"/>
      <c r="H229" s="5"/>
      <c r="I229" s="8"/>
      <c r="J229" s="8"/>
    </row>
    <row r="230" spans="2:10" ht="12.75" x14ac:dyDescent="0.2">
      <c r="B230" s="6"/>
      <c r="C230" s="6"/>
      <c r="D230" s="6"/>
      <c r="E230" s="9"/>
      <c r="F230" s="9"/>
      <c r="G230" s="11"/>
      <c r="H230" s="5"/>
      <c r="I230" s="8"/>
      <c r="J230" s="8"/>
    </row>
    <row r="231" spans="2:10" ht="12.75" x14ac:dyDescent="0.2">
      <c r="B231" s="6"/>
      <c r="C231" s="6"/>
      <c r="D231" s="6"/>
      <c r="E231" s="9"/>
      <c r="F231" s="9"/>
      <c r="G231" s="11"/>
      <c r="H231" s="5"/>
      <c r="I231" s="8"/>
      <c r="J231" s="8"/>
    </row>
    <row r="232" spans="2:10" ht="12.75" x14ac:dyDescent="0.2">
      <c r="B232" s="6"/>
      <c r="C232" s="6"/>
      <c r="D232" s="6"/>
      <c r="E232" s="9"/>
      <c r="F232" s="9"/>
      <c r="G232" s="11"/>
      <c r="H232" s="5"/>
      <c r="I232" s="8"/>
      <c r="J232" s="8"/>
    </row>
    <row r="233" spans="2:10" ht="12.75" x14ac:dyDescent="0.2">
      <c r="B233" s="6"/>
      <c r="C233" s="6"/>
      <c r="D233" s="6"/>
      <c r="E233" s="9"/>
      <c r="F233" s="9"/>
      <c r="G233" s="11"/>
      <c r="H233" s="5"/>
      <c r="I233" s="8"/>
      <c r="J233" s="8"/>
    </row>
    <row r="234" spans="2:10" ht="12.75" x14ac:dyDescent="0.2">
      <c r="B234" s="6"/>
      <c r="C234" s="6"/>
      <c r="D234" s="6"/>
      <c r="E234" s="9"/>
      <c r="F234" s="9"/>
      <c r="G234" s="11"/>
      <c r="H234" s="5"/>
      <c r="I234" s="8"/>
      <c r="J234" s="8"/>
    </row>
    <row r="235" spans="2:10" ht="12.75" x14ac:dyDescent="0.2">
      <c r="B235" s="6"/>
      <c r="C235" s="6"/>
      <c r="D235" s="6"/>
      <c r="E235" s="9"/>
      <c r="F235" s="9"/>
      <c r="G235" s="11"/>
      <c r="H235" s="5"/>
      <c r="I235" s="8"/>
      <c r="J235" s="8"/>
    </row>
    <row r="236" spans="2:10" ht="12.75" x14ac:dyDescent="0.2">
      <c r="B236" s="6"/>
      <c r="C236" s="6"/>
      <c r="D236" s="6"/>
      <c r="E236" s="9"/>
      <c r="F236" s="9"/>
      <c r="G236" s="11"/>
      <c r="H236" s="5"/>
      <c r="I236" s="8"/>
      <c r="J236" s="8"/>
    </row>
    <row r="237" spans="2:10" ht="12.75" x14ac:dyDescent="0.2">
      <c r="B237" s="6"/>
      <c r="C237" s="6"/>
      <c r="D237" s="6"/>
      <c r="E237" s="9"/>
      <c r="F237" s="9"/>
      <c r="G237" s="11"/>
      <c r="H237" s="5"/>
      <c r="I237" s="8"/>
      <c r="J237" s="8"/>
    </row>
    <row r="238" spans="2:10" ht="12.75" x14ac:dyDescent="0.2">
      <c r="B238" s="6"/>
      <c r="C238" s="6"/>
      <c r="D238" s="6"/>
      <c r="E238" s="9"/>
      <c r="F238" s="9"/>
      <c r="G238" s="11"/>
      <c r="H238" s="5"/>
      <c r="I238" s="8"/>
      <c r="J238" s="8"/>
    </row>
    <row r="239" spans="2:10" ht="12.75" x14ac:dyDescent="0.2">
      <c r="B239" s="6"/>
      <c r="C239" s="6"/>
      <c r="D239" s="6"/>
      <c r="E239" s="9"/>
      <c r="F239" s="9"/>
      <c r="G239" s="11"/>
      <c r="H239" s="5"/>
      <c r="I239" s="8"/>
      <c r="J239" s="8"/>
    </row>
    <row r="240" spans="2:10" ht="12.75" x14ac:dyDescent="0.2">
      <c r="B240" s="6"/>
      <c r="C240" s="6"/>
      <c r="D240" s="6"/>
      <c r="E240" s="9"/>
      <c r="F240" s="9"/>
      <c r="G240" s="11"/>
      <c r="H240" s="5"/>
      <c r="I240" s="8"/>
      <c r="J240" s="8"/>
    </row>
    <row r="241" spans="2:10" ht="12.75" x14ac:dyDescent="0.2">
      <c r="B241" s="6"/>
      <c r="C241" s="6"/>
      <c r="D241" s="6"/>
      <c r="E241" s="9"/>
      <c r="F241" s="9"/>
      <c r="G241" s="11"/>
      <c r="H241" s="5"/>
      <c r="I241" s="8"/>
      <c r="J241" s="8"/>
    </row>
    <row r="242" spans="2:10" ht="12.75" x14ac:dyDescent="0.2">
      <c r="B242" s="6"/>
      <c r="C242" s="6"/>
      <c r="D242" s="6"/>
      <c r="E242" s="9"/>
      <c r="F242" s="9"/>
      <c r="G242" s="11"/>
      <c r="H242" s="5"/>
      <c r="I242" s="8"/>
      <c r="J242" s="8"/>
    </row>
    <row r="243" spans="2:10" ht="12.75" x14ac:dyDescent="0.2">
      <c r="B243" s="6"/>
      <c r="C243" s="6"/>
      <c r="D243" s="6"/>
      <c r="E243" s="9"/>
      <c r="F243" s="9"/>
      <c r="G243" s="11"/>
      <c r="H243" s="5"/>
      <c r="I243" s="8"/>
      <c r="J243" s="8"/>
    </row>
    <row r="244" spans="2:10" ht="12.75" x14ac:dyDescent="0.2">
      <c r="B244" s="6"/>
      <c r="C244" s="6"/>
      <c r="D244" s="6"/>
      <c r="E244" s="9"/>
      <c r="F244" s="9"/>
      <c r="G244" s="11"/>
      <c r="H244" s="5"/>
      <c r="I244" s="8"/>
      <c r="J244" s="8"/>
    </row>
    <row r="245" spans="2:10" ht="12.75" x14ac:dyDescent="0.2">
      <c r="B245" s="6"/>
      <c r="C245" s="6"/>
      <c r="D245" s="6"/>
      <c r="E245" s="9"/>
      <c r="F245" s="9"/>
      <c r="G245" s="11"/>
      <c r="H245" s="5"/>
      <c r="I245" s="8"/>
      <c r="J245" s="8"/>
    </row>
    <row r="246" spans="2:10" ht="12.75" x14ac:dyDescent="0.2">
      <c r="B246" s="6"/>
      <c r="C246" s="6"/>
      <c r="D246" s="6"/>
      <c r="E246" s="9"/>
      <c r="F246" s="9"/>
      <c r="G246" s="11"/>
      <c r="H246" s="5"/>
      <c r="I246" s="8"/>
      <c r="J246" s="8"/>
    </row>
    <row r="247" spans="2:10" ht="12.75" x14ac:dyDescent="0.2">
      <c r="B247" s="6"/>
      <c r="C247" s="6"/>
      <c r="D247" s="6"/>
      <c r="E247" s="9"/>
      <c r="F247" s="9"/>
      <c r="G247" s="11"/>
      <c r="H247" s="5"/>
      <c r="I247" s="8"/>
      <c r="J247" s="8"/>
    </row>
    <row r="248" spans="2:10" ht="12.75" x14ac:dyDescent="0.2">
      <c r="B248" s="6"/>
      <c r="C248" s="6"/>
      <c r="D248" s="6"/>
      <c r="E248" s="9"/>
      <c r="F248" s="9"/>
      <c r="G248" s="11"/>
      <c r="H248" s="5"/>
      <c r="I248" s="8"/>
      <c r="J248" s="8"/>
    </row>
    <row r="249" spans="2:10" ht="12.75" x14ac:dyDescent="0.2">
      <c r="B249" s="6"/>
      <c r="C249" s="6"/>
      <c r="D249" s="6"/>
      <c r="E249" s="9"/>
      <c r="F249" s="9"/>
      <c r="G249" s="11"/>
      <c r="H249" s="5"/>
      <c r="I249" s="8"/>
      <c r="J249" s="8"/>
    </row>
    <row r="250" spans="2:10" ht="12.75" x14ac:dyDescent="0.2">
      <c r="B250" s="6"/>
      <c r="C250" s="6"/>
      <c r="D250" s="6"/>
      <c r="E250" s="9"/>
      <c r="F250" s="9"/>
      <c r="G250" s="11"/>
      <c r="H250" s="5"/>
      <c r="I250" s="8"/>
      <c r="J250" s="8"/>
    </row>
    <row r="251" spans="2:10" ht="12.75" x14ac:dyDescent="0.2">
      <c r="B251" s="6"/>
      <c r="C251" s="6"/>
      <c r="D251" s="6"/>
      <c r="E251" s="9"/>
      <c r="F251" s="9"/>
      <c r="G251" s="11"/>
      <c r="H251" s="5"/>
      <c r="I251" s="8"/>
      <c r="J251" s="8"/>
    </row>
    <row r="252" spans="2:10" ht="12.75" x14ac:dyDescent="0.2">
      <c r="B252" s="6"/>
      <c r="C252" s="6"/>
      <c r="D252" s="6"/>
      <c r="E252" s="9"/>
      <c r="F252" s="9"/>
      <c r="G252" s="11"/>
      <c r="H252" s="5"/>
      <c r="I252" s="8"/>
      <c r="J252" s="8"/>
    </row>
    <row r="253" spans="2:10" ht="12.75" x14ac:dyDescent="0.2">
      <c r="B253" s="6"/>
      <c r="C253" s="6"/>
      <c r="D253" s="6"/>
      <c r="E253" s="9"/>
      <c r="F253" s="9"/>
      <c r="G253" s="11"/>
      <c r="H253" s="5"/>
      <c r="I253" s="8"/>
      <c r="J253" s="8"/>
    </row>
    <row r="254" spans="2:10" ht="12.75" x14ac:dyDescent="0.2">
      <c r="B254" s="6"/>
      <c r="C254" s="6"/>
      <c r="D254" s="6"/>
      <c r="E254" s="9"/>
      <c r="F254" s="9"/>
      <c r="G254" s="11"/>
      <c r="H254" s="5"/>
      <c r="I254" s="8"/>
      <c r="J254" s="8"/>
    </row>
    <row r="255" spans="2:10" ht="12.75" x14ac:dyDescent="0.2">
      <c r="B255" s="6"/>
      <c r="C255" s="6"/>
      <c r="D255" s="6"/>
      <c r="E255" s="9"/>
      <c r="F255" s="9"/>
      <c r="G255" s="11"/>
      <c r="H255" s="5"/>
      <c r="I255" s="8"/>
      <c r="J255" s="8"/>
    </row>
    <row r="256" spans="2:10" ht="12.75" x14ac:dyDescent="0.2">
      <c r="B256" s="6"/>
      <c r="C256" s="6"/>
      <c r="D256" s="6"/>
      <c r="E256" s="9"/>
      <c r="F256" s="9"/>
      <c r="G256" s="11"/>
      <c r="H256" s="5"/>
      <c r="I256" s="8"/>
      <c r="J256" s="8"/>
    </row>
    <row r="257" spans="2:10" ht="12.75" x14ac:dyDescent="0.2">
      <c r="B257" s="6"/>
      <c r="C257" s="6"/>
      <c r="D257" s="6"/>
      <c r="E257" s="9"/>
      <c r="F257" s="9"/>
      <c r="G257" s="11"/>
      <c r="H257" s="5"/>
      <c r="I257" s="8"/>
      <c r="J257" s="8"/>
    </row>
    <row r="258" spans="2:10" ht="12.75" x14ac:dyDescent="0.2">
      <c r="B258" s="6"/>
      <c r="C258" s="6"/>
      <c r="D258" s="6"/>
      <c r="E258" s="9"/>
      <c r="F258" s="9"/>
      <c r="G258" s="11"/>
      <c r="H258" s="5"/>
      <c r="I258" s="8"/>
      <c r="J258" s="8"/>
    </row>
    <row r="259" spans="2:10" ht="12.75" x14ac:dyDescent="0.2">
      <c r="B259" s="6"/>
      <c r="C259" s="6"/>
      <c r="D259" s="6"/>
      <c r="E259" s="9"/>
      <c r="F259" s="9"/>
      <c r="G259" s="11"/>
      <c r="H259" s="5"/>
      <c r="I259" s="8"/>
      <c r="J259" s="8"/>
    </row>
    <row r="260" spans="2:10" ht="12.75" x14ac:dyDescent="0.2">
      <c r="B260" s="6"/>
      <c r="C260" s="6"/>
      <c r="D260" s="6"/>
      <c r="E260" s="9"/>
      <c r="F260" s="9"/>
      <c r="G260" s="11"/>
      <c r="H260" s="5"/>
      <c r="I260" s="8"/>
      <c r="J260" s="8"/>
    </row>
    <row r="261" spans="2:10" ht="12.75" x14ac:dyDescent="0.2">
      <c r="B261" s="6"/>
      <c r="C261" s="6"/>
      <c r="D261" s="6"/>
      <c r="E261" s="9"/>
      <c r="F261" s="9"/>
      <c r="G261" s="11"/>
      <c r="H261" s="5"/>
      <c r="I261" s="8"/>
      <c r="J261" s="8"/>
    </row>
    <row r="262" spans="2:10" ht="12.75" x14ac:dyDescent="0.2">
      <c r="B262" s="6"/>
      <c r="C262" s="6"/>
      <c r="D262" s="6"/>
      <c r="E262" s="9"/>
      <c r="F262" s="9"/>
      <c r="G262" s="11"/>
      <c r="H262" s="5"/>
      <c r="I262" s="8"/>
      <c r="J262" s="8"/>
    </row>
    <row r="263" spans="2:10" ht="12.75" x14ac:dyDescent="0.2">
      <c r="B263" s="6"/>
      <c r="C263" s="6"/>
      <c r="D263" s="6"/>
      <c r="E263" s="9"/>
      <c r="F263" s="9"/>
      <c r="G263" s="11"/>
      <c r="H263" s="5"/>
      <c r="I263" s="8"/>
      <c r="J263" s="8"/>
    </row>
    <row r="264" spans="2:10" ht="12.75" x14ac:dyDescent="0.2">
      <c r="B264" s="6"/>
      <c r="C264" s="6"/>
      <c r="D264" s="6"/>
      <c r="E264" s="9"/>
      <c r="F264" s="9"/>
      <c r="G264" s="11"/>
      <c r="H264" s="5"/>
      <c r="I264" s="8"/>
      <c r="J264" s="8"/>
    </row>
    <row r="265" spans="2:10" ht="12.75" x14ac:dyDescent="0.2">
      <c r="B265" s="6"/>
      <c r="C265" s="6"/>
      <c r="D265" s="6"/>
      <c r="E265" s="9"/>
      <c r="F265" s="9"/>
      <c r="G265" s="11"/>
      <c r="H265" s="5"/>
      <c r="I265" s="8"/>
      <c r="J265" s="8"/>
    </row>
    <row r="266" spans="2:10" ht="12.75" x14ac:dyDescent="0.2">
      <c r="B266" s="6"/>
      <c r="C266" s="6"/>
      <c r="D266" s="6"/>
      <c r="E266" s="9"/>
      <c r="F266" s="9"/>
      <c r="G266" s="11"/>
      <c r="H266" s="5"/>
      <c r="I266" s="8"/>
      <c r="J266" s="8"/>
    </row>
    <row r="267" spans="2:10" ht="12.75" x14ac:dyDescent="0.2">
      <c r="B267" s="6"/>
      <c r="C267" s="6"/>
      <c r="D267" s="6"/>
      <c r="E267" s="9"/>
      <c r="F267" s="9"/>
      <c r="G267" s="11"/>
      <c r="H267" s="5"/>
      <c r="I267" s="8"/>
      <c r="J267" s="8"/>
    </row>
    <row r="268" spans="2:10" ht="12.75" x14ac:dyDescent="0.2">
      <c r="B268" s="6"/>
      <c r="C268" s="6"/>
      <c r="D268" s="6"/>
      <c r="E268" s="9"/>
      <c r="F268" s="9"/>
      <c r="G268" s="11"/>
      <c r="H268" s="5"/>
      <c r="I268" s="8"/>
      <c r="J268" s="8"/>
    </row>
    <row r="269" spans="2:10" ht="12.75" x14ac:dyDescent="0.2">
      <c r="B269" s="6"/>
      <c r="C269" s="6"/>
      <c r="D269" s="6"/>
      <c r="E269" s="9"/>
      <c r="F269" s="9"/>
      <c r="G269" s="11"/>
      <c r="H269" s="5"/>
      <c r="I269" s="8"/>
      <c r="J269" s="8"/>
    </row>
    <row r="270" spans="2:10" ht="12.75" x14ac:dyDescent="0.2">
      <c r="B270" s="6"/>
      <c r="C270" s="6"/>
      <c r="D270" s="6"/>
      <c r="E270" s="9"/>
      <c r="F270" s="9"/>
      <c r="G270" s="11"/>
      <c r="H270" s="5"/>
      <c r="I270" s="8"/>
      <c r="J270" s="8"/>
    </row>
    <row r="271" spans="2:10" ht="12.75" x14ac:dyDescent="0.2">
      <c r="B271" s="6"/>
      <c r="C271" s="6"/>
      <c r="D271" s="6"/>
      <c r="E271" s="9"/>
      <c r="F271" s="9"/>
      <c r="G271" s="11"/>
      <c r="H271" s="5"/>
      <c r="I271" s="8"/>
      <c r="J271" s="8"/>
    </row>
    <row r="272" spans="2:10" ht="12.75" x14ac:dyDescent="0.2">
      <c r="B272" s="6"/>
      <c r="C272" s="6"/>
      <c r="D272" s="6"/>
      <c r="E272" s="9"/>
      <c r="F272" s="9"/>
      <c r="G272" s="11"/>
      <c r="H272" s="5"/>
      <c r="I272" s="8"/>
      <c r="J272" s="8"/>
    </row>
    <row r="273" spans="2:10" ht="12.75" x14ac:dyDescent="0.2">
      <c r="B273" s="6"/>
      <c r="C273" s="6"/>
      <c r="D273" s="6"/>
      <c r="E273" s="9"/>
      <c r="F273" s="9"/>
      <c r="G273" s="11"/>
      <c r="H273" s="5"/>
      <c r="I273" s="8"/>
      <c r="J273" s="8"/>
    </row>
    <row r="274" spans="2:10" ht="12.75" x14ac:dyDescent="0.2">
      <c r="B274" s="6"/>
      <c r="C274" s="6"/>
      <c r="D274" s="6"/>
      <c r="E274" s="9"/>
      <c r="F274" s="9"/>
      <c r="G274" s="11"/>
      <c r="H274" s="5"/>
      <c r="I274" s="8"/>
      <c r="J274" s="8"/>
    </row>
    <row r="275" spans="2:10" ht="12.75" x14ac:dyDescent="0.2">
      <c r="B275" s="6"/>
      <c r="C275" s="6"/>
      <c r="D275" s="6"/>
      <c r="E275" s="9"/>
      <c r="F275" s="9"/>
      <c r="G275" s="11"/>
      <c r="H275" s="5"/>
      <c r="I275" s="8"/>
      <c r="J275" s="8"/>
    </row>
    <row r="276" spans="2:10" ht="12.75" x14ac:dyDescent="0.2">
      <c r="B276" s="6"/>
      <c r="C276" s="6"/>
      <c r="D276" s="6"/>
      <c r="E276" s="9"/>
      <c r="F276" s="9"/>
      <c r="G276" s="11"/>
      <c r="H276" s="5"/>
      <c r="I276" s="8"/>
      <c r="J276" s="8"/>
    </row>
    <row r="277" spans="2:10" ht="12.75" x14ac:dyDescent="0.2">
      <c r="B277" s="6"/>
      <c r="C277" s="6"/>
      <c r="D277" s="6"/>
      <c r="E277" s="9"/>
      <c r="F277" s="9"/>
      <c r="G277" s="11"/>
      <c r="H277" s="5"/>
      <c r="I277" s="8"/>
      <c r="J277" s="8"/>
    </row>
    <row r="278" spans="2:10" ht="12.75" x14ac:dyDescent="0.2">
      <c r="B278" s="6"/>
      <c r="C278" s="6"/>
      <c r="D278" s="6"/>
      <c r="E278" s="9"/>
      <c r="F278" s="9"/>
      <c r="G278" s="11"/>
      <c r="H278" s="5"/>
      <c r="I278" s="8"/>
      <c r="J278" s="8"/>
    </row>
    <row r="279" spans="2:10" ht="12.75" x14ac:dyDescent="0.2">
      <c r="B279" s="6"/>
      <c r="C279" s="6"/>
      <c r="D279" s="6"/>
      <c r="E279" s="9"/>
      <c r="F279" s="9"/>
      <c r="G279" s="11"/>
      <c r="H279" s="5"/>
      <c r="I279" s="8"/>
      <c r="J279" s="8"/>
    </row>
    <row r="280" spans="2:10" ht="12.75" x14ac:dyDescent="0.2">
      <c r="B280" s="6"/>
      <c r="C280" s="6"/>
      <c r="D280" s="6"/>
      <c r="E280" s="9"/>
      <c r="F280" s="9"/>
      <c r="G280" s="11"/>
      <c r="H280" s="5"/>
      <c r="I280" s="8"/>
      <c r="J280" s="8"/>
    </row>
    <row r="281" spans="2:10" ht="12.75" x14ac:dyDescent="0.2">
      <c r="B281" s="6"/>
      <c r="C281" s="6"/>
      <c r="D281" s="6"/>
      <c r="E281" s="9"/>
      <c r="F281" s="9"/>
      <c r="G281" s="11"/>
      <c r="H281" s="5"/>
      <c r="I281" s="8"/>
      <c r="J281" s="8"/>
    </row>
    <row r="282" spans="2:10" ht="12.75" x14ac:dyDescent="0.2">
      <c r="B282" s="6"/>
      <c r="C282" s="6"/>
      <c r="D282" s="6"/>
      <c r="E282" s="9"/>
      <c r="F282" s="9"/>
      <c r="G282" s="11"/>
      <c r="H282" s="5"/>
      <c r="I282" s="8"/>
      <c r="J282" s="8"/>
    </row>
    <row r="283" spans="2:10" ht="12.75" x14ac:dyDescent="0.2">
      <c r="B283" s="6"/>
      <c r="C283" s="6"/>
      <c r="D283" s="6"/>
      <c r="E283" s="9"/>
      <c r="F283" s="9"/>
      <c r="G283" s="11"/>
      <c r="H283" s="5"/>
      <c r="I283" s="8"/>
      <c r="J283" s="8"/>
    </row>
    <row r="284" spans="2:10" ht="12.75" x14ac:dyDescent="0.2">
      <c r="B284" s="6"/>
      <c r="C284" s="6"/>
      <c r="D284" s="6"/>
      <c r="E284" s="9"/>
      <c r="F284" s="9"/>
      <c r="G284" s="11"/>
      <c r="H284" s="5"/>
      <c r="I284" s="8"/>
      <c r="J284" s="8"/>
    </row>
    <row r="285" spans="2:10" ht="12.75" x14ac:dyDescent="0.2">
      <c r="B285" s="6"/>
      <c r="C285" s="6"/>
      <c r="D285" s="6"/>
      <c r="E285" s="9"/>
      <c r="F285" s="9"/>
      <c r="G285" s="11"/>
      <c r="H285" s="5"/>
      <c r="I285" s="8"/>
      <c r="J285" s="8"/>
    </row>
    <row r="286" spans="2:10" ht="12.75" x14ac:dyDescent="0.2">
      <c r="B286" s="6"/>
      <c r="C286" s="6"/>
      <c r="D286" s="6"/>
      <c r="E286" s="9"/>
      <c r="F286" s="9"/>
      <c r="G286" s="11"/>
      <c r="H286" s="5"/>
      <c r="I286" s="8"/>
      <c r="J286" s="8"/>
    </row>
    <row r="287" spans="2:10" ht="12.75" x14ac:dyDescent="0.2">
      <c r="B287" s="6"/>
      <c r="C287" s="6"/>
      <c r="D287" s="6"/>
      <c r="E287" s="9"/>
      <c r="F287" s="9"/>
      <c r="G287" s="11"/>
      <c r="H287" s="5"/>
      <c r="I287" s="8"/>
      <c r="J287" s="8"/>
    </row>
    <row r="288" spans="2:10" ht="12.75" x14ac:dyDescent="0.2">
      <c r="B288" s="6"/>
      <c r="C288" s="6"/>
      <c r="D288" s="6"/>
      <c r="E288" s="9"/>
      <c r="F288" s="9"/>
      <c r="G288" s="11"/>
      <c r="H288" s="5"/>
      <c r="I288" s="8"/>
      <c r="J288" s="8"/>
    </row>
    <row r="289" spans="2:10" ht="12.75" x14ac:dyDescent="0.2">
      <c r="B289" s="6"/>
      <c r="C289" s="6"/>
      <c r="D289" s="6"/>
      <c r="E289" s="9"/>
      <c r="F289" s="9"/>
      <c r="G289" s="11"/>
      <c r="H289" s="5"/>
      <c r="I289" s="8"/>
      <c r="J289" s="8"/>
    </row>
    <row r="290" spans="2:10" ht="12.75" x14ac:dyDescent="0.2">
      <c r="B290" s="6"/>
      <c r="C290" s="6"/>
      <c r="D290" s="6"/>
      <c r="E290" s="9"/>
      <c r="F290" s="9"/>
      <c r="G290" s="11"/>
      <c r="H290" s="5"/>
      <c r="I290" s="8"/>
      <c r="J290" s="8"/>
    </row>
    <row r="291" spans="2:10" ht="12.75" x14ac:dyDescent="0.2">
      <c r="B291" s="6"/>
      <c r="C291" s="6"/>
      <c r="D291" s="6"/>
      <c r="E291" s="9"/>
      <c r="F291" s="9"/>
      <c r="G291" s="11"/>
      <c r="H291" s="5"/>
      <c r="I291" s="8"/>
      <c r="J291" s="8"/>
    </row>
    <row r="292" spans="2:10" ht="12.75" x14ac:dyDescent="0.2">
      <c r="B292" s="6"/>
      <c r="C292" s="6"/>
      <c r="D292" s="6"/>
      <c r="E292" s="9"/>
      <c r="F292" s="9"/>
      <c r="G292" s="11"/>
      <c r="H292" s="5"/>
      <c r="I292" s="8"/>
      <c r="J292" s="8"/>
    </row>
    <row r="293" spans="2:10" ht="12.75" x14ac:dyDescent="0.2">
      <c r="B293" s="6"/>
      <c r="C293" s="6"/>
      <c r="D293" s="6"/>
      <c r="E293" s="9"/>
      <c r="F293" s="9"/>
      <c r="G293" s="11"/>
      <c r="H293" s="5"/>
      <c r="I293" s="8"/>
      <c r="J293" s="8"/>
    </row>
    <row r="294" spans="2:10" ht="12.75" x14ac:dyDescent="0.2">
      <c r="B294" s="6"/>
      <c r="C294" s="6"/>
      <c r="D294" s="6"/>
      <c r="E294" s="9"/>
      <c r="F294" s="9"/>
      <c r="G294" s="11"/>
      <c r="H294" s="5"/>
      <c r="I294" s="8"/>
      <c r="J294" s="8"/>
    </row>
    <row r="295" spans="2:10" ht="12.75" x14ac:dyDescent="0.2">
      <c r="B295" s="6"/>
      <c r="C295" s="6"/>
      <c r="D295" s="6"/>
      <c r="E295" s="9"/>
      <c r="F295" s="9"/>
      <c r="G295" s="11"/>
      <c r="H295" s="5"/>
      <c r="I295" s="8"/>
      <c r="J295" s="8"/>
    </row>
    <row r="296" spans="2:10" ht="12.75" x14ac:dyDescent="0.2">
      <c r="B296" s="6"/>
      <c r="C296" s="6"/>
      <c r="D296" s="6"/>
      <c r="E296" s="9"/>
      <c r="F296" s="9"/>
      <c r="G296" s="11"/>
      <c r="H296" s="5"/>
      <c r="I296" s="8"/>
      <c r="J296" s="8"/>
    </row>
    <row r="297" spans="2:10" ht="12.75" x14ac:dyDescent="0.2">
      <c r="B297" s="6"/>
      <c r="C297" s="6"/>
      <c r="D297" s="6"/>
      <c r="E297" s="9"/>
      <c r="F297" s="9"/>
      <c r="G297" s="11"/>
      <c r="H297" s="5"/>
      <c r="I297" s="8"/>
      <c r="J297" s="8"/>
    </row>
    <row r="298" spans="2:10" ht="12.75" x14ac:dyDescent="0.2">
      <c r="B298" s="6"/>
      <c r="C298" s="6"/>
      <c r="D298" s="6"/>
      <c r="E298" s="9"/>
      <c r="F298" s="9"/>
      <c r="G298" s="11"/>
      <c r="H298" s="5"/>
      <c r="I298" s="8"/>
      <c r="J298" s="8"/>
    </row>
    <row r="299" spans="2:10" ht="12.75" x14ac:dyDescent="0.2">
      <c r="B299" s="6"/>
      <c r="C299" s="6"/>
      <c r="D299" s="6"/>
      <c r="E299" s="9"/>
      <c r="F299" s="9"/>
      <c r="G299" s="11"/>
      <c r="H299" s="5"/>
      <c r="I299" s="8"/>
      <c r="J299" s="8"/>
    </row>
    <row r="300" spans="2:10" ht="12.75" x14ac:dyDescent="0.2">
      <c r="B300" s="6"/>
      <c r="C300" s="6"/>
      <c r="D300" s="6"/>
      <c r="E300" s="9"/>
      <c r="F300" s="9"/>
      <c r="G300" s="11"/>
      <c r="H300" s="5"/>
      <c r="I300" s="8"/>
      <c r="J300" s="8"/>
    </row>
    <row r="301" spans="2:10" ht="12.75" x14ac:dyDescent="0.2">
      <c r="B301" s="6"/>
      <c r="C301" s="6"/>
      <c r="D301" s="6"/>
      <c r="E301" s="9"/>
      <c r="F301" s="9"/>
      <c r="G301" s="11"/>
      <c r="H301" s="5"/>
      <c r="I301" s="8"/>
      <c r="J301" s="8"/>
    </row>
    <row r="302" spans="2:10" ht="12.75" x14ac:dyDescent="0.2">
      <c r="B302" s="6"/>
      <c r="C302" s="6"/>
      <c r="D302" s="6"/>
      <c r="E302" s="9"/>
      <c r="F302" s="9"/>
      <c r="G302" s="11"/>
      <c r="H302" s="5"/>
      <c r="I302" s="8"/>
      <c r="J302" s="8"/>
    </row>
    <row r="303" spans="2:10" ht="12.75" x14ac:dyDescent="0.2">
      <c r="B303" s="6"/>
      <c r="C303" s="6"/>
      <c r="D303" s="6"/>
      <c r="E303" s="9"/>
      <c r="F303" s="9"/>
      <c r="G303" s="11"/>
      <c r="H303" s="5"/>
      <c r="I303" s="8"/>
      <c r="J303" s="8"/>
    </row>
    <row r="304" spans="2:10" ht="12.75" x14ac:dyDescent="0.2">
      <c r="B304" s="6"/>
      <c r="C304" s="6"/>
      <c r="D304" s="6"/>
      <c r="E304" s="9"/>
      <c r="F304" s="9"/>
      <c r="G304" s="11"/>
      <c r="H304" s="5"/>
      <c r="I304" s="8"/>
      <c r="J304" s="8"/>
    </row>
    <row r="305" spans="2:10" ht="12.75" x14ac:dyDescent="0.2">
      <c r="B305" s="6"/>
      <c r="C305" s="6"/>
      <c r="D305" s="6"/>
      <c r="E305" s="9"/>
      <c r="F305" s="9"/>
      <c r="G305" s="11"/>
      <c r="H305" s="5"/>
      <c r="I305" s="8"/>
      <c r="J305" s="8"/>
    </row>
    <row r="306" spans="2:10" ht="12.75" x14ac:dyDescent="0.2">
      <c r="B306" s="6"/>
      <c r="C306" s="6"/>
      <c r="D306" s="6"/>
      <c r="E306" s="9"/>
      <c r="F306" s="9"/>
      <c r="G306" s="11"/>
      <c r="H306" s="5"/>
      <c r="I306" s="8"/>
      <c r="J306" s="8"/>
    </row>
    <row r="307" spans="2:10" ht="12.75" x14ac:dyDescent="0.2">
      <c r="B307" s="6"/>
      <c r="C307" s="6"/>
      <c r="D307" s="6"/>
      <c r="E307" s="9"/>
      <c r="F307" s="9"/>
      <c r="G307" s="11"/>
      <c r="H307" s="5"/>
      <c r="I307" s="8"/>
      <c r="J307" s="8"/>
    </row>
    <row r="308" spans="2:10" ht="12.75" x14ac:dyDescent="0.2">
      <c r="B308" s="6"/>
      <c r="C308" s="6"/>
      <c r="D308" s="6"/>
      <c r="E308" s="9"/>
      <c r="F308" s="9"/>
      <c r="G308" s="11"/>
      <c r="H308" s="5"/>
      <c r="I308" s="8"/>
      <c r="J308" s="8"/>
    </row>
    <row r="309" spans="2:10" ht="12.75" x14ac:dyDescent="0.2">
      <c r="B309" s="6"/>
      <c r="C309" s="6"/>
      <c r="D309" s="6"/>
      <c r="E309" s="9"/>
      <c r="F309" s="9"/>
      <c r="G309" s="11"/>
      <c r="H309" s="5"/>
      <c r="I309" s="8"/>
      <c r="J309" s="8"/>
    </row>
    <row r="310" spans="2:10" ht="12.75" x14ac:dyDescent="0.2">
      <c r="B310" s="6"/>
      <c r="C310" s="6"/>
      <c r="D310" s="6"/>
      <c r="E310" s="9"/>
      <c r="F310" s="9"/>
      <c r="G310" s="11"/>
      <c r="H310" s="5"/>
      <c r="I310" s="8"/>
      <c r="J310" s="8"/>
    </row>
    <row r="311" spans="2:10" ht="12.75" x14ac:dyDescent="0.2">
      <c r="B311" s="6"/>
      <c r="C311" s="6"/>
      <c r="D311" s="6"/>
      <c r="E311" s="9"/>
      <c r="F311" s="9"/>
      <c r="G311" s="11"/>
      <c r="H311" s="5"/>
      <c r="I311" s="8"/>
      <c r="J311" s="8"/>
    </row>
    <row r="312" spans="2:10" ht="12.75" x14ac:dyDescent="0.2">
      <c r="B312" s="6"/>
      <c r="C312" s="6"/>
      <c r="D312" s="6"/>
      <c r="E312" s="9"/>
      <c r="F312" s="9"/>
      <c r="G312" s="11"/>
      <c r="H312" s="5"/>
      <c r="I312" s="8"/>
      <c r="J312" s="8"/>
    </row>
    <row r="313" spans="2:10" ht="12.75" x14ac:dyDescent="0.2">
      <c r="B313" s="6"/>
      <c r="C313" s="6"/>
      <c r="D313" s="6"/>
      <c r="E313" s="9"/>
      <c r="F313" s="9"/>
      <c r="G313" s="11"/>
      <c r="H313" s="5"/>
      <c r="I313" s="8"/>
      <c r="J313" s="8"/>
    </row>
    <row r="314" spans="2:10" ht="12.75" x14ac:dyDescent="0.2">
      <c r="B314" s="6"/>
      <c r="C314" s="6"/>
      <c r="D314" s="6"/>
      <c r="E314" s="9"/>
      <c r="F314" s="9"/>
      <c r="G314" s="11"/>
      <c r="H314" s="5"/>
      <c r="I314" s="8"/>
      <c r="J314" s="8"/>
    </row>
    <row r="315" spans="2:10" ht="12.75" x14ac:dyDescent="0.2">
      <c r="B315" s="6"/>
      <c r="C315" s="6"/>
      <c r="D315" s="6"/>
      <c r="E315" s="9"/>
      <c r="F315" s="9"/>
      <c r="G315" s="11"/>
      <c r="H315" s="5"/>
      <c r="I315" s="8"/>
      <c r="J315" s="8"/>
    </row>
    <row r="316" spans="2:10" ht="12.75" x14ac:dyDescent="0.2">
      <c r="B316" s="6"/>
      <c r="C316" s="6"/>
      <c r="D316" s="6"/>
      <c r="E316" s="9"/>
      <c r="F316" s="9"/>
      <c r="G316" s="11"/>
      <c r="H316" s="5"/>
      <c r="I316" s="8"/>
      <c r="J316" s="8"/>
    </row>
    <row r="317" spans="2:10" ht="12.75" x14ac:dyDescent="0.2">
      <c r="B317" s="6"/>
      <c r="C317" s="6"/>
      <c r="D317" s="6"/>
      <c r="E317" s="9"/>
      <c r="F317" s="9"/>
      <c r="G317" s="11"/>
      <c r="H317" s="5"/>
      <c r="I317" s="8"/>
      <c r="J317" s="8"/>
    </row>
    <row r="318" spans="2:10" ht="12.75" x14ac:dyDescent="0.2">
      <c r="B318" s="6"/>
      <c r="C318" s="6"/>
      <c r="D318" s="6"/>
      <c r="E318" s="9"/>
      <c r="F318" s="9"/>
      <c r="G318" s="11"/>
      <c r="H318" s="5"/>
      <c r="I318" s="8"/>
      <c r="J318" s="8"/>
    </row>
    <row r="319" spans="2:10" ht="12.75" x14ac:dyDescent="0.2">
      <c r="B319" s="6"/>
      <c r="C319" s="6"/>
      <c r="D319" s="6"/>
      <c r="E319" s="9"/>
      <c r="F319" s="9"/>
      <c r="G319" s="11"/>
      <c r="H319" s="5"/>
      <c r="I319" s="8"/>
      <c r="J319" s="8"/>
    </row>
    <row r="320" spans="2:10" ht="12.75" x14ac:dyDescent="0.2">
      <c r="B320" s="6"/>
      <c r="C320" s="6"/>
      <c r="D320" s="6"/>
      <c r="E320" s="9"/>
      <c r="F320" s="9"/>
      <c r="G320" s="11"/>
      <c r="H320" s="5"/>
      <c r="I320" s="8"/>
      <c r="J320" s="8"/>
    </row>
    <row r="321" spans="2:10" ht="12.75" x14ac:dyDescent="0.2">
      <c r="B321" s="6"/>
      <c r="C321" s="6"/>
      <c r="D321" s="6"/>
      <c r="E321" s="9"/>
      <c r="F321" s="9"/>
      <c r="G321" s="11"/>
      <c r="H321" s="5"/>
      <c r="I321" s="8"/>
      <c r="J321" s="8"/>
    </row>
    <row r="322" spans="2:10" ht="12.75" x14ac:dyDescent="0.2">
      <c r="B322" s="6"/>
      <c r="C322" s="6"/>
      <c r="D322" s="6"/>
      <c r="E322" s="9"/>
      <c r="F322" s="9"/>
      <c r="G322" s="11"/>
      <c r="H322" s="5"/>
      <c r="I322" s="8"/>
      <c r="J322" s="8"/>
    </row>
    <row r="323" spans="2:10" ht="12.75" x14ac:dyDescent="0.2">
      <c r="B323" s="6"/>
      <c r="C323" s="6"/>
      <c r="D323" s="6"/>
      <c r="E323" s="9"/>
      <c r="F323" s="9"/>
      <c r="G323" s="11"/>
      <c r="H323" s="5"/>
      <c r="I323" s="8"/>
      <c r="J323" s="8"/>
    </row>
    <row r="324" spans="2:10" ht="12.75" x14ac:dyDescent="0.2">
      <c r="B324" s="6"/>
      <c r="C324" s="6"/>
      <c r="D324" s="6"/>
      <c r="E324" s="9"/>
      <c r="F324" s="9"/>
      <c r="G324" s="11"/>
      <c r="H324" s="5"/>
      <c r="I324" s="8"/>
      <c r="J324" s="8"/>
    </row>
    <row r="325" spans="2:10" ht="12.75" x14ac:dyDescent="0.2">
      <c r="B325" s="6"/>
      <c r="C325" s="6"/>
      <c r="D325" s="6"/>
      <c r="E325" s="9"/>
      <c r="F325" s="9"/>
      <c r="G325" s="11"/>
      <c r="H325" s="5"/>
      <c r="I325" s="8"/>
      <c r="J325" s="8"/>
    </row>
    <row r="326" spans="2:10" ht="12.75" x14ac:dyDescent="0.2">
      <c r="B326" s="6"/>
      <c r="C326" s="6"/>
      <c r="D326" s="6"/>
      <c r="E326" s="9"/>
      <c r="F326" s="9"/>
      <c r="G326" s="11"/>
      <c r="H326" s="5"/>
      <c r="I326" s="8"/>
      <c r="J326" s="8"/>
    </row>
    <row r="327" spans="2:10" ht="12.75" x14ac:dyDescent="0.2">
      <c r="B327" s="6"/>
      <c r="C327" s="6"/>
      <c r="D327" s="6"/>
      <c r="E327" s="9"/>
      <c r="F327" s="9"/>
      <c r="G327" s="11"/>
      <c r="H327" s="5"/>
      <c r="I327" s="8"/>
      <c r="J327" s="8"/>
    </row>
    <row r="328" spans="2:10" ht="12.75" x14ac:dyDescent="0.2">
      <c r="B328" s="6"/>
      <c r="C328" s="6"/>
      <c r="D328" s="6"/>
      <c r="E328" s="9"/>
      <c r="F328" s="9"/>
      <c r="G328" s="11"/>
      <c r="H328" s="5"/>
      <c r="I328" s="8"/>
      <c r="J328" s="8"/>
    </row>
    <row r="329" spans="2:10" ht="12.75" x14ac:dyDescent="0.2">
      <c r="B329" s="6"/>
      <c r="C329" s="6"/>
      <c r="D329" s="6"/>
      <c r="E329" s="9"/>
      <c r="F329" s="9"/>
      <c r="G329" s="11"/>
      <c r="H329" s="5"/>
      <c r="I329" s="8"/>
      <c r="J329" s="8"/>
    </row>
    <row r="330" spans="2:10" ht="12.75" x14ac:dyDescent="0.2">
      <c r="B330" s="6"/>
      <c r="C330" s="6"/>
      <c r="D330" s="6"/>
      <c r="E330" s="9"/>
      <c r="F330" s="9"/>
      <c r="G330" s="11"/>
      <c r="H330" s="5"/>
      <c r="I330" s="8"/>
      <c r="J330" s="8"/>
    </row>
    <row r="331" spans="2:10" ht="12.75" x14ac:dyDescent="0.2">
      <c r="B331" s="6"/>
      <c r="C331" s="6"/>
      <c r="D331" s="6"/>
      <c r="E331" s="9"/>
      <c r="F331" s="9"/>
      <c r="G331" s="11"/>
      <c r="H331" s="5"/>
      <c r="I331" s="8"/>
      <c r="J331" s="8"/>
    </row>
    <row r="332" spans="2:10" ht="12.75" x14ac:dyDescent="0.2">
      <c r="B332" s="6"/>
      <c r="C332" s="6"/>
      <c r="D332" s="6"/>
      <c r="E332" s="9"/>
      <c r="F332" s="9"/>
      <c r="G332" s="11"/>
      <c r="H332" s="5"/>
      <c r="I332" s="8"/>
      <c r="J332" s="8"/>
    </row>
    <row r="333" spans="2:10" ht="12.75" x14ac:dyDescent="0.2">
      <c r="B333" s="6"/>
      <c r="C333" s="6"/>
      <c r="D333" s="6"/>
      <c r="E333" s="9"/>
      <c r="F333" s="9"/>
      <c r="G333" s="11"/>
      <c r="H333" s="5"/>
      <c r="I333" s="8"/>
      <c r="J333" s="8"/>
    </row>
    <row r="334" spans="2:10" ht="12.75" x14ac:dyDescent="0.2">
      <c r="B334" s="6"/>
      <c r="C334" s="6"/>
      <c r="D334" s="6"/>
      <c r="E334" s="9"/>
      <c r="F334" s="9"/>
      <c r="G334" s="11"/>
      <c r="H334" s="5"/>
      <c r="I334" s="8"/>
      <c r="J334" s="8"/>
    </row>
    <row r="335" spans="2:10" ht="12.75" x14ac:dyDescent="0.2">
      <c r="B335" s="6"/>
      <c r="C335" s="6"/>
      <c r="D335" s="6"/>
      <c r="E335" s="9"/>
      <c r="F335" s="9"/>
      <c r="G335" s="11"/>
      <c r="H335" s="5"/>
      <c r="I335" s="8"/>
      <c r="J335" s="8"/>
    </row>
    <row r="336" spans="2:10" ht="12.75" x14ac:dyDescent="0.2">
      <c r="B336" s="6"/>
      <c r="C336" s="6"/>
      <c r="D336" s="6"/>
      <c r="E336" s="9"/>
      <c r="F336" s="9"/>
      <c r="G336" s="11"/>
      <c r="H336" s="5"/>
      <c r="I336" s="8"/>
      <c r="J336" s="8"/>
    </row>
    <row r="337" spans="2:10" ht="12.75" x14ac:dyDescent="0.2">
      <c r="B337" s="6"/>
      <c r="C337" s="6"/>
      <c r="D337" s="6"/>
      <c r="E337" s="9"/>
      <c r="F337" s="9"/>
      <c r="G337" s="11"/>
      <c r="H337" s="5"/>
      <c r="I337" s="8"/>
      <c r="J337" s="8"/>
    </row>
    <row r="338" spans="2:10" ht="12.75" x14ac:dyDescent="0.2">
      <c r="B338" s="6"/>
      <c r="C338" s="6"/>
      <c r="D338" s="6"/>
      <c r="E338" s="9"/>
      <c r="F338" s="9"/>
      <c r="G338" s="11"/>
      <c r="H338" s="5"/>
      <c r="I338" s="8"/>
      <c r="J338" s="8"/>
    </row>
    <row r="339" spans="2:10" ht="12.75" x14ac:dyDescent="0.2">
      <c r="B339" s="6"/>
      <c r="C339" s="6"/>
      <c r="D339" s="6"/>
      <c r="E339" s="9"/>
      <c r="F339" s="9"/>
      <c r="G339" s="11"/>
      <c r="H339" s="5"/>
      <c r="I339" s="8"/>
      <c r="J339" s="8"/>
    </row>
    <row r="340" spans="2:10" ht="12.75" x14ac:dyDescent="0.2">
      <c r="B340" s="6"/>
      <c r="C340" s="6"/>
      <c r="D340" s="6"/>
      <c r="E340" s="9"/>
      <c r="F340" s="9"/>
      <c r="G340" s="11"/>
      <c r="H340" s="5"/>
      <c r="I340" s="8"/>
      <c r="J340" s="8"/>
    </row>
    <row r="341" spans="2:10" ht="12.75" x14ac:dyDescent="0.2">
      <c r="B341" s="6"/>
      <c r="C341" s="6"/>
      <c r="D341" s="6"/>
      <c r="E341" s="9"/>
      <c r="F341" s="9"/>
      <c r="G341" s="11"/>
      <c r="H341" s="5"/>
      <c r="I341" s="8"/>
      <c r="J341" s="8"/>
    </row>
    <row r="342" spans="2:10" ht="12.75" x14ac:dyDescent="0.2">
      <c r="B342" s="6"/>
      <c r="C342" s="6"/>
      <c r="D342" s="6"/>
      <c r="E342" s="9"/>
      <c r="F342" s="9"/>
      <c r="G342" s="11"/>
      <c r="H342" s="5"/>
      <c r="I342" s="8"/>
      <c r="J342" s="8"/>
    </row>
    <row r="343" spans="2:10" ht="12.75" x14ac:dyDescent="0.2">
      <c r="B343" s="6"/>
      <c r="C343" s="6"/>
      <c r="D343" s="6"/>
      <c r="E343" s="9"/>
      <c r="F343" s="9"/>
      <c r="G343" s="11"/>
      <c r="H343" s="5"/>
      <c r="I343" s="8"/>
      <c r="J343" s="8"/>
    </row>
    <row r="344" spans="2:10" ht="12.75" x14ac:dyDescent="0.2">
      <c r="B344" s="6"/>
      <c r="C344" s="6"/>
      <c r="D344" s="6"/>
      <c r="E344" s="9"/>
      <c r="F344" s="9"/>
      <c r="G344" s="11"/>
      <c r="H344" s="5"/>
      <c r="I344" s="8"/>
      <c r="J344" s="8"/>
    </row>
    <row r="345" spans="2:10" ht="12.75" x14ac:dyDescent="0.2">
      <c r="B345" s="6"/>
      <c r="C345" s="6"/>
      <c r="D345" s="6"/>
      <c r="E345" s="9"/>
      <c r="F345" s="9"/>
      <c r="G345" s="11"/>
      <c r="H345" s="5"/>
      <c r="I345" s="8"/>
      <c r="J345" s="8"/>
    </row>
    <row r="346" spans="2:10" ht="12.75" x14ac:dyDescent="0.2">
      <c r="B346" s="6"/>
      <c r="C346" s="6"/>
      <c r="D346" s="6"/>
      <c r="E346" s="9"/>
      <c r="F346" s="9"/>
      <c r="G346" s="11"/>
      <c r="H346" s="5"/>
      <c r="I346" s="8"/>
      <c r="J346" s="8"/>
    </row>
    <row r="347" spans="2:10" ht="12.75" x14ac:dyDescent="0.2">
      <c r="B347" s="6"/>
      <c r="C347" s="6"/>
      <c r="D347" s="6"/>
      <c r="E347" s="9"/>
      <c r="F347" s="9"/>
      <c r="G347" s="11"/>
      <c r="H347" s="5"/>
      <c r="I347" s="8"/>
      <c r="J347" s="8"/>
    </row>
    <row r="348" spans="2:10" ht="12.75" x14ac:dyDescent="0.2">
      <c r="B348" s="6"/>
      <c r="C348" s="6"/>
      <c r="D348" s="6"/>
      <c r="E348" s="9"/>
      <c r="F348" s="9"/>
      <c r="G348" s="11"/>
      <c r="H348" s="5"/>
      <c r="I348" s="8"/>
      <c r="J348" s="8"/>
    </row>
    <row r="349" spans="2:10" ht="12.75" x14ac:dyDescent="0.2">
      <c r="B349" s="6"/>
      <c r="C349" s="6"/>
      <c r="D349" s="6"/>
      <c r="E349" s="9"/>
      <c r="F349" s="9"/>
      <c r="G349" s="11"/>
      <c r="H349" s="5"/>
      <c r="I349" s="8"/>
      <c r="J349" s="8"/>
    </row>
    <row r="350" spans="2:10" ht="12.75" x14ac:dyDescent="0.2">
      <c r="B350" s="6"/>
      <c r="C350" s="6"/>
      <c r="D350" s="6"/>
      <c r="E350" s="9"/>
      <c r="F350" s="9"/>
      <c r="G350" s="11"/>
      <c r="H350" s="5"/>
      <c r="I350" s="8"/>
      <c r="J350" s="8"/>
    </row>
    <row r="351" spans="2:10" ht="12.75" x14ac:dyDescent="0.2">
      <c r="B351" s="6"/>
      <c r="C351" s="6"/>
      <c r="D351" s="6"/>
      <c r="E351" s="9"/>
      <c r="F351" s="9"/>
      <c r="G351" s="11"/>
      <c r="H351" s="5"/>
      <c r="I351" s="8"/>
      <c r="J351" s="8"/>
    </row>
    <row r="352" spans="2:10" ht="12.75" x14ac:dyDescent="0.2">
      <c r="B352" s="6"/>
      <c r="C352" s="6"/>
      <c r="D352" s="6"/>
      <c r="E352" s="9"/>
      <c r="F352" s="9"/>
      <c r="G352" s="11"/>
      <c r="H352" s="5"/>
      <c r="I352" s="8"/>
      <c r="J352" s="8"/>
    </row>
    <row r="353" spans="2:10" ht="12.75" x14ac:dyDescent="0.2">
      <c r="B353" s="6"/>
      <c r="C353" s="6"/>
      <c r="D353" s="6"/>
      <c r="E353" s="9"/>
      <c r="F353" s="9"/>
      <c r="G353" s="11"/>
      <c r="H353" s="5"/>
      <c r="I353" s="8"/>
      <c r="J353" s="8"/>
    </row>
    <row r="354" spans="2:10" ht="12.75" x14ac:dyDescent="0.2">
      <c r="B354" s="6"/>
      <c r="C354" s="6"/>
      <c r="D354" s="6"/>
      <c r="E354" s="9"/>
      <c r="F354" s="9"/>
      <c r="G354" s="11"/>
      <c r="H354" s="5"/>
      <c r="I354" s="8"/>
      <c r="J354" s="8"/>
    </row>
    <row r="355" spans="2:10" ht="12.75" x14ac:dyDescent="0.2">
      <c r="B355" s="6"/>
      <c r="C355" s="6"/>
      <c r="D355" s="6"/>
      <c r="E355" s="9"/>
      <c r="F355" s="9"/>
      <c r="G355" s="11"/>
      <c r="H355" s="5"/>
      <c r="I355" s="8"/>
      <c r="J355" s="8"/>
    </row>
    <row r="356" spans="2:10" ht="12.75" x14ac:dyDescent="0.2">
      <c r="B356" s="6"/>
      <c r="C356" s="6"/>
      <c r="D356" s="6"/>
      <c r="E356" s="9"/>
      <c r="F356" s="9"/>
      <c r="G356" s="11"/>
      <c r="H356" s="5"/>
      <c r="I356" s="8"/>
      <c r="J356" s="8"/>
    </row>
    <row r="357" spans="2:10" ht="12.75" x14ac:dyDescent="0.2">
      <c r="B357" s="6"/>
      <c r="C357" s="6"/>
      <c r="D357" s="6"/>
      <c r="E357" s="9"/>
      <c r="F357" s="9"/>
      <c r="G357" s="11"/>
      <c r="H357" s="5"/>
      <c r="I357" s="8"/>
      <c r="J357" s="8"/>
    </row>
    <row r="358" spans="2:10" ht="12.75" x14ac:dyDescent="0.2">
      <c r="B358" s="6"/>
      <c r="C358" s="6"/>
      <c r="D358" s="6"/>
      <c r="E358" s="9"/>
      <c r="F358" s="9"/>
      <c r="G358" s="11"/>
      <c r="H358" s="5"/>
      <c r="I358" s="8"/>
      <c r="J358" s="8"/>
    </row>
    <row r="359" spans="2:10" ht="12.75" x14ac:dyDescent="0.2">
      <c r="B359" s="6"/>
      <c r="C359" s="6"/>
      <c r="D359" s="6"/>
      <c r="E359" s="9"/>
      <c r="F359" s="9"/>
      <c r="G359" s="11"/>
      <c r="H359" s="5"/>
      <c r="I359" s="8"/>
      <c r="J359" s="8"/>
    </row>
    <row r="360" spans="2:10" ht="12.75" x14ac:dyDescent="0.2">
      <c r="B360" s="6"/>
      <c r="C360" s="6"/>
      <c r="D360" s="6"/>
      <c r="E360" s="9"/>
      <c r="F360" s="9"/>
      <c r="G360" s="11"/>
      <c r="H360" s="5"/>
      <c r="I360" s="8"/>
      <c r="J360" s="8"/>
    </row>
    <row r="361" spans="2:10" ht="12.75" x14ac:dyDescent="0.2">
      <c r="B361" s="6"/>
      <c r="C361" s="6"/>
      <c r="D361" s="6"/>
      <c r="E361" s="9"/>
      <c r="F361" s="9"/>
      <c r="G361" s="11"/>
      <c r="H361" s="5"/>
      <c r="I361" s="8"/>
      <c r="J361" s="8"/>
    </row>
    <row r="362" spans="2:10" ht="12.75" x14ac:dyDescent="0.2">
      <c r="B362" s="6"/>
      <c r="C362" s="6"/>
      <c r="D362" s="6"/>
      <c r="E362" s="9"/>
      <c r="F362" s="9"/>
      <c r="G362" s="11"/>
      <c r="H362" s="5"/>
      <c r="I362" s="8"/>
      <c r="J362" s="8"/>
    </row>
    <row r="363" spans="2:10" ht="12.75" x14ac:dyDescent="0.2">
      <c r="B363" s="6"/>
      <c r="C363" s="6"/>
      <c r="D363" s="6"/>
      <c r="E363" s="9"/>
      <c r="F363" s="9"/>
      <c r="G363" s="11"/>
      <c r="H363" s="5"/>
      <c r="I363" s="8"/>
      <c r="J363" s="8"/>
    </row>
    <row r="364" spans="2:10" ht="12.75" x14ac:dyDescent="0.2">
      <c r="B364" s="6"/>
      <c r="C364" s="6"/>
      <c r="D364" s="6"/>
      <c r="E364" s="9"/>
      <c r="F364" s="9"/>
      <c r="G364" s="11"/>
      <c r="H364" s="5"/>
      <c r="I364" s="8"/>
      <c r="J364" s="8"/>
    </row>
    <row r="365" spans="2:10" ht="12.75" x14ac:dyDescent="0.2">
      <c r="B365" s="6"/>
      <c r="C365" s="6"/>
      <c r="D365" s="6"/>
      <c r="E365" s="9"/>
      <c r="F365" s="9"/>
      <c r="G365" s="11"/>
      <c r="H365" s="5"/>
      <c r="I365" s="8"/>
      <c r="J365" s="8"/>
    </row>
    <row r="366" spans="2:10" ht="12.75" x14ac:dyDescent="0.2">
      <c r="B366" s="6"/>
      <c r="C366" s="6"/>
      <c r="D366" s="6"/>
      <c r="E366" s="9"/>
      <c r="F366" s="9"/>
      <c r="G366" s="11"/>
      <c r="H366" s="5"/>
      <c r="I366" s="8"/>
      <c r="J366" s="8"/>
    </row>
    <row r="367" spans="2:10" ht="12.75" x14ac:dyDescent="0.2">
      <c r="B367" s="6"/>
      <c r="C367" s="6"/>
      <c r="D367" s="6"/>
      <c r="E367" s="9"/>
      <c r="F367" s="9"/>
      <c r="G367" s="11"/>
      <c r="H367" s="5"/>
      <c r="I367" s="8"/>
      <c r="J367" s="8"/>
    </row>
    <row r="368" spans="2:10" ht="12.75" x14ac:dyDescent="0.2">
      <c r="B368" s="6"/>
      <c r="C368" s="6"/>
      <c r="D368" s="6"/>
      <c r="E368" s="9"/>
      <c r="F368" s="9"/>
      <c r="G368" s="11"/>
      <c r="H368" s="5"/>
      <c r="I368" s="8"/>
      <c r="J368" s="8"/>
    </row>
    <row r="369" spans="2:10" ht="12.75" x14ac:dyDescent="0.2">
      <c r="B369" s="6"/>
      <c r="C369" s="6"/>
      <c r="D369" s="6"/>
      <c r="E369" s="9"/>
      <c r="F369" s="9"/>
      <c r="G369" s="11"/>
      <c r="H369" s="5"/>
      <c r="I369" s="8"/>
      <c r="J369" s="8"/>
    </row>
    <row r="370" spans="2:10" ht="12.75" x14ac:dyDescent="0.2">
      <c r="B370" s="6"/>
      <c r="C370" s="6"/>
      <c r="D370" s="6"/>
      <c r="E370" s="9"/>
      <c r="F370" s="9"/>
      <c r="G370" s="11"/>
      <c r="H370" s="5"/>
      <c r="I370" s="8"/>
      <c r="J370" s="8"/>
    </row>
    <row r="371" spans="2:10" ht="12.75" x14ac:dyDescent="0.2">
      <c r="B371" s="6"/>
      <c r="C371" s="6"/>
      <c r="D371" s="6"/>
      <c r="E371" s="9"/>
      <c r="F371" s="9"/>
      <c r="G371" s="11"/>
      <c r="H371" s="5"/>
      <c r="I371" s="8"/>
      <c r="J371" s="8"/>
    </row>
    <row r="372" spans="2:10" ht="12.75" x14ac:dyDescent="0.2">
      <c r="B372" s="6"/>
      <c r="C372" s="6"/>
      <c r="D372" s="6"/>
      <c r="E372" s="9"/>
      <c r="F372" s="9"/>
      <c r="G372" s="11"/>
      <c r="H372" s="5"/>
      <c r="I372" s="8"/>
      <c r="J372" s="8"/>
    </row>
    <row r="373" spans="2:10" ht="12.75" x14ac:dyDescent="0.2">
      <c r="B373" s="6"/>
      <c r="C373" s="6"/>
      <c r="D373" s="6"/>
      <c r="E373" s="9"/>
      <c r="F373" s="9"/>
      <c r="G373" s="11"/>
      <c r="H373" s="5"/>
      <c r="I373" s="8"/>
      <c r="J373" s="8"/>
    </row>
    <row r="374" spans="2:10" ht="12.75" x14ac:dyDescent="0.2">
      <c r="B374" s="6"/>
      <c r="C374" s="6"/>
      <c r="D374" s="6"/>
      <c r="E374" s="9"/>
      <c r="F374" s="9"/>
      <c r="G374" s="11"/>
      <c r="H374" s="5"/>
      <c r="I374" s="8"/>
      <c r="J374" s="8"/>
    </row>
    <row r="375" spans="2:10" ht="12.75" x14ac:dyDescent="0.2">
      <c r="B375" s="6"/>
      <c r="C375" s="6"/>
      <c r="D375" s="6"/>
      <c r="E375" s="9"/>
      <c r="F375" s="9"/>
      <c r="G375" s="11"/>
      <c r="H375" s="5"/>
      <c r="I375" s="8"/>
      <c r="J375" s="8"/>
    </row>
    <row r="376" spans="2:10" ht="12.75" x14ac:dyDescent="0.2">
      <c r="B376" s="6"/>
      <c r="C376" s="6"/>
      <c r="D376" s="6"/>
      <c r="E376" s="9"/>
      <c r="F376" s="9"/>
      <c r="G376" s="11"/>
      <c r="H376" s="5"/>
      <c r="I376" s="8"/>
      <c r="J376" s="8"/>
    </row>
    <row r="377" spans="2:10" ht="12.75" x14ac:dyDescent="0.2">
      <c r="B377" s="6"/>
      <c r="C377" s="6"/>
      <c r="D377" s="6"/>
      <c r="E377" s="9"/>
      <c r="F377" s="9"/>
      <c r="G377" s="11"/>
      <c r="H377" s="5"/>
      <c r="I377" s="8"/>
      <c r="J377" s="8"/>
    </row>
    <row r="378" spans="2:10" ht="12.75" x14ac:dyDescent="0.2">
      <c r="B378" s="6"/>
      <c r="C378" s="6"/>
      <c r="D378" s="6"/>
      <c r="E378" s="9"/>
      <c r="F378" s="9"/>
      <c r="G378" s="11"/>
      <c r="H378" s="5"/>
      <c r="I378" s="8"/>
      <c r="J378" s="8"/>
    </row>
    <row r="379" spans="2:10" ht="12.75" x14ac:dyDescent="0.2">
      <c r="B379" s="6"/>
      <c r="C379" s="6"/>
      <c r="D379" s="6"/>
      <c r="E379" s="9"/>
      <c r="F379" s="9"/>
      <c r="G379" s="11"/>
      <c r="H379" s="5"/>
      <c r="I379" s="8"/>
      <c r="J379" s="8"/>
    </row>
    <row r="380" spans="2:10" ht="12.75" x14ac:dyDescent="0.2">
      <c r="B380" s="6"/>
      <c r="C380" s="6"/>
      <c r="D380" s="6"/>
      <c r="E380" s="9"/>
      <c r="F380" s="9"/>
      <c r="G380" s="11"/>
      <c r="H380" s="5"/>
      <c r="I380" s="8"/>
      <c r="J380" s="8"/>
    </row>
    <row r="381" spans="2:10" ht="12.75" x14ac:dyDescent="0.2">
      <c r="B381" s="6"/>
      <c r="C381" s="6"/>
      <c r="D381" s="6"/>
      <c r="E381" s="9"/>
      <c r="F381" s="9"/>
      <c r="G381" s="11"/>
      <c r="H381" s="5"/>
      <c r="I381" s="8"/>
      <c r="J381" s="8"/>
    </row>
    <row r="382" spans="2:10" ht="12.75" x14ac:dyDescent="0.2">
      <c r="B382" s="6"/>
      <c r="C382" s="6"/>
      <c r="D382" s="6"/>
      <c r="E382" s="9"/>
      <c r="F382" s="9"/>
      <c r="G382" s="11"/>
      <c r="H382" s="5"/>
      <c r="I382" s="8"/>
      <c r="J382" s="8"/>
    </row>
    <row r="383" spans="2:10" ht="12.75" x14ac:dyDescent="0.2">
      <c r="B383" s="6"/>
      <c r="C383" s="6"/>
      <c r="D383" s="6"/>
      <c r="E383" s="9"/>
      <c r="F383" s="9"/>
      <c r="G383" s="11"/>
      <c r="H383" s="5"/>
      <c r="I383" s="8"/>
      <c r="J383" s="8"/>
    </row>
    <row r="384" spans="2:10" ht="12.75" x14ac:dyDescent="0.2">
      <c r="B384" s="6"/>
      <c r="C384" s="6"/>
      <c r="D384" s="6"/>
      <c r="E384" s="9"/>
      <c r="F384" s="9"/>
      <c r="G384" s="11"/>
      <c r="H384" s="5"/>
      <c r="I384" s="8"/>
      <c r="J384" s="8"/>
    </row>
    <row r="385" spans="2:10" ht="12.75" x14ac:dyDescent="0.2">
      <c r="B385" s="6"/>
      <c r="C385" s="6"/>
      <c r="D385" s="6"/>
      <c r="E385" s="9"/>
      <c r="F385" s="9"/>
      <c r="G385" s="11"/>
      <c r="H385" s="5"/>
      <c r="I385" s="8"/>
      <c r="J385" s="8"/>
    </row>
    <row r="386" spans="2:10" ht="12.75" x14ac:dyDescent="0.2">
      <c r="B386" s="6"/>
      <c r="C386" s="6"/>
      <c r="D386" s="6"/>
      <c r="E386" s="9"/>
      <c r="F386" s="9"/>
      <c r="G386" s="11"/>
      <c r="H386" s="5"/>
      <c r="I386" s="8"/>
      <c r="J386" s="8"/>
    </row>
    <row r="387" spans="2:10" ht="12.75" x14ac:dyDescent="0.2">
      <c r="B387" s="6"/>
      <c r="C387" s="6"/>
      <c r="D387" s="6"/>
      <c r="E387" s="9"/>
      <c r="F387" s="9"/>
      <c r="G387" s="11"/>
      <c r="H387" s="5"/>
      <c r="I387" s="8"/>
      <c r="J387" s="8"/>
    </row>
    <row r="388" spans="2:10" ht="12.75" x14ac:dyDescent="0.2">
      <c r="B388" s="6"/>
      <c r="C388" s="6"/>
      <c r="D388" s="6"/>
      <c r="E388" s="9"/>
      <c r="F388" s="9"/>
      <c r="G388" s="11"/>
      <c r="H388" s="5"/>
      <c r="I388" s="8"/>
      <c r="J388" s="8"/>
    </row>
    <row r="389" spans="2:10" ht="12.75" x14ac:dyDescent="0.2">
      <c r="B389" s="6"/>
      <c r="C389" s="6"/>
      <c r="D389" s="6"/>
      <c r="E389" s="9"/>
      <c r="F389" s="9"/>
      <c r="G389" s="11"/>
      <c r="H389" s="5"/>
      <c r="I389" s="8"/>
      <c r="J389" s="8"/>
    </row>
    <row r="390" spans="2:10" ht="12.75" x14ac:dyDescent="0.2">
      <c r="B390" s="6"/>
      <c r="C390" s="6"/>
      <c r="D390" s="6"/>
      <c r="E390" s="9"/>
      <c r="F390" s="9"/>
      <c r="G390" s="11"/>
      <c r="H390" s="5"/>
      <c r="I390" s="8"/>
      <c r="J390" s="8"/>
    </row>
    <row r="391" spans="2:10" ht="12.75" x14ac:dyDescent="0.2">
      <c r="B391" s="6"/>
      <c r="C391" s="6"/>
      <c r="D391" s="6"/>
      <c r="E391" s="9"/>
      <c r="F391" s="9"/>
      <c r="G391" s="11"/>
      <c r="H391" s="5"/>
      <c r="I391" s="8"/>
      <c r="J391" s="8"/>
    </row>
    <row r="392" spans="2:10" ht="12.75" x14ac:dyDescent="0.2">
      <c r="B392" s="6"/>
      <c r="C392" s="6"/>
      <c r="D392" s="6"/>
      <c r="E392" s="9"/>
      <c r="F392" s="9"/>
      <c r="G392" s="11"/>
      <c r="H392" s="5"/>
      <c r="I392" s="8"/>
      <c r="J392" s="8"/>
    </row>
    <row r="393" spans="2:10" ht="12.75" x14ac:dyDescent="0.2">
      <c r="B393" s="6"/>
      <c r="C393" s="6"/>
      <c r="D393" s="6"/>
      <c r="E393" s="9"/>
      <c r="F393" s="9"/>
      <c r="G393" s="11"/>
      <c r="H393" s="5"/>
      <c r="I393" s="8"/>
      <c r="J393" s="8"/>
    </row>
    <row r="394" spans="2:10" ht="12.75" x14ac:dyDescent="0.2">
      <c r="B394" s="6"/>
      <c r="C394" s="6"/>
      <c r="D394" s="6"/>
      <c r="E394" s="9"/>
      <c r="F394" s="9"/>
      <c r="G394" s="11"/>
      <c r="H394" s="5"/>
      <c r="I394" s="8"/>
      <c r="J394" s="8"/>
    </row>
    <row r="395" spans="2:10" ht="12.75" x14ac:dyDescent="0.2">
      <c r="B395" s="6"/>
      <c r="C395" s="6"/>
      <c r="D395" s="6"/>
      <c r="E395" s="9"/>
      <c r="F395" s="9"/>
      <c r="G395" s="11"/>
      <c r="H395" s="5"/>
      <c r="I395" s="8"/>
      <c r="J395" s="8"/>
    </row>
    <row r="396" spans="2:10" ht="12.75" x14ac:dyDescent="0.2">
      <c r="B396" s="6"/>
      <c r="C396" s="6"/>
      <c r="D396" s="6"/>
      <c r="E396" s="9"/>
      <c r="F396" s="9"/>
      <c r="G396" s="11"/>
      <c r="H396" s="5"/>
      <c r="I396" s="8"/>
      <c r="J396" s="8"/>
    </row>
    <row r="397" spans="2:10" ht="12.75" x14ac:dyDescent="0.2">
      <c r="B397" s="6"/>
      <c r="C397" s="6"/>
      <c r="D397" s="6"/>
      <c r="E397" s="9"/>
      <c r="F397" s="9"/>
      <c r="G397" s="11"/>
      <c r="H397" s="5"/>
      <c r="I397" s="8"/>
      <c r="J397" s="8"/>
    </row>
    <row r="398" spans="2:10" ht="12.75" x14ac:dyDescent="0.2">
      <c r="B398" s="6"/>
      <c r="C398" s="6"/>
      <c r="D398" s="6"/>
      <c r="E398" s="9"/>
      <c r="F398" s="9"/>
      <c r="G398" s="11"/>
      <c r="H398" s="5"/>
      <c r="I398" s="8"/>
      <c r="J398" s="8"/>
    </row>
    <row r="399" spans="2:10" ht="12.75" x14ac:dyDescent="0.2">
      <c r="B399" s="6"/>
      <c r="C399" s="6"/>
      <c r="D399" s="6"/>
      <c r="E399" s="9"/>
      <c r="F399" s="9"/>
      <c r="G399" s="11"/>
      <c r="H399" s="5"/>
      <c r="I399" s="8"/>
      <c r="J399" s="8"/>
    </row>
    <row r="400" spans="2:10" ht="12.75" x14ac:dyDescent="0.2">
      <c r="B400" s="6"/>
      <c r="C400" s="6"/>
      <c r="D400" s="6"/>
      <c r="E400" s="9"/>
      <c r="F400" s="9"/>
      <c r="G400" s="11"/>
      <c r="H400" s="5"/>
      <c r="I400" s="8"/>
      <c r="J400" s="8"/>
    </row>
    <row r="401" spans="2:10" ht="12.75" x14ac:dyDescent="0.2">
      <c r="B401" s="6"/>
      <c r="C401" s="6"/>
      <c r="D401" s="6"/>
      <c r="E401" s="9"/>
      <c r="F401" s="9"/>
      <c r="G401" s="11"/>
      <c r="H401" s="5"/>
      <c r="I401" s="8"/>
      <c r="J401" s="8"/>
    </row>
    <row r="402" spans="2:10" ht="12.75" x14ac:dyDescent="0.2">
      <c r="B402" s="6"/>
      <c r="C402" s="6"/>
      <c r="D402" s="6"/>
      <c r="E402" s="9"/>
      <c r="F402" s="9"/>
      <c r="G402" s="11"/>
      <c r="H402" s="5"/>
      <c r="I402" s="8"/>
      <c r="J402" s="8"/>
    </row>
    <row r="403" spans="2:10" ht="12.75" x14ac:dyDescent="0.2">
      <c r="B403" s="6"/>
      <c r="C403" s="6"/>
      <c r="D403" s="6"/>
      <c r="E403" s="9"/>
      <c r="F403" s="9"/>
      <c r="G403" s="11"/>
      <c r="H403" s="5"/>
      <c r="I403" s="8"/>
      <c r="J403" s="8"/>
    </row>
    <row r="404" spans="2:10" ht="12.75" x14ac:dyDescent="0.2">
      <c r="B404" s="6"/>
      <c r="C404" s="6"/>
      <c r="D404" s="6"/>
      <c r="E404" s="9"/>
      <c r="F404" s="9"/>
      <c r="G404" s="11"/>
      <c r="H404" s="5"/>
      <c r="I404" s="8"/>
      <c r="J404" s="8"/>
    </row>
    <row r="405" spans="2:10" ht="12.75" x14ac:dyDescent="0.2">
      <c r="B405" s="6"/>
      <c r="C405" s="6"/>
      <c r="D405" s="6"/>
      <c r="E405" s="9"/>
      <c r="F405" s="9"/>
      <c r="G405" s="11"/>
      <c r="H405" s="5"/>
      <c r="I405" s="8"/>
      <c r="J405" s="8"/>
    </row>
    <row r="406" spans="2:10" ht="12.75" x14ac:dyDescent="0.2">
      <c r="B406" s="6"/>
      <c r="C406" s="6"/>
      <c r="D406" s="6"/>
      <c r="E406" s="9"/>
      <c r="F406" s="9"/>
      <c r="G406" s="11"/>
      <c r="H406" s="5"/>
      <c r="I406" s="8"/>
      <c r="J406" s="8"/>
    </row>
    <row r="407" spans="2:10" ht="12.75" x14ac:dyDescent="0.2">
      <c r="B407" s="6"/>
      <c r="C407" s="6"/>
      <c r="D407" s="6"/>
      <c r="E407" s="9"/>
      <c r="F407" s="9"/>
      <c r="G407" s="11"/>
      <c r="H407" s="5"/>
      <c r="I407" s="8"/>
      <c r="J407" s="8"/>
    </row>
    <row r="408" spans="2:10" ht="12.75" x14ac:dyDescent="0.2">
      <c r="B408" s="6"/>
      <c r="C408" s="6"/>
      <c r="D408" s="6"/>
      <c r="E408" s="9"/>
      <c r="F408" s="9"/>
      <c r="G408" s="11"/>
      <c r="H408" s="5"/>
      <c r="I408" s="8"/>
      <c r="J408" s="8"/>
    </row>
    <row r="409" spans="2:10" ht="12.75" x14ac:dyDescent="0.2">
      <c r="B409" s="6"/>
      <c r="C409" s="6"/>
      <c r="D409" s="6"/>
      <c r="E409" s="9"/>
      <c r="F409" s="9"/>
      <c r="G409" s="11"/>
      <c r="H409" s="5"/>
      <c r="I409" s="8"/>
      <c r="J409" s="8"/>
    </row>
    <row r="410" spans="2:10" ht="12.75" x14ac:dyDescent="0.2">
      <c r="B410" s="6"/>
      <c r="C410" s="6"/>
      <c r="D410" s="6"/>
      <c r="E410" s="9"/>
      <c r="F410" s="9"/>
      <c r="G410" s="11"/>
      <c r="H410" s="5"/>
      <c r="I410" s="8"/>
      <c r="J410" s="8"/>
    </row>
    <row r="411" spans="2:10" ht="12.75" x14ac:dyDescent="0.2">
      <c r="B411" s="6"/>
      <c r="C411" s="6"/>
      <c r="D411" s="6"/>
      <c r="E411" s="9"/>
      <c r="F411" s="9"/>
      <c r="G411" s="11"/>
      <c r="H411" s="5"/>
      <c r="I411" s="8"/>
      <c r="J411" s="8"/>
    </row>
    <row r="412" spans="2:10" ht="12.75" x14ac:dyDescent="0.2">
      <c r="B412" s="6"/>
      <c r="C412" s="6"/>
      <c r="D412" s="6"/>
      <c r="E412" s="9"/>
      <c r="F412" s="9"/>
      <c r="G412" s="11"/>
      <c r="H412" s="5"/>
      <c r="I412" s="8"/>
      <c r="J412" s="8"/>
    </row>
    <row r="413" spans="2:10" ht="12.75" x14ac:dyDescent="0.2">
      <c r="B413" s="6"/>
      <c r="C413" s="6"/>
      <c r="D413" s="6"/>
      <c r="E413" s="9"/>
      <c r="F413" s="9"/>
      <c r="G413" s="11"/>
      <c r="H413" s="5"/>
      <c r="I413" s="8"/>
      <c r="J413" s="8"/>
    </row>
    <row r="414" spans="2:10" ht="12.75" x14ac:dyDescent="0.2">
      <c r="B414" s="6"/>
      <c r="C414" s="6"/>
      <c r="D414" s="6"/>
      <c r="E414" s="9"/>
      <c r="F414" s="9"/>
      <c r="G414" s="11"/>
      <c r="H414" s="5"/>
      <c r="I414" s="8"/>
      <c r="J414" s="8"/>
    </row>
    <row r="415" spans="2:10" ht="12.75" x14ac:dyDescent="0.2">
      <c r="B415" s="6"/>
      <c r="C415" s="6"/>
      <c r="D415" s="6"/>
      <c r="E415" s="9"/>
      <c r="F415" s="9"/>
      <c r="G415" s="11"/>
      <c r="H415" s="5"/>
      <c r="I415" s="8"/>
      <c r="J415" s="8"/>
    </row>
    <row r="416" spans="2:10" ht="12.75" x14ac:dyDescent="0.2">
      <c r="B416" s="6"/>
      <c r="C416" s="6"/>
      <c r="D416" s="6"/>
      <c r="E416" s="9"/>
      <c r="F416" s="9"/>
      <c r="G416" s="11"/>
      <c r="H416" s="5"/>
      <c r="I416" s="8"/>
      <c r="J416" s="8"/>
    </row>
    <row r="417" spans="2:10" ht="12.75" x14ac:dyDescent="0.2">
      <c r="B417" s="6"/>
      <c r="C417" s="6"/>
      <c r="D417" s="6"/>
      <c r="E417" s="9"/>
      <c r="F417" s="9"/>
      <c r="G417" s="11"/>
      <c r="H417" s="5"/>
      <c r="I417" s="8"/>
      <c r="J417" s="8"/>
    </row>
    <row r="418" spans="2:10" ht="12.75" x14ac:dyDescent="0.2">
      <c r="B418" s="6"/>
      <c r="C418" s="6"/>
      <c r="D418" s="6"/>
      <c r="E418" s="9"/>
      <c r="F418" s="9"/>
      <c r="G418" s="11"/>
      <c r="H418" s="5"/>
      <c r="I418" s="8"/>
      <c r="J418" s="8"/>
    </row>
    <row r="419" spans="2:10" ht="12.75" x14ac:dyDescent="0.2">
      <c r="B419" s="6"/>
      <c r="C419" s="6"/>
      <c r="D419" s="6"/>
      <c r="E419" s="9"/>
      <c r="F419" s="9"/>
      <c r="G419" s="11"/>
      <c r="H419" s="5"/>
      <c r="I419" s="8"/>
      <c r="J419" s="8"/>
    </row>
    <row r="420" spans="2:10" ht="12.75" x14ac:dyDescent="0.2">
      <c r="B420" s="6"/>
      <c r="C420" s="6"/>
      <c r="D420" s="6"/>
      <c r="E420" s="9"/>
      <c r="F420" s="9"/>
      <c r="G420" s="11"/>
      <c r="H420" s="5"/>
      <c r="I420" s="8"/>
      <c r="J420" s="8"/>
    </row>
    <row r="421" spans="2:10" ht="12.75" x14ac:dyDescent="0.2">
      <c r="B421" s="6"/>
      <c r="C421" s="6"/>
      <c r="D421" s="6"/>
      <c r="E421" s="9"/>
      <c r="F421" s="9"/>
      <c r="G421" s="11"/>
      <c r="H421" s="5"/>
      <c r="I421" s="8"/>
      <c r="J421" s="8"/>
    </row>
    <row r="422" spans="2:10" ht="12.75" x14ac:dyDescent="0.2">
      <c r="B422" s="6"/>
      <c r="C422" s="6"/>
      <c r="D422" s="6"/>
      <c r="E422" s="9"/>
      <c r="F422" s="9"/>
      <c r="G422" s="11"/>
      <c r="H422" s="5"/>
      <c r="I422" s="8"/>
      <c r="J422" s="8"/>
    </row>
    <row r="423" spans="2:10" ht="12.75" x14ac:dyDescent="0.2">
      <c r="B423" s="6"/>
      <c r="C423" s="6"/>
      <c r="D423" s="6"/>
      <c r="E423" s="9"/>
      <c r="F423" s="9"/>
      <c r="G423" s="11"/>
      <c r="H423" s="5"/>
      <c r="I423" s="8"/>
      <c r="J423" s="8"/>
    </row>
    <row r="424" spans="2:10" ht="12.75" x14ac:dyDescent="0.2">
      <c r="B424" s="6"/>
      <c r="C424" s="6"/>
      <c r="D424" s="6"/>
      <c r="E424" s="9"/>
      <c r="F424" s="9"/>
      <c r="G424" s="11"/>
      <c r="H424" s="5"/>
      <c r="I424" s="8"/>
      <c r="J424" s="8"/>
    </row>
    <row r="425" spans="2:10" ht="12.75" x14ac:dyDescent="0.2">
      <c r="B425" s="6"/>
      <c r="C425" s="6"/>
      <c r="D425" s="6"/>
      <c r="E425" s="9"/>
      <c r="F425" s="9"/>
      <c r="G425" s="11"/>
      <c r="H425" s="5"/>
      <c r="I425" s="8"/>
      <c r="J425" s="8"/>
    </row>
    <row r="426" spans="2:10" ht="12.75" x14ac:dyDescent="0.2">
      <c r="B426" s="6"/>
      <c r="C426" s="6"/>
      <c r="D426" s="6"/>
      <c r="E426" s="9"/>
      <c r="F426" s="9"/>
      <c r="G426" s="11"/>
      <c r="H426" s="5"/>
      <c r="I426" s="8"/>
      <c r="J426" s="8"/>
    </row>
    <row r="427" spans="2:10" ht="12.75" x14ac:dyDescent="0.2">
      <c r="B427" s="6"/>
      <c r="C427" s="6"/>
      <c r="D427" s="6"/>
      <c r="E427" s="9"/>
      <c r="F427" s="9"/>
      <c r="G427" s="11"/>
      <c r="H427" s="5"/>
      <c r="I427" s="8"/>
      <c r="J427" s="8"/>
    </row>
    <row r="428" spans="2:10" ht="12.75" x14ac:dyDescent="0.2">
      <c r="B428" s="6"/>
      <c r="C428" s="6"/>
      <c r="D428" s="6"/>
      <c r="E428" s="9"/>
      <c r="F428" s="9"/>
      <c r="G428" s="11"/>
      <c r="H428" s="5"/>
      <c r="I428" s="8"/>
      <c r="J428" s="8"/>
    </row>
    <row r="429" spans="2:10" ht="12.75" x14ac:dyDescent="0.2">
      <c r="B429" s="6"/>
      <c r="C429" s="6"/>
      <c r="D429" s="6"/>
      <c r="E429" s="9"/>
      <c r="F429" s="9"/>
      <c r="G429" s="11"/>
      <c r="H429" s="5"/>
      <c r="I429" s="8"/>
      <c r="J429" s="8"/>
    </row>
    <row r="430" spans="2:10" ht="12.75" x14ac:dyDescent="0.2">
      <c r="B430" s="6"/>
      <c r="C430" s="6"/>
      <c r="D430" s="6"/>
      <c r="E430" s="9"/>
      <c r="F430" s="9"/>
      <c r="G430" s="11"/>
      <c r="H430" s="5"/>
      <c r="I430" s="8"/>
      <c r="J430" s="8"/>
    </row>
    <row r="431" spans="2:10" ht="12.75" x14ac:dyDescent="0.2">
      <c r="B431" s="6"/>
      <c r="C431" s="6"/>
      <c r="D431" s="6"/>
      <c r="E431" s="9"/>
      <c r="F431" s="9"/>
      <c r="G431" s="11"/>
      <c r="H431" s="5"/>
      <c r="I431" s="8"/>
      <c r="J431" s="8"/>
    </row>
    <row r="432" spans="2:10" ht="12.75" x14ac:dyDescent="0.2">
      <c r="B432" s="6"/>
      <c r="C432" s="6"/>
      <c r="D432" s="6"/>
      <c r="E432" s="9"/>
      <c r="F432" s="9"/>
      <c r="G432" s="11"/>
      <c r="H432" s="5"/>
      <c r="I432" s="8"/>
      <c r="J432" s="8"/>
    </row>
    <row r="433" spans="2:10" ht="12.75" x14ac:dyDescent="0.2">
      <c r="B433" s="6"/>
      <c r="C433" s="6"/>
      <c r="D433" s="6"/>
      <c r="E433" s="9"/>
      <c r="F433" s="9"/>
      <c r="G433" s="11"/>
      <c r="H433" s="5"/>
      <c r="I433" s="8"/>
      <c r="J433" s="8"/>
    </row>
    <row r="434" spans="2:10" ht="12.75" x14ac:dyDescent="0.2">
      <c r="B434" s="6"/>
      <c r="C434" s="6"/>
      <c r="D434" s="6"/>
      <c r="E434" s="9"/>
      <c r="F434" s="9"/>
      <c r="G434" s="11"/>
      <c r="H434" s="5"/>
      <c r="I434" s="8"/>
      <c r="J434" s="8"/>
    </row>
    <row r="435" spans="2:10" ht="12.75" x14ac:dyDescent="0.2">
      <c r="B435" s="6"/>
      <c r="C435" s="6"/>
      <c r="D435" s="6"/>
      <c r="E435" s="9"/>
      <c r="F435" s="9"/>
      <c r="G435" s="11"/>
      <c r="H435" s="5"/>
      <c r="I435" s="8"/>
      <c r="J435" s="8"/>
    </row>
    <row r="436" spans="2:10" ht="12.75" x14ac:dyDescent="0.2">
      <c r="B436" s="6"/>
      <c r="C436" s="6"/>
      <c r="D436" s="6"/>
      <c r="E436" s="9"/>
      <c r="F436" s="9"/>
      <c r="G436" s="11"/>
      <c r="H436" s="5"/>
      <c r="I436" s="8"/>
      <c r="J436" s="8"/>
    </row>
    <row r="437" spans="2:10" ht="12.75" x14ac:dyDescent="0.2">
      <c r="B437" s="6"/>
      <c r="C437" s="6"/>
      <c r="D437" s="6"/>
      <c r="E437" s="9"/>
      <c r="F437" s="9"/>
      <c r="G437" s="11"/>
      <c r="H437" s="5"/>
      <c r="I437" s="8"/>
      <c r="J437" s="8"/>
    </row>
    <row r="438" spans="2:10" ht="12.75" x14ac:dyDescent="0.2">
      <c r="B438" s="6"/>
      <c r="C438" s="6"/>
      <c r="D438" s="6"/>
      <c r="E438" s="9"/>
      <c r="F438" s="9"/>
      <c r="G438" s="11"/>
      <c r="H438" s="5"/>
      <c r="I438" s="8"/>
      <c r="J438" s="8"/>
    </row>
    <row r="439" spans="2:10" ht="12.75" x14ac:dyDescent="0.2">
      <c r="B439" s="6"/>
      <c r="C439" s="6"/>
      <c r="D439" s="6"/>
      <c r="E439" s="9"/>
      <c r="F439" s="9"/>
      <c r="G439" s="11"/>
      <c r="H439" s="5"/>
      <c r="I439" s="8"/>
      <c r="J439" s="8"/>
    </row>
    <row r="440" spans="2:10" ht="12.75" x14ac:dyDescent="0.2">
      <c r="B440" s="6"/>
      <c r="C440" s="6"/>
      <c r="D440" s="6"/>
      <c r="E440" s="9"/>
      <c r="F440" s="9"/>
      <c r="G440" s="11"/>
      <c r="H440" s="5"/>
      <c r="I440" s="8"/>
      <c r="J440" s="8"/>
    </row>
    <row r="441" spans="2:10" ht="12.75" x14ac:dyDescent="0.2">
      <c r="B441" s="6"/>
      <c r="C441" s="6"/>
      <c r="D441" s="6"/>
      <c r="E441" s="9"/>
      <c r="F441" s="9"/>
      <c r="G441" s="11"/>
      <c r="H441" s="5"/>
      <c r="I441" s="8"/>
      <c r="J441" s="8"/>
    </row>
    <row r="442" spans="2:10" ht="12.75" x14ac:dyDescent="0.2">
      <c r="B442" s="6"/>
      <c r="C442" s="6"/>
      <c r="D442" s="6"/>
      <c r="E442" s="9"/>
      <c r="F442" s="9"/>
      <c r="G442" s="11"/>
      <c r="H442" s="5"/>
      <c r="I442" s="8"/>
      <c r="J442" s="8"/>
    </row>
    <row r="443" spans="2:10" ht="12.75" x14ac:dyDescent="0.2">
      <c r="B443" s="6"/>
      <c r="C443" s="6"/>
      <c r="D443" s="6"/>
      <c r="E443" s="9"/>
      <c r="F443" s="9"/>
      <c r="G443" s="11"/>
      <c r="H443" s="5"/>
      <c r="I443" s="8"/>
      <c r="J443" s="8"/>
    </row>
    <row r="444" spans="2:10" ht="12.75" x14ac:dyDescent="0.2">
      <c r="B444" s="6"/>
      <c r="C444" s="6"/>
      <c r="D444" s="6"/>
      <c r="E444" s="9"/>
      <c r="F444" s="9"/>
      <c r="G444" s="11"/>
      <c r="H444" s="5"/>
      <c r="I444" s="8"/>
      <c r="J444" s="8"/>
    </row>
    <row r="445" spans="2:10" ht="12.75" x14ac:dyDescent="0.2">
      <c r="B445" s="6"/>
      <c r="C445" s="6"/>
      <c r="D445" s="6"/>
      <c r="E445" s="9"/>
      <c r="F445" s="9"/>
      <c r="G445" s="11"/>
      <c r="H445" s="5"/>
      <c r="I445" s="8"/>
      <c r="J445" s="8"/>
    </row>
    <row r="446" spans="2:10" ht="12.75" x14ac:dyDescent="0.2">
      <c r="B446" s="6"/>
      <c r="C446" s="6"/>
      <c r="D446" s="6"/>
      <c r="E446" s="9"/>
      <c r="F446" s="9"/>
      <c r="G446" s="11"/>
      <c r="H446" s="5"/>
      <c r="I446" s="8"/>
      <c r="J446" s="8"/>
    </row>
    <row r="447" spans="2:10" ht="12.75" x14ac:dyDescent="0.2">
      <c r="B447" s="6"/>
      <c r="C447" s="6"/>
      <c r="D447" s="6"/>
      <c r="E447" s="9"/>
      <c r="F447" s="9"/>
      <c r="G447" s="11"/>
      <c r="H447" s="5"/>
      <c r="I447" s="8"/>
      <c r="J447" s="8"/>
    </row>
    <row r="448" spans="2:10" ht="12.75" x14ac:dyDescent="0.2">
      <c r="B448" s="6"/>
      <c r="C448" s="6"/>
      <c r="D448" s="6"/>
      <c r="E448" s="9"/>
      <c r="F448" s="9"/>
      <c r="G448" s="11"/>
      <c r="H448" s="5"/>
      <c r="I448" s="8"/>
      <c r="J448" s="8"/>
    </row>
    <row r="449" spans="2:10" ht="12.75" x14ac:dyDescent="0.2">
      <c r="B449" s="6"/>
      <c r="C449" s="6"/>
      <c r="D449" s="6"/>
      <c r="E449" s="9"/>
      <c r="F449" s="9"/>
      <c r="G449" s="11"/>
      <c r="H449" s="5"/>
      <c r="I449" s="8"/>
      <c r="J449" s="8"/>
    </row>
    <row r="450" spans="2:10" ht="12.75" x14ac:dyDescent="0.2">
      <c r="B450" s="6"/>
      <c r="C450" s="6"/>
      <c r="D450" s="6"/>
      <c r="E450" s="9"/>
      <c r="F450" s="9"/>
      <c r="G450" s="11"/>
      <c r="H450" s="5"/>
      <c r="I450" s="8"/>
      <c r="J450" s="8"/>
    </row>
    <row r="451" spans="2:10" ht="12.75" x14ac:dyDescent="0.2">
      <c r="B451" s="6"/>
      <c r="C451" s="6"/>
      <c r="D451" s="6"/>
      <c r="E451" s="9"/>
      <c r="F451" s="9"/>
      <c r="G451" s="11"/>
      <c r="H451" s="5"/>
      <c r="I451" s="8"/>
      <c r="J451" s="8"/>
    </row>
    <row r="452" spans="2:10" ht="12.75" x14ac:dyDescent="0.2">
      <c r="B452" s="6"/>
      <c r="C452" s="6"/>
      <c r="D452" s="6"/>
      <c r="E452" s="9"/>
      <c r="F452" s="9"/>
      <c r="G452" s="11"/>
      <c r="H452" s="5"/>
      <c r="I452" s="8"/>
      <c r="J452" s="8"/>
    </row>
    <row r="453" spans="2:10" ht="12.75" x14ac:dyDescent="0.2">
      <c r="B453" s="6"/>
      <c r="C453" s="6"/>
      <c r="D453" s="6"/>
      <c r="E453" s="9"/>
      <c r="F453" s="9"/>
      <c r="G453" s="11"/>
      <c r="H453" s="5"/>
      <c r="I453" s="8"/>
      <c r="J453" s="8"/>
    </row>
    <row r="454" spans="2:10" ht="12.75" x14ac:dyDescent="0.2">
      <c r="B454" s="6"/>
      <c r="C454" s="6"/>
      <c r="D454" s="6"/>
      <c r="E454" s="9"/>
      <c r="F454" s="9"/>
      <c r="G454" s="11"/>
      <c r="H454" s="5"/>
      <c r="I454" s="8"/>
      <c r="J454" s="8"/>
    </row>
    <row r="455" spans="2:10" ht="12.75" x14ac:dyDescent="0.2">
      <c r="B455" s="6"/>
      <c r="C455" s="6"/>
      <c r="D455" s="6"/>
      <c r="E455" s="9"/>
      <c r="F455" s="9"/>
      <c r="G455" s="11"/>
      <c r="H455" s="5"/>
      <c r="I455" s="8"/>
      <c r="J455" s="8"/>
    </row>
    <row r="456" spans="2:10" ht="12.75" x14ac:dyDescent="0.2">
      <c r="B456" s="6"/>
      <c r="C456" s="6"/>
      <c r="D456" s="6"/>
      <c r="E456" s="9"/>
      <c r="F456" s="9"/>
      <c r="G456" s="11"/>
      <c r="H456" s="5"/>
      <c r="I456" s="8"/>
      <c r="J456" s="8"/>
    </row>
    <row r="457" spans="2:10" ht="12.75" x14ac:dyDescent="0.2">
      <c r="B457" s="6"/>
      <c r="C457" s="6"/>
      <c r="D457" s="6"/>
      <c r="E457" s="9"/>
      <c r="F457" s="9"/>
      <c r="G457" s="11"/>
      <c r="H457" s="5"/>
      <c r="I457" s="8"/>
      <c r="J457" s="8"/>
    </row>
    <row r="458" spans="2:10" ht="12.75" x14ac:dyDescent="0.2">
      <c r="B458" s="6"/>
      <c r="C458" s="6"/>
      <c r="D458" s="6"/>
      <c r="E458" s="9"/>
      <c r="F458" s="9"/>
      <c r="G458" s="11"/>
      <c r="H458" s="5"/>
      <c r="I458" s="8"/>
      <c r="J458" s="8"/>
    </row>
    <row r="459" spans="2:10" ht="12.75" x14ac:dyDescent="0.2">
      <c r="B459" s="6"/>
      <c r="C459" s="6"/>
      <c r="D459" s="6"/>
      <c r="E459" s="9"/>
      <c r="F459" s="9"/>
      <c r="G459" s="11"/>
      <c r="H459" s="5"/>
      <c r="I459" s="8"/>
      <c r="J459" s="8"/>
    </row>
    <row r="460" spans="2:10" ht="12.75" x14ac:dyDescent="0.2">
      <c r="B460" s="6"/>
      <c r="C460" s="6"/>
      <c r="D460" s="6"/>
      <c r="E460" s="9"/>
      <c r="F460" s="9"/>
      <c r="G460" s="11"/>
      <c r="H460" s="5"/>
      <c r="I460" s="8"/>
      <c r="J460" s="8"/>
    </row>
    <row r="461" spans="2:10" ht="12.75" x14ac:dyDescent="0.2">
      <c r="B461" s="6"/>
      <c r="C461" s="6"/>
      <c r="D461" s="6"/>
      <c r="E461" s="9"/>
      <c r="F461" s="9"/>
      <c r="G461" s="11"/>
      <c r="H461" s="5"/>
      <c r="I461" s="8"/>
      <c r="J461" s="8"/>
    </row>
    <row r="462" spans="2:10" ht="12.75" x14ac:dyDescent="0.2">
      <c r="B462" s="6"/>
      <c r="C462" s="6"/>
      <c r="D462" s="6"/>
      <c r="E462" s="9"/>
      <c r="F462" s="9"/>
      <c r="G462" s="11"/>
      <c r="H462" s="5"/>
      <c r="I462" s="8"/>
      <c r="J462" s="8"/>
    </row>
    <row r="463" spans="2:10" ht="12.75" x14ac:dyDescent="0.2">
      <c r="B463" s="6"/>
      <c r="C463" s="6"/>
      <c r="D463" s="6"/>
      <c r="E463" s="9"/>
      <c r="F463" s="9"/>
      <c r="G463" s="11"/>
      <c r="H463" s="5"/>
      <c r="I463" s="8"/>
      <c r="J463" s="8"/>
    </row>
    <row r="464" spans="2:10" ht="12.75" x14ac:dyDescent="0.2">
      <c r="B464" s="6"/>
      <c r="C464" s="6"/>
      <c r="D464" s="6"/>
      <c r="E464" s="9"/>
      <c r="F464" s="9"/>
      <c r="G464" s="11"/>
      <c r="H464" s="5"/>
      <c r="I464" s="8"/>
      <c r="J464" s="8"/>
    </row>
    <row r="465" spans="2:10" ht="12.75" x14ac:dyDescent="0.2">
      <c r="B465" s="6"/>
      <c r="C465" s="6"/>
      <c r="D465" s="6"/>
      <c r="E465" s="9"/>
      <c r="F465" s="9"/>
      <c r="G465" s="11"/>
      <c r="H465" s="5"/>
      <c r="I465" s="8"/>
      <c r="J465" s="8"/>
    </row>
    <row r="466" spans="2:10" ht="12.75" x14ac:dyDescent="0.2">
      <c r="B466" s="6"/>
      <c r="C466" s="6"/>
      <c r="D466" s="6"/>
      <c r="E466" s="9"/>
      <c r="F466" s="9"/>
      <c r="G466" s="11"/>
      <c r="H466" s="5"/>
      <c r="I466" s="8"/>
      <c r="J466" s="8"/>
    </row>
    <row r="467" spans="2:10" ht="12.75" x14ac:dyDescent="0.2">
      <c r="B467" s="6"/>
      <c r="C467" s="6"/>
      <c r="D467" s="6"/>
      <c r="E467" s="9"/>
      <c r="F467" s="9"/>
      <c r="G467" s="11"/>
      <c r="H467" s="5"/>
      <c r="I467" s="8"/>
      <c r="J467" s="8"/>
    </row>
    <row r="468" spans="2:10" ht="12.75" x14ac:dyDescent="0.2">
      <c r="B468" s="6"/>
      <c r="C468" s="6"/>
      <c r="D468" s="6"/>
      <c r="E468" s="9"/>
      <c r="F468" s="9"/>
      <c r="G468" s="11"/>
      <c r="H468" s="5"/>
      <c r="I468" s="8"/>
      <c r="J468" s="8"/>
    </row>
    <row r="469" spans="2:10" ht="12.75" x14ac:dyDescent="0.2">
      <c r="B469" s="6"/>
      <c r="C469" s="6"/>
      <c r="D469" s="6"/>
      <c r="E469" s="9"/>
      <c r="F469" s="9"/>
      <c r="G469" s="11"/>
      <c r="H469" s="5"/>
      <c r="I469" s="8"/>
      <c r="J469" s="8"/>
    </row>
    <row r="470" spans="2:10" ht="12.75" x14ac:dyDescent="0.2">
      <c r="B470" s="6"/>
      <c r="C470" s="6"/>
      <c r="D470" s="6"/>
      <c r="E470" s="9"/>
      <c r="F470" s="9"/>
      <c r="G470" s="11"/>
      <c r="H470" s="5"/>
      <c r="I470" s="8"/>
      <c r="J470" s="8"/>
    </row>
    <row r="471" spans="2:10" ht="12.75" x14ac:dyDescent="0.2">
      <c r="B471" s="6"/>
      <c r="C471" s="6"/>
      <c r="D471" s="6"/>
      <c r="E471" s="9"/>
      <c r="F471" s="9"/>
      <c r="G471" s="11"/>
      <c r="H471" s="5"/>
      <c r="I471" s="8"/>
      <c r="J471" s="8"/>
    </row>
    <row r="472" spans="2:10" ht="12.75" x14ac:dyDescent="0.2">
      <c r="B472" s="6"/>
      <c r="C472" s="6"/>
      <c r="D472" s="6"/>
      <c r="E472" s="9"/>
      <c r="F472" s="9"/>
      <c r="G472" s="11"/>
      <c r="H472" s="5"/>
      <c r="I472" s="8"/>
      <c r="J472" s="8"/>
    </row>
    <row r="473" spans="2:10" ht="12.75" x14ac:dyDescent="0.2">
      <c r="B473" s="6"/>
      <c r="C473" s="6"/>
      <c r="D473" s="6"/>
      <c r="E473" s="9"/>
      <c r="F473" s="9"/>
      <c r="G473" s="11"/>
      <c r="H473" s="5"/>
      <c r="I473" s="8"/>
      <c r="J473" s="8"/>
    </row>
    <row r="474" spans="2:10" ht="12.75" x14ac:dyDescent="0.2">
      <c r="B474" s="6"/>
      <c r="C474" s="6"/>
      <c r="D474" s="6"/>
      <c r="E474" s="9"/>
      <c r="F474" s="9"/>
      <c r="G474" s="11"/>
      <c r="H474" s="5"/>
      <c r="I474" s="8"/>
      <c r="J474" s="8"/>
    </row>
    <row r="475" spans="2:10" ht="12.75" x14ac:dyDescent="0.2">
      <c r="B475" s="6"/>
      <c r="C475" s="6"/>
      <c r="D475" s="6"/>
      <c r="E475" s="9"/>
      <c r="F475" s="9"/>
      <c r="G475" s="11"/>
      <c r="H475" s="5"/>
      <c r="I475" s="8"/>
      <c r="J475" s="8"/>
    </row>
    <row r="476" spans="2:10" ht="12.75" x14ac:dyDescent="0.2">
      <c r="B476" s="6"/>
      <c r="C476" s="6"/>
      <c r="D476" s="6"/>
      <c r="E476" s="9"/>
      <c r="F476" s="9"/>
      <c r="G476" s="11"/>
      <c r="H476" s="5"/>
      <c r="I476" s="8"/>
      <c r="J476" s="8"/>
    </row>
    <row r="477" spans="2:10" ht="12.75" x14ac:dyDescent="0.2">
      <c r="B477" s="6"/>
      <c r="C477" s="6"/>
      <c r="D477" s="6"/>
      <c r="E477" s="9"/>
      <c r="F477" s="9"/>
      <c r="G477" s="11"/>
      <c r="H477" s="5"/>
      <c r="I477" s="8"/>
      <c r="J477" s="8"/>
    </row>
    <row r="478" spans="2:10" ht="12.75" x14ac:dyDescent="0.2">
      <c r="B478" s="6"/>
      <c r="C478" s="6"/>
      <c r="D478" s="6"/>
      <c r="E478" s="9"/>
      <c r="F478" s="9"/>
      <c r="G478" s="11"/>
      <c r="H478" s="5"/>
      <c r="I478" s="8"/>
      <c r="J478" s="8"/>
    </row>
    <row r="479" spans="2:10" ht="12.75" x14ac:dyDescent="0.2">
      <c r="B479" s="6"/>
      <c r="C479" s="6"/>
      <c r="D479" s="6"/>
      <c r="E479" s="9"/>
      <c r="F479" s="9"/>
      <c r="G479" s="11"/>
      <c r="H479" s="5"/>
      <c r="I479" s="8"/>
      <c r="J479" s="8"/>
    </row>
    <row r="480" spans="2:10" ht="12.75" x14ac:dyDescent="0.2">
      <c r="B480" s="6"/>
      <c r="C480" s="6"/>
      <c r="D480" s="6"/>
      <c r="E480" s="9"/>
      <c r="F480" s="9"/>
      <c r="G480" s="11"/>
      <c r="H480" s="5"/>
      <c r="I480" s="8"/>
      <c r="J480" s="8"/>
    </row>
    <row r="481" spans="2:10" ht="12.75" x14ac:dyDescent="0.2">
      <c r="B481" s="6"/>
      <c r="C481" s="6"/>
      <c r="D481" s="6"/>
      <c r="E481" s="9"/>
      <c r="F481" s="9"/>
      <c r="G481" s="11"/>
      <c r="H481" s="5"/>
      <c r="I481" s="8"/>
      <c r="J481" s="8"/>
    </row>
    <row r="482" spans="2:10" ht="12.75" x14ac:dyDescent="0.2">
      <c r="B482" s="6"/>
      <c r="C482" s="6"/>
      <c r="D482" s="6"/>
      <c r="E482" s="9"/>
      <c r="F482" s="9"/>
      <c r="G482" s="11"/>
      <c r="H482" s="5"/>
      <c r="I482" s="8"/>
      <c r="J482" s="8"/>
    </row>
    <row r="483" spans="2:10" ht="12.75" x14ac:dyDescent="0.2">
      <c r="B483" s="6"/>
      <c r="C483" s="6"/>
      <c r="D483" s="6"/>
      <c r="E483" s="9"/>
      <c r="F483" s="9"/>
      <c r="G483" s="11"/>
      <c r="H483" s="5"/>
      <c r="I483" s="8"/>
      <c r="J483" s="8"/>
    </row>
    <row r="484" spans="2:10" ht="12.75" x14ac:dyDescent="0.2">
      <c r="B484" s="6"/>
      <c r="C484" s="6"/>
      <c r="D484" s="6"/>
      <c r="E484" s="9"/>
      <c r="F484" s="9"/>
      <c r="G484" s="11"/>
      <c r="H484" s="5"/>
      <c r="I484" s="8"/>
      <c r="J484" s="8"/>
    </row>
    <row r="485" spans="2:10" ht="12.75" x14ac:dyDescent="0.2">
      <c r="B485" s="6"/>
      <c r="C485" s="6"/>
      <c r="D485" s="6"/>
      <c r="E485" s="9"/>
      <c r="F485" s="9"/>
      <c r="G485" s="11"/>
      <c r="H485" s="5"/>
      <c r="I485" s="8"/>
      <c r="J485" s="8"/>
    </row>
    <row r="486" spans="2:10" ht="12.75" x14ac:dyDescent="0.2">
      <c r="B486" s="6"/>
      <c r="C486" s="6"/>
      <c r="D486" s="6"/>
      <c r="E486" s="9"/>
      <c r="F486" s="9"/>
      <c r="G486" s="11"/>
      <c r="H486" s="5"/>
      <c r="I486" s="8"/>
      <c r="J486" s="8"/>
    </row>
    <row r="487" spans="2:10" ht="12.75" x14ac:dyDescent="0.2">
      <c r="B487" s="6"/>
      <c r="C487" s="6"/>
      <c r="D487" s="6"/>
      <c r="E487" s="9"/>
      <c r="F487" s="9"/>
      <c r="G487" s="11"/>
      <c r="H487" s="5"/>
      <c r="I487" s="8"/>
      <c r="J487" s="8"/>
    </row>
    <row r="488" spans="2:10" ht="12.75" x14ac:dyDescent="0.2">
      <c r="B488" s="6"/>
      <c r="C488" s="6"/>
      <c r="D488" s="6"/>
      <c r="E488" s="9"/>
      <c r="F488" s="9"/>
      <c r="G488" s="11"/>
      <c r="H488" s="5"/>
      <c r="I488" s="8"/>
      <c r="J488" s="8"/>
    </row>
    <row r="489" spans="2:10" ht="12.75" x14ac:dyDescent="0.2">
      <c r="B489" s="6"/>
      <c r="C489" s="6"/>
      <c r="D489" s="6"/>
      <c r="E489" s="9"/>
      <c r="F489" s="9"/>
      <c r="G489" s="11"/>
      <c r="H489" s="5"/>
      <c r="I489" s="8"/>
      <c r="J489" s="8"/>
    </row>
    <row r="490" spans="2:10" ht="12.75" x14ac:dyDescent="0.2">
      <c r="B490" s="6"/>
      <c r="C490" s="6"/>
      <c r="D490" s="6"/>
      <c r="E490" s="9"/>
      <c r="F490" s="9"/>
      <c r="G490" s="11"/>
      <c r="H490" s="5"/>
      <c r="I490" s="8"/>
      <c r="J490" s="8"/>
    </row>
    <row r="491" spans="2:10" ht="12.75" x14ac:dyDescent="0.2">
      <c r="B491" s="6"/>
      <c r="C491" s="6"/>
      <c r="D491" s="6"/>
      <c r="E491" s="9"/>
      <c r="F491" s="9"/>
      <c r="G491" s="11"/>
      <c r="H491" s="5"/>
      <c r="I491" s="8"/>
      <c r="J491" s="8"/>
    </row>
    <row r="492" spans="2:10" ht="12.75" x14ac:dyDescent="0.2">
      <c r="B492" s="6"/>
      <c r="C492" s="6"/>
      <c r="D492" s="6"/>
      <c r="E492" s="9"/>
      <c r="F492" s="9"/>
      <c r="G492" s="11"/>
      <c r="H492" s="5"/>
      <c r="I492" s="8"/>
      <c r="J492" s="8"/>
    </row>
    <row r="493" spans="2:10" ht="12.75" x14ac:dyDescent="0.2">
      <c r="B493" s="6"/>
      <c r="C493" s="6"/>
      <c r="D493" s="6"/>
      <c r="E493" s="9"/>
      <c r="F493" s="9"/>
      <c r="G493" s="11"/>
      <c r="H493" s="5"/>
      <c r="I493" s="8"/>
      <c r="J493" s="8"/>
    </row>
    <row r="494" spans="2:10" ht="12.75" x14ac:dyDescent="0.2">
      <c r="B494" s="6"/>
      <c r="C494" s="6"/>
      <c r="D494" s="6"/>
      <c r="E494" s="9"/>
      <c r="F494" s="9"/>
      <c r="G494" s="11"/>
      <c r="H494" s="5"/>
      <c r="I494" s="8"/>
      <c r="J494" s="8"/>
    </row>
    <row r="495" spans="2:10" ht="12.75" x14ac:dyDescent="0.2">
      <c r="B495" s="6"/>
      <c r="C495" s="6"/>
      <c r="D495" s="6"/>
      <c r="E495" s="9"/>
      <c r="F495" s="9"/>
      <c r="G495" s="11"/>
      <c r="H495" s="5"/>
      <c r="I495" s="8"/>
      <c r="J495" s="8"/>
    </row>
    <row r="496" spans="2:10" ht="12.75" x14ac:dyDescent="0.2">
      <c r="B496" s="6"/>
      <c r="C496" s="6"/>
      <c r="D496" s="6"/>
      <c r="E496" s="9"/>
      <c r="F496" s="9"/>
      <c r="G496" s="11"/>
      <c r="H496" s="5"/>
      <c r="I496" s="8"/>
      <c r="J496" s="8"/>
    </row>
    <row r="497" spans="2:10" ht="12.75" x14ac:dyDescent="0.2">
      <c r="B497" s="6"/>
      <c r="C497" s="6"/>
      <c r="D497" s="6"/>
      <c r="E497" s="9"/>
      <c r="F497" s="9"/>
      <c r="G497" s="11"/>
      <c r="H497" s="5"/>
      <c r="I497" s="8"/>
      <c r="J497" s="8"/>
    </row>
    <row r="498" spans="2:10" ht="12.75" x14ac:dyDescent="0.2">
      <c r="B498" s="6"/>
      <c r="C498" s="6"/>
      <c r="D498" s="6"/>
      <c r="E498" s="9"/>
      <c r="F498" s="9"/>
      <c r="G498" s="11"/>
      <c r="H498" s="5"/>
      <c r="I498" s="8"/>
      <c r="J498" s="8"/>
    </row>
    <row r="499" spans="2:10" ht="12.75" x14ac:dyDescent="0.2">
      <c r="B499" s="6"/>
      <c r="C499" s="6"/>
      <c r="D499" s="6"/>
      <c r="E499" s="9"/>
      <c r="F499" s="9"/>
      <c r="G499" s="11"/>
      <c r="H499" s="5"/>
      <c r="I499" s="8"/>
      <c r="J499" s="8"/>
    </row>
    <row r="500" spans="2:10" ht="12.75" x14ac:dyDescent="0.2">
      <c r="B500" s="6"/>
      <c r="C500" s="6"/>
      <c r="D500" s="6"/>
      <c r="E500" s="9"/>
      <c r="F500" s="9"/>
      <c r="G500" s="11"/>
      <c r="H500" s="5"/>
      <c r="I500" s="8"/>
      <c r="J500" s="8"/>
    </row>
    <row r="501" spans="2:10" ht="12.75" x14ac:dyDescent="0.2">
      <c r="B501" s="6"/>
      <c r="C501" s="6"/>
      <c r="D501" s="6"/>
      <c r="E501" s="9"/>
      <c r="F501" s="9"/>
      <c r="G501" s="11"/>
      <c r="H501" s="5"/>
      <c r="I501" s="8"/>
      <c r="J501" s="8"/>
    </row>
    <row r="502" spans="2:10" ht="12.75" x14ac:dyDescent="0.2">
      <c r="B502" s="6"/>
      <c r="C502" s="6"/>
      <c r="D502" s="6"/>
      <c r="E502" s="9"/>
      <c r="F502" s="9"/>
      <c r="G502" s="11"/>
      <c r="H502" s="5"/>
      <c r="I502" s="8"/>
      <c r="J502" s="8"/>
    </row>
    <row r="503" spans="2:10" ht="12.75" x14ac:dyDescent="0.2">
      <c r="B503" s="6"/>
      <c r="C503" s="6"/>
      <c r="D503" s="6"/>
      <c r="E503" s="9"/>
      <c r="F503" s="9"/>
      <c r="G503" s="11"/>
      <c r="H503" s="5"/>
      <c r="I503" s="8"/>
      <c r="J503" s="8"/>
    </row>
    <row r="504" spans="2:10" ht="12.75" x14ac:dyDescent="0.2">
      <c r="B504" s="6"/>
      <c r="C504" s="6"/>
      <c r="D504" s="6"/>
      <c r="E504" s="9"/>
      <c r="F504" s="9"/>
      <c r="G504" s="11"/>
      <c r="H504" s="5"/>
      <c r="I504" s="8"/>
      <c r="J504" s="8"/>
    </row>
    <row r="505" spans="2:10" ht="12.75" x14ac:dyDescent="0.2">
      <c r="B505" s="6"/>
      <c r="C505" s="6"/>
      <c r="D505" s="6"/>
      <c r="E505" s="9"/>
      <c r="F505" s="9"/>
      <c r="G505" s="11"/>
      <c r="H505" s="5"/>
      <c r="I505" s="8"/>
      <c r="J505" s="8"/>
    </row>
    <row r="506" spans="2:10" ht="12.75" x14ac:dyDescent="0.2">
      <c r="B506" s="6"/>
      <c r="C506" s="6"/>
      <c r="D506" s="6"/>
      <c r="E506" s="9"/>
      <c r="F506" s="9"/>
      <c r="G506" s="11"/>
      <c r="H506" s="5"/>
      <c r="I506" s="8"/>
      <c r="J506" s="8"/>
    </row>
    <row r="507" spans="2:10" ht="12.75" x14ac:dyDescent="0.2">
      <c r="B507" s="6"/>
      <c r="C507" s="6"/>
      <c r="D507" s="6"/>
      <c r="E507" s="9"/>
      <c r="F507" s="9"/>
      <c r="G507" s="11"/>
      <c r="H507" s="5"/>
      <c r="I507" s="8"/>
      <c r="J507" s="8"/>
    </row>
    <row r="508" spans="2:10" ht="12.75" x14ac:dyDescent="0.2">
      <c r="B508" s="6"/>
      <c r="C508" s="6"/>
      <c r="D508" s="6"/>
      <c r="E508" s="9"/>
      <c r="F508" s="9"/>
      <c r="G508" s="11"/>
      <c r="H508" s="5"/>
      <c r="I508" s="8"/>
      <c r="J508" s="8"/>
    </row>
    <row r="509" spans="2:10" ht="12.75" x14ac:dyDescent="0.2">
      <c r="B509" s="6"/>
      <c r="C509" s="6"/>
      <c r="D509" s="6"/>
      <c r="E509" s="9"/>
      <c r="F509" s="9"/>
      <c r="G509" s="11"/>
      <c r="H509" s="5"/>
      <c r="I509" s="8"/>
      <c r="J509" s="8"/>
    </row>
    <row r="510" spans="2:10" ht="12.75" x14ac:dyDescent="0.2">
      <c r="B510" s="6"/>
      <c r="C510" s="6"/>
      <c r="D510" s="6"/>
      <c r="E510" s="9"/>
      <c r="F510" s="9"/>
      <c r="G510" s="11"/>
      <c r="H510" s="5"/>
      <c r="I510" s="8"/>
      <c r="J510" s="8"/>
    </row>
    <row r="511" spans="2:10" ht="12.75" x14ac:dyDescent="0.2">
      <c r="B511" s="6"/>
      <c r="C511" s="6"/>
      <c r="D511" s="6"/>
      <c r="E511" s="9"/>
      <c r="F511" s="9"/>
      <c r="G511" s="11"/>
      <c r="H511" s="5"/>
      <c r="I511" s="8"/>
      <c r="J511" s="8"/>
    </row>
    <row r="512" spans="2:10" ht="12.75" x14ac:dyDescent="0.2">
      <c r="B512" s="6"/>
      <c r="C512" s="6"/>
      <c r="D512" s="6"/>
      <c r="E512" s="9"/>
      <c r="F512" s="9"/>
      <c r="G512" s="11"/>
      <c r="H512" s="5"/>
      <c r="I512" s="8"/>
      <c r="J512" s="8"/>
    </row>
    <row r="513" spans="2:10" ht="12.75" x14ac:dyDescent="0.2">
      <c r="B513" s="6"/>
      <c r="C513" s="6"/>
      <c r="D513" s="6"/>
      <c r="E513" s="9"/>
      <c r="F513" s="9"/>
      <c r="G513" s="11"/>
      <c r="H513" s="5"/>
      <c r="I513" s="8"/>
      <c r="J513" s="8"/>
    </row>
    <row r="514" spans="2:10" ht="12.75" x14ac:dyDescent="0.2">
      <c r="B514" s="6"/>
      <c r="C514" s="6"/>
      <c r="D514" s="6"/>
      <c r="E514" s="9"/>
      <c r="F514" s="9"/>
      <c r="G514" s="11"/>
      <c r="H514" s="5"/>
      <c r="I514" s="8"/>
      <c r="J514" s="8"/>
    </row>
    <row r="515" spans="2:10" ht="12.75" x14ac:dyDescent="0.2">
      <c r="B515" s="6"/>
      <c r="C515" s="6"/>
      <c r="D515" s="6"/>
      <c r="E515" s="9"/>
      <c r="F515" s="9"/>
      <c r="G515" s="11"/>
      <c r="H515" s="5"/>
      <c r="I515" s="8"/>
      <c r="J515" s="8"/>
    </row>
    <row r="516" spans="2:10" ht="12.75" x14ac:dyDescent="0.2">
      <c r="B516" s="6"/>
      <c r="C516" s="6"/>
      <c r="D516" s="6"/>
      <c r="E516" s="9"/>
      <c r="F516" s="9"/>
      <c r="G516" s="11"/>
      <c r="H516" s="5"/>
      <c r="I516" s="8"/>
      <c r="J516" s="8"/>
    </row>
    <row r="517" spans="2:10" ht="12.75" x14ac:dyDescent="0.2">
      <c r="B517" s="6"/>
      <c r="C517" s="6"/>
      <c r="D517" s="6"/>
      <c r="E517" s="9"/>
      <c r="F517" s="9"/>
      <c r="G517" s="11"/>
      <c r="H517" s="5"/>
      <c r="I517" s="8"/>
      <c r="J517" s="8"/>
    </row>
    <row r="518" spans="2:10" ht="12.75" x14ac:dyDescent="0.2">
      <c r="B518" s="6"/>
      <c r="C518" s="6"/>
      <c r="D518" s="6"/>
      <c r="E518" s="9"/>
      <c r="F518" s="9"/>
      <c r="G518" s="11"/>
      <c r="H518" s="5"/>
      <c r="I518" s="8"/>
      <c r="J518" s="8"/>
    </row>
    <row r="519" spans="2:10" ht="12.75" x14ac:dyDescent="0.2">
      <c r="B519" s="6"/>
      <c r="C519" s="6"/>
      <c r="D519" s="6"/>
      <c r="E519" s="9"/>
      <c r="F519" s="9"/>
      <c r="G519" s="11"/>
      <c r="H519" s="5"/>
      <c r="I519" s="8"/>
      <c r="J519" s="8"/>
    </row>
    <row r="520" spans="2:10" ht="12.75" x14ac:dyDescent="0.2">
      <c r="B520" s="6"/>
      <c r="C520" s="6"/>
      <c r="D520" s="6"/>
      <c r="E520" s="9"/>
      <c r="F520" s="9"/>
      <c r="G520" s="11"/>
      <c r="H520" s="5"/>
      <c r="I520" s="8"/>
      <c r="J520" s="8"/>
    </row>
    <row r="521" spans="2:10" ht="12.75" x14ac:dyDescent="0.2">
      <c r="B521" s="6"/>
      <c r="C521" s="6"/>
      <c r="D521" s="6"/>
      <c r="E521" s="9"/>
      <c r="F521" s="9"/>
      <c r="G521" s="11"/>
      <c r="H521" s="5"/>
      <c r="I521" s="8"/>
      <c r="J521" s="8"/>
    </row>
    <row r="522" spans="2:10" ht="12.75" x14ac:dyDescent="0.2">
      <c r="B522" s="6"/>
      <c r="C522" s="6"/>
      <c r="D522" s="6"/>
      <c r="E522" s="9"/>
      <c r="F522" s="9"/>
      <c r="G522" s="11"/>
      <c r="H522" s="5"/>
      <c r="I522" s="8"/>
      <c r="J522" s="8"/>
    </row>
    <row r="523" spans="2:10" ht="12.75" x14ac:dyDescent="0.2">
      <c r="B523" s="6"/>
      <c r="C523" s="6"/>
      <c r="D523" s="6"/>
      <c r="E523" s="9"/>
      <c r="F523" s="9"/>
      <c r="G523" s="11"/>
      <c r="H523" s="5"/>
      <c r="I523" s="8"/>
      <c r="J523" s="8"/>
    </row>
    <row r="524" spans="2:10" ht="12.75" x14ac:dyDescent="0.2">
      <c r="B524" s="6"/>
      <c r="C524" s="6"/>
      <c r="D524" s="6"/>
      <c r="E524" s="9"/>
      <c r="F524" s="9"/>
      <c r="G524" s="11"/>
      <c r="H524" s="5"/>
      <c r="I524" s="8"/>
      <c r="J524" s="8"/>
    </row>
    <row r="525" spans="2:10" ht="12.75" x14ac:dyDescent="0.2">
      <c r="B525" s="6"/>
      <c r="C525" s="6"/>
      <c r="D525" s="6"/>
      <c r="E525" s="9"/>
      <c r="F525" s="9"/>
      <c r="G525" s="11"/>
      <c r="H525" s="5"/>
      <c r="I525" s="8"/>
      <c r="J525" s="8"/>
    </row>
    <row r="526" spans="2:10" ht="12.75" x14ac:dyDescent="0.2">
      <c r="B526" s="6"/>
      <c r="C526" s="6"/>
      <c r="D526" s="6"/>
      <c r="E526" s="9"/>
      <c r="F526" s="9"/>
      <c r="G526" s="11"/>
      <c r="H526" s="5"/>
      <c r="I526" s="8"/>
      <c r="J526" s="8"/>
    </row>
    <row r="527" spans="2:10" ht="12.75" x14ac:dyDescent="0.2">
      <c r="B527" s="6"/>
      <c r="C527" s="6"/>
      <c r="D527" s="6"/>
      <c r="E527" s="9"/>
      <c r="F527" s="9"/>
      <c r="G527" s="11"/>
      <c r="H527" s="5"/>
      <c r="I527" s="8"/>
      <c r="J527" s="8"/>
    </row>
    <row r="528" spans="2:10" ht="12.75" x14ac:dyDescent="0.2">
      <c r="B528" s="6"/>
      <c r="C528" s="6"/>
      <c r="D528" s="6"/>
      <c r="E528" s="9"/>
      <c r="F528" s="9"/>
      <c r="G528" s="11"/>
      <c r="H528" s="5"/>
      <c r="I528" s="8"/>
      <c r="J528" s="8"/>
    </row>
    <row r="529" spans="2:10" ht="12.75" x14ac:dyDescent="0.2">
      <c r="B529" s="6"/>
      <c r="C529" s="6"/>
      <c r="D529" s="6"/>
      <c r="E529" s="9"/>
      <c r="F529" s="9"/>
      <c r="G529" s="11"/>
      <c r="H529" s="5"/>
      <c r="I529" s="8"/>
      <c r="J529" s="8"/>
    </row>
    <row r="530" spans="2:10" ht="12.75" x14ac:dyDescent="0.2">
      <c r="B530" s="6"/>
      <c r="C530" s="6"/>
      <c r="D530" s="6"/>
      <c r="E530" s="9"/>
      <c r="F530" s="9"/>
      <c r="G530" s="11"/>
      <c r="H530" s="5"/>
      <c r="I530" s="8"/>
      <c r="J530" s="8"/>
    </row>
    <row r="531" spans="2:10" ht="12.75" x14ac:dyDescent="0.2">
      <c r="B531" s="6"/>
      <c r="C531" s="6"/>
      <c r="D531" s="6"/>
      <c r="E531" s="9"/>
      <c r="F531" s="9"/>
      <c r="G531" s="11"/>
      <c r="H531" s="5"/>
      <c r="I531" s="8"/>
      <c r="J531" s="8"/>
    </row>
    <row r="532" spans="2:10" ht="12.75" x14ac:dyDescent="0.2">
      <c r="B532" s="6"/>
      <c r="C532" s="6"/>
      <c r="D532" s="6"/>
      <c r="E532" s="9"/>
      <c r="F532" s="9"/>
      <c r="G532" s="11"/>
      <c r="H532" s="5"/>
      <c r="I532" s="8"/>
      <c r="J532" s="8"/>
    </row>
    <row r="533" spans="2:10" ht="12.75" x14ac:dyDescent="0.2">
      <c r="B533" s="6"/>
      <c r="C533" s="6"/>
      <c r="D533" s="6"/>
      <c r="E533" s="9"/>
      <c r="F533" s="9"/>
      <c r="G533" s="11"/>
      <c r="H533" s="5"/>
      <c r="I533" s="8"/>
      <c r="J533" s="8"/>
    </row>
    <row r="534" spans="2:10" ht="12.75" x14ac:dyDescent="0.2">
      <c r="B534" s="6"/>
      <c r="C534" s="6"/>
      <c r="D534" s="6"/>
      <c r="E534" s="9"/>
      <c r="F534" s="9"/>
      <c r="G534" s="11"/>
      <c r="H534" s="5"/>
      <c r="I534" s="8"/>
      <c r="J534" s="8"/>
    </row>
    <row r="535" spans="2:10" ht="12.75" x14ac:dyDescent="0.2">
      <c r="B535" s="6"/>
      <c r="C535" s="6"/>
      <c r="D535" s="6"/>
      <c r="E535" s="9"/>
      <c r="F535" s="9"/>
      <c r="G535" s="11"/>
      <c r="H535" s="5"/>
      <c r="I535" s="8"/>
      <c r="J535" s="8"/>
    </row>
    <row r="536" spans="2:10" ht="12.75" x14ac:dyDescent="0.2">
      <c r="B536" s="6"/>
      <c r="C536" s="6"/>
      <c r="D536" s="6"/>
      <c r="E536" s="9"/>
      <c r="F536" s="9"/>
      <c r="G536" s="11"/>
      <c r="H536" s="5"/>
      <c r="I536" s="8"/>
      <c r="J536" s="8"/>
    </row>
    <row r="537" spans="2:10" ht="12.75" x14ac:dyDescent="0.2">
      <c r="B537" s="6"/>
      <c r="C537" s="6"/>
      <c r="D537" s="6"/>
      <c r="E537" s="9"/>
      <c r="F537" s="9"/>
      <c r="G537" s="11"/>
      <c r="H537" s="5"/>
      <c r="I537" s="8"/>
      <c r="J537" s="8"/>
    </row>
    <row r="538" spans="2:10" ht="12.75" x14ac:dyDescent="0.2">
      <c r="B538" s="6"/>
      <c r="C538" s="6"/>
      <c r="D538" s="6"/>
      <c r="E538" s="9"/>
      <c r="F538" s="9"/>
      <c r="G538" s="11"/>
      <c r="H538" s="5"/>
      <c r="I538" s="8"/>
      <c r="J538" s="8"/>
    </row>
    <row r="539" spans="2:10" ht="12.75" x14ac:dyDescent="0.2">
      <c r="B539" s="6"/>
      <c r="C539" s="6"/>
      <c r="D539" s="6"/>
      <c r="E539" s="9"/>
      <c r="F539" s="9"/>
      <c r="G539" s="11"/>
      <c r="H539" s="5"/>
      <c r="I539" s="8"/>
      <c r="J539" s="8"/>
    </row>
    <row r="540" spans="2:10" ht="12.75" x14ac:dyDescent="0.2">
      <c r="B540" s="6"/>
      <c r="C540" s="6"/>
      <c r="D540" s="6"/>
      <c r="E540" s="9"/>
      <c r="F540" s="9"/>
      <c r="G540" s="11"/>
      <c r="H540" s="5"/>
      <c r="I540" s="8"/>
      <c r="J540" s="8"/>
    </row>
    <row r="541" spans="2:10" ht="12.75" x14ac:dyDescent="0.2">
      <c r="B541" s="6"/>
      <c r="C541" s="6"/>
      <c r="D541" s="6"/>
      <c r="E541" s="9"/>
      <c r="F541" s="9"/>
      <c r="G541" s="11"/>
      <c r="H541" s="5"/>
      <c r="I541" s="8"/>
      <c r="J541" s="8"/>
    </row>
    <row r="542" spans="2:10" ht="12.75" x14ac:dyDescent="0.2">
      <c r="B542" s="6"/>
      <c r="C542" s="6"/>
      <c r="D542" s="6"/>
      <c r="E542" s="9"/>
      <c r="F542" s="9"/>
      <c r="G542" s="11"/>
      <c r="H542" s="5"/>
      <c r="I542" s="8"/>
      <c r="J542" s="8"/>
    </row>
    <row r="543" spans="2:10" ht="12.75" x14ac:dyDescent="0.2">
      <c r="B543" s="6"/>
      <c r="C543" s="6"/>
      <c r="D543" s="6"/>
      <c r="E543" s="9"/>
      <c r="F543" s="9"/>
      <c r="G543" s="11"/>
      <c r="H543" s="5"/>
      <c r="I543" s="8"/>
      <c r="J543" s="8"/>
    </row>
    <row r="544" spans="2:10" ht="12.75" x14ac:dyDescent="0.2">
      <c r="B544" s="6"/>
      <c r="C544" s="6"/>
      <c r="D544" s="6"/>
      <c r="E544" s="9"/>
      <c r="F544" s="9"/>
      <c r="G544" s="11"/>
      <c r="H544" s="5"/>
      <c r="I544" s="8"/>
      <c r="J544" s="8"/>
    </row>
    <row r="545" spans="2:10" ht="12.75" x14ac:dyDescent="0.2">
      <c r="B545" s="6"/>
      <c r="C545" s="6"/>
      <c r="D545" s="6"/>
      <c r="E545" s="9"/>
      <c r="F545" s="9"/>
      <c r="G545" s="11"/>
      <c r="H545" s="5"/>
      <c r="I545" s="8"/>
      <c r="J545" s="8"/>
    </row>
    <row r="546" spans="2:10" ht="12.75" x14ac:dyDescent="0.2">
      <c r="B546" s="6"/>
      <c r="C546" s="6"/>
      <c r="D546" s="6"/>
      <c r="E546" s="9"/>
      <c r="F546" s="9"/>
      <c r="G546" s="11"/>
      <c r="H546" s="5"/>
      <c r="I546" s="8"/>
      <c r="J546" s="8"/>
    </row>
    <row r="547" spans="2:10" ht="12.75" x14ac:dyDescent="0.2">
      <c r="B547" s="6"/>
      <c r="C547" s="6"/>
      <c r="D547" s="6"/>
      <c r="E547" s="9"/>
      <c r="F547" s="9"/>
      <c r="G547" s="11"/>
      <c r="H547" s="5"/>
      <c r="I547" s="8"/>
      <c r="J547" s="8"/>
    </row>
    <row r="548" spans="2:10" ht="12.75" x14ac:dyDescent="0.2">
      <c r="B548" s="6"/>
      <c r="C548" s="6"/>
      <c r="D548" s="6"/>
      <c r="E548" s="9"/>
      <c r="F548" s="9"/>
      <c r="G548" s="11"/>
      <c r="H548" s="5"/>
      <c r="I548" s="8"/>
      <c r="J548" s="8"/>
    </row>
    <row r="549" spans="2:10" ht="12.75" x14ac:dyDescent="0.2">
      <c r="B549" s="6"/>
      <c r="C549" s="6"/>
      <c r="D549" s="6"/>
      <c r="E549" s="9"/>
      <c r="F549" s="9"/>
      <c r="G549" s="11"/>
      <c r="H549" s="5"/>
      <c r="I549" s="8"/>
      <c r="J549" s="8"/>
    </row>
    <row r="550" spans="2:10" ht="12.75" x14ac:dyDescent="0.2">
      <c r="B550" s="6"/>
      <c r="C550" s="6"/>
      <c r="D550" s="6"/>
      <c r="E550" s="9"/>
      <c r="F550" s="9"/>
      <c r="G550" s="11"/>
      <c r="H550" s="5"/>
      <c r="I550" s="8"/>
      <c r="J550" s="8"/>
    </row>
    <row r="551" spans="2:10" ht="12.75" x14ac:dyDescent="0.2">
      <c r="B551" s="6"/>
      <c r="C551" s="6"/>
      <c r="D551" s="6"/>
      <c r="E551" s="9"/>
      <c r="F551" s="9"/>
      <c r="G551" s="11"/>
      <c r="H551" s="5"/>
      <c r="I551" s="8"/>
      <c r="J551" s="8"/>
    </row>
    <row r="552" spans="2:10" ht="12.75" x14ac:dyDescent="0.2">
      <c r="B552" s="6"/>
      <c r="C552" s="6"/>
      <c r="D552" s="6"/>
      <c r="E552" s="9"/>
      <c r="F552" s="9"/>
      <c r="G552" s="11"/>
      <c r="H552" s="5"/>
      <c r="I552" s="8"/>
      <c r="J552" s="8"/>
    </row>
    <row r="553" spans="2:10" ht="12.75" x14ac:dyDescent="0.2">
      <c r="B553" s="6"/>
      <c r="C553" s="6"/>
      <c r="D553" s="6"/>
      <c r="E553" s="9"/>
      <c r="F553" s="9"/>
      <c r="G553" s="11"/>
      <c r="H553" s="5"/>
      <c r="I553" s="8"/>
      <c r="J553" s="8"/>
    </row>
    <row r="554" spans="2:10" ht="12.75" x14ac:dyDescent="0.2">
      <c r="B554" s="6"/>
      <c r="C554" s="6"/>
      <c r="D554" s="6"/>
      <c r="E554" s="9"/>
      <c r="F554" s="9"/>
      <c r="G554" s="11"/>
      <c r="H554" s="5"/>
      <c r="I554" s="8"/>
      <c r="J554" s="8"/>
    </row>
    <row r="555" spans="2:10" ht="12.75" x14ac:dyDescent="0.2">
      <c r="B555" s="6"/>
      <c r="C555" s="6"/>
      <c r="D555" s="6"/>
      <c r="E555" s="9"/>
      <c r="F555" s="9"/>
      <c r="G555" s="11"/>
      <c r="H555" s="5"/>
      <c r="I555" s="8"/>
      <c r="J555" s="8"/>
    </row>
    <row r="556" spans="2:10" ht="12.75" x14ac:dyDescent="0.2">
      <c r="B556" s="6"/>
      <c r="C556" s="6"/>
      <c r="D556" s="6"/>
      <c r="E556" s="9"/>
      <c r="F556" s="9"/>
      <c r="G556" s="11"/>
      <c r="H556" s="5"/>
      <c r="I556" s="8"/>
      <c r="J556" s="8"/>
    </row>
    <row r="557" spans="2:10" ht="12.75" x14ac:dyDescent="0.2">
      <c r="B557" s="6"/>
      <c r="C557" s="6"/>
      <c r="D557" s="6"/>
      <c r="E557" s="9"/>
      <c r="F557" s="9"/>
      <c r="G557" s="11"/>
      <c r="H557" s="5"/>
      <c r="I557" s="8"/>
      <c r="J557" s="8"/>
    </row>
    <row r="558" spans="2:10" ht="12.75" x14ac:dyDescent="0.2">
      <c r="B558" s="6"/>
      <c r="C558" s="6"/>
      <c r="D558" s="6"/>
      <c r="E558" s="9"/>
      <c r="F558" s="9"/>
      <c r="G558" s="11"/>
      <c r="H558" s="5"/>
      <c r="I558" s="8"/>
      <c r="J558" s="8"/>
    </row>
    <row r="559" spans="2:10" ht="12.75" x14ac:dyDescent="0.2">
      <c r="B559" s="6"/>
      <c r="C559" s="6"/>
      <c r="D559" s="6"/>
      <c r="E559" s="9"/>
      <c r="F559" s="9"/>
      <c r="G559" s="11"/>
      <c r="H559" s="5"/>
      <c r="I559" s="8"/>
      <c r="J559" s="8"/>
    </row>
    <row r="560" spans="2:10" ht="12.75" x14ac:dyDescent="0.2">
      <c r="B560" s="6"/>
      <c r="C560" s="6"/>
      <c r="D560" s="6"/>
      <c r="E560" s="9"/>
      <c r="F560" s="9"/>
      <c r="G560" s="11"/>
      <c r="H560" s="5"/>
      <c r="I560" s="8"/>
      <c r="J560" s="8"/>
    </row>
    <row r="561" spans="2:10" ht="12.75" x14ac:dyDescent="0.2">
      <c r="B561" s="6"/>
      <c r="C561" s="6"/>
      <c r="D561" s="6"/>
      <c r="E561" s="9"/>
      <c r="F561" s="9"/>
      <c r="G561" s="11"/>
      <c r="H561" s="5"/>
      <c r="I561" s="8"/>
      <c r="J561" s="8"/>
    </row>
    <row r="562" spans="2:10" ht="12.75" x14ac:dyDescent="0.2">
      <c r="B562" s="6"/>
      <c r="C562" s="6"/>
      <c r="D562" s="6"/>
      <c r="E562" s="9"/>
      <c r="F562" s="9"/>
      <c r="G562" s="11"/>
      <c r="H562" s="5"/>
      <c r="I562" s="8"/>
      <c r="J562" s="8"/>
    </row>
    <row r="563" spans="2:10" ht="12.75" x14ac:dyDescent="0.2">
      <c r="B563" s="6"/>
      <c r="C563" s="6"/>
      <c r="D563" s="6"/>
      <c r="E563" s="9"/>
      <c r="F563" s="9"/>
      <c r="G563" s="11"/>
      <c r="H563" s="5"/>
      <c r="I563" s="8"/>
      <c r="J563" s="8"/>
    </row>
    <row r="564" spans="2:10" ht="12.75" x14ac:dyDescent="0.2">
      <c r="B564" s="6"/>
      <c r="C564" s="6"/>
      <c r="D564" s="6"/>
      <c r="E564" s="9"/>
      <c r="F564" s="9"/>
      <c r="G564" s="11"/>
      <c r="H564" s="5"/>
      <c r="I564" s="8"/>
      <c r="J564" s="8"/>
    </row>
    <row r="565" spans="2:10" ht="12.75" x14ac:dyDescent="0.2">
      <c r="B565" s="6"/>
      <c r="C565" s="6"/>
      <c r="D565" s="6"/>
      <c r="E565" s="9"/>
      <c r="F565" s="9"/>
      <c r="G565" s="11"/>
      <c r="H565" s="5"/>
      <c r="I565" s="8"/>
      <c r="J565" s="8"/>
    </row>
    <row r="566" spans="2:10" ht="12.75" x14ac:dyDescent="0.2">
      <c r="B566" s="6"/>
      <c r="C566" s="6"/>
      <c r="D566" s="6"/>
      <c r="E566" s="9"/>
      <c r="F566" s="9"/>
      <c r="G566" s="11"/>
      <c r="H566" s="5"/>
      <c r="I566" s="8"/>
      <c r="J566" s="8"/>
    </row>
    <row r="567" spans="2:10" ht="12.75" x14ac:dyDescent="0.2">
      <c r="B567" s="6"/>
      <c r="C567" s="6"/>
      <c r="D567" s="6"/>
      <c r="E567" s="9"/>
      <c r="F567" s="9"/>
      <c r="G567" s="11"/>
      <c r="H567" s="5"/>
      <c r="I567" s="8"/>
      <c r="J567" s="8"/>
    </row>
    <row r="568" spans="2:10" ht="12.75" x14ac:dyDescent="0.2">
      <c r="B568" s="6"/>
      <c r="C568" s="6"/>
      <c r="D568" s="6"/>
      <c r="E568" s="9"/>
      <c r="F568" s="9"/>
      <c r="G568" s="11"/>
      <c r="H568" s="5"/>
      <c r="I568" s="8"/>
      <c r="J568" s="8"/>
    </row>
    <row r="569" spans="2:10" ht="12.75" x14ac:dyDescent="0.2">
      <c r="B569" s="6"/>
      <c r="C569" s="6"/>
      <c r="D569" s="6"/>
      <c r="E569" s="9"/>
      <c r="F569" s="9"/>
      <c r="G569" s="11"/>
      <c r="H569" s="5"/>
      <c r="I569" s="8"/>
      <c r="J569" s="8"/>
    </row>
    <row r="570" spans="2:10" ht="12.75" x14ac:dyDescent="0.2">
      <c r="B570" s="6"/>
      <c r="C570" s="6"/>
      <c r="D570" s="6"/>
      <c r="E570" s="9"/>
      <c r="F570" s="9"/>
      <c r="G570" s="11"/>
      <c r="H570" s="5"/>
      <c r="I570" s="8"/>
      <c r="J570" s="8"/>
    </row>
    <row r="571" spans="2:10" ht="12.75" x14ac:dyDescent="0.2">
      <c r="B571" s="6"/>
      <c r="C571" s="6"/>
      <c r="D571" s="6"/>
      <c r="E571" s="9"/>
      <c r="F571" s="9"/>
      <c r="G571" s="11"/>
      <c r="H571" s="5"/>
      <c r="I571" s="8"/>
      <c r="J571" s="8"/>
    </row>
    <row r="572" spans="2:10" ht="12.75" x14ac:dyDescent="0.2">
      <c r="B572" s="6"/>
      <c r="C572" s="6"/>
      <c r="D572" s="6"/>
      <c r="E572" s="9"/>
      <c r="F572" s="9"/>
      <c r="G572" s="11"/>
      <c r="H572" s="5"/>
      <c r="I572" s="8"/>
      <c r="J572" s="8"/>
    </row>
    <row r="573" spans="2:10" ht="12.75" x14ac:dyDescent="0.2">
      <c r="B573" s="6"/>
      <c r="C573" s="6"/>
      <c r="D573" s="6"/>
      <c r="E573" s="9"/>
      <c r="F573" s="9"/>
      <c r="G573" s="11"/>
      <c r="H573" s="5"/>
      <c r="I573" s="8"/>
      <c r="J573" s="8"/>
    </row>
    <row r="574" spans="2:10" ht="12.75" x14ac:dyDescent="0.2">
      <c r="B574" s="6"/>
      <c r="C574" s="6"/>
      <c r="D574" s="6"/>
      <c r="E574" s="9"/>
      <c r="F574" s="9"/>
      <c r="G574" s="11"/>
      <c r="H574" s="5"/>
      <c r="I574" s="8"/>
      <c r="J574" s="8"/>
    </row>
    <row r="575" spans="2:10" ht="12.75" x14ac:dyDescent="0.2">
      <c r="B575" s="6"/>
      <c r="C575" s="6"/>
      <c r="D575" s="6"/>
      <c r="E575" s="9"/>
      <c r="F575" s="9"/>
      <c r="G575" s="11"/>
      <c r="H575" s="5"/>
      <c r="I575" s="8"/>
      <c r="J575" s="8"/>
    </row>
    <row r="576" spans="2:10" ht="12.75" x14ac:dyDescent="0.2">
      <c r="B576" s="6"/>
      <c r="C576" s="6"/>
      <c r="D576" s="6"/>
      <c r="E576" s="9"/>
      <c r="F576" s="9"/>
      <c r="G576" s="11"/>
      <c r="H576" s="5"/>
      <c r="I576" s="8"/>
      <c r="J576" s="8"/>
    </row>
    <row r="577" spans="2:10" ht="12.75" x14ac:dyDescent="0.2">
      <c r="B577" s="6"/>
      <c r="C577" s="6"/>
      <c r="D577" s="6"/>
      <c r="E577" s="9"/>
      <c r="F577" s="9"/>
      <c r="G577" s="11"/>
      <c r="H577" s="5"/>
      <c r="I577" s="8"/>
      <c r="J577" s="8"/>
    </row>
    <row r="578" spans="2:10" ht="12.75" x14ac:dyDescent="0.2">
      <c r="B578" s="6"/>
      <c r="C578" s="6"/>
      <c r="D578" s="6"/>
      <c r="E578" s="9"/>
      <c r="F578" s="9"/>
      <c r="G578" s="11"/>
      <c r="H578" s="5"/>
      <c r="I578" s="8"/>
      <c r="J578" s="8"/>
    </row>
    <row r="579" spans="2:10" ht="12.75" x14ac:dyDescent="0.2">
      <c r="B579" s="6"/>
      <c r="C579" s="6"/>
      <c r="D579" s="6"/>
      <c r="E579" s="9"/>
      <c r="F579" s="9"/>
      <c r="G579" s="11"/>
      <c r="H579" s="5"/>
      <c r="I579" s="8"/>
      <c r="J579" s="8"/>
    </row>
    <row r="580" spans="2:10" ht="12.75" x14ac:dyDescent="0.2">
      <c r="B580" s="6"/>
      <c r="C580" s="6"/>
      <c r="D580" s="6"/>
      <c r="E580" s="9"/>
      <c r="F580" s="9"/>
      <c r="G580" s="11"/>
      <c r="H580" s="5"/>
      <c r="I580" s="8"/>
      <c r="J580" s="8"/>
    </row>
    <row r="581" spans="2:10" ht="12.75" x14ac:dyDescent="0.2">
      <c r="B581" s="6"/>
      <c r="C581" s="6"/>
      <c r="D581" s="6"/>
      <c r="E581" s="9"/>
      <c r="F581" s="9"/>
      <c r="G581" s="11"/>
      <c r="H581" s="5"/>
      <c r="I581" s="8"/>
      <c r="J581" s="8"/>
    </row>
    <row r="582" spans="2:10" ht="12.75" x14ac:dyDescent="0.2">
      <c r="B582" s="6"/>
      <c r="C582" s="6"/>
      <c r="D582" s="6"/>
      <c r="E582" s="9"/>
      <c r="F582" s="9"/>
      <c r="G582" s="11"/>
      <c r="H582" s="5"/>
      <c r="I582" s="8"/>
      <c r="J582" s="8"/>
    </row>
    <row r="583" spans="2:10" ht="12.75" x14ac:dyDescent="0.2">
      <c r="B583" s="6"/>
      <c r="C583" s="6"/>
      <c r="D583" s="6"/>
      <c r="E583" s="9"/>
      <c r="F583" s="9"/>
      <c r="G583" s="11"/>
      <c r="H583" s="5"/>
      <c r="I583" s="8"/>
      <c r="J583" s="8"/>
    </row>
    <row r="584" spans="2:10" ht="12.75" x14ac:dyDescent="0.2">
      <c r="B584" s="6"/>
      <c r="C584" s="6"/>
      <c r="D584" s="6"/>
      <c r="E584" s="9"/>
      <c r="F584" s="9"/>
      <c r="G584" s="11"/>
      <c r="H584" s="5"/>
      <c r="I584" s="8"/>
      <c r="J584" s="8"/>
    </row>
    <row r="585" spans="2:10" ht="12.75" x14ac:dyDescent="0.2">
      <c r="B585" s="6"/>
      <c r="C585" s="6"/>
      <c r="D585" s="6"/>
      <c r="E585" s="9"/>
      <c r="F585" s="9"/>
      <c r="G585" s="11"/>
      <c r="H585" s="5"/>
      <c r="I585" s="8"/>
      <c r="J585" s="8"/>
    </row>
    <row r="586" spans="2:10" ht="12.75" x14ac:dyDescent="0.2">
      <c r="B586" s="6"/>
      <c r="C586" s="6"/>
      <c r="D586" s="6"/>
      <c r="E586" s="9"/>
      <c r="F586" s="9"/>
      <c r="G586" s="11"/>
      <c r="H586" s="5"/>
      <c r="I586" s="8"/>
      <c r="J586" s="8"/>
    </row>
    <row r="587" spans="2:10" ht="12.75" x14ac:dyDescent="0.2">
      <c r="B587" s="6"/>
      <c r="C587" s="6"/>
      <c r="D587" s="6"/>
      <c r="E587" s="9"/>
      <c r="F587" s="9"/>
      <c r="G587" s="11"/>
      <c r="H587" s="5"/>
      <c r="I587" s="8"/>
      <c r="J587" s="8"/>
    </row>
    <row r="588" spans="2:10" ht="12.75" x14ac:dyDescent="0.2">
      <c r="B588" s="6"/>
      <c r="C588" s="6"/>
      <c r="D588" s="6"/>
      <c r="E588" s="9"/>
      <c r="F588" s="9"/>
      <c r="G588" s="11"/>
      <c r="H588" s="5"/>
      <c r="I588" s="8"/>
      <c r="J588" s="8"/>
    </row>
    <row r="589" spans="2:10" ht="12.75" x14ac:dyDescent="0.2">
      <c r="B589" s="6"/>
      <c r="C589" s="6"/>
      <c r="D589" s="6"/>
      <c r="E589" s="9"/>
      <c r="F589" s="9"/>
      <c r="G589" s="11"/>
      <c r="H589" s="5"/>
      <c r="I589" s="8"/>
      <c r="J589" s="8"/>
    </row>
    <row r="590" spans="2:10" ht="12.75" x14ac:dyDescent="0.2">
      <c r="B590" s="6"/>
      <c r="C590" s="6"/>
      <c r="D590" s="6"/>
      <c r="E590" s="9"/>
      <c r="F590" s="9"/>
      <c r="G590" s="11"/>
      <c r="H590" s="5"/>
      <c r="I590" s="8"/>
      <c r="J590" s="8"/>
    </row>
    <row r="591" spans="2:10" ht="12.75" x14ac:dyDescent="0.2">
      <c r="B591" s="6"/>
      <c r="C591" s="6"/>
      <c r="D591" s="6"/>
      <c r="E591" s="9"/>
      <c r="F591" s="9"/>
      <c r="G591" s="11"/>
      <c r="H591" s="5"/>
      <c r="I591" s="8"/>
      <c r="J591" s="8"/>
    </row>
    <row r="592" spans="2:10" ht="12.75" x14ac:dyDescent="0.2">
      <c r="B592" s="6"/>
      <c r="C592" s="6"/>
      <c r="D592" s="6"/>
      <c r="E592" s="9"/>
      <c r="F592" s="9"/>
      <c r="G592" s="11"/>
      <c r="H592" s="5"/>
      <c r="I592" s="8"/>
      <c r="J592" s="8"/>
    </row>
    <row r="593" spans="2:10" ht="12.75" x14ac:dyDescent="0.2">
      <c r="B593" s="6"/>
      <c r="C593" s="6"/>
      <c r="D593" s="6"/>
      <c r="E593" s="9"/>
      <c r="F593" s="9"/>
      <c r="G593" s="11"/>
      <c r="H593" s="5"/>
      <c r="I593" s="8"/>
      <c r="J593" s="8"/>
    </row>
    <row r="594" spans="2:10" ht="12.75" x14ac:dyDescent="0.2">
      <c r="B594" s="6"/>
      <c r="C594" s="6"/>
      <c r="D594" s="6"/>
      <c r="E594" s="9"/>
      <c r="F594" s="9"/>
      <c r="G594" s="11"/>
      <c r="H594" s="5"/>
      <c r="I594" s="8"/>
      <c r="J594" s="8"/>
    </row>
    <row r="595" spans="2:10" ht="12.75" x14ac:dyDescent="0.2">
      <c r="B595" s="6"/>
      <c r="C595" s="6"/>
      <c r="D595" s="6"/>
      <c r="E595" s="9"/>
      <c r="F595" s="9"/>
      <c r="G595" s="11"/>
      <c r="H595" s="5"/>
      <c r="I595" s="8"/>
      <c r="J595" s="8"/>
    </row>
    <row r="596" spans="2:10" ht="12.75" x14ac:dyDescent="0.2">
      <c r="B596" s="6"/>
      <c r="C596" s="6"/>
      <c r="D596" s="6"/>
      <c r="E596" s="9"/>
      <c r="F596" s="9"/>
      <c r="G596" s="11"/>
      <c r="H596" s="5"/>
      <c r="I596" s="8"/>
      <c r="J596" s="8"/>
    </row>
    <row r="597" spans="2:10" ht="12.75" x14ac:dyDescent="0.2">
      <c r="B597" s="6"/>
      <c r="C597" s="6"/>
      <c r="D597" s="6"/>
      <c r="E597" s="9"/>
      <c r="F597" s="9"/>
      <c r="G597" s="11"/>
      <c r="H597" s="5"/>
      <c r="I597" s="8"/>
      <c r="J597" s="8"/>
    </row>
    <row r="598" spans="2:10" ht="12.75" x14ac:dyDescent="0.2">
      <c r="B598" s="6"/>
      <c r="C598" s="6"/>
      <c r="D598" s="6"/>
      <c r="E598" s="9"/>
      <c r="F598" s="9"/>
      <c r="G598" s="11"/>
      <c r="H598" s="5"/>
      <c r="I598" s="8"/>
      <c r="J598" s="8"/>
    </row>
    <row r="599" spans="2:10" ht="12.75" x14ac:dyDescent="0.2">
      <c r="B599" s="6"/>
      <c r="C599" s="6"/>
      <c r="D599" s="6"/>
      <c r="E599" s="9"/>
      <c r="F599" s="9"/>
      <c r="G599" s="11"/>
      <c r="H599" s="5"/>
      <c r="I599" s="8"/>
      <c r="J599" s="8"/>
    </row>
    <row r="600" spans="2:10" ht="12.75" x14ac:dyDescent="0.2">
      <c r="B600" s="6"/>
      <c r="C600" s="6"/>
      <c r="D600" s="6"/>
      <c r="E600" s="9"/>
      <c r="F600" s="9"/>
      <c r="G600" s="11"/>
      <c r="H600" s="5"/>
      <c r="I600" s="8"/>
      <c r="J600" s="8"/>
    </row>
    <row r="601" spans="2:10" ht="12.75" x14ac:dyDescent="0.2">
      <c r="B601" s="6"/>
      <c r="C601" s="6"/>
      <c r="D601" s="6"/>
      <c r="E601" s="9"/>
      <c r="F601" s="9"/>
      <c r="G601" s="11"/>
      <c r="H601" s="5"/>
      <c r="I601" s="8"/>
      <c r="J601" s="8"/>
    </row>
    <row r="602" spans="2:10" ht="12.75" x14ac:dyDescent="0.2">
      <c r="B602" s="6"/>
      <c r="C602" s="6"/>
      <c r="D602" s="6"/>
      <c r="E602" s="9"/>
      <c r="F602" s="9"/>
      <c r="G602" s="11"/>
      <c r="H602" s="5"/>
      <c r="I602" s="8"/>
      <c r="J602" s="8"/>
    </row>
    <row r="603" spans="2:10" ht="12.75" x14ac:dyDescent="0.2">
      <c r="B603" s="6"/>
      <c r="C603" s="6"/>
      <c r="D603" s="6"/>
      <c r="E603" s="9"/>
      <c r="F603" s="9"/>
      <c r="G603" s="11"/>
      <c r="H603" s="5"/>
      <c r="I603" s="8"/>
      <c r="J603" s="8"/>
    </row>
    <row r="604" spans="2:10" ht="12.75" x14ac:dyDescent="0.2">
      <c r="B604" s="6"/>
      <c r="C604" s="6"/>
      <c r="D604" s="6"/>
      <c r="E604" s="9"/>
      <c r="F604" s="9"/>
      <c r="G604" s="11"/>
      <c r="H604" s="5"/>
      <c r="I604" s="8"/>
      <c r="J604" s="8"/>
    </row>
    <row r="605" spans="2:10" ht="12.75" x14ac:dyDescent="0.2">
      <c r="B605" s="6"/>
      <c r="C605" s="6"/>
      <c r="D605" s="6"/>
      <c r="E605" s="9"/>
      <c r="F605" s="9"/>
      <c r="G605" s="11"/>
      <c r="H605" s="5"/>
      <c r="I605" s="8"/>
      <c r="J605" s="8"/>
    </row>
    <row r="606" spans="2:10" ht="12.75" x14ac:dyDescent="0.2">
      <c r="B606" s="6"/>
      <c r="C606" s="6"/>
      <c r="D606" s="6"/>
      <c r="E606" s="9"/>
      <c r="F606" s="9"/>
      <c r="G606" s="11"/>
      <c r="H606" s="5"/>
      <c r="I606" s="8"/>
      <c r="J606" s="8"/>
    </row>
    <row r="607" spans="2:10" ht="12.75" x14ac:dyDescent="0.2">
      <c r="B607" s="6"/>
      <c r="C607" s="6"/>
      <c r="D607" s="6"/>
      <c r="E607" s="9"/>
      <c r="F607" s="9"/>
      <c r="G607" s="11"/>
      <c r="H607" s="5"/>
      <c r="I607" s="8"/>
      <c r="J607" s="8"/>
    </row>
    <row r="608" spans="2:10" ht="12.75" x14ac:dyDescent="0.2">
      <c r="B608" s="6"/>
      <c r="C608" s="6"/>
      <c r="D608" s="6"/>
      <c r="E608" s="9"/>
      <c r="F608" s="9"/>
      <c r="G608" s="11"/>
      <c r="H608" s="5"/>
      <c r="I608" s="8"/>
      <c r="J608" s="8"/>
    </row>
    <row r="609" spans="2:10" ht="12.75" x14ac:dyDescent="0.2">
      <c r="B609" s="6"/>
      <c r="C609" s="6"/>
      <c r="D609" s="6"/>
      <c r="E609" s="9"/>
      <c r="F609" s="9"/>
      <c r="G609" s="11"/>
      <c r="H609" s="5"/>
      <c r="I609" s="8"/>
      <c r="J609" s="8"/>
    </row>
    <row r="610" spans="2:10" ht="12.75" x14ac:dyDescent="0.2">
      <c r="B610" s="6"/>
      <c r="C610" s="6"/>
      <c r="D610" s="6"/>
      <c r="E610" s="9"/>
      <c r="F610" s="9"/>
      <c r="G610" s="11"/>
      <c r="H610" s="5"/>
      <c r="I610" s="8"/>
      <c r="J610" s="8"/>
    </row>
    <row r="611" spans="2:10" ht="12.75" x14ac:dyDescent="0.2">
      <c r="B611" s="6"/>
      <c r="C611" s="6"/>
      <c r="D611" s="6"/>
      <c r="E611" s="9"/>
      <c r="F611" s="9"/>
      <c r="G611" s="11"/>
      <c r="H611" s="5"/>
      <c r="I611" s="8"/>
      <c r="J611" s="8"/>
    </row>
    <row r="612" spans="2:10" ht="12.75" x14ac:dyDescent="0.2">
      <c r="B612" s="6"/>
      <c r="C612" s="6"/>
      <c r="D612" s="6"/>
      <c r="E612" s="9"/>
      <c r="F612" s="9"/>
      <c r="G612" s="11"/>
      <c r="H612" s="5"/>
      <c r="I612" s="8"/>
      <c r="J612" s="8"/>
    </row>
    <row r="613" spans="2:10" ht="12.75" x14ac:dyDescent="0.2">
      <c r="B613" s="6"/>
      <c r="C613" s="6"/>
      <c r="D613" s="6"/>
      <c r="E613" s="9"/>
      <c r="F613" s="9"/>
      <c r="G613" s="11"/>
      <c r="H613" s="5"/>
      <c r="I613" s="8"/>
      <c r="J613" s="8"/>
    </row>
    <row r="614" spans="2:10" ht="12.75" x14ac:dyDescent="0.2">
      <c r="B614" s="6"/>
      <c r="C614" s="6"/>
      <c r="D614" s="6"/>
      <c r="E614" s="9"/>
      <c r="F614" s="9"/>
      <c r="G614" s="11"/>
      <c r="H614" s="5"/>
      <c r="I614" s="8"/>
      <c r="J614" s="8"/>
    </row>
    <row r="615" spans="2:10" ht="12.75" x14ac:dyDescent="0.2">
      <c r="B615" s="6"/>
      <c r="C615" s="6"/>
      <c r="D615" s="6"/>
      <c r="E615" s="9"/>
      <c r="F615" s="9"/>
      <c r="G615" s="11"/>
      <c r="H615" s="5"/>
      <c r="I615" s="8"/>
      <c r="J615" s="8"/>
    </row>
    <row r="616" spans="2:10" ht="12.75" x14ac:dyDescent="0.2">
      <c r="B616" s="6"/>
      <c r="C616" s="6"/>
      <c r="D616" s="6"/>
      <c r="E616" s="9"/>
      <c r="F616" s="9"/>
      <c r="G616" s="11"/>
      <c r="H616" s="5"/>
      <c r="I616" s="8"/>
      <c r="J616" s="8"/>
    </row>
    <row r="617" spans="2:10" ht="12.75" x14ac:dyDescent="0.2">
      <c r="B617" s="6"/>
      <c r="C617" s="6"/>
      <c r="D617" s="6"/>
      <c r="E617" s="9"/>
      <c r="F617" s="9"/>
      <c r="G617" s="11"/>
      <c r="H617" s="5"/>
      <c r="I617" s="8"/>
      <c r="J617" s="8"/>
    </row>
    <row r="618" spans="2:10" ht="12.75" x14ac:dyDescent="0.2">
      <c r="B618" s="6"/>
      <c r="C618" s="6"/>
      <c r="D618" s="6"/>
      <c r="E618" s="9"/>
      <c r="F618" s="9"/>
      <c r="G618" s="11"/>
      <c r="H618" s="5"/>
      <c r="I618" s="8"/>
      <c r="J618" s="8"/>
    </row>
    <row r="619" spans="2:10" ht="12.75" x14ac:dyDescent="0.2">
      <c r="B619" s="6"/>
      <c r="C619" s="6"/>
      <c r="D619" s="6"/>
      <c r="E619" s="9"/>
      <c r="F619" s="9"/>
      <c r="G619" s="11"/>
      <c r="H619" s="5"/>
      <c r="I619" s="8"/>
      <c r="J619" s="8"/>
    </row>
    <row r="620" spans="2:10" ht="12.75" x14ac:dyDescent="0.2">
      <c r="B620" s="6"/>
      <c r="C620" s="6"/>
      <c r="D620" s="6"/>
      <c r="E620" s="9"/>
      <c r="F620" s="9"/>
      <c r="G620" s="11"/>
      <c r="H620" s="5"/>
      <c r="I620" s="8"/>
      <c r="J620" s="8"/>
    </row>
    <row r="621" spans="2:10" ht="12.75" x14ac:dyDescent="0.2">
      <c r="B621" s="6"/>
      <c r="C621" s="6"/>
      <c r="D621" s="6"/>
      <c r="E621" s="9"/>
      <c r="F621" s="9"/>
      <c r="G621" s="11"/>
      <c r="H621" s="5"/>
      <c r="I621" s="8"/>
      <c r="J621" s="8"/>
    </row>
    <row r="622" spans="2:10" ht="12.75" x14ac:dyDescent="0.2">
      <c r="B622" s="6"/>
      <c r="C622" s="6"/>
      <c r="D622" s="6"/>
      <c r="E622" s="9"/>
      <c r="F622" s="9"/>
      <c r="G622" s="11"/>
      <c r="H622" s="5"/>
      <c r="I622" s="8"/>
      <c r="J622" s="8"/>
    </row>
    <row r="623" spans="2:10" ht="12.75" x14ac:dyDescent="0.2">
      <c r="B623" s="6"/>
      <c r="C623" s="6"/>
      <c r="D623" s="6"/>
      <c r="E623" s="9"/>
      <c r="F623" s="9"/>
      <c r="G623" s="11"/>
      <c r="H623" s="5"/>
      <c r="I623" s="8"/>
      <c r="J623" s="8"/>
    </row>
    <row r="624" spans="2:10" ht="12.75" x14ac:dyDescent="0.2">
      <c r="B624" s="6"/>
      <c r="C624" s="6"/>
      <c r="D624" s="6"/>
      <c r="E624" s="9"/>
      <c r="F624" s="9"/>
      <c r="G624" s="11"/>
      <c r="H624" s="5"/>
      <c r="I624" s="8"/>
      <c r="J624" s="8"/>
    </row>
    <row r="625" spans="2:10" ht="12.75" x14ac:dyDescent="0.2">
      <c r="B625" s="6"/>
      <c r="C625" s="6"/>
      <c r="D625" s="6"/>
      <c r="E625" s="9"/>
      <c r="F625" s="9"/>
      <c r="G625" s="11"/>
      <c r="H625" s="5"/>
      <c r="I625" s="8"/>
      <c r="J625" s="8"/>
    </row>
    <row r="626" spans="2:10" ht="12.75" x14ac:dyDescent="0.2">
      <c r="B626" s="6"/>
      <c r="C626" s="6"/>
      <c r="D626" s="6"/>
      <c r="E626" s="9"/>
      <c r="F626" s="9"/>
      <c r="G626" s="11"/>
      <c r="H626" s="5"/>
      <c r="I626" s="8"/>
      <c r="J626" s="8"/>
    </row>
    <row r="627" spans="2:10" ht="12.75" x14ac:dyDescent="0.2">
      <c r="B627" s="6"/>
      <c r="C627" s="6"/>
      <c r="D627" s="6"/>
      <c r="E627" s="9"/>
      <c r="F627" s="9"/>
      <c r="G627" s="11"/>
      <c r="H627" s="5"/>
      <c r="I627" s="8"/>
      <c r="J627" s="8"/>
    </row>
    <row r="628" spans="2:10" ht="12.75" x14ac:dyDescent="0.2">
      <c r="B628" s="6"/>
      <c r="C628" s="6"/>
      <c r="D628" s="6"/>
      <c r="E628" s="9"/>
      <c r="F628" s="9"/>
      <c r="G628" s="11"/>
      <c r="H628" s="5"/>
      <c r="I628" s="8"/>
      <c r="J628" s="8"/>
    </row>
    <row r="629" spans="2:10" ht="12.75" x14ac:dyDescent="0.2">
      <c r="B629" s="6"/>
      <c r="C629" s="6"/>
      <c r="D629" s="6"/>
      <c r="E629" s="9"/>
      <c r="F629" s="9"/>
      <c r="G629" s="11"/>
      <c r="H629" s="5"/>
      <c r="I629" s="8"/>
      <c r="J629" s="8"/>
    </row>
    <row r="630" spans="2:10" ht="12.75" x14ac:dyDescent="0.2">
      <c r="B630" s="6"/>
      <c r="C630" s="6"/>
      <c r="D630" s="6"/>
      <c r="E630" s="9"/>
      <c r="F630" s="9"/>
      <c r="G630" s="11"/>
      <c r="H630" s="5"/>
      <c r="I630" s="8"/>
      <c r="J630" s="8"/>
    </row>
    <row r="631" spans="2:10" ht="12.75" x14ac:dyDescent="0.2">
      <c r="B631" s="6"/>
      <c r="C631" s="6"/>
      <c r="D631" s="6"/>
      <c r="E631" s="9"/>
      <c r="F631" s="9"/>
      <c r="G631" s="11"/>
      <c r="H631" s="5"/>
      <c r="I631" s="8"/>
      <c r="J631" s="8"/>
    </row>
    <row r="632" spans="2:10" ht="12.75" x14ac:dyDescent="0.2">
      <c r="B632" s="6"/>
      <c r="C632" s="6"/>
      <c r="D632" s="6"/>
      <c r="E632" s="9"/>
      <c r="F632" s="9"/>
      <c r="G632" s="11"/>
      <c r="H632" s="5"/>
      <c r="I632" s="8"/>
      <c r="J632" s="8"/>
    </row>
    <row r="633" spans="2:10" ht="12.75" x14ac:dyDescent="0.2">
      <c r="B633" s="6"/>
      <c r="C633" s="6"/>
      <c r="D633" s="6"/>
      <c r="E633" s="9"/>
      <c r="F633" s="9"/>
      <c r="G633" s="11"/>
      <c r="H633" s="5"/>
      <c r="I633" s="8"/>
      <c r="J633" s="8"/>
    </row>
    <row r="634" spans="2:10" ht="12.75" x14ac:dyDescent="0.2">
      <c r="B634" s="6"/>
      <c r="C634" s="6"/>
      <c r="D634" s="6"/>
      <c r="E634" s="9"/>
      <c r="F634" s="9"/>
      <c r="G634" s="11"/>
      <c r="H634" s="5"/>
      <c r="I634" s="8"/>
      <c r="J634" s="8"/>
    </row>
    <row r="635" spans="2:10" ht="12.75" x14ac:dyDescent="0.2">
      <c r="B635" s="6"/>
      <c r="C635" s="6"/>
      <c r="D635" s="6"/>
      <c r="E635" s="9"/>
      <c r="F635" s="9"/>
      <c r="G635" s="11"/>
      <c r="H635" s="5"/>
      <c r="I635" s="8"/>
      <c r="J635" s="8"/>
    </row>
    <row r="636" spans="2:10" ht="12.75" x14ac:dyDescent="0.2">
      <c r="B636" s="6"/>
      <c r="C636" s="6"/>
      <c r="D636" s="6"/>
      <c r="E636" s="9"/>
      <c r="F636" s="9"/>
      <c r="G636" s="11"/>
      <c r="H636" s="5"/>
      <c r="I636" s="8"/>
      <c r="J636" s="8"/>
    </row>
    <row r="637" spans="2:10" ht="12.75" x14ac:dyDescent="0.2">
      <c r="B637" s="6"/>
      <c r="C637" s="6"/>
      <c r="D637" s="6"/>
      <c r="E637" s="9"/>
      <c r="F637" s="9"/>
      <c r="G637" s="11"/>
      <c r="H637" s="5"/>
      <c r="I637" s="8"/>
      <c r="J637" s="8"/>
    </row>
    <row r="638" spans="2:10" ht="12.75" x14ac:dyDescent="0.2">
      <c r="B638" s="6"/>
      <c r="C638" s="6"/>
      <c r="D638" s="6"/>
      <c r="E638" s="9"/>
      <c r="F638" s="9"/>
      <c r="G638" s="11"/>
      <c r="H638" s="5"/>
      <c r="I638" s="8"/>
      <c r="J638" s="8"/>
    </row>
    <row r="639" spans="2:10" ht="12.75" x14ac:dyDescent="0.2">
      <c r="B639" s="6"/>
      <c r="C639" s="6"/>
      <c r="D639" s="6"/>
      <c r="E639" s="9"/>
      <c r="F639" s="9"/>
      <c r="G639" s="11"/>
      <c r="H639" s="5"/>
      <c r="I639" s="8"/>
      <c r="J639" s="8"/>
    </row>
    <row r="640" spans="2:10" ht="12.75" x14ac:dyDescent="0.2">
      <c r="B640" s="6"/>
      <c r="C640" s="6"/>
      <c r="D640" s="6"/>
      <c r="E640" s="9"/>
      <c r="F640" s="9"/>
      <c r="G640" s="11"/>
      <c r="H640" s="5"/>
      <c r="I640" s="8"/>
      <c r="J640" s="8"/>
    </row>
    <row r="641" spans="2:10" ht="12.75" x14ac:dyDescent="0.2">
      <c r="B641" s="6"/>
      <c r="C641" s="6"/>
      <c r="D641" s="6"/>
      <c r="E641" s="9"/>
      <c r="F641" s="9"/>
      <c r="G641" s="11"/>
      <c r="H641" s="5"/>
      <c r="I641" s="8"/>
      <c r="J641" s="8"/>
    </row>
    <row r="642" spans="2:10" ht="12.75" x14ac:dyDescent="0.2">
      <c r="B642" s="6"/>
      <c r="C642" s="6"/>
      <c r="D642" s="6"/>
      <c r="E642" s="9"/>
      <c r="F642" s="9"/>
      <c r="G642" s="11"/>
      <c r="H642" s="5"/>
      <c r="I642" s="8"/>
      <c r="J642" s="8"/>
    </row>
    <row r="643" spans="2:10" ht="12.75" x14ac:dyDescent="0.2">
      <c r="B643" s="6"/>
      <c r="C643" s="6"/>
      <c r="D643" s="6"/>
      <c r="E643" s="9"/>
      <c r="F643" s="9"/>
      <c r="G643" s="11"/>
      <c r="H643" s="5"/>
      <c r="I643" s="8"/>
      <c r="J643" s="8"/>
    </row>
    <row r="644" spans="2:10" ht="12.75" x14ac:dyDescent="0.2">
      <c r="B644" s="6"/>
      <c r="C644" s="6"/>
      <c r="D644" s="6"/>
      <c r="E644" s="9"/>
      <c r="F644" s="9"/>
      <c r="G644" s="11"/>
      <c r="H644" s="5"/>
      <c r="I644" s="8"/>
      <c r="J644" s="8"/>
    </row>
    <row r="645" spans="2:10" ht="12.75" x14ac:dyDescent="0.2">
      <c r="B645" s="6"/>
      <c r="C645" s="6"/>
      <c r="D645" s="6"/>
      <c r="E645" s="9"/>
      <c r="F645" s="9"/>
      <c r="G645" s="11"/>
      <c r="H645" s="5"/>
      <c r="I645" s="8"/>
      <c r="J645" s="8"/>
    </row>
    <row r="646" spans="2:10" ht="12.75" x14ac:dyDescent="0.2">
      <c r="B646" s="6"/>
      <c r="C646" s="6"/>
      <c r="D646" s="6"/>
      <c r="E646" s="9"/>
      <c r="F646" s="9"/>
      <c r="G646" s="11"/>
      <c r="H646" s="5"/>
      <c r="I646" s="8"/>
      <c r="J646" s="8"/>
    </row>
    <row r="647" spans="2:10" ht="12.75" x14ac:dyDescent="0.2">
      <c r="B647" s="6"/>
      <c r="C647" s="6"/>
      <c r="D647" s="6"/>
      <c r="E647" s="9"/>
      <c r="F647" s="9"/>
      <c r="G647" s="11"/>
      <c r="H647" s="5"/>
      <c r="I647" s="8"/>
      <c r="J647" s="8"/>
    </row>
    <row r="648" spans="2:10" ht="12.75" x14ac:dyDescent="0.2">
      <c r="B648" s="6"/>
      <c r="C648" s="6"/>
      <c r="D648" s="6"/>
      <c r="E648" s="9"/>
      <c r="F648" s="9"/>
      <c r="G648" s="11"/>
      <c r="H648" s="5"/>
      <c r="I648" s="8"/>
      <c r="J648" s="8"/>
    </row>
    <row r="649" spans="2:10" ht="12.75" x14ac:dyDescent="0.2">
      <c r="B649" s="6"/>
      <c r="C649" s="6"/>
      <c r="D649" s="6"/>
      <c r="E649" s="9"/>
      <c r="F649" s="9"/>
      <c r="G649" s="11"/>
      <c r="H649" s="5"/>
      <c r="I649" s="8"/>
      <c r="J649" s="8"/>
    </row>
    <row r="650" spans="2:10" ht="12.75" x14ac:dyDescent="0.2">
      <c r="B650" s="6"/>
      <c r="C650" s="6"/>
      <c r="D650" s="6"/>
      <c r="E650" s="9"/>
      <c r="F650" s="9"/>
      <c r="G650" s="11"/>
      <c r="H650" s="5"/>
      <c r="I650" s="8"/>
      <c r="J650" s="8"/>
    </row>
    <row r="651" spans="2:10" ht="12.75" x14ac:dyDescent="0.2">
      <c r="B651" s="6"/>
      <c r="C651" s="6"/>
      <c r="D651" s="6"/>
      <c r="E651" s="9"/>
      <c r="F651" s="9"/>
      <c r="G651" s="11"/>
      <c r="H651" s="5"/>
      <c r="I651" s="8"/>
      <c r="J651" s="8"/>
    </row>
    <row r="652" spans="2:10" ht="12.75" x14ac:dyDescent="0.2">
      <c r="B652" s="6"/>
      <c r="C652" s="6"/>
      <c r="D652" s="6"/>
      <c r="E652" s="9"/>
      <c r="F652" s="9"/>
      <c r="G652" s="11"/>
      <c r="H652" s="5"/>
      <c r="I652" s="8"/>
      <c r="J652" s="8"/>
    </row>
    <row r="653" spans="2:10" ht="12.75" x14ac:dyDescent="0.2">
      <c r="B653" s="6"/>
      <c r="C653" s="6"/>
      <c r="D653" s="6"/>
      <c r="E653" s="9"/>
      <c r="F653" s="9"/>
      <c r="G653" s="11"/>
      <c r="H653" s="5"/>
      <c r="I653" s="8"/>
      <c r="J653" s="8"/>
    </row>
    <row r="654" spans="2:10" ht="12.75" x14ac:dyDescent="0.2">
      <c r="B654" s="6"/>
      <c r="C654" s="6"/>
      <c r="D654" s="6"/>
      <c r="E654" s="9"/>
      <c r="F654" s="9"/>
      <c r="G654" s="11"/>
      <c r="H654" s="5"/>
      <c r="I654" s="8"/>
      <c r="J654" s="8"/>
    </row>
    <row r="655" spans="2:10" ht="12.75" x14ac:dyDescent="0.2">
      <c r="B655" s="6"/>
      <c r="C655" s="6"/>
      <c r="D655" s="6"/>
      <c r="E655" s="9"/>
      <c r="F655" s="9"/>
      <c r="G655" s="11"/>
      <c r="H655" s="5"/>
      <c r="I655" s="8"/>
      <c r="J655" s="8"/>
    </row>
    <row r="656" spans="2:10" ht="12.75" x14ac:dyDescent="0.2">
      <c r="B656" s="6"/>
      <c r="C656" s="6"/>
      <c r="D656" s="6"/>
      <c r="E656" s="9"/>
      <c r="F656" s="9"/>
      <c r="G656" s="11"/>
      <c r="H656" s="5"/>
      <c r="I656" s="8"/>
      <c r="J656" s="8"/>
    </row>
    <row r="657" spans="2:10" ht="12.75" x14ac:dyDescent="0.2">
      <c r="B657" s="6"/>
      <c r="C657" s="6"/>
      <c r="D657" s="6"/>
      <c r="E657" s="9"/>
      <c r="F657" s="9"/>
      <c r="G657" s="11"/>
      <c r="H657" s="5"/>
      <c r="I657" s="8"/>
      <c r="J657" s="8"/>
    </row>
    <row r="658" spans="2:10" ht="12.75" x14ac:dyDescent="0.2">
      <c r="B658" s="6"/>
      <c r="C658" s="6"/>
      <c r="D658" s="6"/>
      <c r="E658" s="9"/>
      <c r="F658" s="9"/>
      <c r="G658" s="11"/>
      <c r="H658" s="5"/>
      <c r="I658" s="8"/>
      <c r="J658" s="8"/>
    </row>
    <row r="659" spans="2:10" ht="12.75" x14ac:dyDescent="0.2">
      <c r="B659" s="6"/>
      <c r="C659" s="6"/>
      <c r="D659" s="6"/>
      <c r="E659" s="9"/>
      <c r="F659" s="9"/>
      <c r="G659" s="11"/>
      <c r="H659" s="5"/>
      <c r="I659" s="8"/>
      <c r="J659" s="8"/>
    </row>
    <row r="660" spans="2:10" ht="12.75" x14ac:dyDescent="0.2">
      <c r="B660" s="6"/>
      <c r="C660" s="6"/>
      <c r="D660" s="6"/>
      <c r="E660" s="9"/>
      <c r="F660" s="9"/>
      <c r="G660" s="11"/>
      <c r="H660" s="5"/>
      <c r="I660" s="8"/>
      <c r="J660" s="8"/>
    </row>
    <row r="661" spans="2:10" ht="12.75" x14ac:dyDescent="0.2">
      <c r="B661" s="6"/>
      <c r="C661" s="6"/>
      <c r="D661" s="6"/>
      <c r="E661" s="9"/>
      <c r="F661" s="9"/>
      <c r="G661" s="11"/>
      <c r="H661" s="5"/>
      <c r="I661" s="8"/>
      <c r="J661" s="8"/>
    </row>
    <row r="662" spans="2:10" ht="12.75" x14ac:dyDescent="0.2">
      <c r="B662" s="6"/>
      <c r="C662" s="6"/>
      <c r="D662" s="6"/>
      <c r="E662" s="9"/>
      <c r="F662" s="9"/>
      <c r="G662" s="11"/>
      <c r="H662" s="5"/>
      <c r="I662" s="8"/>
      <c r="J662" s="8"/>
    </row>
    <row r="663" spans="2:10" ht="12.75" x14ac:dyDescent="0.2">
      <c r="B663" s="6"/>
      <c r="C663" s="6"/>
      <c r="D663" s="6"/>
      <c r="E663" s="9"/>
      <c r="F663" s="9"/>
      <c r="G663" s="11"/>
      <c r="H663" s="5"/>
      <c r="I663" s="8"/>
      <c r="J663" s="8"/>
    </row>
    <row r="664" spans="2:10" ht="12.75" x14ac:dyDescent="0.2">
      <c r="B664" s="6"/>
      <c r="C664" s="6"/>
      <c r="D664" s="6"/>
      <c r="E664" s="9"/>
      <c r="F664" s="9"/>
      <c r="G664" s="11"/>
      <c r="H664" s="5"/>
      <c r="I664" s="8"/>
      <c r="J664" s="8"/>
    </row>
    <row r="665" spans="2:10" ht="12.75" x14ac:dyDescent="0.2">
      <c r="B665" s="6"/>
      <c r="C665" s="6"/>
      <c r="D665" s="6"/>
      <c r="E665" s="9"/>
      <c r="F665" s="9"/>
      <c r="G665" s="11"/>
      <c r="H665" s="5"/>
      <c r="I665" s="8"/>
      <c r="J665" s="8"/>
    </row>
    <row r="666" spans="2:10" ht="12.75" x14ac:dyDescent="0.2">
      <c r="B666" s="6"/>
      <c r="C666" s="6"/>
      <c r="D666" s="6"/>
      <c r="E666" s="9"/>
      <c r="F666" s="9"/>
      <c r="G666" s="11"/>
      <c r="H666" s="5"/>
      <c r="I666" s="8"/>
      <c r="J666" s="8"/>
    </row>
    <row r="667" spans="2:10" ht="12.75" x14ac:dyDescent="0.2">
      <c r="B667" s="6"/>
      <c r="C667" s="6"/>
      <c r="D667" s="6"/>
      <c r="E667" s="9"/>
      <c r="F667" s="9"/>
      <c r="G667" s="11"/>
      <c r="H667" s="5"/>
      <c r="I667" s="8"/>
      <c r="J667" s="8"/>
    </row>
    <row r="668" spans="2:10" ht="12.75" x14ac:dyDescent="0.2">
      <c r="B668" s="6"/>
      <c r="C668" s="6"/>
      <c r="D668" s="6"/>
      <c r="E668" s="9"/>
      <c r="F668" s="9"/>
      <c r="G668" s="11"/>
      <c r="H668" s="5"/>
      <c r="I668" s="8"/>
      <c r="J668" s="8"/>
    </row>
    <row r="669" spans="2:10" ht="12.75" x14ac:dyDescent="0.2">
      <c r="B669" s="6"/>
      <c r="C669" s="6"/>
      <c r="D669" s="6"/>
      <c r="E669" s="9"/>
      <c r="F669" s="9"/>
      <c r="G669" s="11"/>
      <c r="H669" s="5"/>
      <c r="I669" s="8"/>
      <c r="J669" s="8"/>
    </row>
    <row r="670" spans="2:10" ht="12.75" x14ac:dyDescent="0.2">
      <c r="B670" s="6"/>
      <c r="C670" s="6"/>
      <c r="D670" s="6"/>
      <c r="E670" s="9"/>
      <c r="F670" s="9"/>
      <c r="G670" s="11"/>
      <c r="H670" s="5"/>
      <c r="I670" s="8"/>
      <c r="J670" s="8"/>
    </row>
    <row r="671" spans="2:10" ht="12.75" x14ac:dyDescent="0.2">
      <c r="B671" s="6"/>
      <c r="C671" s="6"/>
      <c r="D671" s="6"/>
      <c r="E671" s="9"/>
      <c r="F671" s="9"/>
      <c r="G671" s="11"/>
      <c r="H671" s="5"/>
      <c r="I671" s="8"/>
      <c r="J671" s="8"/>
    </row>
    <row r="672" spans="2:10" ht="12.75" x14ac:dyDescent="0.2">
      <c r="B672" s="6"/>
      <c r="C672" s="6"/>
      <c r="D672" s="6"/>
      <c r="E672" s="9"/>
      <c r="F672" s="9"/>
      <c r="G672" s="11"/>
      <c r="H672" s="5"/>
      <c r="I672" s="8"/>
      <c r="J672" s="8"/>
    </row>
    <row r="673" spans="2:10" ht="12.75" x14ac:dyDescent="0.2">
      <c r="B673" s="6"/>
      <c r="C673" s="6"/>
      <c r="D673" s="6"/>
      <c r="E673" s="9"/>
      <c r="F673" s="9"/>
      <c r="G673" s="11"/>
      <c r="H673" s="5"/>
      <c r="I673" s="8"/>
      <c r="J673" s="8"/>
    </row>
    <row r="674" spans="2:10" ht="12.75" x14ac:dyDescent="0.2">
      <c r="B674" s="6"/>
      <c r="C674" s="6"/>
      <c r="D674" s="6"/>
      <c r="E674" s="9"/>
      <c r="F674" s="9"/>
      <c r="G674" s="11"/>
      <c r="H674" s="5"/>
      <c r="I674" s="8"/>
      <c r="J674" s="8"/>
    </row>
    <row r="675" spans="2:10" ht="12.75" x14ac:dyDescent="0.2">
      <c r="B675" s="6"/>
      <c r="C675" s="6"/>
      <c r="D675" s="6"/>
      <c r="E675" s="9"/>
      <c r="F675" s="9"/>
      <c r="G675" s="11"/>
      <c r="H675" s="5"/>
      <c r="I675" s="8"/>
      <c r="J675" s="8"/>
    </row>
    <row r="676" spans="2:10" ht="12.75" x14ac:dyDescent="0.2">
      <c r="B676" s="6"/>
      <c r="C676" s="6"/>
      <c r="D676" s="6"/>
      <c r="E676" s="9"/>
      <c r="F676" s="9"/>
      <c r="G676" s="11"/>
      <c r="H676" s="5"/>
      <c r="I676" s="8"/>
      <c r="J676" s="8"/>
    </row>
    <row r="677" spans="2:10" ht="12.75" x14ac:dyDescent="0.2">
      <c r="B677" s="6"/>
      <c r="C677" s="6"/>
      <c r="D677" s="6"/>
      <c r="E677" s="9"/>
      <c r="F677" s="9"/>
      <c r="G677" s="11"/>
      <c r="H677" s="5"/>
      <c r="I677" s="8"/>
      <c r="J677" s="8"/>
    </row>
    <row r="678" spans="2:10" ht="12.75" x14ac:dyDescent="0.2">
      <c r="B678" s="6"/>
      <c r="C678" s="6"/>
      <c r="D678" s="6"/>
      <c r="E678" s="9"/>
      <c r="F678" s="9"/>
      <c r="G678" s="11"/>
      <c r="H678" s="5"/>
      <c r="I678" s="8"/>
      <c r="J678" s="8"/>
    </row>
    <row r="679" spans="2:10" ht="12.75" x14ac:dyDescent="0.2">
      <c r="B679" s="6"/>
      <c r="C679" s="6"/>
      <c r="D679" s="6"/>
      <c r="E679" s="9"/>
      <c r="F679" s="9"/>
      <c r="G679" s="11"/>
      <c r="H679" s="5"/>
      <c r="I679" s="8"/>
      <c r="J679" s="8"/>
    </row>
    <row r="680" spans="2:10" ht="12.75" x14ac:dyDescent="0.2">
      <c r="B680" s="6"/>
      <c r="C680" s="6"/>
      <c r="D680" s="6"/>
      <c r="E680" s="9"/>
      <c r="F680" s="9"/>
      <c r="G680" s="11"/>
      <c r="H680" s="5"/>
      <c r="I680" s="8"/>
      <c r="J680" s="8"/>
    </row>
    <row r="681" spans="2:10" ht="12.75" x14ac:dyDescent="0.2">
      <c r="B681" s="6"/>
      <c r="C681" s="6"/>
      <c r="D681" s="6"/>
      <c r="E681" s="9"/>
      <c r="F681" s="9"/>
      <c r="G681" s="11"/>
      <c r="H681" s="5"/>
      <c r="I681" s="8"/>
      <c r="J681" s="8"/>
    </row>
    <row r="682" spans="2:10" ht="12.75" x14ac:dyDescent="0.2">
      <c r="B682" s="6"/>
      <c r="C682" s="6"/>
      <c r="D682" s="6"/>
      <c r="E682" s="9"/>
      <c r="F682" s="9"/>
      <c r="G682" s="11"/>
      <c r="H682" s="5"/>
      <c r="I682" s="8"/>
      <c r="J682" s="8"/>
    </row>
    <row r="683" spans="2:10" ht="12.75" x14ac:dyDescent="0.2">
      <c r="B683" s="6"/>
      <c r="C683" s="6"/>
      <c r="D683" s="6"/>
      <c r="E683" s="9"/>
      <c r="F683" s="9"/>
      <c r="G683" s="11"/>
      <c r="H683" s="5"/>
      <c r="I683" s="8"/>
      <c r="J683" s="8"/>
    </row>
    <row r="684" spans="2:10" ht="12.75" x14ac:dyDescent="0.2">
      <c r="B684" s="6"/>
      <c r="C684" s="6"/>
      <c r="D684" s="6"/>
      <c r="E684" s="9"/>
      <c r="F684" s="9"/>
      <c r="G684" s="11"/>
      <c r="H684" s="5"/>
      <c r="I684" s="8"/>
      <c r="J684" s="8"/>
    </row>
    <row r="685" spans="2:10" ht="12.75" x14ac:dyDescent="0.2">
      <c r="B685" s="6"/>
      <c r="C685" s="6"/>
      <c r="D685" s="6"/>
      <c r="E685" s="9"/>
      <c r="F685" s="9"/>
      <c r="G685" s="11"/>
      <c r="H685" s="5"/>
      <c r="I685" s="8"/>
      <c r="J685" s="8"/>
    </row>
    <row r="686" spans="2:10" ht="12.75" x14ac:dyDescent="0.2">
      <c r="B686" s="6"/>
      <c r="C686" s="6"/>
      <c r="D686" s="6"/>
      <c r="E686" s="9"/>
      <c r="F686" s="9"/>
      <c r="G686" s="11"/>
      <c r="H686" s="5"/>
      <c r="I686" s="8"/>
      <c r="J686" s="8"/>
    </row>
    <row r="687" spans="2:10" ht="12.75" x14ac:dyDescent="0.2">
      <c r="B687" s="6"/>
      <c r="C687" s="6"/>
      <c r="D687" s="6"/>
      <c r="E687" s="9"/>
      <c r="F687" s="9"/>
      <c r="G687" s="11"/>
      <c r="H687" s="5"/>
      <c r="I687" s="8"/>
      <c r="J687" s="8"/>
    </row>
    <row r="688" spans="2:10" ht="12.75" x14ac:dyDescent="0.2">
      <c r="B688" s="6"/>
      <c r="C688" s="6"/>
      <c r="D688" s="6"/>
      <c r="E688" s="9"/>
      <c r="F688" s="9"/>
      <c r="G688" s="11"/>
      <c r="H688" s="5"/>
      <c r="I688" s="8"/>
      <c r="J688" s="8"/>
    </row>
    <row r="689" spans="2:10" ht="12.75" x14ac:dyDescent="0.2">
      <c r="B689" s="6"/>
      <c r="C689" s="6"/>
      <c r="D689" s="6"/>
      <c r="E689" s="9"/>
      <c r="F689" s="9"/>
      <c r="G689" s="11"/>
      <c r="H689" s="5"/>
      <c r="I689" s="8"/>
      <c r="J689" s="8"/>
    </row>
    <row r="690" spans="2:10" ht="12.75" x14ac:dyDescent="0.2">
      <c r="B690" s="6"/>
      <c r="C690" s="6"/>
      <c r="D690" s="6"/>
      <c r="E690" s="9"/>
      <c r="F690" s="9"/>
      <c r="G690" s="11"/>
      <c r="H690" s="5"/>
      <c r="I690" s="8"/>
      <c r="J690" s="8"/>
    </row>
    <row r="691" spans="2:10" ht="12.75" x14ac:dyDescent="0.2">
      <c r="B691" s="6"/>
      <c r="C691" s="6"/>
      <c r="D691" s="6"/>
      <c r="E691" s="9"/>
      <c r="F691" s="9"/>
      <c r="G691" s="11"/>
      <c r="H691" s="5"/>
      <c r="I691" s="8"/>
      <c r="J691" s="8"/>
    </row>
    <row r="692" spans="2:10" ht="12.75" x14ac:dyDescent="0.2">
      <c r="B692" s="6"/>
      <c r="C692" s="6"/>
      <c r="D692" s="6"/>
      <c r="E692" s="9"/>
      <c r="F692" s="9"/>
      <c r="G692" s="11"/>
      <c r="H692" s="5"/>
      <c r="I692" s="8"/>
      <c r="J692" s="8"/>
    </row>
    <row r="693" spans="2:10" ht="12.75" x14ac:dyDescent="0.2">
      <c r="B693" s="6"/>
      <c r="C693" s="6"/>
      <c r="D693" s="6"/>
      <c r="E693" s="9"/>
      <c r="F693" s="9"/>
      <c r="G693" s="11"/>
      <c r="H693" s="5"/>
      <c r="I693" s="8"/>
      <c r="J693" s="8"/>
    </row>
    <row r="694" spans="2:10" ht="12.75" x14ac:dyDescent="0.2">
      <c r="B694" s="6"/>
      <c r="C694" s="6"/>
      <c r="D694" s="6"/>
      <c r="E694" s="9"/>
      <c r="F694" s="9"/>
      <c r="G694" s="11"/>
      <c r="H694" s="5"/>
      <c r="I694" s="8"/>
      <c r="J694" s="8"/>
    </row>
    <row r="695" spans="2:10" ht="12.75" x14ac:dyDescent="0.2">
      <c r="B695" s="6"/>
      <c r="C695" s="6"/>
      <c r="D695" s="6"/>
      <c r="E695" s="9"/>
      <c r="F695" s="9"/>
      <c r="G695" s="11"/>
      <c r="H695" s="5"/>
      <c r="I695" s="8"/>
      <c r="J695" s="8"/>
    </row>
    <row r="696" spans="2:10" ht="12.75" x14ac:dyDescent="0.2">
      <c r="B696" s="6"/>
      <c r="C696" s="6"/>
      <c r="D696" s="6"/>
      <c r="E696" s="9"/>
      <c r="F696" s="9"/>
      <c r="G696" s="11"/>
      <c r="H696" s="5"/>
      <c r="I696" s="8"/>
      <c r="J696" s="8"/>
    </row>
    <row r="697" spans="2:10" ht="12.75" x14ac:dyDescent="0.2">
      <c r="B697" s="6"/>
      <c r="C697" s="6"/>
      <c r="D697" s="6"/>
      <c r="E697" s="9"/>
      <c r="F697" s="9"/>
      <c r="G697" s="11"/>
      <c r="H697" s="5"/>
      <c r="I697" s="8"/>
      <c r="J697" s="8"/>
    </row>
    <row r="698" spans="2:10" ht="12.75" x14ac:dyDescent="0.2">
      <c r="B698" s="6"/>
      <c r="C698" s="6"/>
      <c r="D698" s="6"/>
      <c r="E698" s="9"/>
      <c r="F698" s="9"/>
      <c r="G698" s="11"/>
      <c r="H698" s="5"/>
      <c r="I698" s="8"/>
      <c r="J698" s="8"/>
    </row>
    <row r="699" spans="2:10" ht="12.75" x14ac:dyDescent="0.2">
      <c r="B699" s="6"/>
      <c r="C699" s="6"/>
      <c r="D699" s="6"/>
      <c r="E699" s="9"/>
      <c r="F699" s="9"/>
      <c r="G699" s="11"/>
      <c r="H699" s="5"/>
      <c r="I699" s="8"/>
      <c r="J699" s="8"/>
    </row>
    <row r="700" spans="2:10" ht="12.75" x14ac:dyDescent="0.2">
      <c r="B700" s="6"/>
      <c r="C700" s="6"/>
      <c r="D700" s="6"/>
      <c r="E700" s="9"/>
      <c r="F700" s="9"/>
      <c r="G700" s="11"/>
      <c r="H700" s="5"/>
      <c r="I700" s="8"/>
      <c r="J700" s="8"/>
    </row>
    <row r="701" spans="2:10" ht="12.75" x14ac:dyDescent="0.2">
      <c r="B701" s="6"/>
      <c r="C701" s="6"/>
      <c r="D701" s="6"/>
      <c r="E701" s="9"/>
      <c r="F701" s="9"/>
      <c r="G701" s="11"/>
      <c r="H701" s="5"/>
      <c r="I701" s="8"/>
      <c r="J701" s="8"/>
    </row>
    <row r="702" spans="2:10" ht="12.75" x14ac:dyDescent="0.2">
      <c r="B702" s="6"/>
      <c r="C702" s="6"/>
      <c r="D702" s="6"/>
      <c r="E702" s="9"/>
      <c r="F702" s="9"/>
      <c r="G702" s="11"/>
      <c r="H702" s="5"/>
      <c r="I702" s="8"/>
      <c r="J702" s="8"/>
    </row>
    <row r="703" spans="2:10" ht="12.75" x14ac:dyDescent="0.2">
      <c r="B703" s="6"/>
      <c r="C703" s="6"/>
      <c r="D703" s="6"/>
      <c r="E703" s="9"/>
      <c r="F703" s="9"/>
      <c r="G703" s="11"/>
      <c r="H703" s="5"/>
      <c r="I703" s="8"/>
      <c r="J703" s="8"/>
    </row>
    <row r="704" spans="2:10" ht="12.75" x14ac:dyDescent="0.2">
      <c r="B704" s="6"/>
      <c r="C704" s="6"/>
      <c r="D704" s="6"/>
      <c r="E704" s="9"/>
      <c r="F704" s="9"/>
      <c r="G704" s="11"/>
      <c r="H704" s="5"/>
      <c r="I704" s="8"/>
      <c r="J704" s="8"/>
    </row>
    <row r="705" spans="2:10" ht="12.75" x14ac:dyDescent="0.2">
      <c r="B705" s="6"/>
      <c r="C705" s="6"/>
      <c r="D705" s="6"/>
      <c r="E705" s="9"/>
      <c r="F705" s="9"/>
      <c r="G705" s="11"/>
      <c r="H705" s="5"/>
      <c r="I705" s="8"/>
      <c r="J705" s="8"/>
    </row>
    <row r="706" spans="2:10" ht="12.75" x14ac:dyDescent="0.2">
      <c r="B706" s="6"/>
      <c r="C706" s="6"/>
      <c r="D706" s="6"/>
      <c r="E706" s="9"/>
      <c r="F706" s="9"/>
      <c r="G706" s="11"/>
      <c r="H706" s="5"/>
      <c r="I706" s="8"/>
      <c r="J706" s="8"/>
    </row>
    <row r="707" spans="2:10" ht="12.75" x14ac:dyDescent="0.2">
      <c r="B707" s="6"/>
      <c r="C707" s="6"/>
      <c r="D707" s="6"/>
      <c r="E707" s="9"/>
      <c r="F707" s="9"/>
      <c r="G707" s="11"/>
      <c r="H707" s="5"/>
      <c r="I707" s="8"/>
      <c r="J707" s="8"/>
    </row>
    <row r="708" spans="2:10" ht="12.75" x14ac:dyDescent="0.2">
      <c r="B708" s="6"/>
      <c r="C708" s="6"/>
      <c r="D708" s="6"/>
      <c r="E708" s="9"/>
      <c r="F708" s="9"/>
      <c r="G708" s="11"/>
      <c r="H708" s="5"/>
      <c r="I708" s="8"/>
      <c r="J708" s="8"/>
    </row>
    <row r="709" spans="2:10" ht="12.75" x14ac:dyDescent="0.2">
      <c r="B709" s="6"/>
      <c r="C709" s="6"/>
      <c r="D709" s="6"/>
      <c r="E709" s="9"/>
      <c r="F709" s="9"/>
      <c r="G709" s="11"/>
      <c r="H709" s="5"/>
      <c r="I709" s="8"/>
      <c r="J709" s="8"/>
    </row>
    <row r="710" spans="2:10" ht="12.75" x14ac:dyDescent="0.2">
      <c r="B710" s="6"/>
      <c r="C710" s="6"/>
      <c r="D710" s="6"/>
      <c r="E710" s="9"/>
      <c r="F710" s="9"/>
      <c r="G710" s="11"/>
      <c r="H710" s="5"/>
      <c r="I710" s="8"/>
      <c r="J710" s="8"/>
    </row>
    <row r="711" spans="2:10" ht="12.75" x14ac:dyDescent="0.2">
      <c r="B711" s="6"/>
      <c r="C711" s="6"/>
      <c r="D711" s="6"/>
      <c r="E711" s="9"/>
      <c r="F711" s="9"/>
      <c r="G711" s="11"/>
      <c r="H711" s="5"/>
      <c r="I711" s="8"/>
      <c r="J711" s="8"/>
    </row>
    <row r="712" spans="2:10" ht="12.75" x14ac:dyDescent="0.2">
      <c r="B712" s="6"/>
      <c r="C712" s="6"/>
      <c r="D712" s="6"/>
      <c r="E712" s="9"/>
      <c r="F712" s="9"/>
      <c r="G712" s="11"/>
      <c r="H712" s="5"/>
      <c r="I712" s="8"/>
      <c r="J712" s="8"/>
    </row>
    <row r="713" spans="2:10" ht="12.75" x14ac:dyDescent="0.2">
      <c r="B713" s="6"/>
      <c r="C713" s="6"/>
      <c r="D713" s="6"/>
      <c r="E713" s="9"/>
      <c r="F713" s="9"/>
      <c r="G713" s="11"/>
      <c r="H713" s="5"/>
      <c r="I713" s="8"/>
      <c r="J713" s="8"/>
    </row>
    <row r="714" spans="2:10" ht="12.75" x14ac:dyDescent="0.2">
      <c r="B714" s="6"/>
      <c r="C714" s="6"/>
      <c r="D714" s="6"/>
      <c r="E714" s="9"/>
      <c r="F714" s="9"/>
      <c r="G714" s="11"/>
      <c r="H714" s="5"/>
      <c r="I714" s="8"/>
      <c r="J714" s="8"/>
    </row>
    <row r="715" spans="2:10" ht="12.75" x14ac:dyDescent="0.2">
      <c r="B715" s="6"/>
      <c r="C715" s="6"/>
      <c r="D715" s="6"/>
      <c r="E715" s="9"/>
      <c r="F715" s="9"/>
      <c r="G715" s="11"/>
      <c r="H715" s="5"/>
      <c r="I715" s="8"/>
      <c r="J715" s="8"/>
    </row>
    <row r="716" spans="2:10" ht="12.75" x14ac:dyDescent="0.2">
      <c r="B716" s="6"/>
      <c r="C716" s="6"/>
      <c r="D716" s="6"/>
      <c r="E716" s="9"/>
      <c r="F716" s="9"/>
      <c r="G716" s="11"/>
      <c r="H716" s="5"/>
      <c r="I716" s="8"/>
      <c r="J716" s="8"/>
    </row>
    <row r="717" spans="2:10" ht="12.75" x14ac:dyDescent="0.2">
      <c r="B717" s="6"/>
      <c r="C717" s="6"/>
      <c r="D717" s="6"/>
      <c r="E717" s="9"/>
      <c r="F717" s="9"/>
      <c r="G717" s="11"/>
      <c r="H717" s="5"/>
      <c r="I717" s="8"/>
      <c r="J717" s="8"/>
    </row>
    <row r="718" spans="2:10" ht="12.75" x14ac:dyDescent="0.2">
      <c r="B718" s="6"/>
      <c r="C718" s="6"/>
      <c r="D718" s="6"/>
      <c r="E718" s="9"/>
      <c r="F718" s="9"/>
      <c r="G718" s="11"/>
      <c r="H718" s="5"/>
      <c r="I718" s="8"/>
      <c r="J718" s="8"/>
    </row>
    <row r="719" spans="2:10" ht="12.75" x14ac:dyDescent="0.2">
      <c r="B719" s="6"/>
      <c r="C719" s="6"/>
      <c r="D719" s="6"/>
      <c r="E719" s="9"/>
      <c r="F719" s="9"/>
      <c r="G719" s="11"/>
      <c r="H719" s="5"/>
      <c r="I719" s="8"/>
      <c r="J719" s="8"/>
    </row>
    <row r="720" spans="2:10" ht="12.75" x14ac:dyDescent="0.2">
      <c r="B720" s="6"/>
      <c r="C720" s="6"/>
      <c r="D720" s="6"/>
      <c r="E720" s="9"/>
      <c r="F720" s="9"/>
      <c r="G720" s="11"/>
      <c r="H720" s="5"/>
      <c r="I720" s="8"/>
      <c r="J720" s="8"/>
    </row>
    <row r="721" spans="2:10" ht="12.75" x14ac:dyDescent="0.2">
      <c r="B721" s="6"/>
      <c r="C721" s="6"/>
      <c r="D721" s="6"/>
      <c r="E721" s="9"/>
      <c r="F721" s="9"/>
      <c r="G721" s="11"/>
      <c r="H721" s="5"/>
      <c r="I721" s="8"/>
      <c r="J721" s="8"/>
    </row>
    <row r="722" spans="2:10" ht="12.75" x14ac:dyDescent="0.2">
      <c r="B722" s="6"/>
      <c r="C722" s="6"/>
      <c r="D722" s="6"/>
      <c r="E722" s="9"/>
      <c r="F722" s="9"/>
      <c r="G722" s="11"/>
      <c r="H722" s="5"/>
      <c r="I722" s="8"/>
      <c r="J722" s="8"/>
    </row>
    <row r="723" spans="2:10" ht="12.75" x14ac:dyDescent="0.2">
      <c r="B723" s="6"/>
      <c r="C723" s="6"/>
      <c r="D723" s="6"/>
      <c r="E723" s="9"/>
      <c r="F723" s="9"/>
      <c r="G723" s="11"/>
      <c r="H723" s="5"/>
      <c r="I723" s="8"/>
      <c r="J723" s="8"/>
    </row>
    <row r="724" spans="2:10" ht="12.75" x14ac:dyDescent="0.2">
      <c r="B724" s="6"/>
      <c r="C724" s="6"/>
      <c r="D724" s="6"/>
      <c r="E724" s="9"/>
      <c r="F724" s="9"/>
      <c r="G724" s="11"/>
      <c r="H724" s="5"/>
      <c r="I724" s="8"/>
      <c r="J724" s="8"/>
    </row>
    <row r="725" spans="2:10" ht="12.75" x14ac:dyDescent="0.2">
      <c r="B725" s="6"/>
      <c r="C725" s="6"/>
      <c r="D725" s="6"/>
      <c r="E725" s="9"/>
      <c r="F725" s="9"/>
      <c r="G725" s="11"/>
      <c r="H725" s="5"/>
      <c r="I725" s="8"/>
      <c r="J725" s="8"/>
    </row>
    <row r="726" spans="2:10" ht="12.75" x14ac:dyDescent="0.2">
      <c r="B726" s="6"/>
      <c r="C726" s="6"/>
      <c r="D726" s="6"/>
      <c r="E726" s="9"/>
      <c r="F726" s="9"/>
      <c r="G726" s="11"/>
      <c r="H726" s="5"/>
      <c r="I726" s="8"/>
      <c r="J726" s="8"/>
    </row>
    <row r="727" spans="2:10" ht="12.75" x14ac:dyDescent="0.2">
      <c r="B727" s="6"/>
      <c r="C727" s="6"/>
      <c r="D727" s="6"/>
      <c r="E727" s="9"/>
      <c r="F727" s="9"/>
      <c r="G727" s="11"/>
      <c r="H727" s="5"/>
      <c r="I727" s="8"/>
      <c r="J727" s="8"/>
    </row>
    <row r="728" spans="2:10" ht="12.75" x14ac:dyDescent="0.2">
      <c r="B728" s="6"/>
      <c r="C728" s="6"/>
      <c r="D728" s="6"/>
      <c r="E728" s="9"/>
      <c r="F728" s="9"/>
      <c r="G728" s="11"/>
      <c r="H728" s="5"/>
      <c r="I728" s="8"/>
      <c r="J728" s="8"/>
    </row>
    <row r="729" spans="2:10" ht="12.75" x14ac:dyDescent="0.2">
      <c r="B729" s="6"/>
      <c r="C729" s="6"/>
      <c r="D729" s="6"/>
      <c r="E729" s="9"/>
      <c r="F729" s="9"/>
      <c r="G729" s="11"/>
      <c r="H729" s="5"/>
      <c r="I729" s="8"/>
      <c r="J729" s="8"/>
    </row>
    <row r="730" spans="2:10" ht="12.75" x14ac:dyDescent="0.2">
      <c r="B730" s="6"/>
      <c r="C730" s="6"/>
      <c r="D730" s="6"/>
      <c r="E730" s="9"/>
      <c r="F730" s="9"/>
      <c r="G730" s="11"/>
      <c r="H730" s="5"/>
      <c r="I730" s="8"/>
      <c r="J730" s="8"/>
    </row>
    <row r="731" spans="2:10" ht="12.75" x14ac:dyDescent="0.2">
      <c r="B731" s="6"/>
      <c r="C731" s="6"/>
      <c r="D731" s="6"/>
      <c r="E731" s="9"/>
      <c r="F731" s="9"/>
      <c r="G731" s="11"/>
      <c r="H731" s="5"/>
      <c r="I731" s="8"/>
      <c r="J731" s="8"/>
    </row>
    <row r="732" spans="2:10" ht="12.75" x14ac:dyDescent="0.2">
      <c r="B732" s="6"/>
      <c r="C732" s="6"/>
      <c r="D732" s="6"/>
      <c r="E732" s="9"/>
      <c r="F732" s="9"/>
      <c r="G732" s="11"/>
      <c r="H732" s="5"/>
      <c r="I732" s="8"/>
      <c r="J732" s="8"/>
    </row>
    <row r="733" spans="2:10" ht="12.75" x14ac:dyDescent="0.2">
      <c r="B733" s="6"/>
      <c r="C733" s="6"/>
      <c r="D733" s="6"/>
      <c r="E733" s="9"/>
      <c r="F733" s="9"/>
      <c r="G733" s="11"/>
      <c r="H733" s="5"/>
      <c r="I733" s="8"/>
      <c r="J733" s="8"/>
    </row>
    <row r="734" spans="2:10" ht="12.75" x14ac:dyDescent="0.2">
      <c r="B734" s="6"/>
      <c r="C734" s="6"/>
      <c r="D734" s="6"/>
      <c r="E734" s="9"/>
      <c r="F734" s="9"/>
      <c r="G734" s="11"/>
      <c r="H734" s="5"/>
      <c r="I734" s="8"/>
      <c r="J734" s="8"/>
    </row>
    <row r="735" spans="2:10" ht="12.75" x14ac:dyDescent="0.2">
      <c r="B735" s="6"/>
      <c r="C735" s="6"/>
      <c r="D735" s="6"/>
      <c r="E735" s="9"/>
      <c r="F735" s="9"/>
      <c r="G735" s="11"/>
      <c r="H735" s="5"/>
      <c r="I735" s="8"/>
      <c r="J735" s="8"/>
    </row>
    <row r="736" spans="2:10" ht="12.75" x14ac:dyDescent="0.2">
      <c r="B736" s="6"/>
      <c r="C736" s="6"/>
      <c r="D736" s="6"/>
      <c r="E736" s="9"/>
      <c r="F736" s="9"/>
      <c r="G736" s="11"/>
      <c r="H736" s="5"/>
      <c r="I736" s="8"/>
      <c r="J736" s="8"/>
    </row>
    <row r="737" spans="2:10" ht="12.75" x14ac:dyDescent="0.2">
      <c r="B737" s="6"/>
      <c r="C737" s="6"/>
      <c r="D737" s="6"/>
      <c r="E737" s="9"/>
      <c r="F737" s="9"/>
      <c r="G737" s="11"/>
      <c r="H737" s="5"/>
      <c r="I737" s="8"/>
      <c r="J737" s="8"/>
    </row>
    <row r="738" spans="2:10" ht="12.75" x14ac:dyDescent="0.2">
      <c r="B738" s="6"/>
      <c r="C738" s="6"/>
      <c r="D738" s="6"/>
      <c r="E738" s="9"/>
      <c r="F738" s="9"/>
      <c r="G738" s="11"/>
      <c r="H738" s="5"/>
      <c r="I738" s="8"/>
      <c r="J738" s="8"/>
    </row>
    <row r="739" spans="2:10" ht="12.75" x14ac:dyDescent="0.2">
      <c r="B739" s="6"/>
      <c r="C739" s="6"/>
      <c r="D739" s="6"/>
      <c r="E739" s="9"/>
      <c r="F739" s="9"/>
      <c r="G739" s="11"/>
      <c r="H739" s="5"/>
      <c r="I739" s="8"/>
      <c r="J739" s="8"/>
    </row>
    <row r="740" spans="2:10" ht="12.75" x14ac:dyDescent="0.2">
      <c r="B740" s="6"/>
      <c r="C740" s="6"/>
      <c r="D740" s="6"/>
      <c r="E740" s="9"/>
      <c r="F740" s="9"/>
      <c r="G740" s="11"/>
      <c r="H740" s="5"/>
      <c r="I740" s="8"/>
      <c r="J740" s="8"/>
    </row>
    <row r="741" spans="2:10" ht="12.75" x14ac:dyDescent="0.2">
      <c r="B741" s="6"/>
      <c r="C741" s="6"/>
      <c r="D741" s="6"/>
      <c r="E741" s="9"/>
      <c r="F741" s="9"/>
      <c r="G741" s="11"/>
      <c r="H741" s="5"/>
      <c r="I741" s="8"/>
      <c r="J741" s="8"/>
    </row>
    <row r="742" spans="2:10" ht="12.75" x14ac:dyDescent="0.2">
      <c r="B742" s="6"/>
      <c r="C742" s="6"/>
      <c r="D742" s="6"/>
      <c r="E742" s="9"/>
      <c r="F742" s="9"/>
      <c r="G742" s="11"/>
      <c r="H742" s="5"/>
      <c r="I742" s="8"/>
      <c r="J742" s="8"/>
    </row>
    <row r="743" spans="2:10" ht="12.75" x14ac:dyDescent="0.2">
      <c r="B743" s="6"/>
      <c r="C743" s="6"/>
      <c r="D743" s="6"/>
      <c r="E743" s="9"/>
      <c r="F743" s="9"/>
      <c r="G743" s="11"/>
      <c r="H743" s="5"/>
      <c r="I743" s="8"/>
      <c r="J743" s="8"/>
    </row>
    <row r="744" spans="2:10" ht="12.75" x14ac:dyDescent="0.2">
      <c r="B744" s="6"/>
      <c r="C744" s="6"/>
      <c r="D744" s="6"/>
      <c r="E744" s="9"/>
      <c r="F744" s="9"/>
      <c r="G744" s="11"/>
      <c r="H744" s="5"/>
      <c r="I744" s="8"/>
      <c r="J744" s="8"/>
    </row>
    <row r="745" spans="2:10" ht="12.75" x14ac:dyDescent="0.2">
      <c r="B745" s="6"/>
      <c r="C745" s="6"/>
      <c r="D745" s="6"/>
      <c r="E745" s="9"/>
      <c r="F745" s="9"/>
      <c r="G745" s="11"/>
      <c r="H745" s="5"/>
      <c r="I745" s="8"/>
      <c r="J745" s="8"/>
    </row>
    <row r="746" spans="2:10" ht="12.75" x14ac:dyDescent="0.2">
      <c r="B746" s="6"/>
      <c r="C746" s="6"/>
      <c r="D746" s="6"/>
      <c r="E746" s="9"/>
      <c r="F746" s="9"/>
      <c r="G746" s="11"/>
      <c r="H746" s="5"/>
      <c r="I746" s="8"/>
      <c r="J746" s="8"/>
    </row>
    <row r="747" spans="2:10" ht="12.75" x14ac:dyDescent="0.2">
      <c r="B747" s="6"/>
      <c r="C747" s="6"/>
      <c r="D747" s="6"/>
      <c r="E747" s="9"/>
      <c r="F747" s="9"/>
      <c r="G747" s="11"/>
      <c r="H747" s="5"/>
      <c r="I747" s="8"/>
      <c r="J747" s="8"/>
    </row>
    <row r="748" spans="2:10" ht="12.75" x14ac:dyDescent="0.2">
      <c r="B748" s="6"/>
      <c r="C748" s="6"/>
      <c r="D748" s="6"/>
      <c r="E748" s="9"/>
      <c r="F748" s="9"/>
      <c r="G748" s="11"/>
      <c r="H748" s="5"/>
      <c r="I748" s="8"/>
      <c r="J748" s="8"/>
    </row>
    <row r="749" spans="2:10" ht="12.75" x14ac:dyDescent="0.2">
      <c r="B749" s="6"/>
      <c r="C749" s="6"/>
      <c r="D749" s="6"/>
      <c r="E749" s="9"/>
      <c r="F749" s="9"/>
      <c r="G749" s="11"/>
      <c r="H749" s="5"/>
      <c r="I749" s="8"/>
      <c r="J749" s="8"/>
    </row>
    <row r="750" spans="2:10" ht="12.75" x14ac:dyDescent="0.2">
      <c r="B750" s="6"/>
      <c r="C750" s="6"/>
      <c r="D750" s="6"/>
      <c r="E750" s="9"/>
      <c r="F750" s="9"/>
      <c r="G750" s="11"/>
      <c r="H750" s="5"/>
      <c r="I750" s="8"/>
      <c r="J750" s="8"/>
    </row>
    <row r="751" spans="2:10" ht="12.75" x14ac:dyDescent="0.2">
      <c r="B751" s="6"/>
      <c r="C751" s="6"/>
      <c r="D751" s="6"/>
      <c r="E751" s="9"/>
      <c r="F751" s="9"/>
      <c r="G751" s="11"/>
      <c r="H751" s="5"/>
      <c r="I751" s="8"/>
      <c r="J751" s="8"/>
    </row>
    <row r="752" spans="2:10" ht="12.75" x14ac:dyDescent="0.2">
      <c r="B752" s="6"/>
      <c r="C752" s="6"/>
      <c r="D752" s="6"/>
      <c r="E752" s="9"/>
      <c r="F752" s="9"/>
      <c r="G752" s="11"/>
      <c r="H752" s="5"/>
      <c r="I752" s="8"/>
      <c r="J752" s="8"/>
    </row>
    <row r="753" spans="2:10" ht="12.75" x14ac:dyDescent="0.2">
      <c r="B753" s="6"/>
      <c r="C753" s="6"/>
      <c r="D753" s="6"/>
      <c r="E753" s="9"/>
      <c r="F753" s="9"/>
      <c r="G753" s="11"/>
      <c r="H753" s="5"/>
      <c r="I753" s="8"/>
      <c r="J753" s="8"/>
    </row>
    <row r="754" spans="2:10" ht="12.75" x14ac:dyDescent="0.2">
      <c r="B754" s="6"/>
      <c r="C754" s="6"/>
      <c r="D754" s="6"/>
      <c r="E754" s="9"/>
      <c r="F754" s="9"/>
      <c r="G754" s="11"/>
      <c r="H754" s="5"/>
      <c r="I754" s="8"/>
      <c r="J754" s="8"/>
    </row>
    <row r="755" spans="2:10" ht="12.75" x14ac:dyDescent="0.2">
      <c r="B755" s="6"/>
      <c r="C755" s="6"/>
      <c r="D755" s="6"/>
      <c r="E755" s="9"/>
      <c r="F755" s="9"/>
      <c r="G755" s="11"/>
      <c r="H755" s="5"/>
      <c r="I755" s="8"/>
      <c r="J755" s="8"/>
    </row>
    <row r="756" spans="2:10" ht="12.75" x14ac:dyDescent="0.2">
      <c r="B756" s="6"/>
      <c r="C756" s="6"/>
      <c r="D756" s="6"/>
      <c r="E756" s="9"/>
      <c r="F756" s="9"/>
      <c r="G756" s="11"/>
      <c r="H756" s="5"/>
      <c r="I756" s="8"/>
      <c r="J756" s="8"/>
    </row>
    <row r="757" spans="2:10" ht="12.75" x14ac:dyDescent="0.2">
      <c r="B757" s="6"/>
      <c r="C757" s="6"/>
      <c r="D757" s="6"/>
      <c r="E757" s="9"/>
      <c r="F757" s="9"/>
      <c r="G757" s="11"/>
      <c r="H757" s="5"/>
      <c r="I757" s="8"/>
      <c r="J757" s="8"/>
    </row>
    <row r="758" spans="2:10" ht="12.75" x14ac:dyDescent="0.2">
      <c r="B758" s="6"/>
      <c r="C758" s="6"/>
      <c r="D758" s="6"/>
      <c r="E758" s="9"/>
      <c r="F758" s="9"/>
      <c r="G758" s="11"/>
      <c r="H758" s="5"/>
      <c r="I758" s="8"/>
      <c r="J758" s="8"/>
    </row>
    <row r="759" spans="2:10" ht="12.75" x14ac:dyDescent="0.2">
      <c r="B759" s="6"/>
      <c r="C759" s="6"/>
      <c r="D759" s="6"/>
      <c r="E759" s="9"/>
      <c r="F759" s="9"/>
      <c r="G759" s="11"/>
      <c r="H759" s="5"/>
      <c r="I759" s="8"/>
      <c r="J759" s="8"/>
    </row>
    <row r="760" spans="2:10" ht="12.75" x14ac:dyDescent="0.2">
      <c r="B760" s="6"/>
      <c r="C760" s="6"/>
      <c r="D760" s="6"/>
      <c r="E760" s="9"/>
      <c r="F760" s="9"/>
      <c r="G760" s="11"/>
      <c r="H760" s="5"/>
      <c r="I760" s="8"/>
      <c r="J760" s="8"/>
    </row>
    <row r="761" spans="2:10" ht="12.75" x14ac:dyDescent="0.2">
      <c r="B761" s="6"/>
      <c r="C761" s="6"/>
      <c r="D761" s="6"/>
      <c r="E761" s="9"/>
      <c r="F761" s="9"/>
      <c r="G761" s="11"/>
      <c r="H761" s="5"/>
      <c r="I761" s="8"/>
      <c r="J761" s="8"/>
    </row>
    <row r="762" spans="2:10" ht="12.75" x14ac:dyDescent="0.2">
      <c r="B762" s="6"/>
      <c r="C762" s="6"/>
      <c r="D762" s="6"/>
      <c r="E762" s="9"/>
      <c r="F762" s="9"/>
      <c r="G762" s="11"/>
      <c r="H762" s="5"/>
      <c r="I762" s="8"/>
      <c r="J762" s="8"/>
    </row>
    <row r="763" spans="2:10" ht="12.75" x14ac:dyDescent="0.2">
      <c r="B763" s="6"/>
      <c r="C763" s="6"/>
      <c r="D763" s="6"/>
      <c r="E763" s="9"/>
      <c r="F763" s="9"/>
      <c r="G763" s="11"/>
      <c r="H763" s="5"/>
      <c r="I763" s="8"/>
      <c r="J763" s="8"/>
    </row>
    <row r="764" spans="2:10" ht="12.75" x14ac:dyDescent="0.2">
      <c r="B764" s="6"/>
      <c r="C764" s="6"/>
      <c r="D764" s="6"/>
      <c r="E764" s="9"/>
      <c r="F764" s="9"/>
      <c r="G764" s="11"/>
      <c r="H764" s="5"/>
      <c r="I764" s="8"/>
      <c r="J764" s="8"/>
    </row>
    <row r="765" spans="2:10" ht="12.75" x14ac:dyDescent="0.2">
      <c r="B765" s="6"/>
      <c r="C765" s="6"/>
      <c r="D765" s="6"/>
      <c r="E765" s="9"/>
      <c r="F765" s="9"/>
      <c r="G765" s="11"/>
      <c r="H765" s="5"/>
      <c r="I765" s="8"/>
      <c r="J765" s="8"/>
    </row>
    <row r="766" spans="2:10" ht="12.75" x14ac:dyDescent="0.2">
      <c r="B766" s="6"/>
      <c r="C766" s="6"/>
      <c r="D766" s="6"/>
      <c r="E766" s="9"/>
      <c r="F766" s="9"/>
      <c r="G766" s="11"/>
      <c r="H766" s="5"/>
      <c r="I766" s="8"/>
      <c r="J766" s="8"/>
    </row>
    <row r="767" spans="2:10" ht="12.75" x14ac:dyDescent="0.2">
      <c r="B767" s="6"/>
      <c r="C767" s="6"/>
      <c r="D767" s="6"/>
      <c r="E767" s="9"/>
      <c r="F767" s="9"/>
      <c r="G767" s="11"/>
      <c r="H767" s="5"/>
      <c r="I767" s="8"/>
      <c r="J767" s="8"/>
    </row>
    <row r="768" spans="2:10" ht="12.75" x14ac:dyDescent="0.2">
      <c r="B768" s="6"/>
      <c r="C768" s="6"/>
      <c r="D768" s="6"/>
      <c r="E768" s="9"/>
      <c r="F768" s="9"/>
      <c r="G768" s="11"/>
      <c r="H768" s="5"/>
      <c r="I768" s="8"/>
      <c r="J768" s="8"/>
    </row>
    <row r="769" spans="2:10" ht="12.75" x14ac:dyDescent="0.2">
      <c r="B769" s="6"/>
      <c r="C769" s="6"/>
      <c r="D769" s="6"/>
      <c r="E769" s="9"/>
      <c r="F769" s="9"/>
      <c r="G769" s="11"/>
      <c r="H769" s="5"/>
      <c r="I769" s="8"/>
      <c r="J769" s="8"/>
    </row>
    <row r="770" spans="2:10" ht="12.75" x14ac:dyDescent="0.2">
      <c r="B770" s="6"/>
      <c r="C770" s="6"/>
      <c r="D770" s="6"/>
      <c r="E770" s="9"/>
      <c r="F770" s="9"/>
      <c r="G770" s="11"/>
      <c r="H770" s="5"/>
      <c r="I770" s="8"/>
      <c r="J770" s="8"/>
    </row>
    <row r="771" spans="2:10" ht="12.75" x14ac:dyDescent="0.2">
      <c r="B771" s="6"/>
      <c r="C771" s="6"/>
      <c r="D771" s="6"/>
      <c r="E771" s="9"/>
      <c r="F771" s="9"/>
      <c r="G771" s="11"/>
      <c r="H771" s="5"/>
      <c r="I771" s="8"/>
      <c r="J771" s="8"/>
    </row>
    <row r="772" spans="2:10" ht="12.75" x14ac:dyDescent="0.2">
      <c r="B772" s="6"/>
      <c r="C772" s="6"/>
      <c r="D772" s="6"/>
      <c r="E772" s="9"/>
      <c r="F772" s="9"/>
      <c r="G772" s="11"/>
      <c r="H772" s="5"/>
      <c r="I772" s="8"/>
      <c r="J772" s="8"/>
    </row>
    <row r="773" spans="2:10" ht="12.75" x14ac:dyDescent="0.2">
      <c r="B773" s="6"/>
      <c r="C773" s="6"/>
      <c r="D773" s="6"/>
      <c r="E773" s="9"/>
      <c r="F773" s="9"/>
      <c r="G773" s="11"/>
      <c r="H773" s="5"/>
      <c r="I773" s="8"/>
      <c r="J773" s="8"/>
    </row>
    <row r="774" spans="2:10" ht="12.75" x14ac:dyDescent="0.2">
      <c r="B774" s="6"/>
      <c r="C774" s="6"/>
      <c r="D774" s="6"/>
      <c r="E774" s="9"/>
      <c r="F774" s="9"/>
      <c r="G774" s="11"/>
      <c r="H774" s="5"/>
      <c r="I774" s="8"/>
      <c r="J774" s="8"/>
    </row>
    <row r="775" spans="2:10" ht="12.75" x14ac:dyDescent="0.2">
      <c r="B775" s="6"/>
      <c r="C775" s="6"/>
      <c r="D775" s="6"/>
      <c r="E775" s="9"/>
      <c r="F775" s="9"/>
      <c r="G775" s="11"/>
      <c r="H775" s="5"/>
      <c r="I775" s="8"/>
      <c r="J775" s="8"/>
    </row>
    <row r="776" spans="2:10" ht="12.75" x14ac:dyDescent="0.2">
      <c r="B776" s="6"/>
      <c r="C776" s="6"/>
      <c r="D776" s="6"/>
      <c r="E776" s="9"/>
      <c r="F776" s="9"/>
      <c r="G776" s="11"/>
      <c r="H776" s="5"/>
      <c r="I776" s="8"/>
      <c r="J776" s="8"/>
    </row>
    <row r="777" spans="2:10" ht="12.75" x14ac:dyDescent="0.2">
      <c r="B777" s="6"/>
      <c r="C777" s="6"/>
      <c r="D777" s="6"/>
      <c r="E777" s="9"/>
      <c r="F777" s="9"/>
      <c r="G777" s="11"/>
      <c r="H777" s="5"/>
      <c r="I777" s="8"/>
      <c r="J777" s="8"/>
    </row>
    <row r="778" spans="2:10" ht="12.75" x14ac:dyDescent="0.2">
      <c r="B778" s="6"/>
      <c r="C778" s="6"/>
      <c r="D778" s="6"/>
      <c r="E778" s="9"/>
      <c r="F778" s="9"/>
      <c r="G778" s="11"/>
      <c r="H778" s="5"/>
      <c r="I778" s="8"/>
      <c r="J778" s="8"/>
    </row>
    <row r="779" spans="2:10" ht="12.75" x14ac:dyDescent="0.2">
      <c r="B779" s="6"/>
      <c r="C779" s="6"/>
      <c r="D779" s="6"/>
      <c r="E779" s="9"/>
      <c r="F779" s="9"/>
      <c r="G779" s="11"/>
      <c r="H779" s="5"/>
      <c r="I779" s="8"/>
      <c r="J779" s="8"/>
    </row>
    <row r="780" spans="2:10" ht="12.75" x14ac:dyDescent="0.2">
      <c r="B780" s="6"/>
      <c r="C780" s="6"/>
      <c r="D780" s="6"/>
      <c r="E780" s="9"/>
      <c r="F780" s="9"/>
      <c r="G780" s="11"/>
      <c r="H780" s="5"/>
      <c r="I780" s="8"/>
      <c r="J780" s="8"/>
    </row>
    <row r="781" spans="2:10" ht="12.75" x14ac:dyDescent="0.2">
      <c r="B781" s="6"/>
      <c r="C781" s="6"/>
      <c r="D781" s="6"/>
      <c r="E781" s="9"/>
      <c r="F781" s="9"/>
      <c r="G781" s="11"/>
      <c r="H781" s="5"/>
      <c r="I781" s="8"/>
      <c r="J781" s="8"/>
    </row>
    <row r="782" spans="2:10" ht="12.75" x14ac:dyDescent="0.2">
      <c r="B782" s="6"/>
      <c r="C782" s="6"/>
      <c r="D782" s="6"/>
      <c r="E782" s="9"/>
      <c r="F782" s="9"/>
      <c r="G782" s="11"/>
      <c r="H782" s="5"/>
      <c r="I782" s="8"/>
      <c r="J782" s="8"/>
    </row>
    <row r="783" spans="2:10" ht="12.75" x14ac:dyDescent="0.2">
      <c r="B783" s="6"/>
      <c r="C783" s="6"/>
      <c r="D783" s="6"/>
      <c r="E783" s="9"/>
      <c r="F783" s="9"/>
      <c r="G783" s="11"/>
      <c r="H783" s="5"/>
      <c r="I783" s="8"/>
      <c r="J783" s="8"/>
    </row>
    <row r="784" spans="2:10" ht="12.75" x14ac:dyDescent="0.2">
      <c r="B784" s="6"/>
      <c r="C784" s="6"/>
      <c r="D784" s="6"/>
      <c r="E784" s="9"/>
      <c r="F784" s="9"/>
      <c r="G784" s="11"/>
      <c r="H784" s="5"/>
      <c r="I784" s="8"/>
      <c r="J784" s="8"/>
    </row>
    <row r="785" spans="2:10" ht="12.75" x14ac:dyDescent="0.2">
      <c r="B785" s="6"/>
      <c r="C785" s="6"/>
      <c r="D785" s="6"/>
      <c r="E785" s="9"/>
      <c r="F785" s="9"/>
      <c r="G785" s="11"/>
      <c r="H785" s="5"/>
      <c r="I785" s="8"/>
      <c r="J785" s="8"/>
    </row>
    <row r="786" spans="2:10" ht="12.75" x14ac:dyDescent="0.2">
      <c r="B786" s="6"/>
      <c r="C786" s="6"/>
      <c r="D786" s="6"/>
      <c r="E786" s="9"/>
      <c r="F786" s="9"/>
      <c r="G786" s="11"/>
      <c r="H786" s="5"/>
      <c r="I786" s="8"/>
      <c r="J786" s="8"/>
    </row>
    <row r="787" spans="2:10" ht="12.75" x14ac:dyDescent="0.2">
      <c r="B787" s="6"/>
      <c r="C787" s="6"/>
      <c r="D787" s="6"/>
      <c r="E787" s="9"/>
      <c r="F787" s="9"/>
      <c r="G787" s="11"/>
      <c r="H787" s="5"/>
      <c r="I787" s="8"/>
      <c r="J787" s="8"/>
    </row>
    <row r="788" spans="2:10" ht="12.75" x14ac:dyDescent="0.2">
      <c r="B788" s="6"/>
      <c r="C788" s="6"/>
      <c r="D788" s="6"/>
      <c r="E788" s="9"/>
      <c r="F788" s="9"/>
      <c r="G788" s="11"/>
      <c r="H788" s="5"/>
      <c r="I788" s="8"/>
      <c r="J788" s="8"/>
    </row>
    <row r="789" spans="2:10" ht="12.75" x14ac:dyDescent="0.2">
      <c r="B789" s="6"/>
      <c r="C789" s="6"/>
      <c r="D789" s="6"/>
      <c r="E789" s="9"/>
      <c r="F789" s="9"/>
      <c r="G789" s="11"/>
      <c r="H789" s="5"/>
      <c r="I789" s="8"/>
      <c r="J789" s="8"/>
    </row>
    <row r="790" spans="2:10" ht="12.75" x14ac:dyDescent="0.2">
      <c r="B790" s="6"/>
      <c r="C790" s="6"/>
      <c r="D790" s="6"/>
      <c r="E790" s="9"/>
      <c r="F790" s="9"/>
      <c r="G790" s="11"/>
      <c r="H790" s="5"/>
      <c r="I790" s="8"/>
      <c r="J790" s="8"/>
    </row>
    <row r="791" spans="2:10" ht="12.75" x14ac:dyDescent="0.2">
      <c r="B791" s="6"/>
      <c r="C791" s="6"/>
      <c r="D791" s="6"/>
      <c r="E791" s="9"/>
      <c r="F791" s="9"/>
      <c r="G791" s="11"/>
      <c r="H791" s="5"/>
      <c r="I791" s="8"/>
      <c r="J791" s="8"/>
    </row>
    <row r="792" spans="2:10" ht="12.75" x14ac:dyDescent="0.2">
      <c r="B792" s="6"/>
      <c r="C792" s="6"/>
      <c r="D792" s="6"/>
      <c r="E792" s="9"/>
      <c r="F792" s="9"/>
      <c r="G792" s="11"/>
      <c r="H792" s="5"/>
      <c r="I792" s="8"/>
      <c r="J792" s="8"/>
    </row>
    <row r="793" spans="2:10" ht="12.75" x14ac:dyDescent="0.2">
      <c r="B793" s="6"/>
      <c r="C793" s="6"/>
      <c r="D793" s="6"/>
      <c r="E793" s="9"/>
      <c r="F793" s="9"/>
      <c r="G793" s="11"/>
      <c r="H793" s="5"/>
      <c r="I793" s="8"/>
      <c r="J793" s="8"/>
    </row>
    <row r="794" spans="2:10" ht="12.75" x14ac:dyDescent="0.2">
      <c r="B794" s="6"/>
      <c r="C794" s="6"/>
      <c r="D794" s="6"/>
      <c r="E794" s="9"/>
      <c r="F794" s="9"/>
      <c r="G794" s="11"/>
      <c r="H794" s="5"/>
      <c r="I794" s="8"/>
      <c r="J794" s="8"/>
    </row>
    <row r="795" spans="2:10" ht="12.75" x14ac:dyDescent="0.2">
      <c r="B795" s="6"/>
      <c r="C795" s="6"/>
      <c r="D795" s="6"/>
      <c r="E795" s="9"/>
      <c r="F795" s="9"/>
      <c r="G795" s="11"/>
      <c r="H795" s="5"/>
      <c r="I795" s="8"/>
      <c r="J795" s="8"/>
    </row>
    <row r="796" spans="2:10" ht="12.75" x14ac:dyDescent="0.2">
      <c r="B796" s="6"/>
      <c r="C796" s="6"/>
      <c r="D796" s="6"/>
      <c r="E796" s="9"/>
      <c r="F796" s="9"/>
      <c r="G796" s="11"/>
      <c r="H796" s="5"/>
      <c r="I796" s="8"/>
      <c r="J796" s="8"/>
    </row>
    <row r="797" spans="2:10" ht="12.75" x14ac:dyDescent="0.2">
      <c r="B797" s="6"/>
      <c r="C797" s="6"/>
      <c r="D797" s="6"/>
      <c r="E797" s="9"/>
      <c r="F797" s="9"/>
      <c r="G797" s="11"/>
      <c r="H797" s="5"/>
      <c r="I797" s="8"/>
      <c r="J797" s="8"/>
    </row>
    <row r="798" spans="2:10" ht="12.75" x14ac:dyDescent="0.2">
      <c r="B798" s="6"/>
      <c r="C798" s="6"/>
      <c r="D798" s="6"/>
      <c r="E798" s="9"/>
      <c r="F798" s="9"/>
      <c r="G798" s="11"/>
      <c r="H798" s="5"/>
      <c r="I798" s="8"/>
      <c r="J798" s="8"/>
    </row>
    <row r="799" spans="2:10" ht="12.75" x14ac:dyDescent="0.2">
      <c r="B799" s="6"/>
      <c r="C799" s="6"/>
      <c r="D799" s="6"/>
      <c r="E799" s="9"/>
      <c r="F799" s="9"/>
      <c r="G799" s="11"/>
      <c r="H799" s="5"/>
      <c r="I799" s="8"/>
      <c r="J799" s="8"/>
    </row>
    <row r="800" spans="2:10" ht="12.75" x14ac:dyDescent="0.2">
      <c r="B800" s="6"/>
      <c r="C800" s="6"/>
      <c r="D800" s="6"/>
      <c r="E800" s="9"/>
      <c r="F800" s="9"/>
      <c r="G800" s="11"/>
      <c r="H800" s="5"/>
      <c r="I800" s="8"/>
      <c r="J800" s="8"/>
    </row>
    <row r="801" spans="2:10" ht="12.75" x14ac:dyDescent="0.2">
      <c r="B801" s="6"/>
      <c r="C801" s="6"/>
      <c r="D801" s="6"/>
      <c r="E801" s="9"/>
      <c r="F801" s="9"/>
      <c r="G801" s="11"/>
      <c r="H801" s="5"/>
      <c r="I801" s="8"/>
      <c r="J801" s="8"/>
    </row>
    <row r="802" spans="2:10" ht="12.75" x14ac:dyDescent="0.2">
      <c r="B802" s="6"/>
      <c r="C802" s="6"/>
      <c r="D802" s="6"/>
      <c r="E802" s="9"/>
      <c r="F802" s="9"/>
      <c r="G802" s="11"/>
      <c r="H802" s="5"/>
      <c r="I802" s="8"/>
      <c r="J802" s="8"/>
    </row>
    <row r="803" spans="2:10" ht="12.75" x14ac:dyDescent="0.2">
      <c r="B803" s="6"/>
      <c r="C803" s="6"/>
      <c r="D803" s="6"/>
      <c r="E803" s="9"/>
      <c r="F803" s="9"/>
      <c r="G803" s="11"/>
      <c r="H803" s="5"/>
      <c r="I803" s="8"/>
      <c r="J803" s="8"/>
    </row>
    <row r="804" spans="2:10" ht="12.75" x14ac:dyDescent="0.2">
      <c r="B804" s="6"/>
      <c r="C804" s="6"/>
      <c r="D804" s="6"/>
      <c r="E804" s="9"/>
      <c r="F804" s="9"/>
      <c r="G804" s="11"/>
      <c r="H804" s="5"/>
      <c r="I804" s="8"/>
      <c r="J804" s="8"/>
    </row>
    <row r="805" spans="2:10" ht="12.75" x14ac:dyDescent="0.2">
      <c r="B805" s="6"/>
      <c r="C805" s="6"/>
      <c r="D805" s="6"/>
      <c r="E805" s="9"/>
      <c r="F805" s="9"/>
      <c r="G805" s="11"/>
      <c r="H805" s="5"/>
      <c r="I805" s="8"/>
      <c r="J805" s="8"/>
    </row>
    <row r="806" spans="2:10" ht="12.75" x14ac:dyDescent="0.2">
      <c r="B806" s="6"/>
      <c r="C806" s="6"/>
      <c r="D806" s="6"/>
      <c r="E806" s="9"/>
      <c r="F806" s="9"/>
      <c r="G806" s="11"/>
      <c r="H806" s="5"/>
      <c r="I806" s="8"/>
      <c r="J806" s="8"/>
    </row>
    <row r="807" spans="2:10" ht="12.75" x14ac:dyDescent="0.2">
      <c r="B807" s="6"/>
      <c r="C807" s="6"/>
      <c r="D807" s="6"/>
      <c r="E807" s="9"/>
      <c r="F807" s="9"/>
      <c r="G807" s="11"/>
      <c r="H807" s="5"/>
      <c r="I807" s="8"/>
      <c r="J807" s="8"/>
    </row>
    <row r="808" spans="2:10" ht="12.75" x14ac:dyDescent="0.2">
      <c r="B808" s="6"/>
      <c r="C808" s="6"/>
      <c r="D808" s="6"/>
      <c r="E808" s="9"/>
      <c r="F808" s="9"/>
      <c r="G808" s="11"/>
      <c r="H808" s="5"/>
      <c r="I808" s="8"/>
      <c r="J808" s="8"/>
    </row>
    <row r="809" spans="2:10" ht="12.75" x14ac:dyDescent="0.2">
      <c r="B809" s="6"/>
      <c r="C809" s="6"/>
      <c r="D809" s="6"/>
      <c r="E809" s="9"/>
      <c r="F809" s="9"/>
      <c r="G809" s="11"/>
      <c r="H809" s="5"/>
      <c r="I809" s="8"/>
      <c r="J809" s="8"/>
    </row>
    <row r="810" spans="2:10" ht="12.75" x14ac:dyDescent="0.2">
      <c r="B810" s="6"/>
      <c r="C810" s="6"/>
      <c r="D810" s="6"/>
      <c r="E810" s="9"/>
      <c r="F810" s="9"/>
      <c r="G810" s="11"/>
      <c r="H810" s="5"/>
      <c r="I810" s="8"/>
      <c r="J810" s="8"/>
    </row>
    <row r="811" spans="2:10" ht="12.75" x14ac:dyDescent="0.2">
      <c r="B811" s="6"/>
      <c r="C811" s="6"/>
      <c r="D811" s="6"/>
      <c r="E811" s="9"/>
      <c r="F811" s="9"/>
      <c r="G811" s="11"/>
      <c r="H811" s="5"/>
      <c r="I811" s="8"/>
      <c r="J811" s="8"/>
    </row>
    <row r="812" spans="2:10" ht="12.75" x14ac:dyDescent="0.2">
      <c r="B812" s="6"/>
      <c r="C812" s="6"/>
      <c r="D812" s="6"/>
      <c r="E812" s="9"/>
      <c r="F812" s="9"/>
      <c r="G812" s="11"/>
      <c r="H812" s="5"/>
      <c r="I812" s="8"/>
      <c r="J812" s="8"/>
    </row>
    <row r="813" spans="2:10" ht="12.75" x14ac:dyDescent="0.2">
      <c r="B813" s="6"/>
      <c r="C813" s="6"/>
      <c r="D813" s="6"/>
      <c r="E813" s="9"/>
      <c r="F813" s="9"/>
      <c r="G813" s="11"/>
      <c r="H813" s="5"/>
      <c r="I813" s="8"/>
      <c r="J813" s="8"/>
    </row>
    <row r="814" spans="2:10" ht="12.75" x14ac:dyDescent="0.2">
      <c r="B814" s="6"/>
      <c r="C814" s="6"/>
      <c r="D814" s="6"/>
      <c r="E814" s="9"/>
      <c r="F814" s="9"/>
      <c r="G814" s="11"/>
      <c r="H814" s="5"/>
      <c r="I814" s="8"/>
      <c r="J814" s="8"/>
    </row>
    <row r="815" spans="2:10" ht="12.75" x14ac:dyDescent="0.2">
      <c r="B815" s="6"/>
      <c r="C815" s="6"/>
      <c r="D815" s="6"/>
      <c r="E815" s="9"/>
      <c r="F815" s="9"/>
      <c r="G815" s="11"/>
      <c r="H815" s="5"/>
      <c r="I815" s="8"/>
      <c r="J815" s="8"/>
    </row>
    <row r="816" spans="2:10" ht="12.75" x14ac:dyDescent="0.2">
      <c r="B816" s="6"/>
      <c r="C816" s="6"/>
      <c r="D816" s="6"/>
      <c r="E816" s="9"/>
      <c r="F816" s="9"/>
      <c r="G816" s="11"/>
      <c r="H816" s="5"/>
      <c r="I816" s="8"/>
      <c r="J816" s="8"/>
    </row>
    <row r="817" spans="2:10" ht="12.75" x14ac:dyDescent="0.2">
      <c r="B817" s="6"/>
      <c r="C817" s="6"/>
      <c r="D817" s="6"/>
      <c r="E817" s="9"/>
      <c r="F817" s="9"/>
      <c r="G817" s="11"/>
      <c r="H817" s="5"/>
      <c r="I817" s="8"/>
      <c r="J817" s="8"/>
    </row>
    <row r="818" spans="2:10" ht="12.75" x14ac:dyDescent="0.2">
      <c r="B818" s="6"/>
      <c r="C818" s="6"/>
      <c r="D818" s="6"/>
      <c r="E818" s="9"/>
      <c r="F818" s="9"/>
      <c r="G818" s="11"/>
      <c r="H818" s="5"/>
      <c r="I818" s="8"/>
      <c r="J818" s="8"/>
    </row>
    <row r="819" spans="2:10" ht="12.75" x14ac:dyDescent="0.2">
      <c r="B819" s="6"/>
      <c r="C819" s="6"/>
      <c r="D819" s="6"/>
      <c r="E819" s="9"/>
      <c r="F819" s="9"/>
      <c r="G819" s="11"/>
      <c r="H819" s="5"/>
      <c r="I819" s="8"/>
      <c r="J819" s="8"/>
    </row>
    <row r="820" spans="2:10" ht="12.75" x14ac:dyDescent="0.2">
      <c r="B820" s="6"/>
      <c r="C820" s="6"/>
      <c r="D820" s="6"/>
      <c r="E820" s="9"/>
      <c r="F820" s="9"/>
      <c r="G820" s="11"/>
      <c r="H820" s="5"/>
      <c r="I820" s="8"/>
      <c r="J820" s="8"/>
    </row>
    <row r="821" spans="2:10" ht="12.75" x14ac:dyDescent="0.2">
      <c r="B821" s="6"/>
      <c r="C821" s="6"/>
      <c r="D821" s="6"/>
      <c r="E821" s="9"/>
      <c r="F821" s="9"/>
      <c r="G821" s="11"/>
      <c r="H821" s="5"/>
      <c r="I821" s="8"/>
      <c r="J821" s="8"/>
    </row>
    <row r="822" spans="2:10" ht="12.75" x14ac:dyDescent="0.2">
      <c r="B822" s="6"/>
      <c r="C822" s="6"/>
      <c r="D822" s="6"/>
      <c r="E822" s="9"/>
      <c r="F822" s="9"/>
      <c r="G822" s="11"/>
      <c r="H822" s="5"/>
      <c r="I822" s="8"/>
      <c r="J822" s="8"/>
    </row>
    <row r="823" spans="2:10" ht="12.75" x14ac:dyDescent="0.2">
      <c r="B823" s="6"/>
      <c r="C823" s="6"/>
      <c r="D823" s="6"/>
      <c r="E823" s="9"/>
      <c r="F823" s="9"/>
      <c r="G823" s="11"/>
      <c r="H823" s="5"/>
      <c r="I823" s="8"/>
      <c r="J823" s="8"/>
    </row>
    <row r="824" spans="2:10" ht="12.75" x14ac:dyDescent="0.2">
      <c r="B824" s="6"/>
      <c r="C824" s="6"/>
      <c r="D824" s="6"/>
      <c r="E824" s="9"/>
      <c r="F824" s="9"/>
      <c r="G824" s="11"/>
      <c r="H824" s="5"/>
      <c r="I824" s="8"/>
      <c r="J824" s="8"/>
    </row>
    <row r="825" spans="2:10" ht="12.75" x14ac:dyDescent="0.2">
      <c r="B825" s="6"/>
      <c r="C825" s="6"/>
      <c r="D825" s="6"/>
      <c r="E825" s="9"/>
      <c r="F825" s="9"/>
      <c r="G825" s="11"/>
      <c r="H825" s="5"/>
      <c r="I825" s="8"/>
      <c r="J825" s="8"/>
    </row>
    <row r="826" spans="2:10" ht="12.75" x14ac:dyDescent="0.2">
      <c r="B826" s="6"/>
      <c r="C826" s="6"/>
      <c r="D826" s="6"/>
      <c r="E826" s="9"/>
      <c r="F826" s="9"/>
      <c r="G826" s="11"/>
      <c r="H826" s="5"/>
      <c r="I826" s="8"/>
      <c r="J826" s="8"/>
    </row>
    <row r="827" spans="2:10" ht="12.75" x14ac:dyDescent="0.2">
      <c r="B827" s="6"/>
      <c r="C827" s="6"/>
      <c r="D827" s="6"/>
      <c r="E827" s="9"/>
      <c r="F827" s="9"/>
      <c r="G827" s="11"/>
      <c r="H827" s="5"/>
      <c r="I827" s="8"/>
      <c r="J827" s="8"/>
    </row>
    <row r="828" spans="2:10" ht="12.75" x14ac:dyDescent="0.2">
      <c r="B828" s="6"/>
      <c r="C828" s="6"/>
      <c r="D828" s="6"/>
      <c r="E828" s="9"/>
      <c r="F828" s="9"/>
      <c r="G828" s="11"/>
      <c r="H828" s="5"/>
      <c r="I828" s="8"/>
      <c r="J828" s="8"/>
    </row>
    <row r="829" spans="2:10" ht="12.75" x14ac:dyDescent="0.2">
      <c r="B829" s="6"/>
      <c r="C829" s="6"/>
      <c r="D829" s="6"/>
      <c r="E829" s="9"/>
      <c r="F829" s="9"/>
      <c r="G829" s="11"/>
      <c r="H829" s="5"/>
      <c r="I829" s="8"/>
      <c r="J829" s="8"/>
    </row>
    <row r="830" spans="2:10" ht="12.75" x14ac:dyDescent="0.2">
      <c r="B830" s="6"/>
      <c r="C830" s="6"/>
      <c r="D830" s="6"/>
      <c r="E830" s="9"/>
      <c r="F830" s="9"/>
      <c r="G830" s="11"/>
      <c r="H830" s="5"/>
      <c r="I830" s="8"/>
      <c r="J830" s="8"/>
    </row>
    <row r="831" spans="2:10" ht="12.75" x14ac:dyDescent="0.2">
      <c r="B831" s="6"/>
      <c r="C831" s="6"/>
      <c r="D831" s="6"/>
      <c r="E831" s="9"/>
      <c r="F831" s="9"/>
      <c r="G831" s="11"/>
      <c r="H831" s="5"/>
      <c r="I831" s="8"/>
      <c r="J831" s="8"/>
    </row>
    <row r="832" spans="2:10" ht="12.75" x14ac:dyDescent="0.2">
      <c r="B832" s="6"/>
      <c r="C832" s="6"/>
      <c r="D832" s="6"/>
      <c r="E832" s="9"/>
      <c r="F832" s="9"/>
      <c r="G832" s="11"/>
      <c r="H832" s="5"/>
      <c r="I832" s="8"/>
      <c r="J832" s="8"/>
    </row>
    <row r="833" spans="2:10" ht="12.75" x14ac:dyDescent="0.2">
      <c r="B833" s="6"/>
      <c r="C833" s="6"/>
      <c r="D833" s="6"/>
      <c r="E833" s="9"/>
      <c r="F833" s="9"/>
      <c r="G833" s="11"/>
      <c r="H833" s="5"/>
      <c r="I833" s="8"/>
      <c r="J833" s="8"/>
    </row>
    <row r="834" spans="2:10" ht="12.75" x14ac:dyDescent="0.2">
      <c r="B834" s="6"/>
      <c r="C834" s="6"/>
      <c r="D834" s="6"/>
      <c r="E834" s="9"/>
      <c r="F834" s="9"/>
      <c r="G834" s="11"/>
      <c r="H834" s="5"/>
      <c r="I834" s="8"/>
      <c r="J834" s="8"/>
    </row>
    <row r="835" spans="2:10" ht="12.75" x14ac:dyDescent="0.2">
      <c r="B835" s="6"/>
      <c r="C835" s="6"/>
      <c r="D835" s="6"/>
      <c r="E835" s="9"/>
      <c r="F835" s="9"/>
      <c r="G835" s="11"/>
      <c r="H835" s="5"/>
      <c r="I835" s="8"/>
      <c r="J835" s="8"/>
    </row>
    <row r="836" spans="2:10" ht="12.75" x14ac:dyDescent="0.2">
      <c r="B836" s="6"/>
      <c r="C836" s="6"/>
      <c r="D836" s="6"/>
      <c r="E836" s="9"/>
      <c r="F836" s="9"/>
      <c r="G836" s="11"/>
      <c r="H836" s="5"/>
      <c r="I836" s="8"/>
      <c r="J836" s="8"/>
    </row>
    <row r="837" spans="2:10" ht="12.75" x14ac:dyDescent="0.2">
      <c r="B837" s="6"/>
      <c r="C837" s="6"/>
      <c r="D837" s="6"/>
      <c r="E837" s="9"/>
      <c r="F837" s="9"/>
      <c r="G837" s="11"/>
      <c r="H837" s="5"/>
      <c r="I837" s="8"/>
      <c r="J837" s="8"/>
    </row>
    <row r="838" spans="2:10" ht="12.75" x14ac:dyDescent="0.2">
      <c r="B838" s="6"/>
      <c r="C838" s="6"/>
      <c r="D838" s="6"/>
      <c r="E838" s="9"/>
      <c r="F838" s="9"/>
      <c r="G838" s="11"/>
      <c r="H838" s="5"/>
      <c r="I838" s="8"/>
      <c r="J838" s="8"/>
    </row>
    <row r="839" spans="2:10" ht="12.75" x14ac:dyDescent="0.2">
      <c r="B839" s="6"/>
      <c r="C839" s="6"/>
      <c r="D839" s="6"/>
      <c r="E839" s="9"/>
      <c r="F839" s="9"/>
      <c r="G839" s="11"/>
      <c r="H839" s="5"/>
      <c r="I839" s="8"/>
      <c r="J839" s="8"/>
    </row>
    <row r="840" spans="2:10" ht="12.75" x14ac:dyDescent="0.2">
      <c r="B840" s="6"/>
      <c r="C840" s="6"/>
      <c r="D840" s="6"/>
      <c r="E840" s="9"/>
      <c r="F840" s="9"/>
      <c r="G840" s="11"/>
      <c r="H840" s="5"/>
      <c r="I840" s="8"/>
      <c r="J840" s="8"/>
    </row>
    <row r="841" spans="2:10" ht="12.75" x14ac:dyDescent="0.2">
      <c r="B841" s="6"/>
      <c r="C841" s="6"/>
      <c r="D841" s="6"/>
      <c r="E841" s="9"/>
      <c r="F841" s="9"/>
      <c r="G841" s="11"/>
      <c r="H841" s="5"/>
      <c r="I841" s="8"/>
      <c r="J841" s="8"/>
    </row>
    <row r="842" spans="2:10" ht="12.75" x14ac:dyDescent="0.2">
      <c r="B842" s="6"/>
      <c r="C842" s="6"/>
      <c r="D842" s="6"/>
      <c r="E842" s="9"/>
      <c r="F842" s="9"/>
      <c r="G842" s="11"/>
      <c r="H842" s="5"/>
      <c r="I842" s="8"/>
      <c r="J842" s="8"/>
    </row>
    <row r="843" spans="2:10" ht="12.75" x14ac:dyDescent="0.2">
      <c r="B843" s="6"/>
      <c r="C843" s="6"/>
      <c r="D843" s="6"/>
      <c r="E843" s="9"/>
      <c r="F843" s="9"/>
      <c r="G843" s="11"/>
      <c r="H843" s="5"/>
      <c r="I843" s="8"/>
      <c r="J843" s="8"/>
    </row>
    <row r="844" spans="2:10" ht="12.75" x14ac:dyDescent="0.2">
      <c r="B844" s="6"/>
      <c r="C844" s="6"/>
      <c r="D844" s="6"/>
      <c r="E844" s="9"/>
      <c r="F844" s="9"/>
      <c r="G844" s="11"/>
      <c r="H844" s="5"/>
      <c r="I844" s="8"/>
      <c r="J844" s="8"/>
    </row>
    <row r="845" spans="2:10" ht="12.75" x14ac:dyDescent="0.2">
      <c r="B845" s="6"/>
      <c r="C845" s="6"/>
      <c r="D845" s="6"/>
      <c r="E845" s="9"/>
      <c r="F845" s="9"/>
      <c r="G845" s="11"/>
      <c r="H845" s="5"/>
      <c r="I845" s="8"/>
      <c r="J845" s="8"/>
    </row>
    <row r="846" spans="2:10" ht="12.75" x14ac:dyDescent="0.2">
      <c r="B846" s="6"/>
      <c r="C846" s="6"/>
      <c r="D846" s="6"/>
      <c r="E846" s="9"/>
      <c r="F846" s="9"/>
      <c r="G846" s="11"/>
      <c r="H846" s="5"/>
      <c r="I846" s="8"/>
      <c r="J846" s="8"/>
    </row>
    <row r="847" spans="2:10" ht="12.75" x14ac:dyDescent="0.2">
      <c r="B847" s="6"/>
      <c r="C847" s="6"/>
      <c r="D847" s="6"/>
      <c r="E847" s="9"/>
      <c r="F847" s="9"/>
      <c r="G847" s="11"/>
      <c r="H847" s="5"/>
      <c r="I847" s="8"/>
      <c r="J847" s="8"/>
    </row>
    <row r="848" spans="2:10" ht="12.75" x14ac:dyDescent="0.2">
      <c r="B848" s="6"/>
      <c r="C848" s="6"/>
      <c r="D848" s="6"/>
      <c r="E848" s="9"/>
      <c r="F848" s="9"/>
      <c r="G848" s="11"/>
      <c r="H848" s="5"/>
      <c r="I848" s="8"/>
      <c r="J848" s="8"/>
    </row>
    <row r="849" spans="2:10" ht="12.75" x14ac:dyDescent="0.2">
      <c r="B849" s="6"/>
      <c r="C849" s="6"/>
      <c r="D849" s="6"/>
      <c r="E849" s="9"/>
      <c r="F849" s="9"/>
      <c r="G849" s="11"/>
      <c r="H849" s="5"/>
      <c r="I849" s="8"/>
      <c r="J849" s="8"/>
    </row>
    <row r="850" spans="2:10" ht="12.75" x14ac:dyDescent="0.2">
      <c r="B850" s="6"/>
      <c r="C850" s="6"/>
      <c r="D850" s="6"/>
      <c r="E850" s="9"/>
      <c r="F850" s="9"/>
      <c r="G850" s="11"/>
      <c r="H850" s="5"/>
      <c r="I850" s="8"/>
      <c r="J850" s="8"/>
    </row>
    <row r="851" spans="2:10" ht="12.75" x14ac:dyDescent="0.2">
      <c r="B851" s="6"/>
      <c r="C851" s="6"/>
      <c r="D851" s="6"/>
      <c r="E851" s="9"/>
      <c r="F851" s="9"/>
      <c r="G851" s="11"/>
      <c r="H851" s="5"/>
      <c r="I851" s="8"/>
      <c r="J851" s="8"/>
    </row>
    <row r="852" spans="2:10" ht="12.75" x14ac:dyDescent="0.2">
      <c r="B852" s="6"/>
      <c r="C852" s="6"/>
      <c r="D852" s="6"/>
      <c r="E852" s="9"/>
      <c r="F852" s="9"/>
      <c r="G852" s="11"/>
      <c r="H852" s="5"/>
      <c r="I852" s="8"/>
      <c r="J852" s="8"/>
    </row>
    <row r="853" spans="2:10" ht="12.75" x14ac:dyDescent="0.2">
      <c r="B853" s="6"/>
      <c r="C853" s="6"/>
      <c r="D853" s="6"/>
      <c r="E853" s="9"/>
      <c r="F853" s="9"/>
      <c r="G853" s="11"/>
      <c r="H853" s="5"/>
      <c r="I853" s="8"/>
      <c r="J853" s="8"/>
    </row>
    <row r="854" spans="2:10" ht="12.75" x14ac:dyDescent="0.2">
      <c r="B854" s="6"/>
      <c r="C854" s="6"/>
      <c r="D854" s="6"/>
      <c r="E854" s="9"/>
      <c r="F854" s="9"/>
      <c r="G854" s="11"/>
      <c r="H854" s="5"/>
      <c r="I854" s="8"/>
      <c r="J854" s="8"/>
    </row>
    <row r="855" spans="2:10" ht="12.75" x14ac:dyDescent="0.2">
      <c r="B855" s="6"/>
      <c r="C855" s="6"/>
      <c r="D855" s="6"/>
      <c r="E855" s="9"/>
      <c r="F855" s="9"/>
      <c r="G855" s="11"/>
      <c r="H855" s="5"/>
      <c r="I855" s="8"/>
      <c r="J855" s="8"/>
    </row>
    <row r="856" spans="2:10" ht="12.75" x14ac:dyDescent="0.2">
      <c r="B856" s="6"/>
      <c r="C856" s="6"/>
      <c r="D856" s="6"/>
      <c r="E856" s="9"/>
      <c r="F856" s="9"/>
      <c r="G856" s="11"/>
      <c r="H856" s="5"/>
      <c r="I856" s="8"/>
      <c r="J856" s="8"/>
    </row>
    <row r="857" spans="2:10" ht="12.75" x14ac:dyDescent="0.2">
      <c r="B857" s="6"/>
      <c r="C857" s="6"/>
      <c r="D857" s="6"/>
      <c r="E857" s="9"/>
      <c r="F857" s="9"/>
      <c r="G857" s="11"/>
      <c r="H857" s="5"/>
      <c r="I857" s="8"/>
      <c r="J857" s="8"/>
    </row>
    <row r="858" spans="2:10" ht="12.75" x14ac:dyDescent="0.2">
      <c r="B858" s="6"/>
      <c r="C858" s="6"/>
      <c r="D858" s="6"/>
      <c r="E858" s="9"/>
      <c r="F858" s="9"/>
      <c r="G858" s="11"/>
      <c r="H858" s="5"/>
      <c r="I858" s="8"/>
      <c r="J858" s="8"/>
    </row>
    <row r="859" spans="2:10" ht="12.75" x14ac:dyDescent="0.2">
      <c r="B859" s="6"/>
      <c r="C859" s="6"/>
      <c r="D859" s="6"/>
      <c r="E859" s="9"/>
      <c r="F859" s="9"/>
      <c r="G859" s="11"/>
      <c r="H859" s="5"/>
      <c r="I859" s="8"/>
      <c r="J859" s="8"/>
    </row>
    <row r="860" spans="2:10" ht="12.75" x14ac:dyDescent="0.2">
      <c r="B860" s="6"/>
      <c r="C860" s="6"/>
      <c r="D860" s="6"/>
      <c r="E860" s="9"/>
      <c r="F860" s="9"/>
      <c r="G860" s="11"/>
      <c r="H860" s="5"/>
      <c r="I860" s="8"/>
      <c r="J860" s="8"/>
    </row>
    <row r="861" spans="2:10" ht="12.75" x14ac:dyDescent="0.2">
      <c r="B861" s="6"/>
      <c r="C861" s="6"/>
      <c r="D861" s="6"/>
      <c r="E861" s="9"/>
      <c r="F861" s="9"/>
      <c r="G861" s="11"/>
      <c r="H861" s="5"/>
      <c r="I861" s="8"/>
      <c r="J861" s="8"/>
    </row>
  </sheetData>
  <dataValidations count="1">
    <dataValidation type="list" allowBlank="1" showErrorMessage="1" sqref="C3:C4" xr:uid="{00000000-0002-0000-0A00-000000000000}">
      <formula1>"5DD,EOM,LBD,TP"</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Y861"/>
  <sheetViews>
    <sheetView workbookViewId="0">
      <pane ySplit="1" topLeftCell="A2" activePane="bottomLeft" state="frozen"/>
      <selection pane="bottomLeft" activeCell="B3" sqref="B3"/>
    </sheetView>
  </sheetViews>
  <sheetFormatPr defaultColWidth="12.42578125" defaultRowHeight="15.75" customHeight="1" x14ac:dyDescent="0.2"/>
  <cols>
    <col min="1" max="1" width="8.42578125" customWidth="1"/>
    <col min="2" max="2" width="6.140625" customWidth="1"/>
    <col min="3" max="3" width="9.28515625" customWidth="1"/>
    <col min="4" max="4" width="7" customWidth="1"/>
    <col min="5" max="5" width="7.42578125" customWidth="1"/>
    <col min="6" max="6" width="8" customWidth="1"/>
    <col min="7" max="7" width="8.28515625" customWidth="1"/>
    <col min="8" max="8" width="7.85546875" customWidth="1"/>
    <col min="9" max="9" width="6.140625" customWidth="1"/>
    <col min="10" max="10" width="7" customWidth="1"/>
    <col min="11" max="11" width="6.42578125" customWidth="1"/>
    <col min="12" max="12" width="5.140625" customWidth="1"/>
    <col min="13" max="13" width="7.85546875" customWidth="1"/>
    <col min="14" max="14" width="13.42578125" customWidth="1"/>
    <col min="15" max="15" width="10.85546875" customWidth="1"/>
    <col min="16" max="16" width="11.42578125" customWidth="1"/>
    <col min="17" max="17" width="6.42578125" customWidth="1"/>
    <col min="18" max="18" width="7.140625" customWidth="1"/>
    <col min="19" max="19" width="9.140625" customWidth="1"/>
    <col min="20" max="20" width="6.42578125" customWidth="1"/>
    <col min="21" max="21" width="11.140625" customWidth="1"/>
    <col min="22" max="22" width="9.28515625" customWidth="1"/>
    <col min="23" max="23" width="8.85546875" customWidth="1"/>
    <col min="24" max="25" width="7" customWidth="1"/>
  </cols>
  <sheetData>
    <row r="1" spans="1:25" ht="15" customHeight="1" x14ac:dyDescent="0.2">
      <c r="A1" s="14" t="s">
        <v>2</v>
      </c>
      <c r="B1" s="15" t="s">
        <v>3</v>
      </c>
      <c r="C1" s="15" t="s">
        <v>4</v>
      </c>
      <c r="D1" s="15" t="s">
        <v>0</v>
      </c>
      <c r="E1" s="16" t="s">
        <v>5</v>
      </c>
      <c r="F1" s="16" t="s">
        <v>6</v>
      </c>
      <c r="G1" s="17" t="s">
        <v>7</v>
      </c>
      <c r="H1" s="18" t="s">
        <v>8</v>
      </c>
      <c r="I1" s="19" t="s">
        <v>9</v>
      </c>
      <c r="J1" s="19" t="s">
        <v>10</v>
      </c>
      <c r="K1" s="19" t="s">
        <v>11</v>
      </c>
      <c r="L1" s="18" t="s">
        <v>12</v>
      </c>
      <c r="M1" s="20"/>
      <c r="N1" s="20"/>
      <c r="O1" s="20"/>
      <c r="P1" s="20"/>
      <c r="Q1" s="20"/>
      <c r="R1" s="20"/>
      <c r="S1" s="20"/>
      <c r="T1" s="20"/>
      <c r="U1" s="20"/>
      <c r="V1" s="20"/>
      <c r="W1" s="20"/>
      <c r="X1" s="20"/>
      <c r="Y1" s="20"/>
    </row>
    <row r="2" spans="1:25" ht="12.75" x14ac:dyDescent="0.2">
      <c r="A2" s="10"/>
      <c r="B2" s="6"/>
      <c r="C2" s="6"/>
      <c r="D2" s="6"/>
      <c r="E2" s="9"/>
      <c r="F2" s="9"/>
      <c r="G2" s="11"/>
      <c r="H2" s="5"/>
      <c r="I2" s="6"/>
      <c r="J2" s="6"/>
      <c r="K2" s="20"/>
      <c r="L2" s="20"/>
      <c r="M2" s="20"/>
      <c r="Q2" s="20"/>
      <c r="X2" s="6"/>
      <c r="Y2" s="6"/>
    </row>
    <row r="3" spans="1:25" ht="12.75" x14ac:dyDescent="0.2">
      <c r="A3" s="10">
        <v>45699</v>
      </c>
      <c r="B3" s="1" t="s">
        <v>13</v>
      </c>
      <c r="C3" s="1" t="s">
        <v>14</v>
      </c>
      <c r="D3" s="6">
        <v>102.05</v>
      </c>
      <c r="E3" s="9">
        <f t="shared" ref="E3:E7" si="0">$O$3/D3</f>
        <v>2.4497795198432142</v>
      </c>
      <c r="F3" s="9">
        <f>E3</f>
        <v>2.4497795198432142</v>
      </c>
      <c r="G3" s="11">
        <f t="shared" ref="G3:G7" si="1">$O$4/D3</f>
        <v>2.4497795198432142</v>
      </c>
      <c r="H3" s="5">
        <f t="shared" ref="H3:H7" si="2">D3*G3</f>
        <v>250</v>
      </c>
      <c r="I3" s="6">
        <f t="shared" ref="I3:I7" si="3">D3-(D3*$O$5)</f>
        <v>99.498750000000001</v>
      </c>
      <c r="J3" s="6">
        <f t="shared" ref="J3:J7" si="4">D3+(D3*$O$6)</f>
        <v>109.70375</v>
      </c>
      <c r="K3" s="5"/>
      <c r="L3" s="5"/>
      <c r="M3" s="5"/>
      <c r="N3" s="20" t="s">
        <v>21</v>
      </c>
      <c r="O3" s="5">
        <v>250</v>
      </c>
      <c r="W3" s="6"/>
      <c r="X3" s="6"/>
      <c r="Y3" s="6"/>
    </row>
    <row r="4" spans="1:25" ht="12.75" x14ac:dyDescent="0.2">
      <c r="A4" s="10">
        <v>45699</v>
      </c>
      <c r="B4" s="1" t="s">
        <v>16</v>
      </c>
      <c r="C4" s="1" t="s">
        <v>14</v>
      </c>
      <c r="D4" s="6">
        <v>102.05</v>
      </c>
      <c r="E4" s="9">
        <f t="shared" si="0"/>
        <v>2.4497795198432142</v>
      </c>
      <c r="F4" s="9">
        <f t="shared" ref="F4:F7" si="5">F3+E4</f>
        <v>4.8995590396864284</v>
      </c>
      <c r="G4" s="11">
        <f t="shared" si="1"/>
        <v>2.4497795198432142</v>
      </c>
      <c r="H4" s="5">
        <f t="shared" si="2"/>
        <v>250</v>
      </c>
      <c r="I4" s="6">
        <f t="shared" si="3"/>
        <v>99.498750000000001</v>
      </c>
      <c r="J4" s="6">
        <f t="shared" si="4"/>
        <v>109.70375</v>
      </c>
      <c r="K4" s="6"/>
      <c r="L4" s="6"/>
      <c r="M4" s="6"/>
      <c r="N4" s="3" t="s">
        <v>8</v>
      </c>
      <c r="O4" s="5">
        <v>250</v>
      </c>
      <c r="P4" s="10"/>
      <c r="Q4" s="6"/>
      <c r="R4" s="6"/>
      <c r="S4" s="6"/>
      <c r="T4" s="6"/>
      <c r="U4" s="6"/>
      <c r="V4" s="6"/>
      <c r="W4" s="6"/>
      <c r="X4" s="6"/>
      <c r="Y4" s="6"/>
    </row>
    <row r="5" spans="1:25" ht="12.75" x14ac:dyDescent="0.2">
      <c r="A5" s="10">
        <v>45708</v>
      </c>
      <c r="B5" s="1" t="s">
        <v>22</v>
      </c>
      <c r="C5" s="1" t="s">
        <v>14</v>
      </c>
      <c r="D5" s="6">
        <v>97.94</v>
      </c>
      <c r="E5" s="9">
        <f t="shared" si="0"/>
        <v>2.5525832142127833</v>
      </c>
      <c r="F5" s="9">
        <f t="shared" si="5"/>
        <v>7.4521422538992113</v>
      </c>
      <c r="G5" s="11">
        <f t="shared" si="1"/>
        <v>2.5525832142127833</v>
      </c>
      <c r="H5" s="5">
        <f t="shared" si="2"/>
        <v>250</v>
      </c>
      <c r="I5" s="6">
        <f t="shared" si="3"/>
        <v>95.491500000000002</v>
      </c>
      <c r="J5" s="6">
        <f t="shared" si="4"/>
        <v>105.2855</v>
      </c>
      <c r="K5" s="6"/>
      <c r="L5" s="6"/>
      <c r="M5" s="6"/>
      <c r="N5" s="3" t="s">
        <v>18</v>
      </c>
      <c r="O5" s="4">
        <v>2.5000000000000001E-2</v>
      </c>
      <c r="P5" s="4"/>
      <c r="Q5" s="6"/>
      <c r="R5" s="6"/>
      <c r="S5" s="6"/>
      <c r="T5" s="6"/>
      <c r="U5" s="6"/>
      <c r="V5" s="6"/>
      <c r="W5" s="6"/>
      <c r="X5" s="6"/>
      <c r="Y5" s="6"/>
    </row>
    <row r="6" spans="1:25" ht="12.75" x14ac:dyDescent="0.2">
      <c r="A6" s="10">
        <v>45723</v>
      </c>
      <c r="B6" s="1" t="s">
        <v>23</v>
      </c>
      <c r="C6" s="1" t="s">
        <v>9</v>
      </c>
      <c r="D6" s="6">
        <v>92.93</v>
      </c>
      <c r="E6" s="9">
        <f t="shared" si="0"/>
        <v>2.6901969224147204</v>
      </c>
      <c r="F6" s="9">
        <f t="shared" si="5"/>
        <v>10.142339176313932</v>
      </c>
      <c r="G6" s="11">
        <f t="shared" si="1"/>
        <v>2.6901969224147204</v>
      </c>
      <c r="H6" s="5">
        <f t="shared" si="2"/>
        <v>250</v>
      </c>
      <c r="I6" s="6">
        <f t="shared" si="3"/>
        <v>90.606750000000005</v>
      </c>
      <c r="J6" s="6">
        <f t="shared" si="4"/>
        <v>99.899750000000012</v>
      </c>
      <c r="K6" s="6"/>
      <c r="L6" s="6"/>
      <c r="M6" s="6"/>
      <c r="N6" s="3" t="s">
        <v>10</v>
      </c>
      <c r="O6" s="4">
        <f>O5*3</f>
        <v>7.5000000000000011E-2</v>
      </c>
      <c r="P6" s="4"/>
      <c r="Q6" s="4"/>
      <c r="R6" s="6"/>
      <c r="S6" s="6"/>
      <c r="T6" s="6"/>
      <c r="U6" s="6"/>
      <c r="V6" s="6"/>
      <c r="W6" s="6"/>
      <c r="X6" s="6"/>
      <c r="Y6" s="6"/>
    </row>
    <row r="7" spans="1:25" ht="12.75" x14ac:dyDescent="0.2">
      <c r="A7" s="10">
        <v>45727</v>
      </c>
      <c r="B7" s="1" t="s">
        <v>24</v>
      </c>
      <c r="C7" s="1" t="s">
        <v>9</v>
      </c>
      <c r="D7" s="6">
        <v>88.24</v>
      </c>
      <c r="E7" s="9">
        <f t="shared" si="0"/>
        <v>2.8331822302810519</v>
      </c>
      <c r="F7" s="9">
        <f t="shared" si="5"/>
        <v>12.975521406594984</v>
      </c>
      <c r="G7" s="11">
        <f t="shared" si="1"/>
        <v>2.8331822302810519</v>
      </c>
      <c r="H7" s="5">
        <f t="shared" si="2"/>
        <v>250</v>
      </c>
      <c r="I7" s="6">
        <f t="shared" si="3"/>
        <v>86.033999999999992</v>
      </c>
      <c r="J7" s="6">
        <f t="shared" si="4"/>
        <v>94.85799999999999</v>
      </c>
      <c r="K7" s="6"/>
      <c r="L7" s="6"/>
      <c r="M7" s="6"/>
      <c r="N7" s="20" t="s">
        <v>19</v>
      </c>
      <c r="O7" s="5">
        <f>(O8/250)*O3</f>
        <v>1250</v>
      </c>
      <c r="P7" s="6"/>
      <c r="Q7" s="6"/>
      <c r="R7" s="6"/>
      <c r="S7" s="6"/>
      <c r="T7" s="6"/>
      <c r="U7" s="6"/>
      <c r="V7" s="6"/>
      <c r="W7" s="6"/>
      <c r="X7" s="6"/>
      <c r="Y7" s="6"/>
    </row>
    <row r="8" spans="1:25" ht="12.75" x14ac:dyDescent="0.2">
      <c r="A8" s="21"/>
      <c r="B8" s="22"/>
      <c r="C8" s="22"/>
      <c r="D8" s="23"/>
      <c r="E8" s="24"/>
      <c r="F8" s="24"/>
      <c r="G8" s="25"/>
      <c r="H8" s="26"/>
      <c r="I8" s="23"/>
      <c r="J8" s="22"/>
      <c r="K8" s="6"/>
      <c r="L8" s="6"/>
      <c r="M8" s="6"/>
      <c r="N8" s="3" t="s">
        <v>20</v>
      </c>
      <c r="O8" s="5">
        <f>SUM(H3:H42)</f>
        <v>1250</v>
      </c>
      <c r="P8" s="4"/>
      <c r="R8" s="6"/>
      <c r="S8" s="6"/>
      <c r="T8" s="6"/>
      <c r="U8" s="6"/>
      <c r="V8" s="6"/>
      <c r="W8" s="6"/>
      <c r="X8" s="6"/>
      <c r="Y8" s="6"/>
    </row>
    <row r="9" spans="1:25" ht="12.75" x14ac:dyDescent="0.2">
      <c r="A9" s="21"/>
      <c r="B9" s="22"/>
      <c r="C9" s="22"/>
      <c r="D9" s="23"/>
      <c r="E9" s="24"/>
      <c r="F9" s="24"/>
      <c r="G9" s="25"/>
      <c r="H9" s="26"/>
      <c r="I9" s="23"/>
      <c r="J9" s="22"/>
      <c r="K9" s="6"/>
      <c r="L9" s="6"/>
      <c r="M9" s="6"/>
      <c r="N9" s="20"/>
      <c r="O9" s="6"/>
      <c r="P9" s="6"/>
      <c r="Q9" s="6"/>
      <c r="R9" s="6"/>
      <c r="S9" s="6"/>
      <c r="T9" s="6"/>
      <c r="U9" s="6"/>
      <c r="V9" s="6"/>
      <c r="W9" s="6"/>
      <c r="X9" s="6"/>
      <c r="Y9" s="6"/>
    </row>
    <row r="10" spans="1:25" ht="12.75" x14ac:dyDescent="0.2">
      <c r="A10" s="21"/>
      <c r="B10" s="22"/>
      <c r="C10" s="22"/>
      <c r="D10" s="23"/>
      <c r="E10" s="24"/>
      <c r="F10" s="24"/>
      <c r="G10" s="25"/>
      <c r="H10" s="26"/>
      <c r="I10" s="23"/>
      <c r="J10" s="22"/>
      <c r="K10" s="6"/>
      <c r="L10" s="6"/>
      <c r="M10" s="6"/>
      <c r="N10" s="3"/>
      <c r="O10" s="6"/>
      <c r="P10" s="4"/>
      <c r="Q10" s="6"/>
      <c r="R10" s="6"/>
      <c r="S10" s="6"/>
      <c r="T10" s="6"/>
      <c r="U10" s="6"/>
      <c r="V10" s="6"/>
      <c r="W10" s="6"/>
      <c r="X10" s="6"/>
      <c r="Y10" s="6"/>
    </row>
    <row r="11" spans="1:25" ht="12.75" x14ac:dyDescent="0.2">
      <c r="A11" s="10"/>
      <c r="B11" s="1"/>
      <c r="D11" s="6"/>
      <c r="E11" s="9"/>
      <c r="F11" s="9"/>
      <c r="G11" s="11"/>
      <c r="H11" s="5"/>
      <c r="I11" s="6"/>
      <c r="K11" s="6"/>
      <c r="L11" s="6"/>
      <c r="M11" s="6"/>
      <c r="N11" s="6"/>
      <c r="O11" s="9"/>
      <c r="P11" s="6"/>
      <c r="Q11" s="6"/>
      <c r="R11" s="6"/>
      <c r="S11" s="6"/>
      <c r="T11" s="6"/>
      <c r="U11" s="6"/>
      <c r="V11" s="6"/>
      <c r="W11" s="6"/>
      <c r="X11" s="6"/>
      <c r="Y11" s="6"/>
    </row>
    <row r="12" spans="1:25" ht="12.75" x14ac:dyDescent="0.2">
      <c r="A12" s="10"/>
      <c r="B12" s="1"/>
      <c r="D12" s="6"/>
      <c r="E12" s="9"/>
      <c r="F12" s="9"/>
      <c r="G12" s="11"/>
      <c r="H12" s="5"/>
      <c r="I12" s="6"/>
      <c r="K12" s="6"/>
      <c r="L12" s="6"/>
      <c r="M12" s="6"/>
      <c r="N12" s="6"/>
      <c r="O12" s="6"/>
      <c r="P12" s="6"/>
      <c r="Q12" s="6"/>
      <c r="R12" s="6"/>
      <c r="S12" s="6"/>
      <c r="T12" s="6"/>
      <c r="U12" s="6"/>
      <c r="V12" s="6"/>
      <c r="W12" s="6"/>
      <c r="X12" s="6"/>
      <c r="Y12" s="6"/>
    </row>
    <row r="13" spans="1:25" ht="12.75" x14ac:dyDescent="0.2">
      <c r="A13" s="21"/>
      <c r="B13" s="22"/>
      <c r="C13" s="22"/>
      <c r="D13" s="23"/>
      <c r="E13" s="24"/>
      <c r="F13" s="24"/>
      <c r="G13" s="25"/>
      <c r="H13" s="26"/>
      <c r="I13" s="23"/>
      <c r="J13" s="22"/>
      <c r="K13" s="6"/>
      <c r="L13" s="6"/>
      <c r="M13" s="6"/>
      <c r="N13" s="6"/>
      <c r="O13" s="6"/>
      <c r="P13" s="6"/>
      <c r="Q13" s="6"/>
      <c r="R13" s="6"/>
      <c r="S13" s="6"/>
      <c r="T13" s="6"/>
      <c r="U13" s="6"/>
      <c r="V13" s="6"/>
      <c r="W13" s="6"/>
      <c r="X13" s="6"/>
      <c r="Y13" s="6"/>
    </row>
    <row r="14" spans="1:25" ht="12.75" x14ac:dyDescent="0.2">
      <c r="A14" s="21"/>
      <c r="B14" s="22"/>
      <c r="C14" s="22"/>
      <c r="D14" s="23"/>
      <c r="E14" s="24"/>
      <c r="F14" s="24"/>
      <c r="G14" s="25"/>
      <c r="H14" s="26"/>
      <c r="I14" s="23"/>
      <c r="J14" s="22"/>
      <c r="K14" s="6"/>
      <c r="L14" s="6"/>
      <c r="M14" s="6"/>
      <c r="N14" s="6"/>
      <c r="O14" s="3"/>
      <c r="P14" s="3"/>
      <c r="Q14" s="3"/>
      <c r="R14" s="3"/>
      <c r="S14" s="3"/>
      <c r="T14" s="6"/>
      <c r="U14" s="6"/>
      <c r="V14" s="6"/>
      <c r="W14" s="6"/>
      <c r="X14" s="6"/>
      <c r="Y14" s="6"/>
    </row>
    <row r="15" spans="1:25" ht="12.75" x14ac:dyDescent="0.2">
      <c r="A15" s="21"/>
      <c r="B15" s="22"/>
      <c r="C15" s="22"/>
      <c r="D15" s="23"/>
      <c r="E15" s="24"/>
      <c r="F15" s="24"/>
      <c r="G15" s="25"/>
      <c r="H15" s="26"/>
      <c r="I15" s="23"/>
      <c r="J15" s="22"/>
      <c r="N15" s="27"/>
      <c r="O15" s="5"/>
      <c r="P15" s="4"/>
      <c r="Q15" s="7"/>
      <c r="R15" s="2"/>
      <c r="S15" s="2"/>
      <c r="T15" s="6"/>
      <c r="U15" s="6"/>
      <c r="V15" s="6"/>
      <c r="W15" s="6"/>
      <c r="X15" s="6"/>
      <c r="Y15" s="6"/>
    </row>
    <row r="16" spans="1:25" ht="12.75" x14ac:dyDescent="0.2">
      <c r="A16" s="10"/>
      <c r="B16" s="1"/>
      <c r="D16" s="6"/>
      <c r="E16" s="9"/>
      <c r="F16" s="9"/>
      <c r="G16" s="11"/>
      <c r="H16" s="5"/>
      <c r="I16" s="6"/>
      <c r="N16" s="27"/>
      <c r="O16" s="5"/>
      <c r="P16" s="4"/>
      <c r="Q16" s="7"/>
      <c r="R16" s="2"/>
      <c r="S16" s="2"/>
      <c r="T16" s="6"/>
      <c r="U16" s="6"/>
      <c r="V16" s="6"/>
      <c r="W16" s="6"/>
      <c r="X16" s="6"/>
      <c r="Y16" s="6"/>
    </row>
    <row r="17" spans="1:25" ht="12.75" x14ac:dyDescent="0.2">
      <c r="A17" s="10"/>
      <c r="B17" s="1"/>
      <c r="D17" s="6"/>
      <c r="E17" s="9"/>
      <c r="F17" s="9"/>
      <c r="G17" s="11"/>
      <c r="H17" s="5"/>
      <c r="I17" s="6"/>
      <c r="K17" s="6"/>
      <c r="L17" s="6"/>
      <c r="M17" s="6"/>
      <c r="N17" s="27"/>
      <c r="O17" s="5"/>
      <c r="P17" s="4"/>
      <c r="R17" s="6"/>
      <c r="S17" s="6"/>
      <c r="T17" s="6"/>
      <c r="U17" s="6"/>
      <c r="V17" s="6"/>
      <c r="W17" s="6"/>
      <c r="X17" s="6"/>
      <c r="Y17" s="6"/>
    </row>
    <row r="18" spans="1:25" ht="12.75" x14ac:dyDescent="0.2">
      <c r="A18" s="10"/>
      <c r="B18" s="1"/>
      <c r="D18" s="6"/>
      <c r="E18" s="9"/>
      <c r="F18" s="9"/>
      <c r="G18" s="11"/>
      <c r="H18" s="5"/>
      <c r="I18" s="6"/>
      <c r="K18" s="9"/>
      <c r="L18" s="9"/>
      <c r="M18" s="9"/>
      <c r="N18" s="27"/>
      <c r="O18" s="5"/>
      <c r="P18" s="4"/>
      <c r="R18" s="6"/>
      <c r="S18" s="5"/>
      <c r="T18" s="5"/>
      <c r="U18" s="5"/>
      <c r="V18" s="5"/>
      <c r="W18" s="9"/>
      <c r="X18" s="5"/>
      <c r="Y18" s="5"/>
    </row>
    <row r="19" spans="1:25" ht="12.75" x14ac:dyDescent="0.2">
      <c r="A19" s="10"/>
      <c r="B19" s="1"/>
      <c r="D19" s="6"/>
      <c r="E19" s="9"/>
      <c r="F19" s="9"/>
      <c r="G19" s="11"/>
      <c r="H19" s="5"/>
      <c r="I19" s="6"/>
      <c r="K19" s="6"/>
      <c r="L19" s="6"/>
      <c r="M19" s="6"/>
      <c r="N19" s="27"/>
      <c r="O19" s="5"/>
      <c r="P19" s="4"/>
      <c r="Q19" s="7"/>
      <c r="R19" s="2"/>
      <c r="S19" s="6"/>
      <c r="T19" s="6"/>
      <c r="U19" s="6"/>
      <c r="V19" s="6"/>
      <c r="W19" s="6"/>
      <c r="X19" s="6"/>
      <c r="Y19" s="6"/>
    </row>
    <row r="20" spans="1:25" ht="12.75" x14ac:dyDescent="0.2">
      <c r="A20" s="10"/>
      <c r="D20" s="6"/>
      <c r="E20" s="9"/>
      <c r="F20" s="9"/>
      <c r="G20" s="11"/>
      <c r="H20" s="5"/>
      <c r="I20" s="6"/>
      <c r="K20" s="6"/>
      <c r="L20" s="6"/>
      <c r="M20" s="6"/>
      <c r="N20" s="27"/>
      <c r="O20" s="7"/>
      <c r="P20" s="2"/>
      <c r="S20" s="6"/>
      <c r="T20" s="6"/>
      <c r="U20" s="6"/>
      <c r="V20" s="6"/>
      <c r="W20" s="6"/>
      <c r="X20" s="6"/>
      <c r="Y20" s="6"/>
    </row>
    <row r="21" spans="1:25" ht="12.75" x14ac:dyDescent="0.2">
      <c r="A21" s="21"/>
      <c r="B21" s="22"/>
      <c r="C21" s="22"/>
      <c r="D21" s="23"/>
      <c r="E21" s="24"/>
      <c r="F21" s="24"/>
      <c r="G21" s="25"/>
      <c r="H21" s="26"/>
      <c r="I21" s="23"/>
      <c r="J21" s="22"/>
      <c r="K21" s="6"/>
      <c r="L21" s="6"/>
      <c r="M21" s="6"/>
      <c r="N21" s="27"/>
      <c r="O21" s="9"/>
      <c r="P21" s="9"/>
      <c r="Q21" s="9"/>
      <c r="R21" s="6"/>
      <c r="S21" s="6"/>
      <c r="T21" s="6"/>
      <c r="U21" s="6"/>
      <c r="V21" s="6"/>
      <c r="W21" s="6"/>
      <c r="X21" s="6"/>
      <c r="Y21" s="6"/>
    </row>
    <row r="22" spans="1:25" ht="12.75" x14ac:dyDescent="0.2">
      <c r="A22" s="21"/>
      <c r="B22" s="22"/>
      <c r="C22" s="22"/>
      <c r="D22" s="23"/>
      <c r="E22" s="24"/>
      <c r="F22" s="24"/>
      <c r="G22" s="25"/>
      <c r="H22" s="26"/>
      <c r="I22" s="23"/>
      <c r="J22" s="22"/>
      <c r="K22" s="6"/>
      <c r="L22" s="6"/>
      <c r="M22" s="6"/>
      <c r="N22" s="27"/>
      <c r="O22" s="6"/>
      <c r="P22" s="6"/>
      <c r="Q22" s="6"/>
      <c r="R22" s="6"/>
      <c r="S22" s="6"/>
      <c r="T22" s="6"/>
      <c r="U22" s="6"/>
      <c r="V22" s="6"/>
      <c r="W22" s="6"/>
      <c r="X22" s="6"/>
      <c r="Y22" s="6"/>
    </row>
    <row r="23" spans="1:25" ht="12.75" x14ac:dyDescent="0.2">
      <c r="A23" s="10"/>
      <c r="B23" s="1"/>
      <c r="D23" s="6"/>
      <c r="E23" s="9"/>
      <c r="F23" s="9"/>
      <c r="G23" s="11"/>
      <c r="H23" s="5"/>
      <c r="I23" s="6"/>
      <c r="K23" s="6"/>
      <c r="L23" s="6"/>
      <c r="M23" s="6"/>
      <c r="N23" s="27"/>
      <c r="O23" s="6"/>
      <c r="P23" s="6"/>
      <c r="Q23" s="6"/>
      <c r="R23" s="6"/>
      <c r="S23" s="6"/>
      <c r="T23" s="6"/>
      <c r="U23" s="6"/>
      <c r="V23" s="6"/>
      <c r="W23" s="6"/>
      <c r="X23" s="6"/>
      <c r="Y23" s="6"/>
    </row>
    <row r="24" spans="1:25" ht="12.75" x14ac:dyDescent="0.2">
      <c r="A24" s="10"/>
      <c r="D24" s="6"/>
      <c r="E24" s="9"/>
      <c r="F24" s="9"/>
      <c r="G24" s="11"/>
      <c r="H24" s="5"/>
      <c r="I24" s="6"/>
      <c r="K24" s="6"/>
      <c r="L24" s="6"/>
      <c r="M24" s="6"/>
      <c r="N24" s="27"/>
      <c r="O24" s="6"/>
      <c r="P24" s="6"/>
      <c r="Q24" s="6"/>
      <c r="R24" s="6"/>
      <c r="S24" s="6"/>
      <c r="T24" s="6"/>
      <c r="U24" s="6"/>
      <c r="V24" s="6"/>
      <c r="W24" s="6"/>
      <c r="X24" s="6"/>
      <c r="Y24" s="6"/>
    </row>
    <row r="25" spans="1:25" ht="12.75" x14ac:dyDescent="0.2">
      <c r="A25" s="10"/>
      <c r="B25" s="1"/>
      <c r="D25" s="6"/>
      <c r="E25" s="9"/>
      <c r="F25" s="9"/>
      <c r="G25" s="11"/>
      <c r="H25" s="5"/>
      <c r="I25" s="6"/>
      <c r="K25" s="6"/>
      <c r="L25" s="6"/>
      <c r="M25" s="6"/>
      <c r="N25" s="27"/>
      <c r="O25" s="6"/>
      <c r="P25" s="6"/>
      <c r="Q25" s="6"/>
      <c r="R25" s="6"/>
      <c r="S25" s="6"/>
      <c r="T25" s="6"/>
      <c r="U25" s="6"/>
      <c r="V25" s="6"/>
      <c r="W25" s="6"/>
      <c r="X25" s="6"/>
      <c r="Y25" s="6"/>
    </row>
    <row r="26" spans="1:25" ht="12.75" x14ac:dyDescent="0.2">
      <c r="A26" s="10"/>
      <c r="D26" s="6"/>
      <c r="E26" s="9"/>
      <c r="F26" s="9"/>
      <c r="G26" s="11"/>
      <c r="H26" s="5"/>
      <c r="I26" s="6"/>
      <c r="K26" s="6"/>
      <c r="L26" s="6"/>
      <c r="M26" s="6"/>
      <c r="N26" s="27"/>
      <c r="O26" s="6"/>
      <c r="P26" s="6"/>
      <c r="Q26" s="6"/>
      <c r="R26" s="6"/>
      <c r="S26" s="6"/>
      <c r="T26" s="6"/>
      <c r="U26" s="6"/>
      <c r="V26" s="6"/>
      <c r="W26" s="6"/>
      <c r="X26" s="6"/>
      <c r="Y26" s="6"/>
    </row>
    <row r="27" spans="1:25" ht="12.75" x14ac:dyDescent="0.2">
      <c r="A27" s="10"/>
      <c r="D27" s="6"/>
      <c r="E27" s="9"/>
      <c r="F27" s="9"/>
      <c r="G27" s="11"/>
      <c r="H27" s="5"/>
      <c r="I27" s="6"/>
      <c r="K27" s="6"/>
      <c r="L27" s="6"/>
      <c r="M27" s="6"/>
      <c r="N27" s="27"/>
      <c r="O27" s="6"/>
      <c r="P27" s="6"/>
      <c r="Q27" s="6"/>
      <c r="R27" s="6"/>
      <c r="S27" s="6"/>
      <c r="T27" s="6"/>
      <c r="U27" s="6"/>
      <c r="V27" s="6"/>
      <c r="W27" s="6"/>
      <c r="X27" s="6"/>
      <c r="Y27" s="6"/>
    </row>
    <row r="28" spans="1:25" ht="12.75" x14ac:dyDescent="0.2">
      <c r="A28" s="10"/>
      <c r="B28" s="1"/>
      <c r="D28" s="6"/>
      <c r="E28" s="9"/>
      <c r="F28" s="9"/>
      <c r="G28" s="11"/>
      <c r="H28" s="5"/>
      <c r="I28" s="6"/>
      <c r="K28" s="6"/>
      <c r="L28" s="6"/>
      <c r="M28" s="6"/>
      <c r="N28" s="6"/>
      <c r="O28" s="6"/>
      <c r="P28" s="6"/>
      <c r="Q28" s="6"/>
      <c r="R28" s="6"/>
      <c r="S28" s="6"/>
      <c r="T28" s="6"/>
      <c r="U28" s="6"/>
      <c r="V28" s="6"/>
      <c r="W28" s="6"/>
      <c r="X28" s="6"/>
      <c r="Y28" s="6"/>
    </row>
    <row r="29" spans="1:25" ht="12.75" x14ac:dyDescent="0.2">
      <c r="A29" s="10"/>
      <c r="B29" s="1"/>
      <c r="D29" s="6"/>
      <c r="E29" s="9"/>
      <c r="F29" s="9"/>
      <c r="G29" s="11"/>
      <c r="H29" s="5"/>
      <c r="I29" s="6"/>
      <c r="K29" s="6"/>
      <c r="L29" s="6"/>
      <c r="M29" s="6"/>
      <c r="N29" s="6"/>
      <c r="O29" s="6"/>
      <c r="P29" s="6"/>
      <c r="Q29" s="6"/>
      <c r="R29" s="6"/>
      <c r="S29" s="6"/>
      <c r="T29" s="6"/>
      <c r="U29" s="6"/>
      <c r="V29" s="6"/>
      <c r="W29" s="6"/>
      <c r="X29" s="6"/>
      <c r="Y29" s="6"/>
    </row>
    <row r="30" spans="1:25" ht="12.75" x14ac:dyDescent="0.2">
      <c r="A30" s="10"/>
      <c r="B30" s="1"/>
      <c r="D30" s="6"/>
      <c r="E30" s="9"/>
      <c r="F30" s="9"/>
      <c r="G30" s="11"/>
      <c r="H30" s="5"/>
      <c r="I30" s="6"/>
      <c r="K30" s="6"/>
      <c r="L30" s="6"/>
      <c r="M30" s="6"/>
      <c r="N30" s="6"/>
      <c r="O30" s="6"/>
      <c r="P30" s="6"/>
      <c r="Q30" s="6"/>
      <c r="R30" s="6"/>
      <c r="S30" s="6"/>
      <c r="T30" s="6"/>
      <c r="U30" s="6"/>
      <c r="V30" s="6"/>
      <c r="W30" s="6"/>
      <c r="X30" s="6"/>
      <c r="Y30" s="6"/>
    </row>
    <row r="31" spans="1:25" ht="12.75" x14ac:dyDescent="0.2">
      <c r="A31" s="10"/>
      <c r="B31" s="1"/>
      <c r="D31" s="6"/>
      <c r="E31" s="9"/>
      <c r="F31" s="9"/>
      <c r="G31" s="11"/>
      <c r="H31" s="5"/>
      <c r="I31" s="6"/>
      <c r="K31" s="6"/>
      <c r="L31" s="6"/>
      <c r="M31" s="6"/>
      <c r="N31" s="6"/>
      <c r="O31" s="6"/>
      <c r="P31" s="6"/>
      <c r="Q31" s="6"/>
      <c r="R31" s="6"/>
      <c r="S31" s="6"/>
      <c r="T31" s="6"/>
      <c r="U31" s="6"/>
      <c r="V31" s="6"/>
      <c r="W31" s="6"/>
      <c r="X31" s="6"/>
      <c r="Y31" s="6"/>
    </row>
    <row r="32" spans="1:25" ht="12.75" x14ac:dyDescent="0.2">
      <c r="A32" s="10"/>
      <c r="B32" s="1"/>
      <c r="D32" s="6"/>
      <c r="E32" s="9"/>
      <c r="F32" s="9"/>
      <c r="G32" s="11"/>
      <c r="H32" s="5"/>
      <c r="I32" s="6"/>
      <c r="K32" s="6"/>
      <c r="L32" s="6"/>
      <c r="M32" s="6"/>
      <c r="N32" s="6"/>
      <c r="O32" s="6"/>
      <c r="P32" s="6"/>
      <c r="Q32" s="6"/>
      <c r="R32" s="6"/>
      <c r="S32" s="6"/>
      <c r="T32" s="6"/>
      <c r="U32" s="6"/>
      <c r="V32" s="6"/>
      <c r="W32" s="6"/>
      <c r="X32" s="6"/>
      <c r="Y32" s="6"/>
    </row>
    <row r="33" spans="1:25" ht="12.75" x14ac:dyDescent="0.2">
      <c r="A33" s="10"/>
      <c r="B33" s="1"/>
      <c r="D33" s="6"/>
      <c r="E33" s="9"/>
      <c r="F33" s="9"/>
      <c r="G33" s="11"/>
      <c r="H33" s="5"/>
      <c r="I33" s="6"/>
      <c r="K33" s="6"/>
      <c r="L33" s="6"/>
      <c r="M33" s="6"/>
      <c r="N33" s="6"/>
      <c r="O33" s="6"/>
      <c r="P33" s="6"/>
      <c r="Q33" s="6"/>
      <c r="R33" s="6"/>
      <c r="S33" s="6"/>
      <c r="T33" s="6"/>
      <c r="U33" s="6"/>
      <c r="V33" s="6"/>
      <c r="W33" s="6"/>
      <c r="X33" s="6"/>
      <c r="Y33" s="6"/>
    </row>
    <row r="34" spans="1:25" ht="12.75" x14ac:dyDescent="0.2">
      <c r="A34" s="10"/>
      <c r="B34" s="1"/>
      <c r="D34" s="6"/>
      <c r="E34" s="9"/>
      <c r="F34" s="9"/>
      <c r="G34" s="11"/>
      <c r="H34" s="5"/>
      <c r="I34" s="6"/>
      <c r="K34" s="6"/>
      <c r="L34" s="6"/>
      <c r="M34" s="6"/>
      <c r="N34" s="6"/>
      <c r="O34" s="6"/>
      <c r="P34" s="6"/>
      <c r="Q34" s="6"/>
      <c r="R34" s="6"/>
      <c r="S34" s="6"/>
      <c r="T34" s="6"/>
      <c r="U34" s="6"/>
      <c r="V34" s="6"/>
      <c r="W34" s="6"/>
      <c r="X34" s="6"/>
      <c r="Y34" s="6"/>
    </row>
    <row r="35" spans="1:25" ht="12.75" x14ac:dyDescent="0.2">
      <c r="A35" s="10"/>
      <c r="B35" s="1"/>
      <c r="D35" s="6"/>
      <c r="E35" s="9"/>
      <c r="F35" s="9"/>
      <c r="G35" s="11"/>
      <c r="H35" s="5"/>
      <c r="I35" s="6"/>
      <c r="K35" s="6"/>
      <c r="L35" s="6"/>
      <c r="M35" s="6"/>
      <c r="N35" s="6"/>
      <c r="O35" s="6"/>
      <c r="P35" s="6"/>
      <c r="Q35" s="6"/>
      <c r="R35" s="6"/>
      <c r="S35" s="6"/>
      <c r="T35" s="6"/>
      <c r="U35" s="6"/>
      <c r="V35" s="6"/>
      <c r="W35" s="6"/>
      <c r="X35" s="6"/>
      <c r="Y35" s="6"/>
    </row>
    <row r="36" spans="1:25" ht="12.75" x14ac:dyDescent="0.2">
      <c r="A36" s="10"/>
      <c r="B36" s="1"/>
      <c r="D36" s="6"/>
      <c r="E36" s="9"/>
      <c r="F36" s="9"/>
      <c r="G36" s="11"/>
      <c r="H36" s="5"/>
      <c r="I36" s="6"/>
      <c r="K36" s="9"/>
      <c r="L36" s="9"/>
      <c r="M36" s="9"/>
      <c r="N36" s="6"/>
      <c r="O36" s="6"/>
      <c r="P36" s="6"/>
      <c r="Q36" s="6"/>
      <c r="R36" s="6"/>
      <c r="S36" s="5"/>
      <c r="T36" s="5"/>
      <c r="U36" s="5"/>
      <c r="V36" s="5"/>
      <c r="W36" s="9"/>
      <c r="X36" s="5"/>
      <c r="Y36" s="5"/>
    </row>
    <row r="37" spans="1:25" ht="12.75" x14ac:dyDescent="0.2">
      <c r="A37" s="10"/>
      <c r="B37" s="1"/>
      <c r="D37" s="6"/>
      <c r="E37" s="9"/>
      <c r="F37" s="9"/>
      <c r="G37" s="11"/>
      <c r="H37" s="5"/>
      <c r="I37" s="6"/>
      <c r="K37" s="6"/>
      <c r="L37" s="6"/>
      <c r="M37" s="6"/>
      <c r="N37" s="6"/>
      <c r="O37" s="6"/>
      <c r="P37" s="6"/>
      <c r="Q37" s="6"/>
      <c r="R37" s="6"/>
      <c r="S37" s="6"/>
      <c r="T37" s="6"/>
      <c r="U37" s="6"/>
      <c r="V37" s="6"/>
      <c r="W37" s="6"/>
      <c r="X37" s="6"/>
      <c r="Y37" s="6"/>
    </row>
    <row r="38" spans="1:25" ht="12.75" x14ac:dyDescent="0.2">
      <c r="A38" s="10"/>
      <c r="B38" s="1"/>
      <c r="D38" s="6"/>
      <c r="E38" s="9"/>
      <c r="F38" s="9"/>
      <c r="G38" s="11"/>
      <c r="H38" s="5"/>
      <c r="I38" s="6"/>
      <c r="K38" s="6"/>
      <c r="L38" s="6"/>
      <c r="M38" s="6"/>
      <c r="N38" s="6"/>
      <c r="O38" s="6"/>
      <c r="P38" s="6"/>
      <c r="Q38" s="6"/>
      <c r="R38" s="5"/>
      <c r="S38" s="6"/>
      <c r="T38" s="6"/>
      <c r="U38" s="6"/>
      <c r="V38" s="6"/>
      <c r="W38" s="6"/>
      <c r="X38" s="6"/>
      <c r="Y38" s="6"/>
    </row>
    <row r="39" spans="1:25" ht="12.75" x14ac:dyDescent="0.2">
      <c r="A39" s="10"/>
      <c r="B39" s="1"/>
      <c r="D39" s="6"/>
      <c r="E39" s="9"/>
      <c r="F39" s="9"/>
      <c r="G39" s="11"/>
      <c r="H39" s="5"/>
      <c r="I39" s="6"/>
      <c r="K39" s="6"/>
      <c r="L39" s="6"/>
      <c r="M39" s="6"/>
      <c r="N39" s="9"/>
      <c r="O39" s="9"/>
      <c r="P39" s="6"/>
      <c r="Q39" s="9"/>
      <c r="R39" s="6"/>
      <c r="S39" s="6"/>
      <c r="T39" s="6"/>
      <c r="U39" s="6"/>
      <c r="V39" s="6"/>
      <c r="W39" s="6"/>
      <c r="X39" s="6"/>
      <c r="Y39" s="6"/>
    </row>
    <row r="40" spans="1:25" ht="12.75" x14ac:dyDescent="0.2">
      <c r="A40" s="10"/>
      <c r="B40" s="1"/>
      <c r="D40" s="6"/>
      <c r="E40" s="9"/>
      <c r="F40" s="9"/>
      <c r="G40" s="11"/>
      <c r="H40" s="5"/>
      <c r="I40" s="6"/>
      <c r="K40" s="6"/>
      <c r="L40" s="6"/>
      <c r="M40" s="6"/>
      <c r="N40" s="6"/>
      <c r="O40" s="6"/>
      <c r="P40" s="6"/>
      <c r="Q40" s="6"/>
      <c r="R40" s="6"/>
      <c r="S40" s="6"/>
      <c r="T40" s="6"/>
      <c r="U40" s="6"/>
      <c r="V40" s="6"/>
      <c r="W40" s="6"/>
      <c r="X40" s="6"/>
      <c r="Y40" s="6"/>
    </row>
    <row r="41" spans="1:25" ht="12.75" x14ac:dyDescent="0.2">
      <c r="A41" s="10"/>
      <c r="B41" s="1"/>
      <c r="D41" s="6"/>
      <c r="E41" s="9"/>
      <c r="F41" s="9"/>
      <c r="G41" s="11"/>
      <c r="H41" s="5"/>
      <c r="I41" s="6"/>
      <c r="K41" s="6"/>
      <c r="L41" s="6"/>
      <c r="M41" s="6"/>
      <c r="N41" s="6"/>
      <c r="O41" s="6"/>
      <c r="P41" s="6"/>
      <c r="Q41" s="6"/>
      <c r="R41" s="6"/>
      <c r="S41" s="6"/>
      <c r="T41" s="6"/>
      <c r="U41" s="6"/>
      <c r="V41" s="6"/>
      <c r="W41" s="6"/>
      <c r="X41" s="6"/>
      <c r="Y41" s="6"/>
    </row>
    <row r="42" spans="1:25" ht="12.75" x14ac:dyDescent="0.2">
      <c r="A42" s="10"/>
      <c r="B42" s="1"/>
      <c r="D42" s="6"/>
      <c r="E42" s="9"/>
      <c r="F42" s="9"/>
      <c r="G42" s="11"/>
      <c r="H42" s="5"/>
      <c r="I42" s="6"/>
      <c r="K42" s="6"/>
      <c r="L42" s="6"/>
      <c r="M42" s="6"/>
      <c r="N42" s="6"/>
      <c r="O42" s="6"/>
      <c r="P42" s="6"/>
      <c r="Q42" s="6"/>
      <c r="R42" s="6"/>
      <c r="S42" s="6"/>
      <c r="T42" s="6"/>
      <c r="U42" s="6"/>
      <c r="V42" s="6"/>
      <c r="W42" s="6"/>
      <c r="X42" s="6"/>
      <c r="Y42" s="6"/>
    </row>
    <row r="43" spans="1:25" ht="12.75" x14ac:dyDescent="0.2">
      <c r="A43" s="10"/>
      <c r="B43" s="1"/>
      <c r="D43" s="6"/>
      <c r="E43" s="9"/>
      <c r="F43" s="9"/>
      <c r="G43" s="11"/>
      <c r="H43" s="5"/>
      <c r="I43" s="6"/>
      <c r="K43" s="6"/>
      <c r="L43" s="6"/>
      <c r="M43" s="6"/>
      <c r="N43" s="6"/>
      <c r="O43" s="6"/>
      <c r="P43" s="6"/>
      <c r="Q43" s="6"/>
      <c r="R43" s="6"/>
      <c r="S43" s="6"/>
      <c r="T43" s="6"/>
      <c r="U43" s="6"/>
      <c r="V43" s="6"/>
      <c r="W43" s="6"/>
      <c r="X43" s="6"/>
      <c r="Y43" s="6"/>
    </row>
    <row r="44" spans="1:25" ht="12.75" x14ac:dyDescent="0.2">
      <c r="A44" s="10"/>
      <c r="B44" s="1"/>
      <c r="D44" s="6"/>
      <c r="E44" s="9"/>
      <c r="F44" s="9"/>
      <c r="G44" s="11"/>
      <c r="H44" s="5"/>
      <c r="I44" s="6"/>
      <c r="K44" s="6"/>
      <c r="L44" s="6"/>
      <c r="M44" s="6"/>
      <c r="N44" s="6"/>
      <c r="O44" s="6"/>
      <c r="P44" s="6"/>
      <c r="Q44" s="6"/>
      <c r="R44" s="6"/>
      <c r="S44" s="6"/>
      <c r="T44" s="6"/>
      <c r="U44" s="6"/>
      <c r="V44" s="6"/>
      <c r="W44" s="6"/>
      <c r="X44" s="6"/>
      <c r="Y44" s="6"/>
    </row>
    <row r="45" spans="1:25" ht="12.75" x14ac:dyDescent="0.2">
      <c r="A45" s="10"/>
      <c r="B45" s="1"/>
      <c r="D45" s="6"/>
      <c r="E45" s="9"/>
      <c r="F45" s="9"/>
      <c r="G45" s="11"/>
      <c r="H45" s="5"/>
      <c r="I45" s="6"/>
      <c r="K45" s="6"/>
      <c r="L45" s="6"/>
      <c r="M45" s="6"/>
      <c r="N45" s="6"/>
      <c r="O45" s="6"/>
      <c r="P45" s="6"/>
      <c r="Q45" s="6"/>
      <c r="R45" s="6"/>
      <c r="S45" s="6"/>
      <c r="T45" s="6"/>
      <c r="U45" s="6"/>
      <c r="V45" s="6"/>
      <c r="W45" s="6"/>
      <c r="X45" s="6"/>
      <c r="Y45" s="6"/>
    </row>
    <row r="46" spans="1:25" ht="12.75" x14ac:dyDescent="0.2">
      <c r="A46" s="10"/>
      <c r="B46" s="1"/>
      <c r="D46" s="6"/>
      <c r="E46" s="9"/>
      <c r="F46" s="9"/>
      <c r="G46" s="11"/>
      <c r="H46" s="5"/>
      <c r="I46" s="6"/>
      <c r="K46" s="6"/>
      <c r="L46" s="6"/>
      <c r="M46" s="6"/>
      <c r="N46" s="6"/>
      <c r="O46" s="6"/>
      <c r="P46" s="6"/>
      <c r="Q46" s="6"/>
      <c r="R46" s="6"/>
      <c r="S46" s="6"/>
      <c r="T46" s="6"/>
      <c r="U46" s="6"/>
      <c r="V46" s="6"/>
      <c r="W46" s="6"/>
      <c r="X46" s="6"/>
      <c r="Y46" s="6"/>
    </row>
    <row r="47" spans="1:25" ht="12.75" x14ac:dyDescent="0.2">
      <c r="A47" s="10"/>
      <c r="B47" s="1"/>
      <c r="D47" s="6"/>
      <c r="E47" s="9"/>
      <c r="F47" s="9"/>
      <c r="G47" s="11"/>
      <c r="H47" s="5"/>
      <c r="I47" s="6"/>
      <c r="K47" s="6"/>
      <c r="L47" s="6"/>
      <c r="M47" s="6"/>
      <c r="N47" s="6"/>
      <c r="O47" s="6"/>
      <c r="P47" s="6"/>
      <c r="Q47" s="6"/>
      <c r="R47" s="6"/>
      <c r="S47" s="6"/>
      <c r="T47" s="6"/>
      <c r="U47" s="6"/>
      <c r="V47" s="6"/>
      <c r="W47" s="6"/>
      <c r="X47" s="6"/>
      <c r="Y47" s="6"/>
    </row>
    <row r="48" spans="1:25" ht="12.75" x14ac:dyDescent="0.2">
      <c r="A48" s="10"/>
      <c r="B48" s="1"/>
      <c r="D48" s="6"/>
      <c r="E48" s="9"/>
      <c r="F48" s="9"/>
      <c r="G48" s="11"/>
      <c r="H48" s="5"/>
      <c r="I48" s="6"/>
      <c r="K48" s="6"/>
      <c r="L48" s="6"/>
      <c r="M48" s="6"/>
      <c r="N48" s="6"/>
      <c r="O48" s="6"/>
      <c r="P48" s="6"/>
      <c r="Q48" s="6"/>
      <c r="R48" s="6"/>
      <c r="S48" s="6"/>
      <c r="T48" s="6"/>
      <c r="U48" s="6"/>
      <c r="V48" s="6"/>
      <c r="W48" s="6"/>
      <c r="X48" s="6"/>
      <c r="Y48" s="6"/>
    </row>
    <row r="49" spans="1:25" ht="12.75" x14ac:dyDescent="0.2">
      <c r="A49" s="10"/>
      <c r="B49" s="1"/>
      <c r="D49" s="6"/>
      <c r="E49" s="9"/>
      <c r="F49" s="9"/>
      <c r="G49" s="11"/>
      <c r="H49" s="5"/>
      <c r="I49" s="6"/>
      <c r="K49" s="6"/>
      <c r="L49" s="6"/>
      <c r="M49" s="6"/>
      <c r="N49" s="6"/>
      <c r="O49" s="6"/>
      <c r="P49" s="6"/>
      <c r="Q49" s="6"/>
      <c r="R49" s="6"/>
      <c r="S49" s="6"/>
      <c r="T49" s="6"/>
      <c r="U49" s="6"/>
      <c r="V49" s="6"/>
      <c r="W49" s="6"/>
      <c r="X49" s="6"/>
      <c r="Y49" s="6"/>
    </row>
    <row r="50" spans="1:25" ht="12.75" x14ac:dyDescent="0.2">
      <c r="A50" s="10"/>
      <c r="B50" s="1"/>
      <c r="D50" s="6"/>
      <c r="E50" s="9"/>
      <c r="F50" s="9"/>
      <c r="G50" s="11"/>
      <c r="H50" s="5"/>
      <c r="I50" s="6"/>
      <c r="K50" s="9"/>
      <c r="L50" s="9"/>
      <c r="M50" s="9"/>
      <c r="N50" s="6"/>
      <c r="O50" s="6"/>
      <c r="P50" s="6"/>
      <c r="Q50" s="6"/>
      <c r="R50" s="6"/>
      <c r="S50" s="5"/>
      <c r="T50" s="5"/>
      <c r="U50" s="5"/>
      <c r="V50" s="5"/>
      <c r="W50" s="9"/>
      <c r="X50" s="5"/>
      <c r="Y50" s="5"/>
    </row>
    <row r="51" spans="1:25" ht="12.75" x14ac:dyDescent="0.2">
      <c r="A51" s="10"/>
      <c r="B51" s="1"/>
      <c r="D51" s="6"/>
      <c r="E51" s="9"/>
      <c r="F51" s="9"/>
      <c r="G51" s="11"/>
      <c r="H51" s="5"/>
      <c r="I51" s="6"/>
      <c r="K51" s="6"/>
      <c r="L51" s="6"/>
      <c r="M51" s="6"/>
      <c r="N51" s="6"/>
      <c r="O51" s="6"/>
      <c r="P51" s="6"/>
      <c r="Q51" s="6"/>
      <c r="R51" s="6"/>
      <c r="S51" s="6"/>
      <c r="T51" s="6"/>
      <c r="U51" s="6"/>
      <c r="V51" s="6"/>
      <c r="W51" s="6"/>
      <c r="X51" s="6"/>
      <c r="Y51" s="6"/>
    </row>
    <row r="52" spans="1:25" ht="12.75" x14ac:dyDescent="0.2">
      <c r="A52" s="10"/>
      <c r="B52" s="1"/>
      <c r="D52" s="6"/>
      <c r="E52" s="9"/>
      <c r="F52" s="9"/>
      <c r="G52" s="11"/>
      <c r="H52" s="5"/>
      <c r="I52" s="6"/>
      <c r="K52" s="6"/>
      <c r="L52" s="6"/>
      <c r="M52" s="6"/>
      <c r="N52" s="6"/>
      <c r="O52" s="6"/>
      <c r="P52" s="6"/>
      <c r="Q52" s="6"/>
      <c r="R52" s="5"/>
      <c r="S52" s="6"/>
      <c r="T52" s="6"/>
      <c r="U52" s="6"/>
      <c r="V52" s="6"/>
      <c r="W52" s="6"/>
      <c r="X52" s="6"/>
      <c r="Y52" s="6"/>
    </row>
    <row r="53" spans="1:25" ht="12.75" x14ac:dyDescent="0.2">
      <c r="A53" s="10"/>
      <c r="B53" s="1"/>
      <c r="D53" s="6"/>
      <c r="E53" s="9"/>
      <c r="F53" s="9"/>
      <c r="G53" s="11"/>
      <c r="H53" s="5"/>
      <c r="I53" s="6"/>
      <c r="K53" s="6"/>
      <c r="L53" s="6"/>
      <c r="M53" s="6"/>
      <c r="N53" s="9"/>
      <c r="O53" s="9"/>
      <c r="P53" s="9"/>
      <c r="Q53" s="9"/>
      <c r="R53" s="6"/>
      <c r="S53" s="6"/>
      <c r="T53" s="6"/>
      <c r="U53" s="6"/>
      <c r="V53" s="6"/>
      <c r="W53" s="6"/>
      <c r="X53" s="6"/>
      <c r="Y53" s="6"/>
    </row>
    <row r="54" spans="1:25" ht="12.75" x14ac:dyDescent="0.2">
      <c r="A54" s="10"/>
      <c r="B54" s="1"/>
      <c r="D54" s="6"/>
      <c r="E54" s="9"/>
      <c r="F54" s="9"/>
      <c r="G54" s="11"/>
      <c r="H54" s="5"/>
      <c r="I54" s="6"/>
      <c r="K54" s="6"/>
      <c r="L54" s="6"/>
      <c r="M54" s="6"/>
      <c r="N54" s="6"/>
      <c r="O54" s="6"/>
      <c r="P54" s="6"/>
      <c r="Q54" s="6"/>
      <c r="R54" s="6"/>
      <c r="S54" s="6"/>
      <c r="T54" s="6"/>
      <c r="U54" s="6"/>
      <c r="V54" s="6"/>
      <c r="W54" s="6"/>
      <c r="X54" s="6"/>
      <c r="Y54" s="6"/>
    </row>
    <row r="55" spans="1:25" ht="12.75" x14ac:dyDescent="0.2">
      <c r="A55" s="10"/>
      <c r="B55" s="1"/>
      <c r="D55" s="6"/>
      <c r="E55" s="9"/>
      <c r="F55" s="9"/>
      <c r="G55" s="11"/>
      <c r="H55" s="5"/>
      <c r="I55" s="6"/>
      <c r="K55" s="6"/>
      <c r="L55" s="6"/>
      <c r="M55" s="6"/>
      <c r="N55" s="6"/>
      <c r="O55" s="6"/>
      <c r="P55" s="6"/>
      <c r="Q55" s="6"/>
      <c r="R55" s="6"/>
      <c r="S55" s="6"/>
      <c r="T55" s="6"/>
      <c r="U55" s="6"/>
      <c r="V55" s="6"/>
      <c r="W55" s="6"/>
      <c r="X55" s="6"/>
      <c r="Y55" s="6"/>
    </row>
    <row r="56" spans="1:25" ht="12.75" x14ac:dyDescent="0.2">
      <c r="A56" s="10"/>
      <c r="B56" s="1"/>
      <c r="D56" s="6"/>
      <c r="E56" s="9"/>
      <c r="F56" s="9"/>
      <c r="G56" s="11"/>
      <c r="H56" s="5"/>
      <c r="I56" s="6"/>
      <c r="K56" s="6"/>
      <c r="L56" s="6"/>
      <c r="M56" s="6"/>
      <c r="N56" s="6"/>
      <c r="O56" s="6"/>
      <c r="P56" s="6"/>
      <c r="Q56" s="6"/>
      <c r="R56" s="6"/>
      <c r="S56" s="6"/>
      <c r="T56" s="6"/>
      <c r="U56" s="6"/>
      <c r="V56" s="6"/>
      <c r="W56" s="6"/>
      <c r="X56" s="6"/>
      <c r="Y56" s="6"/>
    </row>
    <row r="57" spans="1:25" ht="12.75" x14ac:dyDescent="0.2">
      <c r="A57" s="10"/>
      <c r="B57" s="6"/>
      <c r="C57" s="6"/>
      <c r="D57" s="6"/>
      <c r="E57" s="9"/>
      <c r="F57" s="9"/>
      <c r="G57" s="11"/>
      <c r="H57" s="5"/>
      <c r="I57" s="6"/>
      <c r="J57" s="6"/>
      <c r="K57" s="6"/>
      <c r="L57" s="6"/>
      <c r="M57" s="6"/>
      <c r="N57" s="6"/>
      <c r="O57" s="6"/>
      <c r="P57" s="6"/>
      <c r="Q57" s="6"/>
      <c r="R57" s="6"/>
      <c r="S57" s="6"/>
      <c r="T57" s="6"/>
      <c r="U57" s="6"/>
      <c r="V57" s="6"/>
      <c r="W57" s="6"/>
      <c r="X57" s="6"/>
      <c r="Y57" s="6"/>
    </row>
    <row r="58" spans="1:25" ht="12.75" x14ac:dyDescent="0.2">
      <c r="A58" s="10"/>
      <c r="B58" s="6"/>
      <c r="C58" s="6"/>
      <c r="D58" s="6"/>
      <c r="E58" s="9"/>
      <c r="F58" s="9"/>
      <c r="G58" s="11"/>
      <c r="H58" s="5"/>
      <c r="I58" s="6"/>
      <c r="J58" s="6"/>
      <c r="K58" s="6"/>
      <c r="L58" s="6"/>
      <c r="M58" s="6"/>
      <c r="N58" s="6"/>
      <c r="O58" s="6"/>
      <c r="P58" s="6"/>
      <c r="Q58" s="6"/>
      <c r="R58" s="6"/>
      <c r="S58" s="6"/>
      <c r="T58" s="6"/>
      <c r="U58" s="6"/>
      <c r="V58" s="6"/>
      <c r="W58" s="6"/>
      <c r="X58" s="6"/>
      <c r="Y58" s="6"/>
    </row>
    <row r="59" spans="1:25" ht="12.75" x14ac:dyDescent="0.2">
      <c r="A59" s="10"/>
      <c r="B59" s="6"/>
      <c r="C59" s="6"/>
      <c r="D59" s="6"/>
      <c r="E59" s="9"/>
      <c r="F59" s="9"/>
      <c r="G59" s="11"/>
      <c r="H59" s="5"/>
      <c r="I59" s="6"/>
      <c r="J59" s="6"/>
      <c r="K59" s="6"/>
      <c r="L59" s="6"/>
      <c r="M59" s="6"/>
      <c r="N59" s="6"/>
      <c r="O59" s="6"/>
      <c r="P59" s="6"/>
      <c r="Q59" s="6"/>
      <c r="R59" s="6"/>
      <c r="S59" s="6"/>
      <c r="T59" s="6"/>
      <c r="U59" s="6"/>
      <c r="V59" s="6"/>
      <c r="W59" s="6"/>
      <c r="X59" s="6"/>
      <c r="Y59" s="6"/>
    </row>
    <row r="60" spans="1:25" ht="12.75" x14ac:dyDescent="0.2">
      <c r="A60" s="10"/>
      <c r="B60" s="6"/>
      <c r="C60" s="6"/>
      <c r="D60" s="6"/>
      <c r="E60" s="9"/>
      <c r="F60" s="9"/>
      <c r="G60" s="11"/>
      <c r="H60" s="5"/>
      <c r="I60" s="6"/>
      <c r="J60" s="6"/>
      <c r="K60" s="6"/>
      <c r="L60" s="6"/>
      <c r="M60" s="6"/>
      <c r="N60" s="6"/>
      <c r="O60" s="6"/>
      <c r="P60" s="6"/>
      <c r="Q60" s="6"/>
      <c r="R60" s="6"/>
      <c r="S60" s="6"/>
      <c r="T60" s="6"/>
      <c r="U60" s="6"/>
      <c r="V60" s="6"/>
      <c r="W60" s="6"/>
      <c r="X60" s="6"/>
      <c r="Y60" s="6"/>
    </row>
    <row r="61" spans="1:25" ht="12.75" x14ac:dyDescent="0.2">
      <c r="A61" s="10"/>
      <c r="B61" s="6"/>
      <c r="C61" s="6"/>
      <c r="D61" s="6"/>
      <c r="E61" s="9"/>
      <c r="F61" s="9"/>
      <c r="G61" s="11"/>
      <c r="H61" s="5"/>
      <c r="I61" s="6"/>
      <c r="J61" s="6"/>
      <c r="K61" s="6"/>
      <c r="L61" s="6"/>
      <c r="M61" s="6"/>
      <c r="N61" s="6"/>
      <c r="O61" s="6"/>
      <c r="P61" s="6"/>
      <c r="Q61" s="6"/>
      <c r="R61" s="6"/>
      <c r="S61" s="6"/>
      <c r="T61" s="6"/>
      <c r="U61" s="6"/>
      <c r="V61" s="6"/>
      <c r="W61" s="6"/>
      <c r="X61" s="6"/>
      <c r="Y61" s="6"/>
    </row>
    <row r="62" spans="1:25" ht="12.75" x14ac:dyDescent="0.2">
      <c r="A62" s="10"/>
      <c r="B62" s="6"/>
      <c r="C62" s="6"/>
      <c r="D62" s="6"/>
      <c r="E62" s="9"/>
      <c r="F62" s="9"/>
      <c r="G62" s="11"/>
      <c r="H62" s="5"/>
      <c r="I62" s="6"/>
      <c r="J62" s="6"/>
      <c r="K62" s="6"/>
      <c r="L62" s="6"/>
      <c r="M62" s="6"/>
      <c r="N62" s="6"/>
      <c r="O62" s="6"/>
      <c r="P62" s="6"/>
      <c r="Q62" s="6"/>
      <c r="R62" s="6"/>
      <c r="S62" s="6"/>
      <c r="T62" s="6"/>
      <c r="U62" s="6"/>
      <c r="V62" s="6"/>
      <c r="W62" s="6"/>
      <c r="X62" s="6"/>
      <c r="Y62" s="6"/>
    </row>
    <row r="63" spans="1:25" ht="12.75" x14ac:dyDescent="0.2">
      <c r="A63" s="10"/>
      <c r="B63" s="6"/>
      <c r="C63" s="6"/>
      <c r="D63" s="6"/>
      <c r="E63" s="9"/>
      <c r="F63" s="9"/>
      <c r="G63" s="11"/>
      <c r="H63" s="5"/>
      <c r="I63" s="6"/>
      <c r="J63" s="6"/>
      <c r="K63" s="6"/>
      <c r="L63" s="6"/>
      <c r="M63" s="6"/>
      <c r="N63" s="6"/>
      <c r="O63" s="6"/>
      <c r="P63" s="6"/>
      <c r="Q63" s="6"/>
      <c r="R63" s="6"/>
      <c r="S63" s="6"/>
      <c r="T63" s="6"/>
      <c r="U63" s="6"/>
      <c r="V63" s="6"/>
      <c r="W63" s="6"/>
      <c r="X63" s="6"/>
      <c r="Y63" s="6"/>
    </row>
    <row r="64" spans="1:25" ht="12.75" x14ac:dyDescent="0.2">
      <c r="A64" s="10"/>
      <c r="B64" s="6"/>
      <c r="C64" s="6"/>
      <c r="D64" s="6"/>
      <c r="E64" s="9"/>
      <c r="F64" s="9"/>
      <c r="G64" s="11"/>
      <c r="H64" s="5"/>
      <c r="I64" s="6"/>
      <c r="J64" s="6"/>
      <c r="K64" s="6"/>
      <c r="L64" s="6"/>
      <c r="M64" s="6"/>
      <c r="N64" s="6"/>
      <c r="O64" s="6"/>
      <c r="P64" s="6"/>
      <c r="Q64" s="6"/>
      <c r="R64" s="6"/>
      <c r="S64" s="6"/>
      <c r="T64" s="6"/>
      <c r="U64" s="6"/>
      <c r="V64" s="6"/>
      <c r="W64" s="6"/>
      <c r="X64" s="6"/>
      <c r="Y64" s="6"/>
    </row>
    <row r="65" spans="1:25" ht="12.75" x14ac:dyDescent="0.2">
      <c r="A65" s="10"/>
      <c r="B65" s="6"/>
      <c r="C65" s="6"/>
      <c r="D65" s="6"/>
      <c r="E65" s="9"/>
      <c r="F65" s="9"/>
      <c r="G65" s="11"/>
      <c r="H65" s="5"/>
      <c r="I65" s="6"/>
      <c r="J65" s="6"/>
      <c r="K65" s="6"/>
      <c r="L65" s="6"/>
      <c r="M65" s="6"/>
      <c r="N65" s="6"/>
      <c r="O65" s="6"/>
      <c r="P65" s="6"/>
      <c r="Q65" s="6"/>
      <c r="R65" s="6"/>
      <c r="S65" s="6"/>
      <c r="T65" s="6"/>
      <c r="U65" s="6"/>
      <c r="V65" s="6"/>
      <c r="W65" s="6"/>
      <c r="X65" s="6"/>
      <c r="Y65" s="6"/>
    </row>
    <row r="66" spans="1:25" ht="12.75" x14ac:dyDescent="0.2">
      <c r="A66" s="10"/>
      <c r="B66" s="6"/>
      <c r="C66" s="6"/>
      <c r="D66" s="6"/>
      <c r="E66" s="9"/>
      <c r="F66" s="9"/>
      <c r="G66" s="11"/>
      <c r="H66" s="5"/>
      <c r="I66" s="6"/>
      <c r="J66" s="6"/>
      <c r="K66" s="6"/>
      <c r="L66" s="6"/>
      <c r="M66" s="6"/>
      <c r="N66" s="6"/>
      <c r="O66" s="6"/>
      <c r="P66" s="6"/>
      <c r="Q66" s="6"/>
      <c r="R66" s="6"/>
      <c r="S66" s="6"/>
      <c r="T66" s="6"/>
      <c r="U66" s="6"/>
      <c r="V66" s="6"/>
      <c r="W66" s="6"/>
      <c r="X66" s="6"/>
      <c r="Y66" s="6"/>
    </row>
    <row r="67" spans="1:25" ht="12.75" x14ac:dyDescent="0.2">
      <c r="A67" s="10"/>
      <c r="B67" s="6"/>
      <c r="C67" s="6"/>
      <c r="D67" s="6"/>
      <c r="E67" s="9"/>
      <c r="F67" s="9"/>
      <c r="G67" s="11"/>
      <c r="H67" s="5"/>
      <c r="I67" s="6"/>
      <c r="J67" s="6"/>
      <c r="K67" s="6"/>
      <c r="L67" s="6"/>
      <c r="M67" s="6"/>
      <c r="N67" s="6"/>
      <c r="O67" s="6"/>
      <c r="P67" s="6"/>
      <c r="Q67" s="6"/>
      <c r="R67" s="6"/>
      <c r="S67" s="6"/>
      <c r="T67" s="6"/>
      <c r="U67" s="6"/>
      <c r="V67" s="6"/>
      <c r="W67" s="6"/>
      <c r="X67" s="6"/>
      <c r="Y67" s="6"/>
    </row>
    <row r="68" spans="1:25" ht="12.75" x14ac:dyDescent="0.2">
      <c r="A68" s="10"/>
      <c r="B68" s="6"/>
      <c r="C68" s="6"/>
      <c r="D68" s="6"/>
      <c r="E68" s="9"/>
      <c r="F68" s="9"/>
      <c r="G68" s="11"/>
      <c r="H68" s="5"/>
      <c r="I68" s="6"/>
      <c r="J68" s="6"/>
      <c r="K68" s="9"/>
      <c r="L68" s="9"/>
      <c r="M68" s="9"/>
      <c r="N68" s="6"/>
      <c r="O68" s="6"/>
      <c r="P68" s="6"/>
      <c r="Q68" s="6"/>
      <c r="R68" s="6"/>
      <c r="S68" s="5"/>
      <c r="T68" s="5"/>
      <c r="U68" s="5"/>
      <c r="V68" s="5"/>
      <c r="W68" s="9"/>
      <c r="X68" s="5"/>
      <c r="Y68" s="5"/>
    </row>
    <row r="69" spans="1:25" ht="12.75" x14ac:dyDescent="0.2">
      <c r="A69" s="10"/>
      <c r="B69" s="6"/>
      <c r="C69" s="6"/>
      <c r="D69" s="6"/>
      <c r="E69" s="9"/>
      <c r="F69" s="9"/>
      <c r="G69" s="11"/>
      <c r="H69" s="5"/>
      <c r="I69" s="6"/>
      <c r="J69" s="6"/>
      <c r="K69" s="6"/>
      <c r="L69" s="6"/>
      <c r="M69" s="6"/>
      <c r="N69" s="6"/>
      <c r="O69" s="6"/>
      <c r="P69" s="6"/>
      <c r="Q69" s="6"/>
      <c r="R69" s="6"/>
      <c r="S69" s="6"/>
      <c r="T69" s="6"/>
      <c r="U69" s="6"/>
      <c r="V69" s="6"/>
      <c r="W69" s="6"/>
      <c r="X69" s="6"/>
      <c r="Y69" s="6"/>
    </row>
    <row r="70" spans="1:25" ht="12.75" x14ac:dyDescent="0.2">
      <c r="A70" s="10"/>
      <c r="B70" s="6"/>
      <c r="C70" s="6"/>
      <c r="D70" s="6"/>
      <c r="E70" s="9"/>
      <c r="F70" s="9"/>
      <c r="G70" s="11"/>
      <c r="H70" s="5"/>
      <c r="I70" s="6"/>
      <c r="J70" s="6"/>
      <c r="K70" s="6"/>
      <c r="L70" s="6"/>
      <c r="M70" s="6"/>
      <c r="N70" s="6"/>
      <c r="O70" s="6"/>
      <c r="P70" s="6"/>
      <c r="Q70" s="6"/>
      <c r="R70" s="5"/>
      <c r="S70" s="6"/>
      <c r="T70" s="6"/>
      <c r="U70" s="6"/>
      <c r="V70" s="6"/>
      <c r="W70" s="6"/>
      <c r="X70" s="6"/>
      <c r="Y70" s="6"/>
    </row>
    <row r="71" spans="1:25" ht="12.75" x14ac:dyDescent="0.2">
      <c r="A71" s="10"/>
      <c r="B71" s="6"/>
      <c r="C71" s="6"/>
      <c r="D71" s="6"/>
      <c r="E71" s="9"/>
      <c r="F71" s="9"/>
      <c r="G71" s="11"/>
      <c r="H71" s="5"/>
      <c r="I71" s="6"/>
      <c r="J71" s="6"/>
      <c r="K71" s="6"/>
      <c r="L71" s="6"/>
      <c r="M71" s="6"/>
      <c r="N71" s="9"/>
      <c r="O71" s="9"/>
      <c r="P71" s="9"/>
      <c r="Q71" s="9"/>
      <c r="R71" s="6"/>
      <c r="S71" s="6"/>
      <c r="T71" s="6"/>
      <c r="U71" s="6"/>
      <c r="V71" s="6"/>
      <c r="W71" s="6"/>
      <c r="X71" s="6"/>
      <c r="Y71" s="6"/>
    </row>
    <row r="72" spans="1:25" ht="12.75" x14ac:dyDescent="0.2">
      <c r="A72" s="10"/>
      <c r="B72" s="6"/>
      <c r="C72" s="6"/>
      <c r="D72" s="6"/>
      <c r="E72" s="9"/>
      <c r="F72" s="9"/>
      <c r="G72" s="11"/>
      <c r="H72" s="5"/>
      <c r="I72" s="6"/>
      <c r="J72" s="6"/>
      <c r="K72" s="6"/>
      <c r="L72" s="6"/>
      <c r="M72" s="6"/>
      <c r="N72" s="6"/>
      <c r="O72" s="6"/>
      <c r="P72" s="6"/>
      <c r="Q72" s="6"/>
      <c r="R72" s="6"/>
      <c r="S72" s="6"/>
      <c r="T72" s="6"/>
      <c r="U72" s="6"/>
      <c r="V72" s="6"/>
      <c r="W72" s="6"/>
      <c r="X72" s="6"/>
      <c r="Y72" s="6"/>
    </row>
    <row r="73" spans="1:25" ht="12.75" x14ac:dyDescent="0.2">
      <c r="A73" s="10"/>
      <c r="B73" s="6"/>
      <c r="C73" s="6"/>
      <c r="D73" s="6"/>
      <c r="E73" s="9"/>
      <c r="F73" s="9"/>
      <c r="G73" s="11"/>
      <c r="H73" s="5"/>
      <c r="I73" s="6"/>
      <c r="J73" s="6"/>
      <c r="K73" s="6"/>
      <c r="L73" s="6"/>
      <c r="M73" s="6"/>
      <c r="N73" s="6"/>
      <c r="O73" s="6"/>
      <c r="P73" s="6"/>
      <c r="Q73" s="6"/>
      <c r="R73" s="6"/>
      <c r="S73" s="6"/>
      <c r="T73" s="6"/>
      <c r="U73" s="6"/>
      <c r="V73" s="6"/>
      <c r="W73" s="6"/>
      <c r="X73" s="6"/>
      <c r="Y73" s="6"/>
    </row>
    <row r="74" spans="1:25" ht="12.75" x14ac:dyDescent="0.2">
      <c r="B74" s="6"/>
      <c r="C74" s="6"/>
      <c r="D74" s="6"/>
      <c r="E74" s="9"/>
      <c r="F74" s="9"/>
      <c r="G74" s="11"/>
      <c r="H74" s="5"/>
      <c r="I74" s="6"/>
      <c r="J74" s="6"/>
      <c r="K74" s="6"/>
      <c r="L74" s="6"/>
      <c r="M74" s="6"/>
      <c r="N74" s="6"/>
      <c r="O74" s="6"/>
      <c r="P74" s="6"/>
      <c r="Q74" s="6"/>
      <c r="R74" s="6"/>
      <c r="S74" s="6"/>
      <c r="T74" s="6"/>
      <c r="U74" s="6"/>
      <c r="V74" s="6"/>
      <c r="W74" s="6"/>
      <c r="X74" s="6"/>
      <c r="Y74" s="6"/>
    </row>
    <row r="75" spans="1:25" ht="12.75" x14ac:dyDescent="0.2">
      <c r="B75" s="6"/>
      <c r="C75" s="6"/>
      <c r="D75" s="6"/>
      <c r="E75" s="9"/>
      <c r="F75" s="9"/>
      <c r="G75" s="11"/>
      <c r="H75" s="5"/>
      <c r="K75" s="6"/>
      <c r="L75" s="6"/>
      <c r="M75" s="6"/>
      <c r="N75" s="6"/>
      <c r="O75" s="6"/>
      <c r="P75" s="6"/>
      <c r="Q75" s="6"/>
      <c r="R75" s="6"/>
      <c r="S75" s="6"/>
      <c r="T75" s="6"/>
      <c r="U75" s="6"/>
      <c r="V75" s="6"/>
      <c r="W75" s="6"/>
      <c r="X75" s="6"/>
      <c r="Y75" s="6"/>
    </row>
    <row r="76" spans="1:25" ht="12.75" x14ac:dyDescent="0.2">
      <c r="A76" s="10"/>
      <c r="B76" s="6"/>
      <c r="C76" s="6"/>
      <c r="D76" s="6"/>
      <c r="E76" s="9"/>
      <c r="F76" s="9"/>
      <c r="G76" s="11"/>
      <c r="H76" s="5"/>
      <c r="I76" s="6"/>
      <c r="J76" s="6"/>
      <c r="K76" s="6"/>
      <c r="L76" s="6"/>
      <c r="M76" s="6"/>
      <c r="N76" s="6"/>
      <c r="O76" s="6"/>
      <c r="P76" s="6"/>
      <c r="Q76" s="6"/>
      <c r="R76" s="6"/>
      <c r="S76" s="6"/>
      <c r="T76" s="6"/>
      <c r="U76" s="6"/>
      <c r="V76" s="6"/>
      <c r="W76" s="6"/>
      <c r="X76" s="6"/>
      <c r="Y76" s="6"/>
    </row>
    <row r="77" spans="1:25" ht="12.75" x14ac:dyDescent="0.2">
      <c r="A77" s="10"/>
      <c r="B77" s="6"/>
      <c r="C77" s="6"/>
      <c r="D77" s="6"/>
      <c r="E77" s="9"/>
      <c r="F77" s="9"/>
      <c r="G77" s="11"/>
      <c r="H77" s="5"/>
      <c r="I77" s="6"/>
      <c r="J77" s="6"/>
      <c r="K77" s="6"/>
      <c r="L77" s="6"/>
      <c r="M77" s="6"/>
      <c r="N77" s="6"/>
      <c r="O77" s="6"/>
      <c r="P77" s="6"/>
      <c r="Q77" s="6"/>
      <c r="R77" s="6"/>
      <c r="S77" s="6"/>
      <c r="T77" s="6"/>
      <c r="U77" s="6"/>
      <c r="V77" s="6"/>
      <c r="W77" s="6"/>
      <c r="X77" s="6"/>
      <c r="Y77" s="6"/>
    </row>
    <row r="78" spans="1:25" ht="12.75" x14ac:dyDescent="0.2">
      <c r="A78" s="10"/>
      <c r="B78" s="6"/>
      <c r="C78" s="6"/>
      <c r="D78" s="6"/>
      <c r="E78" s="9"/>
      <c r="F78" s="9"/>
      <c r="G78" s="11"/>
      <c r="H78" s="5"/>
      <c r="I78" s="6"/>
      <c r="J78" s="6"/>
      <c r="K78" s="6"/>
      <c r="L78" s="6"/>
      <c r="M78" s="6"/>
      <c r="N78" s="6"/>
      <c r="O78" s="6"/>
      <c r="P78" s="6"/>
      <c r="Q78" s="6"/>
      <c r="R78" s="6"/>
      <c r="S78" s="6"/>
      <c r="T78" s="6"/>
      <c r="U78" s="6"/>
      <c r="V78" s="6"/>
      <c r="W78" s="6"/>
      <c r="X78" s="6"/>
      <c r="Y78" s="6"/>
    </row>
    <row r="79" spans="1:25" ht="12.75" x14ac:dyDescent="0.2">
      <c r="A79" s="10"/>
      <c r="B79" s="6"/>
      <c r="C79" s="6"/>
      <c r="D79" s="6"/>
      <c r="E79" s="9"/>
      <c r="F79" s="9"/>
      <c r="G79" s="11"/>
      <c r="H79" s="5"/>
      <c r="I79" s="6"/>
      <c r="J79" s="6"/>
      <c r="K79" s="6"/>
      <c r="L79" s="6"/>
      <c r="M79" s="6"/>
      <c r="N79" s="6"/>
      <c r="O79" s="6"/>
      <c r="P79" s="6"/>
      <c r="Q79" s="6"/>
      <c r="R79" s="6"/>
      <c r="S79" s="6"/>
      <c r="T79" s="6"/>
      <c r="U79" s="6"/>
      <c r="V79" s="6"/>
      <c r="W79" s="6"/>
      <c r="X79" s="6"/>
      <c r="Y79" s="6"/>
    </row>
    <row r="80" spans="1:25" ht="12.75" x14ac:dyDescent="0.2">
      <c r="A80" s="10"/>
      <c r="B80" s="6"/>
      <c r="C80" s="6"/>
      <c r="D80" s="6"/>
      <c r="E80" s="9"/>
      <c r="F80" s="9"/>
      <c r="G80" s="11"/>
      <c r="H80" s="5"/>
      <c r="I80" s="6"/>
      <c r="J80" s="6"/>
      <c r="K80" s="6"/>
      <c r="L80" s="6"/>
      <c r="M80" s="6"/>
      <c r="N80" s="6"/>
      <c r="O80" s="6"/>
      <c r="P80" s="6"/>
      <c r="Q80" s="6"/>
      <c r="R80" s="6"/>
      <c r="S80" s="6"/>
      <c r="T80" s="6"/>
      <c r="U80" s="6"/>
      <c r="V80" s="6"/>
      <c r="W80" s="6"/>
      <c r="X80" s="6"/>
      <c r="Y80" s="6"/>
    </row>
    <row r="81" spans="1:25" ht="12.75" x14ac:dyDescent="0.2">
      <c r="A81" s="10"/>
      <c r="B81" s="6"/>
      <c r="C81" s="6"/>
      <c r="D81" s="6"/>
      <c r="E81" s="9"/>
      <c r="F81" s="9"/>
      <c r="G81" s="11"/>
      <c r="H81" s="5"/>
      <c r="I81" s="6"/>
      <c r="J81" s="6"/>
      <c r="K81" s="6"/>
      <c r="L81" s="6"/>
      <c r="M81" s="6"/>
      <c r="N81" s="6"/>
      <c r="O81" s="6"/>
      <c r="P81" s="6"/>
      <c r="Q81" s="6"/>
      <c r="R81" s="6"/>
      <c r="S81" s="6"/>
      <c r="T81" s="6"/>
      <c r="U81" s="6"/>
      <c r="V81" s="6"/>
      <c r="W81" s="6"/>
      <c r="X81" s="6"/>
      <c r="Y81" s="6"/>
    </row>
    <row r="82" spans="1:25" ht="12.75" x14ac:dyDescent="0.2">
      <c r="A82" s="10"/>
      <c r="B82" s="6"/>
      <c r="C82" s="6"/>
      <c r="D82" s="6"/>
      <c r="E82" s="9"/>
      <c r="F82" s="9"/>
      <c r="G82" s="11"/>
      <c r="H82" s="5"/>
      <c r="I82" s="6"/>
      <c r="J82" s="6"/>
      <c r="K82" s="6"/>
      <c r="L82" s="6"/>
      <c r="M82" s="6"/>
      <c r="N82" s="6"/>
      <c r="O82" s="6"/>
      <c r="P82" s="6"/>
      <c r="Q82" s="6"/>
      <c r="R82" s="6"/>
      <c r="S82" s="6"/>
      <c r="T82" s="6"/>
      <c r="U82" s="6"/>
      <c r="V82" s="6"/>
      <c r="W82" s="6"/>
      <c r="X82" s="6"/>
      <c r="Y82" s="6"/>
    </row>
    <row r="83" spans="1:25" ht="12.75" x14ac:dyDescent="0.2">
      <c r="A83" s="10"/>
      <c r="B83" s="6"/>
      <c r="C83" s="6"/>
      <c r="D83" s="6"/>
      <c r="E83" s="9"/>
      <c r="F83" s="9"/>
      <c r="G83" s="11"/>
      <c r="H83" s="5"/>
      <c r="I83" s="6"/>
      <c r="J83" s="6"/>
      <c r="K83" s="6"/>
      <c r="L83" s="6"/>
      <c r="M83" s="6"/>
      <c r="N83" s="6"/>
      <c r="O83" s="6"/>
      <c r="P83" s="6"/>
      <c r="Q83" s="6"/>
      <c r="R83" s="6"/>
      <c r="S83" s="6"/>
      <c r="T83" s="6"/>
      <c r="U83" s="6"/>
      <c r="V83" s="6"/>
      <c r="W83" s="6"/>
      <c r="X83" s="6"/>
      <c r="Y83" s="6"/>
    </row>
    <row r="84" spans="1:25" ht="12.75" x14ac:dyDescent="0.2">
      <c r="A84" s="10"/>
      <c r="B84" s="6"/>
      <c r="C84" s="6"/>
      <c r="D84" s="6"/>
      <c r="E84" s="9"/>
      <c r="F84" s="9"/>
      <c r="G84" s="11"/>
      <c r="H84" s="5"/>
      <c r="I84" s="6"/>
      <c r="J84" s="6"/>
      <c r="K84" s="6"/>
      <c r="L84" s="6"/>
      <c r="M84" s="6"/>
      <c r="N84" s="6"/>
      <c r="O84" s="6"/>
      <c r="P84" s="6"/>
      <c r="Q84" s="6"/>
      <c r="R84" s="6"/>
      <c r="S84" s="6"/>
      <c r="T84" s="6"/>
      <c r="U84" s="6"/>
      <c r="V84" s="6"/>
      <c r="W84" s="6"/>
      <c r="X84" s="6"/>
      <c r="Y84" s="6"/>
    </row>
    <row r="85" spans="1:25" ht="12.75" x14ac:dyDescent="0.2">
      <c r="A85" s="10"/>
      <c r="B85" s="6"/>
      <c r="C85" s="6"/>
      <c r="D85" s="6"/>
      <c r="E85" s="9"/>
      <c r="F85" s="9"/>
      <c r="G85" s="11"/>
      <c r="H85" s="5"/>
      <c r="I85" s="6"/>
      <c r="J85" s="6"/>
      <c r="K85" s="9"/>
      <c r="L85" s="9"/>
      <c r="M85" s="9"/>
      <c r="N85" s="6"/>
      <c r="O85" s="6"/>
      <c r="P85" s="6"/>
      <c r="Q85" s="6"/>
      <c r="R85" s="6"/>
      <c r="S85" s="5"/>
      <c r="T85" s="5"/>
      <c r="U85" s="5"/>
      <c r="V85" s="5"/>
      <c r="W85" s="9"/>
      <c r="X85" s="5"/>
      <c r="Y85" s="5"/>
    </row>
    <row r="86" spans="1:25" ht="12.75" x14ac:dyDescent="0.2">
      <c r="A86" s="10"/>
      <c r="B86" s="6"/>
      <c r="C86" s="6"/>
      <c r="D86" s="6"/>
      <c r="E86" s="9"/>
      <c r="F86" s="9"/>
      <c r="G86" s="11"/>
      <c r="H86" s="5"/>
      <c r="I86" s="6"/>
      <c r="J86" s="6"/>
      <c r="K86" s="6"/>
      <c r="L86" s="6"/>
      <c r="M86" s="6"/>
      <c r="N86" s="6"/>
      <c r="O86" s="6"/>
      <c r="P86" s="6"/>
      <c r="Q86" s="6"/>
      <c r="R86" s="6"/>
      <c r="S86" s="6"/>
      <c r="T86" s="6"/>
      <c r="U86" s="6"/>
      <c r="V86" s="6"/>
      <c r="W86" s="6"/>
      <c r="X86" s="6"/>
      <c r="Y86" s="6"/>
    </row>
    <row r="87" spans="1:25" ht="12.75" x14ac:dyDescent="0.2">
      <c r="A87" s="10"/>
      <c r="B87" s="6"/>
      <c r="C87" s="6"/>
      <c r="D87" s="6"/>
      <c r="E87" s="9"/>
      <c r="F87" s="9"/>
      <c r="G87" s="11"/>
      <c r="H87" s="5"/>
      <c r="I87" s="6"/>
      <c r="J87" s="6"/>
      <c r="K87" s="6"/>
      <c r="L87" s="6"/>
      <c r="M87" s="6"/>
      <c r="N87" s="6"/>
      <c r="O87" s="6"/>
      <c r="P87" s="6"/>
      <c r="Q87" s="6"/>
      <c r="R87" s="5"/>
      <c r="S87" s="6"/>
      <c r="T87" s="6"/>
      <c r="U87" s="6"/>
      <c r="V87" s="6"/>
      <c r="W87" s="6"/>
      <c r="X87" s="6"/>
      <c r="Y87" s="6"/>
    </row>
    <row r="88" spans="1:25" ht="12.75" x14ac:dyDescent="0.2">
      <c r="A88" s="10"/>
      <c r="B88" s="6"/>
      <c r="C88" s="6"/>
      <c r="D88" s="6"/>
      <c r="E88" s="9"/>
      <c r="F88" s="9"/>
      <c r="G88" s="11"/>
      <c r="H88" s="5"/>
      <c r="I88" s="6"/>
      <c r="J88" s="6"/>
      <c r="K88" s="6"/>
      <c r="L88" s="6"/>
      <c r="M88" s="6"/>
      <c r="N88" s="9"/>
      <c r="O88" s="9"/>
      <c r="P88" s="9"/>
      <c r="Q88" s="9"/>
      <c r="R88" s="6"/>
      <c r="S88" s="6"/>
      <c r="T88" s="6"/>
      <c r="U88" s="6"/>
      <c r="V88" s="6"/>
      <c r="W88" s="6"/>
      <c r="X88" s="6"/>
      <c r="Y88" s="6"/>
    </row>
    <row r="89" spans="1:25" ht="12.75" x14ac:dyDescent="0.2">
      <c r="A89" s="10"/>
      <c r="B89" s="6"/>
      <c r="C89" s="6"/>
      <c r="D89" s="6"/>
      <c r="E89" s="9"/>
      <c r="F89" s="9"/>
      <c r="G89" s="11"/>
      <c r="H89" s="5"/>
      <c r="I89" s="6"/>
      <c r="J89" s="6"/>
      <c r="K89" s="6"/>
      <c r="L89" s="6"/>
      <c r="M89" s="6"/>
      <c r="N89" s="6"/>
      <c r="O89" s="6"/>
      <c r="P89" s="6"/>
      <c r="Q89" s="6"/>
      <c r="R89" s="6"/>
      <c r="S89" s="6"/>
      <c r="T89" s="6"/>
      <c r="U89" s="6"/>
      <c r="V89" s="6"/>
      <c r="W89" s="6"/>
      <c r="X89" s="6"/>
      <c r="Y89" s="6"/>
    </row>
    <row r="90" spans="1:25" ht="12.75" x14ac:dyDescent="0.2">
      <c r="A90" s="10"/>
      <c r="B90" s="6"/>
      <c r="C90" s="6"/>
      <c r="D90" s="6"/>
      <c r="E90" s="9"/>
      <c r="F90" s="9"/>
      <c r="G90" s="11"/>
      <c r="H90" s="5"/>
      <c r="I90" s="6"/>
      <c r="J90" s="6"/>
      <c r="K90" s="6"/>
      <c r="L90" s="6"/>
      <c r="M90" s="6"/>
      <c r="N90" s="6"/>
      <c r="O90" s="6"/>
      <c r="P90" s="6"/>
      <c r="Q90" s="6"/>
      <c r="R90" s="6"/>
      <c r="S90" s="6"/>
      <c r="T90" s="6"/>
      <c r="U90" s="6"/>
      <c r="V90" s="6"/>
      <c r="W90" s="6"/>
      <c r="X90" s="6"/>
      <c r="Y90" s="6"/>
    </row>
    <row r="91" spans="1:25" ht="12.75" x14ac:dyDescent="0.2">
      <c r="B91" s="6"/>
      <c r="C91" s="6"/>
      <c r="D91" s="6"/>
      <c r="E91" s="9"/>
      <c r="F91" s="9"/>
      <c r="G91" s="11"/>
      <c r="H91" s="5"/>
      <c r="I91" s="6"/>
      <c r="J91" s="6"/>
      <c r="K91" s="6"/>
      <c r="L91" s="6"/>
      <c r="M91" s="6"/>
      <c r="N91" s="6"/>
      <c r="O91" s="6"/>
      <c r="P91" s="6"/>
      <c r="Q91" s="6"/>
      <c r="R91" s="6"/>
      <c r="S91" s="6"/>
      <c r="T91" s="6"/>
      <c r="U91" s="6"/>
      <c r="V91" s="6"/>
      <c r="W91" s="6"/>
      <c r="X91" s="6"/>
      <c r="Y91" s="6"/>
    </row>
    <row r="92" spans="1:25" ht="12.75" x14ac:dyDescent="0.2">
      <c r="A92" s="10"/>
      <c r="B92" s="6"/>
      <c r="C92" s="6"/>
      <c r="D92" s="6"/>
      <c r="E92" s="9"/>
      <c r="F92" s="9"/>
      <c r="G92" s="11"/>
      <c r="H92" s="5"/>
      <c r="I92" s="6"/>
      <c r="J92" s="6"/>
      <c r="K92" s="6"/>
      <c r="L92" s="6"/>
      <c r="M92" s="6"/>
      <c r="N92" s="6"/>
      <c r="O92" s="6"/>
      <c r="P92" s="6"/>
      <c r="Q92" s="6"/>
      <c r="R92" s="6"/>
      <c r="S92" s="6"/>
      <c r="T92" s="6"/>
      <c r="U92" s="6"/>
      <c r="V92" s="6"/>
      <c r="W92" s="6"/>
      <c r="X92" s="6"/>
      <c r="Y92" s="6"/>
    </row>
    <row r="93" spans="1:25" ht="12.75" x14ac:dyDescent="0.2">
      <c r="A93" s="10"/>
      <c r="B93" s="6"/>
      <c r="C93" s="6"/>
      <c r="D93" s="6"/>
      <c r="E93" s="9"/>
      <c r="F93" s="9"/>
      <c r="G93" s="11"/>
      <c r="H93" s="5"/>
      <c r="I93" s="6"/>
      <c r="J93" s="6"/>
      <c r="K93" s="6"/>
      <c r="L93" s="6"/>
      <c r="M93" s="6"/>
      <c r="N93" s="6"/>
      <c r="O93" s="6"/>
      <c r="P93" s="6"/>
      <c r="Q93" s="6"/>
      <c r="R93" s="6"/>
      <c r="S93" s="6"/>
      <c r="T93" s="6"/>
      <c r="U93" s="6"/>
      <c r="V93" s="6"/>
      <c r="W93" s="6"/>
      <c r="X93" s="6"/>
      <c r="Y93" s="6"/>
    </row>
    <row r="94" spans="1:25" ht="12.75" x14ac:dyDescent="0.2">
      <c r="A94" s="10"/>
      <c r="B94" s="6"/>
      <c r="C94" s="6"/>
      <c r="D94" s="6"/>
      <c r="E94" s="9"/>
      <c r="F94" s="9"/>
      <c r="G94" s="11"/>
      <c r="H94" s="5"/>
      <c r="I94" s="6"/>
      <c r="J94" s="6"/>
      <c r="K94" s="6"/>
      <c r="L94" s="6"/>
      <c r="M94" s="6"/>
      <c r="N94" s="6"/>
      <c r="O94" s="6"/>
      <c r="P94" s="6"/>
      <c r="Q94" s="6"/>
      <c r="R94" s="6"/>
      <c r="S94" s="6"/>
      <c r="T94" s="6"/>
      <c r="U94" s="6"/>
      <c r="V94" s="6"/>
      <c r="W94" s="6"/>
      <c r="X94" s="6"/>
      <c r="Y94" s="6"/>
    </row>
    <row r="95" spans="1:25" ht="12.75" x14ac:dyDescent="0.2">
      <c r="A95" s="10"/>
      <c r="B95" s="6"/>
      <c r="C95" s="6"/>
      <c r="D95" s="6"/>
      <c r="E95" s="9"/>
      <c r="F95" s="9"/>
      <c r="G95" s="11"/>
      <c r="H95" s="5"/>
      <c r="I95" s="6"/>
      <c r="J95" s="6"/>
      <c r="K95" s="6"/>
      <c r="L95" s="6"/>
      <c r="M95" s="6"/>
      <c r="N95" s="6"/>
      <c r="O95" s="6"/>
      <c r="P95" s="6"/>
      <c r="Q95" s="6"/>
      <c r="R95" s="6"/>
      <c r="S95" s="6"/>
      <c r="T95" s="6"/>
      <c r="U95" s="6"/>
      <c r="V95" s="6"/>
      <c r="W95" s="6"/>
      <c r="X95" s="6"/>
      <c r="Y95" s="6"/>
    </row>
    <row r="96" spans="1:25" ht="12.75" x14ac:dyDescent="0.2">
      <c r="A96" s="10"/>
      <c r="B96" s="6"/>
      <c r="C96" s="6"/>
      <c r="D96" s="6"/>
      <c r="E96" s="9"/>
      <c r="F96" s="9"/>
      <c r="G96" s="11"/>
      <c r="H96" s="5"/>
      <c r="I96" s="6"/>
      <c r="J96" s="6"/>
      <c r="K96" s="6"/>
      <c r="L96" s="6"/>
      <c r="M96" s="6"/>
      <c r="N96" s="6"/>
      <c r="O96" s="6"/>
      <c r="P96" s="6"/>
      <c r="Q96" s="6"/>
      <c r="R96" s="6"/>
      <c r="S96" s="6"/>
      <c r="T96" s="6"/>
      <c r="U96" s="6"/>
      <c r="V96" s="6"/>
      <c r="W96" s="6"/>
      <c r="X96" s="6"/>
      <c r="Y96" s="6"/>
    </row>
    <row r="97" spans="1:25" ht="12.75" x14ac:dyDescent="0.2">
      <c r="A97" s="10"/>
      <c r="B97" s="6"/>
      <c r="C97" s="6"/>
      <c r="D97" s="6"/>
      <c r="E97" s="9"/>
      <c r="F97" s="9"/>
      <c r="G97" s="11"/>
      <c r="H97" s="5"/>
      <c r="I97" s="6"/>
      <c r="J97" s="6"/>
      <c r="K97" s="6"/>
      <c r="L97" s="6"/>
      <c r="M97" s="6"/>
      <c r="N97" s="6"/>
      <c r="O97" s="6"/>
      <c r="P97" s="6"/>
      <c r="Q97" s="6"/>
      <c r="R97" s="6"/>
      <c r="S97" s="6"/>
      <c r="T97" s="6"/>
      <c r="U97" s="6"/>
      <c r="V97" s="6"/>
      <c r="W97" s="6"/>
      <c r="X97" s="6"/>
      <c r="Y97" s="6"/>
    </row>
    <row r="98" spans="1:25" ht="12.75" x14ac:dyDescent="0.2">
      <c r="A98" s="10"/>
      <c r="B98" s="6"/>
      <c r="C98" s="6"/>
      <c r="D98" s="6"/>
      <c r="E98" s="9"/>
      <c r="F98" s="9"/>
      <c r="G98" s="11"/>
      <c r="H98" s="5"/>
      <c r="I98" s="6"/>
      <c r="J98" s="6"/>
      <c r="K98" s="6"/>
      <c r="L98" s="6"/>
      <c r="M98" s="6"/>
      <c r="N98" s="6"/>
      <c r="O98" s="6"/>
      <c r="P98" s="6"/>
      <c r="Q98" s="6"/>
      <c r="R98" s="6"/>
      <c r="S98" s="6"/>
      <c r="T98" s="6"/>
      <c r="U98" s="6"/>
      <c r="V98" s="6"/>
      <c r="W98" s="6"/>
      <c r="X98" s="6"/>
      <c r="Y98" s="6"/>
    </row>
    <row r="99" spans="1:25" ht="12.75" x14ac:dyDescent="0.2">
      <c r="A99" s="10"/>
      <c r="B99" s="6"/>
      <c r="C99" s="6"/>
      <c r="D99" s="6"/>
      <c r="E99" s="9"/>
      <c r="F99" s="9"/>
      <c r="G99" s="11"/>
      <c r="H99" s="5"/>
      <c r="I99" s="6"/>
      <c r="J99" s="6"/>
      <c r="K99" s="6"/>
      <c r="L99" s="6"/>
      <c r="M99" s="6"/>
      <c r="N99" s="6"/>
      <c r="O99" s="6"/>
      <c r="P99" s="6"/>
      <c r="Q99" s="6"/>
      <c r="R99" s="6"/>
      <c r="S99" s="6"/>
      <c r="T99" s="6"/>
      <c r="U99" s="6"/>
      <c r="V99" s="6"/>
      <c r="W99" s="6"/>
      <c r="X99" s="6"/>
      <c r="Y99" s="6"/>
    </row>
    <row r="100" spans="1:25" ht="12.75" x14ac:dyDescent="0.2">
      <c r="A100" s="10"/>
      <c r="B100" s="6"/>
      <c r="C100" s="6"/>
      <c r="D100" s="6"/>
      <c r="E100" s="9"/>
      <c r="F100" s="9"/>
      <c r="G100" s="11"/>
      <c r="H100" s="5"/>
      <c r="I100" s="6"/>
      <c r="J100" s="6"/>
      <c r="K100" s="6"/>
      <c r="L100" s="6"/>
      <c r="M100" s="6"/>
      <c r="N100" s="6"/>
      <c r="O100" s="6"/>
      <c r="P100" s="6"/>
      <c r="Q100" s="6"/>
      <c r="R100" s="6"/>
      <c r="S100" s="6"/>
      <c r="T100" s="6"/>
      <c r="U100" s="6"/>
      <c r="V100" s="6"/>
      <c r="W100" s="6"/>
      <c r="X100" s="6"/>
      <c r="Y100" s="6"/>
    </row>
    <row r="101" spans="1:25" ht="12.75" x14ac:dyDescent="0.2">
      <c r="A101" s="10"/>
      <c r="B101" s="6"/>
      <c r="C101" s="6"/>
      <c r="D101" s="6"/>
      <c r="E101" s="9"/>
      <c r="F101" s="9"/>
      <c r="G101" s="11"/>
      <c r="H101" s="5"/>
      <c r="I101" s="6"/>
      <c r="J101" s="6"/>
      <c r="K101" s="6"/>
      <c r="L101" s="6"/>
      <c r="M101" s="6"/>
      <c r="N101" s="6"/>
      <c r="O101" s="6"/>
      <c r="P101" s="6"/>
      <c r="Q101" s="6"/>
      <c r="R101" s="6"/>
      <c r="S101" s="6"/>
      <c r="T101" s="6"/>
      <c r="U101" s="6"/>
      <c r="V101" s="6"/>
      <c r="W101" s="6"/>
      <c r="X101" s="6"/>
      <c r="Y101" s="6"/>
    </row>
    <row r="102" spans="1:25" ht="12.75" x14ac:dyDescent="0.2">
      <c r="A102" s="10"/>
      <c r="B102" s="6"/>
      <c r="C102" s="6"/>
      <c r="D102" s="6"/>
      <c r="E102" s="9"/>
      <c r="F102" s="9"/>
      <c r="G102" s="11"/>
      <c r="H102" s="5"/>
      <c r="I102" s="6"/>
      <c r="J102" s="6"/>
      <c r="N102" s="6"/>
      <c r="O102" s="6"/>
      <c r="P102" s="6"/>
      <c r="Q102" s="6"/>
      <c r="R102" s="6"/>
    </row>
    <row r="103" spans="1:25" ht="12.75" x14ac:dyDescent="0.2">
      <c r="A103" s="10"/>
      <c r="B103" s="6"/>
      <c r="C103" s="6"/>
      <c r="D103" s="6"/>
      <c r="E103" s="9"/>
      <c r="F103" s="9"/>
      <c r="G103" s="11"/>
      <c r="H103" s="5"/>
      <c r="I103" s="6"/>
      <c r="J103" s="6"/>
      <c r="K103" s="6"/>
      <c r="L103" s="6"/>
      <c r="M103" s="6"/>
      <c r="N103" s="6"/>
      <c r="O103" s="6"/>
      <c r="P103" s="6"/>
      <c r="Q103" s="6"/>
      <c r="R103" s="6"/>
      <c r="S103" s="6"/>
      <c r="T103" s="6"/>
      <c r="U103" s="6"/>
      <c r="V103" s="6"/>
      <c r="W103" s="6"/>
      <c r="X103" s="6"/>
      <c r="Y103" s="6"/>
    </row>
    <row r="104" spans="1:25" ht="12.75" x14ac:dyDescent="0.2">
      <c r="A104" s="10"/>
      <c r="B104" s="6"/>
      <c r="C104" s="6"/>
      <c r="D104" s="6"/>
      <c r="E104" s="9"/>
      <c r="F104" s="9"/>
      <c r="G104" s="11"/>
      <c r="H104" s="5"/>
      <c r="I104" s="6"/>
      <c r="J104" s="6"/>
      <c r="N104" s="6"/>
      <c r="O104" s="6"/>
      <c r="P104" s="6"/>
      <c r="Q104" s="6"/>
    </row>
    <row r="105" spans="1:25" ht="12.75" x14ac:dyDescent="0.2">
      <c r="A105" s="10"/>
      <c r="B105" s="6"/>
      <c r="C105" s="6"/>
      <c r="D105" s="6"/>
      <c r="E105" s="9"/>
      <c r="F105" s="9"/>
      <c r="G105" s="11"/>
      <c r="H105" s="5"/>
      <c r="I105" s="6"/>
      <c r="J105" s="6"/>
      <c r="K105" s="6"/>
      <c r="L105" s="6"/>
      <c r="M105" s="6"/>
      <c r="R105" s="6"/>
      <c r="S105" s="6"/>
      <c r="T105" s="6"/>
      <c r="U105" s="6"/>
      <c r="V105" s="6"/>
      <c r="W105" s="6"/>
      <c r="X105" s="6"/>
      <c r="Y105" s="6"/>
    </row>
    <row r="106" spans="1:25" ht="12.75" x14ac:dyDescent="0.2">
      <c r="A106" s="10"/>
      <c r="B106" s="6"/>
      <c r="C106" s="6"/>
      <c r="D106" s="6"/>
      <c r="E106" s="9"/>
      <c r="F106" s="9"/>
      <c r="G106" s="11"/>
      <c r="H106" s="5"/>
      <c r="I106" s="8"/>
      <c r="J106" s="8"/>
      <c r="N106" s="6"/>
      <c r="O106" s="6"/>
      <c r="P106" s="6"/>
      <c r="Q106" s="6"/>
    </row>
    <row r="107" spans="1:25" ht="12.75" x14ac:dyDescent="0.2">
      <c r="A107" s="10"/>
      <c r="B107" s="6"/>
      <c r="C107" s="6"/>
      <c r="D107" s="6"/>
      <c r="E107" s="9"/>
      <c r="F107" s="9"/>
      <c r="G107" s="11"/>
      <c r="H107" s="5"/>
      <c r="I107" s="6"/>
      <c r="J107" s="6"/>
      <c r="K107" s="6"/>
      <c r="L107" s="6"/>
      <c r="M107" s="6"/>
      <c r="R107" s="6"/>
      <c r="S107" s="6"/>
      <c r="T107" s="6"/>
      <c r="U107" s="6"/>
      <c r="V107" s="6"/>
      <c r="W107" s="6"/>
      <c r="X107" s="6"/>
      <c r="Y107" s="6"/>
    </row>
    <row r="108" spans="1:25" ht="12.75" x14ac:dyDescent="0.2">
      <c r="A108" s="10"/>
      <c r="B108" s="6"/>
      <c r="C108" s="6"/>
      <c r="D108" s="6"/>
      <c r="E108" s="9"/>
      <c r="F108" s="9"/>
      <c r="G108" s="11"/>
      <c r="H108" s="5"/>
      <c r="I108" s="8"/>
      <c r="J108" s="8"/>
      <c r="N108" s="6"/>
      <c r="O108" s="6"/>
      <c r="P108" s="6"/>
      <c r="Q108" s="6"/>
    </row>
    <row r="109" spans="1:25" ht="12.75" x14ac:dyDescent="0.2">
      <c r="B109" s="6"/>
      <c r="C109" s="6"/>
      <c r="D109" s="6"/>
      <c r="E109" s="9"/>
      <c r="F109" s="9"/>
      <c r="G109" s="11"/>
      <c r="H109" s="5"/>
      <c r="I109" s="6"/>
      <c r="J109" s="6"/>
      <c r="R109" s="6"/>
    </row>
    <row r="110" spans="1:25" ht="12.75" x14ac:dyDescent="0.2">
      <c r="B110" s="6"/>
      <c r="C110" s="6"/>
      <c r="D110" s="6"/>
      <c r="E110" s="9"/>
      <c r="F110" s="9"/>
      <c r="G110" s="11"/>
      <c r="H110" s="5"/>
      <c r="I110" s="8"/>
      <c r="J110" s="8"/>
      <c r="N110" s="6"/>
      <c r="O110" s="6"/>
      <c r="P110" s="6"/>
      <c r="Q110" s="6"/>
    </row>
    <row r="111" spans="1:25" ht="12.75" x14ac:dyDescent="0.2">
      <c r="B111" s="6"/>
      <c r="C111" s="6"/>
      <c r="D111" s="6"/>
      <c r="E111" s="9"/>
      <c r="F111" s="9"/>
      <c r="G111" s="11"/>
      <c r="H111" s="5"/>
      <c r="I111" s="6"/>
      <c r="J111" s="6"/>
    </row>
    <row r="112" spans="1:25" ht="12.75" x14ac:dyDescent="0.2">
      <c r="B112" s="6"/>
      <c r="C112" s="6"/>
      <c r="D112" s="6"/>
      <c r="E112" s="9"/>
      <c r="F112" s="9"/>
      <c r="G112" s="11"/>
      <c r="H112" s="5"/>
      <c r="I112" s="8"/>
      <c r="J112" s="8"/>
    </row>
    <row r="113" spans="2:10" ht="12.75" x14ac:dyDescent="0.2">
      <c r="B113" s="6"/>
      <c r="C113" s="6"/>
      <c r="D113" s="6"/>
      <c r="E113" s="9"/>
      <c r="F113" s="9"/>
      <c r="G113" s="11"/>
      <c r="H113" s="5"/>
      <c r="I113" s="8"/>
      <c r="J113" s="8"/>
    </row>
    <row r="114" spans="2:10" ht="12.75" x14ac:dyDescent="0.2">
      <c r="B114" s="6"/>
      <c r="C114" s="6"/>
      <c r="D114" s="6"/>
      <c r="E114" s="9"/>
      <c r="F114" s="9"/>
      <c r="G114" s="11"/>
      <c r="H114" s="5"/>
      <c r="I114" s="8"/>
      <c r="J114" s="8"/>
    </row>
    <row r="115" spans="2:10" ht="12.75" x14ac:dyDescent="0.2">
      <c r="B115" s="6"/>
      <c r="C115" s="6"/>
      <c r="D115" s="6"/>
      <c r="E115" s="9"/>
      <c r="F115" s="9"/>
      <c r="G115" s="11"/>
      <c r="H115" s="5"/>
      <c r="I115" s="8"/>
      <c r="J115" s="8"/>
    </row>
    <row r="116" spans="2:10" ht="12.75" x14ac:dyDescent="0.2">
      <c r="B116" s="6"/>
      <c r="C116" s="6"/>
      <c r="D116" s="6"/>
      <c r="E116" s="9"/>
      <c r="F116" s="9"/>
      <c r="G116" s="11"/>
      <c r="H116" s="5"/>
      <c r="I116" s="8"/>
      <c r="J116" s="8"/>
    </row>
    <row r="117" spans="2:10" ht="12.75" x14ac:dyDescent="0.2">
      <c r="B117" s="6"/>
      <c r="C117" s="6"/>
      <c r="D117" s="6"/>
      <c r="E117" s="9"/>
      <c r="F117" s="9"/>
      <c r="G117" s="11"/>
      <c r="H117" s="5"/>
      <c r="I117" s="8"/>
      <c r="J117" s="8"/>
    </row>
    <row r="118" spans="2:10" ht="12.75" x14ac:dyDescent="0.2">
      <c r="B118" s="6"/>
      <c r="C118" s="6"/>
      <c r="D118" s="6"/>
      <c r="E118" s="9"/>
      <c r="F118" s="9"/>
      <c r="G118" s="11"/>
      <c r="H118" s="5"/>
      <c r="I118" s="8"/>
      <c r="J118" s="8"/>
    </row>
    <row r="119" spans="2:10" ht="12.75" x14ac:dyDescent="0.2">
      <c r="B119" s="6"/>
      <c r="C119" s="6"/>
      <c r="D119" s="6"/>
      <c r="E119" s="9"/>
      <c r="F119" s="9"/>
      <c r="G119" s="11"/>
      <c r="H119" s="5"/>
      <c r="I119" s="8"/>
      <c r="J119" s="8"/>
    </row>
    <row r="120" spans="2:10" ht="12.75" x14ac:dyDescent="0.2">
      <c r="B120" s="6"/>
      <c r="C120" s="6"/>
      <c r="D120" s="6"/>
      <c r="E120" s="9"/>
      <c r="F120" s="9"/>
      <c r="G120" s="11"/>
      <c r="H120" s="5"/>
      <c r="I120" s="8"/>
      <c r="J120" s="8"/>
    </row>
    <row r="121" spans="2:10" ht="12.75" x14ac:dyDescent="0.2">
      <c r="B121" s="6"/>
      <c r="C121" s="6"/>
      <c r="D121" s="6"/>
      <c r="E121" s="9"/>
      <c r="F121" s="9"/>
      <c r="G121" s="11"/>
      <c r="H121" s="5"/>
      <c r="I121" s="8"/>
      <c r="J121" s="8"/>
    </row>
    <row r="122" spans="2:10" ht="12.75" x14ac:dyDescent="0.2">
      <c r="B122" s="6"/>
      <c r="C122" s="6"/>
      <c r="D122" s="6"/>
      <c r="E122" s="9"/>
      <c r="F122" s="9"/>
      <c r="G122" s="11"/>
      <c r="H122" s="5"/>
      <c r="I122" s="8"/>
      <c r="J122" s="8"/>
    </row>
    <row r="123" spans="2:10" ht="12.75" x14ac:dyDescent="0.2">
      <c r="B123" s="6"/>
      <c r="C123" s="6"/>
      <c r="D123" s="6"/>
      <c r="E123" s="9"/>
      <c r="F123" s="9"/>
      <c r="G123" s="11"/>
      <c r="H123" s="5"/>
      <c r="I123" s="8"/>
      <c r="J123" s="8"/>
    </row>
    <row r="124" spans="2:10" ht="12.75" x14ac:dyDescent="0.2">
      <c r="B124" s="6"/>
      <c r="C124" s="6"/>
      <c r="D124" s="6"/>
      <c r="E124" s="9"/>
      <c r="F124" s="9"/>
      <c r="G124" s="11"/>
      <c r="H124" s="5"/>
      <c r="I124" s="8"/>
      <c r="J124" s="8"/>
    </row>
    <row r="125" spans="2:10" ht="12.75" x14ac:dyDescent="0.2">
      <c r="B125" s="6"/>
      <c r="C125" s="6"/>
      <c r="D125" s="6"/>
      <c r="E125" s="9"/>
      <c r="F125" s="9"/>
      <c r="G125" s="11"/>
      <c r="H125" s="5"/>
      <c r="I125" s="8"/>
      <c r="J125" s="8"/>
    </row>
    <row r="126" spans="2:10" ht="12.75" x14ac:dyDescent="0.2">
      <c r="B126" s="6"/>
      <c r="C126" s="6"/>
      <c r="D126" s="6"/>
      <c r="E126" s="9"/>
      <c r="F126" s="9"/>
      <c r="G126" s="11"/>
      <c r="H126" s="5"/>
      <c r="I126" s="8"/>
      <c r="J126" s="8"/>
    </row>
    <row r="127" spans="2:10" ht="12.75" x14ac:dyDescent="0.2">
      <c r="B127" s="6"/>
      <c r="C127" s="6"/>
      <c r="D127" s="6"/>
      <c r="E127" s="9"/>
      <c r="F127" s="9"/>
      <c r="G127" s="11"/>
      <c r="H127" s="5"/>
      <c r="I127" s="8"/>
      <c r="J127" s="8"/>
    </row>
    <row r="128" spans="2:10" ht="12.75" x14ac:dyDescent="0.2">
      <c r="B128" s="6"/>
      <c r="C128" s="6"/>
      <c r="D128" s="6"/>
      <c r="E128" s="9"/>
      <c r="F128" s="9"/>
      <c r="G128" s="11"/>
      <c r="H128" s="5"/>
      <c r="I128" s="8"/>
      <c r="J128" s="8"/>
    </row>
    <row r="129" spans="2:10" ht="12.75" x14ac:dyDescent="0.2">
      <c r="B129" s="6"/>
      <c r="C129" s="6"/>
      <c r="D129" s="6"/>
      <c r="E129" s="9"/>
      <c r="F129" s="9"/>
      <c r="G129" s="11"/>
      <c r="H129" s="5"/>
      <c r="I129" s="8"/>
      <c r="J129" s="8"/>
    </row>
    <row r="130" spans="2:10" ht="12.75" x14ac:dyDescent="0.2">
      <c r="B130" s="6"/>
      <c r="C130" s="6"/>
      <c r="D130" s="6"/>
      <c r="E130" s="9"/>
      <c r="F130" s="9"/>
      <c r="G130" s="11"/>
      <c r="H130" s="5"/>
      <c r="I130" s="8"/>
      <c r="J130" s="8"/>
    </row>
    <row r="131" spans="2:10" ht="12.75" x14ac:dyDescent="0.2">
      <c r="B131" s="6"/>
      <c r="C131" s="6"/>
      <c r="D131" s="6"/>
      <c r="E131" s="9"/>
      <c r="F131" s="9"/>
      <c r="G131" s="11"/>
      <c r="H131" s="5"/>
      <c r="I131" s="8"/>
      <c r="J131" s="8"/>
    </row>
    <row r="132" spans="2:10" ht="12.75" x14ac:dyDescent="0.2">
      <c r="B132" s="6"/>
      <c r="C132" s="6"/>
      <c r="D132" s="6"/>
      <c r="E132" s="9"/>
      <c r="F132" s="9"/>
      <c r="G132" s="11"/>
      <c r="H132" s="5"/>
      <c r="I132" s="8"/>
      <c r="J132" s="8"/>
    </row>
    <row r="133" spans="2:10" ht="12.75" x14ac:dyDescent="0.2">
      <c r="B133" s="6"/>
      <c r="C133" s="6"/>
      <c r="D133" s="6"/>
      <c r="E133" s="9"/>
      <c r="F133" s="9"/>
      <c r="G133" s="11"/>
      <c r="H133" s="5"/>
      <c r="I133" s="8"/>
      <c r="J133" s="8"/>
    </row>
    <row r="134" spans="2:10" ht="12.75" x14ac:dyDescent="0.2">
      <c r="B134" s="6"/>
      <c r="C134" s="6"/>
      <c r="D134" s="6"/>
      <c r="E134" s="9"/>
      <c r="F134" s="9"/>
      <c r="G134" s="11"/>
      <c r="H134" s="5"/>
      <c r="I134" s="8"/>
      <c r="J134" s="8"/>
    </row>
    <row r="135" spans="2:10" ht="12.75" x14ac:dyDescent="0.2">
      <c r="B135" s="6"/>
      <c r="C135" s="6"/>
      <c r="D135" s="6"/>
      <c r="E135" s="9"/>
      <c r="F135" s="9"/>
      <c r="G135" s="11"/>
      <c r="H135" s="5"/>
      <c r="I135" s="8"/>
      <c r="J135" s="8"/>
    </row>
    <row r="136" spans="2:10" ht="12.75" x14ac:dyDescent="0.2">
      <c r="B136" s="6"/>
      <c r="C136" s="6"/>
      <c r="D136" s="6"/>
      <c r="E136" s="9"/>
      <c r="F136" s="9"/>
      <c r="G136" s="11"/>
      <c r="H136" s="5"/>
      <c r="I136" s="8"/>
      <c r="J136" s="8"/>
    </row>
    <row r="137" spans="2:10" ht="12.75" x14ac:dyDescent="0.2">
      <c r="B137" s="6"/>
      <c r="C137" s="6"/>
      <c r="D137" s="6"/>
      <c r="E137" s="9"/>
      <c r="F137" s="9"/>
      <c r="G137" s="11"/>
      <c r="H137" s="5"/>
      <c r="I137" s="8"/>
      <c r="J137" s="8"/>
    </row>
    <row r="138" spans="2:10" ht="12.75" x14ac:dyDescent="0.2">
      <c r="B138" s="6"/>
      <c r="C138" s="6"/>
      <c r="D138" s="6"/>
      <c r="E138" s="9"/>
      <c r="F138" s="9"/>
      <c r="G138" s="11"/>
      <c r="H138" s="5"/>
      <c r="I138" s="8"/>
      <c r="J138" s="8"/>
    </row>
    <row r="139" spans="2:10" ht="12.75" x14ac:dyDescent="0.2">
      <c r="B139" s="6"/>
      <c r="C139" s="6"/>
      <c r="D139" s="6"/>
      <c r="E139" s="9"/>
      <c r="F139" s="9"/>
      <c r="G139" s="11"/>
      <c r="H139" s="5"/>
      <c r="I139" s="8"/>
      <c r="J139" s="8"/>
    </row>
    <row r="140" spans="2:10" ht="12.75" x14ac:dyDescent="0.2">
      <c r="B140" s="6"/>
      <c r="C140" s="6"/>
      <c r="D140" s="6"/>
      <c r="E140" s="9"/>
      <c r="F140" s="9"/>
      <c r="G140" s="11"/>
      <c r="H140" s="5"/>
      <c r="I140" s="8"/>
      <c r="J140" s="8"/>
    </row>
    <row r="141" spans="2:10" ht="12.75" x14ac:dyDescent="0.2">
      <c r="B141" s="6"/>
      <c r="C141" s="6"/>
      <c r="D141" s="6"/>
      <c r="E141" s="9"/>
      <c r="F141" s="9"/>
      <c r="G141" s="11"/>
      <c r="H141" s="5"/>
      <c r="I141" s="8"/>
      <c r="J141" s="8"/>
    </row>
    <row r="142" spans="2:10" ht="12.75" x14ac:dyDescent="0.2">
      <c r="B142" s="6"/>
      <c r="C142" s="6"/>
      <c r="D142" s="6"/>
      <c r="E142" s="9"/>
      <c r="F142" s="9"/>
      <c r="G142" s="11"/>
      <c r="H142" s="5"/>
      <c r="I142" s="8"/>
      <c r="J142" s="8"/>
    </row>
    <row r="143" spans="2:10" ht="12.75" x14ac:dyDescent="0.2">
      <c r="B143" s="6"/>
      <c r="C143" s="6"/>
      <c r="D143" s="6"/>
      <c r="E143" s="9"/>
      <c r="F143" s="9"/>
      <c r="G143" s="11"/>
      <c r="H143" s="5"/>
      <c r="I143" s="8"/>
      <c r="J143" s="8"/>
    </row>
    <row r="144" spans="2:10" ht="12.75" x14ac:dyDescent="0.2">
      <c r="B144" s="6"/>
      <c r="C144" s="6"/>
      <c r="D144" s="6"/>
      <c r="E144" s="9"/>
      <c r="F144" s="9"/>
      <c r="G144" s="11"/>
      <c r="H144" s="5"/>
      <c r="I144" s="8"/>
      <c r="J144" s="8"/>
    </row>
    <row r="145" spans="2:10" ht="12.75" x14ac:dyDescent="0.2">
      <c r="B145" s="6"/>
      <c r="C145" s="6"/>
      <c r="D145" s="6"/>
      <c r="E145" s="9"/>
      <c r="F145" s="9"/>
      <c r="G145" s="11"/>
      <c r="H145" s="5"/>
      <c r="I145" s="8"/>
      <c r="J145" s="8"/>
    </row>
    <row r="146" spans="2:10" ht="12.75" x14ac:dyDescent="0.2">
      <c r="B146" s="6"/>
      <c r="C146" s="6"/>
      <c r="D146" s="6"/>
      <c r="E146" s="9"/>
      <c r="F146" s="9"/>
      <c r="G146" s="11"/>
      <c r="H146" s="5"/>
      <c r="I146" s="8"/>
      <c r="J146" s="8"/>
    </row>
    <row r="147" spans="2:10" ht="12.75" x14ac:dyDescent="0.2">
      <c r="B147" s="6"/>
      <c r="C147" s="6"/>
      <c r="D147" s="6"/>
      <c r="E147" s="9"/>
      <c r="F147" s="9"/>
      <c r="G147" s="11"/>
      <c r="H147" s="5"/>
      <c r="I147" s="8"/>
      <c r="J147" s="8"/>
    </row>
    <row r="148" spans="2:10" ht="12.75" x14ac:dyDescent="0.2">
      <c r="B148" s="6"/>
      <c r="C148" s="6"/>
      <c r="D148" s="6"/>
      <c r="E148" s="9"/>
      <c r="F148" s="9"/>
      <c r="G148" s="11"/>
      <c r="H148" s="5"/>
      <c r="I148" s="8"/>
      <c r="J148" s="8"/>
    </row>
    <row r="149" spans="2:10" ht="12.75" x14ac:dyDescent="0.2">
      <c r="B149" s="6"/>
      <c r="C149" s="6"/>
      <c r="D149" s="6"/>
      <c r="E149" s="9"/>
      <c r="F149" s="9"/>
      <c r="G149" s="11"/>
      <c r="H149" s="5"/>
      <c r="I149" s="8"/>
      <c r="J149" s="8"/>
    </row>
    <row r="150" spans="2:10" ht="12.75" x14ac:dyDescent="0.2">
      <c r="B150" s="6"/>
      <c r="C150" s="6"/>
      <c r="D150" s="6"/>
      <c r="E150" s="9"/>
      <c r="F150" s="9"/>
      <c r="G150" s="11"/>
      <c r="H150" s="5"/>
      <c r="I150" s="8"/>
      <c r="J150" s="8"/>
    </row>
    <row r="151" spans="2:10" ht="12.75" x14ac:dyDescent="0.2">
      <c r="B151" s="6"/>
      <c r="C151" s="6"/>
      <c r="D151" s="6"/>
      <c r="E151" s="9"/>
      <c r="F151" s="9"/>
      <c r="G151" s="11"/>
      <c r="H151" s="5"/>
      <c r="I151" s="8"/>
      <c r="J151" s="8"/>
    </row>
    <row r="152" spans="2:10" ht="12.75" x14ac:dyDescent="0.2">
      <c r="B152" s="6"/>
      <c r="C152" s="6"/>
      <c r="D152" s="6"/>
      <c r="E152" s="9"/>
      <c r="F152" s="9"/>
      <c r="G152" s="11"/>
      <c r="H152" s="5"/>
      <c r="I152" s="8"/>
      <c r="J152" s="8"/>
    </row>
    <row r="153" spans="2:10" ht="12.75" x14ac:dyDescent="0.2">
      <c r="B153" s="6"/>
      <c r="C153" s="6"/>
      <c r="D153" s="6"/>
      <c r="E153" s="9"/>
      <c r="F153" s="9"/>
      <c r="G153" s="11"/>
      <c r="H153" s="5"/>
      <c r="I153" s="8"/>
      <c r="J153" s="8"/>
    </row>
    <row r="154" spans="2:10" ht="12.75" x14ac:dyDescent="0.2">
      <c r="B154" s="6"/>
      <c r="C154" s="6"/>
      <c r="D154" s="6"/>
      <c r="E154" s="9"/>
      <c r="F154" s="9"/>
      <c r="G154" s="11"/>
      <c r="H154" s="5"/>
      <c r="I154" s="8"/>
      <c r="J154" s="8"/>
    </row>
    <row r="155" spans="2:10" ht="12.75" x14ac:dyDescent="0.2">
      <c r="B155" s="6"/>
      <c r="C155" s="6"/>
      <c r="D155" s="6"/>
      <c r="E155" s="9"/>
      <c r="F155" s="9"/>
      <c r="G155" s="11"/>
      <c r="H155" s="5"/>
      <c r="I155" s="8"/>
      <c r="J155" s="8"/>
    </row>
    <row r="156" spans="2:10" ht="12.75" x14ac:dyDescent="0.2">
      <c r="B156" s="6"/>
      <c r="C156" s="6"/>
      <c r="D156" s="6"/>
      <c r="E156" s="9"/>
      <c r="F156" s="9"/>
      <c r="G156" s="11"/>
      <c r="H156" s="5"/>
      <c r="I156" s="8"/>
      <c r="J156" s="8"/>
    </row>
    <row r="157" spans="2:10" ht="12.75" x14ac:dyDescent="0.2">
      <c r="B157" s="6"/>
      <c r="C157" s="6"/>
      <c r="D157" s="6"/>
      <c r="E157" s="9"/>
      <c r="F157" s="9"/>
      <c r="G157" s="11"/>
      <c r="H157" s="5"/>
      <c r="I157" s="8"/>
      <c r="J157" s="8"/>
    </row>
    <row r="158" spans="2:10" ht="12.75" x14ac:dyDescent="0.2">
      <c r="B158" s="6"/>
      <c r="C158" s="6"/>
      <c r="D158" s="6"/>
      <c r="E158" s="9"/>
      <c r="F158" s="9"/>
      <c r="G158" s="11"/>
      <c r="H158" s="5"/>
      <c r="I158" s="8"/>
      <c r="J158" s="8"/>
    </row>
    <row r="159" spans="2:10" ht="12.75" x14ac:dyDescent="0.2">
      <c r="B159" s="6"/>
      <c r="C159" s="6"/>
      <c r="D159" s="6"/>
      <c r="E159" s="9"/>
      <c r="F159" s="9"/>
      <c r="G159" s="11"/>
      <c r="H159" s="5"/>
      <c r="I159" s="8"/>
      <c r="J159" s="8"/>
    </row>
    <row r="160" spans="2:10" ht="12.75" x14ac:dyDescent="0.2">
      <c r="B160" s="6"/>
      <c r="C160" s="6"/>
      <c r="D160" s="6"/>
      <c r="E160" s="9"/>
      <c r="F160" s="9"/>
      <c r="G160" s="11"/>
      <c r="H160" s="5"/>
      <c r="I160" s="8"/>
      <c r="J160" s="8"/>
    </row>
    <row r="161" spans="2:10" ht="12.75" x14ac:dyDescent="0.2">
      <c r="B161" s="6"/>
      <c r="C161" s="6"/>
      <c r="D161" s="6"/>
      <c r="E161" s="9"/>
      <c r="F161" s="9"/>
      <c r="G161" s="11"/>
      <c r="H161" s="5"/>
      <c r="I161" s="8"/>
      <c r="J161" s="8"/>
    </row>
    <row r="162" spans="2:10" ht="12.75" x14ac:dyDescent="0.2">
      <c r="B162" s="6"/>
      <c r="C162" s="6"/>
      <c r="D162" s="6"/>
      <c r="E162" s="9"/>
      <c r="F162" s="9"/>
      <c r="G162" s="11"/>
      <c r="H162" s="5"/>
      <c r="I162" s="8"/>
      <c r="J162" s="8"/>
    </row>
    <row r="163" spans="2:10" ht="12.75" x14ac:dyDescent="0.2">
      <c r="B163" s="6"/>
      <c r="C163" s="6"/>
      <c r="D163" s="6"/>
      <c r="E163" s="9"/>
      <c r="F163" s="9"/>
      <c r="G163" s="11"/>
      <c r="H163" s="5"/>
      <c r="I163" s="8"/>
      <c r="J163" s="8"/>
    </row>
    <row r="164" spans="2:10" ht="12.75" x14ac:dyDescent="0.2">
      <c r="B164" s="6"/>
      <c r="C164" s="6"/>
      <c r="D164" s="6"/>
      <c r="E164" s="9"/>
      <c r="F164" s="9"/>
      <c r="G164" s="11"/>
      <c r="H164" s="5"/>
      <c r="I164" s="8"/>
      <c r="J164" s="8"/>
    </row>
    <row r="165" spans="2:10" ht="12.75" x14ac:dyDescent="0.2">
      <c r="B165" s="6"/>
      <c r="C165" s="6"/>
      <c r="D165" s="6"/>
      <c r="E165" s="9"/>
      <c r="F165" s="9"/>
      <c r="G165" s="11"/>
      <c r="H165" s="5"/>
      <c r="I165" s="8"/>
      <c r="J165" s="8"/>
    </row>
    <row r="166" spans="2:10" ht="12.75" x14ac:dyDescent="0.2">
      <c r="B166" s="6"/>
      <c r="C166" s="6"/>
      <c r="D166" s="6"/>
      <c r="E166" s="9"/>
      <c r="F166" s="9"/>
      <c r="G166" s="11"/>
      <c r="H166" s="5"/>
      <c r="I166" s="8"/>
      <c r="J166" s="8"/>
    </row>
    <row r="167" spans="2:10" ht="12.75" x14ac:dyDescent="0.2">
      <c r="B167" s="6"/>
      <c r="C167" s="6"/>
      <c r="D167" s="6"/>
      <c r="E167" s="9"/>
      <c r="F167" s="9"/>
      <c r="G167" s="11"/>
      <c r="H167" s="5"/>
      <c r="I167" s="8"/>
      <c r="J167" s="8"/>
    </row>
    <row r="168" spans="2:10" ht="12.75" x14ac:dyDescent="0.2">
      <c r="B168" s="6"/>
      <c r="C168" s="6"/>
      <c r="D168" s="6"/>
      <c r="E168" s="9"/>
      <c r="F168" s="9"/>
      <c r="G168" s="11"/>
      <c r="H168" s="5"/>
      <c r="I168" s="8"/>
      <c r="J168" s="8"/>
    </row>
    <row r="169" spans="2:10" ht="12.75" x14ac:dyDescent="0.2">
      <c r="B169" s="6"/>
      <c r="C169" s="6"/>
      <c r="D169" s="6"/>
      <c r="E169" s="9"/>
      <c r="F169" s="9"/>
      <c r="G169" s="11"/>
      <c r="H169" s="5"/>
      <c r="I169" s="8"/>
      <c r="J169" s="8"/>
    </row>
    <row r="170" spans="2:10" ht="12.75" x14ac:dyDescent="0.2">
      <c r="B170" s="6"/>
      <c r="C170" s="6"/>
      <c r="D170" s="6"/>
      <c r="E170" s="9"/>
      <c r="F170" s="9"/>
      <c r="G170" s="11"/>
      <c r="H170" s="5"/>
      <c r="I170" s="8"/>
      <c r="J170" s="8"/>
    </row>
    <row r="171" spans="2:10" ht="12.75" x14ac:dyDescent="0.2">
      <c r="B171" s="6"/>
      <c r="C171" s="6"/>
      <c r="D171" s="6"/>
      <c r="E171" s="9"/>
      <c r="F171" s="9"/>
      <c r="G171" s="11"/>
      <c r="H171" s="5"/>
      <c r="I171" s="8"/>
      <c r="J171" s="8"/>
    </row>
    <row r="172" spans="2:10" ht="12.75" x14ac:dyDescent="0.2">
      <c r="B172" s="6"/>
      <c r="C172" s="6"/>
      <c r="D172" s="6"/>
      <c r="E172" s="9"/>
      <c r="F172" s="9"/>
      <c r="G172" s="11"/>
      <c r="H172" s="5"/>
      <c r="I172" s="8"/>
      <c r="J172" s="8"/>
    </row>
    <row r="173" spans="2:10" ht="12.75" x14ac:dyDescent="0.2">
      <c r="B173" s="6"/>
      <c r="C173" s="6"/>
      <c r="D173" s="6"/>
      <c r="E173" s="9"/>
      <c r="F173" s="9"/>
      <c r="G173" s="11"/>
      <c r="H173" s="5"/>
      <c r="I173" s="8"/>
      <c r="J173" s="8"/>
    </row>
    <row r="174" spans="2:10" ht="12.75" x14ac:dyDescent="0.2">
      <c r="B174" s="6"/>
      <c r="C174" s="6"/>
      <c r="D174" s="6"/>
      <c r="E174" s="9"/>
      <c r="F174" s="9"/>
      <c r="G174" s="11"/>
      <c r="H174" s="5"/>
      <c r="I174" s="8"/>
      <c r="J174" s="8"/>
    </row>
    <row r="175" spans="2:10" ht="12.75" x14ac:dyDescent="0.2">
      <c r="B175" s="6"/>
      <c r="C175" s="6"/>
      <c r="D175" s="6"/>
      <c r="E175" s="9"/>
      <c r="F175" s="9"/>
      <c r="G175" s="11"/>
      <c r="H175" s="5"/>
      <c r="I175" s="8"/>
      <c r="J175" s="8"/>
    </row>
    <row r="176" spans="2:10" ht="12.75" x14ac:dyDescent="0.2">
      <c r="B176" s="6"/>
      <c r="C176" s="6"/>
      <c r="D176" s="6"/>
      <c r="E176" s="9"/>
      <c r="F176" s="9"/>
      <c r="G176" s="11"/>
      <c r="H176" s="5"/>
      <c r="I176" s="8"/>
      <c r="J176" s="8"/>
    </row>
    <row r="177" spans="2:10" ht="12.75" x14ac:dyDescent="0.2">
      <c r="B177" s="6"/>
      <c r="C177" s="6"/>
      <c r="D177" s="6"/>
      <c r="E177" s="9"/>
      <c r="F177" s="9"/>
      <c r="G177" s="11"/>
      <c r="H177" s="5"/>
      <c r="I177" s="8"/>
      <c r="J177" s="8"/>
    </row>
    <row r="178" spans="2:10" ht="12.75" x14ac:dyDescent="0.2">
      <c r="B178" s="6"/>
      <c r="C178" s="6"/>
      <c r="D178" s="6"/>
      <c r="E178" s="9"/>
      <c r="F178" s="9"/>
      <c r="G178" s="11"/>
      <c r="H178" s="5"/>
      <c r="I178" s="8"/>
      <c r="J178" s="8"/>
    </row>
    <row r="179" spans="2:10" ht="12.75" x14ac:dyDescent="0.2">
      <c r="B179" s="6"/>
      <c r="C179" s="6"/>
      <c r="D179" s="6"/>
      <c r="E179" s="9"/>
      <c r="F179" s="9"/>
      <c r="G179" s="11"/>
      <c r="H179" s="5"/>
      <c r="I179" s="8"/>
      <c r="J179" s="8"/>
    </row>
    <row r="180" spans="2:10" ht="12.75" x14ac:dyDescent="0.2">
      <c r="B180" s="6"/>
      <c r="C180" s="6"/>
      <c r="D180" s="6"/>
      <c r="E180" s="9"/>
      <c r="F180" s="9"/>
      <c r="G180" s="11"/>
      <c r="H180" s="5"/>
      <c r="I180" s="8"/>
      <c r="J180" s="8"/>
    </row>
    <row r="181" spans="2:10" ht="12.75" x14ac:dyDescent="0.2">
      <c r="B181" s="6"/>
      <c r="C181" s="6"/>
      <c r="D181" s="6"/>
      <c r="E181" s="9"/>
      <c r="F181" s="9"/>
      <c r="G181" s="11"/>
      <c r="H181" s="5"/>
      <c r="I181" s="8"/>
      <c r="J181" s="8"/>
    </row>
    <row r="182" spans="2:10" ht="12.75" x14ac:dyDescent="0.2">
      <c r="B182" s="6"/>
      <c r="C182" s="6"/>
      <c r="D182" s="6"/>
      <c r="E182" s="9"/>
      <c r="F182" s="9"/>
      <c r="G182" s="11"/>
      <c r="H182" s="5"/>
      <c r="I182" s="8"/>
      <c r="J182" s="8"/>
    </row>
    <row r="183" spans="2:10" ht="12.75" x14ac:dyDescent="0.2">
      <c r="B183" s="6"/>
      <c r="C183" s="6"/>
      <c r="D183" s="6"/>
      <c r="E183" s="9"/>
      <c r="F183" s="9"/>
      <c r="G183" s="11"/>
      <c r="H183" s="5"/>
      <c r="I183" s="8"/>
      <c r="J183" s="8"/>
    </row>
    <row r="184" spans="2:10" ht="12.75" x14ac:dyDescent="0.2">
      <c r="B184" s="6"/>
      <c r="C184" s="6"/>
      <c r="D184" s="6"/>
      <c r="E184" s="9"/>
      <c r="F184" s="9"/>
      <c r="G184" s="11"/>
      <c r="H184" s="5"/>
      <c r="I184" s="8"/>
      <c r="J184" s="8"/>
    </row>
    <row r="185" spans="2:10" ht="12.75" x14ac:dyDescent="0.2">
      <c r="B185" s="6"/>
      <c r="C185" s="6"/>
      <c r="D185" s="6"/>
      <c r="E185" s="9"/>
      <c r="F185" s="9"/>
      <c r="G185" s="11"/>
      <c r="H185" s="5"/>
      <c r="I185" s="8"/>
      <c r="J185" s="8"/>
    </row>
    <row r="186" spans="2:10" ht="12.75" x14ac:dyDescent="0.2">
      <c r="B186" s="6"/>
      <c r="C186" s="6"/>
      <c r="D186" s="6"/>
      <c r="E186" s="9"/>
      <c r="F186" s="9"/>
      <c r="G186" s="11"/>
      <c r="H186" s="5"/>
      <c r="I186" s="8"/>
      <c r="J186" s="8"/>
    </row>
    <row r="187" spans="2:10" ht="12.75" x14ac:dyDescent="0.2">
      <c r="B187" s="6"/>
      <c r="C187" s="6"/>
      <c r="D187" s="6"/>
      <c r="E187" s="9"/>
      <c r="F187" s="9"/>
      <c r="G187" s="11"/>
      <c r="H187" s="5"/>
      <c r="I187" s="8"/>
      <c r="J187" s="8"/>
    </row>
    <row r="188" spans="2:10" ht="12.75" x14ac:dyDescent="0.2">
      <c r="B188" s="6"/>
      <c r="C188" s="6"/>
      <c r="D188" s="6"/>
      <c r="E188" s="9"/>
      <c r="F188" s="9"/>
      <c r="G188" s="11"/>
      <c r="H188" s="5"/>
      <c r="I188" s="8"/>
      <c r="J188" s="8"/>
    </row>
    <row r="189" spans="2:10" ht="12.75" x14ac:dyDescent="0.2">
      <c r="B189" s="6"/>
      <c r="C189" s="6"/>
      <c r="D189" s="6"/>
      <c r="E189" s="9"/>
      <c r="F189" s="9"/>
      <c r="G189" s="11"/>
      <c r="H189" s="5"/>
      <c r="I189" s="8"/>
      <c r="J189" s="8"/>
    </row>
    <row r="190" spans="2:10" ht="12.75" x14ac:dyDescent="0.2">
      <c r="B190" s="6"/>
      <c r="C190" s="6"/>
      <c r="D190" s="6"/>
      <c r="E190" s="9"/>
      <c r="F190" s="9"/>
      <c r="G190" s="11"/>
      <c r="H190" s="5"/>
      <c r="I190" s="8"/>
      <c r="J190" s="8"/>
    </row>
    <row r="191" spans="2:10" ht="12.75" x14ac:dyDescent="0.2">
      <c r="B191" s="6"/>
      <c r="C191" s="6"/>
      <c r="D191" s="6"/>
      <c r="E191" s="9"/>
      <c r="F191" s="9"/>
      <c r="G191" s="11"/>
      <c r="H191" s="5"/>
      <c r="I191" s="8"/>
      <c r="J191" s="8"/>
    </row>
    <row r="192" spans="2:10" ht="12.75" x14ac:dyDescent="0.2">
      <c r="B192" s="6"/>
      <c r="C192" s="6"/>
      <c r="D192" s="6"/>
      <c r="E192" s="9"/>
      <c r="F192" s="9"/>
      <c r="G192" s="11"/>
      <c r="H192" s="5"/>
      <c r="I192" s="8"/>
      <c r="J192" s="8"/>
    </row>
    <row r="193" spans="2:10" ht="12.75" x14ac:dyDescent="0.2">
      <c r="B193" s="6"/>
      <c r="C193" s="6"/>
      <c r="D193" s="6"/>
      <c r="E193" s="9"/>
      <c r="F193" s="9"/>
      <c r="G193" s="11"/>
      <c r="H193" s="5"/>
      <c r="I193" s="8"/>
      <c r="J193" s="8"/>
    </row>
    <row r="194" spans="2:10" ht="12.75" x14ac:dyDescent="0.2">
      <c r="B194" s="6"/>
      <c r="C194" s="6"/>
      <c r="D194" s="6"/>
      <c r="E194" s="9"/>
      <c r="F194" s="9"/>
      <c r="G194" s="11"/>
      <c r="H194" s="5"/>
      <c r="I194" s="8"/>
      <c r="J194" s="8"/>
    </row>
    <row r="195" spans="2:10" ht="12.75" x14ac:dyDescent="0.2">
      <c r="B195" s="6"/>
      <c r="C195" s="6"/>
      <c r="D195" s="6"/>
      <c r="E195" s="9"/>
      <c r="F195" s="9"/>
      <c r="G195" s="11"/>
      <c r="H195" s="5"/>
      <c r="I195" s="8"/>
      <c r="J195" s="8"/>
    </row>
    <row r="196" spans="2:10" ht="12.75" x14ac:dyDescent="0.2">
      <c r="B196" s="6"/>
      <c r="C196" s="6"/>
      <c r="D196" s="6"/>
      <c r="E196" s="9"/>
      <c r="F196" s="9"/>
      <c r="G196" s="11"/>
      <c r="H196" s="5"/>
      <c r="I196" s="8"/>
      <c r="J196" s="8"/>
    </row>
    <row r="197" spans="2:10" ht="12.75" x14ac:dyDescent="0.2">
      <c r="B197" s="6"/>
      <c r="C197" s="6"/>
      <c r="D197" s="6"/>
      <c r="E197" s="9"/>
      <c r="F197" s="9"/>
      <c r="G197" s="11"/>
      <c r="H197" s="5"/>
      <c r="I197" s="8"/>
      <c r="J197" s="8"/>
    </row>
    <row r="198" spans="2:10" ht="12.75" x14ac:dyDescent="0.2">
      <c r="B198" s="6"/>
      <c r="C198" s="6"/>
      <c r="D198" s="6"/>
      <c r="E198" s="9"/>
      <c r="F198" s="9"/>
      <c r="G198" s="11"/>
      <c r="H198" s="5"/>
      <c r="I198" s="8"/>
      <c r="J198" s="8"/>
    </row>
    <row r="199" spans="2:10" ht="12.75" x14ac:dyDescent="0.2">
      <c r="B199" s="6"/>
      <c r="C199" s="6"/>
      <c r="D199" s="6"/>
      <c r="E199" s="9"/>
      <c r="F199" s="9"/>
      <c r="G199" s="11"/>
      <c r="H199" s="5"/>
      <c r="I199" s="8"/>
      <c r="J199" s="8"/>
    </row>
    <row r="200" spans="2:10" ht="12.75" x14ac:dyDescent="0.2">
      <c r="B200" s="6"/>
      <c r="C200" s="6"/>
      <c r="D200" s="6"/>
      <c r="E200" s="9"/>
      <c r="F200" s="9"/>
      <c r="G200" s="11"/>
      <c r="H200" s="5"/>
      <c r="I200" s="8"/>
      <c r="J200" s="8"/>
    </row>
    <row r="201" spans="2:10" ht="12.75" x14ac:dyDescent="0.2">
      <c r="B201" s="6"/>
      <c r="C201" s="6"/>
      <c r="D201" s="6"/>
      <c r="E201" s="9"/>
      <c r="F201" s="9"/>
      <c r="G201" s="11"/>
      <c r="H201" s="5"/>
      <c r="I201" s="8"/>
      <c r="J201" s="8"/>
    </row>
    <row r="202" spans="2:10" ht="12.75" x14ac:dyDescent="0.2">
      <c r="B202" s="6"/>
      <c r="C202" s="6"/>
      <c r="D202" s="6"/>
      <c r="E202" s="9"/>
      <c r="F202" s="9"/>
      <c r="G202" s="11"/>
      <c r="H202" s="5"/>
      <c r="I202" s="8"/>
      <c r="J202" s="8"/>
    </row>
    <row r="203" spans="2:10" ht="12.75" x14ac:dyDescent="0.2">
      <c r="B203" s="6"/>
      <c r="C203" s="6"/>
      <c r="D203" s="6"/>
      <c r="E203" s="9"/>
      <c r="F203" s="9"/>
      <c r="G203" s="11"/>
      <c r="H203" s="5"/>
      <c r="I203" s="8"/>
      <c r="J203" s="8"/>
    </row>
    <row r="204" spans="2:10" ht="12.75" x14ac:dyDescent="0.2">
      <c r="B204" s="6"/>
      <c r="C204" s="6"/>
      <c r="D204" s="6"/>
      <c r="E204" s="9"/>
      <c r="F204" s="9"/>
      <c r="G204" s="11"/>
      <c r="H204" s="5"/>
      <c r="I204" s="8"/>
      <c r="J204" s="8"/>
    </row>
    <row r="205" spans="2:10" ht="12.75" x14ac:dyDescent="0.2">
      <c r="B205" s="6"/>
      <c r="C205" s="6"/>
      <c r="D205" s="6"/>
      <c r="E205" s="9"/>
      <c r="F205" s="9"/>
      <c r="G205" s="11"/>
      <c r="H205" s="5"/>
      <c r="I205" s="8"/>
      <c r="J205" s="8"/>
    </row>
    <row r="206" spans="2:10" ht="12.75" x14ac:dyDescent="0.2">
      <c r="B206" s="6"/>
      <c r="C206" s="6"/>
      <c r="D206" s="6"/>
      <c r="E206" s="9"/>
      <c r="F206" s="9"/>
      <c r="G206" s="11"/>
      <c r="H206" s="5"/>
      <c r="I206" s="8"/>
      <c r="J206" s="8"/>
    </row>
    <row r="207" spans="2:10" ht="12.75" x14ac:dyDescent="0.2">
      <c r="B207" s="6"/>
      <c r="C207" s="6"/>
      <c r="D207" s="6"/>
      <c r="E207" s="9"/>
      <c r="F207" s="9"/>
      <c r="G207" s="11"/>
      <c r="H207" s="5"/>
      <c r="I207" s="8"/>
      <c r="J207" s="8"/>
    </row>
    <row r="208" spans="2:10" ht="12.75" x14ac:dyDescent="0.2">
      <c r="B208" s="6"/>
      <c r="C208" s="6"/>
      <c r="D208" s="6"/>
      <c r="E208" s="9"/>
      <c r="F208" s="9"/>
      <c r="G208" s="11"/>
      <c r="H208" s="5"/>
      <c r="I208" s="8"/>
      <c r="J208" s="8"/>
    </row>
    <row r="209" spans="2:10" ht="12.75" x14ac:dyDescent="0.2">
      <c r="B209" s="6"/>
      <c r="C209" s="6"/>
      <c r="D209" s="6"/>
      <c r="E209" s="9"/>
      <c r="F209" s="9"/>
      <c r="G209" s="11"/>
      <c r="H209" s="5"/>
      <c r="I209" s="8"/>
      <c r="J209" s="8"/>
    </row>
    <row r="210" spans="2:10" ht="12.75" x14ac:dyDescent="0.2">
      <c r="B210" s="6"/>
      <c r="C210" s="6"/>
      <c r="D210" s="6"/>
      <c r="E210" s="9"/>
      <c r="F210" s="9"/>
      <c r="G210" s="11"/>
      <c r="H210" s="5"/>
      <c r="I210" s="8"/>
      <c r="J210" s="8"/>
    </row>
    <row r="211" spans="2:10" ht="12.75" x14ac:dyDescent="0.2">
      <c r="B211" s="6"/>
      <c r="C211" s="6"/>
      <c r="D211" s="6"/>
      <c r="E211" s="9"/>
      <c r="F211" s="9"/>
      <c r="G211" s="11"/>
      <c r="H211" s="5"/>
      <c r="I211" s="8"/>
      <c r="J211" s="8"/>
    </row>
    <row r="212" spans="2:10" ht="12.75" x14ac:dyDescent="0.2">
      <c r="B212" s="6"/>
      <c r="C212" s="6"/>
      <c r="D212" s="6"/>
      <c r="E212" s="9"/>
      <c r="F212" s="9"/>
      <c r="G212" s="11"/>
      <c r="H212" s="5"/>
      <c r="I212" s="8"/>
      <c r="J212" s="8"/>
    </row>
    <row r="213" spans="2:10" ht="12.75" x14ac:dyDescent="0.2">
      <c r="B213" s="6"/>
      <c r="C213" s="6"/>
      <c r="D213" s="6"/>
      <c r="E213" s="9"/>
      <c r="F213" s="9"/>
      <c r="G213" s="11"/>
      <c r="H213" s="5"/>
      <c r="I213" s="8"/>
      <c r="J213" s="8"/>
    </row>
    <row r="214" spans="2:10" ht="12.75" x14ac:dyDescent="0.2">
      <c r="B214" s="6"/>
      <c r="C214" s="6"/>
      <c r="D214" s="6"/>
      <c r="E214" s="9"/>
      <c r="F214" s="9"/>
      <c r="G214" s="11"/>
      <c r="H214" s="5"/>
      <c r="I214" s="8"/>
      <c r="J214" s="8"/>
    </row>
    <row r="215" spans="2:10" ht="12.75" x14ac:dyDescent="0.2">
      <c r="B215" s="6"/>
      <c r="C215" s="6"/>
      <c r="D215" s="6"/>
      <c r="E215" s="9"/>
      <c r="F215" s="9"/>
      <c r="G215" s="11"/>
      <c r="H215" s="5"/>
      <c r="I215" s="8"/>
      <c r="J215" s="8"/>
    </row>
    <row r="216" spans="2:10" ht="12.75" x14ac:dyDescent="0.2">
      <c r="B216" s="6"/>
      <c r="C216" s="6"/>
      <c r="D216" s="6"/>
      <c r="E216" s="9"/>
      <c r="F216" s="9"/>
      <c r="G216" s="11"/>
      <c r="H216" s="5"/>
      <c r="I216" s="8"/>
      <c r="J216" s="8"/>
    </row>
    <row r="217" spans="2:10" ht="12.75" x14ac:dyDescent="0.2">
      <c r="B217" s="6"/>
      <c r="C217" s="6"/>
      <c r="D217" s="6"/>
      <c r="E217" s="9"/>
      <c r="F217" s="9"/>
      <c r="G217" s="11"/>
      <c r="H217" s="5"/>
      <c r="I217" s="8"/>
      <c r="J217" s="8"/>
    </row>
    <row r="218" spans="2:10" ht="12.75" x14ac:dyDescent="0.2">
      <c r="B218" s="6"/>
      <c r="C218" s="6"/>
      <c r="D218" s="6"/>
      <c r="E218" s="9"/>
      <c r="F218" s="9"/>
      <c r="G218" s="11"/>
      <c r="H218" s="5"/>
      <c r="I218" s="8"/>
      <c r="J218" s="8"/>
    </row>
    <row r="219" spans="2:10" ht="12.75" x14ac:dyDescent="0.2">
      <c r="B219" s="6"/>
      <c r="C219" s="6"/>
      <c r="D219" s="6"/>
      <c r="E219" s="9"/>
      <c r="F219" s="9"/>
      <c r="G219" s="11"/>
      <c r="H219" s="5"/>
      <c r="I219" s="8"/>
      <c r="J219" s="8"/>
    </row>
    <row r="220" spans="2:10" ht="12.75" x14ac:dyDescent="0.2">
      <c r="B220" s="6"/>
      <c r="C220" s="6"/>
      <c r="D220" s="6"/>
      <c r="E220" s="9"/>
      <c r="F220" s="9"/>
      <c r="G220" s="11"/>
      <c r="H220" s="5"/>
      <c r="I220" s="8"/>
      <c r="J220" s="8"/>
    </row>
    <row r="221" spans="2:10" ht="12.75" x14ac:dyDescent="0.2">
      <c r="B221" s="6"/>
      <c r="C221" s="6"/>
      <c r="D221" s="6"/>
      <c r="E221" s="9"/>
      <c r="F221" s="9"/>
      <c r="G221" s="11"/>
      <c r="H221" s="5"/>
      <c r="I221" s="8"/>
      <c r="J221" s="8"/>
    </row>
    <row r="222" spans="2:10" ht="12.75" x14ac:dyDescent="0.2">
      <c r="B222" s="6"/>
      <c r="C222" s="6"/>
      <c r="D222" s="6"/>
      <c r="E222" s="9"/>
      <c r="F222" s="9"/>
      <c r="G222" s="11"/>
      <c r="H222" s="5"/>
      <c r="I222" s="8"/>
      <c r="J222" s="8"/>
    </row>
    <row r="223" spans="2:10" ht="12.75" x14ac:dyDescent="0.2">
      <c r="B223" s="6"/>
      <c r="C223" s="6"/>
      <c r="D223" s="6"/>
      <c r="E223" s="9"/>
      <c r="F223" s="9"/>
      <c r="G223" s="11"/>
      <c r="H223" s="5"/>
      <c r="I223" s="8"/>
      <c r="J223" s="8"/>
    </row>
    <row r="224" spans="2:10" ht="12.75" x14ac:dyDescent="0.2">
      <c r="B224" s="6"/>
      <c r="C224" s="6"/>
      <c r="D224" s="6"/>
      <c r="E224" s="9"/>
      <c r="F224" s="9"/>
      <c r="G224" s="11"/>
      <c r="H224" s="5"/>
      <c r="I224" s="8"/>
      <c r="J224" s="8"/>
    </row>
    <row r="225" spans="2:10" ht="12.75" x14ac:dyDescent="0.2">
      <c r="B225" s="6"/>
      <c r="C225" s="6"/>
      <c r="D225" s="6"/>
      <c r="E225" s="9"/>
      <c r="F225" s="9"/>
      <c r="G225" s="11"/>
      <c r="H225" s="5"/>
      <c r="I225" s="8"/>
      <c r="J225" s="8"/>
    </row>
    <row r="226" spans="2:10" ht="12.75" x14ac:dyDescent="0.2">
      <c r="B226" s="6"/>
      <c r="C226" s="6"/>
      <c r="D226" s="6"/>
      <c r="E226" s="9"/>
      <c r="F226" s="9"/>
      <c r="G226" s="11"/>
      <c r="H226" s="5"/>
      <c r="I226" s="8"/>
      <c r="J226" s="8"/>
    </row>
    <row r="227" spans="2:10" ht="12.75" x14ac:dyDescent="0.2">
      <c r="B227" s="6"/>
      <c r="C227" s="6"/>
      <c r="D227" s="6"/>
      <c r="E227" s="9"/>
      <c r="F227" s="9"/>
      <c r="G227" s="11"/>
      <c r="H227" s="5"/>
      <c r="I227" s="8"/>
      <c r="J227" s="8"/>
    </row>
    <row r="228" spans="2:10" ht="12.75" x14ac:dyDescent="0.2">
      <c r="B228" s="6"/>
      <c r="C228" s="6"/>
      <c r="D228" s="6"/>
      <c r="E228" s="9"/>
      <c r="F228" s="9"/>
      <c r="G228" s="11"/>
      <c r="H228" s="5"/>
      <c r="I228" s="8"/>
      <c r="J228" s="8"/>
    </row>
    <row r="229" spans="2:10" ht="12.75" x14ac:dyDescent="0.2">
      <c r="B229" s="6"/>
      <c r="C229" s="6"/>
      <c r="D229" s="6"/>
      <c r="E229" s="9"/>
      <c r="F229" s="9"/>
      <c r="G229" s="11"/>
      <c r="H229" s="5"/>
      <c r="I229" s="8"/>
      <c r="J229" s="8"/>
    </row>
    <row r="230" spans="2:10" ht="12.75" x14ac:dyDescent="0.2">
      <c r="B230" s="6"/>
      <c r="C230" s="6"/>
      <c r="D230" s="6"/>
      <c r="E230" s="9"/>
      <c r="F230" s="9"/>
      <c r="G230" s="11"/>
      <c r="H230" s="5"/>
      <c r="I230" s="8"/>
      <c r="J230" s="8"/>
    </row>
    <row r="231" spans="2:10" ht="12.75" x14ac:dyDescent="0.2">
      <c r="B231" s="6"/>
      <c r="C231" s="6"/>
      <c r="D231" s="6"/>
      <c r="E231" s="9"/>
      <c r="F231" s="9"/>
      <c r="G231" s="11"/>
      <c r="H231" s="5"/>
      <c r="I231" s="8"/>
      <c r="J231" s="8"/>
    </row>
    <row r="232" spans="2:10" ht="12.75" x14ac:dyDescent="0.2">
      <c r="B232" s="6"/>
      <c r="C232" s="6"/>
      <c r="D232" s="6"/>
      <c r="E232" s="9"/>
      <c r="F232" s="9"/>
      <c r="G232" s="11"/>
      <c r="H232" s="5"/>
      <c r="I232" s="8"/>
      <c r="J232" s="8"/>
    </row>
    <row r="233" spans="2:10" ht="12.75" x14ac:dyDescent="0.2">
      <c r="B233" s="6"/>
      <c r="C233" s="6"/>
      <c r="D233" s="6"/>
      <c r="E233" s="9"/>
      <c r="F233" s="9"/>
      <c r="G233" s="11"/>
      <c r="H233" s="5"/>
      <c r="I233" s="8"/>
      <c r="J233" s="8"/>
    </row>
    <row r="234" spans="2:10" ht="12.75" x14ac:dyDescent="0.2">
      <c r="B234" s="6"/>
      <c r="C234" s="6"/>
      <c r="D234" s="6"/>
      <c r="E234" s="9"/>
      <c r="F234" s="9"/>
      <c r="G234" s="11"/>
      <c r="H234" s="5"/>
      <c r="I234" s="8"/>
      <c r="J234" s="8"/>
    </row>
    <row r="235" spans="2:10" ht="12.75" x14ac:dyDescent="0.2">
      <c r="B235" s="6"/>
      <c r="C235" s="6"/>
      <c r="D235" s="6"/>
      <c r="E235" s="9"/>
      <c r="F235" s="9"/>
      <c r="G235" s="11"/>
      <c r="H235" s="5"/>
      <c r="I235" s="8"/>
      <c r="J235" s="8"/>
    </row>
    <row r="236" spans="2:10" ht="12.75" x14ac:dyDescent="0.2">
      <c r="B236" s="6"/>
      <c r="C236" s="6"/>
      <c r="D236" s="6"/>
      <c r="E236" s="9"/>
      <c r="F236" s="9"/>
      <c r="G236" s="11"/>
      <c r="H236" s="5"/>
      <c r="I236" s="8"/>
      <c r="J236" s="8"/>
    </row>
    <row r="237" spans="2:10" ht="12.75" x14ac:dyDescent="0.2">
      <c r="B237" s="6"/>
      <c r="C237" s="6"/>
      <c r="D237" s="6"/>
      <c r="E237" s="9"/>
      <c r="F237" s="9"/>
      <c r="G237" s="11"/>
      <c r="H237" s="5"/>
      <c r="I237" s="8"/>
      <c r="J237" s="8"/>
    </row>
    <row r="238" spans="2:10" ht="12.75" x14ac:dyDescent="0.2">
      <c r="B238" s="6"/>
      <c r="C238" s="6"/>
      <c r="D238" s="6"/>
      <c r="E238" s="9"/>
      <c r="F238" s="9"/>
      <c r="G238" s="11"/>
      <c r="H238" s="5"/>
      <c r="I238" s="8"/>
      <c r="J238" s="8"/>
    </row>
    <row r="239" spans="2:10" ht="12.75" x14ac:dyDescent="0.2">
      <c r="B239" s="6"/>
      <c r="C239" s="6"/>
      <c r="D239" s="6"/>
      <c r="E239" s="9"/>
      <c r="F239" s="9"/>
      <c r="G239" s="11"/>
      <c r="H239" s="5"/>
      <c r="I239" s="8"/>
      <c r="J239" s="8"/>
    </row>
    <row r="240" spans="2:10" ht="12.75" x14ac:dyDescent="0.2">
      <c r="B240" s="6"/>
      <c r="C240" s="6"/>
      <c r="D240" s="6"/>
      <c r="E240" s="9"/>
      <c r="F240" s="9"/>
      <c r="G240" s="11"/>
      <c r="H240" s="5"/>
      <c r="I240" s="8"/>
      <c r="J240" s="8"/>
    </row>
    <row r="241" spans="2:10" ht="12.75" x14ac:dyDescent="0.2">
      <c r="B241" s="6"/>
      <c r="C241" s="6"/>
      <c r="D241" s="6"/>
      <c r="E241" s="9"/>
      <c r="F241" s="9"/>
      <c r="G241" s="11"/>
      <c r="H241" s="5"/>
      <c r="I241" s="8"/>
      <c r="J241" s="8"/>
    </row>
    <row r="242" spans="2:10" ht="12.75" x14ac:dyDescent="0.2">
      <c r="B242" s="6"/>
      <c r="C242" s="6"/>
      <c r="D242" s="6"/>
      <c r="E242" s="9"/>
      <c r="F242" s="9"/>
      <c r="G242" s="11"/>
      <c r="H242" s="5"/>
      <c r="I242" s="8"/>
      <c r="J242" s="8"/>
    </row>
    <row r="243" spans="2:10" ht="12.75" x14ac:dyDescent="0.2">
      <c r="B243" s="6"/>
      <c r="C243" s="6"/>
      <c r="D243" s="6"/>
      <c r="E243" s="9"/>
      <c r="F243" s="9"/>
      <c r="G243" s="11"/>
      <c r="H243" s="5"/>
      <c r="I243" s="8"/>
      <c r="J243" s="8"/>
    </row>
    <row r="244" spans="2:10" ht="12.75" x14ac:dyDescent="0.2">
      <c r="B244" s="6"/>
      <c r="C244" s="6"/>
      <c r="D244" s="6"/>
      <c r="E244" s="9"/>
      <c r="F244" s="9"/>
      <c r="G244" s="11"/>
      <c r="H244" s="5"/>
      <c r="I244" s="8"/>
      <c r="J244" s="8"/>
    </row>
    <row r="245" spans="2:10" ht="12.75" x14ac:dyDescent="0.2">
      <c r="B245" s="6"/>
      <c r="C245" s="6"/>
      <c r="D245" s="6"/>
      <c r="E245" s="9"/>
      <c r="F245" s="9"/>
      <c r="G245" s="11"/>
      <c r="H245" s="5"/>
      <c r="I245" s="8"/>
      <c r="J245" s="8"/>
    </row>
    <row r="246" spans="2:10" ht="12.75" x14ac:dyDescent="0.2">
      <c r="B246" s="6"/>
      <c r="C246" s="6"/>
      <c r="D246" s="6"/>
      <c r="E246" s="9"/>
      <c r="F246" s="9"/>
      <c r="G246" s="11"/>
      <c r="H246" s="5"/>
      <c r="I246" s="8"/>
      <c r="J246" s="8"/>
    </row>
    <row r="247" spans="2:10" ht="12.75" x14ac:dyDescent="0.2">
      <c r="B247" s="6"/>
      <c r="C247" s="6"/>
      <c r="D247" s="6"/>
      <c r="E247" s="9"/>
      <c r="F247" s="9"/>
      <c r="G247" s="11"/>
      <c r="H247" s="5"/>
      <c r="I247" s="8"/>
      <c r="J247" s="8"/>
    </row>
    <row r="248" spans="2:10" ht="12.75" x14ac:dyDescent="0.2">
      <c r="B248" s="6"/>
      <c r="C248" s="6"/>
      <c r="D248" s="6"/>
      <c r="E248" s="9"/>
      <c r="F248" s="9"/>
      <c r="G248" s="11"/>
      <c r="H248" s="5"/>
      <c r="I248" s="8"/>
      <c r="J248" s="8"/>
    </row>
    <row r="249" spans="2:10" ht="12.75" x14ac:dyDescent="0.2">
      <c r="B249" s="6"/>
      <c r="C249" s="6"/>
      <c r="D249" s="6"/>
      <c r="E249" s="9"/>
      <c r="F249" s="9"/>
      <c r="G249" s="11"/>
      <c r="H249" s="5"/>
      <c r="I249" s="8"/>
      <c r="J249" s="8"/>
    </row>
    <row r="250" spans="2:10" ht="12.75" x14ac:dyDescent="0.2">
      <c r="B250" s="6"/>
      <c r="C250" s="6"/>
      <c r="D250" s="6"/>
      <c r="E250" s="9"/>
      <c r="F250" s="9"/>
      <c r="G250" s="11"/>
      <c r="H250" s="5"/>
      <c r="I250" s="8"/>
      <c r="J250" s="8"/>
    </row>
    <row r="251" spans="2:10" ht="12.75" x14ac:dyDescent="0.2">
      <c r="B251" s="6"/>
      <c r="C251" s="6"/>
      <c r="D251" s="6"/>
      <c r="E251" s="9"/>
      <c r="F251" s="9"/>
      <c r="G251" s="11"/>
      <c r="H251" s="5"/>
      <c r="I251" s="8"/>
      <c r="J251" s="8"/>
    </row>
    <row r="252" spans="2:10" ht="12.75" x14ac:dyDescent="0.2">
      <c r="B252" s="6"/>
      <c r="C252" s="6"/>
      <c r="D252" s="6"/>
      <c r="E252" s="9"/>
      <c r="F252" s="9"/>
      <c r="G252" s="11"/>
      <c r="H252" s="5"/>
      <c r="I252" s="8"/>
      <c r="J252" s="8"/>
    </row>
    <row r="253" spans="2:10" ht="12.75" x14ac:dyDescent="0.2">
      <c r="B253" s="6"/>
      <c r="C253" s="6"/>
      <c r="D253" s="6"/>
      <c r="E253" s="9"/>
      <c r="F253" s="9"/>
      <c r="G253" s="11"/>
      <c r="H253" s="5"/>
      <c r="I253" s="8"/>
      <c r="J253" s="8"/>
    </row>
    <row r="254" spans="2:10" ht="12.75" x14ac:dyDescent="0.2">
      <c r="B254" s="6"/>
      <c r="C254" s="6"/>
      <c r="D254" s="6"/>
      <c r="E254" s="9"/>
      <c r="F254" s="9"/>
      <c r="G254" s="11"/>
      <c r="H254" s="5"/>
      <c r="I254" s="8"/>
      <c r="J254" s="8"/>
    </row>
    <row r="255" spans="2:10" ht="12.75" x14ac:dyDescent="0.2">
      <c r="B255" s="6"/>
      <c r="C255" s="6"/>
      <c r="D255" s="6"/>
      <c r="E255" s="9"/>
      <c r="F255" s="9"/>
      <c r="G255" s="11"/>
      <c r="H255" s="5"/>
      <c r="I255" s="8"/>
      <c r="J255" s="8"/>
    </row>
    <row r="256" spans="2:10" ht="12.75" x14ac:dyDescent="0.2">
      <c r="B256" s="6"/>
      <c r="C256" s="6"/>
      <c r="D256" s="6"/>
      <c r="E256" s="9"/>
      <c r="F256" s="9"/>
      <c r="G256" s="11"/>
      <c r="H256" s="5"/>
      <c r="I256" s="8"/>
      <c r="J256" s="8"/>
    </row>
    <row r="257" spans="2:10" ht="12.75" x14ac:dyDescent="0.2">
      <c r="B257" s="6"/>
      <c r="C257" s="6"/>
      <c r="D257" s="6"/>
      <c r="E257" s="9"/>
      <c r="F257" s="9"/>
      <c r="G257" s="11"/>
      <c r="H257" s="5"/>
      <c r="I257" s="8"/>
      <c r="J257" s="8"/>
    </row>
    <row r="258" spans="2:10" ht="12.75" x14ac:dyDescent="0.2">
      <c r="B258" s="6"/>
      <c r="C258" s="6"/>
      <c r="D258" s="6"/>
      <c r="E258" s="9"/>
      <c r="F258" s="9"/>
      <c r="G258" s="11"/>
      <c r="H258" s="5"/>
      <c r="I258" s="8"/>
      <c r="J258" s="8"/>
    </row>
    <row r="259" spans="2:10" ht="12.75" x14ac:dyDescent="0.2">
      <c r="B259" s="6"/>
      <c r="C259" s="6"/>
      <c r="D259" s="6"/>
      <c r="E259" s="9"/>
      <c r="F259" s="9"/>
      <c r="G259" s="11"/>
      <c r="H259" s="5"/>
      <c r="I259" s="8"/>
      <c r="J259" s="8"/>
    </row>
    <row r="260" spans="2:10" ht="12.75" x14ac:dyDescent="0.2">
      <c r="B260" s="6"/>
      <c r="C260" s="6"/>
      <c r="D260" s="6"/>
      <c r="E260" s="9"/>
      <c r="F260" s="9"/>
      <c r="G260" s="11"/>
      <c r="H260" s="5"/>
      <c r="I260" s="8"/>
      <c r="J260" s="8"/>
    </row>
    <row r="261" spans="2:10" ht="12.75" x14ac:dyDescent="0.2">
      <c r="B261" s="6"/>
      <c r="C261" s="6"/>
      <c r="D261" s="6"/>
      <c r="E261" s="9"/>
      <c r="F261" s="9"/>
      <c r="G261" s="11"/>
      <c r="H261" s="5"/>
      <c r="I261" s="8"/>
      <c r="J261" s="8"/>
    </row>
    <row r="262" spans="2:10" ht="12.75" x14ac:dyDescent="0.2">
      <c r="B262" s="6"/>
      <c r="C262" s="6"/>
      <c r="D262" s="6"/>
      <c r="E262" s="9"/>
      <c r="F262" s="9"/>
      <c r="G262" s="11"/>
      <c r="H262" s="5"/>
      <c r="I262" s="8"/>
      <c r="J262" s="8"/>
    </row>
    <row r="263" spans="2:10" ht="12.75" x14ac:dyDescent="0.2">
      <c r="B263" s="6"/>
      <c r="C263" s="6"/>
      <c r="D263" s="6"/>
      <c r="E263" s="9"/>
      <c r="F263" s="9"/>
      <c r="G263" s="11"/>
      <c r="H263" s="5"/>
      <c r="I263" s="8"/>
      <c r="J263" s="8"/>
    </row>
    <row r="264" spans="2:10" ht="12.75" x14ac:dyDescent="0.2">
      <c r="B264" s="6"/>
      <c r="C264" s="6"/>
      <c r="D264" s="6"/>
      <c r="E264" s="9"/>
      <c r="F264" s="9"/>
      <c r="G264" s="11"/>
      <c r="H264" s="5"/>
      <c r="I264" s="8"/>
      <c r="J264" s="8"/>
    </row>
    <row r="265" spans="2:10" ht="12.75" x14ac:dyDescent="0.2">
      <c r="B265" s="6"/>
      <c r="C265" s="6"/>
      <c r="D265" s="6"/>
      <c r="E265" s="9"/>
      <c r="F265" s="9"/>
      <c r="G265" s="11"/>
      <c r="H265" s="5"/>
      <c r="I265" s="8"/>
      <c r="J265" s="8"/>
    </row>
    <row r="266" spans="2:10" ht="12.75" x14ac:dyDescent="0.2">
      <c r="B266" s="6"/>
      <c r="C266" s="6"/>
      <c r="D266" s="6"/>
      <c r="E266" s="9"/>
      <c r="F266" s="9"/>
      <c r="G266" s="11"/>
      <c r="H266" s="5"/>
      <c r="I266" s="8"/>
      <c r="J266" s="8"/>
    </row>
    <row r="267" spans="2:10" ht="12.75" x14ac:dyDescent="0.2">
      <c r="B267" s="6"/>
      <c r="C267" s="6"/>
      <c r="D267" s="6"/>
      <c r="E267" s="9"/>
      <c r="F267" s="9"/>
      <c r="G267" s="11"/>
      <c r="H267" s="5"/>
      <c r="I267" s="8"/>
      <c r="J267" s="8"/>
    </row>
    <row r="268" spans="2:10" ht="12.75" x14ac:dyDescent="0.2">
      <c r="B268" s="6"/>
      <c r="C268" s="6"/>
      <c r="D268" s="6"/>
      <c r="E268" s="9"/>
      <c r="F268" s="9"/>
      <c r="G268" s="11"/>
      <c r="H268" s="5"/>
      <c r="I268" s="8"/>
      <c r="J268" s="8"/>
    </row>
    <row r="269" spans="2:10" ht="12.75" x14ac:dyDescent="0.2">
      <c r="B269" s="6"/>
      <c r="C269" s="6"/>
      <c r="D269" s="6"/>
      <c r="E269" s="9"/>
      <c r="F269" s="9"/>
      <c r="G269" s="11"/>
      <c r="H269" s="5"/>
      <c r="I269" s="8"/>
      <c r="J269" s="8"/>
    </row>
    <row r="270" spans="2:10" ht="12.75" x14ac:dyDescent="0.2">
      <c r="B270" s="6"/>
      <c r="C270" s="6"/>
      <c r="D270" s="6"/>
      <c r="E270" s="9"/>
      <c r="F270" s="9"/>
      <c r="G270" s="11"/>
      <c r="H270" s="5"/>
      <c r="I270" s="8"/>
      <c r="J270" s="8"/>
    </row>
    <row r="271" spans="2:10" ht="12.75" x14ac:dyDescent="0.2">
      <c r="B271" s="6"/>
      <c r="C271" s="6"/>
      <c r="D271" s="6"/>
      <c r="E271" s="9"/>
      <c r="F271" s="9"/>
      <c r="G271" s="11"/>
      <c r="H271" s="5"/>
      <c r="I271" s="8"/>
      <c r="J271" s="8"/>
    </row>
    <row r="272" spans="2:10" ht="12.75" x14ac:dyDescent="0.2">
      <c r="B272" s="6"/>
      <c r="C272" s="6"/>
      <c r="D272" s="6"/>
      <c r="E272" s="9"/>
      <c r="F272" s="9"/>
      <c r="G272" s="11"/>
      <c r="H272" s="5"/>
      <c r="I272" s="8"/>
      <c r="J272" s="8"/>
    </row>
    <row r="273" spans="2:10" ht="12.75" x14ac:dyDescent="0.2">
      <c r="B273" s="6"/>
      <c r="C273" s="6"/>
      <c r="D273" s="6"/>
      <c r="E273" s="9"/>
      <c r="F273" s="9"/>
      <c r="G273" s="11"/>
      <c r="H273" s="5"/>
      <c r="I273" s="8"/>
      <c r="J273" s="8"/>
    </row>
    <row r="274" spans="2:10" ht="12.75" x14ac:dyDescent="0.2">
      <c r="B274" s="6"/>
      <c r="C274" s="6"/>
      <c r="D274" s="6"/>
      <c r="E274" s="9"/>
      <c r="F274" s="9"/>
      <c r="G274" s="11"/>
      <c r="H274" s="5"/>
      <c r="I274" s="8"/>
      <c r="J274" s="8"/>
    </row>
    <row r="275" spans="2:10" ht="12.75" x14ac:dyDescent="0.2">
      <c r="B275" s="6"/>
      <c r="C275" s="6"/>
      <c r="D275" s="6"/>
      <c r="E275" s="9"/>
      <c r="F275" s="9"/>
      <c r="G275" s="11"/>
      <c r="H275" s="5"/>
      <c r="I275" s="8"/>
      <c r="J275" s="8"/>
    </row>
    <row r="276" spans="2:10" ht="12.75" x14ac:dyDescent="0.2">
      <c r="B276" s="6"/>
      <c r="C276" s="6"/>
      <c r="D276" s="6"/>
      <c r="E276" s="9"/>
      <c r="F276" s="9"/>
      <c r="G276" s="11"/>
      <c r="H276" s="5"/>
      <c r="I276" s="8"/>
      <c r="J276" s="8"/>
    </row>
    <row r="277" spans="2:10" ht="12.75" x14ac:dyDescent="0.2">
      <c r="B277" s="6"/>
      <c r="C277" s="6"/>
      <c r="D277" s="6"/>
      <c r="E277" s="9"/>
      <c r="F277" s="9"/>
      <c r="G277" s="11"/>
      <c r="H277" s="5"/>
      <c r="I277" s="8"/>
      <c r="J277" s="8"/>
    </row>
    <row r="278" spans="2:10" ht="12.75" x14ac:dyDescent="0.2">
      <c r="B278" s="6"/>
      <c r="C278" s="6"/>
      <c r="D278" s="6"/>
      <c r="E278" s="9"/>
      <c r="F278" s="9"/>
      <c r="G278" s="11"/>
      <c r="H278" s="5"/>
      <c r="I278" s="8"/>
      <c r="J278" s="8"/>
    </row>
    <row r="279" spans="2:10" ht="12.75" x14ac:dyDescent="0.2">
      <c r="B279" s="6"/>
      <c r="C279" s="6"/>
      <c r="D279" s="6"/>
      <c r="E279" s="9"/>
      <c r="F279" s="9"/>
      <c r="G279" s="11"/>
      <c r="H279" s="5"/>
      <c r="I279" s="8"/>
      <c r="J279" s="8"/>
    </row>
    <row r="280" spans="2:10" ht="12.75" x14ac:dyDescent="0.2">
      <c r="B280" s="6"/>
      <c r="C280" s="6"/>
      <c r="D280" s="6"/>
      <c r="E280" s="9"/>
      <c r="F280" s="9"/>
      <c r="G280" s="11"/>
      <c r="H280" s="5"/>
      <c r="I280" s="8"/>
      <c r="J280" s="8"/>
    </row>
    <row r="281" spans="2:10" ht="12.75" x14ac:dyDescent="0.2">
      <c r="B281" s="6"/>
      <c r="C281" s="6"/>
      <c r="D281" s="6"/>
      <c r="E281" s="9"/>
      <c r="F281" s="9"/>
      <c r="G281" s="11"/>
      <c r="H281" s="5"/>
      <c r="I281" s="8"/>
      <c r="J281" s="8"/>
    </row>
    <row r="282" spans="2:10" ht="12.75" x14ac:dyDescent="0.2">
      <c r="B282" s="6"/>
      <c r="C282" s="6"/>
      <c r="D282" s="6"/>
      <c r="E282" s="9"/>
      <c r="F282" s="9"/>
      <c r="G282" s="11"/>
      <c r="H282" s="5"/>
      <c r="I282" s="8"/>
      <c r="J282" s="8"/>
    </row>
    <row r="283" spans="2:10" ht="12.75" x14ac:dyDescent="0.2">
      <c r="B283" s="6"/>
      <c r="C283" s="6"/>
      <c r="D283" s="6"/>
      <c r="E283" s="9"/>
      <c r="F283" s="9"/>
      <c r="G283" s="11"/>
      <c r="H283" s="5"/>
      <c r="I283" s="8"/>
      <c r="J283" s="8"/>
    </row>
    <row r="284" spans="2:10" ht="12.75" x14ac:dyDescent="0.2">
      <c r="B284" s="6"/>
      <c r="C284" s="6"/>
      <c r="D284" s="6"/>
      <c r="E284" s="9"/>
      <c r="F284" s="9"/>
      <c r="G284" s="11"/>
      <c r="H284" s="5"/>
      <c r="I284" s="8"/>
      <c r="J284" s="8"/>
    </row>
    <row r="285" spans="2:10" ht="12.75" x14ac:dyDescent="0.2">
      <c r="B285" s="6"/>
      <c r="C285" s="6"/>
      <c r="D285" s="6"/>
      <c r="E285" s="9"/>
      <c r="F285" s="9"/>
      <c r="G285" s="11"/>
      <c r="H285" s="5"/>
      <c r="I285" s="8"/>
      <c r="J285" s="8"/>
    </row>
    <row r="286" spans="2:10" ht="12.75" x14ac:dyDescent="0.2">
      <c r="B286" s="6"/>
      <c r="C286" s="6"/>
      <c r="D286" s="6"/>
      <c r="E286" s="9"/>
      <c r="F286" s="9"/>
      <c r="G286" s="11"/>
      <c r="H286" s="5"/>
      <c r="I286" s="8"/>
      <c r="J286" s="8"/>
    </row>
    <row r="287" spans="2:10" ht="12.75" x14ac:dyDescent="0.2">
      <c r="B287" s="6"/>
      <c r="C287" s="6"/>
      <c r="D287" s="6"/>
      <c r="E287" s="9"/>
      <c r="F287" s="9"/>
      <c r="G287" s="11"/>
      <c r="H287" s="5"/>
      <c r="I287" s="8"/>
      <c r="J287" s="8"/>
    </row>
    <row r="288" spans="2:10" ht="12.75" x14ac:dyDescent="0.2">
      <c r="B288" s="6"/>
      <c r="C288" s="6"/>
      <c r="D288" s="6"/>
      <c r="E288" s="9"/>
      <c r="F288" s="9"/>
      <c r="G288" s="11"/>
      <c r="H288" s="5"/>
      <c r="I288" s="8"/>
      <c r="J288" s="8"/>
    </row>
    <row r="289" spans="2:10" ht="12.75" x14ac:dyDescent="0.2">
      <c r="B289" s="6"/>
      <c r="C289" s="6"/>
      <c r="D289" s="6"/>
      <c r="E289" s="9"/>
      <c r="F289" s="9"/>
      <c r="G289" s="11"/>
      <c r="H289" s="5"/>
      <c r="I289" s="8"/>
      <c r="J289" s="8"/>
    </row>
    <row r="290" spans="2:10" ht="12.75" x14ac:dyDescent="0.2">
      <c r="B290" s="6"/>
      <c r="C290" s="6"/>
      <c r="D290" s="6"/>
      <c r="E290" s="9"/>
      <c r="F290" s="9"/>
      <c r="G290" s="11"/>
      <c r="H290" s="5"/>
      <c r="I290" s="8"/>
      <c r="J290" s="8"/>
    </row>
    <row r="291" spans="2:10" ht="12.75" x14ac:dyDescent="0.2">
      <c r="B291" s="6"/>
      <c r="C291" s="6"/>
      <c r="D291" s="6"/>
      <c r="E291" s="9"/>
      <c r="F291" s="9"/>
      <c r="G291" s="11"/>
      <c r="H291" s="5"/>
      <c r="I291" s="8"/>
      <c r="J291" s="8"/>
    </row>
    <row r="292" spans="2:10" ht="12.75" x14ac:dyDescent="0.2">
      <c r="B292" s="6"/>
      <c r="C292" s="6"/>
      <c r="D292" s="6"/>
      <c r="E292" s="9"/>
      <c r="F292" s="9"/>
      <c r="G292" s="11"/>
      <c r="H292" s="5"/>
      <c r="I292" s="8"/>
      <c r="J292" s="8"/>
    </row>
    <row r="293" spans="2:10" ht="12.75" x14ac:dyDescent="0.2">
      <c r="B293" s="6"/>
      <c r="C293" s="6"/>
      <c r="D293" s="6"/>
      <c r="E293" s="9"/>
      <c r="F293" s="9"/>
      <c r="G293" s="11"/>
      <c r="H293" s="5"/>
      <c r="I293" s="8"/>
      <c r="J293" s="8"/>
    </row>
    <row r="294" spans="2:10" ht="12.75" x14ac:dyDescent="0.2">
      <c r="B294" s="6"/>
      <c r="C294" s="6"/>
      <c r="D294" s="6"/>
      <c r="E294" s="9"/>
      <c r="F294" s="9"/>
      <c r="G294" s="11"/>
      <c r="H294" s="5"/>
      <c r="I294" s="8"/>
      <c r="J294" s="8"/>
    </row>
    <row r="295" spans="2:10" ht="12.75" x14ac:dyDescent="0.2">
      <c r="B295" s="6"/>
      <c r="C295" s="6"/>
      <c r="D295" s="6"/>
      <c r="E295" s="9"/>
      <c r="F295" s="9"/>
      <c r="G295" s="11"/>
      <c r="H295" s="5"/>
      <c r="I295" s="8"/>
      <c r="J295" s="8"/>
    </row>
    <row r="296" spans="2:10" ht="12.75" x14ac:dyDescent="0.2">
      <c r="B296" s="6"/>
      <c r="C296" s="6"/>
      <c r="D296" s="6"/>
      <c r="E296" s="9"/>
      <c r="F296" s="9"/>
      <c r="G296" s="11"/>
      <c r="H296" s="5"/>
      <c r="I296" s="8"/>
      <c r="J296" s="8"/>
    </row>
    <row r="297" spans="2:10" ht="12.75" x14ac:dyDescent="0.2">
      <c r="B297" s="6"/>
      <c r="C297" s="6"/>
      <c r="D297" s="6"/>
      <c r="E297" s="9"/>
      <c r="F297" s="9"/>
      <c r="G297" s="11"/>
      <c r="H297" s="5"/>
      <c r="I297" s="8"/>
      <c r="J297" s="8"/>
    </row>
    <row r="298" spans="2:10" ht="12.75" x14ac:dyDescent="0.2">
      <c r="B298" s="6"/>
      <c r="C298" s="6"/>
      <c r="D298" s="6"/>
      <c r="E298" s="9"/>
      <c r="F298" s="9"/>
      <c r="G298" s="11"/>
      <c r="H298" s="5"/>
      <c r="I298" s="8"/>
      <c r="J298" s="8"/>
    </row>
    <row r="299" spans="2:10" ht="12.75" x14ac:dyDescent="0.2">
      <c r="B299" s="6"/>
      <c r="C299" s="6"/>
      <c r="D299" s="6"/>
      <c r="E299" s="9"/>
      <c r="F299" s="9"/>
      <c r="G299" s="11"/>
      <c r="H299" s="5"/>
      <c r="I299" s="8"/>
      <c r="J299" s="8"/>
    </row>
    <row r="300" spans="2:10" ht="12.75" x14ac:dyDescent="0.2">
      <c r="B300" s="6"/>
      <c r="C300" s="6"/>
      <c r="D300" s="6"/>
      <c r="E300" s="9"/>
      <c r="F300" s="9"/>
      <c r="G300" s="11"/>
      <c r="H300" s="5"/>
      <c r="I300" s="8"/>
      <c r="J300" s="8"/>
    </row>
    <row r="301" spans="2:10" ht="12.75" x14ac:dyDescent="0.2">
      <c r="B301" s="6"/>
      <c r="C301" s="6"/>
      <c r="D301" s="6"/>
      <c r="E301" s="9"/>
      <c r="F301" s="9"/>
      <c r="G301" s="11"/>
      <c r="H301" s="5"/>
      <c r="I301" s="8"/>
      <c r="J301" s="8"/>
    </row>
    <row r="302" spans="2:10" ht="12.75" x14ac:dyDescent="0.2">
      <c r="B302" s="6"/>
      <c r="C302" s="6"/>
      <c r="D302" s="6"/>
      <c r="E302" s="9"/>
      <c r="F302" s="9"/>
      <c r="G302" s="11"/>
      <c r="H302" s="5"/>
      <c r="I302" s="8"/>
      <c r="J302" s="8"/>
    </row>
    <row r="303" spans="2:10" ht="12.75" x14ac:dyDescent="0.2">
      <c r="B303" s="6"/>
      <c r="C303" s="6"/>
      <c r="D303" s="6"/>
      <c r="E303" s="9"/>
      <c r="F303" s="9"/>
      <c r="G303" s="11"/>
      <c r="H303" s="5"/>
      <c r="I303" s="8"/>
      <c r="J303" s="8"/>
    </row>
    <row r="304" spans="2:10" ht="12.75" x14ac:dyDescent="0.2">
      <c r="B304" s="6"/>
      <c r="C304" s="6"/>
      <c r="D304" s="6"/>
      <c r="E304" s="9"/>
      <c r="F304" s="9"/>
      <c r="G304" s="11"/>
      <c r="H304" s="5"/>
      <c r="I304" s="8"/>
      <c r="J304" s="8"/>
    </row>
    <row r="305" spans="2:10" ht="12.75" x14ac:dyDescent="0.2">
      <c r="B305" s="6"/>
      <c r="C305" s="6"/>
      <c r="D305" s="6"/>
      <c r="E305" s="9"/>
      <c r="F305" s="9"/>
      <c r="G305" s="11"/>
      <c r="H305" s="5"/>
      <c r="I305" s="8"/>
      <c r="J305" s="8"/>
    </row>
    <row r="306" spans="2:10" ht="12.75" x14ac:dyDescent="0.2">
      <c r="B306" s="6"/>
      <c r="C306" s="6"/>
      <c r="D306" s="6"/>
      <c r="E306" s="9"/>
      <c r="F306" s="9"/>
      <c r="G306" s="11"/>
      <c r="H306" s="5"/>
      <c r="I306" s="8"/>
      <c r="J306" s="8"/>
    </row>
    <row r="307" spans="2:10" ht="12.75" x14ac:dyDescent="0.2">
      <c r="B307" s="6"/>
      <c r="C307" s="6"/>
      <c r="D307" s="6"/>
      <c r="E307" s="9"/>
      <c r="F307" s="9"/>
      <c r="G307" s="11"/>
      <c r="H307" s="5"/>
      <c r="I307" s="8"/>
      <c r="J307" s="8"/>
    </row>
    <row r="308" spans="2:10" ht="12.75" x14ac:dyDescent="0.2">
      <c r="B308" s="6"/>
      <c r="C308" s="6"/>
      <c r="D308" s="6"/>
      <c r="E308" s="9"/>
      <c r="F308" s="9"/>
      <c r="G308" s="11"/>
      <c r="H308" s="5"/>
      <c r="I308" s="8"/>
      <c r="J308" s="8"/>
    </row>
    <row r="309" spans="2:10" ht="12.75" x14ac:dyDescent="0.2">
      <c r="B309" s="6"/>
      <c r="C309" s="6"/>
      <c r="D309" s="6"/>
      <c r="E309" s="9"/>
      <c r="F309" s="9"/>
      <c r="G309" s="11"/>
      <c r="H309" s="5"/>
      <c r="I309" s="8"/>
      <c r="J309" s="8"/>
    </row>
    <row r="310" spans="2:10" ht="12.75" x14ac:dyDescent="0.2">
      <c r="B310" s="6"/>
      <c r="C310" s="6"/>
      <c r="D310" s="6"/>
      <c r="E310" s="9"/>
      <c r="F310" s="9"/>
      <c r="G310" s="11"/>
      <c r="H310" s="5"/>
      <c r="I310" s="8"/>
      <c r="J310" s="8"/>
    </row>
    <row r="311" spans="2:10" ht="12.75" x14ac:dyDescent="0.2">
      <c r="B311" s="6"/>
      <c r="C311" s="6"/>
      <c r="D311" s="6"/>
      <c r="E311" s="9"/>
      <c r="F311" s="9"/>
      <c r="G311" s="11"/>
      <c r="H311" s="5"/>
      <c r="I311" s="8"/>
      <c r="J311" s="8"/>
    </row>
    <row r="312" spans="2:10" ht="12.75" x14ac:dyDescent="0.2">
      <c r="B312" s="6"/>
      <c r="C312" s="6"/>
      <c r="D312" s="6"/>
      <c r="E312" s="9"/>
      <c r="F312" s="9"/>
      <c r="G312" s="11"/>
      <c r="H312" s="5"/>
      <c r="I312" s="8"/>
      <c r="J312" s="8"/>
    </row>
    <row r="313" spans="2:10" ht="12.75" x14ac:dyDescent="0.2">
      <c r="B313" s="6"/>
      <c r="C313" s="6"/>
      <c r="D313" s="6"/>
      <c r="E313" s="9"/>
      <c r="F313" s="9"/>
      <c r="G313" s="11"/>
      <c r="H313" s="5"/>
      <c r="I313" s="8"/>
      <c r="J313" s="8"/>
    </row>
    <row r="314" spans="2:10" ht="12.75" x14ac:dyDescent="0.2">
      <c r="B314" s="6"/>
      <c r="C314" s="6"/>
      <c r="D314" s="6"/>
      <c r="E314" s="9"/>
      <c r="F314" s="9"/>
      <c r="G314" s="11"/>
      <c r="H314" s="5"/>
      <c r="I314" s="8"/>
      <c r="J314" s="8"/>
    </row>
    <row r="315" spans="2:10" ht="12.75" x14ac:dyDescent="0.2">
      <c r="B315" s="6"/>
      <c r="C315" s="6"/>
      <c r="D315" s="6"/>
      <c r="E315" s="9"/>
      <c r="F315" s="9"/>
      <c r="G315" s="11"/>
      <c r="H315" s="5"/>
      <c r="I315" s="8"/>
      <c r="J315" s="8"/>
    </row>
    <row r="316" spans="2:10" ht="12.75" x14ac:dyDescent="0.2">
      <c r="B316" s="6"/>
      <c r="C316" s="6"/>
      <c r="D316" s="6"/>
      <c r="E316" s="9"/>
      <c r="F316" s="9"/>
      <c r="G316" s="11"/>
      <c r="H316" s="5"/>
      <c r="I316" s="8"/>
      <c r="J316" s="8"/>
    </row>
    <row r="317" spans="2:10" ht="12.75" x14ac:dyDescent="0.2">
      <c r="B317" s="6"/>
      <c r="C317" s="6"/>
      <c r="D317" s="6"/>
      <c r="E317" s="9"/>
      <c r="F317" s="9"/>
      <c r="G317" s="11"/>
      <c r="H317" s="5"/>
      <c r="I317" s="8"/>
      <c r="J317" s="8"/>
    </row>
    <row r="318" spans="2:10" ht="12.75" x14ac:dyDescent="0.2">
      <c r="B318" s="6"/>
      <c r="C318" s="6"/>
      <c r="D318" s="6"/>
      <c r="E318" s="9"/>
      <c r="F318" s="9"/>
      <c r="G318" s="11"/>
      <c r="H318" s="5"/>
      <c r="I318" s="8"/>
      <c r="J318" s="8"/>
    </row>
    <row r="319" spans="2:10" ht="12.75" x14ac:dyDescent="0.2">
      <c r="B319" s="6"/>
      <c r="C319" s="6"/>
      <c r="D319" s="6"/>
      <c r="E319" s="9"/>
      <c r="F319" s="9"/>
      <c r="G319" s="11"/>
      <c r="H319" s="5"/>
      <c r="I319" s="8"/>
      <c r="J319" s="8"/>
    </row>
    <row r="320" spans="2:10" ht="12.75" x14ac:dyDescent="0.2">
      <c r="B320" s="6"/>
      <c r="C320" s="6"/>
      <c r="D320" s="6"/>
      <c r="E320" s="9"/>
      <c r="F320" s="9"/>
      <c r="G320" s="11"/>
      <c r="H320" s="5"/>
      <c r="I320" s="8"/>
      <c r="J320" s="8"/>
    </row>
    <row r="321" spans="2:10" ht="12.75" x14ac:dyDescent="0.2">
      <c r="B321" s="6"/>
      <c r="C321" s="6"/>
      <c r="D321" s="6"/>
      <c r="E321" s="9"/>
      <c r="F321" s="9"/>
      <c r="G321" s="11"/>
      <c r="H321" s="5"/>
      <c r="I321" s="8"/>
      <c r="J321" s="8"/>
    </row>
    <row r="322" spans="2:10" ht="12.75" x14ac:dyDescent="0.2">
      <c r="B322" s="6"/>
      <c r="C322" s="6"/>
      <c r="D322" s="6"/>
      <c r="E322" s="9"/>
      <c r="F322" s="9"/>
      <c r="G322" s="11"/>
      <c r="H322" s="5"/>
      <c r="I322" s="8"/>
      <c r="J322" s="8"/>
    </row>
    <row r="323" spans="2:10" ht="12.75" x14ac:dyDescent="0.2">
      <c r="B323" s="6"/>
      <c r="C323" s="6"/>
      <c r="D323" s="6"/>
      <c r="E323" s="9"/>
      <c r="F323" s="9"/>
      <c r="G323" s="11"/>
      <c r="H323" s="5"/>
      <c r="I323" s="8"/>
      <c r="J323" s="8"/>
    </row>
    <row r="324" spans="2:10" ht="12.75" x14ac:dyDescent="0.2">
      <c r="B324" s="6"/>
      <c r="C324" s="6"/>
      <c r="D324" s="6"/>
      <c r="E324" s="9"/>
      <c r="F324" s="9"/>
      <c r="G324" s="11"/>
      <c r="H324" s="5"/>
      <c r="I324" s="8"/>
      <c r="J324" s="8"/>
    </row>
    <row r="325" spans="2:10" ht="12.75" x14ac:dyDescent="0.2">
      <c r="B325" s="6"/>
      <c r="C325" s="6"/>
      <c r="D325" s="6"/>
      <c r="E325" s="9"/>
      <c r="F325" s="9"/>
      <c r="G325" s="11"/>
      <c r="H325" s="5"/>
      <c r="I325" s="8"/>
      <c r="J325" s="8"/>
    </row>
    <row r="326" spans="2:10" ht="12.75" x14ac:dyDescent="0.2">
      <c r="B326" s="6"/>
      <c r="C326" s="6"/>
      <c r="D326" s="6"/>
      <c r="E326" s="9"/>
      <c r="F326" s="9"/>
      <c r="G326" s="11"/>
      <c r="H326" s="5"/>
      <c r="I326" s="8"/>
      <c r="J326" s="8"/>
    </row>
    <row r="327" spans="2:10" ht="12.75" x14ac:dyDescent="0.2">
      <c r="B327" s="6"/>
      <c r="C327" s="6"/>
      <c r="D327" s="6"/>
      <c r="E327" s="9"/>
      <c r="F327" s="9"/>
      <c r="G327" s="11"/>
      <c r="H327" s="5"/>
      <c r="I327" s="8"/>
      <c r="J327" s="8"/>
    </row>
    <row r="328" spans="2:10" ht="12.75" x14ac:dyDescent="0.2">
      <c r="B328" s="6"/>
      <c r="C328" s="6"/>
      <c r="D328" s="6"/>
      <c r="E328" s="9"/>
      <c r="F328" s="9"/>
      <c r="G328" s="11"/>
      <c r="H328" s="5"/>
      <c r="I328" s="8"/>
      <c r="J328" s="8"/>
    </row>
    <row r="329" spans="2:10" ht="12.75" x14ac:dyDescent="0.2">
      <c r="B329" s="6"/>
      <c r="C329" s="6"/>
      <c r="D329" s="6"/>
      <c r="E329" s="9"/>
      <c r="F329" s="9"/>
      <c r="G329" s="11"/>
      <c r="H329" s="5"/>
      <c r="I329" s="8"/>
      <c r="J329" s="8"/>
    </row>
    <row r="330" spans="2:10" ht="12.75" x14ac:dyDescent="0.2">
      <c r="B330" s="6"/>
      <c r="C330" s="6"/>
      <c r="D330" s="6"/>
      <c r="E330" s="9"/>
      <c r="F330" s="9"/>
      <c r="G330" s="11"/>
      <c r="H330" s="5"/>
      <c r="I330" s="8"/>
      <c r="J330" s="8"/>
    </row>
    <row r="331" spans="2:10" ht="12.75" x14ac:dyDescent="0.2">
      <c r="B331" s="6"/>
      <c r="C331" s="6"/>
      <c r="D331" s="6"/>
      <c r="E331" s="9"/>
      <c r="F331" s="9"/>
      <c r="G331" s="11"/>
      <c r="H331" s="5"/>
      <c r="I331" s="8"/>
      <c r="J331" s="8"/>
    </row>
    <row r="332" spans="2:10" ht="12.75" x14ac:dyDescent="0.2">
      <c r="B332" s="6"/>
      <c r="C332" s="6"/>
      <c r="D332" s="6"/>
      <c r="E332" s="9"/>
      <c r="F332" s="9"/>
      <c r="G332" s="11"/>
      <c r="H332" s="5"/>
      <c r="I332" s="8"/>
      <c r="J332" s="8"/>
    </row>
    <row r="333" spans="2:10" ht="12.75" x14ac:dyDescent="0.2">
      <c r="B333" s="6"/>
      <c r="C333" s="6"/>
      <c r="D333" s="6"/>
      <c r="E333" s="9"/>
      <c r="F333" s="9"/>
      <c r="G333" s="11"/>
      <c r="H333" s="5"/>
      <c r="I333" s="8"/>
      <c r="J333" s="8"/>
    </row>
    <row r="334" spans="2:10" ht="12.75" x14ac:dyDescent="0.2">
      <c r="B334" s="6"/>
      <c r="C334" s="6"/>
      <c r="D334" s="6"/>
      <c r="E334" s="9"/>
      <c r="F334" s="9"/>
      <c r="G334" s="11"/>
      <c r="H334" s="5"/>
      <c r="I334" s="8"/>
      <c r="J334" s="8"/>
    </row>
    <row r="335" spans="2:10" ht="12.75" x14ac:dyDescent="0.2">
      <c r="B335" s="6"/>
      <c r="C335" s="6"/>
      <c r="D335" s="6"/>
      <c r="E335" s="9"/>
      <c r="F335" s="9"/>
      <c r="G335" s="11"/>
      <c r="H335" s="5"/>
      <c r="I335" s="8"/>
      <c r="J335" s="8"/>
    </row>
    <row r="336" spans="2:10" ht="12.75" x14ac:dyDescent="0.2">
      <c r="B336" s="6"/>
      <c r="C336" s="6"/>
      <c r="D336" s="6"/>
      <c r="E336" s="9"/>
      <c r="F336" s="9"/>
      <c r="G336" s="11"/>
      <c r="H336" s="5"/>
      <c r="I336" s="8"/>
      <c r="J336" s="8"/>
    </row>
    <row r="337" spans="2:10" ht="12.75" x14ac:dyDescent="0.2">
      <c r="B337" s="6"/>
      <c r="C337" s="6"/>
      <c r="D337" s="6"/>
      <c r="E337" s="9"/>
      <c r="F337" s="9"/>
      <c r="G337" s="11"/>
      <c r="H337" s="5"/>
      <c r="I337" s="8"/>
      <c r="J337" s="8"/>
    </row>
    <row r="338" spans="2:10" ht="12.75" x14ac:dyDescent="0.2">
      <c r="B338" s="6"/>
      <c r="C338" s="6"/>
      <c r="D338" s="6"/>
      <c r="E338" s="9"/>
      <c r="F338" s="9"/>
      <c r="G338" s="11"/>
      <c r="H338" s="5"/>
      <c r="I338" s="8"/>
      <c r="J338" s="8"/>
    </row>
    <row r="339" spans="2:10" ht="12.75" x14ac:dyDescent="0.2">
      <c r="B339" s="6"/>
      <c r="C339" s="6"/>
      <c r="D339" s="6"/>
      <c r="E339" s="9"/>
      <c r="F339" s="9"/>
      <c r="G339" s="11"/>
      <c r="H339" s="5"/>
      <c r="I339" s="8"/>
      <c r="J339" s="8"/>
    </row>
    <row r="340" spans="2:10" ht="12.75" x14ac:dyDescent="0.2">
      <c r="B340" s="6"/>
      <c r="C340" s="6"/>
      <c r="D340" s="6"/>
      <c r="E340" s="9"/>
      <c r="F340" s="9"/>
      <c r="G340" s="11"/>
      <c r="H340" s="5"/>
      <c r="I340" s="8"/>
      <c r="J340" s="8"/>
    </row>
    <row r="341" spans="2:10" ht="12.75" x14ac:dyDescent="0.2">
      <c r="B341" s="6"/>
      <c r="C341" s="6"/>
      <c r="D341" s="6"/>
      <c r="E341" s="9"/>
      <c r="F341" s="9"/>
      <c r="G341" s="11"/>
      <c r="H341" s="5"/>
      <c r="I341" s="8"/>
      <c r="J341" s="8"/>
    </row>
    <row r="342" spans="2:10" ht="12.75" x14ac:dyDescent="0.2">
      <c r="B342" s="6"/>
      <c r="C342" s="6"/>
      <c r="D342" s="6"/>
      <c r="E342" s="9"/>
      <c r="F342" s="9"/>
      <c r="G342" s="11"/>
      <c r="H342" s="5"/>
      <c r="I342" s="8"/>
      <c r="J342" s="8"/>
    </row>
    <row r="343" spans="2:10" ht="12.75" x14ac:dyDescent="0.2">
      <c r="B343" s="6"/>
      <c r="C343" s="6"/>
      <c r="D343" s="6"/>
      <c r="E343" s="9"/>
      <c r="F343" s="9"/>
      <c r="G343" s="11"/>
      <c r="H343" s="5"/>
      <c r="I343" s="8"/>
      <c r="J343" s="8"/>
    </row>
    <row r="344" spans="2:10" ht="12.75" x14ac:dyDescent="0.2">
      <c r="B344" s="6"/>
      <c r="C344" s="6"/>
      <c r="D344" s="6"/>
      <c r="E344" s="9"/>
      <c r="F344" s="9"/>
      <c r="G344" s="11"/>
      <c r="H344" s="5"/>
      <c r="I344" s="8"/>
      <c r="J344" s="8"/>
    </row>
    <row r="345" spans="2:10" ht="12.75" x14ac:dyDescent="0.2">
      <c r="B345" s="6"/>
      <c r="C345" s="6"/>
      <c r="D345" s="6"/>
      <c r="E345" s="9"/>
      <c r="F345" s="9"/>
      <c r="G345" s="11"/>
      <c r="H345" s="5"/>
      <c r="I345" s="8"/>
      <c r="J345" s="8"/>
    </row>
    <row r="346" spans="2:10" ht="12.75" x14ac:dyDescent="0.2">
      <c r="B346" s="6"/>
      <c r="C346" s="6"/>
      <c r="D346" s="6"/>
      <c r="E346" s="9"/>
      <c r="F346" s="9"/>
      <c r="G346" s="11"/>
      <c r="H346" s="5"/>
      <c r="I346" s="8"/>
      <c r="J346" s="8"/>
    </row>
    <row r="347" spans="2:10" ht="12.75" x14ac:dyDescent="0.2">
      <c r="B347" s="6"/>
      <c r="C347" s="6"/>
      <c r="D347" s="6"/>
      <c r="E347" s="9"/>
      <c r="F347" s="9"/>
      <c r="G347" s="11"/>
      <c r="H347" s="5"/>
      <c r="I347" s="8"/>
      <c r="J347" s="8"/>
    </row>
    <row r="348" spans="2:10" ht="12.75" x14ac:dyDescent="0.2">
      <c r="B348" s="6"/>
      <c r="C348" s="6"/>
      <c r="D348" s="6"/>
      <c r="E348" s="9"/>
      <c r="F348" s="9"/>
      <c r="G348" s="11"/>
      <c r="H348" s="5"/>
      <c r="I348" s="8"/>
      <c r="J348" s="8"/>
    </row>
    <row r="349" spans="2:10" ht="12.75" x14ac:dyDescent="0.2">
      <c r="B349" s="6"/>
      <c r="C349" s="6"/>
      <c r="D349" s="6"/>
      <c r="E349" s="9"/>
      <c r="F349" s="9"/>
      <c r="G349" s="11"/>
      <c r="H349" s="5"/>
      <c r="I349" s="8"/>
      <c r="J349" s="8"/>
    </row>
    <row r="350" spans="2:10" ht="12.75" x14ac:dyDescent="0.2">
      <c r="B350" s="6"/>
      <c r="C350" s="6"/>
      <c r="D350" s="6"/>
      <c r="E350" s="9"/>
      <c r="F350" s="9"/>
      <c r="G350" s="11"/>
      <c r="H350" s="5"/>
      <c r="I350" s="8"/>
      <c r="J350" s="8"/>
    </row>
    <row r="351" spans="2:10" ht="12.75" x14ac:dyDescent="0.2">
      <c r="B351" s="6"/>
      <c r="C351" s="6"/>
      <c r="D351" s="6"/>
      <c r="E351" s="9"/>
      <c r="F351" s="9"/>
      <c r="G351" s="11"/>
      <c r="H351" s="5"/>
      <c r="I351" s="8"/>
      <c r="J351" s="8"/>
    </row>
    <row r="352" spans="2:10" ht="12.75" x14ac:dyDescent="0.2">
      <c r="B352" s="6"/>
      <c r="C352" s="6"/>
      <c r="D352" s="6"/>
      <c r="E352" s="9"/>
      <c r="F352" s="9"/>
      <c r="G352" s="11"/>
      <c r="H352" s="5"/>
      <c r="I352" s="8"/>
      <c r="J352" s="8"/>
    </row>
    <row r="353" spans="2:10" ht="12.75" x14ac:dyDescent="0.2">
      <c r="B353" s="6"/>
      <c r="C353" s="6"/>
      <c r="D353" s="6"/>
      <c r="E353" s="9"/>
      <c r="F353" s="9"/>
      <c r="G353" s="11"/>
      <c r="H353" s="5"/>
      <c r="I353" s="8"/>
      <c r="J353" s="8"/>
    </row>
    <row r="354" spans="2:10" ht="12.75" x14ac:dyDescent="0.2">
      <c r="B354" s="6"/>
      <c r="C354" s="6"/>
      <c r="D354" s="6"/>
      <c r="E354" s="9"/>
      <c r="F354" s="9"/>
      <c r="G354" s="11"/>
      <c r="H354" s="5"/>
      <c r="I354" s="8"/>
      <c r="J354" s="8"/>
    </row>
    <row r="355" spans="2:10" ht="12.75" x14ac:dyDescent="0.2">
      <c r="B355" s="6"/>
      <c r="C355" s="6"/>
      <c r="D355" s="6"/>
      <c r="E355" s="9"/>
      <c r="F355" s="9"/>
      <c r="G355" s="11"/>
      <c r="H355" s="5"/>
      <c r="I355" s="8"/>
      <c r="J355" s="8"/>
    </row>
    <row r="356" spans="2:10" ht="12.75" x14ac:dyDescent="0.2">
      <c r="B356" s="6"/>
      <c r="C356" s="6"/>
      <c r="D356" s="6"/>
      <c r="E356" s="9"/>
      <c r="F356" s="9"/>
      <c r="G356" s="11"/>
      <c r="H356" s="5"/>
      <c r="I356" s="8"/>
      <c r="J356" s="8"/>
    </row>
    <row r="357" spans="2:10" ht="12.75" x14ac:dyDescent="0.2">
      <c r="B357" s="6"/>
      <c r="C357" s="6"/>
      <c r="D357" s="6"/>
      <c r="E357" s="9"/>
      <c r="F357" s="9"/>
      <c r="G357" s="11"/>
      <c r="H357" s="5"/>
      <c r="I357" s="8"/>
      <c r="J357" s="8"/>
    </row>
    <row r="358" spans="2:10" ht="12.75" x14ac:dyDescent="0.2">
      <c r="B358" s="6"/>
      <c r="C358" s="6"/>
      <c r="D358" s="6"/>
      <c r="E358" s="9"/>
      <c r="F358" s="9"/>
      <c r="G358" s="11"/>
      <c r="H358" s="5"/>
      <c r="I358" s="8"/>
      <c r="J358" s="8"/>
    </row>
    <row r="359" spans="2:10" ht="12.75" x14ac:dyDescent="0.2">
      <c r="B359" s="6"/>
      <c r="C359" s="6"/>
      <c r="D359" s="6"/>
      <c r="E359" s="9"/>
      <c r="F359" s="9"/>
      <c r="G359" s="11"/>
      <c r="H359" s="5"/>
      <c r="I359" s="8"/>
      <c r="J359" s="8"/>
    </row>
    <row r="360" spans="2:10" ht="12.75" x14ac:dyDescent="0.2">
      <c r="B360" s="6"/>
      <c r="C360" s="6"/>
      <c r="D360" s="6"/>
      <c r="E360" s="9"/>
      <c r="F360" s="9"/>
      <c r="G360" s="11"/>
      <c r="H360" s="5"/>
      <c r="I360" s="8"/>
      <c r="J360" s="8"/>
    </row>
    <row r="361" spans="2:10" ht="12.75" x14ac:dyDescent="0.2">
      <c r="B361" s="6"/>
      <c r="C361" s="6"/>
      <c r="D361" s="6"/>
      <c r="E361" s="9"/>
      <c r="F361" s="9"/>
      <c r="G361" s="11"/>
      <c r="H361" s="5"/>
      <c r="I361" s="8"/>
      <c r="J361" s="8"/>
    </row>
    <row r="362" spans="2:10" ht="12.75" x14ac:dyDescent="0.2">
      <c r="B362" s="6"/>
      <c r="C362" s="6"/>
      <c r="D362" s="6"/>
      <c r="E362" s="9"/>
      <c r="F362" s="9"/>
      <c r="G362" s="11"/>
      <c r="H362" s="5"/>
      <c r="I362" s="8"/>
      <c r="J362" s="8"/>
    </row>
    <row r="363" spans="2:10" ht="12.75" x14ac:dyDescent="0.2">
      <c r="B363" s="6"/>
      <c r="C363" s="6"/>
      <c r="D363" s="6"/>
      <c r="E363" s="9"/>
      <c r="F363" s="9"/>
      <c r="G363" s="11"/>
      <c r="H363" s="5"/>
      <c r="I363" s="8"/>
      <c r="J363" s="8"/>
    </row>
    <row r="364" spans="2:10" ht="12.75" x14ac:dyDescent="0.2">
      <c r="B364" s="6"/>
      <c r="C364" s="6"/>
      <c r="D364" s="6"/>
      <c r="E364" s="9"/>
      <c r="F364" s="9"/>
      <c r="G364" s="11"/>
      <c r="H364" s="5"/>
      <c r="I364" s="8"/>
      <c r="J364" s="8"/>
    </row>
    <row r="365" spans="2:10" ht="12.75" x14ac:dyDescent="0.2">
      <c r="B365" s="6"/>
      <c r="C365" s="6"/>
      <c r="D365" s="6"/>
      <c r="E365" s="9"/>
      <c r="F365" s="9"/>
      <c r="G365" s="11"/>
      <c r="H365" s="5"/>
      <c r="I365" s="8"/>
      <c r="J365" s="8"/>
    </row>
    <row r="366" spans="2:10" ht="12.75" x14ac:dyDescent="0.2">
      <c r="B366" s="6"/>
      <c r="C366" s="6"/>
      <c r="D366" s="6"/>
      <c r="E366" s="9"/>
      <c r="F366" s="9"/>
      <c r="G366" s="11"/>
      <c r="H366" s="5"/>
      <c r="I366" s="8"/>
      <c r="J366" s="8"/>
    </row>
    <row r="367" spans="2:10" ht="12.75" x14ac:dyDescent="0.2">
      <c r="B367" s="6"/>
      <c r="C367" s="6"/>
      <c r="D367" s="6"/>
      <c r="E367" s="9"/>
      <c r="F367" s="9"/>
      <c r="G367" s="11"/>
      <c r="H367" s="5"/>
      <c r="I367" s="8"/>
      <c r="J367" s="8"/>
    </row>
    <row r="368" spans="2:10" ht="12.75" x14ac:dyDescent="0.2">
      <c r="B368" s="6"/>
      <c r="C368" s="6"/>
      <c r="D368" s="6"/>
      <c r="E368" s="9"/>
      <c r="F368" s="9"/>
      <c r="G368" s="11"/>
      <c r="H368" s="5"/>
      <c r="I368" s="8"/>
      <c r="J368" s="8"/>
    </row>
    <row r="369" spans="2:10" ht="12.75" x14ac:dyDescent="0.2">
      <c r="B369" s="6"/>
      <c r="C369" s="6"/>
      <c r="D369" s="6"/>
      <c r="E369" s="9"/>
      <c r="F369" s="9"/>
      <c r="G369" s="11"/>
      <c r="H369" s="5"/>
      <c r="I369" s="8"/>
      <c r="J369" s="8"/>
    </row>
    <row r="370" spans="2:10" ht="12.75" x14ac:dyDescent="0.2">
      <c r="B370" s="6"/>
      <c r="C370" s="6"/>
      <c r="D370" s="6"/>
      <c r="E370" s="9"/>
      <c r="F370" s="9"/>
      <c r="G370" s="11"/>
      <c r="H370" s="5"/>
      <c r="I370" s="8"/>
      <c r="J370" s="8"/>
    </row>
    <row r="371" spans="2:10" ht="12.75" x14ac:dyDescent="0.2">
      <c r="B371" s="6"/>
      <c r="C371" s="6"/>
      <c r="D371" s="6"/>
      <c r="E371" s="9"/>
      <c r="F371" s="9"/>
      <c r="G371" s="11"/>
      <c r="H371" s="5"/>
      <c r="I371" s="8"/>
      <c r="J371" s="8"/>
    </row>
    <row r="372" spans="2:10" ht="12.75" x14ac:dyDescent="0.2">
      <c r="B372" s="6"/>
      <c r="C372" s="6"/>
      <c r="D372" s="6"/>
      <c r="E372" s="9"/>
      <c r="F372" s="9"/>
      <c r="G372" s="11"/>
      <c r="H372" s="5"/>
      <c r="I372" s="8"/>
      <c r="J372" s="8"/>
    </row>
    <row r="373" spans="2:10" ht="12.75" x14ac:dyDescent="0.2">
      <c r="B373" s="6"/>
      <c r="C373" s="6"/>
      <c r="D373" s="6"/>
      <c r="E373" s="9"/>
      <c r="F373" s="9"/>
      <c r="G373" s="11"/>
      <c r="H373" s="5"/>
      <c r="I373" s="8"/>
      <c r="J373" s="8"/>
    </row>
    <row r="374" spans="2:10" ht="12.75" x14ac:dyDescent="0.2">
      <c r="B374" s="6"/>
      <c r="C374" s="6"/>
      <c r="D374" s="6"/>
      <c r="E374" s="9"/>
      <c r="F374" s="9"/>
      <c r="G374" s="11"/>
      <c r="H374" s="5"/>
      <c r="I374" s="8"/>
      <c r="J374" s="8"/>
    </row>
    <row r="375" spans="2:10" ht="12.75" x14ac:dyDescent="0.2">
      <c r="B375" s="6"/>
      <c r="C375" s="6"/>
      <c r="D375" s="6"/>
      <c r="E375" s="9"/>
      <c r="F375" s="9"/>
      <c r="G375" s="11"/>
      <c r="H375" s="5"/>
      <c r="I375" s="8"/>
      <c r="J375" s="8"/>
    </row>
    <row r="376" spans="2:10" ht="12.75" x14ac:dyDescent="0.2">
      <c r="B376" s="6"/>
      <c r="C376" s="6"/>
      <c r="D376" s="6"/>
      <c r="E376" s="9"/>
      <c r="F376" s="9"/>
      <c r="G376" s="11"/>
      <c r="H376" s="5"/>
      <c r="I376" s="8"/>
      <c r="J376" s="8"/>
    </row>
    <row r="377" spans="2:10" ht="12.75" x14ac:dyDescent="0.2">
      <c r="B377" s="6"/>
      <c r="C377" s="6"/>
      <c r="D377" s="6"/>
      <c r="E377" s="9"/>
      <c r="F377" s="9"/>
      <c r="G377" s="11"/>
      <c r="H377" s="5"/>
      <c r="I377" s="8"/>
      <c r="J377" s="8"/>
    </row>
    <row r="378" spans="2:10" ht="12.75" x14ac:dyDescent="0.2">
      <c r="B378" s="6"/>
      <c r="C378" s="6"/>
      <c r="D378" s="6"/>
      <c r="E378" s="9"/>
      <c r="F378" s="9"/>
      <c r="G378" s="11"/>
      <c r="H378" s="5"/>
      <c r="I378" s="8"/>
      <c r="J378" s="8"/>
    </row>
    <row r="379" spans="2:10" ht="12.75" x14ac:dyDescent="0.2">
      <c r="B379" s="6"/>
      <c r="C379" s="6"/>
      <c r="D379" s="6"/>
      <c r="E379" s="9"/>
      <c r="F379" s="9"/>
      <c r="G379" s="11"/>
      <c r="H379" s="5"/>
      <c r="I379" s="8"/>
      <c r="J379" s="8"/>
    </row>
    <row r="380" spans="2:10" ht="12.75" x14ac:dyDescent="0.2">
      <c r="B380" s="6"/>
      <c r="C380" s="6"/>
      <c r="D380" s="6"/>
      <c r="E380" s="9"/>
      <c r="F380" s="9"/>
      <c r="G380" s="11"/>
      <c r="H380" s="5"/>
      <c r="I380" s="8"/>
      <c r="J380" s="8"/>
    </row>
    <row r="381" spans="2:10" ht="12.75" x14ac:dyDescent="0.2">
      <c r="B381" s="6"/>
      <c r="C381" s="6"/>
      <c r="D381" s="6"/>
      <c r="E381" s="9"/>
      <c r="F381" s="9"/>
      <c r="G381" s="11"/>
      <c r="H381" s="5"/>
      <c r="I381" s="8"/>
      <c r="J381" s="8"/>
    </row>
    <row r="382" spans="2:10" ht="12.75" x14ac:dyDescent="0.2">
      <c r="B382" s="6"/>
      <c r="C382" s="6"/>
      <c r="D382" s="6"/>
      <c r="E382" s="9"/>
      <c r="F382" s="9"/>
      <c r="G382" s="11"/>
      <c r="H382" s="5"/>
      <c r="I382" s="8"/>
      <c r="J382" s="8"/>
    </row>
    <row r="383" spans="2:10" ht="12.75" x14ac:dyDescent="0.2">
      <c r="B383" s="6"/>
      <c r="C383" s="6"/>
      <c r="D383" s="6"/>
      <c r="E383" s="9"/>
      <c r="F383" s="9"/>
      <c r="G383" s="11"/>
      <c r="H383" s="5"/>
      <c r="I383" s="8"/>
      <c r="J383" s="8"/>
    </row>
    <row r="384" spans="2:10" ht="12.75" x14ac:dyDescent="0.2">
      <c r="B384" s="6"/>
      <c r="C384" s="6"/>
      <c r="D384" s="6"/>
      <c r="E384" s="9"/>
      <c r="F384" s="9"/>
      <c r="G384" s="11"/>
      <c r="H384" s="5"/>
      <c r="I384" s="8"/>
      <c r="J384" s="8"/>
    </row>
    <row r="385" spans="2:10" ht="12.75" x14ac:dyDescent="0.2">
      <c r="B385" s="6"/>
      <c r="C385" s="6"/>
      <c r="D385" s="6"/>
      <c r="E385" s="9"/>
      <c r="F385" s="9"/>
      <c r="G385" s="11"/>
      <c r="H385" s="5"/>
      <c r="I385" s="8"/>
      <c r="J385" s="8"/>
    </row>
    <row r="386" spans="2:10" ht="12.75" x14ac:dyDescent="0.2">
      <c r="B386" s="6"/>
      <c r="C386" s="6"/>
      <c r="D386" s="6"/>
      <c r="E386" s="9"/>
      <c r="F386" s="9"/>
      <c r="G386" s="11"/>
      <c r="H386" s="5"/>
      <c r="I386" s="8"/>
      <c r="J386" s="8"/>
    </row>
    <row r="387" spans="2:10" ht="12.75" x14ac:dyDescent="0.2">
      <c r="B387" s="6"/>
      <c r="C387" s="6"/>
      <c r="D387" s="6"/>
      <c r="E387" s="9"/>
      <c r="F387" s="9"/>
      <c r="G387" s="11"/>
      <c r="H387" s="5"/>
      <c r="I387" s="8"/>
      <c r="J387" s="8"/>
    </row>
    <row r="388" spans="2:10" ht="12.75" x14ac:dyDescent="0.2">
      <c r="B388" s="6"/>
      <c r="C388" s="6"/>
      <c r="D388" s="6"/>
      <c r="E388" s="9"/>
      <c r="F388" s="9"/>
      <c r="G388" s="11"/>
      <c r="H388" s="5"/>
      <c r="I388" s="8"/>
      <c r="J388" s="8"/>
    </row>
    <row r="389" spans="2:10" ht="12.75" x14ac:dyDescent="0.2">
      <c r="B389" s="6"/>
      <c r="C389" s="6"/>
      <c r="D389" s="6"/>
      <c r="E389" s="9"/>
      <c r="F389" s="9"/>
      <c r="G389" s="11"/>
      <c r="H389" s="5"/>
      <c r="I389" s="8"/>
      <c r="J389" s="8"/>
    </row>
    <row r="390" spans="2:10" ht="12.75" x14ac:dyDescent="0.2">
      <c r="B390" s="6"/>
      <c r="C390" s="6"/>
      <c r="D390" s="6"/>
      <c r="E390" s="9"/>
      <c r="F390" s="9"/>
      <c r="G390" s="11"/>
      <c r="H390" s="5"/>
      <c r="I390" s="8"/>
      <c r="J390" s="8"/>
    </row>
    <row r="391" spans="2:10" ht="12.75" x14ac:dyDescent="0.2">
      <c r="B391" s="6"/>
      <c r="C391" s="6"/>
      <c r="D391" s="6"/>
      <c r="E391" s="9"/>
      <c r="F391" s="9"/>
      <c r="G391" s="11"/>
      <c r="H391" s="5"/>
      <c r="I391" s="8"/>
      <c r="J391" s="8"/>
    </row>
    <row r="392" spans="2:10" ht="12.75" x14ac:dyDescent="0.2">
      <c r="B392" s="6"/>
      <c r="C392" s="6"/>
      <c r="D392" s="6"/>
      <c r="E392" s="9"/>
      <c r="F392" s="9"/>
      <c r="G392" s="11"/>
      <c r="H392" s="5"/>
      <c r="I392" s="8"/>
      <c r="J392" s="8"/>
    </row>
    <row r="393" spans="2:10" ht="12.75" x14ac:dyDescent="0.2">
      <c r="B393" s="6"/>
      <c r="C393" s="6"/>
      <c r="D393" s="6"/>
      <c r="E393" s="9"/>
      <c r="F393" s="9"/>
      <c r="G393" s="11"/>
      <c r="H393" s="5"/>
      <c r="I393" s="8"/>
      <c r="J393" s="8"/>
    </row>
    <row r="394" spans="2:10" ht="12.75" x14ac:dyDescent="0.2">
      <c r="B394" s="6"/>
      <c r="C394" s="6"/>
      <c r="D394" s="6"/>
      <c r="E394" s="9"/>
      <c r="F394" s="9"/>
      <c r="G394" s="11"/>
      <c r="H394" s="5"/>
      <c r="I394" s="8"/>
      <c r="J394" s="8"/>
    </row>
    <row r="395" spans="2:10" ht="12.75" x14ac:dyDescent="0.2">
      <c r="B395" s="6"/>
      <c r="C395" s="6"/>
      <c r="D395" s="6"/>
      <c r="E395" s="9"/>
      <c r="F395" s="9"/>
      <c r="G395" s="11"/>
      <c r="H395" s="5"/>
      <c r="I395" s="8"/>
      <c r="J395" s="8"/>
    </row>
    <row r="396" spans="2:10" ht="12.75" x14ac:dyDescent="0.2">
      <c r="B396" s="6"/>
      <c r="C396" s="6"/>
      <c r="D396" s="6"/>
      <c r="E396" s="9"/>
      <c r="F396" s="9"/>
      <c r="G396" s="11"/>
      <c r="H396" s="5"/>
      <c r="I396" s="8"/>
      <c r="J396" s="8"/>
    </row>
    <row r="397" spans="2:10" ht="12.75" x14ac:dyDescent="0.2">
      <c r="B397" s="6"/>
      <c r="C397" s="6"/>
      <c r="D397" s="6"/>
      <c r="E397" s="9"/>
      <c r="F397" s="9"/>
      <c r="G397" s="11"/>
      <c r="H397" s="5"/>
      <c r="I397" s="8"/>
      <c r="J397" s="8"/>
    </row>
    <row r="398" spans="2:10" ht="12.75" x14ac:dyDescent="0.2">
      <c r="B398" s="6"/>
      <c r="C398" s="6"/>
      <c r="D398" s="6"/>
      <c r="E398" s="9"/>
      <c r="F398" s="9"/>
      <c r="G398" s="11"/>
      <c r="H398" s="5"/>
      <c r="I398" s="8"/>
      <c r="J398" s="8"/>
    </row>
    <row r="399" spans="2:10" ht="12.75" x14ac:dyDescent="0.2">
      <c r="B399" s="6"/>
      <c r="C399" s="6"/>
      <c r="D399" s="6"/>
      <c r="E399" s="9"/>
      <c r="F399" s="9"/>
      <c r="G399" s="11"/>
      <c r="H399" s="5"/>
      <c r="I399" s="8"/>
      <c r="J399" s="8"/>
    </row>
    <row r="400" spans="2:10" ht="12.75" x14ac:dyDescent="0.2">
      <c r="B400" s="6"/>
      <c r="C400" s="6"/>
      <c r="D400" s="6"/>
      <c r="E400" s="9"/>
      <c r="F400" s="9"/>
      <c r="G400" s="11"/>
      <c r="H400" s="5"/>
      <c r="I400" s="8"/>
      <c r="J400" s="8"/>
    </row>
    <row r="401" spans="2:10" ht="12.75" x14ac:dyDescent="0.2">
      <c r="B401" s="6"/>
      <c r="C401" s="6"/>
      <c r="D401" s="6"/>
      <c r="E401" s="9"/>
      <c r="F401" s="9"/>
      <c r="G401" s="11"/>
      <c r="H401" s="5"/>
      <c r="I401" s="8"/>
      <c r="J401" s="8"/>
    </row>
    <row r="402" spans="2:10" ht="12.75" x14ac:dyDescent="0.2">
      <c r="B402" s="6"/>
      <c r="C402" s="6"/>
      <c r="D402" s="6"/>
      <c r="E402" s="9"/>
      <c r="F402" s="9"/>
      <c r="G402" s="11"/>
      <c r="H402" s="5"/>
      <c r="I402" s="8"/>
      <c r="J402" s="8"/>
    </row>
    <row r="403" spans="2:10" ht="12.75" x14ac:dyDescent="0.2">
      <c r="B403" s="6"/>
      <c r="C403" s="6"/>
      <c r="D403" s="6"/>
      <c r="E403" s="9"/>
      <c r="F403" s="9"/>
      <c r="G403" s="11"/>
      <c r="H403" s="5"/>
      <c r="I403" s="8"/>
      <c r="J403" s="8"/>
    </row>
    <row r="404" spans="2:10" ht="12.75" x14ac:dyDescent="0.2">
      <c r="B404" s="6"/>
      <c r="C404" s="6"/>
      <c r="D404" s="6"/>
      <c r="E404" s="9"/>
      <c r="F404" s="9"/>
      <c r="G404" s="11"/>
      <c r="H404" s="5"/>
      <c r="I404" s="8"/>
      <c r="J404" s="8"/>
    </row>
    <row r="405" spans="2:10" ht="12.75" x14ac:dyDescent="0.2">
      <c r="B405" s="6"/>
      <c r="C405" s="6"/>
      <c r="D405" s="6"/>
      <c r="E405" s="9"/>
      <c r="F405" s="9"/>
      <c r="G405" s="11"/>
      <c r="H405" s="5"/>
      <c r="I405" s="8"/>
      <c r="J405" s="8"/>
    </row>
    <row r="406" spans="2:10" ht="12.75" x14ac:dyDescent="0.2">
      <c r="B406" s="6"/>
      <c r="C406" s="6"/>
      <c r="D406" s="6"/>
      <c r="E406" s="9"/>
      <c r="F406" s="9"/>
      <c r="G406" s="11"/>
      <c r="H406" s="5"/>
      <c r="I406" s="8"/>
      <c r="J406" s="8"/>
    </row>
    <row r="407" spans="2:10" ht="12.75" x14ac:dyDescent="0.2">
      <c r="B407" s="6"/>
      <c r="C407" s="6"/>
      <c r="D407" s="6"/>
      <c r="E407" s="9"/>
      <c r="F407" s="9"/>
      <c r="G407" s="11"/>
      <c r="H407" s="5"/>
      <c r="I407" s="8"/>
      <c r="J407" s="8"/>
    </row>
    <row r="408" spans="2:10" ht="12.75" x14ac:dyDescent="0.2">
      <c r="B408" s="6"/>
      <c r="C408" s="6"/>
      <c r="D408" s="6"/>
      <c r="E408" s="9"/>
      <c r="F408" s="9"/>
      <c r="G408" s="11"/>
      <c r="H408" s="5"/>
      <c r="I408" s="8"/>
      <c r="J408" s="8"/>
    </row>
    <row r="409" spans="2:10" ht="12.75" x14ac:dyDescent="0.2">
      <c r="B409" s="6"/>
      <c r="C409" s="6"/>
      <c r="D409" s="6"/>
      <c r="E409" s="9"/>
      <c r="F409" s="9"/>
      <c r="G409" s="11"/>
      <c r="H409" s="5"/>
      <c r="I409" s="8"/>
      <c r="J409" s="8"/>
    </row>
    <row r="410" spans="2:10" ht="12.75" x14ac:dyDescent="0.2">
      <c r="B410" s="6"/>
      <c r="C410" s="6"/>
      <c r="D410" s="6"/>
      <c r="E410" s="9"/>
      <c r="F410" s="9"/>
      <c r="G410" s="11"/>
      <c r="H410" s="5"/>
      <c r="I410" s="8"/>
      <c r="J410" s="8"/>
    </row>
    <row r="411" spans="2:10" ht="12.75" x14ac:dyDescent="0.2">
      <c r="B411" s="6"/>
      <c r="C411" s="6"/>
      <c r="D411" s="6"/>
      <c r="E411" s="9"/>
      <c r="F411" s="9"/>
      <c r="G411" s="11"/>
      <c r="H411" s="5"/>
      <c r="I411" s="8"/>
      <c r="J411" s="8"/>
    </row>
    <row r="412" spans="2:10" ht="12.75" x14ac:dyDescent="0.2">
      <c r="B412" s="6"/>
      <c r="C412" s="6"/>
      <c r="D412" s="6"/>
      <c r="E412" s="9"/>
      <c r="F412" s="9"/>
      <c r="G412" s="11"/>
      <c r="H412" s="5"/>
      <c r="I412" s="8"/>
      <c r="J412" s="8"/>
    </row>
    <row r="413" spans="2:10" ht="12.75" x14ac:dyDescent="0.2">
      <c r="B413" s="6"/>
      <c r="C413" s="6"/>
      <c r="D413" s="6"/>
      <c r="E413" s="9"/>
      <c r="F413" s="9"/>
      <c r="G413" s="11"/>
      <c r="H413" s="5"/>
      <c r="I413" s="8"/>
      <c r="J413" s="8"/>
    </row>
    <row r="414" spans="2:10" ht="12.75" x14ac:dyDescent="0.2">
      <c r="B414" s="6"/>
      <c r="C414" s="6"/>
      <c r="D414" s="6"/>
      <c r="E414" s="9"/>
      <c r="F414" s="9"/>
      <c r="G414" s="11"/>
      <c r="H414" s="5"/>
      <c r="I414" s="8"/>
      <c r="J414" s="8"/>
    </row>
    <row r="415" spans="2:10" ht="12.75" x14ac:dyDescent="0.2">
      <c r="B415" s="6"/>
      <c r="C415" s="6"/>
      <c r="D415" s="6"/>
      <c r="E415" s="9"/>
      <c r="F415" s="9"/>
      <c r="G415" s="11"/>
      <c r="H415" s="5"/>
      <c r="I415" s="8"/>
      <c r="J415" s="8"/>
    </row>
    <row r="416" spans="2:10" ht="12.75" x14ac:dyDescent="0.2">
      <c r="B416" s="6"/>
      <c r="C416" s="6"/>
      <c r="D416" s="6"/>
      <c r="E416" s="9"/>
      <c r="F416" s="9"/>
      <c r="G416" s="11"/>
      <c r="H416" s="5"/>
      <c r="I416" s="8"/>
      <c r="J416" s="8"/>
    </row>
    <row r="417" spans="2:10" ht="12.75" x14ac:dyDescent="0.2">
      <c r="B417" s="6"/>
      <c r="C417" s="6"/>
      <c r="D417" s="6"/>
      <c r="E417" s="9"/>
      <c r="F417" s="9"/>
      <c r="G417" s="11"/>
      <c r="H417" s="5"/>
      <c r="I417" s="8"/>
      <c r="J417" s="8"/>
    </row>
    <row r="418" spans="2:10" ht="12.75" x14ac:dyDescent="0.2">
      <c r="B418" s="6"/>
      <c r="C418" s="6"/>
      <c r="D418" s="6"/>
      <c r="E418" s="9"/>
      <c r="F418" s="9"/>
      <c r="G418" s="11"/>
      <c r="H418" s="5"/>
      <c r="I418" s="8"/>
      <c r="J418" s="8"/>
    </row>
    <row r="419" spans="2:10" ht="12.75" x14ac:dyDescent="0.2">
      <c r="B419" s="6"/>
      <c r="C419" s="6"/>
      <c r="D419" s="6"/>
      <c r="E419" s="9"/>
      <c r="F419" s="9"/>
      <c r="G419" s="11"/>
      <c r="H419" s="5"/>
      <c r="I419" s="8"/>
      <c r="J419" s="8"/>
    </row>
    <row r="420" spans="2:10" ht="12.75" x14ac:dyDescent="0.2">
      <c r="B420" s="6"/>
      <c r="C420" s="6"/>
      <c r="D420" s="6"/>
      <c r="E420" s="9"/>
      <c r="F420" s="9"/>
      <c r="G420" s="11"/>
      <c r="H420" s="5"/>
      <c r="I420" s="8"/>
      <c r="J420" s="8"/>
    </row>
    <row r="421" spans="2:10" ht="12.75" x14ac:dyDescent="0.2">
      <c r="B421" s="6"/>
      <c r="C421" s="6"/>
      <c r="D421" s="6"/>
      <c r="E421" s="9"/>
      <c r="F421" s="9"/>
      <c r="G421" s="11"/>
      <c r="H421" s="5"/>
      <c r="I421" s="8"/>
      <c r="J421" s="8"/>
    </row>
    <row r="422" spans="2:10" ht="12.75" x14ac:dyDescent="0.2">
      <c r="B422" s="6"/>
      <c r="C422" s="6"/>
      <c r="D422" s="6"/>
      <c r="E422" s="9"/>
      <c r="F422" s="9"/>
      <c r="G422" s="11"/>
      <c r="H422" s="5"/>
      <c r="I422" s="8"/>
      <c r="J422" s="8"/>
    </row>
    <row r="423" spans="2:10" ht="12.75" x14ac:dyDescent="0.2">
      <c r="B423" s="6"/>
      <c r="C423" s="6"/>
      <c r="D423" s="6"/>
      <c r="E423" s="9"/>
      <c r="F423" s="9"/>
      <c r="G423" s="11"/>
      <c r="H423" s="5"/>
      <c r="I423" s="8"/>
      <c r="J423" s="8"/>
    </row>
    <row r="424" spans="2:10" ht="12.75" x14ac:dyDescent="0.2">
      <c r="B424" s="6"/>
      <c r="C424" s="6"/>
      <c r="D424" s="6"/>
      <c r="E424" s="9"/>
      <c r="F424" s="9"/>
      <c r="G424" s="11"/>
      <c r="H424" s="5"/>
      <c r="I424" s="8"/>
      <c r="J424" s="8"/>
    </row>
    <row r="425" spans="2:10" ht="12.75" x14ac:dyDescent="0.2">
      <c r="B425" s="6"/>
      <c r="C425" s="6"/>
      <c r="D425" s="6"/>
      <c r="E425" s="9"/>
      <c r="F425" s="9"/>
      <c r="G425" s="11"/>
      <c r="H425" s="5"/>
      <c r="I425" s="8"/>
      <c r="J425" s="8"/>
    </row>
    <row r="426" spans="2:10" ht="12.75" x14ac:dyDescent="0.2">
      <c r="B426" s="6"/>
      <c r="C426" s="6"/>
      <c r="D426" s="6"/>
      <c r="E426" s="9"/>
      <c r="F426" s="9"/>
      <c r="G426" s="11"/>
      <c r="H426" s="5"/>
      <c r="I426" s="8"/>
      <c r="J426" s="8"/>
    </row>
    <row r="427" spans="2:10" ht="12.75" x14ac:dyDescent="0.2">
      <c r="B427" s="6"/>
      <c r="C427" s="6"/>
      <c r="D427" s="6"/>
      <c r="E427" s="9"/>
      <c r="F427" s="9"/>
      <c r="G427" s="11"/>
      <c r="H427" s="5"/>
      <c r="I427" s="8"/>
      <c r="J427" s="8"/>
    </row>
    <row r="428" spans="2:10" ht="12.75" x14ac:dyDescent="0.2">
      <c r="B428" s="6"/>
      <c r="C428" s="6"/>
      <c r="D428" s="6"/>
      <c r="E428" s="9"/>
      <c r="F428" s="9"/>
      <c r="G428" s="11"/>
      <c r="H428" s="5"/>
      <c r="I428" s="8"/>
      <c r="J428" s="8"/>
    </row>
    <row r="429" spans="2:10" ht="12.75" x14ac:dyDescent="0.2">
      <c r="B429" s="6"/>
      <c r="C429" s="6"/>
      <c r="D429" s="6"/>
      <c r="E429" s="9"/>
      <c r="F429" s="9"/>
      <c r="G429" s="11"/>
      <c r="H429" s="5"/>
      <c r="I429" s="8"/>
      <c r="J429" s="8"/>
    </row>
    <row r="430" spans="2:10" ht="12.75" x14ac:dyDescent="0.2">
      <c r="B430" s="6"/>
      <c r="C430" s="6"/>
      <c r="D430" s="6"/>
      <c r="E430" s="9"/>
      <c r="F430" s="9"/>
      <c r="G430" s="11"/>
      <c r="H430" s="5"/>
      <c r="I430" s="8"/>
      <c r="J430" s="8"/>
    </row>
    <row r="431" spans="2:10" ht="12.75" x14ac:dyDescent="0.2">
      <c r="B431" s="6"/>
      <c r="C431" s="6"/>
      <c r="D431" s="6"/>
      <c r="E431" s="9"/>
      <c r="F431" s="9"/>
      <c r="G431" s="11"/>
      <c r="H431" s="5"/>
      <c r="I431" s="8"/>
      <c r="J431" s="8"/>
    </row>
    <row r="432" spans="2:10" ht="12.75" x14ac:dyDescent="0.2">
      <c r="B432" s="6"/>
      <c r="C432" s="6"/>
      <c r="D432" s="6"/>
      <c r="E432" s="9"/>
      <c r="F432" s="9"/>
      <c r="G432" s="11"/>
      <c r="H432" s="5"/>
      <c r="I432" s="8"/>
      <c r="J432" s="8"/>
    </row>
    <row r="433" spans="2:10" ht="12.75" x14ac:dyDescent="0.2">
      <c r="B433" s="6"/>
      <c r="C433" s="6"/>
      <c r="D433" s="6"/>
      <c r="E433" s="9"/>
      <c r="F433" s="9"/>
      <c r="G433" s="11"/>
      <c r="H433" s="5"/>
      <c r="I433" s="8"/>
      <c r="J433" s="8"/>
    </row>
    <row r="434" spans="2:10" ht="12.75" x14ac:dyDescent="0.2">
      <c r="B434" s="6"/>
      <c r="C434" s="6"/>
      <c r="D434" s="6"/>
      <c r="E434" s="9"/>
      <c r="F434" s="9"/>
      <c r="G434" s="11"/>
      <c r="H434" s="5"/>
      <c r="I434" s="8"/>
      <c r="J434" s="8"/>
    </row>
    <row r="435" spans="2:10" ht="12.75" x14ac:dyDescent="0.2">
      <c r="B435" s="6"/>
      <c r="C435" s="6"/>
      <c r="D435" s="6"/>
      <c r="E435" s="9"/>
      <c r="F435" s="9"/>
      <c r="G435" s="11"/>
      <c r="H435" s="5"/>
      <c r="I435" s="8"/>
      <c r="J435" s="8"/>
    </row>
    <row r="436" spans="2:10" ht="12.75" x14ac:dyDescent="0.2">
      <c r="B436" s="6"/>
      <c r="C436" s="6"/>
      <c r="D436" s="6"/>
      <c r="E436" s="9"/>
      <c r="F436" s="9"/>
      <c r="G436" s="11"/>
      <c r="H436" s="5"/>
      <c r="I436" s="8"/>
      <c r="J436" s="8"/>
    </row>
    <row r="437" spans="2:10" ht="12.75" x14ac:dyDescent="0.2">
      <c r="B437" s="6"/>
      <c r="C437" s="6"/>
      <c r="D437" s="6"/>
      <c r="E437" s="9"/>
      <c r="F437" s="9"/>
      <c r="G437" s="11"/>
      <c r="H437" s="5"/>
      <c r="I437" s="8"/>
      <c r="J437" s="8"/>
    </row>
    <row r="438" spans="2:10" ht="12.75" x14ac:dyDescent="0.2">
      <c r="B438" s="6"/>
      <c r="C438" s="6"/>
      <c r="D438" s="6"/>
      <c r="E438" s="9"/>
      <c r="F438" s="9"/>
      <c r="G438" s="11"/>
      <c r="H438" s="5"/>
      <c r="I438" s="8"/>
      <c r="J438" s="8"/>
    </row>
    <row r="439" spans="2:10" ht="12.75" x14ac:dyDescent="0.2">
      <c r="B439" s="6"/>
      <c r="C439" s="6"/>
      <c r="D439" s="6"/>
      <c r="E439" s="9"/>
      <c r="F439" s="9"/>
      <c r="G439" s="11"/>
      <c r="H439" s="5"/>
      <c r="I439" s="8"/>
      <c r="J439" s="8"/>
    </row>
    <row r="440" spans="2:10" ht="12.75" x14ac:dyDescent="0.2">
      <c r="B440" s="6"/>
      <c r="C440" s="6"/>
      <c r="D440" s="6"/>
      <c r="E440" s="9"/>
      <c r="F440" s="9"/>
      <c r="G440" s="11"/>
      <c r="H440" s="5"/>
      <c r="I440" s="8"/>
      <c r="J440" s="8"/>
    </row>
    <row r="441" spans="2:10" ht="12.75" x14ac:dyDescent="0.2">
      <c r="B441" s="6"/>
      <c r="C441" s="6"/>
      <c r="D441" s="6"/>
      <c r="E441" s="9"/>
      <c r="F441" s="9"/>
      <c r="G441" s="11"/>
      <c r="H441" s="5"/>
      <c r="I441" s="8"/>
      <c r="J441" s="8"/>
    </row>
    <row r="442" spans="2:10" ht="12.75" x14ac:dyDescent="0.2">
      <c r="B442" s="6"/>
      <c r="C442" s="6"/>
      <c r="D442" s="6"/>
      <c r="E442" s="9"/>
      <c r="F442" s="9"/>
      <c r="G442" s="11"/>
      <c r="H442" s="5"/>
      <c r="I442" s="8"/>
      <c r="J442" s="8"/>
    </row>
    <row r="443" spans="2:10" ht="12.75" x14ac:dyDescent="0.2">
      <c r="B443" s="6"/>
      <c r="C443" s="6"/>
      <c r="D443" s="6"/>
      <c r="E443" s="9"/>
      <c r="F443" s="9"/>
      <c r="G443" s="11"/>
      <c r="H443" s="5"/>
      <c r="I443" s="8"/>
      <c r="J443" s="8"/>
    </row>
    <row r="444" spans="2:10" ht="12.75" x14ac:dyDescent="0.2">
      <c r="B444" s="6"/>
      <c r="C444" s="6"/>
      <c r="D444" s="6"/>
      <c r="E444" s="9"/>
      <c r="F444" s="9"/>
      <c r="G444" s="11"/>
      <c r="H444" s="5"/>
      <c r="I444" s="8"/>
      <c r="J444" s="8"/>
    </row>
    <row r="445" spans="2:10" ht="12.75" x14ac:dyDescent="0.2">
      <c r="B445" s="6"/>
      <c r="C445" s="6"/>
      <c r="D445" s="6"/>
      <c r="E445" s="9"/>
      <c r="F445" s="9"/>
      <c r="G445" s="11"/>
      <c r="H445" s="5"/>
      <c r="I445" s="8"/>
      <c r="J445" s="8"/>
    </row>
    <row r="446" spans="2:10" ht="12.75" x14ac:dyDescent="0.2">
      <c r="B446" s="6"/>
      <c r="C446" s="6"/>
      <c r="D446" s="6"/>
      <c r="E446" s="9"/>
      <c r="F446" s="9"/>
      <c r="G446" s="11"/>
      <c r="H446" s="5"/>
      <c r="I446" s="8"/>
      <c r="J446" s="8"/>
    </row>
    <row r="447" spans="2:10" ht="12.75" x14ac:dyDescent="0.2">
      <c r="B447" s="6"/>
      <c r="C447" s="6"/>
      <c r="D447" s="6"/>
      <c r="E447" s="9"/>
      <c r="F447" s="9"/>
      <c r="G447" s="11"/>
      <c r="H447" s="5"/>
      <c r="I447" s="8"/>
      <c r="J447" s="8"/>
    </row>
    <row r="448" spans="2:10" ht="12.75" x14ac:dyDescent="0.2">
      <c r="B448" s="6"/>
      <c r="C448" s="6"/>
      <c r="D448" s="6"/>
      <c r="E448" s="9"/>
      <c r="F448" s="9"/>
      <c r="G448" s="11"/>
      <c r="H448" s="5"/>
      <c r="I448" s="8"/>
      <c r="J448" s="8"/>
    </row>
    <row r="449" spans="2:10" ht="12.75" x14ac:dyDescent="0.2">
      <c r="B449" s="6"/>
      <c r="C449" s="6"/>
      <c r="D449" s="6"/>
      <c r="E449" s="9"/>
      <c r="F449" s="9"/>
      <c r="G449" s="11"/>
      <c r="H449" s="5"/>
      <c r="I449" s="8"/>
      <c r="J449" s="8"/>
    </row>
    <row r="450" spans="2:10" ht="12.75" x14ac:dyDescent="0.2">
      <c r="B450" s="6"/>
      <c r="C450" s="6"/>
      <c r="D450" s="6"/>
      <c r="E450" s="9"/>
      <c r="F450" s="9"/>
      <c r="G450" s="11"/>
      <c r="H450" s="5"/>
      <c r="I450" s="8"/>
      <c r="J450" s="8"/>
    </row>
    <row r="451" spans="2:10" ht="12.75" x14ac:dyDescent="0.2">
      <c r="B451" s="6"/>
      <c r="C451" s="6"/>
      <c r="D451" s="6"/>
      <c r="E451" s="9"/>
      <c r="F451" s="9"/>
      <c r="G451" s="11"/>
      <c r="H451" s="5"/>
      <c r="I451" s="8"/>
      <c r="J451" s="8"/>
    </row>
    <row r="452" spans="2:10" ht="12.75" x14ac:dyDescent="0.2">
      <c r="B452" s="6"/>
      <c r="C452" s="6"/>
      <c r="D452" s="6"/>
      <c r="E452" s="9"/>
      <c r="F452" s="9"/>
      <c r="G452" s="11"/>
      <c r="H452" s="5"/>
      <c r="I452" s="8"/>
      <c r="J452" s="8"/>
    </row>
    <row r="453" spans="2:10" ht="12.75" x14ac:dyDescent="0.2">
      <c r="B453" s="6"/>
      <c r="C453" s="6"/>
      <c r="D453" s="6"/>
      <c r="E453" s="9"/>
      <c r="F453" s="9"/>
      <c r="G453" s="11"/>
      <c r="H453" s="5"/>
      <c r="I453" s="8"/>
      <c r="J453" s="8"/>
    </row>
    <row r="454" spans="2:10" ht="12.75" x14ac:dyDescent="0.2">
      <c r="B454" s="6"/>
      <c r="C454" s="6"/>
      <c r="D454" s="6"/>
      <c r="E454" s="9"/>
      <c r="F454" s="9"/>
      <c r="G454" s="11"/>
      <c r="H454" s="5"/>
      <c r="I454" s="8"/>
      <c r="J454" s="8"/>
    </row>
    <row r="455" spans="2:10" ht="12.75" x14ac:dyDescent="0.2">
      <c r="B455" s="6"/>
      <c r="C455" s="6"/>
      <c r="D455" s="6"/>
      <c r="E455" s="9"/>
      <c r="F455" s="9"/>
      <c r="G455" s="11"/>
      <c r="H455" s="5"/>
      <c r="I455" s="8"/>
      <c r="J455" s="8"/>
    </row>
    <row r="456" spans="2:10" ht="12.75" x14ac:dyDescent="0.2">
      <c r="B456" s="6"/>
      <c r="C456" s="6"/>
      <c r="D456" s="6"/>
      <c r="E456" s="9"/>
      <c r="F456" s="9"/>
      <c r="G456" s="11"/>
      <c r="H456" s="5"/>
      <c r="I456" s="8"/>
      <c r="J456" s="8"/>
    </row>
    <row r="457" spans="2:10" ht="12.75" x14ac:dyDescent="0.2">
      <c r="B457" s="6"/>
      <c r="C457" s="6"/>
      <c r="D457" s="6"/>
      <c r="E457" s="9"/>
      <c r="F457" s="9"/>
      <c r="G457" s="11"/>
      <c r="H457" s="5"/>
      <c r="I457" s="8"/>
      <c r="J457" s="8"/>
    </row>
    <row r="458" spans="2:10" ht="12.75" x14ac:dyDescent="0.2">
      <c r="B458" s="6"/>
      <c r="C458" s="6"/>
      <c r="D458" s="6"/>
      <c r="E458" s="9"/>
      <c r="F458" s="9"/>
      <c r="G458" s="11"/>
      <c r="H458" s="5"/>
      <c r="I458" s="8"/>
      <c r="J458" s="8"/>
    </row>
    <row r="459" spans="2:10" ht="12.75" x14ac:dyDescent="0.2">
      <c r="B459" s="6"/>
      <c r="C459" s="6"/>
      <c r="D459" s="6"/>
      <c r="E459" s="9"/>
      <c r="F459" s="9"/>
      <c r="G459" s="11"/>
      <c r="H459" s="5"/>
      <c r="I459" s="8"/>
      <c r="J459" s="8"/>
    </row>
    <row r="460" spans="2:10" ht="12.75" x14ac:dyDescent="0.2">
      <c r="B460" s="6"/>
      <c r="C460" s="6"/>
      <c r="D460" s="6"/>
      <c r="E460" s="9"/>
      <c r="F460" s="9"/>
      <c r="G460" s="11"/>
      <c r="H460" s="5"/>
      <c r="I460" s="8"/>
      <c r="J460" s="8"/>
    </row>
    <row r="461" spans="2:10" ht="12.75" x14ac:dyDescent="0.2">
      <c r="B461" s="6"/>
      <c r="C461" s="6"/>
      <c r="D461" s="6"/>
      <c r="E461" s="9"/>
      <c r="F461" s="9"/>
      <c r="G461" s="11"/>
      <c r="H461" s="5"/>
      <c r="I461" s="8"/>
      <c r="J461" s="8"/>
    </row>
    <row r="462" spans="2:10" ht="12.75" x14ac:dyDescent="0.2">
      <c r="B462" s="6"/>
      <c r="C462" s="6"/>
      <c r="D462" s="6"/>
      <c r="E462" s="9"/>
      <c r="F462" s="9"/>
      <c r="G462" s="11"/>
      <c r="H462" s="5"/>
      <c r="I462" s="8"/>
      <c r="J462" s="8"/>
    </row>
    <row r="463" spans="2:10" ht="12.75" x14ac:dyDescent="0.2">
      <c r="B463" s="6"/>
      <c r="C463" s="6"/>
      <c r="D463" s="6"/>
      <c r="E463" s="9"/>
      <c r="F463" s="9"/>
      <c r="G463" s="11"/>
      <c r="H463" s="5"/>
      <c r="I463" s="8"/>
      <c r="J463" s="8"/>
    </row>
    <row r="464" spans="2:10" ht="12.75" x14ac:dyDescent="0.2">
      <c r="B464" s="6"/>
      <c r="C464" s="6"/>
      <c r="D464" s="6"/>
      <c r="E464" s="9"/>
      <c r="F464" s="9"/>
      <c r="G464" s="11"/>
      <c r="H464" s="5"/>
      <c r="I464" s="8"/>
      <c r="J464" s="8"/>
    </row>
    <row r="465" spans="2:10" ht="12.75" x14ac:dyDescent="0.2">
      <c r="B465" s="6"/>
      <c r="C465" s="6"/>
      <c r="D465" s="6"/>
      <c r="E465" s="9"/>
      <c r="F465" s="9"/>
      <c r="G465" s="11"/>
      <c r="H465" s="5"/>
      <c r="I465" s="8"/>
      <c r="J465" s="8"/>
    </row>
    <row r="466" spans="2:10" ht="12.75" x14ac:dyDescent="0.2">
      <c r="B466" s="6"/>
      <c r="C466" s="6"/>
      <c r="D466" s="6"/>
      <c r="E466" s="9"/>
      <c r="F466" s="9"/>
      <c r="G466" s="11"/>
      <c r="H466" s="5"/>
      <c r="I466" s="8"/>
      <c r="J466" s="8"/>
    </row>
    <row r="467" spans="2:10" ht="12.75" x14ac:dyDescent="0.2">
      <c r="B467" s="6"/>
      <c r="C467" s="6"/>
      <c r="D467" s="6"/>
      <c r="E467" s="9"/>
      <c r="F467" s="9"/>
      <c r="G467" s="11"/>
      <c r="H467" s="5"/>
      <c r="I467" s="8"/>
      <c r="J467" s="8"/>
    </row>
    <row r="468" spans="2:10" ht="12.75" x14ac:dyDescent="0.2">
      <c r="B468" s="6"/>
      <c r="C468" s="6"/>
      <c r="D468" s="6"/>
      <c r="E468" s="9"/>
      <c r="F468" s="9"/>
      <c r="G468" s="11"/>
      <c r="H468" s="5"/>
      <c r="I468" s="8"/>
      <c r="J468" s="8"/>
    </row>
    <row r="469" spans="2:10" ht="12.75" x14ac:dyDescent="0.2">
      <c r="B469" s="6"/>
      <c r="C469" s="6"/>
      <c r="D469" s="6"/>
      <c r="E469" s="9"/>
      <c r="F469" s="9"/>
      <c r="G469" s="11"/>
      <c r="H469" s="5"/>
      <c r="I469" s="8"/>
      <c r="J469" s="8"/>
    </row>
    <row r="470" spans="2:10" ht="12.75" x14ac:dyDescent="0.2">
      <c r="B470" s="6"/>
      <c r="C470" s="6"/>
      <c r="D470" s="6"/>
      <c r="E470" s="9"/>
      <c r="F470" s="9"/>
      <c r="G470" s="11"/>
      <c r="H470" s="5"/>
      <c r="I470" s="8"/>
      <c r="J470" s="8"/>
    </row>
    <row r="471" spans="2:10" ht="12.75" x14ac:dyDescent="0.2">
      <c r="B471" s="6"/>
      <c r="C471" s="6"/>
      <c r="D471" s="6"/>
      <c r="E471" s="9"/>
      <c r="F471" s="9"/>
      <c r="G471" s="11"/>
      <c r="H471" s="5"/>
      <c r="I471" s="8"/>
      <c r="J471" s="8"/>
    </row>
    <row r="472" spans="2:10" ht="12.75" x14ac:dyDescent="0.2">
      <c r="B472" s="6"/>
      <c r="C472" s="6"/>
      <c r="D472" s="6"/>
      <c r="E472" s="9"/>
      <c r="F472" s="9"/>
      <c r="G472" s="11"/>
      <c r="H472" s="5"/>
      <c r="I472" s="8"/>
      <c r="J472" s="8"/>
    </row>
    <row r="473" spans="2:10" ht="12.75" x14ac:dyDescent="0.2">
      <c r="B473" s="6"/>
      <c r="C473" s="6"/>
      <c r="D473" s="6"/>
      <c r="E473" s="9"/>
      <c r="F473" s="9"/>
      <c r="G473" s="11"/>
      <c r="H473" s="5"/>
      <c r="I473" s="8"/>
      <c r="J473" s="8"/>
    </row>
    <row r="474" spans="2:10" ht="12.75" x14ac:dyDescent="0.2">
      <c r="B474" s="6"/>
      <c r="C474" s="6"/>
      <c r="D474" s="6"/>
      <c r="E474" s="9"/>
      <c r="F474" s="9"/>
      <c r="G474" s="11"/>
      <c r="H474" s="5"/>
      <c r="I474" s="8"/>
      <c r="J474" s="8"/>
    </row>
    <row r="475" spans="2:10" ht="12.75" x14ac:dyDescent="0.2">
      <c r="B475" s="6"/>
      <c r="C475" s="6"/>
      <c r="D475" s="6"/>
      <c r="E475" s="9"/>
      <c r="F475" s="9"/>
      <c r="G475" s="11"/>
      <c r="H475" s="5"/>
      <c r="I475" s="8"/>
      <c r="J475" s="8"/>
    </row>
    <row r="476" spans="2:10" ht="12.75" x14ac:dyDescent="0.2">
      <c r="B476" s="6"/>
      <c r="C476" s="6"/>
      <c r="D476" s="6"/>
      <c r="E476" s="9"/>
      <c r="F476" s="9"/>
      <c r="G476" s="11"/>
      <c r="H476" s="5"/>
      <c r="I476" s="8"/>
      <c r="J476" s="8"/>
    </row>
    <row r="477" spans="2:10" ht="12.75" x14ac:dyDescent="0.2">
      <c r="B477" s="6"/>
      <c r="C477" s="6"/>
      <c r="D477" s="6"/>
      <c r="E477" s="9"/>
      <c r="F477" s="9"/>
      <c r="G477" s="11"/>
      <c r="H477" s="5"/>
      <c r="I477" s="8"/>
      <c r="J477" s="8"/>
    </row>
    <row r="478" spans="2:10" ht="12.75" x14ac:dyDescent="0.2">
      <c r="B478" s="6"/>
      <c r="C478" s="6"/>
      <c r="D478" s="6"/>
      <c r="E478" s="9"/>
      <c r="F478" s="9"/>
      <c r="G478" s="11"/>
      <c r="H478" s="5"/>
      <c r="I478" s="8"/>
      <c r="J478" s="8"/>
    </row>
    <row r="479" spans="2:10" ht="12.75" x14ac:dyDescent="0.2">
      <c r="B479" s="6"/>
      <c r="C479" s="6"/>
      <c r="D479" s="6"/>
      <c r="E479" s="9"/>
      <c r="F479" s="9"/>
      <c r="G479" s="11"/>
      <c r="H479" s="5"/>
      <c r="I479" s="8"/>
      <c r="J479" s="8"/>
    </row>
    <row r="480" spans="2:10" ht="12.75" x14ac:dyDescent="0.2">
      <c r="B480" s="6"/>
      <c r="C480" s="6"/>
      <c r="D480" s="6"/>
      <c r="E480" s="9"/>
      <c r="F480" s="9"/>
      <c r="G480" s="11"/>
      <c r="H480" s="5"/>
      <c r="I480" s="8"/>
      <c r="J480" s="8"/>
    </row>
    <row r="481" spans="2:10" ht="12.75" x14ac:dyDescent="0.2">
      <c r="B481" s="6"/>
      <c r="C481" s="6"/>
      <c r="D481" s="6"/>
      <c r="E481" s="9"/>
      <c r="F481" s="9"/>
      <c r="G481" s="11"/>
      <c r="H481" s="5"/>
      <c r="I481" s="8"/>
      <c r="J481" s="8"/>
    </row>
    <row r="482" spans="2:10" ht="12.75" x14ac:dyDescent="0.2">
      <c r="B482" s="6"/>
      <c r="C482" s="6"/>
      <c r="D482" s="6"/>
      <c r="E482" s="9"/>
      <c r="F482" s="9"/>
      <c r="G482" s="11"/>
      <c r="H482" s="5"/>
      <c r="I482" s="8"/>
      <c r="J482" s="8"/>
    </row>
    <row r="483" spans="2:10" ht="12.75" x14ac:dyDescent="0.2">
      <c r="B483" s="6"/>
      <c r="C483" s="6"/>
      <c r="D483" s="6"/>
      <c r="E483" s="9"/>
      <c r="F483" s="9"/>
      <c r="G483" s="11"/>
      <c r="H483" s="5"/>
      <c r="I483" s="8"/>
      <c r="J483" s="8"/>
    </row>
    <row r="484" spans="2:10" ht="12.75" x14ac:dyDescent="0.2">
      <c r="B484" s="6"/>
      <c r="C484" s="6"/>
      <c r="D484" s="6"/>
      <c r="E484" s="9"/>
      <c r="F484" s="9"/>
      <c r="G484" s="11"/>
      <c r="H484" s="5"/>
      <c r="I484" s="8"/>
      <c r="J484" s="8"/>
    </row>
    <row r="485" spans="2:10" ht="12.75" x14ac:dyDescent="0.2">
      <c r="B485" s="6"/>
      <c r="C485" s="6"/>
      <c r="D485" s="6"/>
      <c r="E485" s="9"/>
      <c r="F485" s="9"/>
      <c r="G485" s="11"/>
      <c r="H485" s="5"/>
      <c r="I485" s="8"/>
      <c r="J485" s="8"/>
    </row>
    <row r="486" spans="2:10" ht="12.75" x14ac:dyDescent="0.2">
      <c r="B486" s="6"/>
      <c r="C486" s="6"/>
      <c r="D486" s="6"/>
      <c r="E486" s="9"/>
      <c r="F486" s="9"/>
      <c r="G486" s="11"/>
      <c r="H486" s="5"/>
      <c r="I486" s="8"/>
      <c r="J486" s="8"/>
    </row>
    <row r="487" spans="2:10" ht="12.75" x14ac:dyDescent="0.2">
      <c r="B487" s="6"/>
      <c r="C487" s="6"/>
      <c r="D487" s="6"/>
      <c r="E487" s="9"/>
      <c r="F487" s="9"/>
      <c r="G487" s="11"/>
      <c r="H487" s="5"/>
      <c r="I487" s="8"/>
      <c r="J487" s="8"/>
    </row>
    <row r="488" spans="2:10" ht="12.75" x14ac:dyDescent="0.2">
      <c r="B488" s="6"/>
      <c r="C488" s="6"/>
      <c r="D488" s="6"/>
      <c r="E488" s="9"/>
      <c r="F488" s="9"/>
      <c r="G488" s="11"/>
      <c r="H488" s="5"/>
      <c r="I488" s="8"/>
      <c r="J488" s="8"/>
    </row>
    <row r="489" spans="2:10" ht="12.75" x14ac:dyDescent="0.2">
      <c r="B489" s="6"/>
      <c r="C489" s="6"/>
      <c r="D489" s="6"/>
      <c r="E489" s="9"/>
      <c r="F489" s="9"/>
      <c r="G489" s="11"/>
      <c r="H489" s="5"/>
      <c r="I489" s="8"/>
      <c r="J489" s="8"/>
    </row>
    <row r="490" spans="2:10" ht="12.75" x14ac:dyDescent="0.2">
      <c r="B490" s="6"/>
      <c r="C490" s="6"/>
      <c r="D490" s="6"/>
      <c r="E490" s="9"/>
      <c r="F490" s="9"/>
      <c r="G490" s="11"/>
      <c r="H490" s="5"/>
      <c r="I490" s="8"/>
      <c r="J490" s="8"/>
    </row>
    <row r="491" spans="2:10" ht="12.75" x14ac:dyDescent="0.2">
      <c r="B491" s="6"/>
      <c r="C491" s="6"/>
      <c r="D491" s="6"/>
      <c r="E491" s="9"/>
      <c r="F491" s="9"/>
      <c r="G491" s="11"/>
      <c r="H491" s="5"/>
      <c r="I491" s="8"/>
      <c r="J491" s="8"/>
    </row>
    <row r="492" spans="2:10" ht="12.75" x14ac:dyDescent="0.2">
      <c r="B492" s="6"/>
      <c r="C492" s="6"/>
      <c r="D492" s="6"/>
      <c r="E492" s="9"/>
      <c r="F492" s="9"/>
      <c r="G492" s="11"/>
      <c r="H492" s="5"/>
      <c r="I492" s="8"/>
      <c r="J492" s="8"/>
    </row>
    <row r="493" spans="2:10" ht="12.75" x14ac:dyDescent="0.2">
      <c r="B493" s="6"/>
      <c r="C493" s="6"/>
      <c r="D493" s="6"/>
      <c r="E493" s="9"/>
      <c r="F493" s="9"/>
      <c r="G493" s="11"/>
      <c r="H493" s="5"/>
      <c r="I493" s="8"/>
      <c r="J493" s="8"/>
    </row>
    <row r="494" spans="2:10" ht="12.75" x14ac:dyDescent="0.2">
      <c r="B494" s="6"/>
      <c r="C494" s="6"/>
      <c r="D494" s="6"/>
      <c r="E494" s="9"/>
      <c r="F494" s="9"/>
      <c r="G494" s="11"/>
      <c r="H494" s="5"/>
      <c r="I494" s="8"/>
      <c r="J494" s="8"/>
    </row>
    <row r="495" spans="2:10" ht="12.75" x14ac:dyDescent="0.2">
      <c r="B495" s="6"/>
      <c r="C495" s="6"/>
      <c r="D495" s="6"/>
      <c r="E495" s="9"/>
      <c r="F495" s="9"/>
      <c r="G495" s="11"/>
      <c r="H495" s="5"/>
      <c r="I495" s="8"/>
      <c r="J495" s="8"/>
    </row>
    <row r="496" spans="2:10" ht="12.75" x14ac:dyDescent="0.2">
      <c r="B496" s="6"/>
      <c r="C496" s="6"/>
      <c r="D496" s="6"/>
      <c r="E496" s="9"/>
      <c r="F496" s="9"/>
      <c r="G496" s="11"/>
      <c r="H496" s="5"/>
      <c r="I496" s="8"/>
      <c r="J496" s="8"/>
    </row>
    <row r="497" spans="2:10" ht="12.75" x14ac:dyDescent="0.2">
      <c r="B497" s="6"/>
      <c r="C497" s="6"/>
      <c r="D497" s="6"/>
      <c r="E497" s="9"/>
      <c r="F497" s="9"/>
      <c r="G497" s="11"/>
      <c r="H497" s="5"/>
      <c r="I497" s="8"/>
      <c r="J497" s="8"/>
    </row>
    <row r="498" spans="2:10" ht="12.75" x14ac:dyDescent="0.2">
      <c r="B498" s="6"/>
      <c r="C498" s="6"/>
      <c r="D498" s="6"/>
      <c r="E498" s="9"/>
      <c r="F498" s="9"/>
      <c r="G498" s="11"/>
      <c r="H498" s="5"/>
      <c r="I498" s="8"/>
      <c r="J498" s="8"/>
    </row>
    <row r="499" spans="2:10" ht="12.75" x14ac:dyDescent="0.2">
      <c r="B499" s="6"/>
      <c r="C499" s="6"/>
      <c r="D499" s="6"/>
      <c r="E499" s="9"/>
      <c r="F499" s="9"/>
      <c r="G499" s="11"/>
      <c r="H499" s="5"/>
      <c r="I499" s="8"/>
      <c r="J499" s="8"/>
    </row>
    <row r="500" spans="2:10" ht="12.75" x14ac:dyDescent="0.2">
      <c r="B500" s="6"/>
      <c r="C500" s="6"/>
      <c r="D500" s="6"/>
      <c r="E500" s="9"/>
      <c r="F500" s="9"/>
      <c r="G500" s="11"/>
      <c r="H500" s="5"/>
      <c r="I500" s="8"/>
      <c r="J500" s="8"/>
    </row>
    <row r="501" spans="2:10" ht="12.75" x14ac:dyDescent="0.2">
      <c r="B501" s="6"/>
      <c r="C501" s="6"/>
      <c r="D501" s="6"/>
      <c r="E501" s="9"/>
      <c r="F501" s="9"/>
      <c r="G501" s="11"/>
      <c r="H501" s="5"/>
      <c r="I501" s="8"/>
      <c r="J501" s="8"/>
    </row>
    <row r="502" spans="2:10" ht="12.75" x14ac:dyDescent="0.2">
      <c r="B502" s="6"/>
      <c r="C502" s="6"/>
      <c r="D502" s="6"/>
      <c r="E502" s="9"/>
      <c r="F502" s="9"/>
      <c r="G502" s="11"/>
      <c r="H502" s="5"/>
      <c r="I502" s="8"/>
      <c r="J502" s="8"/>
    </row>
    <row r="503" spans="2:10" ht="12.75" x14ac:dyDescent="0.2">
      <c r="B503" s="6"/>
      <c r="C503" s="6"/>
      <c r="D503" s="6"/>
      <c r="E503" s="9"/>
      <c r="F503" s="9"/>
      <c r="G503" s="11"/>
      <c r="H503" s="5"/>
      <c r="I503" s="8"/>
      <c r="J503" s="8"/>
    </row>
    <row r="504" spans="2:10" ht="12.75" x14ac:dyDescent="0.2">
      <c r="B504" s="6"/>
      <c r="C504" s="6"/>
      <c r="D504" s="6"/>
      <c r="E504" s="9"/>
      <c r="F504" s="9"/>
      <c r="G504" s="11"/>
      <c r="H504" s="5"/>
      <c r="I504" s="8"/>
      <c r="J504" s="8"/>
    </row>
    <row r="505" spans="2:10" ht="12.75" x14ac:dyDescent="0.2">
      <c r="B505" s="6"/>
      <c r="C505" s="6"/>
      <c r="D505" s="6"/>
      <c r="E505" s="9"/>
      <c r="F505" s="9"/>
      <c r="G505" s="11"/>
      <c r="H505" s="5"/>
      <c r="I505" s="8"/>
      <c r="J505" s="8"/>
    </row>
    <row r="506" spans="2:10" ht="12.75" x14ac:dyDescent="0.2">
      <c r="B506" s="6"/>
      <c r="C506" s="6"/>
      <c r="D506" s="6"/>
      <c r="E506" s="9"/>
      <c r="F506" s="9"/>
      <c r="G506" s="11"/>
      <c r="H506" s="5"/>
      <c r="I506" s="8"/>
      <c r="J506" s="8"/>
    </row>
    <row r="507" spans="2:10" ht="12.75" x14ac:dyDescent="0.2">
      <c r="B507" s="6"/>
      <c r="C507" s="6"/>
      <c r="D507" s="6"/>
      <c r="E507" s="9"/>
      <c r="F507" s="9"/>
      <c r="G507" s="11"/>
      <c r="H507" s="5"/>
      <c r="I507" s="8"/>
      <c r="J507" s="8"/>
    </row>
    <row r="508" spans="2:10" ht="12.75" x14ac:dyDescent="0.2">
      <c r="B508" s="6"/>
      <c r="C508" s="6"/>
      <c r="D508" s="6"/>
      <c r="E508" s="9"/>
      <c r="F508" s="9"/>
      <c r="G508" s="11"/>
      <c r="H508" s="5"/>
      <c r="I508" s="8"/>
      <c r="J508" s="8"/>
    </row>
    <row r="509" spans="2:10" ht="12.75" x14ac:dyDescent="0.2">
      <c r="B509" s="6"/>
      <c r="C509" s="6"/>
      <c r="D509" s="6"/>
      <c r="E509" s="9"/>
      <c r="F509" s="9"/>
      <c r="G509" s="11"/>
      <c r="H509" s="5"/>
      <c r="I509" s="8"/>
      <c r="J509" s="8"/>
    </row>
    <row r="510" spans="2:10" ht="12.75" x14ac:dyDescent="0.2">
      <c r="B510" s="6"/>
      <c r="C510" s="6"/>
      <c r="D510" s="6"/>
      <c r="E510" s="9"/>
      <c r="F510" s="9"/>
      <c r="G510" s="11"/>
      <c r="H510" s="5"/>
      <c r="I510" s="8"/>
      <c r="J510" s="8"/>
    </row>
    <row r="511" spans="2:10" ht="12.75" x14ac:dyDescent="0.2">
      <c r="B511" s="6"/>
      <c r="C511" s="6"/>
      <c r="D511" s="6"/>
      <c r="E511" s="9"/>
      <c r="F511" s="9"/>
      <c r="G511" s="11"/>
      <c r="H511" s="5"/>
      <c r="I511" s="8"/>
      <c r="J511" s="8"/>
    </row>
    <row r="512" spans="2:10" ht="12.75" x14ac:dyDescent="0.2">
      <c r="B512" s="6"/>
      <c r="C512" s="6"/>
      <c r="D512" s="6"/>
      <c r="E512" s="9"/>
      <c r="F512" s="9"/>
      <c r="G512" s="11"/>
      <c r="H512" s="5"/>
      <c r="I512" s="8"/>
      <c r="J512" s="8"/>
    </row>
    <row r="513" spans="2:10" ht="12.75" x14ac:dyDescent="0.2">
      <c r="B513" s="6"/>
      <c r="C513" s="6"/>
      <c r="D513" s="6"/>
      <c r="E513" s="9"/>
      <c r="F513" s="9"/>
      <c r="G513" s="11"/>
      <c r="H513" s="5"/>
      <c r="I513" s="8"/>
      <c r="J513" s="8"/>
    </row>
    <row r="514" spans="2:10" ht="12.75" x14ac:dyDescent="0.2">
      <c r="B514" s="6"/>
      <c r="C514" s="6"/>
      <c r="D514" s="6"/>
      <c r="E514" s="9"/>
      <c r="F514" s="9"/>
      <c r="G514" s="11"/>
      <c r="H514" s="5"/>
      <c r="I514" s="8"/>
      <c r="J514" s="8"/>
    </row>
    <row r="515" spans="2:10" ht="12.75" x14ac:dyDescent="0.2">
      <c r="B515" s="6"/>
      <c r="C515" s="6"/>
      <c r="D515" s="6"/>
      <c r="E515" s="9"/>
      <c r="F515" s="9"/>
      <c r="G515" s="11"/>
      <c r="H515" s="5"/>
      <c r="I515" s="8"/>
      <c r="J515" s="8"/>
    </row>
    <row r="516" spans="2:10" ht="12.75" x14ac:dyDescent="0.2">
      <c r="B516" s="6"/>
      <c r="C516" s="6"/>
      <c r="D516" s="6"/>
      <c r="E516" s="9"/>
      <c r="F516" s="9"/>
      <c r="G516" s="11"/>
      <c r="H516" s="5"/>
      <c r="I516" s="8"/>
      <c r="J516" s="8"/>
    </row>
    <row r="517" spans="2:10" ht="12.75" x14ac:dyDescent="0.2">
      <c r="B517" s="6"/>
      <c r="C517" s="6"/>
      <c r="D517" s="6"/>
      <c r="E517" s="9"/>
      <c r="F517" s="9"/>
      <c r="G517" s="11"/>
      <c r="H517" s="5"/>
      <c r="I517" s="8"/>
      <c r="J517" s="8"/>
    </row>
    <row r="518" spans="2:10" ht="12.75" x14ac:dyDescent="0.2">
      <c r="B518" s="6"/>
      <c r="C518" s="6"/>
      <c r="D518" s="6"/>
      <c r="E518" s="9"/>
      <c r="F518" s="9"/>
      <c r="G518" s="11"/>
      <c r="H518" s="5"/>
      <c r="I518" s="8"/>
      <c r="J518" s="8"/>
    </row>
    <row r="519" spans="2:10" ht="12.75" x14ac:dyDescent="0.2">
      <c r="B519" s="6"/>
      <c r="C519" s="6"/>
      <c r="D519" s="6"/>
      <c r="E519" s="9"/>
      <c r="F519" s="9"/>
      <c r="G519" s="11"/>
      <c r="H519" s="5"/>
      <c r="I519" s="8"/>
      <c r="J519" s="8"/>
    </row>
    <row r="520" spans="2:10" ht="12.75" x14ac:dyDescent="0.2">
      <c r="B520" s="6"/>
      <c r="C520" s="6"/>
      <c r="D520" s="6"/>
      <c r="E520" s="9"/>
      <c r="F520" s="9"/>
      <c r="G520" s="11"/>
      <c r="H520" s="5"/>
      <c r="I520" s="8"/>
      <c r="J520" s="8"/>
    </row>
    <row r="521" spans="2:10" ht="12.75" x14ac:dyDescent="0.2">
      <c r="B521" s="6"/>
      <c r="C521" s="6"/>
      <c r="D521" s="6"/>
      <c r="E521" s="9"/>
      <c r="F521" s="9"/>
      <c r="G521" s="11"/>
      <c r="H521" s="5"/>
      <c r="I521" s="8"/>
      <c r="J521" s="8"/>
    </row>
    <row r="522" spans="2:10" ht="12.75" x14ac:dyDescent="0.2">
      <c r="B522" s="6"/>
      <c r="C522" s="6"/>
      <c r="D522" s="6"/>
      <c r="E522" s="9"/>
      <c r="F522" s="9"/>
      <c r="G522" s="11"/>
      <c r="H522" s="5"/>
      <c r="I522" s="8"/>
      <c r="J522" s="8"/>
    </row>
    <row r="523" spans="2:10" ht="12.75" x14ac:dyDescent="0.2">
      <c r="B523" s="6"/>
      <c r="C523" s="6"/>
      <c r="D523" s="6"/>
      <c r="E523" s="9"/>
      <c r="F523" s="9"/>
      <c r="G523" s="11"/>
      <c r="H523" s="5"/>
      <c r="I523" s="8"/>
      <c r="J523" s="8"/>
    </row>
    <row r="524" spans="2:10" ht="12.75" x14ac:dyDescent="0.2">
      <c r="B524" s="6"/>
      <c r="C524" s="6"/>
      <c r="D524" s="6"/>
      <c r="E524" s="9"/>
      <c r="F524" s="9"/>
      <c r="G524" s="11"/>
      <c r="H524" s="5"/>
      <c r="I524" s="8"/>
      <c r="J524" s="8"/>
    </row>
    <row r="525" spans="2:10" ht="12.75" x14ac:dyDescent="0.2">
      <c r="B525" s="6"/>
      <c r="C525" s="6"/>
      <c r="D525" s="6"/>
      <c r="E525" s="9"/>
      <c r="F525" s="9"/>
      <c r="G525" s="11"/>
      <c r="H525" s="5"/>
      <c r="I525" s="8"/>
      <c r="J525" s="8"/>
    </row>
    <row r="526" spans="2:10" ht="12.75" x14ac:dyDescent="0.2">
      <c r="B526" s="6"/>
      <c r="C526" s="6"/>
      <c r="D526" s="6"/>
      <c r="E526" s="9"/>
      <c r="F526" s="9"/>
      <c r="G526" s="11"/>
      <c r="H526" s="5"/>
      <c r="I526" s="8"/>
      <c r="J526" s="8"/>
    </row>
    <row r="527" spans="2:10" ht="12.75" x14ac:dyDescent="0.2">
      <c r="B527" s="6"/>
      <c r="C527" s="6"/>
      <c r="D527" s="6"/>
      <c r="E527" s="9"/>
      <c r="F527" s="9"/>
      <c r="G527" s="11"/>
      <c r="H527" s="5"/>
      <c r="I527" s="8"/>
      <c r="J527" s="8"/>
    </row>
    <row r="528" spans="2:10" ht="12.75" x14ac:dyDescent="0.2">
      <c r="B528" s="6"/>
      <c r="C528" s="6"/>
      <c r="D528" s="6"/>
      <c r="E528" s="9"/>
      <c r="F528" s="9"/>
      <c r="G528" s="11"/>
      <c r="H528" s="5"/>
      <c r="I528" s="8"/>
      <c r="J528" s="8"/>
    </row>
    <row r="529" spans="2:10" ht="12.75" x14ac:dyDescent="0.2">
      <c r="B529" s="6"/>
      <c r="C529" s="6"/>
      <c r="D529" s="6"/>
      <c r="E529" s="9"/>
      <c r="F529" s="9"/>
      <c r="G529" s="11"/>
      <c r="H529" s="5"/>
      <c r="I529" s="8"/>
      <c r="J529" s="8"/>
    </row>
    <row r="530" spans="2:10" ht="12.75" x14ac:dyDescent="0.2">
      <c r="B530" s="6"/>
      <c r="C530" s="6"/>
      <c r="D530" s="6"/>
      <c r="E530" s="9"/>
      <c r="F530" s="9"/>
      <c r="G530" s="11"/>
      <c r="H530" s="5"/>
      <c r="I530" s="8"/>
      <c r="J530" s="8"/>
    </row>
    <row r="531" spans="2:10" ht="12.75" x14ac:dyDescent="0.2">
      <c r="B531" s="6"/>
      <c r="C531" s="6"/>
      <c r="D531" s="6"/>
      <c r="E531" s="9"/>
      <c r="F531" s="9"/>
      <c r="G531" s="11"/>
      <c r="H531" s="5"/>
      <c r="I531" s="8"/>
      <c r="J531" s="8"/>
    </row>
    <row r="532" spans="2:10" ht="12.75" x14ac:dyDescent="0.2">
      <c r="B532" s="6"/>
      <c r="C532" s="6"/>
      <c r="D532" s="6"/>
      <c r="E532" s="9"/>
      <c r="F532" s="9"/>
      <c r="G532" s="11"/>
      <c r="H532" s="5"/>
      <c r="I532" s="8"/>
      <c r="J532" s="8"/>
    </row>
    <row r="533" spans="2:10" ht="12.75" x14ac:dyDescent="0.2">
      <c r="B533" s="6"/>
      <c r="C533" s="6"/>
      <c r="D533" s="6"/>
      <c r="E533" s="9"/>
      <c r="F533" s="9"/>
      <c r="G533" s="11"/>
      <c r="H533" s="5"/>
      <c r="I533" s="8"/>
      <c r="J533" s="8"/>
    </row>
    <row r="534" spans="2:10" ht="12.75" x14ac:dyDescent="0.2">
      <c r="B534" s="6"/>
      <c r="C534" s="6"/>
      <c r="D534" s="6"/>
      <c r="E534" s="9"/>
      <c r="F534" s="9"/>
      <c r="G534" s="11"/>
      <c r="H534" s="5"/>
      <c r="I534" s="8"/>
      <c r="J534" s="8"/>
    </row>
    <row r="535" spans="2:10" ht="12.75" x14ac:dyDescent="0.2">
      <c r="B535" s="6"/>
      <c r="C535" s="6"/>
      <c r="D535" s="6"/>
      <c r="E535" s="9"/>
      <c r="F535" s="9"/>
      <c r="G535" s="11"/>
      <c r="H535" s="5"/>
      <c r="I535" s="8"/>
      <c r="J535" s="8"/>
    </row>
    <row r="536" spans="2:10" ht="12.75" x14ac:dyDescent="0.2">
      <c r="B536" s="6"/>
      <c r="C536" s="6"/>
      <c r="D536" s="6"/>
      <c r="E536" s="9"/>
      <c r="F536" s="9"/>
      <c r="G536" s="11"/>
      <c r="H536" s="5"/>
      <c r="I536" s="8"/>
      <c r="J536" s="8"/>
    </row>
    <row r="537" spans="2:10" ht="12.75" x14ac:dyDescent="0.2">
      <c r="B537" s="6"/>
      <c r="C537" s="6"/>
      <c r="D537" s="6"/>
      <c r="E537" s="9"/>
      <c r="F537" s="9"/>
      <c r="G537" s="11"/>
      <c r="H537" s="5"/>
      <c r="I537" s="8"/>
      <c r="J537" s="8"/>
    </row>
    <row r="538" spans="2:10" ht="12.75" x14ac:dyDescent="0.2">
      <c r="B538" s="6"/>
      <c r="C538" s="6"/>
      <c r="D538" s="6"/>
      <c r="E538" s="9"/>
      <c r="F538" s="9"/>
      <c r="G538" s="11"/>
      <c r="H538" s="5"/>
      <c r="I538" s="8"/>
      <c r="J538" s="8"/>
    </row>
    <row r="539" spans="2:10" ht="12.75" x14ac:dyDescent="0.2">
      <c r="B539" s="6"/>
      <c r="C539" s="6"/>
      <c r="D539" s="6"/>
      <c r="E539" s="9"/>
      <c r="F539" s="9"/>
      <c r="G539" s="11"/>
      <c r="H539" s="5"/>
      <c r="I539" s="8"/>
      <c r="J539" s="8"/>
    </row>
    <row r="540" spans="2:10" ht="12.75" x14ac:dyDescent="0.2">
      <c r="B540" s="6"/>
      <c r="C540" s="6"/>
      <c r="D540" s="6"/>
      <c r="E540" s="9"/>
      <c r="F540" s="9"/>
      <c r="G540" s="11"/>
      <c r="H540" s="5"/>
      <c r="I540" s="8"/>
      <c r="J540" s="8"/>
    </row>
    <row r="541" spans="2:10" ht="12.75" x14ac:dyDescent="0.2">
      <c r="B541" s="6"/>
      <c r="C541" s="6"/>
      <c r="D541" s="6"/>
      <c r="E541" s="9"/>
      <c r="F541" s="9"/>
      <c r="G541" s="11"/>
      <c r="H541" s="5"/>
      <c r="I541" s="8"/>
      <c r="J541" s="8"/>
    </row>
    <row r="542" spans="2:10" ht="12.75" x14ac:dyDescent="0.2">
      <c r="B542" s="6"/>
      <c r="C542" s="6"/>
      <c r="D542" s="6"/>
      <c r="E542" s="9"/>
      <c r="F542" s="9"/>
      <c r="G542" s="11"/>
      <c r="H542" s="5"/>
      <c r="I542" s="8"/>
      <c r="J542" s="8"/>
    </row>
    <row r="543" spans="2:10" ht="12.75" x14ac:dyDescent="0.2">
      <c r="B543" s="6"/>
      <c r="C543" s="6"/>
      <c r="D543" s="6"/>
      <c r="E543" s="9"/>
      <c r="F543" s="9"/>
      <c r="G543" s="11"/>
      <c r="H543" s="5"/>
      <c r="I543" s="8"/>
      <c r="J543" s="8"/>
    </row>
    <row r="544" spans="2:10" ht="12.75" x14ac:dyDescent="0.2">
      <c r="B544" s="6"/>
      <c r="C544" s="6"/>
      <c r="D544" s="6"/>
      <c r="E544" s="9"/>
      <c r="F544" s="9"/>
      <c r="G544" s="11"/>
      <c r="H544" s="5"/>
      <c r="I544" s="8"/>
      <c r="J544" s="8"/>
    </row>
    <row r="545" spans="2:10" ht="12.75" x14ac:dyDescent="0.2">
      <c r="B545" s="6"/>
      <c r="C545" s="6"/>
      <c r="D545" s="6"/>
      <c r="E545" s="9"/>
      <c r="F545" s="9"/>
      <c r="G545" s="11"/>
      <c r="H545" s="5"/>
      <c r="I545" s="8"/>
      <c r="J545" s="8"/>
    </row>
    <row r="546" spans="2:10" ht="12.75" x14ac:dyDescent="0.2">
      <c r="B546" s="6"/>
      <c r="C546" s="6"/>
      <c r="D546" s="6"/>
      <c r="E546" s="9"/>
      <c r="F546" s="9"/>
      <c r="G546" s="11"/>
      <c r="H546" s="5"/>
      <c r="I546" s="8"/>
      <c r="J546" s="8"/>
    </row>
    <row r="547" spans="2:10" ht="12.75" x14ac:dyDescent="0.2">
      <c r="B547" s="6"/>
      <c r="C547" s="6"/>
      <c r="D547" s="6"/>
      <c r="E547" s="9"/>
      <c r="F547" s="9"/>
      <c r="G547" s="11"/>
      <c r="H547" s="5"/>
      <c r="I547" s="8"/>
      <c r="J547" s="8"/>
    </row>
    <row r="548" spans="2:10" ht="12.75" x14ac:dyDescent="0.2">
      <c r="B548" s="6"/>
      <c r="C548" s="6"/>
      <c r="D548" s="6"/>
      <c r="E548" s="9"/>
      <c r="F548" s="9"/>
      <c r="G548" s="11"/>
      <c r="H548" s="5"/>
      <c r="I548" s="8"/>
      <c r="J548" s="8"/>
    </row>
    <row r="549" spans="2:10" ht="12.75" x14ac:dyDescent="0.2">
      <c r="B549" s="6"/>
      <c r="C549" s="6"/>
      <c r="D549" s="6"/>
      <c r="E549" s="9"/>
      <c r="F549" s="9"/>
      <c r="G549" s="11"/>
      <c r="H549" s="5"/>
      <c r="I549" s="8"/>
      <c r="J549" s="8"/>
    </row>
    <row r="550" spans="2:10" ht="12.75" x14ac:dyDescent="0.2">
      <c r="B550" s="6"/>
      <c r="C550" s="6"/>
      <c r="D550" s="6"/>
      <c r="E550" s="9"/>
      <c r="F550" s="9"/>
      <c r="G550" s="11"/>
      <c r="H550" s="5"/>
      <c r="I550" s="8"/>
      <c r="J550" s="8"/>
    </row>
    <row r="551" spans="2:10" ht="12.75" x14ac:dyDescent="0.2">
      <c r="B551" s="6"/>
      <c r="C551" s="6"/>
      <c r="D551" s="6"/>
      <c r="E551" s="9"/>
      <c r="F551" s="9"/>
      <c r="G551" s="11"/>
      <c r="H551" s="5"/>
      <c r="I551" s="8"/>
      <c r="J551" s="8"/>
    </row>
    <row r="552" spans="2:10" ht="12.75" x14ac:dyDescent="0.2">
      <c r="B552" s="6"/>
      <c r="C552" s="6"/>
      <c r="D552" s="6"/>
      <c r="E552" s="9"/>
      <c r="F552" s="9"/>
      <c r="G552" s="11"/>
      <c r="H552" s="5"/>
      <c r="I552" s="8"/>
      <c r="J552" s="8"/>
    </row>
    <row r="553" spans="2:10" ht="12.75" x14ac:dyDescent="0.2">
      <c r="B553" s="6"/>
      <c r="C553" s="6"/>
      <c r="D553" s="6"/>
      <c r="E553" s="9"/>
      <c r="F553" s="9"/>
      <c r="G553" s="11"/>
      <c r="H553" s="5"/>
      <c r="I553" s="8"/>
      <c r="J553" s="8"/>
    </row>
    <row r="554" spans="2:10" ht="12.75" x14ac:dyDescent="0.2">
      <c r="B554" s="6"/>
      <c r="C554" s="6"/>
      <c r="D554" s="6"/>
      <c r="E554" s="9"/>
      <c r="F554" s="9"/>
      <c r="G554" s="11"/>
      <c r="H554" s="5"/>
      <c r="I554" s="8"/>
      <c r="J554" s="8"/>
    </row>
    <row r="555" spans="2:10" ht="12.75" x14ac:dyDescent="0.2">
      <c r="B555" s="6"/>
      <c r="C555" s="6"/>
      <c r="D555" s="6"/>
      <c r="E555" s="9"/>
      <c r="F555" s="9"/>
      <c r="G555" s="11"/>
      <c r="H555" s="5"/>
      <c r="I555" s="8"/>
      <c r="J555" s="8"/>
    </row>
    <row r="556" spans="2:10" ht="12.75" x14ac:dyDescent="0.2">
      <c r="B556" s="6"/>
      <c r="C556" s="6"/>
      <c r="D556" s="6"/>
      <c r="E556" s="9"/>
      <c r="F556" s="9"/>
      <c r="G556" s="11"/>
      <c r="H556" s="5"/>
      <c r="I556" s="8"/>
      <c r="J556" s="8"/>
    </row>
    <row r="557" spans="2:10" ht="12.75" x14ac:dyDescent="0.2">
      <c r="B557" s="6"/>
      <c r="C557" s="6"/>
      <c r="D557" s="6"/>
      <c r="E557" s="9"/>
      <c r="F557" s="9"/>
      <c r="G557" s="11"/>
      <c r="H557" s="5"/>
      <c r="I557" s="8"/>
      <c r="J557" s="8"/>
    </row>
    <row r="558" spans="2:10" ht="12.75" x14ac:dyDescent="0.2">
      <c r="B558" s="6"/>
      <c r="C558" s="6"/>
      <c r="D558" s="6"/>
      <c r="E558" s="9"/>
      <c r="F558" s="9"/>
      <c r="G558" s="11"/>
      <c r="H558" s="5"/>
      <c r="I558" s="8"/>
      <c r="J558" s="8"/>
    </row>
    <row r="559" spans="2:10" ht="12.75" x14ac:dyDescent="0.2">
      <c r="B559" s="6"/>
      <c r="C559" s="6"/>
      <c r="D559" s="6"/>
      <c r="E559" s="9"/>
      <c r="F559" s="9"/>
      <c r="G559" s="11"/>
      <c r="H559" s="5"/>
      <c r="I559" s="8"/>
      <c r="J559" s="8"/>
    </row>
    <row r="560" spans="2:10" ht="12.75" x14ac:dyDescent="0.2">
      <c r="B560" s="6"/>
      <c r="C560" s="6"/>
      <c r="D560" s="6"/>
      <c r="E560" s="9"/>
      <c r="F560" s="9"/>
      <c r="G560" s="11"/>
      <c r="H560" s="5"/>
      <c r="I560" s="8"/>
      <c r="J560" s="8"/>
    </row>
    <row r="561" spans="2:10" ht="12.75" x14ac:dyDescent="0.2">
      <c r="B561" s="6"/>
      <c r="C561" s="6"/>
      <c r="D561" s="6"/>
      <c r="E561" s="9"/>
      <c r="F561" s="9"/>
      <c r="G561" s="11"/>
      <c r="H561" s="5"/>
      <c r="I561" s="8"/>
      <c r="J561" s="8"/>
    </row>
    <row r="562" spans="2:10" ht="12.75" x14ac:dyDescent="0.2">
      <c r="B562" s="6"/>
      <c r="C562" s="6"/>
      <c r="D562" s="6"/>
      <c r="E562" s="9"/>
      <c r="F562" s="9"/>
      <c r="G562" s="11"/>
      <c r="H562" s="5"/>
      <c r="I562" s="8"/>
      <c r="J562" s="8"/>
    </row>
    <row r="563" spans="2:10" ht="12.75" x14ac:dyDescent="0.2">
      <c r="B563" s="6"/>
      <c r="C563" s="6"/>
      <c r="D563" s="6"/>
      <c r="E563" s="9"/>
      <c r="F563" s="9"/>
      <c r="G563" s="11"/>
      <c r="H563" s="5"/>
      <c r="I563" s="8"/>
      <c r="J563" s="8"/>
    </row>
    <row r="564" spans="2:10" ht="12.75" x14ac:dyDescent="0.2">
      <c r="B564" s="6"/>
      <c r="C564" s="6"/>
      <c r="D564" s="6"/>
      <c r="E564" s="9"/>
      <c r="F564" s="9"/>
      <c r="G564" s="11"/>
      <c r="H564" s="5"/>
      <c r="I564" s="8"/>
      <c r="J564" s="8"/>
    </row>
    <row r="565" spans="2:10" ht="12.75" x14ac:dyDescent="0.2">
      <c r="B565" s="6"/>
      <c r="C565" s="6"/>
      <c r="D565" s="6"/>
      <c r="E565" s="9"/>
      <c r="F565" s="9"/>
      <c r="G565" s="11"/>
      <c r="H565" s="5"/>
      <c r="I565" s="8"/>
      <c r="J565" s="8"/>
    </row>
    <row r="566" spans="2:10" ht="12.75" x14ac:dyDescent="0.2">
      <c r="B566" s="6"/>
      <c r="C566" s="6"/>
      <c r="D566" s="6"/>
      <c r="E566" s="9"/>
      <c r="F566" s="9"/>
      <c r="G566" s="11"/>
      <c r="H566" s="5"/>
      <c r="I566" s="8"/>
      <c r="J566" s="8"/>
    </row>
    <row r="567" spans="2:10" ht="12.75" x14ac:dyDescent="0.2">
      <c r="B567" s="6"/>
      <c r="C567" s="6"/>
      <c r="D567" s="6"/>
      <c r="E567" s="9"/>
      <c r="F567" s="9"/>
      <c r="G567" s="11"/>
      <c r="H567" s="5"/>
      <c r="I567" s="8"/>
      <c r="J567" s="8"/>
    </row>
    <row r="568" spans="2:10" ht="12.75" x14ac:dyDescent="0.2">
      <c r="B568" s="6"/>
      <c r="C568" s="6"/>
      <c r="D568" s="6"/>
      <c r="E568" s="9"/>
      <c r="F568" s="9"/>
      <c r="G568" s="11"/>
      <c r="H568" s="5"/>
      <c r="I568" s="8"/>
      <c r="J568" s="8"/>
    </row>
    <row r="569" spans="2:10" ht="12.75" x14ac:dyDescent="0.2">
      <c r="B569" s="6"/>
      <c r="C569" s="6"/>
      <c r="D569" s="6"/>
      <c r="E569" s="9"/>
      <c r="F569" s="9"/>
      <c r="G569" s="11"/>
      <c r="H569" s="5"/>
      <c r="I569" s="8"/>
      <c r="J569" s="8"/>
    </row>
    <row r="570" spans="2:10" ht="12.75" x14ac:dyDescent="0.2">
      <c r="B570" s="6"/>
      <c r="C570" s="6"/>
      <c r="D570" s="6"/>
      <c r="E570" s="9"/>
      <c r="F570" s="9"/>
      <c r="G570" s="11"/>
      <c r="H570" s="5"/>
      <c r="I570" s="8"/>
      <c r="J570" s="8"/>
    </row>
    <row r="571" spans="2:10" ht="12.75" x14ac:dyDescent="0.2">
      <c r="B571" s="6"/>
      <c r="C571" s="6"/>
      <c r="D571" s="6"/>
      <c r="E571" s="9"/>
      <c r="F571" s="9"/>
      <c r="G571" s="11"/>
      <c r="H571" s="5"/>
      <c r="I571" s="8"/>
      <c r="J571" s="8"/>
    </row>
    <row r="572" spans="2:10" ht="12.75" x14ac:dyDescent="0.2">
      <c r="B572" s="6"/>
      <c r="C572" s="6"/>
      <c r="D572" s="6"/>
      <c r="E572" s="9"/>
      <c r="F572" s="9"/>
      <c r="G572" s="11"/>
      <c r="H572" s="5"/>
      <c r="I572" s="8"/>
      <c r="J572" s="8"/>
    </row>
    <row r="573" spans="2:10" ht="12.75" x14ac:dyDescent="0.2">
      <c r="B573" s="6"/>
      <c r="C573" s="6"/>
      <c r="D573" s="6"/>
      <c r="E573" s="9"/>
      <c r="F573" s="9"/>
      <c r="G573" s="11"/>
      <c r="H573" s="5"/>
      <c r="I573" s="8"/>
      <c r="J573" s="8"/>
    </row>
    <row r="574" spans="2:10" ht="12.75" x14ac:dyDescent="0.2">
      <c r="B574" s="6"/>
      <c r="C574" s="6"/>
      <c r="D574" s="6"/>
      <c r="E574" s="9"/>
      <c r="F574" s="9"/>
      <c r="G574" s="11"/>
      <c r="H574" s="5"/>
      <c r="I574" s="8"/>
      <c r="J574" s="8"/>
    </row>
    <row r="575" spans="2:10" ht="12.75" x14ac:dyDescent="0.2">
      <c r="B575" s="6"/>
      <c r="C575" s="6"/>
      <c r="D575" s="6"/>
      <c r="E575" s="9"/>
      <c r="F575" s="9"/>
      <c r="G575" s="11"/>
      <c r="H575" s="5"/>
      <c r="I575" s="8"/>
      <c r="J575" s="8"/>
    </row>
    <row r="576" spans="2:10" ht="12.75" x14ac:dyDescent="0.2">
      <c r="B576" s="6"/>
      <c r="C576" s="6"/>
      <c r="D576" s="6"/>
      <c r="E576" s="9"/>
      <c r="F576" s="9"/>
      <c r="G576" s="11"/>
      <c r="H576" s="5"/>
      <c r="I576" s="8"/>
      <c r="J576" s="8"/>
    </row>
    <row r="577" spans="2:10" ht="12.75" x14ac:dyDescent="0.2">
      <c r="B577" s="6"/>
      <c r="C577" s="6"/>
      <c r="D577" s="6"/>
      <c r="E577" s="9"/>
      <c r="F577" s="9"/>
      <c r="G577" s="11"/>
      <c r="H577" s="5"/>
      <c r="I577" s="8"/>
      <c r="J577" s="8"/>
    </row>
    <row r="578" spans="2:10" ht="12.75" x14ac:dyDescent="0.2">
      <c r="B578" s="6"/>
      <c r="C578" s="6"/>
      <c r="D578" s="6"/>
      <c r="E578" s="9"/>
      <c r="F578" s="9"/>
      <c r="G578" s="11"/>
      <c r="H578" s="5"/>
      <c r="I578" s="8"/>
      <c r="J578" s="8"/>
    </row>
    <row r="579" spans="2:10" ht="12.75" x14ac:dyDescent="0.2">
      <c r="B579" s="6"/>
      <c r="C579" s="6"/>
      <c r="D579" s="6"/>
      <c r="E579" s="9"/>
      <c r="F579" s="9"/>
      <c r="G579" s="11"/>
      <c r="H579" s="5"/>
      <c r="I579" s="8"/>
      <c r="J579" s="8"/>
    </row>
    <row r="580" spans="2:10" ht="12.75" x14ac:dyDescent="0.2">
      <c r="B580" s="6"/>
      <c r="C580" s="6"/>
      <c r="D580" s="6"/>
      <c r="E580" s="9"/>
      <c r="F580" s="9"/>
      <c r="G580" s="11"/>
      <c r="H580" s="5"/>
      <c r="I580" s="8"/>
      <c r="J580" s="8"/>
    </row>
    <row r="581" spans="2:10" ht="12.75" x14ac:dyDescent="0.2">
      <c r="B581" s="6"/>
      <c r="C581" s="6"/>
      <c r="D581" s="6"/>
      <c r="E581" s="9"/>
      <c r="F581" s="9"/>
      <c r="G581" s="11"/>
      <c r="H581" s="5"/>
      <c r="I581" s="8"/>
      <c r="J581" s="8"/>
    </row>
    <row r="582" spans="2:10" ht="12.75" x14ac:dyDescent="0.2">
      <c r="B582" s="6"/>
      <c r="C582" s="6"/>
      <c r="D582" s="6"/>
      <c r="E582" s="9"/>
      <c r="F582" s="9"/>
      <c r="G582" s="11"/>
      <c r="H582" s="5"/>
      <c r="I582" s="8"/>
      <c r="J582" s="8"/>
    </row>
    <row r="583" spans="2:10" ht="12.75" x14ac:dyDescent="0.2">
      <c r="B583" s="6"/>
      <c r="C583" s="6"/>
      <c r="D583" s="6"/>
      <c r="E583" s="9"/>
      <c r="F583" s="9"/>
      <c r="G583" s="11"/>
      <c r="H583" s="5"/>
      <c r="I583" s="8"/>
      <c r="J583" s="8"/>
    </row>
    <row r="584" spans="2:10" ht="12.75" x14ac:dyDescent="0.2">
      <c r="B584" s="6"/>
      <c r="C584" s="6"/>
      <c r="D584" s="6"/>
      <c r="E584" s="9"/>
      <c r="F584" s="9"/>
      <c r="G584" s="11"/>
      <c r="H584" s="5"/>
      <c r="I584" s="8"/>
      <c r="J584" s="8"/>
    </row>
    <row r="585" spans="2:10" ht="12.75" x14ac:dyDescent="0.2">
      <c r="B585" s="6"/>
      <c r="C585" s="6"/>
      <c r="D585" s="6"/>
      <c r="E585" s="9"/>
      <c r="F585" s="9"/>
      <c r="G585" s="11"/>
      <c r="H585" s="5"/>
      <c r="I585" s="8"/>
      <c r="J585" s="8"/>
    </row>
    <row r="586" spans="2:10" ht="12.75" x14ac:dyDescent="0.2">
      <c r="B586" s="6"/>
      <c r="C586" s="6"/>
      <c r="D586" s="6"/>
      <c r="E586" s="9"/>
      <c r="F586" s="9"/>
      <c r="G586" s="11"/>
      <c r="H586" s="5"/>
      <c r="I586" s="8"/>
      <c r="J586" s="8"/>
    </row>
    <row r="587" spans="2:10" ht="12.75" x14ac:dyDescent="0.2">
      <c r="B587" s="6"/>
      <c r="C587" s="6"/>
      <c r="D587" s="6"/>
      <c r="E587" s="9"/>
      <c r="F587" s="9"/>
      <c r="G587" s="11"/>
      <c r="H587" s="5"/>
      <c r="I587" s="8"/>
      <c r="J587" s="8"/>
    </row>
    <row r="588" spans="2:10" ht="12.75" x14ac:dyDescent="0.2">
      <c r="B588" s="6"/>
      <c r="C588" s="6"/>
      <c r="D588" s="6"/>
      <c r="E588" s="9"/>
      <c r="F588" s="9"/>
      <c r="G588" s="11"/>
      <c r="H588" s="5"/>
      <c r="I588" s="8"/>
      <c r="J588" s="8"/>
    </row>
    <row r="589" spans="2:10" ht="12.75" x14ac:dyDescent="0.2">
      <c r="B589" s="6"/>
      <c r="C589" s="6"/>
      <c r="D589" s="6"/>
      <c r="E589" s="9"/>
      <c r="F589" s="9"/>
      <c r="G589" s="11"/>
      <c r="H589" s="5"/>
      <c r="I589" s="8"/>
      <c r="J589" s="8"/>
    </row>
    <row r="590" spans="2:10" ht="12.75" x14ac:dyDescent="0.2">
      <c r="B590" s="6"/>
      <c r="C590" s="6"/>
      <c r="D590" s="6"/>
      <c r="E590" s="9"/>
      <c r="F590" s="9"/>
      <c r="G590" s="11"/>
      <c r="H590" s="5"/>
      <c r="I590" s="8"/>
      <c r="J590" s="8"/>
    </row>
    <row r="591" spans="2:10" ht="12.75" x14ac:dyDescent="0.2">
      <c r="B591" s="6"/>
      <c r="C591" s="6"/>
      <c r="D591" s="6"/>
      <c r="E591" s="9"/>
      <c r="F591" s="9"/>
      <c r="G591" s="11"/>
      <c r="H591" s="5"/>
      <c r="I591" s="8"/>
      <c r="J591" s="8"/>
    </row>
    <row r="592" spans="2:10" ht="12.75" x14ac:dyDescent="0.2">
      <c r="B592" s="6"/>
      <c r="C592" s="6"/>
      <c r="D592" s="6"/>
      <c r="E592" s="9"/>
      <c r="F592" s="9"/>
      <c r="G592" s="11"/>
      <c r="H592" s="5"/>
      <c r="I592" s="8"/>
      <c r="J592" s="8"/>
    </row>
    <row r="593" spans="2:10" ht="12.75" x14ac:dyDescent="0.2">
      <c r="B593" s="6"/>
      <c r="C593" s="6"/>
      <c r="D593" s="6"/>
      <c r="E593" s="9"/>
      <c r="F593" s="9"/>
      <c r="G593" s="11"/>
      <c r="H593" s="5"/>
      <c r="I593" s="8"/>
      <c r="J593" s="8"/>
    </row>
    <row r="594" spans="2:10" ht="12.75" x14ac:dyDescent="0.2">
      <c r="B594" s="6"/>
      <c r="C594" s="6"/>
      <c r="D594" s="6"/>
      <c r="E594" s="9"/>
      <c r="F594" s="9"/>
      <c r="G594" s="11"/>
      <c r="H594" s="5"/>
      <c r="I594" s="8"/>
      <c r="J594" s="8"/>
    </row>
    <row r="595" spans="2:10" ht="12.75" x14ac:dyDescent="0.2">
      <c r="B595" s="6"/>
      <c r="C595" s="6"/>
      <c r="D595" s="6"/>
      <c r="E595" s="9"/>
      <c r="F595" s="9"/>
      <c r="G595" s="11"/>
      <c r="H595" s="5"/>
      <c r="I595" s="8"/>
      <c r="J595" s="8"/>
    </row>
    <row r="596" spans="2:10" ht="12.75" x14ac:dyDescent="0.2">
      <c r="B596" s="6"/>
      <c r="C596" s="6"/>
      <c r="D596" s="6"/>
      <c r="E596" s="9"/>
      <c r="F596" s="9"/>
      <c r="G596" s="11"/>
      <c r="H596" s="5"/>
      <c r="I596" s="8"/>
      <c r="J596" s="8"/>
    </row>
    <row r="597" spans="2:10" ht="12.75" x14ac:dyDescent="0.2">
      <c r="B597" s="6"/>
      <c r="C597" s="6"/>
      <c r="D597" s="6"/>
      <c r="E597" s="9"/>
      <c r="F597" s="9"/>
      <c r="G597" s="11"/>
      <c r="H597" s="5"/>
      <c r="I597" s="8"/>
      <c r="J597" s="8"/>
    </row>
    <row r="598" spans="2:10" ht="12.75" x14ac:dyDescent="0.2">
      <c r="B598" s="6"/>
      <c r="C598" s="6"/>
      <c r="D598" s="6"/>
      <c r="E598" s="9"/>
      <c r="F598" s="9"/>
      <c r="G598" s="11"/>
      <c r="H598" s="5"/>
      <c r="I598" s="8"/>
      <c r="J598" s="8"/>
    </row>
    <row r="599" spans="2:10" ht="12.75" x14ac:dyDescent="0.2">
      <c r="B599" s="6"/>
      <c r="C599" s="6"/>
      <c r="D599" s="6"/>
      <c r="E599" s="9"/>
      <c r="F599" s="9"/>
      <c r="G599" s="11"/>
      <c r="H599" s="5"/>
      <c r="I599" s="8"/>
      <c r="J599" s="8"/>
    </row>
    <row r="600" spans="2:10" ht="12.75" x14ac:dyDescent="0.2">
      <c r="B600" s="6"/>
      <c r="C600" s="6"/>
      <c r="D600" s="6"/>
      <c r="E600" s="9"/>
      <c r="F600" s="9"/>
      <c r="G600" s="11"/>
      <c r="H600" s="5"/>
      <c r="I600" s="8"/>
      <c r="J600" s="8"/>
    </row>
    <row r="601" spans="2:10" ht="12.75" x14ac:dyDescent="0.2">
      <c r="B601" s="6"/>
      <c r="C601" s="6"/>
      <c r="D601" s="6"/>
      <c r="E601" s="9"/>
      <c r="F601" s="9"/>
      <c r="G601" s="11"/>
      <c r="H601" s="5"/>
      <c r="I601" s="8"/>
      <c r="J601" s="8"/>
    </row>
    <row r="602" spans="2:10" ht="12.75" x14ac:dyDescent="0.2">
      <c r="B602" s="6"/>
      <c r="C602" s="6"/>
      <c r="D602" s="6"/>
      <c r="E602" s="9"/>
      <c r="F602" s="9"/>
      <c r="G602" s="11"/>
      <c r="H602" s="5"/>
      <c r="I602" s="8"/>
      <c r="J602" s="8"/>
    </row>
    <row r="603" spans="2:10" ht="12.75" x14ac:dyDescent="0.2">
      <c r="B603" s="6"/>
      <c r="C603" s="6"/>
      <c r="D603" s="6"/>
      <c r="E603" s="9"/>
      <c r="F603" s="9"/>
      <c r="G603" s="11"/>
      <c r="H603" s="5"/>
      <c r="I603" s="8"/>
      <c r="J603" s="8"/>
    </row>
    <row r="604" spans="2:10" ht="12.75" x14ac:dyDescent="0.2">
      <c r="B604" s="6"/>
      <c r="C604" s="6"/>
      <c r="D604" s="6"/>
      <c r="E604" s="9"/>
      <c r="F604" s="9"/>
      <c r="G604" s="11"/>
      <c r="H604" s="5"/>
      <c r="I604" s="8"/>
      <c r="J604" s="8"/>
    </row>
    <row r="605" spans="2:10" ht="12.75" x14ac:dyDescent="0.2">
      <c r="B605" s="6"/>
      <c r="C605" s="6"/>
      <c r="D605" s="6"/>
      <c r="E605" s="9"/>
      <c r="F605" s="9"/>
      <c r="G605" s="11"/>
      <c r="H605" s="5"/>
      <c r="I605" s="8"/>
      <c r="J605" s="8"/>
    </row>
    <row r="606" spans="2:10" ht="12.75" x14ac:dyDescent="0.2">
      <c r="B606" s="6"/>
      <c r="C606" s="6"/>
      <c r="D606" s="6"/>
      <c r="E606" s="9"/>
      <c r="F606" s="9"/>
      <c r="G606" s="11"/>
      <c r="H606" s="5"/>
      <c r="I606" s="8"/>
      <c r="J606" s="8"/>
    </row>
    <row r="607" spans="2:10" ht="12.75" x14ac:dyDescent="0.2">
      <c r="B607" s="6"/>
      <c r="C607" s="6"/>
      <c r="D607" s="6"/>
      <c r="E607" s="9"/>
      <c r="F607" s="9"/>
      <c r="G607" s="11"/>
      <c r="H607" s="5"/>
      <c r="I607" s="8"/>
      <c r="J607" s="8"/>
    </row>
    <row r="608" spans="2:10" ht="12.75" x14ac:dyDescent="0.2">
      <c r="B608" s="6"/>
      <c r="C608" s="6"/>
      <c r="D608" s="6"/>
      <c r="E608" s="9"/>
      <c r="F608" s="9"/>
      <c r="G608" s="11"/>
      <c r="H608" s="5"/>
      <c r="I608" s="8"/>
      <c r="J608" s="8"/>
    </row>
    <row r="609" spans="2:10" ht="12.75" x14ac:dyDescent="0.2">
      <c r="B609" s="6"/>
      <c r="C609" s="6"/>
      <c r="D609" s="6"/>
      <c r="E609" s="9"/>
      <c r="F609" s="9"/>
      <c r="G609" s="11"/>
      <c r="H609" s="5"/>
      <c r="I609" s="8"/>
      <c r="J609" s="8"/>
    </row>
    <row r="610" spans="2:10" ht="12.75" x14ac:dyDescent="0.2">
      <c r="B610" s="6"/>
      <c r="C610" s="6"/>
      <c r="D610" s="6"/>
      <c r="E610" s="9"/>
      <c r="F610" s="9"/>
      <c r="G610" s="11"/>
      <c r="H610" s="5"/>
      <c r="I610" s="8"/>
      <c r="J610" s="8"/>
    </row>
    <row r="611" spans="2:10" ht="12.75" x14ac:dyDescent="0.2">
      <c r="B611" s="6"/>
      <c r="C611" s="6"/>
      <c r="D611" s="6"/>
      <c r="E611" s="9"/>
      <c r="F611" s="9"/>
      <c r="G611" s="11"/>
      <c r="H611" s="5"/>
      <c r="I611" s="8"/>
      <c r="J611" s="8"/>
    </row>
    <row r="612" spans="2:10" ht="12.75" x14ac:dyDescent="0.2">
      <c r="B612" s="6"/>
      <c r="C612" s="6"/>
      <c r="D612" s="6"/>
      <c r="E612" s="9"/>
      <c r="F612" s="9"/>
      <c r="G612" s="11"/>
      <c r="H612" s="5"/>
      <c r="I612" s="8"/>
      <c r="J612" s="8"/>
    </row>
    <row r="613" spans="2:10" ht="12.75" x14ac:dyDescent="0.2">
      <c r="B613" s="6"/>
      <c r="C613" s="6"/>
      <c r="D613" s="6"/>
      <c r="E613" s="9"/>
      <c r="F613" s="9"/>
      <c r="G613" s="11"/>
      <c r="H613" s="5"/>
      <c r="I613" s="8"/>
      <c r="J613" s="8"/>
    </row>
    <row r="614" spans="2:10" ht="12.75" x14ac:dyDescent="0.2">
      <c r="B614" s="6"/>
      <c r="C614" s="6"/>
      <c r="D614" s="6"/>
      <c r="E614" s="9"/>
      <c r="F614" s="9"/>
      <c r="G614" s="11"/>
      <c r="H614" s="5"/>
      <c r="I614" s="8"/>
      <c r="J614" s="8"/>
    </row>
    <row r="615" spans="2:10" ht="12.75" x14ac:dyDescent="0.2">
      <c r="B615" s="6"/>
      <c r="C615" s="6"/>
      <c r="D615" s="6"/>
      <c r="E615" s="9"/>
      <c r="F615" s="9"/>
      <c r="G615" s="11"/>
      <c r="H615" s="5"/>
      <c r="I615" s="8"/>
      <c r="J615" s="8"/>
    </row>
    <row r="616" spans="2:10" ht="12.75" x14ac:dyDescent="0.2">
      <c r="B616" s="6"/>
      <c r="C616" s="6"/>
      <c r="D616" s="6"/>
      <c r="E616" s="9"/>
      <c r="F616" s="9"/>
      <c r="G616" s="11"/>
      <c r="H616" s="5"/>
      <c r="I616" s="8"/>
      <c r="J616" s="8"/>
    </row>
    <row r="617" spans="2:10" ht="12.75" x14ac:dyDescent="0.2">
      <c r="B617" s="6"/>
      <c r="C617" s="6"/>
      <c r="D617" s="6"/>
      <c r="E617" s="9"/>
      <c r="F617" s="9"/>
      <c r="G617" s="11"/>
      <c r="H617" s="5"/>
      <c r="I617" s="8"/>
      <c r="J617" s="8"/>
    </row>
    <row r="618" spans="2:10" ht="12.75" x14ac:dyDescent="0.2">
      <c r="B618" s="6"/>
      <c r="C618" s="6"/>
      <c r="D618" s="6"/>
      <c r="E618" s="9"/>
      <c r="F618" s="9"/>
      <c r="G618" s="11"/>
      <c r="H618" s="5"/>
      <c r="I618" s="8"/>
      <c r="J618" s="8"/>
    </row>
    <row r="619" spans="2:10" ht="12.75" x14ac:dyDescent="0.2">
      <c r="B619" s="6"/>
      <c r="C619" s="6"/>
      <c r="D619" s="6"/>
      <c r="E619" s="9"/>
      <c r="F619" s="9"/>
      <c r="G619" s="11"/>
      <c r="H619" s="5"/>
      <c r="I619" s="8"/>
      <c r="J619" s="8"/>
    </row>
    <row r="620" spans="2:10" ht="12.75" x14ac:dyDescent="0.2">
      <c r="B620" s="6"/>
      <c r="C620" s="6"/>
      <c r="D620" s="6"/>
      <c r="E620" s="9"/>
      <c r="F620" s="9"/>
      <c r="G620" s="11"/>
      <c r="H620" s="5"/>
      <c r="I620" s="8"/>
      <c r="J620" s="8"/>
    </row>
    <row r="621" spans="2:10" ht="12.75" x14ac:dyDescent="0.2">
      <c r="B621" s="6"/>
      <c r="C621" s="6"/>
      <c r="D621" s="6"/>
      <c r="E621" s="9"/>
      <c r="F621" s="9"/>
      <c r="G621" s="11"/>
      <c r="H621" s="5"/>
      <c r="I621" s="8"/>
      <c r="J621" s="8"/>
    </row>
    <row r="622" spans="2:10" ht="12.75" x14ac:dyDescent="0.2">
      <c r="B622" s="6"/>
      <c r="C622" s="6"/>
      <c r="D622" s="6"/>
      <c r="E622" s="9"/>
      <c r="F622" s="9"/>
      <c r="G622" s="11"/>
      <c r="H622" s="5"/>
      <c r="I622" s="8"/>
      <c r="J622" s="8"/>
    </row>
    <row r="623" spans="2:10" ht="12.75" x14ac:dyDescent="0.2">
      <c r="B623" s="6"/>
      <c r="C623" s="6"/>
      <c r="D623" s="6"/>
      <c r="E623" s="9"/>
      <c r="F623" s="9"/>
      <c r="G623" s="11"/>
      <c r="H623" s="5"/>
      <c r="I623" s="8"/>
      <c r="J623" s="8"/>
    </row>
    <row r="624" spans="2:10" ht="12.75" x14ac:dyDescent="0.2">
      <c r="B624" s="6"/>
      <c r="C624" s="6"/>
      <c r="D624" s="6"/>
      <c r="E624" s="9"/>
      <c r="F624" s="9"/>
      <c r="G624" s="11"/>
      <c r="H624" s="5"/>
      <c r="I624" s="8"/>
      <c r="J624" s="8"/>
    </row>
    <row r="625" spans="2:10" ht="12.75" x14ac:dyDescent="0.2">
      <c r="B625" s="6"/>
      <c r="C625" s="6"/>
      <c r="D625" s="6"/>
      <c r="E625" s="9"/>
      <c r="F625" s="9"/>
      <c r="G625" s="11"/>
      <c r="H625" s="5"/>
      <c r="I625" s="8"/>
      <c r="J625" s="8"/>
    </row>
    <row r="626" spans="2:10" ht="12.75" x14ac:dyDescent="0.2">
      <c r="B626" s="6"/>
      <c r="C626" s="6"/>
      <c r="D626" s="6"/>
      <c r="E626" s="9"/>
      <c r="F626" s="9"/>
      <c r="G626" s="11"/>
      <c r="H626" s="5"/>
      <c r="I626" s="8"/>
      <c r="J626" s="8"/>
    </row>
    <row r="627" spans="2:10" ht="12.75" x14ac:dyDescent="0.2">
      <c r="B627" s="6"/>
      <c r="C627" s="6"/>
      <c r="D627" s="6"/>
      <c r="E627" s="9"/>
      <c r="F627" s="9"/>
      <c r="G627" s="11"/>
      <c r="H627" s="5"/>
      <c r="I627" s="8"/>
      <c r="J627" s="8"/>
    </row>
    <row r="628" spans="2:10" ht="12.75" x14ac:dyDescent="0.2">
      <c r="B628" s="6"/>
      <c r="C628" s="6"/>
      <c r="D628" s="6"/>
      <c r="E628" s="9"/>
      <c r="F628" s="9"/>
      <c r="G628" s="11"/>
      <c r="H628" s="5"/>
      <c r="I628" s="8"/>
      <c r="J628" s="8"/>
    </row>
    <row r="629" spans="2:10" ht="12.75" x14ac:dyDescent="0.2">
      <c r="B629" s="6"/>
      <c r="C629" s="6"/>
      <c r="D629" s="6"/>
      <c r="E629" s="9"/>
      <c r="F629" s="9"/>
      <c r="G629" s="11"/>
      <c r="H629" s="5"/>
      <c r="I629" s="8"/>
      <c r="J629" s="8"/>
    </row>
    <row r="630" spans="2:10" ht="12.75" x14ac:dyDescent="0.2">
      <c r="B630" s="6"/>
      <c r="C630" s="6"/>
      <c r="D630" s="6"/>
      <c r="E630" s="9"/>
      <c r="F630" s="9"/>
      <c r="G630" s="11"/>
      <c r="H630" s="5"/>
      <c r="I630" s="8"/>
      <c r="J630" s="8"/>
    </row>
    <row r="631" spans="2:10" ht="12.75" x14ac:dyDescent="0.2">
      <c r="B631" s="6"/>
      <c r="C631" s="6"/>
      <c r="D631" s="6"/>
      <c r="E631" s="9"/>
      <c r="F631" s="9"/>
      <c r="G631" s="11"/>
      <c r="H631" s="5"/>
      <c r="I631" s="8"/>
      <c r="J631" s="8"/>
    </row>
    <row r="632" spans="2:10" ht="12.75" x14ac:dyDescent="0.2">
      <c r="B632" s="6"/>
      <c r="C632" s="6"/>
      <c r="D632" s="6"/>
      <c r="E632" s="9"/>
      <c r="F632" s="9"/>
      <c r="G632" s="11"/>
      <c r="H632" s="5"/>
      <c r="I632" s="8"/>
      <c r="J632" s="8"/>
    </row>
    <row r="633" spans="2:10" ht="12.75" x14ac:dyDescent="0.2">
      <c r="B633" s="6"/>
      <c r="C633" s="6"/>
      <c r="D633" s="6"/>
      <c r="E633" s="9"/>
      <c r="F633" s="9"/>
      <c r="G633" s="11"/>
      <c r="H633" s="5"/>
      <c r="I633" s="8"/>
      <c r="J633" s="8"/>
    </row>
    <row r="634" spans="2:10" ht="12.75" x14ac:dyDescent="0.2">
      <c r="B634" s="6"/>
      <c r="C634" s="6"/>
      <c r="D634" s="6"/>
      <c r="E634" s="9"/>
      <c r="F634" s="9"/>
      <c r="G634" s="11"/>
      <c r="H634" s="5"/>
      <c r="I634" s="8"/>
      <c r="J634" s="8"/>
    </row>
    <row r="635" spans="2:10" ht="12.75" x14ac:dyDescent="0.2">
      <c r="B635" s="6"/>
      <c r="C635" s="6"/>
      <c r="D635" s="6"/>
      <c r="E635" s="9"/>
      <c r="F635" s="9"/>
      <c r="G635" s="11"/>
      <c r="H635" s="5"/>
      <c r="I635" s="8"/>
      <c r="J635" s="8"/>
    </row>
    <row r="636" spans="2:10" ht="12.75" x14ac:dyDescent="0.2">
      <c r="B636" s="6"/>
      <c r="C636" s="6"/>
      <c r="D636" s="6"/>
      <c r="E636" s="9"/>
      <c r="F636" s="9"/>
      <c r="G636" s="11"/>
      <c r="H636" s="5"/>
      <c r="I636" s="8"/>
      <c r="J636" s="8"/>
    </row>
    <row r="637" spans="2:10" ht="12.75" x14ac:dyDescent="0.2">
      <c r="B637" s="6"/>
      <c r="C637" s="6"/>
      <c r="D637" s="6"/>
      <c r="E637" s="9"/>
      <c r="F637" s="9"/>
      <c r="G637" s="11"/>
      <c r="H637" s="5"/>
      <c r="I637" s="8"/>
      <c r="J637" s="8"/>
    </row>
    <row r="638" spans="2:10" ht="12.75" x14ac:dyDescent="0.2">
      <c r="B638" s="6"/>
      <c r="C638" s="6"/>
      <c r="D638" s="6"/>
      <c r="E638" s="9"/>
      <c r="F638" s="9"/>
      <c r="G638" s="11"/>
      <c r="H638" s="5"/>
      <c r="I638" s="8"/>
      <c r="J638" s="8"/>
    </row>
    <row r="639" spans="2:10" ht="12.75" x14ac:dyDescent="0.2">
      <c r="B639" s="6"/>
      <c r="C639" s="6"/>
      <c r="D639" s="6"/>
      <c r="E639" s="9"/>
      <c r="F639" s="9"/>
      <c r="G639" s="11"/>
      <c r="H639" s="5"/>
      <c r="I639" s="8"/>
      <c r="J639" s="8"/>
    </row>
    <row r="640" spans="2:10" ht="12.75" x14ac:dyDescent="0.2">
      <c r="B640" s="6"/>
      <c r="C640" s="6"/>
      <c r="D640" s="6"/>
      <c r="E640" s="9"/>
      <c r="F640" s="9"/>
      <c r="G640" s="11"/>
      <c r="H640" s="5"/>
      <c r="I640" s="8"/>
      <c r="J640" s="8"/>
    </row>
    <row r="641" spans="2:10" ht="12.75" x14ac:dyDescent="0.2">
      <c r="B641" s="6"/>
      <c r="C641" s="6"/>
      <c r="D641" s="6"/>
      <c r="E641" s="9"/>
      <c r="F641" s="9"/>
      <c r="G641" s="11"/>
      <c r="H641" s="5"/>
      <c r="I641" s="8"/>
      <c r="J641" s="8"/>
    </row>
    <row r="642" spans="2:10" ht="12.75" x14ac:dyDescent="0.2">
      <c r="B642" s="6"/>
      <c r="C642" s="6"/>
      <c r="D642" s="6"/>
      <c r="E642" s="9"/>
      <c r="F642" s="9"/>
      <c r="G642" s="11"/>
      <c r="H642" s="5"/>
      <c r="I642" s="8"/>
      <c r="J642" s="8"/>
    </row>
    <row r="643" spans="2:10" ht="12.75" x14ac:dyDescent="0.2">
      <c r="B643" s="6"/>
      <c r="C643" s="6"/>
      <c r="D643" s="6"/>
      <c r="E643" s="9"/>
      <c r="F643" s="9"/>
      <c r="G643" s="11"/>
      <c r="H643" s="5"/>
      <c r="I643" s="8"/>
      <c r="J643" s="8"/>
    </row>
    <row r="644" spans="2:10" ht="12.75" x14ac:dyDescent="0.2">
      <c r="B644" s="6"/>
      <c r="C644" s="6"/>
      <c r="D644" s="6"/>
      <c r="E644" s="9"/>
      <c r="F644" s="9"/>
      <c r="G644" s="11"/>
      <c r="H644" s="5"/>
      <c r="I644" s="8"/>
      <c r="J644" s="8"/>
    </row>
    <row r="645" spans="2:10" ht="12.75" x14ac:dyDescent="0.2">
      <c r="B645" s="6"/>
      <c r="C645" s="6"/>
      <c r="D645" s="6"/>
      <c r="E645" s="9"/>
      <c r="F645" s="9"/>
      <c r="G645" s="11"/>
      <c r="H645" s="5"/>
      <c r="I645" s="8"/>
      <c r="J645" s="8"/>
    </row>
    <row r="646" spans="2:10" ht="12.75" x14ac:dyDescent="0.2">
      <c r="B646" s="6"/>
      <c r="C646" s="6"/>
      <c r="D646" s="6"/>
      <c r="E646" s="9"/>
      <c r="F646" s="9"/>
      <c r="G646" s="11"/>
      <c r="H646" s="5"/>
      <c r="I646" s="8"/>
      <c r="J646" s="8"/>
    </row>
    <row r="647" spans="2:10" ht="12.75" x14ac:dyDescent="0.2">
      <c r="B647" s="6"/>
      <c r="C647" s="6"/>
      <c r="D647" s="6"/>
      <c r="E647" s="9"/>
      <c r="F647" s="9"/>
      <c r="G647" s="11"/>
      <c r="H647" s="5"/>
      <c r="I647" s="8"/>
      <c r="J647" s="8"/>
    </row>
    <row r="648" spans="2:10" ht="12.75" x14ac:dyDescent="0.2">
      <c r="B648" s="6"/>
      <c r="C648" s="6"/>
      <c r="D648" s="6"/>
      <c r="E648" s="9"/>
      <c r="F648" s="9"/>
      <c r="G648" s="11"/>
      <c r="H648" s="5"/>
      <c r="I648" s="8"/>
      <c r="J648" s="8"/>
    </row>
    <row r="649" spans="2:10" ht="12.75" x14ac:dyDescent="0.2">
      <c r="B649" s="6"/>
      <c r="C649" s="6"/>
      <c r="D649" s="6"/>
      <c r="E649" s="9"/>
      <c r="F649" s="9"/>
      <c r="G649" s="11"/>
      <c r="H649" s="5"/>
      <c r="I649" s="8"/>
      <c r="J649" s="8"/>
    </row>
    <row r="650" spans="2:10" ht="12.75" x14ac:dyDescent="0.2">
      <c r="B650" s="6"/>
      <c r="C650" s="6"/>
      <c r="D650" s="6"/>
      <c r="E650" s="9"/>
      <c r="F650" s="9"/>
      <c r="G650" s="11"/>
      <c r="H650" s="5"/>
      <c r="I650" s="8"/>
      <c r="J650" s="8"/>
    </row>
    <row r="651" spans="2:10" ht="12.75" x14ac:dyDescent="0.2">
      <c r="B651" s="6"/>
      <c r="C651" s="6"/>
      <c r="D651" s="6"/>
      <c r="E651" s="9"/>
      <c r="F651" s="9"/>
      <c r="G651" s="11"/>
      <c r="H651" s="5"/>
      <c r="I651" s="8"/>
      <c r="J651" s="8"/>
    </row>
    <row r="652" spans="2:10" ht="12.75" x14ac:dyDescent="0.2">
      <c r="B652" s="6"/>
      <c r="C652" s="6"/>
      <c r="D652" s="6"/>
      <c r="E652" s="9"/>
      <c r="F652" s="9"/>
      <c r="G652" s="11"/>
      <c r="H652" s="5"/>
      <c r="I652" s="8"/>
      <c r="J652" s="8"/>
    </row>
    <row r="653" spans="2:10" ht="12.75" x14ac:dyDescent="0.2">
      <c r="B653" s="6"/>
      <c r="C653" s="6"/>
      <c r="D653" s="6"/>
      <c r="E653" s="9"/>
      <c r="F653" s="9"/>
      <c r="G653" s="11"/>
      <c r="H653" s="5"/>
      <c r="I653" s="8"/>
      <c r="J653" s="8"/>
    </row>
    <row r="654" spans="2:10" ht="12.75" x14ac:dyDescent="0.2">
      <c r="B654" s="6"/>
      <c r="C654" s="6"/>
      <c r="D654" s="6"/>
      <c r="E654" s="9"/>
      <c r="F654" s="9"/>
      <c r="G654" s="11"/>
      <c r="H654" s="5"/>
      <c r="I654" s="8"/>
      <c r="J654" s="8"/>
    </row>
    <row r="655" spans="2:10" ht="12.75" x14ac:dyDescent="0.2">
      <c r="B655" s="6"/>
      <c r="C655" s="6"/>
      <c r="D655" s="6"/>
      <c r="E655" s="9"/>
      <c r="F655" s="9"/>
      <c r="G655" s="11"/>
      <c r="H655" s="5"/>
      <c r="I655" s="8"/>
      <c r="J655" s="8"/>
    </row>
    <row r="656" spans="2:10" ht="12.75" x14ac:dyDescent="0.2">
      <c r="B656" s="6"/>
      <c r="C656" s="6"/>
      <c r="D656" s="6"/>
      <c r="E656" s="9"/>
      <c r="F656" s="9"/>
      <c r="G656" s="11"/>
      <c r="H656" s="5"/>
      <c r="I656" s="8"/>
      <c r="J656" s="8"/>
    </row>
    <row r="657" spans="2:10" ht="12.75" x14ac:dyDescent="0.2">
      <c r="B657" s="6"/>
      <c r="C657" s="6"/>
      <c r="D657" s="6"/>
      <c r="E657" s="9"/>
      <c r="F657" s="9"/>
      <c r="G657" s="11"/>
      <c r="H657" s="5"/>
      <c r="I657" s="8"/>
      <c r="J657" s="8"/>
    </row>
    <row r="658" spans="2:10" ht="12.75" x14ac:dyDescent="0.2">
      <c r="B658" s="6"/>
      <c r="C658" s="6"/>
      <c r="D658" s="6"/>
      <c r="E658" s="9"/>
      <c r="F658" s="9"/>
      <c r="G658" s="11"/>
      <c r="H658" s="5"/>
      <c r="I658" s="8"/>
      <c r="J658" s="8"/>
    </row>
    <row r="659" spans="2:10" ht="12.75" x14ac:dyDescent="0.2">
      <c r="B659" s="6"/>
      <c r="C659" s="6"/>
      <c r="D659" s="6"/>
      <c r="E659" s="9"/>
      <c r="F659" s="9"/>
      <c r="G659" s="11"/>
      <c r="H659" s="5"/>
      <c r="I659" s="8"/>
      <c r="J659" s="8"/>
    </row>
    <row r="660" spans="2:10" ht="12.75" x14ac:dyDescent="0.2">
      <c r="B660" s="6"/>
      <c r="C660" s="6"/>
      <c r="D660" s="6"/>
      <c r="E660" s="9"/>
      <c r="F660" s="9"/>
      <c r="G660" s="11"/>
      <c r="H660" s="5"/>
      <c r="I660" s="8"/>
      <c r="J660" s="8"/>
    </row>
    <row r="661" spans="2:10" ht="12.75" x14ac:dyDescent="0.2">
      <c r="B661" s="6"/>
      <c r="C661" s="6"/>
      <c r="D661" s="6"/>
      <c r="E661" s="9"/>
      <c r="F661" s="9"/>
      <c r="G661" s="11"/>
      <c r="H661" s="5"/>
      <c r="I661" s="8"/>
      <c r="J661" s="8"/>
    </row>
    <row r="662" spans="2:10" ht="12.75" x14ac:dyDescent="0.2">
      <c r="B662" s="6"/>
      <c r="C662" s="6"/>
      <c r="D662" s="6"/>
      <c r="E662" s="9"/>
      <c r="F662" s="9"/>
      <c r="G662" s="11"/>
      <c r="H662" s="5"/>
      <c r="I662" s="8"/>
      <c r="J662" s="8"/>
    </row>
    <row r="663" spans="2:10" ht="12.75" x14ac:dyDescent="0.2">
      <c r="B663" s="6"/>
      <c r="C663" s="6"/>
      <c r="D663" s="6"/>
      <c r="E663" s="9"/>
      <c r="F663" s="9"/>
      <c r="G663" s="11"/>
      <c r="H663" s="5"/>
      <c r="I663" s="8"/>
      <c r="J663" s="8"/>
    </row>
    <row r="664" spans="2:10" ht="12.75" x14ac:dyDescent="0.2">
      <c r="B664" s="6"/>
      <c r="C664" s="6"/>
      <c r="D664" s="6"/>
      <c r="E664" s="9"/>
      <c r="F664" s="9"/>
      <c r="G664" s="11"/>
      <c r="H664" s="5"/>
      <c r="I664" s="8"/>
      <c r="J664" s="8"/>
    </row>
    <row r="665" spans="2:10" ht="12.75" x14ac:dyDescent="0.2">
      <c r="B665" s="6"/>
      <c r="C665" s="6"/>
      <c r="D665" s="6"/>
      <c r="E665" s="9"/>
      <c r="F665" s="9"/>
      <c r="G665" s="11"/>
      <c r="H665" s="5"/>
      <c r="I665" s="8"/>
      <c r="J665" s="8"/>
    </row>
    <row r="666" spans="2:10" ht="12.75" x14ac:dyDescent="0.2">
      <c r="B666" s="6"/>
      <c r="C666" s="6"/>
      <c r="D666" s="6"/>
      <c r="E666" s="9"/>
      <c r="F666" s="9"/>
      <c r="G666" s="11"/>
      <c r="H666" s="5"/>
      <c r="I666" s="8"/>
      <c r="J666" s="8"/>
    </row>
    <row r="667" spans="2:10" ht="12.75" x14ac:dyDescent="0.2">
      <c r="B667" s="6"/>
      <c r="C667" s="6"/>
      <c r="D667" s="6"/>
      <c r="E667" s="9"/>
      <c r="F667" s="9"/>
      <c r="G667" s="11"/>
      <c r="H667" s="5"/>
      <c r="I667" s="8"/>
      <c r="J667" s="8"/>
    </row>
    <row r="668" spans="2:10" ht="12.75" x14ac:dyDescent="0.2">
      <c r="B668" s="6"/>
      <c r="C668" s="6"/>
      <c r="D668" s="6"/>
      <c r="E668" s="9"/>
      <c r="F668" s="9"/>
      <c r="G668" s="11"/>
      <c r="H668" s="5"/>
      <c r="I668" s="8"/>
      <c r="J668" s="8"/>
    </row>
    <row r="669" spans="2:10" ht="12.75" x14ac:dyDescent="0.2">
      <c r="B669" s="6"/>
      <c r="C669" s="6"/>
      <c r="D669" s="6"/>
      <c r="E669" s="9"/>
      <c r="F669" s="9"/>
      <c r="G669" s="11"/>
      <c r="H669" s="5"/>
      <c r="I669" s="8"/>
      <c r="J669" s="8"/>
    </row>
    <row r="670" spans="2:10" ht="12.75" x14ac:dyDescent="0.2">
      <c r="B670" s="6"/>
      <c r="C670" s="6"/>
      <c r="D670" s="6"/>
      <c r="E670" s="9"/>
      <c r="F670" s="9"/>
      <c r="G670" s="11"/>
      <c r="H670" s="5"/>
      <c r="I670" s="8"/>
      <c r="J670" s="8"/>
    </row>
    <row r="671" spans="2:10" ht="12.75" x14ac:dyDescent="0.2">
      <c r="B671" s="6"/>
      <c r="C671" s="6"/>
      <c r="D671" s="6"/>
      <c r="E671" s="9"/>
      <c r="F671" s="9"/>
      <c r="G671" s="11"/>
      <c r="H671" s="5"/>
      <c r="I671" s="8"/>
      <c r="J671" s="8"/>
    </row>
    <row r="672" spans="2:10" ht="12.75" x14ac:dyDescent="0.2">
      <c r="B672" s="6"/>
      <c r="C672" s="6"/>
      <c r="D672" s="6"/>
      <c r="E672" s="9"/>
      <c r="F672" s="9"/>
      <c r="G672" s="11"/>
      <c r="H672" s="5"/>
      <c r="I672" s="8"/>
      <c r="J672" s="8"/>
    </row>
    <row r="673" spans="2:10" ht="12.75" x14ac:dyDescent="0.2">
      <c r="B673" s="6"/>
      <c r="C673" s="6"/>
      <c r="D673" s="6"/>
      <c r="E673" s="9"/>
      <c r="F673" s="9"/>
      <c r="G673" s="11"/>
      <c r="H673" s="5"/>
      <c r="I673" s="8"/>
      <c r="J673" s="8"/>
    </row>
    <row r="674" spans="2:10" ht="12.75" x14ac:dyDescent="0.2">
      <c r="B674" s="6"/>
      <c r="C674" s="6"/>
      <c r="D674" s="6"/>
      <c r="E674" s="9"/>
      <c r="F674" s="9"/>
      <c r="G674" s="11"/>
      <c r="H674" s="5"/>
      <c r="I674" s="8"/>
      <c r="J674" s="8"/>
    </row>
    <row r="675" spans="2:10" ht="12.75" x14ac:dyDescent="0.2">
      <c r="B675" s="6"/>
      <c r="C675" s="6"/>
      <c r="D675" s="6"/>
      <c r="E675" s="9"/>
      <c r="F675" s="9"/>
      <c r="G675" s="11"/>
      <c r="H675" s="5"/>
      <c r="I675" s="8"/>
      <c r="J675" s="8"/>
    </row>
    <row r="676" spans="2:10" ht="12.75" x14ac:dyDescent="0.2">
      <c r="B676" s="6"/>
      <c r="C676" s="6"/>
      <c r="D676" s="6"/>
      <c r="E676" s="9"/>
      <c r="F676" s="9"/>
      <c r="G676" s="11"/>
      <c r="H676" s="5"/>
      <c r="I676" s="8"/>
      <c r="J676" s="8"/>
    </row>
    <row r="677" spans="2:10" ht="12.75" x14ac:dyDescent="0.2">
      <c r="B677" s="6"/>
      <c r="C677" s="6"/>
      <c r="D677" s="6"/>
      <c r="E677" s="9"/>
      <c r="F677" s="9"/>
      <c r="G677" s="11"/>
      <c r="H677" s="5"/>
      <c r="I677" s="8"/>
      <c r="J677" s="8"/>
    </row>
    <row r="678" spans="2:10" ht="12.75" x14ac:dyDescent="0.2">
      <c r="B678" s="6"/>
      <c r="C678" s="6"/>
      <c r="D678" s="6"/>
      <c r="E678" s="9"/>
      <c r="F678" s="9"/>
      <c r="G678" s="11"/>
      <c r="H678" s="5"/>
      <c r="I678" s="8"/>
      <c r="J678" s="8"/>
    </row>
    <row r="679" spans="2:10" ht="12.75" x14ac:dyDescent="0.2">
      <c r="B679" s="6"/>
      <c r="C679" s="6"/>
      <c r="D679" s="6"/>
      <c r="E679" s="9"/>
      <c r="F679" s="9"/>
      <c r="G679" s="11"/>
      <c r="H679" s="5"/>
      <c r="I679" s="8"/>
      <c r="J679" s="8"/>
    </row>
    <row r="680" spans="2:10" ht="12.75" x14ac:dyDescent="0.2">
      <c r="B680" s="6"/>
      <c r="C680" s="6"/>
      <c r="D680" s="6"/>
      <c r="E680" s="9"/>
      <c r="F680" s="9"/>
      <c r="G680" s="11"/>
      <c r="H680" s="5"/>
      <c r="I680" s="8"/>
      <c r="J680" s="8"/>
    </row>
    <row r="681" spans="2:10" ht="12.75" x14ac:dyDescent="0.2">
      <c r="B681" s="6"/>
      <c r="C681" s="6"/>
      <c r="D681" s="6"/>
      <c r="E681" s="9"/>
      <c r="F681" s="9"/>
      <c r="G681" s="11"/>
      <c r="H681" s="5"/>
      <c r="I681" s="8"/>
      <c r="J681" s="8"/>
    </row>
    <row r="682" spans="2:10" ht="12.75" x14ac:dyDescent="0.2">
      <c r="B682" s="6"/>
      <c r="C682" s="6"/>
      <c r="D682" s="6"/>
      <c r="E682" s="9"/>
      <c r="F682" s="9"/>
      <c r="G682" s="11"/>
      <c r="H682" s="5"/>
      <c r="I682" s="8"/>
      <c r="J682" s="8"/>
    </row>
    <row r="683" spans="2:10" ht="12.75" x14ac:dyDescent="0.2">
      <c r="B683" s="6"/>
      <c r="C683" s="6"/>
      <c r="D683" s="6"/>
      <c r="E683" s="9"/>
      <c r="F683" s="9"/>
      <c r="G683" s="11"/>
      <c r="H683" s="5"/>
      <c r="I683" s="8"/>
      <c r="J683" s="8"/>
    </row>
    <row r="684" spans="2:10" ht="12.75" x14ac:dyDescent="0.2">
      <c r="B684" s="6"/>
      <c r="C684" s="6"/>
      <c r="D684" s="6"/>
      <c r="E684" s="9"/>
      <c r="F684" s="9"/>
      <c r="G684" s="11"/>
      <c r="H684" s="5"/>
      <c r="I684" s="8"/>
      <c r="J684" s="8"/>
    </row>
    <row r="685" spans="2:10" ht="12.75" x14ac:dyDescent="0.2">
      <c r="B685" s="6"/>
      <c r="C685" s="6"/>
      <c r="D685" s="6"/>
      <c r="E685" s="9"/>
      <c r="F685" s="9"/>
      <c r="G685" s="11"/>
      <c r="H685" s="5"/>
      <c r="I685" s="8"/>
      <c r="J685" s="8"/>
    </row>
    <row r="686" spans="2:10" ht="12.75" x14ac:dyDescent="0.2">
      <c r="B686" s="6"/>
      <c r="C686" s="6"/>
      <c r="D686" s="6"/>
      <c r="E686" s="9"/>
      <c r="F686" s="9"/>
      <c r="G686" s="11"/>
      <c r="H686" s="5"/>
      <c r="I686" s="8"/>
      <c r="J686" s="8"/>
    </row>
    <row r="687" spans="2:10" ht="12.75" x14ac:dyDescent="0.2">
      <c r="B687" s="6"/>
      <c r="C687" s="6"/>
      <c r="D687" s="6"/>
      <c r="E687" s="9"/>
      <c r="F687" s="9"/>
      <c r="G687" s="11"/>
      <c r="H687" s="5"/>
      <c r="I687" s="8"/>
      <c r="J687" s="8"/>
    </row>
    <row r="688" spans="2:10" ht="12.75" x14ac:dyDescent="0.2">
      <c r="B688" s="6"/>
      <c r="C688" s="6"/>
      <c r="D688" s="6"/>
      <c r="E688" s="9"/>
      <c r="F688" s="9"/>
      <c r="G688" s="11"/>
      <c r="H688" s="5"/>
      <c r="I688" s="8"/>
      <c r="J688" s="8"/>
    </row>
    <row r="689" spans="2:10" ht="12.75" x14ac:dyDescent="0.2">
      <c r="B689" s="6"/>
      <c r="C689" s="6"/>
      <c r="D689" s="6"/>
      <c r="E689" s="9"/>
      <c r="F689" s="9"/>
      <c r="G689" s="11"/>
      <c r="H689" s="5"/>
      <c r="I689" s="8"/>
      <c r="J689" s="8"/>
    </row>
    <row r="690" spans="2:10" ht="12.75" x14ac:dyDescent="0.2">
      <c r="B690" s="6"/>
      <c r="C690" s="6"/>
      <c r="D690" s="6"/>
      <c r="E690" s="9"/>
      <c r="F690" s="9"/>
      <c r="G690" s="11"/>
      <c r="H690" s="5"/>
      <c r="I690" s="8"/>
      <c r="J690" s="8"/>
    </row>
    <row r="691" spans="2:10" ht="12.75" x14ac:dyDescent="0.2">
      <c r="B691" s="6"/>
      <c r="C691" s="6"/>
      <c r="D691" s="6"/>
      <c r="E691" s="9"/>
      <c r="F691" s="9"/>
      <c r="G691" s="11"/>
      <c r="H691" s="5"/>
      <c r="I691" s="8"/>
      <c r="J691" s="8"/>
    </row>
    <row r="692" spans="2:10" ht="12.75" x14ac:dyDescent="0.2">
      <c r="B692" s="6"/>
      <c r="C692" s="6"/>
      <c r="D692" s="6"/>
      <c r="E692" s="9"/>
      <c r="F692" s="9"/>
      <c r="G692" s="11"/>
      <c r="H692" s="5"/>
      <c r="I692" s="8"/>
      <c r="J692" s="8"/>
    </row>
    <row r="693" spans="2:10" ht="12.75" x14ac:dyDescent="0.2">
      <c r="B693" s="6"/>
      <c r="C693" s="6"/>
      <c r="D693" s="6"/>
      <c r="E693" s="9"/>
      <c r="F693" s="9"/>
      <c r="G693" s="11"/>
      <c r="H693" s="5"/>
      <c r="I693" s="8"/>
      <c r="J693" s="8"/>
    </row>
    <row r="694" spans="2:10" ht="12.75" x14ac:dyDescent="0.2">
      <c r="B694" s="6"/>
      <c r="C694" s="6"/>
      <c r="D694" s="6"/>
      <c r="E694" s="9"/>
      <c r="F694" s="9"/>
      <c r="G694" s="11"/>
      <c r="H694" s="5"/>
      <c r="I694" s="8"/>
      <c r="J694" s="8"/>
    </row>
    <row r="695" spans="2:10" ht="12.75" x14ac:dyDescent="0.2">
      <c r="B695" s="6"/>
      <c r="C695" s="6"/>
      <c r="D695" s="6"/>
      <c r="E695" s="9"/>
      <c r="F695" s="9"/>
      <c r="G695" s="11"/>
      <c r="H695" s="5"/>
      <c r="I695" s="8"/>
      <c r="J695" s="8"/>
    </row>
    <row r="696" spans="2:10" ht="12.75" x14ac:dyDescent="0.2">
      <c r="B696" s="6"/>
      <c r="C696" s="6"/>
      <c r="D696" s="6"/>
      <c r="E696" s="9"/>
      <c r="F696" s="9"/>
      <c r="G696" s="11"/>
      <c r="H696" s="5"/>
      <c r="I696" s="8"/>
      <c r="J696" s="8"/>
    </row>
    <row r="697" spans="2:10" ht="12.75" x14ac:dyDescent="0.2">
      <c r="B697" s="6"/>
      <c r="C697" s="6"/>
      <c r="D697" s="6"/>
      <c r="E697" s="9"/>
      <c r="F697" s="9"/>
      <c r="G697" s="11"/>
      <c r="H697" s="5"/>
      <c r="I697" s="8"/>
      <c r="J697" s="8"/>
    </row>
    <row r="698" spans="2:10" ht="12.75" x14ac:dyDescent="0.2">
      <c r="B698" s="6"/>
      <c r="C698" s="6"/>
      <c r="D698" s="6"/>
      <c r="E698" s="9"/>
      <c r="F698" s="9"/>
      <c r="G698" s="11"/>
      <c r="H698" s="5"/>
      <c r="I698" s="8"/>
      <c r="J698" s="8"/>
    </row>
    <row r="699" spans="2:10" ht="12.75" x14ac:dyDescent="0.2">
      <c r="B699" s="6"/>
      <c r="C699" s="6"/>
      <c r="D699" s="6"/>
      <c r="E699" s="9"/>
      <c r="F699" s="9"/>
      <c r="G699" s="11"/>
      <c r="H699" s="5"/>
      <c r="I699" s="8"/>
      <c r="J699" s="8"/>
    </row>
    <row r="700" spans="2:10" ht="12.75" x14ac:dyDescent="0.2">
      <c r="B700" s="6"/>
      <c r="C700" s="6"/>
      <c r="D700" s="6"/>
      <c r="E700" s="9"/>
      <c r="F700" s="9"/>
      <c r="G700" s="11"/>
      <c r="H700" s="5"/>
      <c r="I700" s="8"/>
      <c r="J700" s="8"/>
    </row>
    <row r="701" spans="2:10" ht="12.75" x14ac:dyDescent="0.2">
      <c r="B701" s="6"/>
      <c r="C701" s="6"/>
      <c r="D701" s="6"/>
      <c r="E701" s="9"/>
      <c r="F701" s="9"/>
      <c r="G701" s="11"/>
      <c r="H701" s="5"/>
      <c r="I701" s="8"/>
      <c r="J701" s="8"/>
    </row>
    <row r="702" spans="2:10" ht="12.75" x14ac:dyDescent="0.2">
      <c r="B702" s="6"/>
      <c r="C702" s="6"/>
      <c r="D702" s="6"/>
      <c r="E702" s="9"/>
      <c r="F702" s="9"/>
      <c r="G702" s="11"/>
      <c r="H702" s="5"/>
      <c r="I702" s="8"/>
      <c r="J702" s="8"/>
    </row>
    <row r="703" spans="2:10" ht="12.75" x14ac:dyDescent="0.2">
      <c r="B703" s="6"/>
      <c r="C703" s="6"/>
      <c r="D703" s="6"/>
      <c r="E703" s="9"/>
      <c r="F703" s="9"/>
      <c r="G703" s="11"/>
      <c r="H703" s="5"/>
      <c r="I703" s="8"/>
      <c r="J703" s="8"/>
    </row>
    <row r="704" spans="2:10" ht="12.75" x14ac:dyDescent="0.2">
      <c r="B704" s="6"/>
      <c r="C704" s="6"/>
      <c r="D704" s="6"/>
      <c r="E704" s="9"/>
      <c r="F704" s="9"/>
      <c r="G704" s="11"/>
      <c r="H704" s="5"/>
      <c r="I704" s="8"/>
      <c r="J704" s="8"/>
    </row>
    <row r="705" spans="2:10" ht="12.75" x14ac:dyDescent="0.2">
      <c r="B705" s="6"/>
      <c r="C705" s="6"/>
      <c r="D705" s="6"/>
      <c r="E705" s="9"/>
      <c r="F705" s="9"/>
      <c r="G705" s="11"/>
      <c r="H705" s="5"/>
      <c r="I705" s="8"/>
      <c r="J705" s="8"/>
    </row>
    <row r="706" spans="2:10" ht="12.75" x14ac:dyDescent="0.2">
      <c r="B706" s="6"/>
      <c r="C706" s="6"/>
      <c r="D706" s="6"/>
      <c r="E706" s="9"/>
      <c r="F706" s="9"/>
      <c r="G706" s="11"/>
      <c r="H706" s="5"/>
      <c r="I706" s="8"/>
      <c r="J706" s="8"/>
    </row>
    <row r="707" spans="2:10" ht="12.75" x14ac:dyDescent="0.2">
      <c r="B707" s="6"/>
      <c r="C707" s="6"/>
      <c r="D707" s="6"/>
      <c r="E707" s="9"/>
      <c r="F707" s="9"/>
      <c r="G707" s="11"/>
      <c r="H707" s="5"/>
      <c r="I707" s="8"/>
      <c r="J707" s="8"/>
    </row>
    <row r="708" spans="2:10" ht="12.75" x14ac:dyDescent="0.2">
      <c r="B708" s="6"/>
      <c r="C708" s="6"/>
      <c r="D708" s="6"/>
      <c r="E708" s="9"/>
      <c r="F708" s="9"/>
      <c r="G708" s="11"/>
      <c r="H708" s="5"/>
      <c r="I708" s="8"/>
      <c r="J708" s="8"/>
    </row>
    <row r="709" spans="2:10" ht="12.75" x14ac:dyDescent="0.2">
      <c r="B709" s="6"/>
      <c r="C709" s="6"/>
      <c r="D709" s="6"/>
      <c r="E709" s="9"/>
      <c r="F709" s="9"/>
      <c r="G709" s="11"/>
      <c r="H709" s="5"/>
      <c r="I709" s="8"/>
      <c r="J709" s="8"/>
    </row>
    <row r="710" spans="2:10" ht="12.75" x14ac:dyDescent="0.2">
      <c r="B710" s="6"/>
      <c r="C710" s="6"/>
      <c r="D710" s="6"/>
      <c r="E710" s="9"/>
      <c r="F710" s="9"/>
      <c r="G710" s="11"/>
      <c r="H710" s="5"/>
      <c r="I710" s="8"/>
      <c r="J710" s="8"/>
    </row>
    <row r="711" spans="2:10" ht="12.75" x14ac:dyDescent="0.2">
      <c r="B711" s="6"/>
      <c r="C711" s="6"/>
      <c r="D711" s="6"/>
      <c r="E711" s="9"/>
      <c r="F711" s="9"/>
      <c r="G711" s="11"/>
      <c r="H711" s="5"/>
      <c r="I711" s="8"/>
      <c r="J711" s="8"/>
    </row>
    <row r="712" spans="2:10" ht="12.75" x14ac:dyDescent="0.2">
      <c r="B712" s="6"/>
      <c r="C712" s="6"/>
      <c r="D712" s="6"/>
      <c r="E712" s="9"/>
      <c r="F712" s="9"/>
      <c r="G712" s="11"/>
      <c r="H712" s="5"/>
      <c r="I712" s="8"/>
      <c r="J712" s="8"/>
    </row>
    <row r="713" spans="2:10" ht="12.75" x14ac:dyDescent="0.2">
      <c r="B713" s="6"/>
      <c r="C713" s="6"/>
      <c r="D713" s="6"/>
      <c r="E713" s="9"/>
      <c r="F713" s="9"/>
      <c r="G713" s="11"/>
      <c r="H713" s="5"/>
      <c r="I713" s="8"/>
      <c r="J713" s="8"/>
    </row>
    <row r="714" spans="2:10" ht="12.75" x14ac:dyDescent="0.2">
      <c r="B714" s="6"/>
      <c r="C714" s="6"/>
      <c r="D714" s="6"/>
      <c r="E714" s="9"/>
      <c r="F714" s="9"/>
      <c r="G714" s="11"/>
      <c r="H714" s="5"/>
      <c r="I714" s="8"/>
      <c r="J714" s="8"/>
    </row>
    <row r="715" spans="2:10" ht="12.75" x14ac:dyDescent="0.2">
      <c r="B715" s="6"/>
      <c r="C715" s="6"/>
      <c r="D715" s="6"/>
      <c r="E715" s="9"/>
      <c r="F715" s="9"/>
      <c r="G715" s="11"/>
      <c r="H715" s="5"/>
      <c r="I715" s="8"/>
      <c r="J715" s="8"/>
    </row>
    <row r="716" spans="2:10" ht="12.75" x14ac:dyDescent="0.2">
      <c r="B716" s="6"/>
      <c r="C716" s="6"/>
      <c r="D716" s="6"/>
      <c r="E716" s="9"/>
      <c r="F716" s="9"/>
      <c r="G716" s="11"/>
      <c r="H716" s="5"/>
      <c r="I716" s="8"/>
      <c r="J716" s="8"/>
    </row>
    <row r="717" spans="2:10" ht="12.75" x14ac:dyDescent="0.2">
      <c r="B717" s="6"/>
      <c r="C717" s="6"/>
      <c r="D717" s="6"/>
      <c r="E717" s="9"/>
      <c r="F717" s="9"/>
      <c r="G717" s="11"/>
      <c r="H717" s="5"/>
      <c r="I717" s="8"/>
      <c r="J717" s="8"/>
    </row>
    <row r="718" spans="2:10" ht="12.75" x14ac:dyDescent="0.2">
      <c r="B718" s="6"/>
      <c r="C718" s="6"/>
      <c r="D718" s="6"/>
      <c r="E718" s="9"/>
      <c r="F718" s="9"/>
      <c r="G718" s="11"/>
      <c r="H718" s="5"/>
      <c r="I718" s="8"/>
      <c r="J718" s="8"/>
    </row>
    <row r="719" spans="2:10" ht="12.75" x14ac:dyDescent="0.2">
      <c r="B719" s="6"/>
      <c r="C719" s="6"/>
      <c r="D719" s="6"/>
      <c r="E719" s="9"/>
      <c r="F719" s="9"/>
      <c r="G719" s="11"/>
      <c r="H719" s="5"/>
      <c r="I719" s="8"/>
      <c r="J719" s="8"/>
    </row>
    <row r="720" spans="2:10" ht="12.75" x14ac:dyDescent="0.2">
      <c r="B720" s="6"/>
      <c r="C720" s="6"/>
      <c r="D720" s="6"/>
      <c r="E720" s="9"/>
      <c r="F720" s="9"/>
      <c r="G720" s="11"/>
      <c r="H720" s="5"/>
      <c r="I720" s="8"/>
      <c r="J720" s="8"/>
    </row>
    <row r="721" spans="2:10" ht="12.75" x14ac:dyDescent="0.2">
      <c r="B721" s="6"/>
      <c r="C721" s="6"/>
      <c r="D721" s="6"/>
      <c r="E721" s="9"/>
      <c r="F721" s="9"/>
      <c r="G721" s="11"/>
      <c r="H721" s="5"/>
      <c r="I721" s="8"/>
      <c r="J721" s="8"/>
    </row>
    <row r="722" spans="2:10" ht="12.75" x14ac:dyDescent="0.2">
      <c r="B722" s="6"/>
      <c r="C722" s="6"/>
      <c r="D722" s="6"/>
      <c r="E722" s="9"/>
      <c r="F722" s="9"/>
      <c r="G722" s="11"/>
      <c r="H722" s="5"/>
      <c r="I722" s="8"/>
      <c r="J722" s="8"/>
    </row>
    <row r="723" spans="2:10" ht="12.75" x14ac:dyDescent="0.2">
      <c r="B723" s="6"/>
      <c r="C723" s="6"/>
      <c r="D723" s="6"/>
      <c r="E723" s="9"/>
      <c r="F723" s="9"/>
      <c r="G723" s="11"/>
      <c r="H723" s="5"/>
      <c r="I723" s="8"/>
      <c r="J723" s="8"/>
    </row>
    <row r="724" spans="2:10" ht="12.75" x14ac:dyDescent="0.2">
      <c r="B724" s="6"/>
      <c r="C724" s="6"/>
      <c r="D724" s="6"/>
      <c r="E724" s="9"/>
      <c r="F724" s="9"/>
      <c r="G724" s="11"/>
      <c r="H724" s="5"/>
      <c r="I724" s="8"/>
      <c r="J724" s="8"/>
    </row>
    <row r="725" spans="2:10" ht="12.75" x14ac:dyDescent="0.2">
      <c r="B725" s="6"/>
      <c r="C725" s="6"/>
      <c r="D725" s="6"/>
      <c r="E725" s="9"/>
      <c r="F725" s="9"/>
      <c r="G725" s="11"/>
      <c r="H725" s="5"/>
      <c r="I725" s="8"/>
      <c r="J725" s="8"/>
    </row>
    <row r="726" spans="2:10" ht="12.75" x14ac:dyDescent="0.2">
      <c r="B726" s="6"/>
      <c r="C726" s="6"/>
      <c r="D726" s="6"/>
      <c r="E726" s="9"/>
      <c r="F726" s="9"/>
      <c r="G726" s="11"/>
      <c r="H726" s="5"/>
      <c r="I726" s="8"/>
      <c r="J726" s="8"/>
    </row>
    <row r="727" spans="2:10" ht="12.75" x14ac:dyDescent="0.2">
      <c r="B727" s="6"/>
      <c r="C727" s="6"/>
      <c r="D727" s="6"/>
      <c r="E727" s="9"/>
      <c r="F727" s="9"/>
      <c r="G727" s="11"/>
      <c r="H727" s="5"/>
      <c r="I727" s="8"/>
      <c r="J727" s="8"/>
    </row>
    <row r="728" spans="2:10" ht="12.75" x14ac:dyDescent="0.2">
      <c r="B728" s="6"/>
      <c r="C728" s="6"/>
      <c r="D728" s="6"/>
      <c r="E728" s="9"/>
      <c r="F728" s="9"/>
      <c r="G728" s="11"/>
      <c r="H728" s="5"/>
      <c r="I728" s="8"/>
      <c r="J728" s="8"/>
    </row>
    <row r="729" spans="2:10" ht="12.75" x14ac:dyDescent="0.2">
      <c r="B729" s="6"/>
      <c r="C729" s="6"/>
      <c r="D729" s="6"/>
      <c r="E729" s="9"/>
      <c r="F729" s="9"/>
      <c r="G729" s="11"/>
      <c r="H729" s="5"/>
      <c r="I729" s="8"/>
      <c r="J729" s="8"/>
    </row>
    <row r="730" spans="2:10" ht="12.75" x14ac:dyDescent="0.2">
      <c r="B730" s="6"/>
      <c r="C730" s="6"/>
      <c r="D730" s="6"/>
      <c r="E730" s="9"/>
      <c r="F730" s="9"/>
      <c r="G730" s="11"/>
      <c r="H730" s="5"/>
      <c r="I730" s="8"/>
      <c r="J730" s="8"/>
    </row>
    <row r="731" spans="2:10" ht="12.75" x14ac:dyDescent="0.2">
      <c r="B731" s="6"/>
      <c r="C731" s="6"/>
      <c r="D731" s="6"/>
      <c r="E731" s="9"/>
      <c r="F731" s="9"/>
      <c r="G731" s="11"/>
      <c r="H731" s="5"/>
      <c r="I731" s="8"/>
      <c r="J731" s="8"/>
    </row>
    <row r="732" spans="2:10" ht="12.75" x14ac:dyDescent="0.2">
      <c r="B732" s="6"/>
      <c r="C732" s="6"/>
      <c r="D732" s="6"/>
      <c r="E732" s="9"/>
      <c r="F732" s="9"/>
      <c r="G732" s="11"/>
      <c r="H732" s="5"/>
      <c r="I732" s="8"/>
      <c r="J732" s="8"/>
    </row>
    <row r="733" spans="2:10" ht="12.75" x14ac:dyDescent="0.2">
      <c r="B733" s="6"/>
      <c r="C733" s="6"/>
      <c r="D733" s="6"/>
      <c r="E733" s="9"/>
      <c r="F733" s="9"/>
      <c r="G733" s="11"/>
      <c r="H733" s="5"/>
      <c r="I733" s="8"/>
      <c r="J733" s="8"/>
    </row>
    <row r="734" spans="2:10" ht="12.75" x14ac:dyDescent="0.2">
      <c r="B734" s="6"/>
      <c r="C734" s="6"/>
      <c r="D734" s="6"/>
      <c r="E734" s="9"/>
      <c r="F734" s="9"/>
      <c r="G734" s="11"/>
      <c r="H734" s="5"/>
      <c r="I734" s="8"/>
      <c r="J734" s="8"/>
    </row>
    <row r="735" spans="2:10" ht="12.75" x14ac:dyDescent="0.2">
      <c r="B735" s="6"/>
      <c r="C735" s="6"/>
      <c r="D735" s="6"/>
      <c r="E735" s="9"/>
      <c r="F735" s="9"/>
      <c r="G735" s="11"/>
      <c r="H735" s="5"/>
      <c r="I735" s="8"/>
      <c r="J735" s="8"/>
    </row>
    <row r="736" spans="2:10" ht="12.75" x14ac:dyDescent="0.2">
      <c r="B736" s="6"/>
      <c r="C736" s="6"/>
      <c r="D736" s="6"/>
      <c r="E736" s="9"/>
      <c r="F736" s="9"/>
      <c r="G736" s="11"/>
      <c r="H736" s="5"/>
      <c r="I736" s="8"/>
      <c r="J736" s="8"/>
    </row>
    <row r="737" spans="2:10" ht="12.75" x14ac:dyDescent="0.2">
      <c r="B737" s="6"/>
      <c r="C737" s="6"/>
      <c r="D737" s="6"/>
      <c r="E737" s="9"/>
      <c r="F737" s="9"/>
      <c r="G737" s="11"/>
      <c r="H737" s="5"/>
      <c r="I737" s="8"/>
      <c r="J737" s="8"/>
    </row>
    <row r="738" spans="2:10" ht="12.75" x14ac:dyDescent="0.2">
      <c r="B738" s="6"/>
      <c r="C738" s="6"/>
      <c r="D738" s="6"/>
      <c r="E738" s="9"/>
      <c r="F738" s="9"/>
      <c r="G738" s="11"/>
      <c r="H738" s="5"/>
      <c r="I738" s="8"/>
      <c r="J738" s="8"/>
    </row>
    <row r="739" spans="2:10" ht="12.75" x14ac:dyDescent="0.2">
      <c r="B739" s="6"/>
      <c r="C739" s="6"/>
      <c r="D739" s="6"/>
      <c r="E739" s="9"/>
      <c r="F739" s="9"/>
      <c r="G739" s="11"/>
      <c r="H739" s="5"/>
      <c r="I739" s="8"/>
      <c r="J739" s="8"/>
    </row>
    <row r="740" spans="2:10" ht="12.75" x14ac:dyDescent="0.2">
      <c r="B740" s="6"/>
      <c r="C740" s="6"/>
      <c r="D740" s="6"/>
      <c r="E740" s="9"/>
      <c r="F740" s="9"/>
      <c r="G740" s="11"/>
      <c r="H740" s="5"/>
      <c r="I740" s="8"/>
      <c r="J740" s="8"/>
    </row>
    <row r="741" spans="2:10" ht="12.75" x14ac:dyDescent="0.2">
      <c r="B741" s="6"/>
      <c r="C741" s="6"/>
      <c r="D741" s="6"/>
      <c r="E741" s="9"/>
      <c r="F741" s="9"/>
      <c r="G741" s="11"/>
      <c r="H741" s="5"/>
      <c r="I741" s="8"/>
      <c r="J741" s="8"/>
    </row>
    <row r="742" spans="2:10" ht="12.75" x14ac:dyDescent="0.2">
      <c r="B742" s="6"/>
      <c r="C742" s="6"/>
      <c r="D742" s="6"/>
      <c r="E742" s="9"/>
      <c r="F742" s="9"/>
      <c r="G742" s="11"/>
      <c r="H742" s="5"/>
      <c r="I742" s="8"/>
      <c r="J742" s="8"/>
    </row>
    <row r="743" spans="2:10" ht="12.75" x14ac:dyDescent="0.2">
      <c r="B743" s="6"/>
      <c r="C743" s="6"/>
      <c r="D743" s="6"/>
      <c r="E743" s="9"/>
      <c r="F743" s="9"/>
      <c r="G743" s="11"/>
      <c r="H743" s="5"/>
      <c r="I743" s="8"/>
      <c r="J743" s="8"/>
    </row>
    <row r="744" spans="2:10" ht="12.75" x14ac:dyDescent="0.2">
      <c r="B744" s="6"/>
      <c r="C744" s="6"/>
      <c r="D744" s="6"/>
      <c r="E744" s="9"/>
      <c r="F744" s="9"/>
      <c r="G744" s="11"/>
      <c r="H744" s="5"/>
      <c r="I744" s="8"/>
      <c r="J744" s="8"/>
    </row>
    <row r="745" spans="2:10" ht="12.75" x14ac:dyDescent="0.2">
      <c r="B745" s="6"/>
      <c r="C745" s="6"/>
      <c r="D745" s="6"/>
      <c r="E745" s="9"/>
      <c r="F745" s="9"/>
      <c r="G745" s="11"/>
      <c r="H745" s="5"/>
      <c r="I745" s="8"/>
      <c r="J745" s="8"/>
    </row>
    <row r="746" spans="2:10" ht="12.75" x14ac:dyDescent="0.2">
      <c r="B746" s="6"/>
      <c r="C746" s="6"/>
      <c r="D746" s="6"/>
      <c r="E746" s="9"/>
      <c r="F746" s="9"/>
      <c r="G746" s="11"/>
      <c r="H746" s="5"/>
      <c r="I746" s="8"/>
      <c r="J746" s="8"/>
    </row>
    <row r="747" spans="2:10" ht="12.75" x14ac:dyDescent="0.2">
      <c r="B747" s="6"/>
      <c r="C747" s="6"/>
      <c r="D747" s="6"/>
      <c r="E747" s="9"/>
      <c r="F747" s="9"/>
      <c r="G747" s="11"/>
      <c r="H747" s="5"/>
      <c r="I747" s="8"/>
      <c r="J747" s="8"/>
    </row>
    <row r="748" spans="2:10" ht="12.75" x14ac:dyDescent="0.2">
      <c r="B748" s="6"/>
      <c r="C748" s="6"/>
      <c r="D748" s="6"/>
      <c r="E748" s="9"/>
      <c r="F748" s="9"/>
      <c r="G748" s="11"/>
      <c r="H748" s="5"/>
      <c r="I748" s="8"/>
      <c r="J748" s="8"/>
    </row>
    <row r="749" spans="2:10" ht="12.75" x14ac:dyDescent="0.2">
      <c r="B749" s="6"/>
      <c r="C749" s="6"/>
      <c r="D749" s="6"/>
      <c r="E749" s="9"/>
      <c r="F749" s="9"/>
      <c r="G749" s="11"/>
      <c r="H749" s="5"/>
      <c r="I749" s="8"/>
      <c r="J749" s="8"/>
    </row>
    <row r="750" spans="2:10" ht="12.75" x14ac:dyDescent="0.2">
      <c r="B750" s="6"/>
      <c r="C750" s="6"/>
      <c r="D750" s="6"/>
      <c r="E750" s="9"/>
      <c r="F750" s="9"/>
      <c r="G750" s="11"/>
      <c r="H750" s="5"/>
      <c r="I750" s="8"/>
      <c r="J750" s="8"/>
    </row>
    <row r="751" spans="2:10" ht="12.75" x14ac:dyDescent="0.2">
      <c r="B751" s="6"/>
      <c r="C751" s="6"/>
      <c r="D751" s="6"/>
      <c r="E751" s="9"/>
      <c r="F751" s="9"/>
      <c r="G751" s="11"/>
      <c r="H751" s="5"/>
      <c r="I751" s="8"/>
      <c r="J751" s="8"/>
    </row>
    <row r="752" spans="2:10" ht="12.75" x14ac:dyDescent="0.2">
      <c r="B752" s="6"/>
      <c r="C752" s="6"/>
      <c r="D752" s="6"/>
      <c r="E752" s="9"/>
      <c r="F752" s="9"/>
      <c r="G752" s="11"/>
      <c r="H752" s="5"/>
      <c r="I752" s="8"/>
      <c r="J752" s="8"/>
    </row>
    <row r="753" spans="2:10" ht="12.75" x14ac:dyDescent="0.2">
      <c r="B753" s="6"/>
      <c r="C753" s="6"/>
      <c r="D753" s="6"/>
      <c r="E753" s="9"/>
      <c r="F753" s="9"/>
      <c r="G753" s="11"/>
      <c r="H753" s="5"/>
      <c r="I753" s="8"/>
      <c r="J753" s="8"/>
    </row>
    <row r="754" spans="2:10" ht="12.75" x14ac:dyDescent="0.2">
      <c r="B754" s="6"/>
      <c r="C754" s="6"/>
      <c r="D754" s="6"/>
      <c r="E754" s="9"/>
      <c r="F754" s="9"/>
      <c r="G754" s="11"/>
      <c r="H754" s="5"/>
      <c r="I754" s="8"/>
      <c r="J754" s="8"/>
    </row>
    <row r="755" spans="2:10" ht="12.75" x14ac:dyDescent="0.2">
      <c r="B755" s="6"/>
      <c r="C755" s="6"/>
      <c r="D755" s="6"/>
      <c r="E755" s="9"/>
      <c r="F755" s="9"/>
      <c r="G755" s="11"/>
      <c r="H755" s="5"/>
      <c r="I755" s="8"/>
      <c r="J755" s="8"/>
    </row>
    <row r="756" spans="2:10" ht="12.75" x14ac:dyDescent="0.2">
      <c r="B756" s="6"/>
      <c r="C756" s="6"/>
      <c r="D756" s="6"/>
      <c r="E756" s="9"/>
      <c r="F756" s="9"/>
      <c r="G756" s="11"/>
      <c r="H756" s="5"/>
      <c r="I756" s="8"/>
      <c r="J756" s="8"/>
    </row>
    <row r="757" spans="2:10" ht="12.75" x14ac:dyDescent="0.2">
      <c r="B757" s="6"/>
      <c r="C757" s="6"/>
      <c r="D757" s="6"/>
      <c r="E757" s="9"/>
      <c r="F757" s="9"/>
      <c r="G757" s="11"/>
      <c r="H757" s="5"/>
      <c r="I757" s="8"/>
      <c r="J757" s="8"/>
    </row>
    <row r="758" spans="2:10" ht="12.75" x14ac:dyDescent="0.2">
      <c r="B758" s="6"/>
      <c r="C758" s="6"/>
      <c r="D758" s="6"/>
      <c r="E758" s="9"/>
      <c r="F758" s="9"/>
      <c r="G758" s="11"/>
      <c r="H758" s="5"/>
      <c r="I758" s="8"/>
      <c r="J758" s="8"/>
    </row>
    <row r="759" spans="2:10" ht="12.75" x14ac:dyDescent="0.2">
      <c r="B759" s="6"/>
      <c r="C759" s="6"/>
      <c r="D759" s="6"/>
      <c r="E759" s="9"/>
      <c r="F759" s="9"/>
      <c r="G759" s="11"/>
      <c r="H759" s="5"/>
      <c r="I759" s="8"/>
      <c r="J759" s="8"/>
    </row>
    <row r="760" spans="2:10" ht="12.75" x14ac:dyDescent="0.2">
      <c r="B760" s="6"/>
      <c r="C760" s="6"/>
      <c r="D760" s="6"/>
      <c r="E760" s="9"/>
      <c r="F760" s="9"/>
      <c r="G760" s="11"/>
      <c r="H760" s="5"/>
      <c r="I760" s="8"/>
      <c r="J760" s="8"/>
    </row>
    <row r="761" spans="2:10" ht="12.75" x14ac:dyDescent="0.2">
      <c r="B761" s="6"/>
      <c r="C761" s="6"/>
      <c r="D761" s="6"/>
      <c r="E761" s="9"/>
      <c r="F761" s="9"/>
      <c r="G761" s="11"/>
      <c r="H761" s="5"/>
      <c r="I761" s="8"/>
      <c r="J761" s="8"/>
    </row>
    <row r="762" spans="2:10" ht="12.75" x14ac:dyDescent="0.2">
      <c r="B762" s="6"/>
      <c r="C762" s="6"/>
      <c r="D762" s="6"/>
      <c r="E762" s="9"/>
      <c r="F762" s="9"/>
      <c r="G762" s="11"/>
      <c r="H762" s="5"/>
      <c r="I762" s="8"/>
      <c r="J762" s="8"/>
    </row>
    <row r="763" spans="2:10" ht="12.75" x14ac:dyDescent="0.2">
      <c r="B763" s="6"/>
      <c r="C763" s="6"/>
      <c r="D763" s="6"/>
      <c r="E763" s="9"/>
      <c r="F763" s="9"/>
      <c r="G763" s="11"/>
      <c r="H763" s="5"/>
      <c r="I763" s="8"/>
      <c r="J763" s="8"/>
    </row>
    <row r="764" spans="2:10" ht="12.75" x14ac:dyDescent="0.2">
      <c r="B764" s="6"/>
      <c r="C764" s="6"/>
      <c r="D764" s="6"/>
      <c r="E764" s="9"/>
      <c r="F764" s="9"/>
      <c r="G764" s="11"/>
      <c r="H764" s="5"/>
      <c r="I764" s="8"/>
      <c r="J764" s="8"/>
    </row>
    <row r="765" spans="2:10" ht="12.75" x14ac:dyDescent="0.2">
      <c r="B765" s="6"/>
      <c r="C765" s="6"/>
      <c r="D765" s="6"/>
      <c r="E765" s="9"/>
      <c r="F765" s="9"/>
      <c r="G765" s="11"/>
      <c r="H765" s="5"/>
      <c r="I765" s="8"/>
      <c r="J765" s="8"/>
    </row>
    <row r="766" spans="2:10" ht="12.75" x14ac:dyDescent="0.2">
      <c r="B766" s="6"/>
      <c r="C766" s="6"/>
      <c r="D766" s="6"/>
      <c r="E766" s="9"/>
      <c r="F766" s="9"/>
      <c r="G766" s="11"/>
      <c r="H766" s="5"/>
      <c r="I766" s="8"/>
      <c r="J766" s="8"/>
    </row>
    <row r="767" spans="2:10" ht="12.75" x14ac:dyDescent="0.2">
      <c r="B767" s="6"/>
      <c r="C767" s="6"/>
      <c r="D767" s="6"/>
      <c r="E767" s="9"/>
      <c r="F767" s="9"/>
      <c r="G767" s="11"/>
      <c r="H767" s="5"/>
      <c r="I767" s="8"/>
      <c r="J767" s="8"/>
    </row>
    <row r="768" spans="2:10" ht="12.75" x14ac:dyDescent="0.2">
      <c r="B768" s="6"/>
      <c r="C768" s="6"/>
      <c r="D768" s="6"/>
      <c r="E768" s="9"/>
      <c r="F768" s="9"/>
      <c r="G768" s="11"/>
      <c r="H768" s="5"/>
      <c r="I768" s="8"/>
      <c r="J768" s="8"/>
    </row>
    <row r="769" spans="2:10" ht="12.75" x14ac:dyDescent="0.2">
      <c r="B769" s="6"/>
      <c r="C769" s="6"/>
      <c r="D769" s="6"/>
      <c r="E769" s="9"/>
      <c r="F769" s="9"/>
      <c r="G769" s="11"/>
      <c r="H769" s="5"/>
      <c r="I769" s="8"/>
      <c r="J769" s="8"/>
    </row>
    <row r="770" spans="2:10" ht="12.75" x14ac:dyDescent="0.2">
      <c r="B770" s="6"/>
      <c r="C770" s="6"/>
      <c r="D770" s="6"/>
      <c r="E770" s="9"/>
      <c r="F770" s="9"/>
      <c r="G770" s="11"/>
      <c r="H770" s="5"/>
      <c r="I770" s="8"/>
      <c r="J770" s="8"/>
    </row>
    <row r="771" spans="2:10" ht="12.75" x14ac:dyDescent="0.2">
      <c r="B771" s="6"/>
      <c r="C771" s="6"/>
      <c r="D771" s="6"/>
      <c r="E771" s="9"/>
      <c r="F771" s="9"/>
      <c r="G771" s="11"/>
      <c r="H771" s="5"/>
      <c r="I771" s="8"/>
      <c r="J771" s="8"/>
    </row>
    <row r="772" spans="2:10" ht="12.75" x14ac:dyDescent="0.2">
      <c r="B772" s="6"/>
      <c r="C772" s="6"/>
      <c r="D772" s="6"/>
      <c r="E772" s="9"/>
      <c r="F772" s="9"/>
      <c r="G772" s="11"/>
      <c r="H772" s="5"/>
      <c r="I772" s="8"/>
      <c r="J772" s="8"/>
    </row>
    <row r="773" spans="2:10" ht="12.75" x14ac:dyDescent="0.2">
      <c r="B773" s="6"/>
      <c r="C773" s="6"/>
      <c r="D773" s="6"/>
      <c r="E773" s="9"/>
      <c r="F773" s="9"/>
      <c r="G773" s="11"/>
      <c r="H773" s="5"/>
      <c r="I773" s="8"/>
      <c r="J773" s="8"/>
    </row>
    <row r="774" spans="2:10" ht="12.75" x14ac:dyDescent="0.2">
      <c r="B774" s="6"/>
      <c r="C774" s="6"/>
      <c r="D774" s="6"/>
      <c r="E774" s="9"/>
      <c r="F774" s="9"/>
      <c r="G774" s="11"/>
      <c r="H774" s="5"/>
      <c r="I774" s="8"/>
      <c r="J774" s="8"/>
    </row>
    <row r="775" spans="2:10" ht="12.75" x14ac:dyDescent="0.2">
      <c r="B775" s="6"/>
      <c r="C775" s="6"/>
      <c r="D775" s="6"/>
      <c r="E775" s="9"/>
      <c r="F775" s="9"/>
      <c r="G775" s="11"/>
      <c r="H775" s="5"/>
      <c r="I775" s="8"/>
      <c r="J775" s="8"/>
    </row>
    <row r="776" spans="2:10" ht="12.75" x14ac:dyDescent="0.2">
      <c r="B776" s="6"/>
      <c r="C776" s="6"/>
      <c r="D776" s="6"/>
      <c r="E776" s="9"/>
      <c r="F776" s="9"/>
      <c r="G776" s="11"/>
      <c r="H776" s="5"/>
      <c r="I776" s="8"/>
      <c r="J776" s="8"/>
    </row>
    <row r="777" spans="2:10" ht="12.75" x14ac:dyDescent="0.2">
      <c r="B777" s="6"/>
      <c r="C777" s="6"/>
      <c r="D777" s="6"/>
      <c r="E777" s="9"/>
      <c r="F777" s="9"/>
      <c r="G777" s="11"/>
      <c r="H777" s="5"/>
      <c r="I777" s="8"/>
      <c r="J777" s="8"/>
    </row>
    <row r="778" spans="2:10" ht="12.75" x14ac:dyDescent="0.2">
      <c r="B778" s="6"/>
      <c r="C778" s="6"/>
      <c r="D778" s="6"/>
      <c r="E778" s="9"/>
      <c r="F778" s="9"/>
      <c r="G778" s="11"/>
      <c r="H778" s="5"/>
      <c r="I778" s="8"/>
      <c r="J778" s="8"/>
    </row>
    <row r="779" spans="2:10" ht="12.75" x14ac:dyDescent="0.2">
      <c r="B779" s="6"/>
      <c r="C779" s="6"/>
      <c r="D779" s="6"/>
      <c r="E779" s="9"/>
      <c r="F779" s="9"/>
      <c r="G779" s="11"/>
      <c r="H779" s="5"/>
      <c r="I779" s="8"/>
      <c r="J779" s="8"/>
    </row>
    <row r="780" spans="2:10" ht="12.75" x14ac:dyDescent="0.2">
      <c r="B780" s="6"/>
      <c r="C780" s="6"/>
      <c r="D780" s="6"/>
      <c r="E780" s="9"/>
      <c r="F780" s="9"/>
      <c r="G780" s="11"/>
      <c r="H780" s="5"/>
      <c r="I780" s="8"/>
      <c r="J780" s="8"/>
    </row>
    <row r="781" spans="2:10" ht="12.75" x14ac:dyDescent="0.2">
      <c r="B781" s="6"/>
      <c r="C781" s="6"/>
      <c r="D781" s="6"/>
      <c r="E781" s="9"/>
      <c r="F781" s="9"/>
      <c r="G781" s="11"/>
      <c r="H781" s="5"/>
      <c r="I781" s="8"/>
      <c r="J781" s="8"/>
    </row>
    <row r="782" spans="2:10" ht="12.75" x14ac:dyDescent="0.2">
      <c r="B782" s="6"/>
      <c r="C782" s="6"/>
      <c r="D782" s="6"/>
      <c r="E782" s="9"/>
      <c r="F782" s="9"/>
      <c r="G782" s="11"/>
      <c r="H782" s="5"/>
      <c r="I782" s="8"/>
      <c r="J782" s="8"/>
    </row>
    <row r="783" spans="2:10" ht="12.75" x14ac:dyDescent="0.2">
      <c r="B783" s="6"/>
      <c r="C783" s="6"/>
      <c r="D783" s="6"/>
      <c r="E783" s="9"/>
      <c r="F783" s="9"/>
      <c r="G783" s="11"/>
      <c r="H783" s="5"/>
      <c r="I783" s="8"/>
      <c r="J783" s="8"/>
    </row>
    <row r="784" spans="2:10" ht="12.75" x14ac:dyDescent="0.2">
      <c r="B784" s="6"/>
      <c r="C784" s="6"/>
      <c r="D784" s="6"/>
      <c r="E784" s="9"/>
      <c r="F784" s="9"/>
      <c r="G784" s="11"/>
      <c r="H784" s="5"/>
      <c r="I784" s="8"/>
      <c r="J784" s="8"/>
    </row>
    <row r="785" spans="2:10" ht="12.75" x14ac:dyDescent="0.2">
      <c r="B785" s="6"/>
      <c r="C785" s="6"/>
      <c r="D785" s="6"/>
      <c r="E785" s="9"/>
      <c r="F785" s="9"/>
      <c r="G785" s="11"/>
      <c r="H785" s="5"/>
      <c r="I785" s="8"/>
      <c r="J785" s="8"/>
    </row>
    <row r="786" spans="2:10" ht="12.75" x14ac:dyDescent="0.2">
      <c r="B786" s="6"/>
      <c r="C786" s="6"/>
      <c r="D786" s="6"/>
      <c r="E786" s="9"/>
      <c r="F786" s="9"/>
      <c r="G786" s="11"/>
      <c r="H786" s="5"/>
      <c r="I786" s="8"/>
      <c r="J786" s="8"/>
    </row>
    <row r="787" spans="2:10" ht="12.75" x14ac:dyDescent="0.2">
      <c r="B787" s="6"/>
      <c r="C787" s="6"/>
      <c r="D787" s="6"/>
      <c r="E787" s="9"/>
      <c r="F787" s="9"/>
      <c r="G787" s="11"/>
      <c r="H787" s="5"/>
      <c r="I787" s="8"/>
      <c r="J787" s="8"/>
    </row>
    <row r="788" spans="2:10" ht="12.75" x14ac:dyDescent="0.2">
      <c r="B788" s="6"/>
      <c r="C788" s="6"/>
      <c r="D788" s="6"/>
      <c r="E788" s="9"/>
      <c r="F788" s="9"/>
      <c r="G788" s="11"/>
      <c r="H788" s="5"/>
      <c r="I788" s="8"/>
      <c r="J788" s="8"/>
    </row>
    <row r="789" spans="2:10" ht="12.75" x14ac:dyDescent="0.2">
      <c r="B789" s="6"/>
      <c r="C789" s="6"/>
      <c r="D789" s="6"/>
      <c r="E789" s="9"/>
      <c r="F789" s="9"/>
      <c r="G789" s="11"/>
      <c r="H789" s="5"/>
      <c r="I789" s="8"/>
      <c r="J789" s="8"/>
    </row>
    <row r="790" spans="2:10" ht="12.75" x14ac:dyDescent="0.2">
      <c r="B790" s="6"/>
      <c r="C790" s="6"/>
      <c r="D790" s="6"/>
      <c r="E790" s="9"/>
      <c r="F790" s="9"/>
      <c r="G790" s="11"/>
      <c r="H790" s="5"/>
      <c r="I790" s="8"/>
      <c r="J790" s="8"/>
    </row>
    <row r="791" spans="2:10" ht="12.75" x14ac:dyDescent="0.2">
      <c r="B791" s="6"/>
      <c r="C791" s="6"/>
      <c r="D791" s="6"/>
      <c r="E791" s="9"/>
      <c r="F791" s="9"/>
      <c r="G791" s="11"/>
      <c r="H791" s="5"/>
      <c r="I791" s="8"/>
      <c r="J791" s="8"/>
    </row>
    <row r="792" spans="2:10" ht="12.75" x14ac:dyDescent="0.2">
      <c r="B792" s="6"/>
      <c r="C792" s="6"/>
      <c r="D792" s="6"/>
      <c r="E792" s="9"/>
      <c r="F792" s="9"/>
      <c r="G792" s="11"/>
      <c r="H792" s="5"/>
      <c r="I792" s="8"/>
      <c r="J792" s="8"/>
    </row>
    <row r="793" spans="2:10" ht="12.75" x14ac:dyDescent="0.2">
      <c r="B793" s="6"/>
      <c r="C793" s="6"/>
      <c r="D793" s="6"/>
      <c r="E793" s="9"/>
      <c r="F793" s="9"/>
      <c r="G793" s="11"/>
      <c r="H793" s="5"/>
      <c r="I793" s="8"/>
      <c r="J793" s="8"/>
    </row>
    <row r="794" spans="2:10" ht="12.75" x14ac:dyDescent="0.2">
      <c r="B794" s="6"/>
      <c r="C794" s="6"/>
      <c r="D794" s="6"/>
      <c r="E794" s="9"/>
      <c r="F794" s="9"/>
      <c r="G794" s="11"/>
      <c r="H794" s="5"/>
      <c r="I794" s="8"/>
      <c r="J794" s="8"/>
    </row>
    <row r="795" spans="2:10" ht="12.75" x14ac:dyDescent="0.2">
      <c r="B795" s="6"/>
      <c r="C795" s="6"/>
      <c r="D795" s="6"/>
      <c r="E795" s="9"/>
      <c r="F795" s="9"/>
      <c r="G795" s="11"/>
      <c r="H795" s="5"/>
      <c r="I795" s="8"/>
      <c r="J795" s="8"/>
    </row>
    <row r="796" spans="2:10" ht="12.75" x14ac:dyDescent="0.2">
      <c r="B796" s="6"/>
      <c r="C796" s="6"/>
      <c r="D796" s="6"/>
      <c r="E796" s="9"/>
      <c r="F796" s="9"/>
      <c r="G796" s="11"/>
      <c r="H796" s="5"/>
      <c r="I796" s="8"/>
      <c r="J796" s="8"/>
    </row>
    <row r="797" spans="2:10" ht="12.75" x14ac:dyDescent="0.2">
      <c r="B797" s="6"/>
      <c r="C797" s="6"/>
      <c r="D797" s="6"/>
      <c r="E797" s="9"/>
      <c r="F797" s="9"/>
      <c r="G797" s="11"/>
      <c r="H797" s="5"/>
      <c r="I797" s="8"/>
      <c r="J797" s="8"/>
    </row>
    <row r="798" spans="2:10" ht="12.75" x14ac:dyDescent="0.2">
      <c r="B798" s="6"/>
      <c r="C798" s="6"/>
      <c r="D798" s="6"/>
      <c r="E798" s="9"/>
      <c r="F798" s="9"/>
      <c r="G798" s="11"/>
      <c r="H798" s="5"/>
      <c r="I798" s="8"/>
      <c r="J798" s="8"/>
    </row>
    <row r="799" spans="2:10" ht="12.75" x14ac:dyDescent="0.2">
      <c r="B799" s="6"/>
      <c r="C799" s="6"/>
      <c r="D799" s="6"/>
      <c r="E799" s="9"/>
      <c r="F799" s="9"/>
      <c r="G799" s="11"/>
      <c r="H799" s="5"/>
      <c r="I799" s="8"/>
      <c r="J799" s="8"/>
    </row>
    <row r="800" spans="2:10" ht="12.75" x14ac:dyDescent="0.2">
      <c r="B800" s="6"/>
      <c r="C800" s="6"/>
      <c r="D800" s="6"/>
      <c r="E800" s="9"/>
      <c r="F800" s="9"/>
      <c r="G800" s="11"/>
      <c r="H800" s="5"/>
      <c r="I800" s="8"/>
      <c r="J800" s="8"/>
    </row>
    <row r="801" spans="2:10" ht="12.75" x14ac:dyDescent="0.2">
      <c r="B801" s="6"/>
      <c r="C801" s="6"/>
      <c r="D801" s="6"/>
      <c r="E801" s="9"/>
      <c r="F801" s="9"/>
      <c r="G801" s="11"/>
      <c r="H801" s="5"/>
      <c r="I801" s="8"/>
      <c r="J801" s="8"/>
    </row>
    <row r="802" spans="2:10" ht="12.75" x14ac:dyDescent="0.2">
      <c r="B802" s="6"/>
      <c r="C802" s="6"/>
      <c r="D802" s="6"/>
      <c r="E802" s="9"/>
      <c r="F802" s="9"/>
      <c r="G802" s="11"/>
      <c r="H802" s="5"/>
      <c r="I802" s="8"/>
      <c r="J802" s="8"/>
    </row>
    <row r="803" spans="2:10" ht="12.75" x14ac:dyDescent="0.2">
      <c r="B803" s="6"/>
      <c r="C803" s="6"/>
      <c r="D803" s="6"/>
      <c r="E803" s="9"/>
      <c r="F803" s="9"/>
      <c r="G803" s="11"/>
      <c r="H803" s="5"/>
      <c r="I803" s="8"/>
      <c r="J803" s="8"/>
    </row>
    <row r="804" spans="2:10" ht="12.75" x14ac:dyDescent="0.2">
      <c r="B804" s="6"/>
      <c r="C804" s="6"/>
      <c r="D804" s="6"/>
      <c r="E804" s="9"/>
      <c r="F804" s="9"/>
      <c r="G804" s="11"/>
      <c r="H804" s="5"/>
      <c r="I804" s="8"/>
      <c r="J804" s="8"/>
    </row>
    <row r="805" spans="2:10" ht="12.75" x14ac:dyDescent="0.2">
      <c r="B805" s="6"/>
      <c r="C805" s="6"/>
      <c r="D805" s="6"/>
      <c r="E805" s="9"/>
      <c r="F805" s="9"/>
      <c r="G805" s="11"/>
      <c r="H805" s="5"/>
      <c r="I805" s="8"/>
      <c r="J805" s="8"/>
    </row>
    <row r="806" spans="2:10" ht="12.75" x14ac:dyDescent="0.2">
      <c r="B806" s="6"/>
      <c r="C806" s="6"/>
      <c r="D806" s="6"/>
      <c r="E806" s="9"/>
      <c r="F806" s="9"/>
      <c r="G806" s="11"/>
      <c r="H806" s="5"/>
      <c r="I806" s="8"/>
      <c r="J806" s="8"/>
    </row>
    <row r="807" spans="2:10" ht="12.75" x14ac:dyDescent="0.2">
      <c r="B807" s="6"/>
      <c r="C807" s="6"/>
      <c r="D807" s="6"/>
      <c r="E807" s="9"/>
      <c r="F807" s="9"/>
      <c r="G807" s="11"/>
      <c r="H807" s="5"/>
      <c r="I807" s="8"/>
      <c r="J807" s="8"/>
    </row>
    <row r="808" spans="2:10" ht="12.75" x14ac:dyDescent="0.2">
      <c r="B808" s="6"/>
      <c r="C808" s="6"/>
      <c r="D808" s="6"/>
      <c r="E808" s="9"/>
      <c r="F808" s="9"/>
      <c r="G808" s="11"/>
      <c r="H808" s="5"/>
      <c r="I808" s="8"/>
      <c r="J808" s="8"/>
    </row>
    <row r="809" spans="2:10" ht="12.75" x14ac:dyDescent="0.2">
      <c r="B809" s="6"/>
      <c r="C809" s="6"/>
      <c r="D809" s="6"/>
      <c r="E809" s="9"/>
      <c r="F809" s="9"/>
      <c r="G809" s="11"/>
      <c r="H809" s="5"/>
      <c r="I809" s="8"/>
      <c r="J809" s="8"/>
    </row>
    <row r="810" spans="2:10" ht="12.75" x14ac:dyDescent="0.2">
      <c r="B810" s="6"/>
      <c r="C810" s="6"/>
      <c r="D810" s="6"/>
      <c r="E810" s="9"/>
      <c r="F810" s="9"/>
      <c r="G810" s="11"/>
      <c r="H810" s="5"/>
      <c r="I810" s="8"/>
      <c r="J810" s="8"/>
    </row>
    <row r="811" spans="2:10" ht="12.75" x14ac:dyDescent="0.2">
      <c r="B811" s="6"/>
      <c r="C811" s="6"/>
      <c r="D811" s="6"/>
      <c r="E811" s="9"/>
      <c r="F811" s="9"/>
      <c r="G811" s="11"/>
      <c r="H811" s="5"/>
      <c r="I811" s="8"/>
      <c r="J811" s="8"/>
    </row>
    <row r="812" spans="2:10" ht="12.75" x14ac:dyDescent="0.2">
      <c r="B812" s="6"/>
      <c r="C812" s="6"/>
      <c r="D812" s="6"/>
      <c r="E812" s="9"/>
      <c r="F812" s="9"/>
      <c r="G812" s="11"/>
      <c r="H812" s="5"/>
      <c r="I812" s="8"/>
      <c r="J812" s="8"/>
    </row>
    <row r="813" spans="2:10" ht="12.75" x14ac:dyDescent="0.2">
      <c r="B813" s="6"/>
      <c r="C813" s="6"/>
      <c r="D813" s="6"/>
      <c r="E813" s="9"/>
      <c r="F813" s="9"/>
      <c r="G813" s="11"/>
      <c r="H813" s="5"/>
      <c r="I813" s="8"/>
      <c r="J813" s="8"/>
    </row>
    <row r="814" spans="2:10" ht="12.75" x14ac:dyDescent="0.2">
      <c r="B814" s="6"/>
      <c r="C814" s="6"/>
      <c r="D814" s="6"/>
      <c r="E814" s="9"/>
      <c r="F814" s="9"/>
      <c r="G814" s="11"/>
      <c r="H814" s="5"/>
      <c r="I814" s="8"/>
      <c r="J814" s="8"/>
    </row>
    <row r="815" spans="2:10" ht="12.75" x14ac:dyDescent="0.2">
      <c r="B815" s="6"/>
      <c r="C815" s="6"/>
      <c r="D815" s="6"/>
      <c r="E815" s="9"/>
      <c r="F815" s="9"/>
      <c r="G815" s="11"/>
      <c r="H815" s="5"/>
      <c r="I815" s="8"/>
      <c r="J815" s="8"/>
    </row>
    <row r="816" spans="2:10" ht="12.75" x14ac:dyDescent="0.2">
      <c r="B816" s="6"/>
      <c r="C816" s="6"/>
      <c r="D816" s="6"/>
      <c r="E816" s="9"/>
      <c r="F816" s="9"/>
      <c r="G816" s="11"/>
      <c r="H816" s="5"/>
      <c r="I816" s="8"/>
      <c r="J816" s="8"/>
    </row>
    <row r="817" spans="2:10" ht="12.75" x14ac:dyDescent="0.2">
      <c r="B817" s="6"/>
      <c r="C817" s="6"/>
      <c r="D817" s="6"/>
      <c r="E817" s="9"/>
      <c r="F817" s="9"/>
      <c r="G817" s="11"/>
      <c r="H817" s="5"/>
      <c r="I817" s="8"/>
      <c r="J817" s="8"/>
    </row>
    <row r="818" spans="2:10" ht="12.75" x14ac:dyDescent="0.2">
      <c r="B818" s="6"/>
      <c r="C818" s="6"/>
      <c r="D818" s="6"/>
      <c r="E818" s="9"/>
      <c r="F818" s="9"/>
      <c r="G818" s="11"/>
      <c r="H818" s="5"/>
      <c r="I818" s="8"/>
      <c r="J818" s="8"/>
    </row>
    <row r="819" spans="2:10" ht="12.75" x14ac:dyDescent="0.2">
      <c r="B819" s="6"/>
      <c r="C819" s="6"/>
      <c r="D819" s="6"/>
      <c r="E819" s="9"/>
      <c r="F819" s="9"/>
      <c r="G819" s="11"/>
      <c r="H819" s="5"/>
      <c r="I819" s="8"/>
      <c r="J819" s="8"/>
    </row>
    <row r="820" spans="2:10" ht="12.75" x14ac:dyDescent="0.2">
      <c r="B820" s="6"/>
      <c r="C820" s="6"/>
      <c r="D820" s="6"/>
      <c r="E820" s="9"/>
      <c r="F820" s="9"/>
      <c r="G820" s="11"/>
      <c r="H820" s="5"/>
      <c r="I820" s="8"/>
      <c r="J820" s="8"/>
    </row>
    <row r="821" spans="2:10" ht="12.75" x14ac:dyDescent="0.2">
      <c r="B821" s="6"/>
      <c r="C821" s="6"/>
      <c r="D821" s="6"/>
      <c r="E821" s="9"/>
      <c r="F821" s="9"/>
      <c r="G821" s="11"/>
      <c r="H821" s="5"/>
      <c r="I821" s="8"/>
      <c r="J821" s="8"/>
    </row>
    <row r="822" spans="2:10" ht="12.75" x14ac:dyDescent="0.2">
      <c r="B822" s="6"/>
      <c r="C822" s="6"/>
      <c r="D822" s="6"/>
      <c r="E822" s="9"/>
      <c r="F822" s="9"/>
      <c r="G822" s="11"/>
      <c r="H822" s="5"/>
      <c r="I822" s="8"/>
      <c r="J822" s="8"/>
    </row>
    <row r="823" spans="2:10" ht="12.75" x14ac:dyDescent="0.2">
      <c r="B823" s="6"/>
      <c r="C823" s="6"/>
      <c r="D823" s="6"/>
      <c r="E823" s="9"/>
      <c r="F823" s="9"/>
      <c r="G823" s="11"/>
      <c r="H823" s="5"/>
      <c r="I823" s="8"/>
      <c r="J823" s="8"/>
    </row>
    <row r="824" spans="2:10" ht="12.75" x14ac:dyDescent="0.2">
      <c r="B824" s="6"/>
      <c r="C824" s="6"/>
      <c r="D824" s="6"/>
      <c r="E824" s="9"/>
      <c r="F824" s="9"/>
      <c r="G824" s="11"/>
      <c r="H824" s="5"/>
      <c r="I824" s="8"/>
      <c r="J824" s="8"/>
    </row>
    <row r="825" spans="2:10" ht="12.75" x14ac:dyDescent="0.2">
      <c r="B825" s="6"/>
      <c r="C825" s="6"/>
      <c r="D825" s="6"/>
      <c r="E825" s="9"/>
      <c r="F825" s="9"/>
      <c r="G825" s="11"/>
      <c r="H825" s="5"/>
      <c r="I825" s="8"/>
      <c r="J825" s="8"/>
    </row>
    <row r="826" spans="2:10" ht="12.75" x14ac:dyDescent="0.2">
      <c r="B826" s="6"/>
      <c r="C826" s="6"/>
      <c r="D826" s="6"/>
      <c r="E826" s="9"/>
      <c r="F826" s="9"/>
      <c r="G826" s="11"/>
      <c r="H826" s="5"/>
      <c r="I826" s="8"/>
      <c r="J826" s="8"/>
    </row>
    <row r="827" spans="2:10" ht="12.75" x14ac:dyDescent="0.2">
      <c r="B827" s="6"/>
      <c r="C827" s="6"/>
      <c r="D827" s="6"/>
      <c r="E827" s="9"/>
      <c r="F827" s="9"/>
      <c r="G827" s="11"/>
      <c r="H827" s="5"/>
      <c r="I827" s="8"/>
      <c r="J827" s="8"/>
    </row>
    <row r="828" spans="2:10" ht="12.75" x14ac:dyDescent="0.2">
      <c r="B828" s="6"/>
      <c r="C828" s="6"/>
      <c r="D828" s="6"/>
      <c r="E828" s="9"/>
      <c r="F828" s="9"/>
      <c r="G828" s="11"/>
      <c r="H828" s="5"/>
      <c r="I828" s="8"/>
      <c r="J828" s="8"/>
    </row>
    <row r="829" spans="2:10" ht="12.75" x14ac:dyDescent="0.2">
      <c r="B829" s="6"/>
      <c r="C829" s="6"/>
      <c r="D829" s="6"/>
      <c r="E829" s="9"/>
      <c r="F829" s="9"/>
      <c r="G829" s="11"/>
      <c r="H829" s="5"/>
      <c r="I829" s="8"/>
      <c r="J829" s="8"/>
    </row>
    <row r="830" spans="2:10" ht="12.75" x14ac:dyDescent="0.2">
      <c r="B830" s="6"/>
      <c r="C830" s="6"/>
      <c r="D830" s="6"/>
      <c r="E830" s="9"/>
      <c r="F830" s="9"/>
      <c r="G830" s="11"/>
      <c r="H830" s="5"/>
      <c r="I830" s="8"/>
      <c r="J830" s="8"/>
    </row>
    <row r="831" spans="2:10" ht="12.75" x14ac:dyDescent="0.2">
      <c r="B831" s="6"/>
      <c r="C831" s="6"/>
      <c r="D831" s="6"/>
      <c r="E831" s="9"/>
      <c r="F831" s="9"/>
      <c r="G831" s="11"/>
      <c r="H831" s="5"/>
      <c r="I831" s="8"/>
      <c r="J831" s="8"/>
    </row>
    <row r="832" spans="2:10" ht="12.75" x14ac:dyDescent="0.2">
      <c r="B832" s="6"/>
      <c r="C832" s="6"/>
      <c r="D832" s="6"/>
      <c r="E832" s="9"/>
      <c r="F832" s="9"/>
      <c r="G832" s="11"/>
      <c r="H832" s="5"/>
      <c r="I832" s="8"/>
      <c r="J832" s="8"/>
    </row>
    <row r="833" spans="2:10" ht="12.75" x14ac:dyDescent="0.2">
      <c r="B833" s="6"/>
      <c r="C833" s="6"/>
      <c r="D833" s="6"/>
      <c r="E833" s="9"/>
      <c r="F833" s="9"/>
      <c r="G833" s="11"/>
      <c r="H833" s="5"/>
      <c r="I833" s="8"/>
      <c r="J833" s="8"/>
    </row>
    <row r="834" spans="2:10" ht="12.75" x14ac:dyDescent="0.2">
      <c r="B834" s="6"/>
      <c r="C834" s="6"/>
      <c r="D834" s="6"/>
      <c r="E834" s="9"/>
      <c r="F834" s="9"/>
      <c r="G834" s="11"/>
      <c r="H834" s="5"/>
      <c r="I834" s="8"/>
      <c r="J834" s="8"/>
    </row>
    <row r="835" spans="2:10" ht="12.75" x14ac:dyDescent="0.2">
      <c r="B835" s="6"/>
      <c r="C835" s="6"/>
      <c r="D835" s="6"/>
      <c r="E835" s="9"/>
      <c r="F835" s="9"/>
      <c r="G835" s="11"/>
      <c r="H835" s="5"/>
      <c r="I835" s="8"/>
      <c r="J835" s="8"/>
    </row>
    <row r="836" spans="2:10" ht="12.75" x14ac:dyDescent="0.2">
      <c r="B836" s="6"/>
      <c r="C836" s="6"/>
      <c r="D836" s="6"/>
      <c r="E836" s="9"/>
      <c r="F836" s="9"/>
      <c r="G836" s="11"/>
      <c r="H836" s="5"/>
      <c r="I836" s="8"/>
      <c r="J836" s="8"/>
    </row>
    <row r="837" spans="2:10" ht="12.75" x14ac:dyDescent="0.2">
      <c r="B837" s="6"/>
      <c r="C837" s="6"/>
      <c r="D837" s="6"/>
      <c r="E837" s="9"/>
      <c r="F837" s="9"/>
      <c r="G837" s="11"/>
      <c r="H837" s="5"/>
      <c r="I837" s="8"/>
      <c r="J837" s="8"/>
    </row>
    <row r="838" spans="2:10" ht="12.75" x14ac:dyDescent="0.2">
      <c r="B838" s="6"/>
      <c r="C838" s="6"/>
      <c r="D838" s="6"/>
      <c r="E838" s="9"/>
      <c r="F838" s="9"/>
      <c r="G838" s="11"/>
      <c r="H838" s="5"/>
      <c r="I838" s="8"/>
      <c r="J838" s="8"/>
    </row>
    <row r="839" spans="2:10" ht="12.75" x14ac:dyDescent="0.2">
      <c r="B839" s="6"/>
      <c r="C839" s="6"/>
      <c r="D839" s="6"/>
      <c r="E839" s="9"/>
      <c r="F839" s="9"/>
      <c r="G839" s="11"/>
      <c r="H839" s="5"/>
      <c r="I839" s="8"/>
      <c r="J839" s="8"/>
    </row>
    <row r="840" spans="2:10" ht="12.75" x14ac:dyDescent="0.2">
      <c r="B840" s="6"/>
      <c r="C840" s="6"/>
      <c r="D840" s="6"/>
      <c r="E840" s="9"/>
      <c r="F840" s="9"/>
      <c r="G840" s="11"/>
      <c r="H840" s="5"/>
      <c r="I840" s="8"/>
      <c r="J840" s="8"/>
    </row>
    <row r="841" spans="2:10" ht="12.75" x14ac:dyDescent="0.2">
      <c r="B841" s="6"/>
      <c r="C841" s="6"/>
      <c r="D841" s="6"/>
      <c r="E841" s="9"/>
      <c r="F841" s="9"/>
      <c r="G841" s="11"/>
      <c r="H841" s="5"/>
      <c r="I841" s="8"/>
      <c r="J841" s="8"/>
    </row>
    <row r="842" spans="2:10" ht="12.75" x14ac:dyDescent="0.2">
      <c r="B842" s="6"/>
      <c r="C842" s="6"/>
      <c r="D842" s="6"/>
      <c r="E842" s="9"/>
      <c r="F842" s="9"/>
      <c r="G842" s="11"/>
      <c r="H842" s="5"/>
      <c r="I842" s="8"/>
      <c r="J842" s="8"/>
    </row>
    <row r="843" spans="2:10" ht="12.75" x14ac:dyDescent="0.2">
      <c r="B843" s="6"/>
      <c r="C843" s="6"/>
      <c r="D843" s="6"/>
      <c r="E843" s="9"/>
      <c r="F843" s="9"/>
      <c r="G843" s="11"/>
      <c r="H843" s="5"/>
      <c r="I843" s="8"/>
      <c r="J843" s="8"/>
    </row>
    <row r="844" spans="2:10" ht="12.75" x14ac:dyDescent="0.2">
      <c r="B844" s="6"/>
      <c r="C844" s="6"/>
      <c r="D844" s="6"/>
      <c r="E844" s="9"/>
      <c r="F844" s="9"/>
      <c r="G844" s="11"/>
      <c r="H844" s="5"/>
      <c r="I844" s="8"/>
      <c r="J844" s="8"/>
    </row>
    <row r="845" spans="2:10" ht="12.75" x14ac:dyDescent="0.2">
      <c r="B845" s="6"/>
      <c r="C845" s="6"/>
      <c r="D845" s="6"/>
      <c r="E845" s="9"/>
      <c r="F845" s="9"/>
      <c r="G845" s="11"/>
      <c r="H845" s="5"/>
      <c r="I845" s="8"/>
      <c r="J845" s="8"/>
    </row>
    <row r="846" spans="2:10" ht="12.75" x14ac:dyDescent="0.2">
      <c r="B846" s="6"/>
      <c r="C846" s="6"/>
      <c r="D846" s="6"/>
      <c r="E846" s="9"/>
      <c r="F846" s="9"/>
      <c r="G846" s="11"/>
      <c r="H846" s="5"/>
      <c r="I846" s="8"/>
      <c r="J846" s="8"/>
    </row>
    <row r="847" spans="2:10" ht="12.75" x14ac:dyDescent="0.2">
      <c r="B847" s="6"/>
      <c r="C847" s="6"/>
      <c r="D847" s="6"/>
      <c r="E847" s="9"/>
      <c r="F847" s="9"/>
      <c r="G847" s="11"/>
      <c r="H847" s="5"/>
      <c r="I847" s="8"/>
      <c r="J847" s="8"/>
    </row>
    <row r="848" spans="2:10" ht="12.75" x14ac:dyDescent="0.2">
      <c r="B848" s="6"/>
      <c r="C848" s="6"/>
      <c r="D848" s="6"/>
      <c r="E848" s="9"/>
      <c r="F848" s="9"/>
      <c r="G848" s="11"/>
      <c r="H848" s="5"/>
      <c r="I848" s="8"/>
      <c r="J848" s="8"/>
    </row>
    <row r="849" spans="2:10" ht="12.75" x14ac:dyDescent="0.2">
      <c r="B849" s="6"/>
      <c r="C849" s="6"/>
      <c r="D849" s="6"/>
      <c r="E849" s="9"/>
      <c r="F849" s="9"/>
      <c r="G849" s="11"/>
      <c r="H849" s="5"/>
      <c r="I849" s="8"/>
      <c r="J849" s="8"/>
    </row>
    <row r="850" spans="2:10" ht="12.75" x14ac:dyDescent="0.2">
      <c r="B850" s="6"/>
      <c r="C850" s="6"/>
      <c r="D850" s="6"/>
      <c r="E850" s="9"/>
      <c r="F850" s="9"/>
      <c r="G850" s="11"/>
      <c r="H850" s="5"/>
      <c r="I850" s="8"/>
      <c r="J850" s="8"/>
    </row>
    <row r="851" spans="2:10" ht="12.75" x14ac:dyDescent="0.2">
      <c r="B851" s="6"/>
      <c r="C851" s="6"/>
      <c r="D851" s="6"/>
      <c r="E851" s="9"/>
      <c r="F851" s="9"/>
      <c r="G851" s="11"/>
      <c r="H851" s="5"/>
      <c r="I851" s="8"/>
      <c r="J851" s="8"/>
    </row>
    <row r="852" spans="2:10" ht="12.75" x14ac:dyDescent="0.2">
      <c r="B852" s="6"/>
      <c r="C852" s="6"/>
      <c r="D852" s="6"/>
      <c r="E852" s="9"/>
      <c r="F852" s="9"/>
      <c r="G852" s="11"/>
      <c r="H852" s="5"/>
      <c r="I852" s="8"/>
      <c r="J852" s="8"/>
    </row>
    <row r="853" spans="2:10" ht="12.75" x14ac:dyDescent="0.2">
      <c r="B853" s="6"/>
      <c r="C853" s="6"/>
      <c r="D853" s="6"/>
      <c r="E853" s="9"/>
      <c r="F853" s="9"/>
      <c r="G853" s="11"/>
      <c r="H853" s="5"/>
      <c r="I853" s="8"/>
      <c r="J853" s="8"/>
    </row>
    <row r="854" spans="2:10" ht="12.75" x14ac:dyDescent="0.2">
      <c r="B854" s="6"/>
      <c r="C854" s="6"/>
      <c r="D854" s="6"/>
      <c r="E854" s="9"/>
      <c r="F854" s="9"/>
      <c r="G854" s="11"/>
      <c r="H854" s="5"/>
      <c r="I854" s="8"/>
      <c r="J854" s="8"/>
    </row>
    <row r="855" spans="2:10" ht="12.75" x14ac:dyDescent="0.2">
      <c r="B855" s="6"/>
      <c r="C855" s="6"/>
      <c r="D855" s="6"/>
      <c r="E855" s="9"/>
      <c r="F855" s="9"/>
      <c r="G855" s="11"/>
      <c r="H855" s="5"/>
      <c r="I855" s="8"/>
      <c r="J855" s="8"/>
    </row>
    <row r="856" spans="2:10" ht="12.75" x14ac:dyDescent="0.2">
      <c r="B856" s="6"/>
      <c r="C856" s="6"/>
      <c r="D856" s="6"/>
      <c r="E856" s="9"/>
      <c r="F856" s="9"/>
      <c r="G856" s="11"/>
      <c r="H856" s="5"/>
      <c r="I856" s="8"/>
      <c r="J856" s="8"/>
    </row>
    <row r="857" spans="2:10" ht="12.75" x14ac:dyDescent="0.2">
      <c r="B857" s="6"/>
      <c r="C857" s="6"/>
      <c r="D857" s="6"/>
      <c r="E857" s="9"/>
      <c r="F857" s="9"/>
      <c r="G857" s="11"/>
      <c r="H857" s="5"/>
      <c r="I857" s="8"/>
      <c r="J857" s="8"/>
    </row>
    <row r="858" spans="2:10" ht="12.75" x14ac:dyDescent="0.2">
      <c r="B858" s="6"/>
      <c r="C858" s="6"/>
      <c r="D858" s="6"/>
      <c r="E858" s="9"/>
      <c r="F858" s="9"/>
      <c r="G858" s="11"/>
      <c r="H858" s="5"/>
      <c r="I858" s="8"/>
      <c r="J858" s="8"/>
    </row>
    <row r="859" spans="2:10" ht="12.75" x14ac:dyDescent="0.2">
      <c r="B859" s="6"/>
      <c r="C859" s="6"/>
      <c r="D859" s="6"/>
      <c r="E859" s="9"/>
      <c r="F859" s="9"/>
      <c r="G859" s="11"/>
      <c r="H859" s="5"/>
      <c r="I859" s="8"/>
      <c r="J859" s="8"/>
    </row>
    <row r="860" spans="2:10" ht="12.75" x14ac:dyDescent="0.2">
      <c r="B860" s="6"/>
      <c r="C860" s="6"/>
      <c r="D860" s="6"/>
      <c r="E860" s="9"/>
      <c r="F860" s="9"/>
      <c r="G860" s="11"/>
      <c r="H860" s="5"/>
      <c r="I860" s="8"/>
      <c r="J860" s="8"/>
    </row>
    <row r="861" spans="2:10" ht="12.75" x14ac:dyDescent="0.2">
      <c r="B861" s="6"/>
      <c r="C861" s="6"/>
      <c r="D861" s="6"/>
      <c r="E861" s="9"/>
      <c r="F861" s="9"/>
      <c r="G861" s="11"/>
      <c r="H861" s="5"/>
      <c r="I861" s="8"/>
      <c r="J861" s="8"/>
    </row>
  </sheetData>
  <dataValidations count="1">
    <dataValidation type="list" allowBlank="1" showErrorMessage="1" sqref="C3:C7" xr:uid="{00000000-0002-0000-0B00-000000000000}">
      <formula1>"5DD,EOM,LBD,TP"</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BL248"/>
  <sheetViews>
    <sheetView tabSelected="1" workbookViewId="0">
      <selection activeCell="O120" sqref="O120"/>
    </sheetView>
  </sheetViews>
  <sheetFormatPr defaultColWidth="12.42578125" defaultRowHeight="15.75" customHeight="1" x14ac:dyDescent="0.2"/>
  <cols>
    <col min="1" max="1" width="23.85546875" customWidth="1"/>
    <col min="2" max="2" width="12.42578125" customWidth="1"/>
    <col min="3" max="3" width="6.42578125" customWidth="1"/>
    <col min="4" max="4" width="7.7109375" bestFit="1" customWidth="1"/>
    <col min="5" max="5" width="7.85546875" bestFit="1" customWidth="1"/>
    <col min="6" max="6" width="9.28515625" bestFit="1" customWidth="1"/>
    <col min="7" max="7" width="9.28515625" customWidth="1"/>
    <col min="8" max="8" width="7.85546875" customWidth="1"/>
    <col min="9" max="9" width="9.140625" bestFit="1" customWidth="1"/>
    <col min="10" max="10" width="6.42578125" customWidth="1"/>
    <col min="11" max="11" width="7.5703125" customWidth="1"/>
    <col min="12" max="12" width="11.140625" customWidth="1"/>
    <col min="13" max="13" width="8.7109375" bestFit="1" customWidth="1"/>
    <col min="14" max="14" width="8.140625" bestFit="1" customWidth="1"/>
    <col min="15" max="16" width="8.28515625" bestFit="1" customWidth="1"/>
    <col min="17" max="17" width="8.7109375" bestFit="1" customWidth="1"/>
    <col min="18" max="18" width="6.42578125" customWidth="1"/>
    <col min="19" max="19" width="11.140625" customWidth="1"/>
    <col min="20" max="20" width="8.7109375" bestFit="1" customWidth="1"/>
    <col min="21" max="21" width="11.42578125" customWidth="1"/>
    <col min="22" max="22" width="8.85546875" customWidth="1"/>
    <col min="23" max="23" width="8.42578125" bestFit="1" customWidth="1"/>
    <col min="24" max="24" width="7.42578125" bestFit="1" customWidth="1"/>
    <col min="25" max="25" width="8" customWidth="1"/>
    <col min="26" max="26" width="8.42578125" bestFit="1" customWidth="1"/>
    <col min="27" max="27" width="7.85546875" bestFit="1" customWidth="1"/>
    <col min="28" max="28" width="4.85546875" customWidth="1"/>
    <col min="29" max="29" width="7.28515625" customWidth="1"/>
    <col min="30" max="30" width="8.42578125" customWidth="1"/>
    <col min="31" max="31" width="8.28515625" customWidth="1"/>
    <col min="32" max="32" width="8.42578125" customWidth="1"/>
    <col min="33" max="33" width="9.42578125" bestFit="1" customWidth="1"/>
    <col min="34" max="34" width="6.7109375" bestFit="1" customWidth="1"/>
    <col min="35" max="35" width="7.85546875" customWidth="1"/>
    <col min="36" max="36" width="9" customWidth="1"/>
    <col min="37" max="37" width="7.85546875" customWidth="1"/>
    <col min="38" max="38" width="9.140625" customWidth="1"/>
    <col min="39" max="39" width="7.85546875" customWidth="1"/>
    <col min="40" max="40" width="9.85546875" bestFit="1" customWidth="1"/>
    <col min="41" max="41" width="7.7109375" customWidth="1"/>
    <col min="42" max="42" width="8.42578125" bestFit="1" customWidth="1"/>
    <col min="43" max="43" width="8.140625" customWidth="1"/>
    <col min="44" max="44" width="9.7109375" bestFit="1" customWidth="1"/>
    <col min="45" max="45" width="8.5703125" customWidth="1"/>
    <col min="46" max="46" width="5.42578125" bestFit="1" customWidth="1"/>
    <col min="47" max="47" width="9.140625" bestFit="1" customWidth="1"/>
    <col min="48" max="48" width="8.28515625" customWidth="1"/>
    <col min="49" max="49" width="9.140625" customWidth="1"/>
    <col min="50" max="50" width="8.7109375" bestFit="1" customWidth="1"/>
    <col min="51" max="51" width="9.140625" customWidth="1"/>
    <col min="52" max="52" width="8.28515625" bestFit="1" customWidth="1"/>
    <col min="53" max="53" width="8.140625" bestFit="1" customWidth="1"/>
    <col min="54" max="54" width="8.28515625" bestFit="1" customWidth="1"/>
    <col min="55" max="55" width="9.7109375" bestFit="1" customWidth="1"/>
    <col min="56" max="56" width="8.28515625" bestFit="1" customWidth="1"/>
    <col min="57" max="57" width="4.7109375" customWidth="1"/>
    <col min="58" max="58" width="14" bestFit="1" customWidth="1"/>
    <col min="59" max="59" width="8.28515625" bestFit="1" customWidth="1"/>
    <col min="60" max="60" width="8.140625" bestFit="1" customWidth="1"/>
    <col min="61" max="61" width="8.28515625" bestFit="1" customWidth="1"/>
    <col min="62" max="62" width="8.42578125" bestFit="1" customWidth="1"/>
    <col min="63" max="63" width="9.7109375" bestFit="1" customWidth="1"/>
    <col min="64" max="64" width="9.28515625" bestFit="1" customWidth="1"/>
  </cols>
  <sheetData>
    <row r="1" spans="1:50" ht="12.75" x14ac:dyDescent="0.2">
      <c r="A1" s="66" t="s">
        <v>261</v>
      </c>
    </row>
    <row r="2" spans="1:50" ht="12.75" x14ac:dyDescent="0.2">
      <c r="B2" s="45" t="s">
        <v>204</v>
      </c>
      <c r="C2" s="109"/>
      <c r="K2" s="45" t="s">
        <v>202</v>
      </c>
      <c r="S2" s="45" t="s">
        <v>203</v>
      </c>
      <c r="U2" s="12"/>
      <c r="V2" s="12"/>
      <c r="W2" s="12"/>
      <c r="X2" s="12"/>
      <c r="Y2" s="12"/>
      <c r="Z2" s="12"/>
      <c r="AA2" s="12"/>
      <c r="AB2" s="12"/>
      <c r="AC2" s="130" t="s">
        <v>205</v>
      </c>
      <c r="AD2" s="46"/>
      <c r="AE2" s="46"/>
      <c r="AF2" s="46"/>
      <c r="AG2" s="46"/>
      <c r="AH2" s="46"/>
      <c r="AI2" s="130" t="s">
        <v>207</v>
      </c>
      <c r="AJ2" s="46"/>
      <c r="AK2" s="46"/>
      <c r="AL2" s="46"/>
      <c r="AM2" s="46"/>
      <c r="AN2" s="45"/>
      <c r="AO2" s="130" t="s">
        <v>208</v>
      </c>
      <c r="AP2" s="12"/>
      <c r="AQ2" s="12"/>
      <c r="AR2" s="12"/>
      <c r="AS2" s="12"/>
      <c r="AU2" s="130" t="s">
        <v>206</v>
      </c>
    </row>
    <row r="3" spans="1:50" ht="12.75" x14ac:dyDescent="0.2">
      <c r="B3" s="57" t="s">
        <v>209</v>
      </c>
      <c r="C3" s="28" t="s">
        <v>190</v>
      </c>
      <c r="D3" s="57" t="s">
        <v>191</v>
      </c>
      <c r="E3" s="28" t="s">
        <v>192</v>
      </c>
      <c r="F3" s="28" t="s">
        <v>193</v>
      </c>
      <c r="G3" s="28" t="s">
        <v>293</v>
      </c>
      <c r="H3" s="28" t="s">
        <v>292</v>
      </c>
      <c r="I3" s="57"/>
      <c r="J3" s="101"/>
      <c r="K3" s="28" t="s">
        <v>76</v>
      </c>
      <c r="L3" s="28" t="s">
        <v>4</v>
      </c>
      <c r="M3" s="57" t="s">
        <v>0</v>
      </c>
      <c r="N3" s="57" t="s">
        <v>1</v>
      </c>
      <c r="O3" s="28" t="s">
        <v>191</v>
      </c>
      <c r="P3" s="28" t="s">
        <v>192</v>
      </c>
      <c r="Q3" s="28" t="s">
        <v>193</v>
      </c>
      <c r="S3" s="28"/>
      <c r="T3" s="28" t="s">
        <v>76</v>
      </c>
      <c r="U3" s="28" t="s">
        <v>4</v>
      </c>
      <c r="V3" s="57" t="s">
        <v>0</v>
      </c>
      <c r="W3" s="28" t="s">
        <v>62</v>
      </c>
      <c r="X3" s="57" t="s">
        <v>220</v>
      </c>
      <c r="Y3" s="57" t="s">
        <v>190</v>
      </c>
      <c r="Z3" s="57" t="s">
        <v>194</v>
      </c>
      <c r="AA3" s="28" t="s">
        <v>195</v>
      </c>
      <c r="AB3" s="12"/>
      <c r="AC3" s="28" t="s">
        <v>0</v>
      </c>
      <c r="AD3" s="28" t="s">
        <v>196</v>
      </c>
      <c r="AE3" s="57" t="s">
        <v>1</v>
      </c>
      <c r="AF3" s="57" t="s">
        <v>197</v>
      </c>
      <c r="AG3" s="57" t="s">
        <v>198</v>
      </c>
      <c r="AH3" s="60"/>
      <c r="AI3" s="28" t="s">
        <v>0</v>
      </c>
      <c r="AJ3" s="28" t="s">
        <v>196</v>
      </c>
      <c r="AK3" s="57" t="s">
        <v>1</v>
      </c>
      <c r="AL3" s="57" t="s">
        <v>197</v>
      </c>
      <c r="AM3" s="57" t="s">
        <v>198</v>
      </c>
      <c r="AO3" s="28" t="s">
        <v>0</v>
      </c>
      <c r="AP3" s="28" t="s">
        <v>196</v>
      </c>
      <c r="AQ3" s="57" t="s">
        <v>1</v>
      </c>
      <c r="AR3" s="57" t="s">
        <v>197</v>
      </c>
      <c r="AS3" s="57" t="s">
        <v>198</v>
      </c>
      <c r="AU3" s="57" t="s">
        <v>199</v>
      </c>
      <c r="AV3" s="28" t="s">
        <v>191</v>
      </c>
      <c r="AW3" s="28" t="s">
        <v>192</v>
      </c>
      <c r="AX3" s="28" t="s">
        <v>193</v>
      </c>
    </row>
    <row r="4" spans="1:50" ht="12.75" x14ac:dyDescent="0.2">
      <c r="A4" s="45" t="s">
        <v>200</v>
      </c>
      <c r="B4" s="52">
        <v>100</v>
      </c>
      <c r="C4" s="54">
        <v>0.02</v>
      </c>
      <c r="D4" s="124">
        <v>0.04</v>
      </c>
      <c r="E4" s="95">
        <v>0.08</v>
      </c>
      <c r="F4" s="95">
        <v>0.16</v>
      </c>
      <c r="G4" s="95"/>
      <c r="H4" s="95">
        <v>0.01</v>
      </c>
      <c r="I4" s="95"/>
      <c r="J4" s="95"/>
      <c r="K4" s="133" t="s">
        <v>75</v>
      </c>
      <c r="L4" s="133" t="s">
        <v>78</v>
      </c>
      <c r="M4" s="52">
        <v>100</v>
      </c>
      <c r="N4" s="52">
        <v>200</v>
      </c>
      <c r="O4" s="124">
        <v>0.5</v>
      </c>
      <c r="P4" s="95">
        <v>0.3</v>
      </c>
      <c r="Q4" s="95">
        <v>0.2</v>
      </c>
      <c r="S4" s="45" t="s">
        <v>215</v>
      </c>
      <c r="T4" s="45" t="s">
        <v>75</v>
      </c>
      <c r="U4" s="131" t="s">
        <v>78</v>
      </c>
      <c r="V4" s="122">
        <f>M4</f>
        <v>100</v>
      </c>
      <c r="W4" s="30">
        <f>X4/V4</f>
        <v>2</v>
      </c>
      <c r="X4" s="122">
        <f>N4</f>
        <v>200</v>
      </c>
      <c r="Y4" s="122">
        <f>V4 * (1 - ABS(C4))</f>
        <v>98</v>
      </c>
      <c r="Z4" s="152" t="s">
        <v>34</v>
      </c>
      <c r="AA4" s="152" t="s">
        <v>34</v>
      </c>
      <c r="AB4" s="12"/>
      <c r="AC4" s="122">
        <f>V4</f>
        <v>100</v>
      </c>
      <c r="AD4" s="30">
        <f>W4*O4</f>
        <v>1</v>
      </c>
      <c r="AE4" s="123">
        <f>X4*O4</f>
        <v>100</v>
      </c>
      <c r="AF4" s="123">
        <f>V4 * (1 + D4) / (1 - H4)</f>
        <v>105.05050505050505</v>
      </c>
      <c r="AG4" s="124">
        <f>(B4 - AF4) / AF4</f>
        <v>-4.8076923076923087E-2</v>
      </c>
      <c r="AH4" s="30"/>
      <c r="AI4" s="122">
        <f>V4</f>
        <v>100</v>
      </c>
      <c r="AJ4" s="30">
        <f>W4*P4</f>
        <v>0.6</v>
      </c>
      <c r="AK4" s="123">
        <f>X4*P4</f>
        <v>60</v>
      </c>
      <c r="AL4" s="123">
        <f>V4 * (1 + E4) / (1 - H4)</f>
        <v>109.09090909090909</v>
      </c>
      <c r="AM4" s="124">
        <f>(B4 - AL4) / AL4</f>
        <v>-8.3333333333333356E-2</v>
      </c>
      <c r="AO4" s="122">
        <f>V4</f>
        <v>100</v>
      </c>
      <c r="AP4" s="30">
        <f>W4*Q4</f>
        <v>0.4</v>
      </c>
      <c r="AQ4" s="123">
        <f>X4*Q4</f>
        <v>40</v>
      </c>
      <c r="AR4" s="123">
        <f>V4 * (1 + F4) / (1 - H4)</f>
        <v>117.17171717171716</v>
      </c>
      <c r="AS4" s="124">
        <f>(B4 - AR4) / AR4</f>
        <v>-0.14655172413793097</v>
      </c>
      <c r="AU4" s="32">
        <f>AD4+AJ4+AP4</f>
        <v>2</v>
      </c>
      <c r="AV4" s="32">
        <f>AD4</f>
        <v>1</v>
      </c>
      <c r="AW4" s="32">
        <f>AJ4</f>
        <v>0.6</v>
      </c>
      <c r="AX4" s="32">
        <f>AP4</f>
        <v>0.4</v>
      </c>
    </row>
    <row r="5" spans="1:50" ht="12.75" x14ac:dyDescent="0.2">
      <c r="A5" s="47" t="s">
        <v>210</v>
      </c>
      <c r="B5" s="40">
        <v>100</v>
      </c>
      <c r="C5" s="55">
        <v>0.02</v>
      </c>
      <c r="D5" s="129">
        <v>0.04</v>
      </c>
      <c r="E5" s="125">
        <v>0.08</v>
      </c>
      <c r="F5" s="125">
        <v>0.16</v>
      </c>
      <c r="G5" s="125"/>
      <c r="H5" s="125">
        <v>0.01</v>
      </c>
      <c r="I5" s="125"/>
      <c r="J5" s="125"/>
      <c r="K5" s="134" t="s">
        <v>75</v>
      </c>
      <c r="L5" s="134" t="s">
        <v>211</v>
      </c>
      <c r="M5" s="40">
        <v>100</v>
      </c>
      <c r="N5" s="40">
        <v>300</v>
      </c>
      <c r="O5" s="129">
        <v>0.5</v>
      </c>
      <c r="P5" s="125">
        <v>0.25</v>
      </c>
      <c r="Q5" s="125">
        <v>0.25</v>
      </c>
      <c r="R5" s="35"/>
      <c r="S5" s="47" t="s">
        <v>216</v>
      </c>
      <c r="T5" s="47" t="s">
        <v>75</v>
      </c>
      <c r="U5" s="132" t="s">
        <v>211</v>
      </c>
      <c r="V5" s="126">
        <f>M5</f>
        <v>100</v>
      </c>
      <c r="W5" s="43">
        <f>X5/V5</f>
        <v>3</v>
      </c>
      <c r="X5" s="126">
        <f>N5</f>
        <v>300</v>
      </c>
      <c r="Y5" s="126">
        <f>V5 * (1 - ABS(C5))</f>
        <v>98</v>
      </c>
      <c r="Z5" s="153" t="s">
        <v>34</v>
      </c>
      <c r="AA5" s="153" t="s">
        <v>34</v>
      </c>
      <c r="AB5" s="41"/>
      <c r="AC5" s="126">
        <f>V5</f>
        <v>100</v>
      </c>
      <c r="AD5" s="43">
        <f>AD4+(W5*O5)</f>
        <v>2.5</v>
      </c>
      <c r="AE5" s="128">
        <f>AE4+(X5*O5)</f>
        <v>250</v>
      </c>
      <c r="AF5" s="128">
        <f>V5 * (1 + D5) / (1 - H5)</f>
        <v>105.05050505050505</v>
      </c>
      <c r="AG5" s="129">
        <f>(B5 - AF5) / AF5</f>
        <v>-4.8076923076923087E-2</v>
      </c>
      <c r="AH5" s="43"/>
      <c r="AI5" s="126">
        <f>V5</f>
        <v>100</v>
      </c>
      <c r="AJ5" s="43">
        <f>AJ4+(W5*P5)</f>
        <v>1.35</v>
      </c>
      <c r="AK5" s="128">
        <f>AK4+(X5*P5)</f>
        <v>135</v>
      </c>
      <c r="AL5" s="128">
        <f>V5 * (1 + E5) / (1 - H5)</f>
        <v>109.09090909090909</v>
      </c>
      <c r="AM5" s="129">
        <f>(B5 - AL5) / AL5</f>
        <v>-8.3333333333333356E-2</v>
      </c>
      <c r="AN5" s="35"/>
      <c r="AO5" s="126">
        <f>V5</f>
        <v>100</v>
      </c>
      <c r="AP5" s="43">
        <f>AP4+(W5*Q5)</f>
        <v>1.1499999999999999</v>
      </c>
      <c r="AQ5" s="128">
        <f>AQ4+(X5*Q5)</f>
        <v>115</v>
      </c>
      <c r="AR5" s="128">
        <f>V5 * (1 + F5) / (1 - H5)</f>
        <v>117.17171717171716</v>
      </c>
      <c r="AS5" s="129">
        <f>(B5 - AR5) / AR5</f>
        <v>-0.14655172413793097</v>
      </c>
      <c r="AT5" s="35"/>
      <c r="AU5" s="39">
        <f>AD5+AJ5+AP5</f>
        <v>5</v>
      </c>
      <c r="AV5" s="39">
        <f>AD5</f>
        <v>2.5</v>
      </c>
      <c r="AW5" s="39">
        <f>AJ5</f>
        <v>1.35</v>
      </c>
      <c r="AX5" s="39">
        <f>AP5</f>
        <v>1.1499999999999999</v>
      </c>
    </row>
    <row r="6" spans="1:50" ht="12.75" x14ac:dyDescent="0.2">
      <c r="A6" s="47"/>
      <c r="B6" s="40"/>
      <c r="C6" s="55"/>
      <c r="D6" s="129"/>
      <c r="E6" s="125"/>
      <c r="F6" s="125"/>
      <c r="G6" s="125"/>
      <c r="H6" s="125"/>
      <c r="I6" s="125"/>
      <c r="J6" s="125"/>
      <c r="K6" s="134"/>
      <c r="L6" s="134"/>
      <c r="M6" s="40"/>
      <c r="N6" s="40"/>
      <c r="O6" s="129"/>
      <c r="P6" s="125"/>
      <c r="Q6" s="125"/>
      <c r="R6" s="35"/>
      <c r="S6" s="47" t="s">
        <v>215</v>
      </c>
      <c r="T6" s="47" t="s">
        <v>75</v>
      </c>
      <c r="U6" s="132" t="s">
        <v>78</v>
      </c>
      <c r="V6" s="126">
        <f>V4</f>
        <v>100</v>
      </c>
      <c r="W6" s="43">
        <f>W4</f>
        <v>2</v>
      </c>
      <c r="X6" s="126">
        <f>X4</f>
        <v>200</v>
      </c>
      <c r="Y6" s="126">
        <f>Y4</f>
        <v>98</v>
      </c>
      <c r="Z6" s="153"/>
      <c r="AA6" s="153"/>
      <c r="AB6" s="41"/>
      <c r="AC6" s="126"/>
      <c r="AD6" s="43"/>
      <c r="AE6" s="128"/>
      <c r="AF6" s="128"/>
      <c r="AG6" s="129"/>
      <c r="AH6" s="43"/>
      <c r="AI6" s="126"/>
      <c r="AJ6" s="43"/>
      <c r="AK6" s="128"/>
      <c r="AL6" s="128"/>
      <c r="AM6" s="129"/>
      <c r="AN6" s="35"/>
      <c r="AO6" s="126"/>
      <c r="AP6" s="43"/>
      <c r="AQ6" s="128"/>
      <c r="AR6" s="128"/>
      <c r="AS6" s="129"/>
      <c r="AT6" s="35"/>
      <c r="AU6" s="39"/>
      <c r="AV6" s="39"/>
      <c r="AW6" s="39"/>
      <c r="AX6" s="39"/>
    </row>
    <row r="7" spans="1:50" ht="12.75" x14ac:dyDescent="0.2">
      <c r="A7" s="45" t="s">
        <v>201</v>
      </c>
      <c r="B7" s="52">
        <v>120</v>
      </c>
      <c r="C7" s="54">
        <v>0.02</v>
      </c>
      <c r="D7" s="124">
        <v>0.04</v>
      </c>
      <c r="E7" s="95">
        <v>0.08</v>
      </c>
      <c r="F7" s="95">
        <v>0.16</v>
      </c>
      <c r="G7" s="95"/>
      <c r="H7" s="95">
        <v>0.01</v>
      </c>
      <c r="I7" s="95"/>
      <c r="J7" s="95"/>
      <c r="K7" s="133" t="s">
        <v>75</v>
      </c>
      <c r="L7" s="133" t="s">
        <v>214</v>
      </c>
      <c r="M7" s="52">
        <v>120</v>
      </c>
      <c r="N7" s="52">
        <v>400</v>
      </c>
      <c r="O7" s="124">
        <v>0.5</v>
      </c>
      <c r="P7" s="95">
        <v>0.5</v>
      </c>
      <c r="Q7" s="95">
        <v>0</v>
      </c>
      <c r="S7" s="45" t="s">
        <v>217</v>
      </c>
      <c r="T7" s="45" t="s">
        <v>75</v>
      </c>
      <c r="U7" s="130" t="s">
        <v>214</v>
      </c>
      <c r="V7" s="122">
        <f>M7</f>
        <v>120</v>
      </c>
      <c r="W7" s="30">
        <f>X7/V7</f>
        <v>3.3333333333333335</v>
      </c>
      <c r="X7" s="122">
        <f>N7</f>
        <v>400</v>
      </c>
      <c r="Y7" s="122">
        <f>V7 * (1 - ABS(C7))</f>
        <v>117.6</v>
      </c>
      <c r="Z7" s="152" t="s">
        <v>34</v>
      </c>
      <c r="AA7" s="152" t="s">
        <v>34</v>
      </c>
      <c r="AB7" s="12"/>
      <c r="AC7" s="122">
        <f>V7</f>
        <v>120</v>
      </c>
      <c r="AD7" s="30">
        <f>W7*O7</f>
        <v>1.6666666666666667</v>
      </c>
      <c r="AE7" s="123">
        <f>X7*O7</f>
        <v>200</v>
      </c>
      <c r="AF7" s="123">
        <f>V7 * (1 + D7) / (1 - H7)</f>
        <v>126.06060606060608</v>
      </c>
      <c r="AG7" s="124">
        <f>(B7 - AF7) / AF7</f>
        <v>-4.8076923076923198E-2</v>
      </c>
      <c r="AH7" s="30"/>
      <c r="AI7" s="122">
        <f>V7</f>
        <v>120</v>
      </c>
      <c r="AJ7" s="30">
        <f>W7*O7</f>
        <v>1.6666666666666667</v>
      </c>
      <c r="AK7" s="123">
        <f>X7*O7</f>
        <v>200</v>
      </c>
      <c r="AL7" s="123">
        <f>V7 * (1 + E7) / (1 - H7)</f>
        <v>130.90909090909093</v>
      </c>
      <c r="AM7" s="124">
        <f>(B7 - AL7) / AL7</f>
        <v>-8.3333333333333509E-2</v>
      </c>
      <c r="AO7" s="122">
        <v>100</v>
      </c>
      <c r="AP7" s="30">
        <v>1.1499999999999999</v>
      </c>
      <c r="AQ7" s="123">
        <v>115</v>
      </c>
      <c r="AR7" s="123">
        <v>117.17171717171716</v>
      </c>
      <c r="AS7" s="124">
        <f>(B7 - AR7) / AR7</f>
        <v>2.4137931034482842E-2</v>
      </c>
      <c r="AU7" s="32">
        <f>AV7+AW7+AX7</f>
        <v>8.3333333333333339</v>
      </c>
      <c r="AV7" s="32">
        <f>AD8+AD7</f>
        <v>4.166666666666667</v>
      </c>
      <c r="AW7" s="32">
        <f>AJ7+AJ8</f>
        <v>3.0166666666666666</v>
      </c>
      <c r="AX7" s="32">
        <f>AP7</f>
        <v>1.1499999999999999</v>
      </c>
    </row>
    <row r="8" spans="1:50" ht="12.75" x14ac:dyDescent="0.2">
      <c r="B8" s="52"/>
      <c r="C8" s="95"/>
      <c r="J8" s="95"/>
      <c r="K8" s="95"/>
      <c r="L8" s="95"/>
      <c r="M8" s="52"/>
      <c r="N8" s="52"/>
      <c r="O8" s="95"/>
      <c r="P8" s="95"/>
      <c r="Q8" s="95"/>
      <c r="S8" s="46" t="s">
        <v>216</v>
      </c>
      <c r="T8" s="46" t="s">
        <v>75</v>
      </c>
      <c r="U8" s="130" t="s">
        <v>211</v>
      </c>
      <c r="V8" s="122">
        <f>V5</f>
        <v>100</v>
      </c>
      <c r="W8" s="30">
        <f>W5</f>
        <v>3</v>
      </c>
      <c r="X8" s="122">
        <f>X5</f>
        <v>300</v>
      </c>
      <c r="Y8" s="122">
        <f>Y5</f>
        <v>98</v>
      </c>
      <c r="Z8" s="152" t="s">
        <v>34</v>
      </c>
      <c r="AA8" s="152" t="s">
        <v>34</v>
      </c>
      <c r="AB8" s="12"/>
      <c r="AC8" s="122">
        <f>AC5</f>
        <v>100</v>
      </c>
      <c r="AD8" s="30">
        <f>AD5</f>
        <v>2.5</v>
      </c>
      <c r="AE8" s="123">
        <f>AE5</f>
        <v>250</v>
      </c>
      <c r="AF8" s="123">
        <f>AF5</f>
        <v>105.05050505050505</v>
      </c>
      <c r="AG8" s="124">
        <f>(B7 - AF8) / AF8</f>
        <v>0.1423076923076923</v>
      </c>
      <c r="AH8" s="30"/>
      <c r="AI8" s="63">
        <f>AI5</f>
        <v>100</v>
      </c>
      <c r="AJ8" s="32">
        <f>AJ5</f>
        <v>1.35</v>
      </c>
      <c r="AK8" s="63">
        <f>AK5</f>
        <v>135</v>
      </c>
      <c r="AL8" s="63">
        <f>AL5</f>
        <v>109.09090909090909</v>
      </c>
      <c r="AM8" s="54">
        <f>(B10 - AL8) / AL8</f>
        <v>9.9999999999999978E-2</v>
      </c>
      <c r="AO8" s="152" t="s">
        <v>34</v>
      </c>
      <c r="AP8" s="155" t="s">
        <v>34</v>
      </c>
      <c r="AQ8" s="155" t="s">
        <v>34</v>
      </c>
      <c r="AR8" s="155" t="s">
        <v>34</v>
      </c>
      <c r="AS8" s="155" t="s">
        <v>34</v>
      </c>
    </row>
    <row r="9" spans="1:50" ht="12.75" x14ac:dyDescent="0.2">
      <c r="B9" s="52"/>
      <c r="C9" s="95"/>
      <c r="D9" s="29"/>
      <c r="E9" s="50"/>
      <c r="H9" s="50"/>
      <c r="I9" s="50"/>
      <c r="J9" s="50"/>
      <c r="K9" s="50"/>
      <c r="L9" s="50"/>
      <c r="M9" s="52"/>
      <c r="N9" s="52"/>
      <c r="O9" s="50"/>
      <c r="P9" s="50"/>
      <c r="Q9" s="50"/>
      <c r="S9" s="46" t="s">
        <v>215</v>
      </c>
      <c r="T9" s="46" t="s">
        <v>75</v>
      </c>
      <c r="U9" s="130" t="s">
        <v>78</v>
      </c>
      <c r="V9" s="122">
        <f>V4</f>
        <v>100</v>
      </c>
      <c r="W9" s="30">
        <f>W4</f>
        <v>2</v>
      </c>
      <c r="X9" s="122">
        <f>X4</f>
        <v>200</v>
      </c>
      <c r="Y9" s="122">
        <f>Y4</f>
        <v>98</v>
      </c>
      <c r="Z9" s="152" t="s">
        <v>34</v>
      </c>
      <c r="AA9" s="152" t="s">
        <v>34</v>
      </c>
      <c r="AB9" s="12"/>
      <c r="AC9" s="63"/>
      <c r="AH9" s="30"/>
      <c r="AI9" s="13"/>
      <c r="AJ9" s="13"/>
      <c r="AK9" s="13"/>
      <c r="AL9" s="13"/>
      <c r="AM9" s="30"/>
      <c r="AO9" s="122"/>
      <c r="AP9" s="13"/>
      <c r="AQ9" s="13"/>
      <c r="AR9" s="13"/>
      <c r="AS9" s="30"/>
    </row>
    <row r="10" spans="1:50" ht="12.75" x14ac:dyDescent="0.2">
      <c r="A10" s="47" t="s">
        <v>212</v>
      </c>
      <c r="B10" s="40">
        <v>120</v>
      </c>
      <c r="C10" s="55">
        <v>0.02</v>
      </c>
      <c r="D10" s="129">
        <v>0.04</v>
      </c>
      <c r="E10" s="125">
        <v>0.08</v>
      </c>
      <c r="F10" s="125">
        <v>0.16</v>
      </c>
      <c r="G10" s="125"/>
      <c r="H10" s="125">
        <v>0.01</v>
      </c>
      <c r="I10" s="125"/>
      <c r="J10" s="35"/>
      <c r="K10" s="35" t="s">
        <v>75</v>
      </c>
      <c r="L10" s="35" t="s">
        <v>78</v>
      </c>
      <c r="M10" s="40">
        <v>130</v>
      </c>
      <c r="N10" s="40">
        <v>600</v>
      </c>
      <c r="O10" s="129">
        <v>0.4</v>
      </c>
      <c r="P10" s="125">
        <v>0.5</v>
      </c>
      <c r="Q10" s="125">
        <v>0.1</v>
      </c>
      <c r="R10" s="35"/>
      <c r="S10" s="41" t="s">
        <v>217</v>
      </c>
      <c r="T10" s="41" t="s">
        <v>75</v>
      </c>
      <c r="U10" s="41" t="s">
        <v>214</v>
      </c>
      <c r="V10" s="135">
        <f t="shared" ref="V10:X11" si="0">V7</f>
        <v>120</v>
      </c>
      <c r="W10" s="136">
        <f t="shared" si="0"/>
        <v>3.3333333333333335</v>
      </c>
      <c r="X10" s="135">
        <f t="shared" si="0"/>
        <v>400</v>
      </c>
      <c r="Y10" s="135">
        <f>Y7</f>
        <v>117.6</v>
      </c>
      <c r="Z10" s="153" t="s">
        <v>34</v>
      </c>
      <c r="AA10" s="153" t="s">
        <v>34</v>
      </c>
      <c r="AB10" s="41"/>
      <c r="AC10" s="142">
        <f>V12</f>
        <v>130</v>
      </c>
      <c r="AD10" s="141">
        <f>W12*O10</f>
        <v>1.846153846153846</v>
      </c>
      <c r="AE10" s="142">
        <f>X12*O10</f>
        <v>240</v>
      </c>
      <c r="AF10" s="142">
        <f>V12 * (1 + D10) / (1 - H10)</f>
        <v>136.56565656565658</v>
      </c>
      <c r="AG10" s="143">
        <f>(B10 - AF10) / AF10</f>
        <v>-0.1213017751479291</v>
      </c>
      <c r="AH10" s="141"/>
      <c r="AI10" s="142">
        <f>V12</f>
        <v>130</v>
      </c>
      <c r="AJ10" s="141">
        <f>W12*P10</f>
        <v>2.3076923076923075</v>
      </c>
      <c r="AK10" s="142">
        <f>X12*P10</f>
        <v>300</v>
      </c>
      <c r="AL10" s="142">
        <f>V12 * (1 + E10) / (1 - H10)</f>
        <v>141.81818181818181</v>
      </c>
      <c r="AM10" s="143">
        <f>(B10 - AL10) / AL10</f>
        <v>-0.15384615384615383</v>
      </c>
      <c r="AN10" s="47"/>
      <c r="AO10" s="142">
        <f>V12</f>
        <v>130</v>
      </c>
      <c r="AP10" s="141">
        <f>W12*Q10</f>
        <v>0.46153846153846151</v>
      </c>
      <c r="AQ10" s="142">
        <f>X12*Q10</f>
        <v>60</v>
      </c>
      <c r="AR10" s="142">
        <f>V12 * (1 + F10) / (1 - H10)</f>
        <v>152.3232323232323</v>
      </c>
      <c r="AS10" s="129">
        <f>(B10 - AR10) / AR10</f>
        <v>-0.21220159151193624</v>
      </c>
      <c r="AT10" s="47"/>
      <c r="AU10" s="145">
        <f>AV10+AW10+AX10</f>
        <v>10.948717948717949</v>
      </c>
      <c r="AV10" s="145">
        <f>AD10+AD11+AD12</f>
        <v>5.0128205128205128</v>
      </c>
      <c r="AW10" s="145">
        <f>AJ10+AJ11+AJ12</f>
        <v>4.7243589743589745</v>
      </c>
      <c r="AX10" s="145">
        <f>AP10+AP12</f>
        <v>1.2115384615384615</v>
      </c>
    </row>
    <row r="11" spans="1:50" ht="12.75" x14ac:dyDescent="0.2">
      <c r="A11" s="47"/>
      <c r="B11" s="40"/>
      <c r="C11" s="125"/>
      <c r="D11" s="129"/>
      <c r="E11" s="125"/>
      <c r="F11" s="125"/>
      <c r="G11" s="125"/>
      <c r="H11" s="125"/>
      <c r="I11" s="125"/>
      <c r="J11" s="35"/>
      <c r="K11" s="35"/>
      <c r="L11" s="35"/>
      <c r="M11" s="40"/>
      <c r="N11" s="40"/>
      <c r="O11" s="129"/>
      <c r="P11" s="125"/>
      <c r="Q11" s="125"/>
      <c r="R11" s="35"/>
      <c r="S11" s="41" t="s">
        <v>216</v>
      </c>
      <c r="T11" s="41" t="s">
        <v>75</v>
      </c>
      <c r="U11" s="41" t="s">
        <v>211</v>
      </c>
      <c r="V11" s="135">
        <f t="shared" si="0"/>
        <v>100</v>
      </c>
      <c r="W11" s="136">
        <f t="shared" si="0"/>
        <v>3</v>
      </c>
      <c r="X11" s="135">
        <f t="shared" si="0"/>
        <v>300</v>
      </c>
      <c r="Y11" s="135">
        <f>Y8</f>
        <v>98</v>
      </c>
      <c r="Z11" s="153" t="s">
        <v>34</v>
      </c>
      <c r="AA11" s="153" t="s">
        <v>34</v>
      </c>
      <c r="AB11" s="41"/>
      <c r="AC11" s="142">
        <f>V10</f>
        <v>120</v>
      </c>
      <c r="AD11" s="141">
        <f>AD7</f>
        <v>1.6666666666666667</v>
      </c>
      <c r="AE11" s="142">
        <f>AE7</f>
        <v>200</v>
      </c>
      <c r="AF11" s="128">
        <f>AF7</f>
        <v>126.06060606060608</v>
      </c>
      <c r="AG11" s="129">
        <f>AG7</f>
        <v>-4.8076923076923198E-2</v>
      </c>
      <c r="AH11" s="141"/>
      <c r="AI11" s="142">
        <f>AI7</f>
        <v>120</v>
      </c>
      <c r="AJ11" s="141">
        <f>AJ7</f>
        <v>1.6666666666666667</v>
      </c>
      <c r="AK11" s="142">
        <f>AK7</f>
        <v>200</v>
      </c>
      <c r="AL11" s="142">
        <f>AL7</f>
        <v>130.90909090909093</v>
      </c>
      <c r="AM11" s="129">
        <f>AM7</f>
        <v>-8.3333333333333509E-2</v>
      </c>
      <c r="AN11" s="47"/>
      <c r="AO11" s="127" t="s">
        <v>34</v>
      </c>
      <c r="AP11" s="144" t="s">
        <v>34</v>
      </c>
      <c r="AQ11" s="144" t="s">
        <v>34</v>
      </c>
      <c r="AR11" s="144" t="s">
        <v>34</v>
      </c>
      <c r="AS11" s="144" t="s">
        <v>34</v>
      </c>
      <c r="AT11" s="47"/>
      <c r="AU11" s="47"/>
      <c r="AV11" s="145"/>
      <c r="AW11" s="145"/>
      <c r="AX11" s="145"/>
    </row>
    <row r="12" spans="1:50" ht="12.75" x14ac:dyDescent="0.2">
      <c r="A12" s="47"/>
      <c r="B12" s="40"/>
      <c r="C12" s="125"/>
      <c r="D12" s="129"/>
      <c r="E12" s="125"/>
      <c r="F12" s="125"/>
      <c r="G12" s="125"/>
      <c r="H12" s="125"/>
      <c r="I12" s="125"/>
      <c r="J12" s="35"/>
      <c r="K12" s="35"/>
      <c r="L12" s="35"/>
      <c r="M12" s="40"/>
      <c r="N12" s="40"/>
      <c r="O12" s="129"/>
      <c r="P12" s="125"/>
      <c r="Q12" s="125"/>
      <c r="R12" s="35"/>
      <c r="S12" s="41" t="s">
        <v>215</v>
      </c>
      <c r="T12" s="41" t="s">
        <v>75</v>
      </c>
      <c r="U12" s="41" t="s">
        <v>78</v>
      </c>
      <c r="V12" s="135">
        <f>M10</f>
        <v>130</v>
      </c>
      <c r="W12" s="136">
        <f>X12/V12</f>
        <v>4.615384615384615</v>
      </c>
      <c r="X12" s="135">
        <f>N10</f>
        <v>600</v>
      </c>
      <c r="Y12" s="135">
        <f>V12 * (1 - ABS(C10))</f>
        <v>127.39999999999999</v>
      </c>
      <c r="Z12" s="153" t="s">
        <v>34</v>
      </c>
      <c r="AA12" s="153" t="s">
        <v>34</v>
      </c>
      <c r="AB12" s="41"/>
      <c r="AC12" s="142">
        <f>V11</f>
        <v>100</v>
      </c>
      <c r="AD12" s="141">
        <f>AD8-AD4</f>
        <v>1.5</v>
      </c>
      <c r="AE12" s="142">
        <f>X11*O5</f>
        <v>150</v>
      </c>
      <c r="AF12" s="128">
        <f>V11 * (1 + D10) / (1 - H10)</f>
        <v>105.05050505050505</v>
      </c>
      <c r="AG12" s="129">
        <f>AG8</f>
        <v>0.1423076923076923</v>
      </c>
      <c r="AH12" s="141"/>
      <c r="AI12" s="142">
        <f>V11</f>
        <v>100</v>
      </c>
      <c r="AJ12" s="141">
        <f>W11*P5</f>
        <v>0.75</v>
      </c>
      <c r="AK12" s="142">
        <f>X11*P5</f>
        <v>75</v>
      </c>
      <c r="AL12" s="142">
        <f>V11 * (1 + E10) / (1 - H10)</f>
        <v>109.09090909090909</v>
      </c>
      <c r="AM12" s="55">
        <f>(B10 - AL12) / AL12</f>
        <v>9.9999999999999978E-2</v>
      </c>
      <c r="AN12" s="47"/>
      <c r="AO12" s="142">
        <f>V11</f>
        <v>100</v>
      </c>
      <c r="AP12" s="141">
        <f>W11*Q5</f>
        <v>0.75</v>
      </c>
      <c r="AQ12" s="142">
        <f>X11*Q5</f>
        <v>75</v>
      </c>
      <c r="AR12" s="142">
        <f>V11 * (1 + F10) / (1 - H10)</f>
        <v>117.17171717171716</v>
      </c>
      <c r="AS12" s="129">
        <f>(B10 - AR12) / AR12</f>
        <v>2.4137931034482842E-2</v>
      </c>
      <c r="AT12" s="47"/>
      <c r="AU12" s="47"/>
      <c r="AV12" s="145"/>
      <c r="AW12" s="145"/>
      <c r="AX12" s="145"/>
    </row>
    <row r="13" spans="1:50" ht="12.75" x14ac:dyDescent="0.2">
      <c r="A13" s="45" t="s">
        <v>213</v>
      </c>
      <c r="B13" s="52">
        <v>90</v>
      </c>
      <c r="C13" s="54">
        <v>0.02</v>
      </c>
      <c r="D13" s="124">
        <v>0.04</v>
      </c>
      <c r="E13" s="95">
        <v>0.08</v>
      </c>
      <c r="F13" s="95">
        <v>0.16</v>
      </c>
      <c r="G13" s="95"/>
      <c r="H13" s="95">
        <v>0.01</v>
      </c>
      <c r="I13" s="95"/>
      <c r="K13" s="146" t="s">
        <v>75</v>
      </c>
      <c r="L13" s="146" t="s">
        <v>78</v>
      </c>
      <c r="M13" s="147">
        <v>130</v>
      </c>
      <c r="N13" s="147">
        <v>600</v>
      </c>
      <c r="O13" s="148">
        <v>0.4</v>
      </c>
      <c r="P13" s="149">
        <v>0.5</v>
      </c>
      <c r="Q13" s="149">
        <v>0.1</v>
      </c>
      <c r="S13" s="12" t="s">
        <v>217</v>
      </c>
      <c r="T13" s="46" t="s">
        <v>75</v>
      </c>
      <c r="U13" s="12" t="str">
        <f t="shared" ref="U13:Y14" si="1">U10</f>
        <v>Entry Target</v>
      </c>
      <c r="V13" s="137">
        <f t="shared" si="1"/>
        <v>120</v>
      </c>
      <c r="W13" s="138">
        <f t="shared" si="1"/>
        <v>3.3333333333333335</v>
      </c>
      <c r="X13" s="137">
        <f t="shared" si="1"/>
        <v>400</v>
      </c>
      <c r="Y13" s="137">
        <f t="shared" si="1"/>
        <v>117.6</v>
      </c>
      <c r="Z13" s="152" t="s">
        <v>34</v>
      </c>
      <c r="AA13" s="152" t="s">
        <v>34</v>
      </c>
      <c r="AB13" s="12"/>
      <c r="AC13" s="122">
        <f>V13</f>
        <v>120</v>
      </c>
      <c r="AD13" s="30">
        <f>W13*O7</f>
        <v>1.6666666666666667</v>
      </c>
      <c r="AE13" s="123">
        <f>X13*O7</f>
        <v>200</v>
      </c>
      <c r="AF13" s="123">
        <f>V13 * (1 + D13) / (1 - H13)</f>
        <v>126.06060606060608</v>
      </c>
      <c r="AG13" s="124">
        <f>(B13 - AF13) / AF13</f>
        <v>-0.2860576923076924</v>
      </c>
      <c r="AH13" s="140"/>
      <c r="AI13" s="122">
        <f>V13</f>
        <v>120</v>
      </c>
      <c r="AJ13" s="30">
        <f>W13*P7</f>
        <v>1.6666666666666667</v>
      </c>
      <c r="AK13" s="123">
        <f>X13*P7</f>
        <v>200</v>
      </c>
      <c r="AL13" s="123">
        <f>V13 * (1 + E13) / (1 - H13)</f>
        <v>130.90909090909093</v>
      </c>
      <c r="AM13" s="124">
        <f>(B13 - AL13) / AL13</f>
        <v>-0.31250000000000011</v>
      </c>
      <c r="AO13" s="152" t="s">
        <v>34</v>
      </c>
      <c r="AP13" s="155" t="s">
        <v>34</v>
      </c>
      <c r="AQ13" s="155" t="s">
        <v>34</v>
      </c>
      <c r="AR13" s="155" t="s">
        <v>34</v>
      </c>
      <c r="AS13" s="155" t="s">
        <v>34</v>
      </c>
      <c r="AU13" s="32">
        <f>AV13+AW13+AX13</f>
        <v>6.3333333333333339</v>
      </c>
      <c r="AV13" s="32">
        <f>AD13+AD14</f>
        <v>3.166666666666667</v>
      </c>
      <c r="AW13" s="32">
        <f>AJ13+AJ14</f>
        <v>2.416666666666667</v>
      </c>
      <c r="AX13" s="32">
        <f>AP14</f>
        <v>0.75</v>
      </c>
    </row>
    <row r="14" spans="1:50" ht="12.75" x14ac:dyDescent="0.2">
      <c r="A14" s="45"/>
      <c r="B14" s="33"/>
      <c r="C14" s="67"/>
      <c r="D14" s="124"/>
      <c r="E14" s="95"/>
      <c r="F14" s="95"/>
      <c r="G14" s="95"/>
      <c r="H14" s="95"/>
      <c r="I14" s="95"/>
      <c r="M14" s="33"/>
      <c r="N14" s="33"/>
      <c r="O14" s="124"/>
      <c r="P14" s="95"/>
      <c r="Q14" s="95"/>
      <c r="S14" s="12" t="s">
        <v>216</v>
      </c>
      <c r="T14" s="12" t="str">
        <f>T11</f>
        <v>Buy</v>
      </c>
      <c r="U14" s="12" t="str">
        <f t="shared" si="1"/>
        <v>Custom</v>
      </c>
      <c r="V14" s="137">
        <f t="shared" si="1"/>
        <v>100</v>
      </c>
      <c r="W14" s="138">
        <f t="shared" si="1"/>
        <v>3</v>
      </c>
      <c r="X14" s="137">
        <f t="shared" si="1"/>
        <v>300</v>
      </c>
      <c r="Y14" s="137">
        <f t="shared" si="1"/>
        <v>98</v>
      </c>
      <c r="Z14" s="152" t="s">
        <v>34</v>
      </c>
      <c r="AA14" s="152" t="s">
        <v>34</v>
      </c>
      <c r="AB14" s="12"/>
      <c r="AC14" s="122">
        <f>V14</f>
        <v>100</v>
      </c>
      <c r="AD14" s="30">
        <f>W14*O4</f>
        <v>1.5</v>
      </c>
      <c r="AE14" s="123">
        <f>X14*O4</f>
        <v>150</v>
      </c>
      <c r="AF14" s="123">
        <f>V14 * (1 + D13) / (1 - H13)</f>
        <v>105.05050505050505</v>
      </c>
      <c r="AG14" s="124">
        <f>(B13 - AF14) / AF14</f>
        <v>-0.14326923076923079</v>
      </c>
      <c r="AH14" s="140"/>
      <c r="AI14" s="63">
        <f>V14</f>
        <v>100</v>
      </c>
      <c r="AJ14" s="32">
        <f>W14*P5</f>
        <v>0.75</v>
      </c>
      <c r="AK14" s="63">
        <f>X14*P5</f>
        <v>75</v>
      </c>
      <c r="AL14" s="63">
        <f>AL12</f>
        <v>109.09090909090909</v>
      </c>
      <c r="AM14" s="54">
        <f>(B13 - AL14) / AL14</f>
        <v>-0.17500000000000002</v>
      </c>
      <c r="AO14" s="122">
        <f>V14</f>
        <v>100</v>
      </c>
      <c r="AP14" s="30">
        <f>W14*Q5</f>
        <v>0.75</v>
      </c>
      <c r="AQ14" s="123">
        <f>X14*Q5</f>
        <v>75</v>
      </c>
      <c r="AR14" s="123">
        <v>117.17171717171716</v>
      </c>
      <c r="AS14" s="124">
        <f>(B13 - AR14) / AR14</f>
        <v>-0.23189655172413787</v>
      </c>
    </row>
    <row r="15" spans="1:50" ht="12.75" x14ac:dyDescent="0.2">
      <c r="A15" s="45"/>
      <c r="B15" s="33"/>
      <c r="C15" s="67"/>
      <c r="D15" s="124"/>
      <c r="E15" s="95"/>
      <c r="F15" s="95"/>
      <c r="G15" s="95"/>
      <c r="H15" s="95"/>
      <c r="I15" s="95"/>
      <c r="M15" s="33"/>
      <c r="N15" s="33"/>
      <c r="O15" s="124"/>
      <c r="P15" s="95"/>
      <c r="Q15" s="95"/>
      <c r="S15" s="12"/>
      <c r="T15" s="12"/>
      <c r="U15" s="12"/>
      <c r="V15" s="137"/>
      <c r="W15" s="138"/>
      <c r="X15" s="137"/>
      <c r="Y15" s="137"/>
      <c r="Z15" s="154"/>
      <c r="AA15" s="154"/>
      <c r="AB15" s="12"/>
      <c r="AC15" s="139"/>
      <c r="AD15" s="139"/>
      <c r="AE15" s="139"/>
      <c r="AF15" s="139"/>
      <c r="AG15" s="140"/>
      <c r="AH15" s="140"/>
      <c r="AI15" s="139"/>
      <c r="AJ15" s="139"/>
      <c r="AK15" s="139"/>
      <c r="AL15" s="139"/>
      <c r="AM15" s="140"/>
      <c r="AO15" s="139"/>
      <c r="AP15" s="139"/>
      <c r="AQ15" s="139"/>
      <c r="AR15" s="139"/>
      <c r="AS15" s="140"/>
    </row>
    <row r="16" spans="1:50" ht="12.75" x14ac:dyDescent="0.2">
      <c r="A16" s="66" t="s">
        <v>262</v>
      </c>
      <c r="B16" s="33"/>
      <c r="C16" s="67"/>
      <c r="D16" s="124"/>
      <c r="E16" s="95"/>
      <c r="F16" s="95"/>
      <c r="G16" s="95"/>
      <c r="H16" s="95"/>
      <c r="I16" s="95"/>
      <c r="M16" s="33"/>
      <c r="N16" s="33"/>
      <c r="O16" s="124"/>
      <c r="P16" s="95"/>
      <c r="Q16" s="95"/>
      <c r="S16" s="12"/>
      <c r="T16" s="12"/>
      <c r="U16" s="12"/>
      <c r="V16" s="137"/>
      <c r="W16" s="138"/>
      <c r="X16" s="137"/>
      <c r="Y16" s="137"/>
      <c r="Z16" s="12"/>
      <c r="AA16" s="12"/>
      <c r="AB16" s="12"/>
      <c r="AC16" s="139"/>
      <c r="AD16" s="139"/>
      <c r="AE16" s="139"/>
      <c r="AF16" s="139"/>
      <c r="AG16" s="140"/>
      <c r="AH16" s="140"/>
      <c r="AI16" s="139"/>
      <c r="AJ16" s="139"/>
      <c r="AK16" s="139"/>
      <c r="AL16" s="139"/>
      <c r="AM16" s="140"/>
      <c r="AO16" s="139"/>
      <c r="AP16" s="139"/>
      <c r="AQ16" s="139"/>
      <c r="AR16" s="139"/>
      <c r="AS16" s="140"/>
    </row>
    <row r="17" spans="1:50" ht="12.75" x14ac:dyDescent="0.2">
      <c r="B17" s="45" t="s">
        <v>204</v>
      </c>
      <c r="C17" s="109"/>
      <c r="K17" s="45" t="s">
        <v>202</v>
      </c>
      <c r="S17" s="45" t="s">
        <v>203</v>
      </c>
      <c r="U17" s="12"/>
      <c r="V17" s="12"/>
      <c r="W17" s="12"/>
      <c r="X17" s="12"/>
      <c r="Y17" s="12"/>
      <c r="Z17" s="12"/>
      <c r="AA17" s="12"/>
      <c r="AB17" s="12"/>
      <c r="AC17" s="130" t="s">
        <v>205</v>
      </c>
      <c r="AD17" s="46"/>
      <c r="AE17" s="46"/>
      <c r="AF17" s="46"/>
      <c r="AG17" s="46"/>
      <c r="AH17" s="46"/>
      <c r="AI17" s="130" t="s">
        <v>207</v>
      </c>
      <c r="AJ17" s="46"/>
      <c r="AK17" s="46"/>
      <c r="AL17" s="46"/>
      <c r="AM17" s="46"/>
      <c r="AN17" s="45"/>
      <c r="AO17" s="130" t="s">
        <v>208</v>
      </c>
      <c r="AP17" s="12"/>
      <c r="AQ17" s="12"/>
      <c r="AR17" s="12"/>
      <c r="AS17" s="12"/>
      <c r="AU17" s="130" t="s">
        <v>206</v>
      </c>
    </row>
    <row r="18" spans="1:50" ht="12.75" x14ac:dyDescent="0.2">
      <c r="B18" s="57" t="s">
        <v>209</v>
      </c>
      <c r="C18" s="28" t="s">
        <v>190</v>
      </c>
      <c r="D18" s="57" t="s">
        <v>191</v>
      </c>
      <c r="E18" s="28" t="s">
        <v>192</v>
      </c>
      <c r="F18" s="28" t="s">
        <v>193</v>
      </c>
      <c r="G18" s="28" t="s">
        <v>293</v>
      </c>
      <c r="H18" s="57" t="s">
        <v>292</v>
      </c>
      <c r="I18" s="57"/>
      <c r="J18" s="101"/>
      <c r="K18" s="28" t="s">
        <v>76</v>
      </c>
      <c r="L18" s="28" t="s">
        <v>4</v>
      </c>
      <c r="M18" s="57" t="s">
        <v>0</v>
      </c>
      <c r="N18" s="57" t="s">
        <v>1</v>
      </c>
      <c r="O18" s="28" t="s">
        <v>191</v>
      </c>
      <c r="P18" s="28" t="s">
        <v>192</v>
      </c>
      <c r="Q18" s="28" t="s">
        <v>193</v>
      </c>
      <c r="S18" s="28"/>
      <c r="T18" s="28" t="s">
        <v>76</v>
      </c>
      <c r="U18" s="28" t="s">
        <v>4</v>
      </c>
      <c r="V18" s="57" t="s">
        <v>0</v>
      </c>
      <c r="W18" s="28" t="s">
        <v>62</v>
      </c>
      <c r="X18" s="57" t="s">
        <v>220</v>
      </c>
      <c r="Y18" s="57" t="s">
        <v>190</v>
      </c>
      <c r="Z18" s="57" t="s">
        <v>194</v>
      </c>
      <c r="AA18" s="28" t="s">
        <v>195</v>
      </c>
      <c r="AB18" s="12"/>
      <c r="AC18" s="28" t="s">
        <v>0</v>
      </c>
      <c r="AD18" s="28" t="s">
        <v>196</v>
      </c>
      <c r="AE18" s="57" t="s">
        <v>1</v>
      </c>
      <c r="AF18" s="57" t="s">
        <v>197</v>
      </c>
      <c r="AG18" s="57" t="s">
        <v>198</v>
      </c>
      <c r="AH18" s="60"/>
      <c r="AI18" s="28" t="s">
        <v>0</v>
      </c>
      <c r="AJ18" s="28" t="s">
        <v>196</v>
      </c>
      <c r="AK18" s="57" t="s">
        <v>1</v>
      </c>
      <c r="AL18" s="57" t="s">
        <v>197</v>
      </c>
      <c r="AM18" s="57" t="s">
        <v>198</v>
      </c>
      <c r="AO18" s="28" t="s">
        <v>0</v>
      </c>
      <c r="AP18" s="28" t="s">
        <v>196</v>
      </c>
      <c r="AQ18" s="57" t="s">
        <v>1</v>
      </c>
      <c r="AR18" s="57" t="s">
        <v>197</v>
      </c>
      <c r="AS18" s="57" t="s">
        <v>198</v>
      </c>
      <c r="AU18" s="57" t="s">
        <v>199</v>
      </c>
      <c r="AV18" s="28" t="s">
        <v>191</v>
      </c>
      <c r="AW18" s="28" t="s">
        <v>192</v>
      </c>
      <c r="AX18" s="28" t="s">
        <v>193</v>
      </c>
    </row>
    <row r="19" spans="1:50" ht="12.75" x14ac:dyDescent="0.2">
      <c r="A19" s="110" t="s">
        <v>215</v>
      </c>
      <c r="B19" s="52">
        <v>100</v>
      </c>
      <c r="C19" s="54">
        <v>0.02</v>
      </c>
      <c r="D19" s="124">
        <v>0.04</v>
      </c>
      <c r="E19" s="95">
        <v>0.08</v>
      </c>
      <c r="F19" s="95">
        <v>0.16</v>
      </c>
      <c r="G19" s="95"/>
      <c r="H19" s="95">
        <v>0.01</v>
      </c>
      <c r="I19" s="95"/>
      <c r="J19" s="95"/>
      <c r="K19" s="133" t="s">
        <v>75</v>
      </c>
      <c r="L19" s="133" t="s">
        <v>78</v>
      </c>
      <c r="M19" s="52">
        <v>100</v>
      </c>
      <c r="N19" s="52">
        <v>600</v>
      </c>
      <c r="O19" s="124">
        <v>0.5</v>
      </c>
      <c r="P19" s="95">
        <v>0.3</v>
      </c>
      <c r="Q19" s="95">
        <v>0.2</v>
      </c>
      <c r="S19" s="45" t="s">
        <v>215</v>
      </c>
      <c r="T19" s="45" t="s">
        <v>75</v>
      </c>
      <c r="U19" s="131" t="s">
        <v>78</v>
      </c>
      <c r="V19" s="122">
        <f>M19</f>
        <v>100</v>
      </c>
      <c r="W19" s="30">
        <f>X19/V19</f>
        <v>6</v>
      </c>
      <c r="X19" s="122">
        <f>N19</f>
        <v>600</v>
      </c>
      <c r="Y19" s="122">
        <f>V19 * (1 - ABS(C19))</f>
        <v>98</v>
      </c>
      <c r="Z19" s="152" t="s">
        <v>34</v>
      </c>
      <c r="AA19" s="152" t="s">
        <v>34</v>
      </c>
      <c r="AB19" s="12"/>
      <c r="AC19" s="122">
        <f>V19</f>
        <v>100</v>
      </c>
      <c r="AD19" s="30">
        <f>W19*O19</f>
        <v>3</v>
      </c>
      <c r="AE19" s="123">
        <f>X19*O19</f>
        <v>300</v>
      </c>
      <c r="AF19" s="123">
        <f>AC19 * (1 + D19) / (1 - H19)</f>
        <v>105.05050505050505</v>
      </c>
      <c r="AG19" s="124">
        <f>(B19 - AF19) / AF19</f>
        <v>-4.8076923076923087E-2</v>
      </c>
      <c r="AH19" s="30"/>
      <c r="AI19" s="122">
        <f>V19</f>
        <v>100</v>
      </c>
      <c r="AJ19" s="30">
        <f>W19*P19</f>
        <v>1.7999999999999998</v>
      </c>
      <c r="AK19" s="123">
        <f>X19*P19</f>
        <v>180</v>
      </c>
      <c r="AL19" s="123">
        <f>AI19 * (1 + E19) / (1 - H19)</f>
        <v>109.09090909090909</v>
      </c>
      <c r="AM19" s="124">
        <f>(B19 - AL19) / AL19</f>
        <v>-8.3333333333333356E-2</v>
      </c>
      <c r="AO19" s="122">
        <f>V19</f>
        <v>100</v>
      </c>
      <c r="AP19" s="30">
        <f>W19*Q19</f>
        <v>1.2000000000000002</v>
      </c>
      <c r="AQ19" s="123">
        <f>X19*Q19</f>
        <v>120</v>
      </c>
      <c r="AR19" s="123">
        <f>AO19 * (1 + F19) / (1 - H19)</f>
        <v>117.17171717171716</v>
      </c>
      <c r="AS19" s="124">
        <f>(B19 - AR19) / AR19</f>
        <v>-0.14655172413793097</v>
      </c>
      <c r="AU19" s="32">
        <f>AD19+AJ19+AP19</f>
        <v>6</v>
      </c>
      <c r="AV19" s="32">
        <f>AD19</f>
        <v>3</v>
      </c>
      <c r="AW19" s="32">
        <f>AJ19</f>
        <v>1.7999999999999998</v>
      </c>
      <c r="AX19" s="32">
        <f>AP19</f>
        <v>1.2000000000000002</v>
      </c>
    </row>
    <row r="20" spans="1:50" ht="12.75" x14ac:dyDescent="0.2">
      <c r="A20" s="177" t="s">
        <v>218</v>
      </c>
      <c r="B20" s="40">
        <v>110</v>
      </c>
      <c r="C20" s="55">
        <v>0.02</v>
      </c>
      <c r="D20" s="129">
        <v>0.04</v>
      </c>
      <c r="E20" s="125">
        <v>0.08</v>
      </c>
      <c r="F20" s="125">
        <v>0.16</v>
      </c>
      <c r="G20" s="125"/>
      <c r="H20" s="125">
        <v>0.01</v>
      </c>
      <c r="I20" s="125"/>
      <c r="J20" s="125"/>
      <c r="K20" s="134" t="s">
        <v>73</v>
      </c>
      <c r="L20" s="134" t="s">
        <v>219</v>
      </c>
      <c r="M20" s="40">
        <v>110</v>
      </c>
      <c r="N20" s="153" t="s">
        <v>34</v>
      </c>
      <c r="O20" s="129">
        <v>0.5</v>
      </c>
      <c r="P20" s="153" t="s">
        <v>34</v>
      </c>
      <c r="Q20" s="153" t="s">
        <v>34</v>
      </c>
      <c r="R20" s="35"/>
      <c r="S20" s="47" t="s">
        <v>218</v>
      </c>
      <c r="T20" s="47" t="s">
        <v>73</v>
      </c>
      <c r="U20" s="132" t="s">
        <v>219</v>
      </c>
      <c r="V20" s="126">
        <f>M20</f>
        <v>110</v>
      </c>
      <c r="W20" s="43">
        <f>AD19*O20</f>
        <v>1.5</v>
      </c>
      <c r="X20" s="126">
        <f>V20*W20-(V20*W20*H20)</f>
        <v>163.35</v>
      </c>
      <c r="Y20" s="153" t="s">
        <v>34</v>
      </c>
      <c r="Z20" s="127">
        <f>X20-(V19*W20)</f>
        <v>13.349999999999994</v>
      </c>
      <c r="AA20" s="151">
        <f>Z20/(V19*W20)</f>
        <v>8.8999999999999968E-2</v>
      </c>
      <c r="AB20" s="41"/>
      <c r="AC20" s="126">
        <f>V21</f>
        <v>100</v>
      </c>
      <c r="AD20" s="43">
        <f>AD19-W20</f>
        <v>1.5</v>
      </c>
      <c r="AE20" s="128">
        <f>AE19*O20</f>
        <v>150</v>
      </c>
      <c r="AF20" s="128">
        <f>AC20 * (1 + D20) / (1 - H20)</f>
        <v>105.05050505050505</v>
      </c>
      <c r="AG20" s="156">
        <f>(B20 - AF20) / AF20</f>
        <v>4.7115384615384601E-2</v>
      </c>
      <c r="AH20" s="43"/>
      <c r="AI20" s="126">
        <f>V21</f>
        <v>100</v>
      </c>
      <c r="AJ20" s="43">
        <f>AJ19</f>
        <v>1.7999999999999998</v>
      </c>
      <c r="AK20" s="128">
        <f>AK19</f>
        <v>180</v>
      </c>
      <c r="AL20" s="128">
        <f>AI20 * (1 + E20) / (1 - H20)</f>
        <v>109.09090909090909</v>
      </c>
      <c r="AM20" s="156">
        <f>(B20 - AL20) / AL20</f>
        <v>8.3333333333333089E-3</v>
      </c>
      <c r="AN20" s="35"/>
      <c r="AO20" s="126">
        <f>V21</f>
        <v>100</v>
      </c>
      <c r="AP20" s="43">
        <f>AP19</f>
        <v>1.2000000000000002</v>
      </c>
      <c r="AQ20" s="128">
        <f>AQ19</f>
        <v>120</v>
      </c>
      <c r="AR20" s="128">
        <f>AO20 * (1 + F20) / (1 - H20)</f>
        <v>117.17171717171716</v>
      </c>
      <c r="AS20" s="129">
        <f>(B20 - AR20) / AR20</f>
        <v>-6.1206896551724066E-2</v>
      </c>
      <c r="AT20" s="35"/>
      <c r="AU20" s="39">
        <f>AD20+AJ20+AP20</f>
        <v>4.5</v>
      </c>
      <c r="AV20" s="39">
        <f>AD20</f>
        <v>1.5</v>
      </c>
      <c r="AW20" s="39">
        <f>AJ20</f>
        <v>1.7999999999999998</v>
      </c>
      <c r="AX20" s="39">
        <f>AP20</f>
        <v>1.2000000000000002</v>
      </c>
    </row>
    <row r="21" spans="1:50" ht="12.75" x14ac:dyDescent="0.2">
      <c r="A21" s="177"/>
      <c r="B21" s="40"/>
      <c r="C21" s="55"/>
      <c r="D21" s="129"/>
      <c r="E21" s="125"/>
      <c r="F21" s="125"/>
      <c r="G21" s="125"/>
      <c r="H21" s="125"/>
      <c r="I21" s="125"/>
      <c r="J21" s="125"/>
      <c r="K21" s="134"/>
      <c r="L21" s="134"/>
      <c r="M21" s="40"/>
      <c r="N21" s="40"/>
      <c r="O21" s="129"/>
      <c r="P21" s="125"/>
      <c r="Q21" s="125"/>
      <c r="R21" s="35"/>
      <c r="S21" s="47" t="s">
        <v>215</v>
      </c>
      <c r="T21" s="47" t="s">
        <v>75</v>
      </c>
      <c r="U21" s="132" t="s">
        <v>78</v>
      </c>
      <c r="V21" s="126">
        <f>V19</f>
        <v>100</v>
      </c>
      <c r="W21" s="43">
        <f>W19</f>
        <v>6</v>
      </c>
      <c r="X21" s="126">
        <f>X19</f>
        <v>600</v>
      </c>
      <c r="Y21" s="126">
        <f>Y19</f>
        <v>98</v>
      </c>
      <c r="Z21" s="153" t="s">
        <v>34</v>
      </c>
      <c r="AA21" s="153" t="s">
        <v>34</v>
      </c>
      <c r="AB21" s="41"/>
      <c r="AC21" s="126"/>
      <c r="AD21" s="43"/>
      <c r="AE21" s="128"/>
      <c r="AF21" s="128"/>
      <c r="AG21" s="129"/>
      <c r="AH21" s="43"/>
      <c r="AI21" s="126"/>
      <c r="AJ21" s="43"/>
      <c r="AK21" s="128"/>
      <c r="AL21" s="128"/>
      <c r="AM21" s="129"/>
      <c r="AN21" s="35"/>
      <c r="AO21" s="126"/>
      <c r="AP21" s="43"/>
      <c r="AQ21" s="128"/>
      <c r="AR21" s="128"/>
      <c r="AS21" s="129"/>
      <c r="AT21" s="35"/>
      <c r="AU21" s="39"/>
      <c r="AV21" s="39"/>
      <c r="AW21" s="39"/>
      <c r="AX21" s="39"/>
    </row>
    <row r="22" spans="1:50" ht="12.75" x14ac:dyDescent="0.2">
      <c r="A22" s="110" t="s">
        <v>221</v>
      </c>
      <c r="B22" s="52">
        <v>90</v>
      </c>
      <c r="C22" s="54">
        <v>0.02</v>
      </c>
      <c r="D22" s="124">
        <v>0.04</v>
      </c>
      <c r="E22" s="95">
        <v>0.08</v>
      </c>
      <c r="F22" s="95">
        <v>0.16</v>
      </c>
      <c r="G22" s="95"/>
      <c r="H22" s="95">
        <v>0.01</v>
      </c>
      <c r="I22" s="95"/>
      <c r="J22" s="95"/>
      <c r="K22" s="133" t="s">
        <v>73</v>
      </c>
      <c r="L22" s="133" t="s">
        <v>219</v>
      </c>
      <c r="M22" s="52">
        <v>90</v>
      </c>
      <c r="N22" s="152" t="s">
        <v>34</v>
      </c>
      <c r="O22" s="152" t="s">
        <v>34</v>
      </c>
      <c r="P22" s="95">
        <v>1</v>
      </c>
      <c r="Q22" s="152" t="s">
        <v>34</v>
      </c>
      <c r="S22" s="45" t="s">
        <v>221</v>
      </c>
      <c r="T22" s="45" t="s">
        <v>73</v>
      </c>
      <c r="U22" s="130" t="s">
        <v>219</v>
      </c>
      <c r="V22" s="122">
        <f>M22</f>
        <v>90</v>
      </c>
      <c r="W22" s="30">
        <f>AJ20*P22</f>
        <v>1.7999999999999998</v>
      </c>
      <c r="X22" s="122">
        <f>V22*W22-(V22*W22*H22)</f>
        <v>160.37999999999997</v>
      </c>
      <c r="Y22" s="152" t="s">
        <v>34</v>
      </c>
      <c r="Z22" s="152">
        <f>X22-(V21*W22)</f>
        <v>-19.620000000000005</v>
      </c>
      <c r="AA22" s="160">
        <f>Z22/(V21*W22)</f>
        <v>-0.10900000000000004</v>
      </c>
      <c r="AB22" s="12"/>
      <c r="AC22" s="122">
        <f>AC20</f>
        <v>100</v>
      </c>
      <c r="AD22" s="30">
        <f>AD20</f>
        <v>1.5</v>
      </c>
      <c r="AE22" s="123">
        <f>AE20</f>
        <v>150</v>
      </c>
      <c r="AF22" s="123">
        <f>AF20</f>
        <v>105.05050505050505</v>
      </c>
      <c r="AG22" s="124">
        <f>(B22 - AF22) / AF22</f>
        <v>-0.14326923076923079</v>
      </c>
      <c r="AH22" s="30"/>
      <c r="AI22" s="162">
        <f>AI20</f>
        <v>100</v>
      </c>
      <c r="AJ22" s="163">
        <f>AJ20</f>
        <v>1.7999999999999998</v>
      </c>
      <c r="AK22" s="164">
        <f>AK20</f>
        <v>180</v>
      </c>
      <c r="AL22" s="164">
        <f>AL20</f>
        <v>109.09090909090909</v>
      </c>
      <c r="AM22" s="148">
        <f>AM20</f>
        <v>8.3333333333333089E-3</v>
      </c>
      <c r="AO22" s="122">
        <f>AO20</f>
        <v>100</v>
      </c>
      <c r="AP22" s="30">
        <f>AP20</f>
        <v>1.2000000000000002</v>
      </c>
      <c r="AQ22" s="123">
        <f>AQ20</f>
        <v>120</v>
      </c>
      <c r="AR22" s="123">
        <f>AR20</f>
        <v>117.17171717171716</v>
      </c>
      <c r="AS22" s="124">
        <f>(B22 - AR22) / AR22</f>
        <v>-0.23189655172413787</v>
      </c>
      <c r="AU22" s="32">
        <f>AV22+AW22+AX22</f>
        <v>2.7</v>
      </c>
      <c r="AV22" s="32">
        <f>AD22</f>
        <v>1.5</v>
      </c>
      <c r="AW22" s="32">
        <v>0</v>
      </c>
      <c r="AX22" s="32">
        <f>AP22</f>
        <v>1.2000000000000002</v>
      </c>
    </row>
    <row r="23" spans="1:50" ht="12.75" x14ac:dyDescent="0.2">
      <c r="A23" s="110"/>
      <c r="B23" s="52"/>
      <c r="C23" s="95"/>
      <c r="J23" s="95"/>
      <c r="K23" s="95"/>
      <c r="L23" s="95"/>
      <c r="M23" s="52"/>
      <c r="N23" s="52"/>
      <c r="O23" s="95"/>
      <c r="P23" s="95"/>
      <c r="Q23" s="95"/>
      <c r="S23" s="46" t="str">
        <f t="shared" ref="S23:T27" si="2">S20</f>
        <v>SellA</v>
      </c>
      <c r="T23" s="46" t="str">
        <f t="shared" si="2"/>
        <v>Sell</v>
      </c>
      <c r="U23" s="130" t="s">
        <v>219</v>
      </c>
      <c r="V23" s="122">
        <f t="shared" ref="V23:X23" si="3">V20</f>
        <v>110</v>
      </c>
      <c r="W23" s="30">
        <f t="shared" si="3"/>
        <v>1.5</v>
      </c>
      <c r="X23" s="122">
        <f t="shared" si="3"/>
        <v>163.35</v>
      </c>
      <c r="Y23" s="152" t="s">
        <v>34</v>
      </c>
      <c r="Z23" s="152">
        <f>Z20</f>
        <v>13.349999999999994</v>
      </c>
      <c r="AA23" s="161">
        <f>AA20</f>
        <v>8.8999999999999968E-2</v>
      </c>
      <c r="AB23" s="12"/>
      <c r="AC23" s="122"/>
      <c r="AD23" s="30"/>
      <c r="AE23" s="157"/>
      <c r="AF23" s="157"/>
      <c r="AG23" s="124"/>
      <c r="AH23" s="30"/>
      <c r="AI23" s="63"/>
      <c r="AJ23" s="32"/>
      <c r="AK23" s="63"/>
      <c r="AL23" s="63"/>
      <c r="AM23" s="62"/>
      <c r="AO23" s="158"/>
      <c r="AP23" s="159"/>
      <c r="AQ23" s="159"/>
      <c r="AR23" s="159"/>
      <c r="AS23" s="159"/>
    </row>
    <row r="24" spans="1:50" ht="12.75" x14ac:dyDescent="0.2">
      <c r="A24" s="110"/>
      <c r="B24" s="52"/>
      <c r="C24" s="95"/>
      <c r="D24" s="29"/>
      <c r="E24" s="50"/>
      <c r="H24" s="50"/>
      <c r="I24" s="50"/>
      <c r="J24" s="50"/>
      <c r="K24" s="50"/>
      <c r="L24" s="50"/>
      <c r="M24" s="52"/>
      <c r="N24" s="52"/>
      <c r="O24" s="50"/>
      <c r="P24" s="50"/>
      <c r="Q24" s="50"/>
      <c r="S24" s="46" t="str">
        <f t="shared" si="2"/>
        <v>BuyA</v>
      </c>
      <c r="T24" s="46" t="str">
        <f t="shared" si="2"/>
        <v>Buy</v>
      </c>
      <c r="U24" s="130" t="s">
        <v>78</v>
      </c>
      <c r="V24" s="122">
        <f>V21</f>
        <v>100</v>
      </c>
      <c r="W24" s="30">
        <f>W21</f>
        <v>6</v>
      </c>
      <c r="X24" s="122">
        <f>X21</f>
        <v>600</v>
      </c>
      <c r="Y24" s="165">
        <f>Y21</f>
        <v>98</v>
      </c>
      <c r="Z24" s="152" t="s">
        <v>34</v>
      </c>
      <c r="AA24" s="152" t="s">
        <v>34</v>
      </c>
      <c r="AB24" s="12"/>
      <c r="AC24" s="63"/>
      <c r="AH24" s="30"/>
      <c r="AI24" s="13"/>
      <c r="AJ24" s="13"/>
      <c r="AK24" s="13"/>
      <c r="AL24" s="13"/>
      <c r="AM24" s="30"/>
      <c r="AO24" s="122"/>
      <c r="AP24" s="13"/>
      <c r="AQ24" s="13"/>
      <c r="AR24" s="13"/>
      <c r="AS24" s="30"/>
    </row>
    <row r="25" spans="1:50" s="35" customFormat="1" ht="12.75" x14ac:dyDescent="0.2">
      <c r="A25" s="177" t="s">
        <v>224</v>
      </c>
      <c r="B25" s="40">
        <v>90</v>
      </c>
      <c r="C25" s="55">
        <v>0.02</v>
      </c>
      <c r="D25" s="129">
        <v>0.04</v>
      </c>
      <c r="E25" s="125">
        <v>0.08</v>
      </c>
      <c r="F25" s="125">
        <v>0.16</v>
      </c>
      <c r="G25" s="125"/>
      <c r="H25" s="125">
        <v>0.01</v>
      </c>
      <c r="I25" s="125"/>
      <c r="J25" s="51"/>
      <c r="K25" s="172" t="s">
        <v>225</v>
      </c>
      <c r="L25" s="172" t="s">
        <v>211</v>
      </c>
      <c r="M25" s="40">
        <v>95</v>
      </c>
      <c r="N25" s="153" t="s">
        <v>34</v>
      </c>
      <c r="O25" s="153" t="s">
        <v>34</v>
      </c>
      <c r="P25" s="125">
        <v>0.5</v>
      </c>
      <c r="Q25" s="153" t="s">
        <v>34</v>
      </c>
      <c r="S25" s="47" t="str">
        <f t="shared" si="2"/>
        <v>SellB</v>
      </c>
      <c r="T25" s="47" t="str">
        <f t="shared" si="2"/>
        <v>Sell</v>
      </c>
      <c r="U25" s="132" t="s">
        <v>211</v>
      </c>
      <c r="V25" s="126">
        <f>M25</f>
        <v>95</v>
      </c>
      <c r="W25" s="43">
        <f>AJ20*P25</f>
        <v>0.89999999999999991</v>
      </c>
      <c r="X25" s="126">
        <f>V25*W25-(V25*W25*H25)</f>
        <v>84.644999999999982</v>
      </c>
      <c r="Y25" s="153" t="s">
        <v>34</v>
      </c>
      <c r="Z25" s="127">
        <f>X25-(V24*W25)</f>
        <v>-5.355000000000004</v>
      </c>
      <c r="AA25" s="151">
        <f>Z25/(V24*W25)</f>
        <v>-5.9500000000000053E-2</v>
      </c>
      <c r="AB25" s="41"/>
      <c r="AC25" s="126">
        <f>AC22</f>
        <v>100</v>
      </c>
      <c r="AD25" s="43">
        <f>AD22</f>
        <v>1.5</v>
      </c>
      <c r="AE25" s="128">
        <f>AE22</f>
        <v>150</v>
      </c>
      <c r="AF25" s="128">
        <f>AF22</f>
        <v>105.05050505050505</v>
      </c>
      <c r="AG25" s="176">
        <f>(B25 - AF25) / AF25</f>
        <v>-0.14326923076923079</v>
      </c>
      <c r="AH25" s="43"/>
      <c r="AI25" s="126">
        <f>AI22</f>
        <v>100</v>
      </c>
      <c r="AJ25" s="43">
        <f>AJ22*P25</f>
        <v>0.89999999999999991</v>
      </c>
      <c r="AK25" s="128">
        <f>AK22*P25</f>
        <v>90</v>
      </c>
      <c r="AL25" s="128">
        <f>AI25 * (1 + E25) / (1 - H25)</f>
        <v>109.09090909090909</v>
      </c>
      <c r="AM25" s="176">
        <f>(B25 - AL25) / AL25</f>
        <v>-0.17500000000000002</v>
      </c>
      <c r="AO25" s="126">
        <f>AO22</f>
        <v>100</v>
      </c>
      <c r="AP25" s="43">
        <f>AP22</f>
        <v>1.2000000000000002</v>
      </c>
      <c r="AQ25" s="128">
        <f>AQ22</f>
        <v>120</v>
      </c>
      <c r="AR25" s="128">
        <f>AR22</f>
        <v>117.17171717171716</v>
      </c>
      <c r="AS25" s="129">
        <f>AS22</f>
        <v>-0.23189655172413787</v>
      </c>
      <c r="AU25" s="39">
        <f>AV25+AW25+AX25</f>
        <v>3.6</v>
      </c>
      <c r="AV25" s="39">
        <f>AD25</f>
        <v>1.5</v>
      </c>
      <c r="AW25" s="39">
        <f>AJ25</f>
        <v>0.89999999999999991</v>
      </c>
      <c r="AX25" s="39">
        <f>AP25</f>
        <v>1.2000000000000002</v>
      </c>
    </row>
    <row r="26" spans="1:50" s="35" customFormat="1" ht="12.75" x14ac:dyDescent="0.2">
      <c r="A26" s="177"/>
      <c r="B26" s="40"/>
      <c r="C26" s="125"/>
      <c r="D26" s="37"/>
      <c r="E26" s="51"/>
      <c r="H26" s="51"/>
      <c r="I26" s="51"/>
      <c r="J26" s="51"/>
      <c r="K26" s="51"/>
      <c r="L26" s="51"/>
      <c r="M26" s="40"/>
      <c r="N26" s="40"/>
      <c r="O26" s="51"/>
      <c r="P26" s="51"/>
      <c r="Q26" s="51"/>
      <c r="S26" s="47" t="str">
        <f t="shared" si="2"/>
        <v>SellA</v>
      </c>
      <c r="T26" s="47" t="str">
        <f t="shared" si="2"/>
        <v>Sell</v>
      </c>
      <c r="U26" s="132" t="s">
        <v>219</v>
      </c>
      <c r="V26" s="126">
        <f t="shared" ref="V26:X27" si="4">V23</f>
        <v>110</v>
      </c>
      <c r="W26" s="43">
        <f t="shared" si="4"/>
        <v>1.5</v>
      </c>
      <c r="X26" s="126">
        <f t="shared" si="4"/>
        <v>163.35</v>
      </c>
      <c r="Y26" s="153" t="s">
        <v>34</v>
      </c>
      <c r="Z26" s="127">
        <f>Z23</f>
        <v>13.349999999999994</v>
      </c>
      <c r="AA26" s="151">
        <f>AA23</f>
        <v>8.8999999999999968E-2</v>
      </c>
      <c r="AB26" s="41"/>
      <c r="AC26" s="65"/>
      <c r="AH26" s="43"/>
      <c r="AI26" s="42"/>
      <c r="AJ26" s="42"/>
      <c r="AK26" s="42"/>
      <c r="AL26" s="42"/>
      <c r="AM26" s="43"/>
      <c r="AO26" s="126"/>
      <c r="AP26" s="42"/>
      <c r="AQ26" s="42"/>
      <c r="AR26" s="42"/>
      <c r="AS26" s="43"/>
    </row>
    <row r="27" spans="1:50" s="35" customFormat="1" ht="12.75" x14ac:dyDescent="0.2">
      <c r="A27" s="177"/>
      <c r="B27" s="40"/>
      <c r="C27" s="125"/>
      <c r="D27" s="37"/>
      <c r="E27" s="51"/>
      <c r="H27" s="51"/>
      <c r="I27" s="51"/>
      <c r="J27" s="51"/>
      <c r="K27" s="51"/>
      <c r="L27" s="51"/>
      <c r="M27" s="40"/>
      <c r="N27" s="40"/>
      <c r="O27" s="51"/>
      <c r="P27" s="51"/>
      <c r="Q27" s="51"/>
      <c r="S27" s="47" t="str">
        <f t="shared" si="2"/>
        <v>BuyA</v>
      </c>
      <c r="T27" s="47" t="str">
        <f t="shared" si="2"/>
        <v>Buy</v>
      </c>
      <c r="U27" s="132" t="s">
        <v>78</v>
      </c>
      <c r="V27" s="126">
        <f t="shared" si="4"/>
        <v>100</v>
      </c>
      <c r="W27" s="43">
        <f t="shared" si="4"/>
        <v>6</v>
      </c>
      <c r="X27" s="126">
        <f t="shared" si="4"/>
        <v>600</v>
      </c>
      <c r="Y27" s="171">
        <f>Y24</f>
        <v>98</v>
      </c>
      <c r="Z27" s="153" t="s">
        <v>34</v>
      </c>
      <c r="AA27" s="153" t="s">
        <v>34</v>
      </c>
      <c r="AB27" s="41"/>
      <c r="AC27" s="65"/>
      <c r="AH27" s="43"/>
      <c r="AI27" s="42"/>
      <c r="AJ27" s="42"/>
      <c r="AK27" s="42"/>
      <c r="AL27" s="42"/>
      <c r="AM27" s="43"/>
      <c r="AO27" s="126"/>
      <c r="AP27" s="42"/>
      <c r="AQ27" s="42"/>
      <c r="AR27" s="42"/>
      <c r="AS27" s="43"/>
    </row>
    <row r="28" spans="1:50" ht="12.75" x14ac:dyDescent="0.2">
      <c r="A28" s="45" t="s">
        <v>223</v>
      </c>
      <c r="B28" s="52">
        <v>90</v>
      </c>
      <c r="C28" s="62">
        <v>0.02</v>
      </c>
      <c r="D28" s="124">
        <v>0.04</v>
      </c>
      <c r="E28" s="95">
        <v>0.08</v>
      </c>
      <c r="F28" s="95">
        <v>0.16</v>
      </c>
      <c r="G28" s="95"/>
      <c r="H28" s="95">
        <v>0.01</v>
      </c>
      <c r="I28" s="95"/>
      <c r="K28" s="45" t="s">
        <v>222</v>
      </c>
      <c r="L28" s="152" t="s">
        <v>34</v>
      </c>
      <c r="M28" s="152" t="s">
        <v>34</v>
      </c>
      <c r="N28" s="152" t="s">
        <v>34</v>
      </c>
      <c r="O28" s="152" t="s">
        <v>34</v>
      </c>
      <c r="P28" s="152" t="s">
        <v>34</v>
      </c>
      <c r="Q28" s="152" t="s">
        <v>34</v>
      </c>
      <c r="S28" s="45" t="str">
        <f t="shared" ref="S28:T30" si="5">S32</f>
        <v>BuyB</v>
      </c>
      <c r="T28" s="45" t="str">
        <f t="shared" si="5"/>
        <v>Buy</v>
      </c>
      <c r="U28" s="130" t="s">
        <v>214</v>
      </c>
      <c r="V28" s="122">
        <f>V32</f>
        <v>100</v>
      </c>
      <c r="W28" s="30">
        <f>W32</f>
        <v>4</v>
      </c>
      <c r="X28" s="122">
        <f>X32</f>
        <v>400</v>
      </c>
      <c r="Y28" s="219">
        <f>Y32</f>
        <v>98</v>
      </c>
      <c r="Z28" s="152" t="s">
        <v>34</v>
      </c>
      <c r="AA28" s="152" t="s">
        <v>34</v>
      </c>
      <c r="AB28" s="12"/>
      <c r="AC28" s="122">
        <f>AC32</f>
        <v>100</v>
      </c>
      <c r="AD28" s="30">
        <f>AD25</f>
        <v>1.5</v>
      </c>
      <c r="AE28" s="157">
        <f>AE25</f>
        <v>150</v>
      </c>
      <c r="AF28" s="123">
        <f>AC28 * (1 + D28) / (1 - H28)</f>
        <v>105.05050505050505</v>
      </c>
      <c r="AG28" s="124">
        <f>(B28 - AF28) / AF28</f>
        <v>-0.14326923076923079</v>
      </c>
      <c r="AH28" s="140"/>
      <c r="AI28" s="122">
        <f>AI32</f>
        <v>100</v>
      </c>
      <c r="AJ28" s="30">
        <f>AJ22</f>
        <v>1.7999999999999998</v>
      </c>
      <c r="AK28" s="157">
        <f>AK22</f>
        <v>180</v>
      </c>
      <c r="AL28" s="123">
        <f>AI28 * (1 + E28) / (1 - H28)</f>
        <v>109.09090909090909</v>
      </c>
      <c r="AM28" s="124">
        <f>(B28 - AL28) / AL28</f>
        <v>-0.17500000000000002</v>
      </c>
      <c r="AO28" s="122">
        <f>AO32</f>
        <v>100</v>
      </c>
      <c r="AP28" s="30">
        <f>AP25</f>
        <v>1.2000000000000002</v>
      </c>
      <c r="AQ28" s="157">
        <f>AQ25</f>
        <v>120</v>
      </c>
      <c r="AR28" s="123">
        <f>AO28 * (1 + F28) / (1 - H28)</f>
        <v>117.17171717171716</v>
      </c>
      <c r="AS28" s="124">
        <f>(B28 - AR28) / AR28</f>
        <v>-0.23189655172413787</v>
      </c>
      <c r="AU28" s="32">
        <f>AV28+AW28+AX28</f>
        <v>4.5</v>
      </c>
      <c r="AV28" s="32">
        <f>AD28</f>
        <v>1.5</v>
      </c>
      <c r="AW28" s="32">
        <f>AJ28</f>
        <v>1.7999999999999998</v>
      </c>
      <c r="AX28" s="32">
        <f>AP28</f>
        <v>1.2000000000000002</v>
      </c>
    </row>
    <row r="29" spans="1:50" ht="12.75" x14ac:dyDescent="0.2">
      <c r="A29" s="45"/>
      <c r="B29" s="52"/>
      <c r="C29" s="62"/>
      <c r="D29" s="124"/>
      <c r="E29" s="95"/>
      <c r="F29" s="95"/>
      <c r="G29" s="95"/>
      <c r="H29" s="95"/>
      <c r="I29" s="95"/>
      <c r="K29" s="146"/>
      <c r="L29" s="146"/>
      <c r="M29" s="147"/>
      <c r="N29" s="147"/>
      <c r="O29" s="148"/>
      <c r="P29" s="149"/>
      <c r="Q29" s="149"/>
      <c r="S29" s="146" t="str">
        <f t="shared" si="5"/>
        <v>SellB</v>
      </c>
      <c r="T29" s="146" t="str">
        <f t="shared" si="5"/>
        <v>Sell</v>
      </c>
      <c r="U29" s="215" t="s">
        <v>211</v>
      </c>
      <c r="V29" s="162">
        <f t="shared" ref="V29:X30" si="6">V33</f>
        <v>95</v>
      </c>
      <c r="W29" s="163">
        <f t="shared" si="6"/>
        <v>0.89999999999999991</v>
      </c>
      <c r="X29" s="162">
        <f t="shared" si="6"/>
        <v>84.644999999999982</v>
      </c>
      <c r="Y29" s="152" t="s">
        <v>34</v>
      </c>
      <c r="Z29" s="220">
        <f>Z33</f>
        <v>-5.355000000000004</v>
      </c>
      <c r="AA29" s="221">
        <f>AA33</f>
        <v>-5.9500000000000053E-2</v>
      </c>
      <c r="AB29" s="12"/>
      <c r="AC29" s="122"/>
      <c r="AD29" s="30"/>
      <c r="AE29" s="157"/>
      <c r="AF29" s="157"/>
      <c r="AG29" s="124"/>
      <c r="AH29" s="140"/>
      <c r="AI29" s="122"/>
      <c r="AJ29" s="30"/>
      <c r="AK29" s="157"/>
      <c r="AL29" s="157"/>
      <c r="AM29" s="124"/>
      <c r="AO29" s="158"/>
      <c r="AP29" s="159"/>
      <c r="AQ29" s="159"/>
      <c r="AR29" s="159"/>
      <c r="AS29" s="159"/>
      <c r="AU29" s="32"/>
      <c r="AV29" s="32"/>
      <c r="AW29" s="32"/>
      <c r="AX29" s="32"/>
    </row>
    <row r="30" spans="1:50" ht="12.75" x14ac:dyDescent="0.2">
      <c r="A30" s="45"/>
      <c r="B30" s="52"/>
      <c r="C30" s="62"/>
      <c r="D30" s="124"/>
      <c r="E30" s="95"/>
      <c r="F30" s="95"/>
      <c r="G30" s="95"/>
      <c r="H30" s="95"/>
      <c r="I30" s="95"/>
      <c r="K30" s="146"/>
      <c r="L30" s="146"/>
      <c r="M30" s="147"/>
      <c r="N30" s="147"/>
      <c r="O30" s="148"/>
      <c r="P30" s="149"/>
      <c r="Q30" s="149"/>
      <c r="S30" s="45" t="str">
        <f t="shared" si="5"/>
        <v>SellA</v>
      </c>
      <c r="T30" s="45" t="str">
        <f t="shared" si="5"/>
        <v>Sell</v>
      </c>
      <c r="U30" s="130" t="s">
        <v>219</v>
      </c>
      <c r="V30" s="122">
        <f t="shared" si="6"/>
        <v>110</v>
      </c>
      <c r="W30" s="30">
        <f t="shared" si="6"/>
        <v>1.5</v>
      </c>
      <c r="X30" s="122">
        <f t="shared" si="6"/>
        <v>163.35</v>
      </c>
      <c r="Y30" s="152" t="s">
        <v>34</v>
      </c>
      <c r="Z30" s="158">
        <f>Z34</f>
        <v>13.349999999999994</v>
      </c>
      <c r="AA30" s="211">
        <f>AA34</f>
        <v>8.8999999999999968E-2</v>
      </c>
      <c r="AB30" s="12"/>
      <c r="AC30" s="122"/>
      <c r="AD30" s="30"/>
      <c r="AE30" s="157"/>
      <c r="AF30" s="157"/>
      <c r="AG30" s="124"/>
      <c r="AH30" s="140"/>
      <c r="AI30" s="122"/>
      <c r="AJ30" s="30"/>
      <c r="AK30" s="157"/>
      <c r="AL30" s="157"/>
      <c r="AM30" s="124"/>
      <c r="AO30" s="158"/>
      <c r="AP30" s="159"/>
      <c r="AQ30" s="159"/>
      <c r="AR30" s="159"/>
      <c r="AS30" s="159"/>
      <c r="AU30" s="32"/>
      <c r="AV30" s="32"/>
      <c r="AW30" s="32"/>
      <c r="AX30" s="32"/>
    </row>
    <row r="31" spans="1:50" ht="12.75" x14ac:dyDescent="0.2">
      <c r="A31" s="45"/>
      <c r="B31" s="52"/>
      <c r="C31" s="62"/>
      <c r="D31" s="124"/>
      <c r="E31" s="95"/>
      <c r="F31" s="95"/>
      <c r="G31" s="95"/>
      <c r="H31" s="95"/>
      <c r="I31" s="95"/>
      <c r="K31" s="146"/>
      <c r="L31" s="146"/>
      <c r="M31" s="147"/>
      <c r="N31" s="147"/>
      <c r="O31" s="148"/>
      <c r="P31" s="149"/>
      <c r="Q31" s="149"/>
      <c r="S31" s="45" t="str">
        <f>S27</f>
        <v>BuyA</v>
      </c>
      <c r="T31" s="45" t="str">
        <f>T27</f>
        <v>Buy</v>
      </c>
      <c r="U31" s="130" t="s">
        <v>78</v>
      </c>
      <c r="V31" s="122">
        <f>V27</f>
        <v>100</v>
      </c>
      <c r="W31" s="30">
        <f>W27</f>
        <v>6</v>
      </c>
      <c r="X31" s="122">
        <f>X27</f>
        <v>600</v>
      </c>
      <c r="Y31" s="219">
        <f>Y27</f>
        <v>98</v>
      </c>
      <c r="Z31" s="152" t="s">
        <v>34</v>
      </c>
      <c r="AA31" s="152" t="s">
        <v>34</v>
      </c>
      <c r="AB31" s="12"/>
      <c r="AC31" s="122"/>
      <c r="AD31" s="30"/>
      <c r="AE31" s="157"/>
      <c r="AF31" s="157"/>
      <c r="AG31" s="124"/>
      <c r="AH31" s="140"/>
      <c r="AI31" s="122"/>
      <c r="AJ31" s="30"/>
      <c r="AK31" s="157"/>
      <c r="AL31" s="157"/>
      <c r="AM31" s="124"/>
      <c r="AO31" s="158"/>
      <c r="AP31" s="159"/>
      <c r="AQ31" s="159"/>
      <c r="AR31" s="159"/>
      <c r="AS31" s="159"/>
      <c r="AU31" s="32"/>
      <c r="AV31" s="32"/>
      <c r="AW31" s="32"/>
      <c r="AX31" s="32"/>
    </row>
    <row r="32" spans="1:50" ht="12.75" x14ac:dyDescent="0.2">
      <c r="A32" s="177" t="s">
        <v>216</v>
      </c>
      <c r="B32" s="40">
        <v>100</v>
      </c>
      <c r="C32" s="55">
        <v>0.02</v>
      </c>
      <c r="D32" s="129">
        <v>0.04</v>
      </c>
      <c r="E32" s="125">
        <v>0.08</v>
      </c>
      <c r="F32" s="125">
        <v>0.16</v>
      </c>
      <c r="G32" s="125"/>
      <c r="H32" s="125">
        <v>0.01</v>
      </c>
      <c r="I32" s="125"/>
      <c r="J32" s="35"/>
      <c r="K32" s="47" t="s">
        <v>75</v>
      </c>
      <c r="L32" s="47" t="s">
        <v>214</v>
      </c>
      <c r="M32" s="40">
        <v>100</v>
      </c>
      <c r="N32" s="40">
        <v>400</v>
      </c>
      <c r="O32" s="129">
        <v>0.4</v>
      </c>
      <c r="P32" s="125">
        <v>0.4</v>
      </c>
      <c r="Q32" s="125">
        <v>0.2</v>
      </c>
      <c r="R32" s="35"/>
      <c r="S32" s="222" t="s">
        <v>216</v>
      </c>
      <c r="T32" s="222" t="s">
        <v>75</v>
      </c>
      <c r="U32" s="222" t="s">
        <v>214</v>
      </c>
      <c r="V32" s="135">
        <f>M32</f>
        <v>100</v>
      </c>
      <c r="W32" s="136">
        <f>X32/V32</f>
        <v>4</v>
      </c>
      <c r="X32" s="135">
        <f>N32</f>
        <v>400</v>
      </c>
      <c r="Y32" s="135">
        <f>V32 * (1 - ABS(C32))</f>
        <v>98</v>
      </c>
      <c r="Z32" s="153" t="s">
        <v>34</v>
      </c>
      <c r="AA32" s="153" t="s">
        <v>34</v>
      </c>
      <c r="AB32" s="41"/>
      <c r="AC32" s="142">
        <f>AC22</f>
        <v>100</v>
      </c>
      <c r="AD32" s="141">
        <f>AD28+W32*O32</f>
        <v>3.1</v>
      </c>
      <c r="AE32" s="142">
        <f>AE28+(X32*O32)</f>
        <v>310</v>
      </c>
      <c r="AF32" s="142">
        <f>AC32 * (1 + D32) / (1 - H32)</f>
        <v>105.05050505050505</v>
      </c>
      <c r="AG32" s="143">
        <f>(B32 - AF32) / AF32</f>
        <v>-4.8076923076923087E-2</v>
      </c>
      <c r="AH32" s="141"/>
      <c r="AI32" s="142">
        <f>V32</f>
        <v>100</v>
      </c>
      <c r="AJ32" s="141">
        <f>AJ28+(W32*P32)</f>
        <v>3.4</v>
      </c>
      <c r="AK32" s="142">
        <f>AK28+(X32*O32)</f>
        <v>340</v>
      </c>
      <c r="AL32" s="142">
        <f>AI32 * (1 + E32) / (1 - H32)</f>
        <v>109.09090909090909</v>
      </c>
      <c r="AM32" s="143">
        <f>(B32 - AL32) / AL32</f>
        <v>-8.3333333333333356E-2</v>
      </c>
      <c r="AN32" s="47"/>
      <c r="AO32" s="142">
        <f>V32</f>
        <v>100</v>
      </c>
      <c r="AP32" s="141">
        <f>AP25+(W32*Q32)</f>
        <v>2</v>
      </c>
      <c r="AQ32" s="142">
        <f>AQ25+(X32*Q32)</f>
        <v>200</v>
      </c>
      <c r="AR32" s="142">
        <f>AO32 * (1 + F32) / (1 - H32)</f>
        <v>117.17171717171716</v>
      </c>
      <c r="AS32" s="129">
        <f>(B32 - AR32) / AR32</f>
        <v>-0.14655172413793097</v>
      </c>
      <c r="AT32" s="47"/>
      <c r="AU32" s="145">
        <f>AV32+AW32+AX32</f>
        <v>8.5</v>
      </c>
      <c r="AV32" s="145">
        <f>AD32</f>
        <v>3.1</v>
      </c>
      <c r="AW32" s="145">
        <f>AJ32</f>
        <v>3.4</v>
      </c>
      <c r="AX32" s="145">
        <f>AP32</f>
        <v>2</v>
      </c>
    </row>
    <row r="33" spans="1:55" ht="12.75" x14ac:dyDescent="0.2">
      <c r="A33" s="47"/>
      <c r="B33" s="40"/>
      <c r="C33" s="125"/>
      <c r="D33" s="129"/>
      <c r="E33" s="125"/>
      <c r="F33" s="125"/>
      <c r="G33" s="125"/>
      <c r="H33" s="125"/>
      <c r="I33" s="125"/>
      <c r="J33" s="35"/>
      <c r="K33" s="35"/>
      <c r="L33" s="35"/>
      <c r="M33" s="40"/>
      <c r="N33" s="40"/>
      <c r="O33" s="129"/>
      <c r="P33" s="125"/>
      <c r="Q33" s="125"/>
      <c r="R33" s="35"/>
      <c r="S33" s="222" t="s">
        <v>221</v>
      </c>
      <c r="T33" s="222" t="s">
        <v>73</v>
      </c>
      <c r="U33" s="222" t="s">
        <v>211</v>
      </c>
      <c r="V33" s="135">
        <f>V25</f>
        <v>95</v>
      </c>
      <c r="W33" s="136">
        <f>W25</f>
        <v>0.89999999999999991</v>
      </c>
      <c r="X33" s="135">
        <f>X25</f>
        <v>84.644999999999982</v>
      </c>
      <c r="Y33" s="223" t="str">
        <f>Y22</f>
        <v>-</v>
      </c>
      <c r="Z33" s="153">
        <f>Z25</f>
        <v>-5.355000000000004</v>
      </c>
      <c r="AA33" s="199">
        <f>AA25</f>
        <v>-5.9500000000000053E-2</v>
      </c>
      <c r="AB33" s="41"/>
      <c r="AC33" s="142"/>
      <c r="AD33" s="141"/>
      <c r="AE33" s="142"/>
      <c r="AF33" s="128"/>
      <c r="AG33" s="129"/>
      <c r="AH33" s="141"/>
      <c r="AI33" s="142"/>
      <c r="AJ33" s="141"/>
      <c r="AK33" s="142"/>
      <c r="AL33" s="142"/>
      <c r="AM33" s="129"/>
      <c r="AN33" s="47"/>
      <c r="AO33" s="127"/>
      <c r="AP33" s="144"/>
      <c r="AQ33" s="144"/>
      <c r="AR33" s="144"/>
      <c r="AS33" s="144"/>
      <c r="AT33" s="47"/>
      <c r="AU33" s="47"/>
      <c r="AV33" s="145"/>
      <c r="AW33" s="145"/>
      <c r="AX33" s="145"/>
    </row>
    <row r="34" spans="1:55" ht="12.75" x14ac:dyDescent="0.2">
      <c r="A34" s="47"/>
      <c r="B34" s="40"/>
      <c r="C34" s="125"/>
      <c r="D34" s="129"/>
      <c r="E34" s="125"/>
      <c r="F34" s="125"/>
      <c r="G34" s="125"/>
      <c r="H34" s="125"/>
      <c r="I34" s="125"/>
      <c r="J34" s="35"/>
      <c r="K34" s="35"/>
      <c r="L34" s="35"/>
      <c r="M34" s="40"/>
      <c r="N34" s="40"/>
      <c r="O34" s="129"/>
      <c r="P34" s="125"/>
      <c r="Q34" s="125"/>
      <c r="R34" s="35"/>
      <c r="S34" s="222" t="s">
        <v>218</v>
      </c>
      <c r="T34" s="222" t="s">
        <v>73</v>
      </c>
      <c r="U34" s="203" t="str">
        <f t="shared" ref="U34:X35" si="7">U23</f>
        <v>Profit Target</v>
      </c>
      <c r="V34" s="135">
        <f t="shared" si="7"/>
        <v>110</v>
      </c>
      <c r="W34" s="136">
        <f t="shared" si="7"/>
        <v>1.5</v>
      </c>
      <c r="X34" s="135">
        <f t="shared" si="7"/>
        <v>163.35</v>
      </c>
      <c r="Y34" s="223" t="str">
        <f>Y23</f>
        <v>-</v>
      </c>
      <c r="Z34" s="153">
        <f>Z23</f>
        <v>13.349999999999994</v>
      </c>
      <c r="AA34" s="199">
        <f>AA23</f>
        <v>8.8999999999999968E-2</v>
      </c>
      <c r="AB34" s="41"/>
      <c r="AC34" s="142"/>
      <c r="AD34" s="141"/>
      <c r="AE34" s="142"/>
      <c r="AF34" s="128"/>
      <c r="AG34" s="129"/>
      <c r="AH34" s="141"/>
      <c r="AI34" s="142"/>
      <c r="AJ34" s="141"/>
      <c r="AK34" s="142"/>
      <c r="AL34" s="142"/>
      <c r="AM34" s="55"/>
      <c r="AN34" s="47"/>
      <c r="AO34" s="142"/>
      <c r="AP34" s="141"/>
      <c r="AQ34" s="142"/>
      <c r="AR34" s="142"/>
      <c r="AS34" s="129"/>
      <c r="AT34" s="47"/>
      <c r="AU34" s="47"/>
      <c r="AV34" s="145"/>
      <c r="AW34" s="145"/>
      <c r="AX34" s="145"/>
    </row>
    <row r="35" spans="1:55" ht="12.75" x14ac:dyDescent="0.2">
      <c r="A35" s="47"/>
      <c r="B35" s="40"/>
      <c r="C35" s="55"/>
      <c r="D35" s="129"/>
      <c r="E35" s="125"/>
      <c r="F35" s="125"/>
      <c r="G35" s="125"/>
      <c r="H35" s="125"/>
      <c r="I35" s="125"/>
      <c r="J35" s="35"/>
      <c r="K35" s="166"/>
      <c r="L35" s="166"/>
      <c r="M35" s="167"/>
      <c r="N35" s="167"/>
      <c r="O35" s="168"/>
      <c r="P35" s="169"/>
      <c r="Q35" s="169"/>
      <c r="R35" s="35"/>
      <c r="S35" s="222" t="s">
        <v>215</v>
      </c>
      <c r="T35" s="222" t="s">
        <v>75</v>
      </c>
      <c r="U35" s="203" t="str">
        <f t="shared" si="7"/>
        <v>Initial</v>
      </c>
      <c r="V35" s="135">
        <f t="shared" si="7"/>
        <v>100</v>
      </c>
      <c r="W35" s="136">
        <f t="shared" si="7"/>
        <v>6</v>
      </c>
      <c r="X35" s="135">
        <f t="shared" si="7"/>
        <v>600</v>
      </c>
      <c r="Y35" s="135">
        <f>Y24</f>
        <v>98</v>
      </c>
      <c r="Z35" s="153" t="str">
        <f>Z24</f>
        <v>-</v>
      </c>
      <c r="AA35" s="153" t="str">
        <f>AA24</f>
        <v>-</v>
      </c>
      <c r="AB35" s="41"/>
      <c r="AC35" s="126"/>
      <c r="AD35" s="43"/>
      <c r="AE35" s="128"/>
      <c r="AF35" s="128"/>
      <c r="AG35" s="129"/>
      <c r="AH35" s="170"/>
      <c r="AI35" s="126"/>
      <c r="AJ35" s="43"/>
      <c r="AK35" s="128"/>
      <c r="AL35" s="128"/>
      <c r="AM35" s="129"/>
      <c r="AN35" s="35"/>
      <c r="AO35" s="127"/>
      <c r="AP35" s="144"/>
      <c r="AQ35" s="144"/>
      <c r="AR35" s="144"/>
      <c r="AS35" s="144"/>
      <c r="AT35" s="35"/>
      <c r="AU35" s="39"/>
      <c r="AV35" s="39"/>
      <c r="AW35" s="39"/>
      <c r="AX35" s="39"/>
    </row>
    <row r="36" spans="1:55" ht="12.75" x14ac:dyDescent="0.2">
      <c r="A36" s="150"/>
      <c r="B36" s="33"/>
      <c r="C36" s="67"/>
      <c r="D36" s="124"/>
      <c r="E36" s="95"/>
      <c r="F36" s="95"/>
      <c r="G36" s="95"/>
      <c r="H36" s="95"/>
      <c r="I36" s="95"/>
      <c r="M36" s="93"/>
      <c r="N36" s="93"/>
      <c r="O36" s="124"/>
      <c r="P36" s="95"/>
      <c r="Q36" s="95"/>
      <c r="S36" s="12"/>
      <c r="T36" s="12"/>
      <c r="U36" s="12"/>
      <c r="V36" s="137"/>
      <c r="W36" s="138"/>
      <c r="X36" s="137"/>
      <c r="Y36" s="137"/>
      <c r="Z36" s="12"/>
      <c r="AA36" s="12"/>
      <c r="AB36" s="12"/>
      <c r="AC36" s="139"/>
      <c r="AD36" s="139"/>
      <c r="AE36" s="139"/>
      <c r="AF36" s="139"/>
      <c r="AG36" s="140"/>
      <c r="AH36" s="140"/>
      <c r="AI36" s="139"/>
      <c r="AJ36" s="139"/>
      <c r="AK36" s="139"/>
      <c r="AL36" s="139"/>
      <c r="AM36" s="140"/>
      <c r="AO36" s="139"/>
      <c r="AP36" s="139"/>
      <c r="AQ36" s="139"/>
      <c r="AR36" s="139"/>
      <c r="AS36" s="140"/>
    </row>
    <row r="37" spans="1:55" ht="25.5" x14ac:dyDescent="0.2">
      <c r="A37" s="195" t="s">
        <v>233</v>
      </c>
      <c r="B37" s="33"/>
      <c r="C37" s="67"/>
      <c r="D37" s="124"/>
      <c r="E37" s="95"/>
      <c r="F37" s="95"/>
      <c r="G37" s="95"/>
      <c r="H37" s="95"/>
      <c r="I37" s="95"/>
      <c r="M37" s="93"/>
      <c r="N37" s="93"/>
      <c r="O37" s="124"/>
      <c r="P37" s="95"/>
      <c r="Q37" s="95"/>
      <c r="S37" s="12"/>
      <c r="T37" s="12"/>
      <c r="U37" s="12"/>
      <c r="V37" s="137"/>
      <c r="W37" s="138"/>
      <c r="X37" s="137"/>
      <c r="Y37" s="137"/>
      <c r="Z37" s="12"/>
      <c r="AA37" s="12"/>
      <c r="AB37" s="12"/>
      <c r="AC37" s="139"/>
      <c r="AD37" s="139"/>
      <c r="AE37" s="139"/>
      <c r="AF37" s="139"/>
      <c r="AG37" s="140"/>
      <c r="AH37" s="140"/>
      <c r="AI37" s="139"/>
      <c r="AJ37" s="139"/>
      <c r="AK37" s="139"/>
      <c r="AL37" s="139"/>
      <c r="AM37" s="140"/>
      <c r="AO37" s="139"/>
      <c r="AP37" s="139"/>
      <c r="AQ37" s="139"/>
      <c r="AR37" s="139"/>
      <c r="AS37" s="140"/>
    </row>
    <row r="38" spans="1:55" ht="12.75" x14ac:dyDescent="0.2">
      <c r="B38" s="45" t="s">
        <v>204</v>
      </c>
      <c r="C38" s="109"/>
      <c r="K38" s="45" t="s">
        <v>202</v>
      </c>
      <c r="S38" s="45" t="s">
        <v>226</v>
      </c>
      <c r="U38" s="12"/>
      <c r="V38" s="12"/>
      <c r="W38" s="12"/>
      <c r="X38" s="12"/>
      <c r="Y38" s="12"/>
      <c r="Z38" s="12"/>
      <c r="AA38" s="12"/>
      <c r="AB38" s="12"/>
      <c r="AC38" s="130" t="s">
        <v>205</v>
      </c>
      <c r="AD38" s="46"/>
      <c r="AE38" s="46"/>
      <c r="AF38" s="46"/>
      <c r="AG38" s="46"/>
      <c r="AH38" s="46"/>
      <c r="AI38" s="130" t="s">
        <v>207</v>
      </c>
      <c r="AJ38" s="46"/>
      <c r="AK38" s="46"/>
      <c r="AL38" s="46"/>
      <c r="AM38" s="46"/>
      <c r="AN38" s="45"/>
      <c r="AO38" s="130" t="s">
        <v>208</v>
      </c>
      <c r="AP38" s="12"/>
      <c r="AQ38" s="12"/>
      <c r="AR38" s="12"/>
      <c r="AS38" s="12"/>
      <c r="AU38" s="130" t="s">
        <v>206</v>
      </c>
    </row>
    <row r="39" spans="1:55" ht="12.75" x14ac:dyDescent="0.2">
      <c r="A39" s="150"/>
      <c r="B39" s="57" t="s">
        <v>209</v>
      </c>
      <c r="C39" s="28" t="s">
        <v>190</v>
      </c>
      <c r="D39" s="57" t="s">
        <v>191</v>
      </c>
      <c r="E39" s="28" t="s">
        <v>192</v>
      </c>
      <c r="F39" s="28" t="s">
        <v>193</v>
      </c>
      <c r="G39" s="28" t="s">
        <v>293</v>
      </c>
      <c r="H39" s="57" t="s">
        <v>292</v>
      </c>
      <c r="I39" s="57"/>
      <c r="J39" s="101"/>
      <c r="K39" s="28" t="s">
        <v>76</v>
      </c>
      <c r="L39" s="28" t="s">
        <v>4</v>
      </c>
      <c r="M39" s="57" t="s">
        <v>0</v>
      </c>
      <c r="N39" s="57" t="s">
        <v>1</v>
      </c>
      <c r="O39" s="28" t="s">
        <v>191</v>
      </c>
      <c r="P39" s="28" t="s">
        <v>192</v>
      </c>
      <c r="Q39" s="28" t="s">
        <v>193</v>
      </c>
      <c r="S39" s="28" t="s">
        <v>232</v>
      </c>
      <c r="T39" s="28" t="s">
        <v>0</v>
      </c>
      <c r="U39" s="28" t="s">
        <v>229</v>
      </c>
      <c r="V39" s="57" t="s">
        <v>230</v>
      </c>
      <c r="W39" s="28" t="s">
        <v>228</v>
      </c>
      <c r="X39" s="57" t="s">
        <v>231</v>
      </c>
      <c r="Y39" s="57"/>
      <c r="Z39" s="57"/>
      <c r="AA39" s="28"/>
      <c r="AB39" s="12"/>
      <c r="AC39" s="28" t="s">
        <v>0</v>
      </c>
      <c r="AD39" s="28" t="s">
        <v>196</v>
      </c>
      <c r="AE39" s="57" t="s">
        <v>1</v>
      </c>
      <c r="AF39" s="57" t="s">
        <v>197</v>
      </c>
      <c r="AG39" s="57" t="s">
        <v>231</v>
      </c>
      <c r="AH39" s="60"/>
      <c r="AI39" s="28" t="s">
        <v>0</v>
      </c>
      <c r="AJ39" s="28" t="s">
        <v>196</v>
      </c>
      <c r="AK39" s="57" t="s">
        <v>1</v>
      </c>
      <c r="AL39" s="57" t="s">
        <v>197</v>
      </c>
      <c r="AM39" s="57" t="s">
        <v>231</v>
      </c>
      <c r="AO39" s="28" t="s">
        <v>0</v>
      </c>
      <c r="AP39" s="28" t="s">
        <v>196</v>
      </c>
      <c r="AQ39" s="57" t="s">
        <v>1</v>
      </c>
      <c r="AR39" s="57" t="s">
        <v>197</v>
      </c>
      <c r="AS39" s="57" t="s">
        <v>231</v>
      </c>
      <c r="AU39" s="57" t="s">
        <v>199</v>
      </c>
      <c r="AV39" s="28" t="s">
        <v>191</v>
      </c>
      <c r="AW39" s="28" t="s">
        <v>192</v>
      </c>
      <c r="AX39" s="28" t="s">
        <v>193</v>
      </c>
    </row>
    <row r="40" spans="1:55" ht="12.75" x14ac:dyDescent="0.2">
      <c r="A40" s="150" t="s">
        <v>215</v>
      </c>
      <c r="B40" s="52">
        <v>100</v>
      </c>
      <c r="C40" s="54">
        <v>0.02</v>
      </c>
      <c r="D40" s="124">
        <v>0.04</v>
      </c>
      <c r="E40" s="95">
        <v>0.08</v>
      </c>
      <c r="F40" s="95">
        <v>0.16</v>
      </c>
      <c r="G40" s="95"/>
      <c r="H40" s="95">
        <v>5.0000000000000001E-3</v>
      </c>
      <c r="I40" s="95"/>
      <c r="J40" s="95"/>
      <c r="K40" s="133" t="s">
        <v>75</v>
      </c>
      <c r="L40" s="133" t="s">
        <v>78</v>
      </c>
      <c r="M40" s="52">
        <v>100</v>
      </c>
      <c r="N40" s="52">
        <v>600</v>
      </c>
      <c r="O40" s="124">
        <v>0.5</v>
      </c>
      <c r="P40" s="95">
        <v>0.3</v>
      </c>
      <c r="Q40" s="95">
        <v>0.2</v>
      </c>
      <c r="S40" s="45" t="s">
        <v>227</v>
      </c>
      <c r="T40" s="180">
        <f>M40</f>
        <v>100</v>
      </c>
      <c r="U40" s="152" t="s">
        <v>34</v>
      </c>
      <c r="V40" s="152" t="s">
        <v>34</v>
      </c>
      <c r="W40" s="181">
        <v>0</v>
      </c>
      <c r="X40" s="190">
        <f>AG40</f>
        <v>-4.3269230769230817E-2</v>
      </c>
      <c r="Y40" s="122"/>
      <c r="Z40" s="152"/>
      <c r="AA40" s="152"/>
      <c r="AB40" s="12"/>
      <c r="AC40" s="122">
        <f>M40</f>
        <v>100</v>
      </c>
      <c r="AD40" s="30">
        <f>N40/M40*O40</f>
        <v>3</v>
      </c>
      <c r="AE40" s="123">
        <f>N40*O40</f>
        <v>300</v>
      </c>
      <c r="AF40" s="123">
        <f>AC40 * (1 + D40) / (1 - H40)</f>
        <v>104.52261306532664</v>
      </c>
      <c r="AG40" s="124">
        <f>(B40 - AF40) / AF40</f>
        <v>-4.3269230769230817E-2</v>
      </c>
      <c r="AH40" s="30"/>
      <c r="AI40" s="122">
        <f>T40</f>
        <v>100</v>
      </c>
      <c r="AJ40" s="30">
        <f>N40/M40*P40</f>
        <v>1.7999999999999998</v>
      </c>
      <c r="AK40" s="123">
        <f>N40*O40</f>
        <v>300</v>
      </c>
      <c r="AL40" s="123">
        <f>AI40 * (1 + E40) / (1 - H40)</f>
        <v>108.5427135678392</v>
      </c>
      <c r="AM40" s="124">
        <f>(B40 - AL40) / AL40</f>
        <v>-7.8703703703703748E-2</v>
      </c>
      <c r="AO40" s="122">
        <f>M40</f>
        <v>100</v>
      </c>
      <c r="AP40" s="30">
        <f>N40/M40*Q40</f>
        <v>1.2000000000000002</v>
      </c>
      <c r="AQ40" s="123">
        <f>N40*Q40</f>
        <v>120</v>
      </c>
      <c r="AR40" s="123">
        <f>AO40 * (1 + F40) / (1 - H40)</f>
        <v>116.58291457286431</v>
      </c>
      <c r="AS40" s="124">
        <f>(B40 - AR40) / AR40</f>
        <v>-0.14224137931034475</v>
      </c>
      <c r="AU40" s="32">
        <f>AD40+AJ40+AP40</f>
        <v>6</v>
      </c>
      <c r="AV40" s="32">
        <f>AD40</f>
        <v>3</v>
      </c>
      <c r="AW40" s="32">
        <f>AJ40</f>
        <v>1.7999999999999998</v>
      </c>
      <c r="AX40" s="32">
        <f>AP40</f>
        <v>1.2000000000000002</v>
      </c>
    </row>
    <row r="41" spans="1:55" ht="12.75" x14ac:dyDescent="0.2">
      <c r="A41" s="182" t="s">
        <v>234</v>
      </c>
      <c r="B41" s="40">
        <v>104</v>
      </c>
      <c r="C41" s="55">
        <v>0.02</v>
      </c>
      <c r="D41" s="129">
        <v>0.04</v>
      </c>
      <c r="E41" s="125">
        <v>0.08</v>
      </c>
      <c r="F41" s="125">
        <v>0.16</v>
      </c>
      <c r="G41" s="125"/>
      <c r="H41" s="125">
        <v>5.0000000000000001E-3</v>
      </c>
      <c r="I41" s="125"/>
      <c r="J41" s="125"/>
      <c r="K41" s="134"/>
      <c r="L41" s="134"/>
      <c r="M41" s="40"/>
      <c r="N41" s="40"/>
      <c r="O41" s="129"/>
      <c r="P41" s="125"/>
      <c r="Q41" s="125"/>
      <c r="R41" s="35"/>
      <c r="S41" s="47" t="s">
        <v>227</v>
      </c>
      <c r="T41" s="183">
        <f>B41</f>
        <v>104</v>
      </c>
      <c r="U41" s="153" t="s">
        <v>34</v>
      </c>
      <c r="V41" s="153" t="s">
        <v>34</v>
      </c>
      <c r="W41" s="184">
        <v>0</v>
      </c>
      <c r="X41" s="189">
        <f>AG41</f>
        <v>-5.0000000000000469E-3</v>
      </c>
      <c r="Y41" s="126"/>
      <c r="Z41" s="153"/>
      <c r="AA41" s="153"/>
      <c r="AB41" s="41"/>
      <c r="AC41" s="126">
        <f t="shared" ref="AC41:AE44" si="8">AC40</f>
        <v>100</v>
      </c>
      <c r="AD41" s="43">
        <f t="shared" si="8"/>
        <v>3</v>
      </c>
      <c r="AE41" s="128">
        <f t="shared" si="8"/>
        <v>300</v>
      </c>
      <c r="AF41" s="128">
        <f>AC41 * (1 + D41) / (1 - H41)</f>
        <v>104.52261306532664</v>
      </c>
      <c r="AG41" s="188">
        <f>(B41 - AF41) / AF41</f>
        <v>-5.0000000000000469E-3</v>
      </c>
      <c r="AH41" s="43"/>
      <c r="AI41" s="126">
        <f t="shared" ref="AI41:AK44" si="9">AI40</f>
        <v>100</v>
      </c>
      <c r="AJ41" s="43">
        <f t="shared" si="9"/>
        <v>1.7999999999999998</v>
      </c>
      <c r="AK41" s="128">
        <f t="shared" si="9"/>
        <v>300</v>
      </c>
      <c r="AL41" s="128">
        <f>AI41 * (1 + E41) / (1 - H41)</f>
        <v>108.5427135678392</v>
      </c>
      <c r="AM41" s="129">
        <f>(B41 - AL41) / AL41</f>
        <v>-4.185185185185189E-2</v>
      </c>
      <c r="AN41" s="35"/>
      <c r="AO41" s="126">
        <f t="shared" ref="AO41:AQ44" si="10">AO40</f>
        <v>100</v>
      </c>
      <c r="AP41" s="43">
        <f t="shared" si="10"/>
        <v>1.2000000000000002</v>
      </c>
      <c r="AQ41" s="128">
        <f t="shared" si="10"/>
        <v>120</v>
      </c>
      <c r="AR41" s="128">
        <f>AO41 * (1 + F41) / (1 - H41)</f>
        <v>116.58291457286431</v>
      </c>
      <c r="AS41" s="129">
        <f>(B41 - AR41) / AR41</f>
        <v>-0.10793103448275854</v>
      </c>
      <c r="AT41" s="35"/>
      <c r="AU41" s="39">
        <f>AD41+AJ41+AP41</f>
        <v>6</v>
      </c>
      <c r="AV41" s="39">
        <f>AD41</f>
        <v>3</v>
      </c>
      <c r="AW41" s="39">
        <f>AJ41</f>
        <v>1.7999999999999998</v>
      </c>
      <c r="AX41" s="39">
        <f>AP41</f>
        <v>1.2000000000000002</v>
      </c>
    </row>
    <row r="42" spans="1:55" ht="12.75" x14ac:dyDescent="0.2">
      <c r="A42" s="150" t="s">
        <v>235</v>
      </c>
      <c r="B42" s="52">
        <v>104.7</v>
      </c>
      <c r="C42" s="54">
        <v>0.02</v>
      </c>
      <c r="D42" s="124">
        <v>0.04</v>
      </c>
      <c r="E42" s="95">
        <v>0.08</v>
      </c>
      <c r="F42" s="95">
        <v>0.16</v>
      </c>
      <c r="G42" s="95"/>
      <c r="H42" s="95">
        <v>5.0000000000000001E-3</v>
      </c>
      <c r="I42" s="95"/>
      <c r="J42" s="95"/>
      <c r="K42" s="133"/>
      <c r="L42" s="133"/>
      <c r="M42" s="52"/>
      <c r="N42" s="52"/>
      <c r="O42" s="124"/>
      <c r="P42" s="95"/>
      <c r="Q42" s="95"/>
      <c r="S42" s="45" t="s">
        <v>227</v>
      </c>
      <c r="T42" s="180">
        <f>B42</f>
        <v>104.7</v>
      </c>
      <c r="U42" s="152" t="s">
        <v>34</v>
      </c>
      <c r="V42" s="152" t="s">
        <v>34</v>
      </c>
      <c r="W42" s="181">
        <v>0</v>
      </c>
      <c r="X42" s="185">
        <f>AG42</f>
        <v>1.6971153846153646E-3</v>
      </c>
      <c r="Y42" s="122"/>
      <c r="Z42" s="152"/>
      <c r="AA42" s="152"/>
      <c r="AB42" s="12"/>
      <c r="AC42" s="122">
        <f t="shared" si="8"/>
        <v>100</v>
      </c>
      <c r="AD42" s="30">
        <f t="shared" si="8"/>
        <v>3</v>
      </c>
      <c r="AE42" s="157">
        <f t="shared" si="8"/>
        <v>300</v>
      </c>
      <c r="AF42" s="157">
        <f>AC42 * (1 + D42) / (1 - H42)</f>
        <v>104.52261306532664</v>
      </c>
      <c r="AG42" s="186">
        <f>(B42 - AF42) / AF42</f>
        <v>1.6971153846153646E-3</v>
      </c>
      <c r="AH42" s="30"/>
      <c r="AI42" s="122">
        <f t="shared" si="9"/>
        <v>100</v>
      </c>
      <c r="AJ42" s="30">
        <f t="shared" si="9"/>
        <v>1.7999999999999998</v>
      </c>
      <c r="AK42" s="157">
        <f t="shared" si="9"/>
        <v>300</v>
      </c>
      <c r="AL42" s="157">
        <f>AI42 * (1 + E42) / (1 - H42)</f>
        <v>108.5427135678392</v>
      </c>
      <c r="AM42" s="124">
        <f>(B42 - AL42) / AL42</f>
        <v>-3.540277777777779E-2</v>
      </c>
      <c r="AO42" s="122">
        <f t="shared" si="10"/>
        <v>100</v>
      </c>
      <c r="AP42" s="30">
        <f t="shared" si="10"/>
        <v>1.2000000000000002</v>
      </c>
      <c r="AQ42" s="157">
        <f t="shared" si="10"/>
        <v>120</v>
      </c>
      <c r="AR42" s="157">
        <f>AO42 * (1 + F42) / (1 - H42)</f>
        <v>116.58291457286431</v>
      </c>
      <c r="AS42" s="124">
        <f>(B42 - AR42) / AR42</f>
        <v>-0.10192672413793093</v>
      </c>
      <c r="AU42" s="32">
        <f>AD42+AJ42+AP42</f>
        <v>6</v>
      </c>
      <c r="AV42" s="32">
        <f>AD42</f>
        <v>3</v>
      </c>
      <c r="AW42" s="32">
        <f>AJ42</f>
        <v>1.7999999999999998</v>
      </c>
      <c r="AX42" s="32">
        <f>AP42</f>
        <v>1.2000000000000002</v>
      </c>
    </row>
    <row r="43" spans="1:55" ht="12.75" x14ac:dyDescent="0.2">
      <c r="A43" s="182" t="s">
        <v>236</v>
      </c>
      <c r="B43" s="40">
        <v>108.5</v>
      </c>
      <c r="C43" s="55">
        <v>0.02</v>
      </c>
      <c r="D43" s="129">
        <v>0.04</v>
      </c>
      <c r="E43" s="125">
        <v>0.08</v>
      </c>
      <c r="F43" s="125">
        <v>0.16</v>
      </c>
      <c r="G43" s="125"/>
      <c r="H43" s="125">
        <v>5.0000000000000001E-3</v>
      </c>
      <c r="I43" s="125"/>
      <c r="J43" s="125"/>
      <c r="K43" s="134"/>
      <c r="L43" s="134"/>
      <c r="M43" s="40"/>
      <c r="N43" s="40"/>
      <c r="O43" s="129"/>
      <c r="P43" s="125"/>
      <c r="Q43" s="125"/>
      <c r="R43" s="35"/>
      <c r="S43" s="47" t="s">
        <v>227</v>
      </c>
      <c r="T43" s="183">
        <f>B43</f>
        <v>108.5</v>
      </c>
      <c r="U43" s="153" t="s">
        <v>34</v>
      </c>
      <c r="V43" s="153" t="s">
        <v>34</v>
      </c>
      <c r="W43" s="184">
        <v>0</v>
      </c>
      <c r="X43" s="187">
        <f>AG43</f>
        <v>3.8052884615384565E-2</v>
      </c>
      <c r="Y43" s="126"/>
      <c r="Z43" s="153"/>
      <c r="AA43" s="153"/>
      <c r="AB43" s="41"/>
      <c r="AC43" s="126">
        <f t="shared" si="8"/>
        <v>100</v>
      </c>
      <c r="AD43" s="43">
        <f t="shared" si="8"/>
        <v>3</v>
      </c>
      <c r="AE43" s="128">
        <f t="shared" si="8"/>
        <v>300</v>
      </c>
      <c r="AF43" s="128">
        <f>AC43 * (1 + D43) / (1 - H43)</f>
        <v>104.52261306532664</v>
      </c>
      <c r="AG43" s="156">
        <f>(B43 - AF43) / AF43</f>
        <v>3.8052884615384565E-2</v>
      </c>
      <c r="AH43" s="43"/>
      <c r="AI43" s="126">
        <f t="shared" si="9"/>
        <v>100</v>
      </c>
      <c r="AJ43" s="43">
        <f t="shared" si="9"/>
        <v>1.7999999999999998</v>
      </c>
      <c r="AK43" s="128">
        <f t="shared" si="9"/>
        <v>300</v>
      </c>
      <c r="AL43" s="128">
        <f>AI43 * (1 + E43) / (1 - H43)</f>
        <v>108.5427135678392</v>
      </c>
      <c r="AM43" s="188">
        <f>(B43 - AL43) / AL43</f>
        <v>-3.9351851851856059E-4</v>
      </c>
      <c r="AN43" s="35"/>
      <c r="AO43" s="126">
        <f t="shared" si="10"/>
        <v>100</v>
      </c>
      <c r="AP43" s="43">
        <f t="shared" si="10"/>
        <v>1.2000000000000002</v>
      </c>
      <c r="AQ43" s="128">
        <f t="shared" si="10"/>
        <v>120</v>
      </c>
      <c r="AR43" s="128">
        <f>AO43 * (1 + F43) / (1 - H43)</f>
        <v>116.58291457286431</v>
      </c>
      <c r="AS43" s="129">
        <f>(B43 - AR43) / AR43</f>
        <v>-6.9331896551724059E-2</v>
      </c>
      <c r="AT43" s="35"/>
      <c r="AU43" s="39">
        <f>AD43+AJ43+AP43</f>
        <v>6</v>
      </c>
      <c r="AV43" s="39">
        <f>AD43</f>
        <v>3</v>
      </c>
      <c r="AW43" s="39">
        <f>AJ43</f>
        <v>1.7999999999999998</v>
      </c>
      <c r="AX43" s="39">
        <f>AP43</f>
        <v>1.2000000000000002</v>
      </c>
    </row>
    <row r="44" spans="1:55" ht="12.75" x14ac:dyDescent="0.2">
      <c r="A44" s="150" t="s">
        <v>218</v>
      </c>
      <c r="B44" s="52">
        <v>108.5</v>
      </c>
      <c r="C44" s="62">
        <v>0.02</v>
      </c>
      <c r="D44" s="124">
        <v>0.04</v>
      </c>
      <c r="E44" s="95">
        <v>0.08</v>
      </c>
      <c r="F44" s="95">
        <v>0.16</v>
      </c>
      <c r="G44" s="95"/>
      <c r="H44" s="95">
        <v>5.0000000000000001E-3</v>
      </c>
      <c r="I44" s="95"/>
      <c r="J44" s="95"/>
      <c r="K44" s="45" t="s">
        <v>73</v>
      </c>
      <c r="L44" s="45" t="s">
        <v>219</v>
      </c>
      <c r="M44" s="52">
        <v>108.5</v>
      </c>
      <c r="N44" s="152" t="s">
        <v>34</v>
      </c>
      <c r="O44" s="124">
        <v>1</v>
      </c>
      <c r="P44" s="152" t="s">
        <v>34</v>
      </c>
      <c r="Q44" s="152" t="s">
        <v>34</v>
      </c>
      <c r="S44" s="45" t="s">
        <v>227</v>
      </c>
      <c r="T44" s="180">
        <f>B44</f>
        <v>108.5</v>
      </c>
      <c r="U44" s="152" t="s">
        <v>34</v>
      </c>
      <c r="V44" s="152" t="s">
        <v>34</v>
      </c>
      <c r="W44" s="181">
        <v>0</v>
      </c>
      <c r="X44" s="192">
        <f>AM44</f>
        <v>-3.9351851851856059E-4</v>
      </c>
      <c r="Y44" s="122"/>
      <c r="Z44" s="152"/>
      <c r="AA44" s="152"/>
      <c r="AB44" s="12"/>
      <c r="AC44" s="162">
        <f t="shared" si="8"/>
        <v>100</v>
      </c>
      <c r="AD44" s="163">
        <f t="shared" si="8"/>
        <v>3</v>
      </c>
      <c r="AE44" s="193">
        <f t="shared" si="8"/>
        <v>300</v>
      </c>
      <c r="AF44" s="193">
        <f>AC44 * (1 + D44) / (1 - H44)</f>
        <v>104.52261306532664</v>
      </c>
      <c r="AG44" s="194">
        <f>(B44 - AF44) / AF44</f>
        <v>3.8052884615384565E-2</v>
      </c>
      <c r="AH44" s="30"/>
      <c r="AI44" s="122">
        <f t="shared" si="9"/>
        <v>100</v>
      </c>
      <c r="AJ44" s="30">
        <f t="shared" si="9"/>
        <v>1.7999999999999998</v>
      </c>
      <c r="AK44" s="157">
        <f t="shared" si="9"/>
        <v>300</v>
      </c>
      <c r="AL44" s="157">
        <f>AI44 * (1 + E44) / (1 - H44)</f>
        <v>108.5427135678392</v>
      </c>
      <c r="AM44" s="191">
        <f>(B44 - AL44) / AL44</f>
        <v>-3.9351851851856059E-4</v>
      </c>
      <c r="AO44" s="122">
        <f t="shared" si="10"/>
        <v>100</v>
      </c>
      <c r="AP44" s="30">
        <f t="shared" si="10"/>
        <v>1.2000000000000002</v>
      </c>
      <c r="AQ44" s="157">
        <f t="shared" si="10"/>
        <v>120</v>
      </c>
      <c r="AR44" s="157">
        <f>AO44 * (1 + F44) / (1 - H44)</f>
        <v>116.58291457286431</v>
      </c>
      <c r="AS44" s="124">
        <f>(B44 - AR44) / AR44</f>
        <v>-6.9331896551724059E-2</v>
      </c>
      <c r="AU44" s="32">
        <f>AV44+AW44+AX44</f>
        <v>3</v>
      </c>
      <c r="AV44" s="32">
        <v>0</v>
      </c>
      <c r="AW44" s="32">
        <f>AJ44</f>
        <v>1.7999999999999998</v>
      </c>
      <c r="AX44" s="32">
        <f>AP44</f>
        <v>1.2000000000000002</v>
      </c>
    </row>
    <row r="45" spans="1:55" ht="12.75" x14ac:dyDescent="0.2">
      <c r="A45" s="150"/>
      <c r="B45" s="52"/>
      <c r="C45" s="54"/>
      <c r="D45" s="124"/>
      <c r="E45" s="95"/>
      <c r="F45" s="95"/>
      <c r="G45" s="95"/>
      <c r="H45" s="95"/>
      <c r="I45" s="95"/>
      <c r="J45" s="95"/>
      <c r="K45" s="133" t="s">
        <v>75</v>
      </c>
      <c r="L45" s="133" t="s">
        <v>78</v>
      </c>
      <c r="M45" s="52">
        <v>100</v>
      </c>
      <c r="N45" s="52">
        <v>600</v>
      </c>
      <c r="O45" s="124">
        <v>0.5</v>
      </c>
      <c r="P45" s="95">
        <v>0.3</v>
      </c>
      <c r="Q45" s="95">
        <v>0.2</v>
      </c>
      <c r="S45" s="45"/>
      <c r="T45" s="45"/>
      <c r="U45" s="131"/>
      <c r="V45" s="122"/>
      <c r="W45" s="30"/>
      <c r="X45" s="122"/>
      <c r="Y45" s="122"/>
      <c r="Z45" s="152"/>
      <c r="AA45" s="152"/>
      <c r="AB45" s="12"/>
      <c r="AC45" s="122"/>
      <c r="AD45" s="30"/>
      <c r="AE45" s="123"/>
      <c r="AF45" s="123"/>
      <c r="AG45" s="124"/>
      <c r="AH45" s="30"/>
      <c r="AI45" s="122"/>
      <c r="AJ45" s="30"/>
      <c r="AK45" s="123"/>
      <c r="AL45" s="123"/>
      <c r="AM45" s="124"/>
      <c r="AO45" s="122"/>
      <c r="AP45" s="30"/>
      <c r="AQ45" s="123"/>
      <c r="AR45" s="123"/>
      <c r="AS45" s="124"/>
      <c r="AU45" s="32"/>
      <c r="AV45" s="32"/>
      <c r="AW45" s="32"/>
      <c r="AX45" s="32"/>
    </row>
    <row r="46" spans="1:55" ht="12.75" x14ac:dyDescent="0.2">
      <c r="A46" s="150"/>
      <c r="B46" s="52"/>
      <c r="C46" s="54"/>
      <c r="D46" s="124"/>
      <c r="E46" s="95"/>
      <c r="F46" s="95"/>
      <c r="G46" s="95"/>
      <c r="H46" s="95"/>
      <c r="I46" s="95"/>
      <c r="J46" s="95"/>
      <c r="K46" s="133"/>
      <c r="L46" s="133"/>
      <c r="M46" s="52"/>
      <c r="N46" s="52"/>
      <c r="O46" s="124"/>
      <c r="P46" s="95"/>
      <c r="Q46" s="95"/>
      <c r="S46" s="45"/>
      <c r="T46" s="45"/>
      <c r="U46" s="131"/>
      <c r="V46" s="122"/>
      <c r="W46" s="30"/>
      <c r="X46" s="122"/>
      <c r="Y46" s="122"/>
      <c r="Z46" s="152"/>
      <c r="AA46" s="152"/>
      <c r="AB46" s="12"/>
      <c r="AC46" s="122"/>
      <c r="AD46" s="30"/>
      <c r="AE46" s="123"/>
      <c r="AF46" s="123"/>
      <c r="AG46" s="124"/>
      <c r="AH46" s="30"/>
      <c r="AI46" s="122"/>
      <c r="AJ46" s="30"/>
      <c r="AK46" s="123"/>
      <c r="AL46" s="123"/>
      <c r="AM46" s="124"/>
      <c r="AO46" s="122"/>
      <c r="AP46" s="30"/>
      <c r="AQ46" s="123"/>
      <c r="AR46" s="123"/>
      <c r="AS46" s="124"/>
      <c r="AU46" s="32"/>
      <c r="AV46" s="32"/>
      <c r="AW46" s="32"/>
      <c r="AX46" s="32"/>
    </row>
    <row r="47" spans="1:55" ht="12.75" x14ac:dyDescent="0.2">
      <c r="A47" s="208" t="s">
        <v>247</v>
      </c>
      <c r="B47" s="52"/>
      <c r="C47" s="54"/>
      <c r="D47" s="124"/>
      <c r="E47" s="95"/>
      <c r="F47" s="95"/>
      <c r="G47" s="95"/>
      <c r="H47" s="95"/>
      <c r="I47" s="95"/>
      <c r="J47" s="95"/>
      <c r="K47" s="133"/>
      <c r="L47" s="133"/>
      <c r="M47" s="52"/>
      <c r="N47" s="52"/>
      <c r="O47" s="124"/>
      <c r="P47" s="95"/>
      <c r="Q47" s="95"/>
      <c r="S47" s="45"/>
      <c r="T47" s="45"/>
      <c r="U47" s="131"/>
      <c r="V47" s="122"/>
      <c r="W47" s="30"/>
      <c r="X47" s="122"/>
      <c r="Y47" s="122"/>
      <c r="Z47" s="152"/>
      <c r="AA47" s="152"/>
      <c r="AB47" s="12"/>
      <c r="AC47" s="122"/>
      <c r="AD47" s="30"/>
      <c r="AE47" s="123"/>
      <c r="AF47" s="123"/>
      <c r="AG47" s="124"/>
      <c r="AH47" s="30"/>
      <c r="AI47" s="122"/>
      <c r="AJ47" s="30"/>
      <c r="AK47" s="123"/>
      <c r="AL47" s="123"/>
      <c r="AM47" s="124"/>
      <c r="AO47" s="122"/>
      <c r="AP47" s="30"/>
      <c r="AQ47" s="123"/>
      <c r="AR47" s="123"/>
      <c r="AS47" s="124"/>
      <c r="AU47" s="32"/>
      <c r="AV47" s="32"/>
      <c r="AW47" s="32"/>
      <c r="AX47" s="32"/>
    </row>
    <row r="48" spans="1:55" ht="12.75" x14ac:dyDescent="0.2">
      <c r="A48" s="150"/>
      <c r="B48" s="45" t="s">
        <v>204</v>
      </c>
      <c r="C48" s="109"/>
      <c r="K48" s="45" t="s">
        <v>202</v>
      </c>
      <c r="S48" s="45" t="s">
        <v>203</v>
      </c>
      <c r="U48" s="12"/>
      <c r="V48" s="12"/>
      <c r="W48" s="12"/>
      <c r="X48" s="12"/>
      <c r="Y48" s="12"/>
      <c r="Z48" s="12"/>
      <c r="AA48" s="12"/>
      <c r="AB48" s="12"/>
      <c r="AC48" s="130" t="s">
        <v>205</v>
      </c>
      <c r="AD48" s="46"/>
      <c r="AE48" s="46"/>
      <c r="AF48" s="46"/>
      <c r="AG48" s="46"/>
      <c r="AH48" s="46"/>
      <c r="AI48" s="130" t="s">
        <v>207</v>
      </c>
      <c r="AJ48" s="46"/>
      <c r="AK48" s="46"/>
      <c r="AL48" s="46"/>
      <c r="AM48" s="46"/>
      <c r="AN48" s="45"/>
      <c r="AO48" s="130" t="s">
        <v>208</v>
      </c>
      <c r="AP48" s="12"/>
      <c r="AQ48" s="12"/>
      <c r="AR48" s="12"/>
      <c r="AS48" s="12"/>
      <c r="AT48" s="110"/>
      <c r="AU48" s="45" t="s">
        <v>206</v>
      </c>
      <c r="AW48" s="12"/>
      <c r="AX48" s="12"/>
      <c r="AY48" s="12"/>
      <c r="AZ48" s="12"/>
      <c r="BA48" s="12"/>
      <c r="BB48" s="12"/>
      <c r="BC48" s="12"/>
    </row>
    <row r="49" spans="1:55" ht="12.75" x14ac:dyDescent="0.2">
      <c r="A49" s="150"/>
      <c r="B49" s="57" t="s">
        <v>209</v>
      </c>
      <c r="C49" s="28" t="s">
        <v>190</v>
      </c>
      <c r="D49" s="57" t="s">
        <v>191</v>
      </c>
      <c r="E49" s="57" t="s">
        <v>192</v>
      </c>
      <c r="F49" s="28" t="s">
        <v>193</v>
      </c>
      <c r="G49" s="28" t="s">
        <v>293</v>
      </c>
      <c r="H49" s="57" t="s">
        <v>292</v>
      </c>
      <c r="I49" s="57" t="s">
        <v>241</v>
      </c>
      <c r="J49" s="101"/>
      <c r="K49" s="28" t="s">
        <v>76</v>
      </c>
      <c r="L49" s="28" t="s">
        <v>4</v>
      </c>
      <c r="M49" s="57" t="s">
        <v>0</v>
      </c>
      <c r="N49" s="57" t="s">
        <v>1</v>
      </c>
      <c r="O49" s="28" t="s">
        <v>191</v>
      </c>
      <c r="P49" s="28" t="s">
        <v>192</v>
      </c>
      <c r="Q49" s="28" t="s">
        <v>193</v>
      </c>
      <c r="S49" s="28"/>
      <c r="T49" s="28" t="s">
        <v>76</v>
      </c>
      <c r="U49" s="28" t="s">
        <v>4</v>
      </c>
      <c r="V49" s="57" t="s">
        <v>0</v>
      </c>
      <c r="W49" s="28" t="s">
        <v>62</v>
      </c>
      <c r="X49" s="57" t="s">
        <v>220</v>
      </c>
      <c r="Y49" s="57" t="s">
        <v>190</v>
      </c>
      <c r="Z49" s="57" t="s">
        <v>194</v>
      </c>
      <c r="AA49" s="28" t="s">
        <v>195</v>
      </c>
      <c r="AB49" s="12"/>
      <c r="AC49" s="28" t="s">
        <v>0</v>
      </c>
      <c r="AD49" s="28" t="s">
        <v>196</v>
      </c>
      <c r="AE49" s="57" t="s">
        <v>1</v>
      </c>
      <c r="AF49" s="57" t="s">
        <v>197</v>
      </c>
      <c r="AG49" s="57" t="s">
        <v>231</v>
      </c>
      <c r="AH49" s="60"/>
      <c r="AI49" s="28" t="s">
        <v>0</v>
      </c>
      <c r="AJ49" s="28" t="s">
        <v>196</v>
      </c>
      <c r="AK49" s="57" t="s">
        <v>1</v>
      </c>
      <c r="AL49" s="57" t="s">
        <v>197</v>
      </c>
      <c r="AM49" s="57" t="s">
        <v>231</v>
      </c>
      <c r="AO49" s="28" t="s">
        <v>0</v>
      </c>
      <c r="AP49" s="28" t="s">
        <v>196</v>
      </c>
      <c r="AQ49" s="57" t="s">
        <v>1</v>
      </c>
      <c r="AR49" s="57" t="s">
        <v>197</v>
      </c>
      <c r="AS49" s="57" t="s">
        <v>231</v>
      </c>
      <c r="AU49" s="57" t="s">
        <v>79</v>
      </c>
      <c r="AV49" s="57" t="s">
        <v>239</v>
      </c>
      <c r="AW49" s="57" t="s">
        <v>238</v>
      </c>
      <c r="AX49" s="57" t="s">
        <v>248</v>
      </c>
      <c r="AY49" s="57" t="s">
        <v>240</v>
      </c>
      <c r="AZ49" s="57"/>
      <c r="BA49" s="57"/>
      <c r="BB49" s="57"/>
      <c r="BC49" s="28"/>
    </row>
    <row r="50" spans="1:55" ht="12.75" x14ac:dyDescent="0.2">
      <c r="A50" s="150" t="s">
        <v>215</v>
      </c>
      <c r="B50" s="52">
        <v>100</v>
      </c>
      <c r="C50" s="54">
        <v>0.02</v>
      </c>
      <c r="D50" s="124">
        <v>0.04</v>
      </c>
      <c r="E50" s="95">
        <v>0.08</v>
      </c>
      <c r="F50" s="95">
        <v>0.16</v>
      </c>
      <c r="G50" s="95"/>
      <c r="H50" s="95">
        <v>5.0000000000000001E-3</v>
      </c>
      <c r="I50" s="63">
        <v>1200</v>
      </c>
      <c r="J50" s="95"/>
      <c r="K50" s="133" t="s">
        <v>75</v>
      </c>
      <c r="L50" s="133" t="s">
        <v>78</v>
      </c>
      <c r="M50" s="52">
        <v>100</v>
      </c>
      <c r="N50" s="52">
        <v>600</v>
      </c>
      <c r="O50" s="124">
        <v>0.5</v>
      </c>
      <c r="P50" s="95">
        <v>0.3</v>
      </c>
      <c r="Q50" s="95">
        <v>0.2</v>
      </c>
      <c r="S50" s="45" t="s">
        <v>215</v>
      </c>
      <c r="T50" s="45" t="s">
        <v>75</v>
      </c>
      <c r="U50" s="131" t="s">
        <v>78</v>
      </c>
      <c r="V50" s="122">
        <f>M50</f>
        <v>100</v>
      </c>
      <c r="W50" s="30">
        <f>X50/V50</f>
        <v>6</v>
      </c>
      <c r="X50" s="122">
        <f>N50</f>
        <v>600</v>
      </c>
      <c r="Y50" s="122">
        <f>V50 * (1 - ABS(C50))</f>
        <v>98</v>
      </c>
      <c r="Z50" s="152" t="s">
        <v>34</v>
      </c>
      <c r="AA50" s="152" t="s">
        <v>34</v>
      </c>
      <c r="AB50" s="12"/>
      <c r="AC50" s="122">
        <f>M50</f>
        <v>100</v>
      </c>
      <c r="AD50" s="30">
        <f>N50/M50*O50</f>
        <v>3</v>
      </c>
      <c r="AE50" s="123">
        <f>N50*O50</f>
        <v>300</v>
      </c>
      <c r="AF50" s="123">
        <f>B50 * (1 + D50) / (1 - H50)</f>
        <v>104.52261306532664</v>
      </c>
      <c r="AG50" s="124">
        <f>(B50 - AF50) / AF50</f>
        <v>-4.3269230769230817E-2</v>
      </c>
      <c r="AH50" s="30"/>
      <c r="AI50" s="122">
        <f>V50</f>
        <v>100</v>
      </c>
      <c r="AJ50" s="30">
        <f>N50/M50*P50</f>
        <v>1.7999999999999998</v>
      </c>
      <c r="AK50" s="123">
        <f>N50*P50</f>
        <v>180</v>
      </c>
      <c r="AL50" s="123">
        <f>AI50 * (1 + E50) / (1 - H50)</f>
        <v>108.5427135678392</v>
      </c>
      <c r="AM50" s="124">
        <f>(B50 - AL50) / AL50</f>
        <v>-7.8703703703703748E-2</v>
      </c>
      <c r="AO50" s="122">
        <f>M50</f>
        <v>100</v>
      </c>
      <c r="AP50" s="30">
        <f>N50/M50*Q50</f>
        <v>1.2000000000000002</v>
      </c>
      <c r="AQ50" s="123">
        <f>N50*Q50</f>
        <v>120</v>
      </c>
      <c r="AR50" s="123">
        <f>AO50 * (1 + F50) / (1 - H50)</f>
        <v>116.58291457286431</v>
      </c>
      <c r="AS50" s="124">
        <f>(B50 - AR50) / AR50</f>
        <v>-0.14224137931034475</v>
      </c>
      <c r="AU50" s="196">
        <f>X50</f>
        <v>600</v>
      </c>
      <c r="AV50" s="63">
        <v>0</v>
      </c>
      <c r="AW50" s="122">
        <f>W50*B50</f>
        <v>600</v>
      </c>
      <c r="AX50" s="197">
        <f>(AV50+AW50-AU50)/AU50</f>
        <v>0</v>
      </c>
      <c r="AY50" s="63">
        <f>I50-AU50+AV50</f>
        <v>600</v>
      </c>
      <c r="AZ50" s="122"/>
      <c r="BA50" s="122"/>
      <c r="BB50" s="152"/>
      <c r="BC50" s="152"/>
    </row>
    <row r="51" spans="1:55" ht="12.75" x14ac:dyDescent="0.2">
      <c r="A51" s="182" t="s">
        <v>218</v>
      </c>
      <c r="B51" s="40">
        <v>90</v>
      </c>
      <c r="C51" s="55">
        <v>0.02</v>
      </c>
      <c r="D51" s="129">
        <v>0.04</v>
      </c>
      <c r="E51" s="125">
        <v>0.08</v>
      </c>
      <c r="F51" s="125">
        <v>0.16</v>
      </c>
      <c r="G51" s="125"/>
      <c r="H51" s="125">
        <v>5.0000000000000001E-3</v>
      </c>
      <c r="I51" s="65">
        <v>1200</v>
      </c>
      <c r="J51" s="125"/>
      <c r="K51" s="134" t="s">
        <v>73</v>
      </c>
      <c r="L51" s="134" t="s">
        <v>80</v>
      </c>
      <c r="M51" s="40">
        <f>B51</f>
        <v>90</v>
      </c>
      <c r="N51" s="153"/>
      <c r="O51" s="129">
        <v>0.5</v>
      </c>
      <c r="P51" s="153"/>
      <c r="Q51" s="153"/>
      <c r="R51" s="35"/>
      <c r="S51" s="198" t="s">
        <v>218</v>
      </c>
      <c r="T51" s="47" t="s">
        <v>73</v>
      </c>
      <c r="U51" s="47" t="s">
        <v>80</v>
      </c>
      <c r="V51" s="126">
        <f>M51</f>
        <v>90</v>
      </c>
      <c r="W51" s="43">
        <f>AD50*O51</f>
        <v>1.5</v>
      </c>
      <c r="X51" s="126">
        <f>V51*W51-(V51*W51*H51)</f>
        <v>134.32499999999999</v>
      </c>
      <c r="Y51" s="153" t="s">
        <v>34</v>
      </c>
      <c r="Z51" s="153">
        <f>X51-(V50*W51)</f>
        <v>-15.675000000000011</v>
      </c>
      <c r="AA51" s="199">
        <f>Z51/(V50*W51)</f>
        <v>-0.10450000000000008</v>
      </c>
      <c r="AB51" s="41"/>
      <c r="AC51" s="65">
        <f>AC50</f>
        <v>100</v>
      </c>
      <c r="AD51" s="39">
        <f>AD50-W51</f>
        <v>1.5</v>
      </c>
      <c r="AE51" s="65">
        <f>AE50*O51</f>
        <v>150</v>
      </c>
      <c r="AF51" s="128">
        <f>AC51 * (1 + D51) / (1 - H51)</f>
        <v>104.52261306532664</v>
      </c>
      <c r="AG51" s="129">
        <f>(B51 - AF51) / AF51</f>
        <v>-0.13894230769230773</v>
      </c>
      <c r="AH51" s="35"/>
      <c r="AI51" s="200">
        <f t="shared" ref="AI51:AK52" si="11">AI50</f>
        <v>100</v>
      </c>
      <c r="AJ51" s="39">
        <f t="shared" si="11"/>
        <v>1.7999999999999998</v>
      </c>
      <c r="AK51" s="65">
        <f t="shared" si="11"/>
        <v>180</v>
      </c>
      <c r="AL51" s="128">
        <f>AI51 * (1 + E51) / (1 - H51)</f>
        <v>108.5427135678392</v>
      </c>
      <c r="AM51" s="129">
        <f>(B51 - AL51) / AL51</f>
        <v>-0.17083333333333336</v>
      </c>
      <c r="AN51" s="35"/>
      <c r="AO51" s="65">
        <f t="shared" ref="AO51:AQ52" si="12">AO50</f>
        <v>100</v>
      </c>
      <c r="AP51" s="39">
        <f t="shared" si="12"/>
        <v>1.2000000000000002</v>
      </c>
      <c r="AQ51" s="65">
        <f t="shared" si="12"/>
        <v>120</v>
      </c>
      <c r="AR51" s="128">
        <f>AO51 * (1 + F51) / (1 - H51)</f>
        <v>116.58291457286431</v>
      </c>
      <c r="AS51" s="129">
        <f>(B51 - AR51) / AR51</f>
        <v>-0.22801724137931029</v>
      </c>
      <c r="AT51" s="35"/>
      <c r="AU51" s="201">
        <f>AU50</f>
        <v>600</v>
      </c>
      <c r="AV51" s="65">
        <f>AV50+X51</f>
        <v>134.32499999999999</v>
      </c>
      <c r="AW51" s="126">
        <f>(AD51+AJ51+AP51)*B51</f>
        <v>405</v>
      </c>
      <c r="AX51" s="202">
        <f>(AV51+AW51-AU51)/AU51</f>
        <v>-0.10112499999999992</v>
      </c>
      <c r="AY51" s="65">
        <f>I51-AU51+AV51</f>
        <v>734.32500000000005</v>
      </c>
      <c r="AZ51" s="122"/>
      <c r="BA51" s="122"/>
      <c r="BB51" s="152"/>
      <c r="BC51" s="152"/>
    </row>
    <row r="52" spans="1:55" ht="12.75" x14ac:dyDescent="0.2">
      <c r="A52" s="150" t="s">
        <v>221</v>
      </c>
      <c r="B52" s="52">
        <v>120</v>
      </c>
      <c r="C52" s="54">
        <v>0.02</v>
      </c>
      <c r="D52" s="124">
        <v>0.04</v>
      </c>
      <c r="E52" s="95">
        <v>0.08</v>
      </c>
      <c r="F52" s="95">
        <v>0.16</v>
      </c>
      <c r="G52" s="95"/>
      <c r="H52" s="95">
        <v>5.0000000000000001E-3</v>
      </c>
      <c r="I52" s="63">
        <v>1200</v>
      </c>
      <c r="J52" s="95"/>
      <c r="K52" s="133" t="s">
        <v>73</v>
      </c>
      <c r="L52" s="133" t="s">
        <v>219</v>
      </c>
      <c r="M52" s="52">
        <v>120</v>
      </c>
      <c r="N52" s="52"/>
      <c r="O52" s="124">
        <v>1</v>
      </c>
      <c r="P52" s="95"/>
      <c r="Q52" s="95"/>
      <c r="S52" s="45" t="s">
        <v>221</v>
      </c>
      <c r="T52" s="45" t="s">
        <v>73</v>
      </c>
      <c r="U52" s="130" t="s">
        <v>219</v>
      </c>
      <c r="V52" s="122">
        <f>M52</f>
        <v>120</v>
      </c>
      <c r="W52" s="30">
        <f>AD51+(AJ51*P52)</f>
        <v>1.5</v>
      </c>
      <c r="X52" s="122">
        <f>V52*W52-(V52*W52*H52)</f>
        <v>179.1</v>
      </c>
      <c r="Y52" s="152" t="s">
        <v>34</v>
      </c>
      <c r="Z52" s="152">
        <f>X52-(V50*W52)</f>
        <v>29.099999999999994</v>
      </c>
      <c r="AA52" s="161">
        <f>Z52/(V50*W52)</f>
        <v>0.19399999999999995</v>
      </c>
      <c r="AB52" s="12"/>
      <c r="AC52" s="152"/>
      <c r="AD52" s="152"/>
      <c r="AE52" s="152"/>
      <c r="AF52" s="152"/>
      <c r="AG52" s="152"/>
      <c r="AI52" s="205">
        <f t="shared" si="11"/>
        <v>100</v>
      </c>
      <c r="AJ52" s="32">
        <f t="shared" si="11"/>
        <v>1.7999999999999998</v>
      </c>
      <c r="AK52" s="63">
        <f t="shared" si="11"/>
        <v>180</v>
      </c>
      <c r="AL52" s="157">
        <f>AI52 * (1 + E52) / (1 - H52)</f>
        <v>108.5427135678392</v>
      </c>
      <c r="AM52" s="124">
        <f>(B52 - AL52) / AL52</f>
        <v>0.10555555555555551</v>
      </c>
      <c r="AO52" s="63">
        <f t="shared" si="12"/>
        <v>100</v>
      </c>
      <c r="AP52" s="32">
        <f t="shared" si="12"/>
        <v>1.2000000000000002</v>
      </c>
      <c r="AQ52" s="63">
        <f t="shared" si="12"/>
        <v>120</v>
      </c>
      <c r="AR52" s="157">
        <f>AR51</f>
        <v>116.58291457286431</v>
      </c>
      <c r="AS52" s="124">
        <f>(B52 - AR52) / AR52</f>
        <v>2.9310344827586297E-2</v>
      </c>
      <c r="AU52" s="196">
        <f>AU51</f>
        <v>600</v>
      </c>
      <c r="AV52" s="63">
        <f>AV51+X52</f>
        <v>313.42499999999995</v>
      </c>
      <c r="AW52" s="122">
        <f>(AD52+AJ52+AP52)*B52</f>
        <v>360</v>
      </c>
      <c r="AX52" s="206">
        <f>(AV52+AW52-AU52)/AU52</f>
        <v>0.12237499999999993</v>
      </c>
      <c r="AY52" s="63">
        <f>I52-AU52+AV52</f>
        <v>913.42499999999995</v>
      </c>
    </row>
    <row r="53" spans="1:55" ht="12.75" x14ac:dyDescent="0.2">
      <c r="A53" s="182" t="s">
        <v>216</v>
      </c>
      <c r="B53" s="40">
        <v>115</v>
      </c>
      <c r="C53" s="55">
        <v>0.02</v>
      </c>
      <c r="D53" s="129">
        <v>0.04</v>
      </c>
      <c r="E53" s="125">
        <v>0.08</v>
      </c>
      <c r="F53" s="125">
        <v>0.16</v>
      </c>
      <c r="G53" s="125"/>
      <c r="H53" s="125">
        <v>5.0000000000000001E-3</v>
      </c>
      <c r="I53" s="65">
        <v>1200</v>
      </c>
      <c r="J53" s="125"/>
      <c r="K53" s="134" t="s">
        <v>75</v>
      </c>
      <c r="L53" s="134" t="s">
        <v>25</v>
      </c>
      <c r="M53" s="40">
        <v>115</v>
      </c>
      <c r="N53" s="40">
        <v>400</v>
      </c>
      <c r="O53" s="129">
        <v>0.5</v>
      </c>
      <c r="P53" s="125">
        <v>0.3</v>
      </c>
      <c r="Q53" s="125">
        <v>0.2</v>
      </c>
      <c r="R53" s="35"/>
      <c r="S53" s="47" t="s">
        <v>216</v>
      </c>
      <c r="T53" s="47" t="s">
        <v>75</v>
      </c>
      <c r="U53" s="132" t="s">
        <v>25</v>
      </c>
      <c r="V53" s="126">
        <f>M53</f>
        <v>115</v>
      </c>
      <c r="W53" s="43">
        <f>X53/V53</f>
        <v>3.4782608695652173</v>
      </c>
      <c r="X53" s="126">
        <f>N53</f>
        <v>400</v>
      </c>
      <c r="Y53" s="126">
        <f>V53 * (1 - ABS(C53))</f>
        <v>112.7</v>
      </c>
      <c r="Z53" s="153" t="s">
        <v>34</v>
      </c>
      <c r="AA53" s="153" t="s">
        <v>34</v>
      </c>
      <c r="AB53" s="41"/>
      <c r="AC53" s="65">
        <f>V53</f>
        <v>115</v>
      </c>
      <c r="AD53" s="39">
        <f>W53*O53</f>
        <v>1.7391304347826086</v>
      </c>
      <c r="AE53" s="65">
        <f>X53*O53</f>
        <v>200</v>
      </c>
      <c r="AF53" s="128">
        <f>AC53 * (1 + D53) / (1 - H53)</f>
        <v>120.20100502512564</v>
      </c>
      <c r="AG53" s="129">
        <f>(B53 - AF53) / AF53</f>
        <v>-4.3269230769230851E-2</v>
      </c>
      <c r="AH53" s="35"/>
      <c r="AI53" s="65">
        <f>V53</f>
        <v>115</v>
      </c>
      <c r="AJ53" s="39">
        <f>W53*P53</f>
        <v>1.0434782608695652</v>
      </c>
      <c r="AK53" s="65">
        <f>X53*P53</f>
        <v>120</v>
      </c>
      <c r="AL53" s="128">
        <f>AI53 * (1 + E53) / (1 - H53)</f>
        <v>124.82412060301507</v>
      </c>
      <c r="AM53" s="129">
        <f>(B53 - AL53) / AL53</f>
        <v>-7.8703703703703706E-2</v>
      </c>
      <c r="AN53" s="35"/>
      <c r="AO53" s="65">
        <f>V53</f>
        <v>115</v>
      </c>
      <c r="AP53" s="35">
        <f>W53*Q53</f>
        <v>0.69565217391304346</v>
      </c>
      <c r="AQ53" s="65">
        <f>X53*Q53</f>
        <v>80</v>
      </c>
      <c r="AR53" s="128">
        <f>AO53 * (1 + F53) / (1 - H53)</f>
        <v>134.07035175879395</v>
      </c>
      <c r="AS53" s="129">
        <f>(B53 - AR53) / AR53</f>
        <v>-0.1422413793103447</v>
      </c>
      <c r="AT53" s="35"/>
      <c r="AU53" s="201">
        <f>AU52+X53-AV52</f>
        <v>686.57500000000005</v>
      </c>
      <c r="AV53" s="65">
        <v>0</v>
      </c>
      <c r="AW53" s="126">
        <f>(AD53+AJ53+AJ54+AP53+AP54)*B53</f>
        <v>745</v>
      </c>
      <c r="AX53" s="202">
        <f>(AV53+AW53-AU53)/AU53</f>
        <v>8.5096311400793725E-2</v>
      </c>
      <c r="AY53" s="65">
        <f>I53-AU53+AV53</f>
        <v>513.42499999999995</v>
      </c>
    </row>
    <row r="54" spans="1:55" ht="12.75" x14ac:dyDescent="0.2">
      <c r="A54" s="182"/>
      <c r="B54" s="40"/>
      <c r="C54" s="55"/>
      <c r="D54" s="129"/>
      <c r="E54" s="125"/>
      <c r="F54" s="125"/>
      <c r="G54" s="125"/>
      <c r="H54" s="125"/>
      <c r="I54" s="125"/>
      <c r="J54" s="125"/>
      <c r="K54" s="134"/>
      <c r="L54" s="134"/>
      <c r="M54" s="40"/>
      <c r="N54" s="40"/>
      <c r="O54" s="129"/>
      <c r="P54" s="125"/>
      <c r="Q54" s="125"/>
      <c r="R54" s="35"/>
      <c r="S54" s="47"/>
      <c r="T54" s="47"/>
      <c r="U54" s="203"/>
      <c r="V54" s="126"/>
      <c r="W54" s="43"/>
      <c r="X54" s="126"/>
      <c r="Y54" s="126"/>
      <c r="Z54" s="153"/>
      <c r="AA54" s="153"/>
      <c r="AB54" s="41"/>
      <c r="AC54" s="35"/>
      <c r="AD54" s="35"/>
      <c r="AE54" s="35"/>
      <c r="AF54" s="35"/>
      <c r="AG54" s="35"/>
      <c r="AH54" s="35"/>
      <c r="AI54" s="65">
        <f t="shared" ref="AI54:AL58" si="13">AI52</f>
        <v>100</v>
      </c>
      <c r="AJ54" s="39">
        <f t="shared" si="13"/>
        <v>1.7999999999999998</v>
      </c>
      <c r="AK54" s="65">
        <f t="shared" si="13"/>
        <v>180</v>
      </c>
      <c r="AL54" s="128">
        <f t="shared" si="13"/>
        <v>108.5427135678392</v>
      </c>
      <c r="AM54" s="129">
        <f>(B53 - AL54) / AL54</f>
        <v>5.9490740740740698E-2</v>
      </c>
      <c r="AN54" s="35"/>
      <c r="AO54" s="65">
        <f t="shared" ref="AO54:AR58" si="14">AO52</f>
        <v>100</v>
      </c>
      <c r="AP54" s="39">
        <f t="shared" si="14"/>
        <v>1.2000000000000002</v>
      </c>
      <c r="AQ54" s="65">
        <f t="shared" si="14"/>
        <v>120</v>
      </c>
      <c r="AR54" s="65">
        <f t="shared" si="14"/>
        <v>116.58291457286431</v>
      </c>
      <c r="AS54" s="129">
        <f>(B53 - AR54) / AR54</f>
        <v>-1.3577586206896464E-2</v>
      </c>
      <c r="AT54" s="35"/>
      <c r="AU54" s="35"/>
      <c r="AV54" s="35"/>
      <c r="AW54" s="39"/>
      <c r="AX54" s="39"/>
      <c r="AY54" s="35"/>
    </row>
    <row r="55" spans="1:55" ht="12.75" x14ac:dyDescent="0.2">
      <c r="A55" s="150" t="s">
        <v>242</v>
      </c>
      <c r="B55" s="52">
        <v>90</v>
      </c>
      <c r="C55" s="62">
        <v>0.02</v>
      </c>
      <c r="D55" s="124">
        <v>0.04</v>
      </c>
      <c r="E55" s="95">
        <v>0.08</v>
      </c>
      <c r="F55" s="95">
        <v>0.16</v>
      </c>
      <c r="G55" s="95"/>
      <c r="H55" s="95">
        <v>5.0000000000000001E-3</v>
      </c>
      <c r="I55" s="63">
        <v>1200</v>
      </c>
      <c r="J55" s="95"/>
      <c r="K55" s="133" t="s">
        <v>243</v>
      </c>
      <c r="L55" s="152"/>
      <c r="M55" s="52"/>
      <c r="N55" s="152">
        <v>20</v>
      </c>
      <c r="O55" s="124"/>
      <c r="P55" s="152"/>
      <c r="Q55" s="152"/>
      <c r="S55" t="s">
        <v>242</v>
      </c>
      <c r="T55" t="s">
        <v>244</v>
      </c>
      <c r="U55" s="152" t="s">
        <v>34</v>
      </c>
      <c r="V55" s="152" t="s">
        <v>34</v>
      </c>
      <c r="W55" s="152" t="s">
        <v>34</v>
      </c>
      <c r="X55" s="122">
        <f>N55</f>
        <v>20</v>
      </c>
      <c r="Y55" s="152" t="s">
        <v>34</v>
      </c>
      <c r="Z55" s="152" t="s">
        <v>34</v>
      </c>
      <c r="AA55" s="152" t="s">
        <v>34</v>
      </c>
      <c r="AB55" s="12"/>
      <c r="AC55" s="63">
        <f>AC53</f>
        <v>115</v>
      </c>
      <c r="AD55" s="32">
        <f>AD53</f>
        <v>1.7391304347826086</v>
      </c>
      <c r="AE55" s="63">
        <f>AE53</f>
        <v>200</v>
      </c>
      <c r="AF55" s="157">
        <f>AF53</f>
        <v>120.20100502512564</v>
      </c>
      <c r="AG55" s="124">
        <f>(B55 - AF55) / AF55</f>
        <v>-0.25125418060200677</v>
      </c>
      <c r="AI55" s="205">
        <f t="shared" si="13"/>
        <v>115</v>
      </c>
      <c r="AJ55" s="32">
        <f t="shared" si="13"/>
        <v>1.0434782608695652</v>
      </c>
      <c r="AK55" s="63">
        <f t="shared" si="13"/>
        <v>120</v>
      </c>
      <c r="AL55" s="157">
        <f t="shared" si="13"/>
        <v>124.82412060301507</v>
      </c>
      <c r="AM55" s="124">
        <f>(B55 - AL55) / AL55</f>
        <v>-0.27898550724637683</v>
      </c>
      <c r="AO55" s="63">
        <f t="shared" si="14"/>
        <v>115</v>
      </c>
      <c r="AP55" s="32">
        <f t="shared" si="14"/>
        <v>0.69565217391304346</v>
      </c>
      <c r="AQ55" s="63">
        <f t="shared" si="14"/>
        <v>80</v>
      </c>
      <c r="AR55" s="63">
        <f t="shared" si="14"/>
        <v>134.07035175879395</v>
      </c>
      <c r="AS55" s="124">
        <f>(B55 - AR55) / AR55</f>
        <v>-0.32871064467766103</v>
      </c>
      <c r="AU55" s="196">
        <f>AU53</f>
        <v>686.57500000000005</v>
      </c>
      <c r="AV55" s="63">
        <f>AV53+X55</f>
        <v>20</v>
      </c>
      <c r="AW55" s="122">
        <f>(AD55+AJ55+AJ56+AP55+AP56)*B55</f>
        <v>583.04347826086962</v>
      </c>
      <c r="AX55" s="206">
        <f>(AV55+AW55-AU55)/AU55</f>
        <v>-0.12166408875815522</v>
      </c>
      <c r="AY55" s="63">
        <f>I55-AU55+AV55</f>
        <v>533.42499999999995</v>
      </c>
    </row>
    <row r="56" spans="1:55" ht="12.75" x14ac:dyDescent="0.2">
      <c r="B56" s="52"/>
      <c r="C56" s="62"/>
      <c r="D56" s="124"/>
      <c r="E56" s="95"/>
      <c r="F56" s="95"/>
      <c r="G56" s="95"/>
      <c r="H56" s="95"/>
      <c r="I56" s="95"/>
      <c r="J56" s="95"/>
      <c r="K56" s="133"/>
      <c r="L56" s="133"/>
      <c r="M56" s="52"/>
      <c r="N56" s="52"/>
      <c r="O56" s="124"/>
      <c r="P56" s="95"/>
      <c r="Q56" s="95"/>
      <c r="S56" s="204"/>
      <c r="T56" s="45"/>
      <c r="U56" s="45"/>
      <c r="V56" s="122"/>
      <c r="W56" s="30"/>
      <c r="X56" s="122"/>
      <c r="Y56" s="152"/>
      <c r="Z56" s="152"/>
      <c r="AA56" s="161"/>
      <c r="AB56" s="12"/>
      <c r="AI56" s="63">
        <f t="shared" si="13"/>
        <v>100</v>
      </c>
      <c r="AJ56" s="32">
        <f t="shared" si="13"/>
        <v>1.7999999999999998</v>
      </c>
      <c r="AK56" s="63">
        <f t="shared" si="13"/>
        <v>180</v>
      </c>
      <c r="AL56" s="157">
        <f t="shared" si="13"/>
        <v>108.5427135678392</v>
      </c>
      <c r="AM56" s="124">
        <f>(B55 - AL56) / AL56</f>
        <v>-0.17083333333333336</v>
      </c>
      <c r="AO56" s="63">
        <f t="shared" si="14"/>
        <v>100</v>
      </c>
      <c r="AP56" s="32">
        <f t="shared" si="14"/>
        <v>1.2000000000000002</v>
      </c>
      <c r="AQ56" s="63">
        <f t="shared" si="14"/>
        <v>120</v>
      </c>
      <c r="AR56" s="63">
        <f t="shared" si="14"/>
        <v>116.58291457286431</v>
      </c>
      <c r="AS56" s="124">
        <f>(B55 - AR56) / AR56</f>
        <v>-0.22801724137931029</v>
      </c>
      <c r="AW56" s="32"/>
      <c r="AX56" s="32"/>
    </row>
    <row r="57" spans="1:55" ht="12.75" x14ac:dyDescent="0.2">
      <c r="A57" s="182" t="s">
        <v>245</v>
      </c>
      <c r="B57" s="40">
        <v>80</v>
      </c>
      <c r="C57" s="55">
        <v>0.02</v>
      </c>
      <c r="D57" s="129">
        <v>0.04</v>
      </c>
      <c r="E57" s="125">
        <v>0.08</v>
      </c>
      <c r="F57" s="125">
        <v>0.16</v>
      </c>
      <c r="G57" s="125"/>
      <c r="H57" s="125">
        <v>5.0000000000000001E-3</v>
      </c>
      <c r="I57" s="65">
        <v>1200</v>
      </c>
      <c r="J57" s="125"/>
      <c r="K57" s="134" t="s">
        <v>246</v>
      </c>
      <c r="L57" s="153"/>
      <c r="M57" s="40"/>
      <c r="N57" s="153">
        <v>40</v>
      </c>
      <c r="O57" s="129"/>
      <c r="P57" s="153"/>
      <c r="Q57" s="153"/>
      <c r="R57" s="35"/>
      <c r="S57" s="35" t="s">
        <v>245</v>
      </c>
      <c r="T57" s="35" t="s">
        <v>246</v>
      </c>
      <c r="U57" s="153" t="s">
        <v>34</v>
      </c>
      <c r="V57" s="153" t="s">
        <v>34</v>
      </c>
      <c r="W57" s="153" t="s">
        <v>34</v>
      </c>
      <c r="X57" s="65">
        <v>40</v>
      </c>
      <c r="Y57" s="153" t="s">
        <v>34</v>
      </c>
      <c r="Z57" s="153" t="s">
        <v>34</v>
      </c>
      <c r="AA57" s="153" t="s">
        <v>34</v>
      </c>
      <c r="AB57" s="41"/>
      <c r="AC57" s="65">
        <f>AC55</f>
        <v>115</v>
      </c>
      <c r="AD57" s="39">
        <f>AD55</f>
        <v>1.7391304347826086</v>
      </c>
      <c r="AE57" s="65">
        <f>AE55</f>
        <v>200</v>
      </c>
      <c r="AF57" s="128">
        <f>AF55</f>
        <v>120.20100502512564</v>
      </c>
      <c r="AG57" s="129">
        <f>(B57 - AF57) / AF57</f>
        <v>-0.33444816053511711</v>
      </c>
      <c r="AH57" s="35"/>
      <c r="AI57" s="200">
        <f t="shared" si="13"/>
        <v>115</v>
      </c>
      <c r="AJ57" s="39">
        <f t="shared" si="13"/>
        <v>1.0434782608695652</v>
      </c>
      <c r="AK57" s="65">
        <f t="shared" si="13"/>
        <v>120</v>
      </c>
      <c r="AL57" s="128">
        <f t="shared" si="13"/>
        <v>124.82412060301507</v>
      </c>
      <c r="AM57" s="129">
        <f>(B57 - AL57) / AL57</f>
        <v>-0.35909822866344604</v>
      </c>
      <c r="AN57" s="35"/>
      <c r="AO57" s="65">
        <f t="shared" si="14"/>
        <v>115</v>
      </c>
      <c r="AP57" s="39">
        <f t="shared" si="14"/>
        <v>0.69565217391304346</v>
      </c>
      <c r="AQ57" s="65">
        <f t="shared" si="14"/>
        <v>80</v>
      </c>
      <c r="AR57" s="65">
        <f t="shared" si="14"/>
        <v>134.07035175879395</v>
      </c>
      <c r="AS57" s="129">
        <f>(B57 - AR57) / AR57</f>
        <v>-0.40329835082458759</v>
      </c>
      <c r="AT57" s="35"/>
      <c r="AU57" s="201">
        <f>AU55</f>
        <v>686.57500000000005</v>
      </c>
      <c r="AV57" s="65">
        <f>AV55+X57</f>
        <v>60</v>
      </c>
      <c r="AW57" s="126">
        <f>(AD57+AJ57+AJ58+AP57+AP58)*B57</f>
        <v>518.26086956521738</v>
      </c>
      <c r="AX57" s="202">
        <f>(AV57+AW57-AU57)/AU57</f>
        <v>-0.15776008511055989</v>
      </c>
      <c r="AY57" s="65">
        <f>I57-AU57+AV57</f>
        <v>573.42499999999995</v>
      </c>
    </row>
    <row r="58" spans="1:55" ht="12.75" x14ac:dyDescent="0.2">
      <c r="A58" s="182"/>
      <c r="B58" s="40"/>
      <c r="C58" s="55"/>
      <c r="D58" s="129"/>
      <c r="E58" s="125"/>
      <c r="F58" s="125"/>
      <c r="G58" s="125"/>
      <c r="H58" s="125"/>
      <c r="I58" s="125"/>
      <c r="J58" s="125"/>
      <c r="K58" s="134"/>
      <c r="L58" s="134"/>
      <c r="M58" s="40"/>
      <c r="N58" s="40"/>
      <c r="O58" s="129"/>
      <c r="P58" s="125"/>
      <c r="Q58" s="125"/>
      <c r="R58" s="35"/>
      <c r="S58" s="35"/>
      <c r="T58" s="35"/>
      <c r="U58" s="153"/>
      <c r="V58" s="153"/>
      <c r="W58" s="153"/>
      <c r="X58" s="126"/>
      <c r="Y58" s="153"/>
      <c r="Z58" s="153"/>
      <c r="AA58" s="153"/>
      <c r="AB58" s="41"/>
      <c r="AC58" s="126"/>
      <c r="AD58" s="43"/>
      <c r="AE58" s="128"/>
      <c r="AF58" s="128"/>
      <c r="AG58" s="129"/>
      <c r="AH58" s="43"/>
      <c r="AI58" s="126">
        <f t="shared" si="13"/>
        <v>100</v>
      </c>
      <c r="AJ58" s="43">
        <f t="shared" si="13"/>
        <v>1.7999999999999998</v>
      </c>
      <c r="AK58" s="128">
        <f t="shared" si="13"/>
        <v>180</v>
      </c>
      <c r="AL58" s="128">
        <f t="shared" si="13"/>
        <v>108.5427135678392</v>
      </c>
      <c r="AM58" s="129">
        <f>(B57 - AL58) / AL58</f>
        <v>-0.26296296296296301</v>
      </c>
      <c r="AN58" s="35"/>
      <c r="AO58" s="126">
        <f t="shared" si="14"/>
        <v>100</v>
      </c>
      <c r="AP58" s="43">
        <f t="shared" si="14"/>
        <v>1.2000000000000002</v>
      </c>
      <c r="AQ58" s="128">
        <f t="shared" si="14"/>
        <v>120</v>
      </c>
      <c r="AR58" s="128">
        <f t="shared" si="14"/>
        <v>116.58291457286431</v>
      </c>
      <c r="AS58" s="129">
        <f>(B57 - AR58) / AR58</f>
        <v>-0.31379310344827582</v>
      </c>
      <c r="AT58" s="35"/>
      <c r="AU58" s="39"/>
      <c r="AV58" s="39"/>
      <c r="AW58" s="39"/>
      <c r="AX58" s="39"/>
      <c r="AY58" s="35"/>
    </row>
    <row r="59" spans="1:55" ht="12.75" x14ac:dyDescent="0.2">
      <c r="A59" s="150" t="s">
        <v>217</v>
      </c>
      <c r="B59" s="52">
        <v>115</v>
      </c>
      <c r="C59" s="62">
        <v>0.02</v>
      </c>
      <c r="D59" s="124">
        <v>0.04</v>
      </c>
      <c r="E59" s="95">
        <v>0.08</v>
      </c>
      <c r="F59" s="95">
        <v>0.16</v>
      </c>
      <c r="G59" s="95"/>
      <c r="H59" s="95">
        <v>5.0000000000000001E-3</v>
      </c>
      <c r="I59" s="63">
        <v>1200</v>
      </c>
      <c r="J59" s="95"/>
      <c r="K59" s="133" t="s">
        <v>75</v>
      </c>
      <c r="L59" s="133" t="s">
        <v>211</v>
      </c>
      <c r="M59" s="52">
        <v>115</v>
      </c>
      <c r="N59" s="52">
        <v>700</v>
      </c>
      <c r="O59" s="124">
        <v>0.5</v>
      </c>
      <c r="P59" s="95">
        <v>0.3</v>
      </c>
      <c r="Q59" s="95">
        <v>0.2</v>
      </c>
      <c r="S59" s="45" t="s">
        <v>217</v>
      </c>
      <c r="T59" s="45" t="s">
        <v>75</v>
      </c>
      <c r="U59" s="130" t="s">
        <v>211</v>
      </c>
      <c r="V59" s="122">
        <f>M59</f>
        <v>115</v>
      </c>
      <c r="W59" s="30">
        <f>X59/V59</f>
        <v>6.0869565217391308</v>
      </c>
      <c r="X59" s="122">
        <f>N59</f>
        <v>700</v>
      </c>
      <c r="Y59" s="122">
        <f>V59 * (1 - ABS(C59))</f>
        <v>112.7</v>
      </c>
      <c r="Z59" s="152" t="s">
        <v>34</v>
      </c>
      <c r="AA59" s="152" t="s">
        <v>34</v>
      </c>
      <c r="AB59" s="12"/>
      <c r="AC59" s="63">
        <f>AC57</f>
        <v>115</v>
      </c>
      <c r="AD59" s="32">
        <f>AD57+(W59*O59)</f>
        <v>4.7826086956521738</v>
      </c>
      <c r="AE59" s="63">
        <f>AE57+(X59*O59)</f>
        <v>550</v>
      </c>
      <c r="AF59" s="123">
        <f>B59 * (1 + D59) / (1 - H59)</f>
        <v>120.20100502512564</v>
      </c>
      <c r="AG59" s="124">
        <f>(B59 - AF59) / AF59</f>
        <v>-4.3269230769230851E-2</v>
      </c>
      <c r="AI59" s="205">
        <f>AI57</f>
        <v>115</v>
      </c>
      <c r="AJ59" s="32">
        <f>AJ57+(W59*P59)</f>
        <v>2.8695652173913047</v>
      </c>
      <c r="AK59" s="63">
        <f>AK57+(X59*P59)</f>
        <v>330</v>
      </c>
      <c r="AL59" s="123">
        <f>AI59 * (1 + E59) / (1 - H59)</f>
        <v>124.82412060301507</v>
      </c>
      <c r="AM59" s="124">
        <f>(B59 - AL59) / AL59</f>
        <v>-7.8703703703703706E-2</v>
      </c>
      <c r="AO59" s="63">
        <f>AO57</f>
        <v>115</v>
      </c>
      <c r="AP59" s="32">
        <f>AP57+(W59*Q59)</f>
        <v>1.9130434782608696</v>
      </c>
      <c r="AQ59" s="63">
        <f>AQ57+(X59*Q59)</f>
        <v>220</v>
      </c>
      <c r="AR59" s="123">
        <f>AO59 * (1 + F59) / (1 - H59)</f>
        <v>134.07035175879395</v>
      </c>
      <c r="AS59" s="124">
        <f>(B59 - AR59) / AR59</f>
        <v>-0.1422413793103447</v>
      </c>
      <c r="AU59" s="196">
        <f>AU57+X59-AV57</f>
        <v>1326.575</v>
      </c>
      <c r="AV59" s="63">
        <v>0</v>
      </c>
      <c r="AW59" s="122" t="e">
        <f>(AD59+AJ59+#REF!+AP59+#REF!)*B59</f>
        <v>#REF!</v>
      </c>
      <c r="AX59" s="206" t="e">
        <f>(AV59+AW59-AU59)/AU59</f>
        <v>#REF!</v>
      </c>
      <c r="AY59" s="63">
        <f>I59-AU59+AV59</f>
        <v>-126.57500000000005</v>
      </c>
    </row>
    <row r="60" spans="1:55" ht="12.75" x14ac:dyDescent="0.2">
      <c r="A60" s="150"/>
      <c r="B60" s="33"/>
      <c r="C60" s="67"/>
      <c r="D60" s="124"/>
      <c r="E60" s="95"/>
      <c r="F60" s="95"/>
      <c r="G60" s="95"/>
      <c r="H60" s="95"/>
      <c r="I60" s="95"/>
      <c r="M60" s="207"/>
      <c r="N60" s="207"/>
      <c r="O60" s="124"/>
      <c r="P60" s="95"/>
      <c r="Q60" s="95"/>
      <c r="R60" s="45"/>
      <c r="S60" s="45"/>
      <c r="W60" s="30"/>
      <c r="X60" s="122"/>
      <c r="Y60" s="122"/>
      <c r="Z60" s="152"/>
      <c r="AA60" s="152"/>
      <c r="AB60" s="12"/>
      <c r="AC60" s="139"/>
      <c r="AD60" s="139"/>
      <c r="AE60" s="139"/>
      <c r="AF60" s="139"/>
      <c r="AG60" s="140"/>
      <c r="AH60" s="140"/>
      <c r="AI60" s="139"/>
      <c r="AJ60" s="139"/>
      <c r="AK60" s="139"/>
      <c r="AL60" s="139"/>
      <c r="AM60" s="140"/>
      <c r="AO60" s="139"/>
      <c r="AP60" s="139"/>
      <c r="AQ60" s="139"/>
      <c r="AR60" s="139"/>
      <c r="AS60" s="140"/>
    </row>
    <row r="61" spans="1:55" ht="12.75" x14ac:dyDescent="0.2">
      <c r="A61" s="208" t="s">
        <v>254</v>
      </c>
      <c r="B61" s="33"/>
      <c r="C61" s="67"/>
      <c r="D61" s="124"/>
      <c r="E61" s="95"/>
      <c r="F61" s="95"/>
      <c r="G61" s="95"/>
      <c r="H61" s="95"/>
      <c r="I61" s="95"/>
      <c r="M61" s="207"/>
      <c r="N61" s="207"/>
      <c r="O61" s="124"/>
      <c r="P61" s="95"/>
      <c r="Q61" s="95"/>
      <c r="R61" s="45"/>
      <c r="S61" s="45"/>
      <c r="W61" s="30"/>
      <c r="X61" s="122"/>
      <c r="Y61" s="122"/>
      <c r="Z61" s="152"/>
      <c r="AA61" s="152"/>
      <c r="AB61" s="12"/>
      <c r="AC61" s="139"/>
      <c r="AD61" s="139"/>
      <c r="AE61" s="139"/>
      <c r="AF61" s="139"/>
      <c r="AG61" s="140"/>
      <c r="AH61" s="140"/>
      <c r="AI61" s="139"/>
      <c r="AJ61" s="139"/>
      <c r="AK61" s="139"/>
      <c r="AL61" s="139"/>
      <c r="AM61" s="140"/>
      <c r="AO61" s="139"/>
      <c r="AP61" s="139"/>
      <c r="AQ61" s="139"/>
      <c r="AR61" s="139"/>
      <c r="AS61" s="140"/>
    </row>
    <row r="62" spans="1:55" ht="12.75" x14ac:dyDescent="0.2">
      <c r="B62" s="45" t="s">
        <v>204</v>
      </c>
      <c r="C62" s="109"/>
      <c r="K62" s="45" t="s">
        <v>202</v>
      </c>
      <c r="S62" s="45" t="s">
        <v>203</v>
      </c>
      <c r="U62" s="12"/>
      <c r="V62" s="12"/>
      <c r="W62" s="12"/>
      <c r="X62" s="12"/>
      <c r="Y62" s="12"/>
      <c r="Z62" s="12"/>
      <c r="AA62" s="12"/>
      <c r="AB62" s="12"/>
      <c r="AC62" s="130" t="s">
        <v>205</v>
      </c>
      <c r="AD62" s="46"/>
      <c r="AE62" s="46"/>
      <c r="AF62" s="46"/>
      <c r="AG62" s="46"/>
      <c r="AH62" s="46"/>
      <c r="AI62" s="130" t="s">
        <v>207</v>
      </c>
      <c r="AJ62" s="46"/>
      <c r="AK62" s="46"/>
      <c r="AL62" s="46"/>
      <c r="AM62" s="46"/>
      <c r="AN62" s="45"/>
      <c r="AO62" s="130" t="s">
        <v>208</v>
      </c>
      <c r="AP62" s="12"/>
      <c r="AQ62" s="12"/>
      <c r="AR62" s="12"/>
      <c r="AS62" s="12"/>
      <c r="AU62" s="130" t="s">
        <v>206</v>
      </c>
    </row>
    <row r="63" spans="1:55" ht="12.75" x14ac:dyDescent="0.2">
      <c r="B63" s="57" t="s">
        <v>209</v>
      </c>
      <c r="C63" s="28" t="s">
        <v>190</v>
      </c>
      <c r="D63" s="57" t="s">
        <v>191</v>
      </c>
      <c r="E63" s="28" t="s">
        <v>192</v>
      </c>
      <c r="F63" s="28" t="s">
        <v>193</v>
      </c>
      <c r="G63" s="28" t="s">
        <v>293</v>
      </c>
      <c r="H63" s="57" t="s">
        <v>292</v>
      </c>
      <c r="I63" s="57"/>
      <c r="J63" s="101"/>
      <c r="K63" s="28" t="s">
        <v>76</v>
      </c>
      <c r="L63" s="28" t="s">
        <v>4</v>
      </c>
      <c r="M63" s="57" t="s">
        <v>0</v>
      </c>
      <c r="N63" s="57" t="s">
        <v>1</v>
      </c>
      <c r="O63" s="28" t="s">
        <v>191</v>
      </c>
      <c r="P63" s="28" t="s">
        <v>192</v>
      </c>
      <c r="Q63" s="28" t="s">
        <v>193</v>
      </c>
      <c r="S63" s="28"/>
      <c r="T63" s="28" t="s">
        <v>76</v>
      </c>
      <c r="U63" s="28" t="s">
        <v>4</v>
      </c>
      <c r="V63" s="57" t="s">
        <v>0</v>
      </c>
      <c r="W63" s="28" t="s">
        <v>62</v>
      </c>
      <c r="X63" s="57" t="s">
        <v>220</v>
      </c>
      <c r="Y63" s="57" t="s">
        <v>190</v>
      </c>
      <c r="Z63" s="57" t="s">
        <v>194</v>
      </c>
      <c r="AA63" s="28" t="s">
        <v>195</v>
      </c>
      <c r="AB63" s="12"/>
      <c r="AC63" s="28" t="s">
        <v>0</v>
      </c>
      <c r="AD63" s="28" t="s">
        <v>196</v>
      </c>
      <c r="AE63" s="57" t="s">
        <v>1</v>
      </c>
      <c r="AF63" s="57" t="s">
        <v>197</v>
      </c>
      <c r="AG63" s="57" t="s">
        <v>198</v>
      </c>
      <c r="AH63" s="60"/>
      <c r="AI63" s="28" t="s">
        <v>0</v>
      </c>
      <c r="AJ63" s="28" t="s">
        <v>196</v>
      </c>
      <c r="AK63" s="57" t="s">
        <v>1</v>
      </c>
      <c r="AL63" s="57" t="s">
        <v>197</v>
      </c>
      <c r="AM63" s="57" t="s">
        <v>198</v>
      </c>
      <c r="AO63" s="28" t="s">
        <v>0</v>
      </c>
      <c r="AP63" s="28" t="s">
        <v>196</v>
      </c>
      <c r="AQ63" s="57" t="s">
        <v>1</v>
      </c>
      <c r="AR63" s="57" t="s">
        <v>197</v>
      </c>
      <c r="AS63" s="57" t="s">
        <v>198</v>
      </c>
      <c r="AU63" s="57" t="s">
        <v>199</v>
      </c>
      <c r="AV63" s="28" t="s">
        <v>191</v>
      </c>
      <c r="AW63" s="28" t="s">
        <v>192</v>
      </c>
      <c r="AX63" s="28" t="s">
        <v>193</v>
      </c>
    </row>
    <row r="64" spans="1:55" ht="12.75" x14ac:dyDescent="0.2">
      <c r="A64" s="110" t="s">
        <v>215</v>
      </c>
      <c r="B64" s="52">
        <v>100</v>
      </c>
      <c r="C64" s="54">
        <v>0.04</v>
      </c>
      <c r="D64" s="124">
        <v>0.04</v>
      </c>
      <c r="E64" s="95">
        <v>0.08</v>
      </c>
      <c r="F64" s="95">
        <v>0.16</v>
      </c>
      <c r="G64" s="95"/>
      <c r="H64" s="95">
        <v>0.01</v>
      </c>
      <c r="I64" s="95"/>
      <c r="J64" s="95"/>
      <c r="K64" s="133" t="s">
        <v>75</v>
      </c>
      <c r="L64" s="133" t="s">
        <v>78</v>
      </c>
      <c r="M64" s="52">
        <v>100</v>
      </c>
      <c r="N64" s="52">
        <v>100</v>
      </c>
      <c r="O64" s="124">
        <v>0.5</v>
      </c>
      <c r="P64" s="95">
        <v>0.3</v>
      </c>
      <c r="Q64" s="95">
        <v>0.2</v>
      </c>
      <c r="S64" s="45" t="s">
        <v>215</v>
      </c>
      <c r="T64" s="45" t="s">
        <v>75</v>
      </c>
      <c r="U64" s="131" t="s">
        <v>78</v>
      </c>
      <c r="V64" s="122">
        <f>M64</f>
        <v>100</v>
      </c>
      <c r="W64" s="30">
        <f>X64/V64</f>
        <v>1</v>
      </c>
      <c r="X64" s="122">
        <f>N64</f>
        <v>100</v>
      </c>
      <c r="Y64" s="122">
        <f>V64 * (1 - ABS(C64))</f>
        <v>96</v>
      </c>
      <c r="Z64" s="152" t="s">
        <v>34</v>
      </c>
      <c r="AA64" s="152" t="s">
        <v>34</v>
      </c>
      <c r="AB64" s="12"/>
      <c r="AC64" s="122">
        <f>V64</f>
        <v>100</v>
      </c>
      <c r="AD64" s="30">
        <f>W64*O64</f>
        <v>0.5</v>
      </c>
      <c r="AE64" s="123">
        <f>X64*O64</f>
        <v>50</v>
      </c>
      <c r="AF64" s="123">
        <f>AC64 * (1 + D64) / (1 - H64)</f>
        <v>105.05050505050505</v>
      </c>
      <c r="AG64" s="124">
        <f>(B64 - AF64) / AF64</f>
        <v>-4.8076923076923087E-2</v>
      </c>
      <c r="AH64" s="30"/>
      <c r="AI64" s="122">
        <f>V64</f>
        <v>100</v>
      </c>
      <c r="AJ64" s="30">
        <f>W64*P64</f>
        <v>0.3</v>
      </c>
      <c r="AK64" s="123">
        <f>X64*P64</f>
        <v>30</v>
      </c>
      <c r="AL64" s="123">
        <f>AI64 * (1 + E64) / (1 - H64)</f>
        <v>109.09090909090909</v>
      </c>
      <c r="AM64" s="124">
        <f>(B64 - AL64) / AL64</f>
        <v>-8.3333333333333356E-2</v>
      </c>
      <c r="AO64" s="122">
        <f>V64</f>
        <v>100</v>
      </c>
      <c r="AP64" s="30">
        <f>W64*Q64</f>
        <v>0.2</v>
      </c>
      <c r="AQ64" s="123">
        <f>X64*Q64</f>
        <v>20</v>
      </c>
      <c r="AR64" s="123">
        <f>AO64 * (1 + F64) / (1 - H64)</f>
        <v>117.17171717171716</v>
      </c>
      <c r="AS64" s="124">
        <f>(B64 - AR64) / AR64</f>
        <v>-0.14655172413793097</v>
      </c>
      <c r="AU64" s="32">
        <f>AD64+AJ64+AP64</f>
        <v>1</v>
      </c>
      <c r="AV64" s="32">
        <f>AD64</f>
        <v>0.5</v>
      </c>
      <c r="AW64" s="32">
        <f>AJ64</f>
        <v>0.3</v>
      </c>
      <c r="AX64" s="32">
        <f>AP64</f>
        <v>0.2</v>
      </c>
    </row>
    <row r="65" spans="1:55" ht="12.75" x14ac:dyDescent="0.2">
      <c r="A65" s="182" t="s">
        <v>256</v>
      </c>
      <c r="B65" s="36"/>
      <c r="C65" s="209"/>
      <c r="D65" s="129"/>
      <c r="E65" s="125"/>
      <c r="F65" s="125"/>
      <c r="G65" s="125"/>
      <c r="H65" s="125"/>
      <c r="I65" s="125"/>
      <c r="J65" s="35"/>
      <c r="K65" s="35"/>
      <c r="L65" s="35"/>
      <c r="M65" s="210"/>
      <c r="N65" s="210"/>
      <c r="O65" s="129"/>
      <c r="P65" s="125"/>
      <c r="Q65" s="125"/>
      <c r="R65" s="47"/>
      <c r="S65" s="47"/>
      <c r="T65" s="35"/>
      <c r="U65" s="35"/>
      <c r="V65" s="35"/>
      <c r="W65" s="43"/>
      <c r="X65" s="126"/>
      <c r="Y65" s="126"/>
      <c r="Z65" s="153"/>
      <c r="AA65" s="153"/>
      <c r="AB65" s="41"/>
      <c r="AC65" s="212"/>
      <c r="AD65" s="212"/>
      <c r="AE65" s="212"/>
      <c r="AF65" s="212"/>
      <c r="AG65" s="170"/>
      <c r="AH65" s="170"/>
      <c r="AI65" s="212"/>
      <c r="AJ65" s="212"/>
      <c r="AK65" s="212"/>
      <c r="AL65" s="212"/>
      <c r="AM65" s="170"/>
      <c r="AN65" s="35"/>
      <c r="AO65" s="212"/>
      <c r="AP65" s="212"/>
      <c r="AQ65" s="212"/>
      <c r="AR65" s="212"/>
      <c r="AS65" s="170"/>
      <c r="AT65" s="35"/>
      <c r="AU65" s="35"/>
      <c r="AV65" s="35"/>
      <c r="AW65" s="35"/>
      <c r="AX65" s="35"/>
    </row>
    <row r="66" spans="1:55" ht="12.75" x14ac:dyDescent="0.2">
      <c r="A66" s="150" t="s">
        <v>218</v>
      </c>
      <c r="B66" s="52">
        <v>100</v>
      </c>
      <c r="C66" s="54">
        <v>0.04</v>
      </c>
      <c r="D66" s="124">
        <v>0.04</v>
      </c>
      <c r="E66" s="95">
        <v>0.08</v>
      </c>
      <c r="F66" s="95">
        <v>0.16</v>
      </c>
      <c r="G66" s="95"/>
      <c r="H66" s="95">
        <v>0.01</v>
      </c>
      <c r="I66" s="95"/>
      <c r="K66" s="133" t="s">
        <v>73</v>
      </c>
      <c r="L66" s="130" t="s">
        <v>211</v>
      </c>
      <c r="M66" s="52">
        <v>100</v>
      </c>
      <c r="N66" s="152" t="s">
        <v>34</v>
      </c>
      <c r="O66" s="152" t="s">
        <v>34</v>
      </c>
      <c r="P66" s="152" t="s">
        <v>34</v>
      </c>
      <c r="Q66" s="95">
        <v>1</v>
      </c>
      <c r="S66" s="45" t="s">
        <v>218</v>
      </c>
      <c r="T66" s="45" t="s">
        <v>73</v>
      </c>
      <c r="U66" s="130" t="s">
        <v>211</v>
      </c>
      <c r="V66" s="122">
        <f>M66</f>
        <v>100</v>
      </c>
      <c r="W66" s="30">
        <f>AP64*Q66</f>
        <v>0.2</v>
      </c>
      <c r="X66" s="122">
        <f>V66*W66-(V66*W66*H66)</f>
        <v>19.8</v>
      </c>
      <c r="Y66" s="152" t="s">
        <v>34</v>
      </c>
      <c r="Z66" s="158">
        <f>X66-(V64*W66)</f>
        <v>-0.19999999999999929</v>
      </c>
      <c r="AA66" s="211">
        <f>Z66/(V64*W66)</f>
        <v>-9.9999999999999638E-3</v>
      </c>
      <c r="AB66" s="12"/>
      <c r="AC66" s="122">
        <f>V66</f>
        <v>100</v>
      </c>
      <c r="AD66" s="30">
        <f>AD64</f>
        <v>0.5</v>
      </c>
      <c r="AE66" s="123">
        <f>AE64</f>
        <v>50</v>
      </c>
      <c r="AF66" s="123">
        <f>AF64</f>
        <v>105.05050505050505</v>
      </c>
      <c r="AG66" s="124">
        <f>AG64</f>
        <v>-4.8076923076923087E-2</v>
      </c>
      <c r="AH66" s="30"/>
      <c r="AI66" s="122">
        <f>AI64</f>
        <v>100</v>
      </c>
      <c r="AJ66" s="30">
        <f>AJ64</f>
        <v>0.3</v>
      </c>
      <c r="AK66" s="123">
        <f>AK64</f>
        <v>30</v>
      </c>
      <c r="AL66" s="123">
        <f>AL64</f>
        <v>109.09090909090909</v>
      </c>
      <c r="AM66" s="124">
        <f>AM64</f>
        <v>-8.3333333333333356E-2</v>
      </c>
      <c r="AO66" s="162"/>
      <c r="AP66" s="163"/>
      <c r="AQ66" s="164"/>
      <c r="AR66" s="164"/>
      <c r="AS66" s="148"/>
      <c r="AU66" s="32">
        <f>AD66+AJ66+AP66</f>
        <v>0.8</v>
      </c>
      <c r="AV66" s="32">
        <f>AD66</f>
        <v>0.5</v>
      </c>
      <c r="AW66" s="32">
        <f>AJ66</f>
        <v>0.3</v>
      </c>
      <c r="AX66" s="32">
        <f>AP66</f>
        <v>0</v>
      </c>
    </row>
    <row r="67" spans="1:55" ht="12.75" x14ac:dyDescent="0.2">
      <c r="A67" s="182" t="s">
        <v>255</v>
      </c>
      <c r="B67" s="36"/>
      <c r="C67" s="209"/>
      <c r="D67" s="129"/>
      <c r="E67" s="125"/>
      <c r="F67" s="125"/>
      <c r="G67" s="125"/>
      <c r="H67" s="125"/>
      <c r="I67" s="125"/>
      <c r="J67" s="35"/>
      <c r="K67" s="35"/>
      <c r="L67" s="35"/>
      <c r="M67" s="210"/>
      <c r="N67" s="210"/>
      <c r="O67" s="129"/>
      <c r="P67" s="125"/>
      <c r="Q67" s="125"/>
      <c r="R67" s="47"/>
      <c r="S67" s="47"/>
      <c r="T67" s="35"/>
      <c r="U67" s="35"/>
      <c r="V67" s="35"/>
      <c r="W67" s="43"/>
      <c r="X67" s="126"/>
      <c r="Y67" s="126"/>
      <c r="Z67" s="153"/>
      <c r="AA67" s="153"/>
      <c r="AB67" s="41"/>
      <c r="AC67" s="212"/>
      <c r="AD67" s="212"/>
      <c r="AE67" s="212"/>
      <c r="AF67" s="212"/>
      <c r="AG67" s="170"/>
      <c r="AH67" s="170"/>
      <c r="AI67" s="212"/>
      <c r="AJ67" s="212"/>
      <c r="AK67" s="212"/>
      <c r="AL67" s="212"/>
      <c r="AM67" s="170"/>
      <c r="AN67" s="35"/>
      <c r="AO67" s="212"/>
      <c r="AP67" s="212"/>
      <c r="AQ67" s="212"/>
      <c r="AR67" s="212"/>
      <c r="AS67" s="170"/>
      <c r="AT67" s="35"/>
      <c r="AU67" s="35"/>
      <c r="AV67" s="35"/>
      <c r="AW67" s="35"/>
      <c r="AX67" s="35"/>
    </row>
    <row r="68" spans="1:55" ht="12.75" x14ac:dyDescent="0.2">
      <c r="A68" s="150" t="s">
        <v>257</v>
      </c>
      <c r="B68" s="52">
        <v>100</v>
      </c>
      <c r="C68" s="54">
        <v>0.04</v>
      </c>
      <c r="D68" s="124">
        <v>0.04</v>
      </c>
      <c r="E68" s="95">
        <v>0.08</v>
      </c>
      <c r="F68" s="95"/>
      <c r="G68" s="95"/>
      <c r="H68" s="95">
        <v>0.01</v>
      </c>
      <c r="I68" s="95"/>
      <c r="K68" s="133"/>
      <c r="L68" s="130"/>
      <c r="M68" s="52"/>
      <c r="N68" s="152"/>
      <c r="O68" s="152"/>
      <c r="P68" s="152"/>
      <c r="Q68" s="95"/>
      <c r="S68" s="45"/>
      <c r="T68" s="45"/>
      <c r="U68" s="130"/>
      <c r="V68" s="122"/>
      <c r="W68" s="30"/>
      <c r="X68" s="122"/>
      <c r="Y68" s="152"/>
      <c r="Z68" s="158"/>
      <c r="AA68" s="211"/>
      <c r="AB68" s="12"/>
      <c r="AC68" s="122">
        <f>AC66</f>
        <v>100</v>
      </c>
      <c r="AD68" s="30">
        <f>AD66</f>
        <v>0.5</v>
      </c>
      <c r="AE68" s="123">
        <f>AE66</f>
        <v>50</v>
      </c>
      <c r="AF68" s="123">
        <f>AF66</f>
        <v>105.05050505050505</v>
      </c>
      <c r="AG68" s="124">
        <f>AG66</f>
        <v>-4.8076923076923087E-2</v>
      </c>
      <c r="AH68" s="30"/>
      <c r="AI68" s="122">
        <f>AI66</f>
        <v>100</v>
      </c>
      <c r="AJ68" s="30">
        <f>AJ66</f>
        <v>0.3</v>
      </c>
      <c r="AK68" s="123">
        <f>AK66</f>
        <v>30</v>
      </c>
      <c r="AL68" s="123">
        <f>AL66</f>
        <v>109.09090909090909</v>
      </c>
      <c r="AM68" s="124">
        <f>AM66</f>
        <v>-8.3333333333333356E-2</v>
      </c>
      <c r="AO68" s="204" t="s">
        <v>258</v>
      </c>
      <c r="AP68" s="163"/>
      <c r="AQ68" s="164"/>
      <c r="AR68" s="164"/>
      <c r="AS68" s="148"/>
      <c r="AU68" s="32">
        <f>AD68+AJ68+AP68</f>
        <v>0.8</v>
      </c>
      <c r="AV68" s="32">
        <f>AD68</f>
        <v>0.5</v>
      </c>
      <c r="AW68" s="32">
        <f>AJ68</f>
        <v>0.3</v>
      </c>
      <c r="AX68" s="32"/>
    </row>
    <row r="69" spans="1:55" ht="25.5" x14ac:dyDescent="0.2">
      <c r="A69" s="150" t="s">
        <v>259</v>
      </c>
      <c r="B69" s="33"/>
      <c r="C69" s="67"/>
      <c r="D69" s="124"/>
      <c r="E69" s="95"/>
      <c r="F69" s="95"/>
      <c r="G69" s="95"/>
      <c r="H69" s="95"/>
      <c r="I69" s="95"/>
      <c r="M69" s="207"/>
      <c r="N69" s="207"/>
      <c r="O69" s="124"/>
      <c r="P69" s="95"/>
      <c r="Q69" s="95"/>
      <c r="R69" s="45"/>
      <c r="S69" s="45"/>
      <c r="W69" s="30"/>
      <c r="X69" s="122"/>
      <c r="Y69" s="122"/>
      <c r="Z69" s="152"/>
      <c r="AA69" s="152"/>
      <c r="AB69" s="12"/>
      <c r="AC69" s="139"/>
      <c r="AD69" s="139"/>
      <c r="AE69" s="139"/>
      <c r="AF69" s="139"/>
      <c r="AG69" s="140"/>
      <c r="AH69" s="140"/>
      <c r="AI69" s="139"/>
      <c r="AJ69" s="139"/>
      <c r="AK69" s="139"/>
      <c r="AL69" s="139"/>
      <c r="AM69" s="140"/>
      <c r="AO69" s="139"/>
      <c r="AP69" s="139"/>
      <c r="AQ69" s="139"/>
      <c r="AR69" s="139"/>
      <c r="AS69" s="140"/>
    </row>
    <row r="70" spans="1:55" ht="12.75" x14ac:dyDescent="0.2">
      <c r="A70" t="s">
        <v>251</v>
      </c>
      <c r="C70" s="67"/>
      <c r="D70" s="124"/>
      <c r="E70" s="95"/>
      <c r="F70" s="95"/>
      <c r="G70" s="95"/>
      <c r="H70" s="95"/>
      <c r="I70" s="95"/>
      <c r="M70" s="207"/>
      <c r="N70" s="207"/>
      <c r="O70" s="124"/>
      <c r="P70" s="95"/>
      <c r="Q70" s="95"/>
      <c r="R70" s="45"/>
      <c r="S70" s="45"/>
      <c r="W70" s="30"/>
      <c r="X70" s="122"/>
      <c r="Y70" s="122"/>
      <c r="Z70" s="152"/>
      <c r="AA70" s="152"/>
      <c r="AB70" s="12"/>
      <c r="AC70" s="139"/>
      <c r="AD70" s="139"/>
      <c r="AE70" s="139"/>
      <c r="AF70" s="139"/>
      <c r="AG70" s="140"/>
      <c r="AH70" s="140"/>
      <c r="AI70" s="139"/>
      <c r="AJ70" s="139"/>
      <c r="AK70" s="139"/>
      <c r="AL70" s="139"/>
      <c r="AM70" s="140"/>
      <c r="AO70" s="139"/>
      <c r="AP70" s="139"/>
      <c r="AQ70" s="139"/>
      <c r="AR70" s="139"/>
      <c r="AS70" s="140"/>
    </row>
    <row r="71" spans="1:55" ht="12.75" x14ac:dyDescent="0.2">
      <c r="A71" t="s">
        <v>252</v>
      </c>
      <c r="C71" s="67"/>
      <c r="D71" s="124"/>
      <c r="E71" s="95"/>
      <c r="F71" s="95"/>
      <c r="G71" s="95"/>
      <c r="H71" s="95"/>
      <c r="I71" s="95"/>
      <c r="M71" s="207"/>
      <c r="N71" s="207"/>
      <c r="O71" s="124"/>
      <c r="P71" s="95"/>
      <c r="Q71" s="95"/>
      <c r="R71" s="45"/>
      <c r="S71" s="45"/>
      <c r="W71" s="30"/>
      <c r="X71" s="122"/>
      <c r="Y71" s="122"/>
      <c r="Z71" s="152"/>
      <c r="AA71" s="152"/>
      <c r="AB71" s="12"/>
      <c r="AC71" s="139"/>
      <c r="AD71" s="139"/>
      <c r="AE71" s="139"/>
      <c r="AF71" s="139"/>
      <c r="AG71" s="140"/>
      <c r="AH71" s="140"/>
      <c r="AI71" s="139"/>
      <c r="AJ71" s="139"/>
      <c r="AK71" s="139"/>
      <c r="AL71" s="139"/>
      <c r="AM71" s="140"/>
      <c r="AO71" s="139"/>
      <c r="AP71" s="139"/>
      <c r="AQ71" s="139"/>
      <c r="AR71" s="139"/>
      <c r="AS71" s="140"/>
    </row>
    <row r="72" spans="1:55" ht="12.75" x14ac:dyDescent="0.2">
      <c r="A72" t="s">
        <v>249</v>
      </c>
      <c r="C72" s="67"/>
      <c r="D72" s="124"/>
      <c r="E72" s="95"/>
      <c r="F72" s="95"/>
      <c r="G72" s="95"/>
      <c r="H72" s="95"/>
      <c r="I72" s="95"/>
      <c r="M72" s="207"/>
      <c r="N72" s="207"/>
      <c r="O72" s="124"/>
      <c r="P72" s="95"/>
      <c r="Q72" s="95"/>
      <c r="R72" s="45"/>
      <c r="S72" s="45"/>
      <c r="W72" s="30"/>
      <c r="X72" s="122"/>
      <c r="Y72" s="122"/>
      <c r="Z72" s="152"/>
      <c r="AA72" s="152"/>
      <c r="AB72" s="12"/>
      <c r="AC72" s="139"/>
      <c r="AD72" s="139"/>
      <c r="AE72" s="139"/>
      <c r="AF72" s="139"/>
      <c r="AG72" s="140"/>
      <c r="AH72" s="140"/>
      <c r="AI72" s="139"/>
      <c r="AJ72" s="139"/>
      <c r="AK72" s="139"/>
      <c r="AL72" s="139"/>
      <c r="AM72" s="140"/>
      <c r="AO72" s="139"/>
      <c r="AP72" s="139"/>
      <c r="AQ72" s="139"/>
      <c r="AR72" s="139"/>
      <c r="AS72" s="140"/>
    </row>
    <row r="73" spans="1:55" ht="12.75" x14ac:dyDescent="0.2">
      <c r="A73" t="s">
        <v>250</v>
      </c>
      <c r="C73" s="67"/>
      <c r="D73" s="124"/>
      <c r="E73" s="95"/>
      <c r="F73" s="95"/>
      <c r="G73" s="95"/>
      <c r="H73" s="95"/>
      <c r="I73" s="95"/>
      <c r="M73" s="207"/>
      <c r="N73" s="207"/>
      <c r="O73" s="124"/>
      <c r="P73" s="95"/>
      <c r="Q73" s="95"/>
      <c r="R73" s="45"/>
      <c r="S73" s="45"/>
      <c r="W73" s="30"/>
      <c r="X73" s="122"/>
      <c r="Y73" s="122"/>
      <c r="Z73" s="152"/>
      <c r="AA73" s="152"/>
      <c r="AB73" s="12"/>
      <c r="AC73" s="139"/>
      <c r="AD73" s="139"/>
      <c r="AE73" s="139"/>
      <c r="AF73" s="139"/>
      <c r="AG73" s="140"/>
      <c r="AH73" s="140"/>
      <c r="AI73" s="139"/>
      <c r="AJ73" s="139"/>
      <c r="AK73" s="139"/>
      <c r="AL73" s="139"/>
      <c r="AM73" s="140"/>
      <c r="AO73" s="139"/>
      <c r="AP73" s="139"/>
      <c r="AQ73" s="139"/>
      <c r="AR73" s="139"/>
      <c r="AS73" s="140"/>
    </row>
    <row r="74" spans="1:55" ht="12.75" x14ac:dyDescent="0.2">
      <c r="A74" t="s">
        <v>253</v>
      </c>
      <c r="C74" s="67"/>
      <c r="D74" s="124"/>
      <c r="E74" s="95"/>
      <c r="F74" s="95"/>
      <c r="G74" s="95"/>
      <c r="H74" s="95"/>
      <c r="I74" s="95"/>
      <c r="M74" s="207"/>
      <c r="N74" s="207"/>
      <c r="O74" s="124"/>
      <c r="P74" s="95"/>
      <c r="Q74" s="95"/>
      <c r="R74" s="45"/>
      <c r="S74" s="45"/>
      <c r="W74" s="30"/>
      <c r="X74" s="122"/>
      <c r="Y74" s="122"/>
      <c r="Z74" s="152"/>
      <c r="AA74" s="152"/>
      <c r="AB74" s="12"/>
      <c r="AC74" s="139"/>
      <c r="AD74" s="139"/>
      <c r="AE74" s="139"/>
      <c r="AF74" s="139"/>
      <c r="AG74" s="140"/>
      <c r="AH74" s="140"/>
      <c r="AI74" s="139"/>
      <c r="AJ74" s="139"/>
      <c r="AK74" s="139"/>
      <c r="AL74" s="139"/>
      <c r="AM74" s="140"/>
      <c r="AO74" s="139"/>
      <c r="AP74" s="139"/>
      <c r="AQ74" s="139"/>
      <c r="AR74" s="139"/>
      <c r="AS74" s="140"/>
    </row>
    <row r="75" spans="1:55" ht="12.75" x14ac:dyDescent="0.2">
      <c r="A75" s="182" t="s">
        <v>260</v>
      </c>
      <c r="B75" s="40">
        <v>100</v>
      </c>
      <c r="C75" s="55">
        <v>0.04</v>
      </c>
      <c r="D75" s="129">
        <v>0.05</v>
      </c>
      <c r="E75" s="125">
        <v>0.08</v>
      </c>
      <c r="F75" s="125"/>
      <c r="G75" s="125"/>
      <c r="H75" s="125">
        <v>0.01</v>
      </c>
      <c r="I75" s="125"/>
      <c r="J75" s="35"/>
      <c r="K75" s="35"/>
      <c r="L75" s="35"/>
      <c r="M75" s="210"/>
      <c r="N75" s="210"/>
      <c r="O75" s="129"/>
      <c r="P75" s="125"/>
      <c r="Q75" s="125"/>
      <c r="R75" s="47"/>
      <c r="S75" s="47"/>
      <c r="T75" s="35"/>
      <c r="U75" s="35"/>
      <c r="V75" s="35"/>
      <c r="W75" s="43"/>
      <c r="X75" s="126"/>
      <c r="Y75" s="126"/>
      <c r="Z75" s="153"/>
      <c r="AA75" s="153"/>
      <c r="AB75" s="41"/>
      <c r="AC75" s="126">
        <f>AC68</f>
        <v>100</v>
      </c>
      <c r="AD75" s="43">
        <f>AD68</f>
        <v>0.5</v>
      </c>
      <c r="AE75" s="128">
        <f>AE68</f>
        <v>50</v>
      </c>
      <c r="AF75" s="128">
        <f>AC75 * (1 + D75) / (1 - H75)</f>
        <v>106.06060606060606</v>
      </c>
      <c r="AG75" s="129">
        <f>(B75 - AF75) / AF75</f>
        <v>-5.7142857142857155E-2</v>
      </c>
      <c r="AH75" s="43"/>
      <c r="AI75" s="126">
        <f>AI68</f>
        <v>100</v>
      </c>
      <c r="AJ75" s="43">
        <f>AJ68</f>
        <v>0.3</v>
      </c>
      <c r="AK75" s="128">
        <f>AK68</f>
        <v>30</v>
      </c>
      <c r="AL75" s="128">
        <f>AL68</f>
        <v>109.09090909090909</v>
      </c>
      <c r="AM75" s="129">
        <f>AM68</f>
        <v>-8.3333333333333356E-2</v>
      </c>
      <c r="AN75" s="35"/>
      <c r="AO75" s="212"/>
      <c r="AP75" s="212"/>
      <c r="AQ75" s="212"/>
      <c r="AR75" s="212"/>
      <c r="AS75" s="170"/>
      <c r="AT75" s="35"/>
      <c r="AU75" s="39">
        <f>AD75+AJ75+AP75</f>
        <v>0.8</v>
      </c>
      <c r="AV75" s="39">
        <f>AD75</f>
        <v>0.5</v>
      </c>
      <c r="AW75" s="39">
        <f>AJ75</f>
        <v>0.3</v>
      </c>
      <c r="AX75" s="35"/>
    </row>
    <row r="76" spans="1:55" ht="12.75" x14ac:dyDescent="0.2">
      <c r="A76" s="150"/>
      <c r="B76" s="33"/>
      <c r="C76" s="67"/>
      <c r="D76" s="124"/>
      <c r="E76" s="95"/>
      <c r="F76" s="95"/>
      <c r="G76" s="95"/>
      <c r="H76" s="95"/>
      <c r="I76" s="95"/>
      <c r="M76" s="207"/>
      <c r="N76" s="207"/>
      <c r="O76" s="124"/>
      <c r="P76" s="95"/>
      <c r="Q76" s="95"/>
      <c r="R76" s="45"/>
      <c r="S76" s="45"/>
      <c r="W76" s="30"/>
      <c r="X76" s="122"/>
      <c r="Y76" s="122"/>
      <c r="Z76" s="152"/>
      <c r="AA76" s="152"/>
      <c r="AB76" s="12"/>
      <c r="AC76" s="139"/>
      <c r="AD76" s="139"/>
      <c r="AE76" s="139"/>
      <c r="AF76" s="139"/>
      <c r="AG76" s="140"/>
      <c r="AH76" s="140"/>
      <c r="AI76" s="139"/>
      <c r="AJ76" s="139"/>
      <c r="AK76" s="139"/>
      <c r="AL76" s="139"/>
      <c r="AM76" s="140"/>
      <c r="AO76" s="139"/>
      <c r="AP76" s="139"/>
      <c r="AQ76" s="139"/>
      <c r="AR76" s="139"/>
      <c r="AS76" s="140"/>
    </row>
    <row r="77" spans="1:55" ht="12.75" x14ac:dyDescent="0.2">
      <c r="A77" s="208" t="s">
        <v>263</v>
      </c>
      <c r="B77" s="33"/>
      <c r="C77" s="67"/>
      <c r="D77" s="124"/>
      <c r="E77" s="95"/>
      <c r="F77" s="95"/>
      <c r="G77" s="95"/>
      <c r="H77" s="95"/>
      <c r="I77" s="95"/>
      <c r="M77" s="207"/>
      <c r="N77" s="207"/>
      <c r="O77" s="124"/>
      <c r="P77" s="95"/>
      <c r="Q77" s="95"/>
      <c r="R77" s="45"/>
      <c r="S77" s="45"/>
      <c r="W77" s="30"/>
      <c r="X77" s="122"/>
      <c r="Y77" s="122"/>
      <c r="Z77" s="152"/>
      <c r="AA77" s="152"/>
      <c r="AB77" s="12"/>
      <c r="AC77" s="139"/>
      <c r="AD77" s="139"/>
      <c r="AE77" s="139"/>
      <c r="AF77" s="139"/>
      <c r="AG77" s="140"/>
      <c r="AH77" s="140"/>
      <c r="AI77" s="139"/>
      <c r="AJ77" s="139"/>
      <c r="AK77" s="139"/>
      <c r="AL77" s="139"/>
      <c r="AM77" s="140"/>
      <c r="AO77" s="139"/>
      <c r="AP77" s="139"/>
      <c r="AQ77" s="139"/>
      <c r="AR77" s="139"/>
      <c r="AS77" s="140"/>
    </row>
    <row r="78" spans="1:55" ht="12.75" x14ac:dyDescent="0.2">
      <c r="B78" s="45" t="s">
        <v>204</v>
      </c>
      <c r="C78" s="109"/>
      <c r="K78" s="45" t="s">
        <v>202</v>
      </c>
      <c r="S78" s="45" t="s">
        <v>203</v>
      </c>
      <c r="U78" s="12"/>
      <c r="V78" s="12"/>
      <c r="W78" s="12"/>
      <c r="X78" s="12"/>
      <c r="Y78" s="12"/>
      <c r="Z78" s="12"/>
      <c r="AA78" s="12"/>
      <c r="AB78" s="12"/>
      <c r="AC78" s="130" t="s">
        <v>205</v>
      </c>
      <c r="AD78" s="46"/>
      <c r="AE78" s="46"/>
      <c r="AF78" s="46"/>
      <c r="AG78" s="46"/>
      <c r="AH78" s="46"/>
      <c r="AI78" s="130" t="s">
        <v>207</v>
      </c>
      <c r="AJ78" s="46"/>
      <c r="AK78" s="46"/>
      <c r="AL78" s="46"/>
      <c r="AM78" s="46"/>
      <c r="AN78" s="45"/>
      <c r="AO78" s="130" t="s">
        <v>208</v>
      </c>
      <c r="AP78" s="12"/>
      <c r="AQ78" s="12"/>
      <c r="AR78" s="12"/>
      <c r="AS78" s="12"/>
      <c r="AU78" s="130" t="s">
        <v>206</v>
      </c>
    </row>
    <row r="79" spans="1:55" ht="12.75" x14ac:dyDescent="0.2">
      <c r="B79" s="57" t="s">
        <v>209</v>
      </c>
      <c r="C79" s="28" t="s">
        <v>190</v>
      </c>
      <c r="D79" s="57" t="s">
        <v>191</v>
      </c>
      <c r="E79" s="28" t="s">
        <v>192</v>
      </c>
      <c r="F79" s="28" t="s">
        <v>193</v>
      </c>
      <c r="G79" s="28" t="s">
        <v>293</v>
      </c>
      <c r="H79" s="57" t="s">
        <v>292</v>
      </c>
      <c r="I79" s="57" t="s">
        <v>241</v>
      </c>
      <c r="J79" s="101"/>
      <c r="K79" s="28" t="s">
        <v>76</v>
      </c>
      <c r="L79" s="28" t="s">
        <v>4</v>
      </c>
      <c r="M79" s="57" t="s">
        <v>0</v>
      </c>
      <c r="N79" s="57" t="s">
        <v>1</v>
      </c>
      <c r="O79" s="28" t="s">
        <v>191</v>
      </c>
      <c r="P79" s="28" t="s">
        <v>192</v>
      </c>
      <c r="Q79" s="28" t="s">
        <v>193</v>
      </c>
      <c r="S79" s="28"/>
      <c r="T79" s="28" t="s">
        <v>76</v>
      </c>
      <c r="U79" s="28" t="s">
        <v>4</v>
      </c>
      <c r="V79" s="57" t="s">
        <v>0</v>
      </c>
      <c r="W79" s="28" t="s">
        <v>62</v>
      </c>
      <c r="X79" s="57" t="s">
        <v>220</v>
      </c>
      <c r="Y79" s="57" t="s">
        <v>190</v>
      </c>
      <c r="Z79" s="57" t="s">
        <v>194</v>
      </c>
      <c r="AA79" s="28" t="s">
        <v>195</v>
      </c>
      <c r="AB79" s="12"/>
      <c r="AC79" s="28" t="s">
        <v>0</v>
      </c>
      <c r="AD79" s="28" t="s">
        <v>196</v>
      </c>
      <c r="AE79" s="57" t="s">
        <v>1</v>
      </c>
      <c r="AF79" s="57" t="s">
        <v>197</v>
      </c>
      <c r="AG79" s="57" t="s">
        <v>198</v>
      </c>
      <c r="AH79" s="60"/>
      <c r="AI79" s="28" t="s">
        <v>0</v>
      </c>
      <c r="AJ79" s="28" t="s">
        <v>196</v>
      </c>
      <c r="AK79" s="57" t="s">
        <v>1</v>
      </c>
      <c r="AL79" s="57" t="s">
        <v>197</v>
      </c>
      <c r="AM79" s="57" t="s">
        <v>198</v>
      </c>
      <c r="AO79" s="28" t="s">
        <v>0</v>
      </c>
      <c r="AP79" s="28" t="s">
        <v>196</v>
      </c>
      <c r="AQ79" s="57" t="s">
        <v>1</v>
      </c>
      <c r="AR79" s="57" t="s">
        <v>197</v>
      </c>
      <c r="AS79" s="57" t="s">
        <v>198</v>
      </c>
      <c r="AU79" s="57" t="s">
        <v>199</v>
      </c>
      <c r="AV79" s="28" t="s">
        <v>191</v>
      </c>
      <c r="AW79" s="28" t="s">
        <v>192</v>
      </c>
      <c r="AX79" s="28" t="s">
        <v>193</v>
      </c>
      <c r="AY79" s="57" t="s">
        <v>79</v>
      </c>
      <c r="AZ79" s="57" t="s">
        <v>239</v>
      </c>
      <c r="BA79" s="57" t="s">
        <v>238</v>
      </c>
      <c r="BB79" s="57" t="s">
        <v>248</v>
      </c>
      <c r="BC79" s="57" t="s">
        <v>240</v>
      </c>
    </row>
    <row r="80" spans="1:55" ht="12.75" x14ac:dyDescent="0.2">
      <c r="A80" s="110" t="s">
        <v>215</v>
      </c>
      <c r="B80" s="52">
        <v>100</v>
      </c>
      <c r="C80" s="54">
        <v>0.02</v>
      </c>
      <c r="D80" s="124">
        <v>0.04</v>
      </c>
      <c r="E80" s="95">
        <v>0.08</v>
      </c>
      <c r="F80" s="95">
        <v>0.16</v>
      </c>
      <c r="G80" s="95"/>
      <c r="H80" s="95">
        <v>5.0000000000000001E-3</v>
      </c>
      <c r="I80" s="63">
        <v>1200</v>
      </c>
      <c r="J80" s="95"/>
      <c r="K80" s="133" t="s">
        <v>75</v>
      </c>
      <c r="L80" s="133" t="s">
        <v>78</v>
      </c>
      <c r="M80" s="52">
        <v>100</v>
      </c>
      <c r="N80" s="52">
        <v>300</v>
      </c>
      <c r="O80" s="124">
        <v>0.5</v>
      </c>
      <c r="P80" s="95">
        <v>0.3</v>
      </c>
      <c r="Q80" s="95">
        <v>0.2</v>
      </c>
      <c r="S80" s="45" t="s">
        <v>215</v>
      </c>
      <c r="T80" s="45" t="s">
        <v>75</v>
      </c>
      <c r="U80" s="131" t="s">
        <v>78</v>
      </c>
      <c r="V80" s="122">
        <f>M80</f>
        <v>100</v>
      </c>
      <c r="W80" s="30">
        <f>X80/V80</f>
        <v>3</v>
      </c>
      <c r="X80" s="122">
        <f>N80</f>
        <v>300</v>
      </c>
      <c r="Y80" s="122">
        <f>V80 * (1 - ABS(C80))</f>
        <v>98</v>
      </c>
      <c r="Z80" s="152" t="s">
        <v>34</v>
      </c>
      <c r="AA80" s="152" t="s">
        <v>34</v>
      </c>
      <c r="AB80" s="12"/>
      <c r="AC80" s="122">
        <f>V80</f>
        <v>100</v>
      </c>
      <c r="AD80" s="30">
        <f>W80*O80</f>
        <v>1.5</v>
      </c>
      <c r="AE80" s="123">
        <f>X80*O80</f>
        <v>150</v>
      </c>
      <c r="AF80" s="123">
        <f>AC80 * (1 + D80) / (1 - H80)</f>
        <v>104.52261306532664</v>
      </c>
      <c r="AG80" s="124">
        <f>(B80 - AF80) / AF80</f>
        <v>-4.3269230769230817E-2</v>
      </c>
      <c r="AH80" s="30"/>
      <c r="AI80" s="122">
        <f>V80</f>
        <v>100</v>
      </c>
      <c r="AJ80" s="30">
        <f>W80*P80</f>
        <v>0.89999999999999991</v>
      </c>
      <c r="AK80" s="123">
        <f>X80*P80</f>
        <v>90</v>
      </c>
      <c r="AL80" s="123">
        <f>AI80 * (1 + E80) / (1 - H80)</f>
        <v>108.5427135678392</v>
      </c>
      <c r="AM80" s="124">
        <f>(B80 - AL80) / AL80</f>
        <v>-7.8703703703703748E-2</v>
      </c>
      <c r="AO80" s="122">
        <f>V80</f>
        <v>100</v>
      </c>
      <c r="AP80" s="30">
        <f>W80*Q80</f>
        <v>0.60000000000000009</v>
      </c>
      <c r="AQ80" s="123">
        <f>X80*Q80</f>
        <v>60</v>
      </c>
      <c r="AR80" s="123">
        <f>AO80 * (1 + F80) / (1 - H80)</f>
        <v>116.58291457286431</v>
      </c>
      <c r="AS80" s="124">
        <f>(B80 - AR80) / AR80</f>
        <v>-0.14224137931034475</v>
      </c>
      <c r="AU80" s="32">
        <f>AX80+AW80+AV80</f>
        <v>3</v>
      </c>
      <c r="AV80" s="32">
        <f>AD80</f>
        <v>1.5</v>
      </c>
      <c r="AW80" s="32">
        <f>AJ80</f>
        <v>0.89999999999999991</v>
      </c>
      <c r="AX80" s="32">
        <f>AP80</f>
        <v>0.60000000000000009</v>
      </c>
      <c r="AY80" s="196">
        <f>N80</f>
        <v>300</v>
      </c>
      <c r="AZ80" s="63">
        <v>0</v>
      </c>
      <c r="BA80" s="122">
        <f>AU80*B80</f>
        <v>300</v>
      </c>
      <c r="BB80" s="197">
        <f>(AZ80+BA80-AY80)/AY80</f>
        <v>0</v>
      </c>
      <c r="BC80" s="63">
        <f>I80-AY80+AZ80</f>
        <v>900</v>
      </c>
    </row>
    <row r="81" spans="1:55" ht="12.75" x14ac:dyDescent="0.2">
      <c r="A81" s="182" t="s">
        <v>218</v>
      </c>
      <c r="B81" s="40">
        <v>110</v>
      </c>
      <c r="C81" s="55">
        <v>0.02</v>
      </c>
      <c r="D81" s="129">
        <v>0.04</v>
      </c>
      <c r="E81" s="125">
        <v>0.08</v>
      </c>
      <c r="F81" s="125">
        <v>0.16</v>
      </c>
      <c r="G81" s="125"/>
      <c r="H81" s="125">
        <v>5.0000000000000001E-3</v>
      </c>
      <c r="I81" s="65">
        <v>1200</v>
      </c>
      <c r="J81" s="125"/>
      <c r="K81" s="134" t="s">
        <v>73</v>
      </c>
      <c r="L81" s="134" t="s">
        <v>219</v>
      </c>
      <c r="M81" s="40">
        <v>110</v>
      </c>
      <c r="N81" s="153" t="s">
        <v>34</v>
      </c>
      <c r="O81" s="129">
        <v>0.5</v>
      </c>
      <c r="P81" s="153" t="s">
        <v>34</v>
      </c>
      <c r="Q81" s="153" t="s">
        <v>34</v>
      </c>
      <c r="R81" s="35"/>
      <c r="S81" s="47" t="s">
        <v>218</v>
      </c>
      <c r="T81" s="47" t="s">
        <v>73</v>
      </c>
      <c r="U81" s="203" t="s">
        <v>219</v>
      </c>
      <c r="V81" s="126">
        <f>M81</f>
        <v>110</v>
      </c>
      <c r="W81" s="43">
        <f>AD80*O81</f>
        <v>0.75</v>
      </c>
      <c r="X81" s="126">
        <f>V81*W81-(V81*W81*H81)</f>
        <v>82.087500000000006</v>
      </c>
      <c r="Y81" s="153" t="s">
        <v>34</v>
      </c>
      <c r="Z81" s="153">
        <f>X81-(V80*W81)</f>
        <v>7.0875000000000057</v>
      </c>
      <c r="AA81" s="199">
        <f>Z81/(V80*W81)</f>
        <v>9.450000000000007E-2</v>
      </c>
      <c r="AB81" s="41"/>
      <c r="AC81" s="126">
        <f>AC80</f>
        <v>100</v>
      </c>
      <c r="AD81" s="43">
        <f>AD80-W81</f>
        <v>0.75</v>
      </c>
      <c r="AE81" s="128">
        <f>AE80*O81</f>
        <v>75</v>
      </c>
      <c r="AF81" s="128">
        <f>AC81 * (1 + D81) / (1 - H81)</f>
        <v>104.52261306532664</v>
      </c>
      <c r="AG81" s="129">
        <f>(B81 - AF81) / AF81</f>
        <v>5.2403846153846106E-2</v>
      </c>
      <c r="AH81" s="43"/>
      <c r="AI81" s="126">
        <f>AI80</f>
        <v>100</v>
      </c>
      <c r="AJ81" s="43">
        <f>AJ80</f>
        <v>0.89999999999999991</v>
      </c>
      <c r="AK81" s="128">
        <f>AK80</f>
        <v>90</v>
      </c>
      <c r="AL81" s="128">
        <f>AI81 * (1 + E81) / (1 - H81)</f>
        <v>108.5427135678392</v>
      </c>
      <c r="AM81" s="129">
        <f>(B81 - AL81) / AL81</f>
        <v>1.3425925925925883E-2</v>
      </c>
      <c r="AN81" s="35"/>
      <c r="AO81" s="126">
        <f t="shared" ref="AO81:AQ82" si="15">AO80</f>
        <v>100</v>
      </c>
      <c r="AP81" s="43">
        <f t="shared" si="15"/>
        <v>0.60000000000000009</v>
      </c>
      <c r="AQ81" s="128">
        <f t="shared" si="15"/>
        <v>60</v>
      </c>
      <c r="AR81" s="128">
        <f>AO81 * (1 + F81) / (1 - H81)</f>
        <v>116.58291457286431</v>
      </c>
      <c r="AS81" s="129">
        <f>(B81 - AR81) / AR81</f>
        <v>-5.6465517241379229E-2</v>
      </c>
      <c r="AT81" s="35"/>
      <c r="AU81" s="39">
        <f>AX81+AW81+AV81</f>
        <v>2.25</v>
      </c>
      <c r="AV81" s="39">
        <f>AD81</f>
        <v>0.75</v>
      </c>
      <c r="AW81" s="39">
        <f>AJ81</f>
        <v>0.89999999999999991</v>
      </c>
      <c r="AX81" s="39">
        <f>AP81</f>
        <v>0.60000000000000009</v>
      </c>
      <c r="AY81" s="201">
        <f>AY80</f>
        <v>300</v>
      </c>
      <c r="AZ81" s="65">
        <f>X81</f>
        <v>82.087500000000006</v>
      </c>
      <c r="BA81" s="126">
        <f>AU81*B81</f>
        <v>247.5</v>
      </c>
      <c r="BB81" s="202">
        <f>(AZ81+BA81-AY81)/AY81</f>
        <v>9.8624999999999921E-2</v>
      </c>
      <c r="BC81" s="65">
        <f>I81-AY81+AZ81</f>
        <v>982.08749999999998</v>
      </c>
    </row>
    <row r="82" spans="1:55" ht="12.75" x14ac:dyDescent="0.2">
      <c r="A82" s="150" t="s">
        <v>216</v>
      </c>
      <c r="B82" s="52">
        <v>90</v>
      </c>
      <c r="C82" s="54">
        <v>0.02</v>
      </c>
      <c r="D82" s="124">
        <v>0.04</v>
      </c>
      <c r="E82" s="95">
        <v>0.08</v>
      </c>
      <c r="F82" s="95">
        <v>0.16</v>
      </c>
      <c r="G82" s="95"/>
      <c r="H82" s="95">
        <v>5.0000000000000001E-3</v>
      </c>
      <c r="I82" s="63">
        <v>1200</v>
      </c>
      <c r="J82" s="95"/>
      <c r="K82" s="133" t="s">
        <v>75</v>
      </c>
      <c r="L82" s="133" t="s">
        <v>214</v>
      </c>
      <c r="M82" s="52">
        <v>90</v>
      </c>
      <c r="N82" s="52">
        <v>200</v>
      </c>
      <c r="O82" s="124">
        <v>0.5</v>
      </c>
      <c r="P82" s="95">
        <v>0.5</v>
      </c>
      <c r="Q82" s="95">
        <v>0</v>
      </c>
      <c r="S82" s="45" t="s">
        <v>216</v>
      </c>
      <c r="T82" s="45" t="s">
        <v>75</v>
      </c>
      <c r="U82" s="131" t="s">
        <v>214</v>
      </c>
      <c r="V82" s="122">
        <f>M82</f>
        <v>90</v>
      </c>
      <c r="W82" s="30">
        <f>X82/V82</f>
        <v>2.2222222222222223</v>
      </c>
      <c r="X82" s="122">
        <f>N82</f>
        <v>200</v>
      </c>
      <c r="Y82" s="122">
        <f>V82 * (1 - ABS(C82))</f>
        <v>88.2</v>
      </c>
      <c r="Z82" s="152" t="s">
        <v>34</v>
      </c>
      <c r="AA82" s="152" t="s">
        <v>34</v>
      </c>
      <c r="AB82" s="12"/>
      <c r="AC82" s="122">
        <f>V82</f>
        <v>90</v>
      </c>
      <c r="AD82" s="30">
        <f>W82*O82</f>
        <v>1.1111111111111112</v>
      </c>
      <c r="AE82" s="123">
        <f>X82*O82</f>
        <v>100</v>
      </c>
      <c r="AF82" s="123">
        <f>AC82 * (1 + D82) / (1 - H82)</f>
        <v>94.070351758793976</v>
      </c>
      <c r="AG82" s="124">
        <f>(B82 - AF82) / AF82</f>
        <v>-4.3269230769230831E-2</v>
      </c>
      <c r="AH82" s="30"/>
      <c r="AI82" s="122">
        <f>V82</f>
        <v>90</v>
      </c>
      <c r="AJ82" s="30">
        <f>W82*P82</f>
        <v>1.1111111111111112</v>
      </c>
      <c r="AK82" s="123">
        <f>X82*P82</f>
        <v>100</v>
      </c>
      <c r="AL82" s="123">
        <f>AI82 * (1 + E82) / (1 - H82)</f>
        <v>97.688442211055275</v>
      </c>
      <c r="AM82" s="124">
        <f>(B82 - AL82) / AL82</f>
        <v>-7.8703703703703692E-2</v>
      </c>
      <c r="AO82" s="122">
        <f t="shared" si="15"/>
        <v>100</v>
      </c>
      <c r="AP82" s="30">
        <f t="shared" si="15"/>
        <v>0.60000000000000009</v>
      </c>
      <c r="AQ82" s="123">
        <f t="shared" si="15"/>
        <v>60</v>
      </c>
      <c r="AR82" s="123">
        <f>AO82 * (1 + F82) / (1 - H82)</f>
        <v>116.58291457286431</v>
      </c>
      <c r="AS82" s="124">
        <f>(B82 - AR82) / AR82</f>
        <v>-0.22801724137931029</v>
      </c>
      <c r="AU82" s="32">
        <f>AX82+AW82+AV82</f>
        <v>4.4722222222222223</v>
      </c>
      <c r="AV82" s="32">
        <f>AD82+AD83</f>
        <v>1.8611111111111112</v>
      </c>
      <c r="AW82" s="32">
        <f>AJ82+AJ83</f>
        <v>2.0111111111111111</v>
      </c>
      <c r="AX82" s="32">
        <f>AP82</f>
        <v>0.60000000000000009</v>
      </c>
      <c r="AY82" s="196">
        <f>AY81+N82-AZ81</f>
        <v>417.91250000000002</v>
      </c>
      <c r="AZ82" s="63">
        <v>0</v>
      </c>
      <c r="BA82" s="122">
        <f>AU82*B82</f>
        <v>402.5</v>
      </c>
      <c r="BB82" s="197">
        <f>(AZ82+BA82-AY82)/AY82</f>
        <v>-3.6879729608470725E-2</v>
      </c>
      <c r="BC82" s="63">
        <f>I82-AY82+AZ82</f>
        <v>782.08749999999998</v>
      </c>
    </row>
    <row r="83" spans="1:55" ht="12.75" x14ac:dyDescent="0.2">
      <c r="A83" s="150"/>
      <c r="B83" s="33"/>
      <c r="C83" s="67"/>
      <c r="D83" s="124"/>
      <c r="E83" s="95"/>
      <c r="F83" s="95"/>
      <c r="G83" s="95"/>
      <c r="H83" s="95"/>
      <c r="I83" s="95"/>
      <c r="M83" s="207"/>
      <c r="O83" s="152"/>
      <c r="P83" s="95"/>
      <c r="Q83" s="95"/>
      <c r="R83" s="45"/>
      <c r="S83" s="45" t="s">
        <v>218</v>
      </c>
      <c r="T83" s="45" t="s">
        <v>73</v>
      </c>
      <c r="U83" s="131" t="s">
        <v>219</v>
      </c>
      <c r="V83" s="122">
        <f>V81</f>
        <v>110</v>
      </c>
      <c r="W83" s="30">
        <f>W81</f>
        <v>0.75</v>
      </c>
      <c r="X83" s="122">
        <f>X81</f>
        <v>82.087500000000006</v>
      </c>
      <c r="Y83" s="152" t="s">
        <v>34</v>
      </c>
      <c r="Z83" s="152">
        <f>Z81</f>
        <v>7.0875000000000057</v>
      </c>
      <c r="AA83" s="161">
        <f>AA81</f>
        <v>9.450000000000007E-2</v>
      </c>
      <c r="AB83" s="12"/>
      <c r="AC83" s="122">
        <f>AC81</f>
        <v>100</v>
      </c>
      <c r="AD83" s="30">
        <f>AD81</f>
        <v>0.75</v>
      </c>
      <c r="AE83" s="157">
        <f>AE81</f>
        <v>75</v>
      </c>
      <c r="AF83" s="157">
        <f>AC83 * (1 + D82) / (1 - H82)</f>
        <v>104.52261306532664</v>
      </c>
      <c r="AG83" s="124">
        <f>(B82 - AF83) / AF83</f>
        <v>-0.13894230769230773</v>
      </c>
      <c r="AH83" s="30"/>
      <c r="AI83" s="122">
        <f>AI81</f>
        <v>100</v>
      </c>
      <c r="AJ83" s="30">
        <f>AJ81</f>
        <v>0.89999999999999991</v>
      </c>
      <c r="AK83" s="157">
        <f>AK81</f>
        <v>90</v>
      </c>
      <c r="AL83" s="157">
        <f>AI83 * (1 + E82) / (1 - H82)</f>
        <v>108.5427135678392</v>
      </c>
      <c r="AM83" s="124">
        <f>(B82 - AL83) / AL83</f>
        <v>-0.17083333333333336</v>
      </c>
      <c r="AO83" s="122"/>
      <c r="AP83" s="30"/>
      <c r="AQ83" s="157"/>
      <c r="AR83" s="157"/>
      <c r="AS83" s="124"/>
    </row>
    <row r="84" spans="1:55" ht="12.75" x14ac:dyDescent="0.2">
      <c r="A84" s="150"/>
      <c r="B84" s="33"/>
      <c r="C84" s="67"/>
      <c r="D84" s="124"/>
      <c r="E84" s="95"/>
      <c r="F84" s="95"/>
      <c r="G84" s="95"/>
      <c r="H84" s="95"/>
      <c r="I84" s="95"/>
      <c r="M84" s="207"/>
      <c r="N84" s="207"/>
      <c r="O84" s="124"/>
      <c r="P84" s="95"/>
      <c r="Q84" s="95"/>
      <c r="R84" s="45"/>
      <c r="S84" s="45" t="s">
        <v>215</v>
      </c>
      <c r="T84" s="45" t="s">
        <v>75</v>
      </c>
      <c r="U84" s="131" t="s">
        <v>78</v>
      </c>
      <c r="V84" s="122">
        <f>V80</f>
        <v>100</v>
      </c>
      <c r="W84" s="30">
        <f>W80</f>
        <v>3</v>
      </c>
      <c r="X84" s="122">
        <f>X80</f>
        <v>300</v>
      </c>
      <c r="Y84" s="122">
        <f>Y80</f>
        <v>98</v>
      </c>
      <c r="Z84" s="152" t="s">
        <v>34</v>
      </c>
      <c r="AA84" s="152" t="s">
        <v>34</v>
      </c>
      <c r="AB84" s="12"/>
      <c r="AC84" s="139"/>
      <c r="AD84" s="139"/>
      <c r="AE84" s="139"/>
      <c r="AF84" s="139"/>
      <c r="AG84" s="140"/>
      <c r="AH84" s="140"/>
      <c r="AI84" s="139"/>
      <c r="AJ84" s="139"/>
      <c r="AK84" s="139"/>
      <c r="AL84" s="139"/>
      <c r="AM84" s="140"/>
      <c r="AO84" s="139"/>
      <c r="AP84" s="139"/>
      <c r="AQ84" s="139"/>
      <c r="AR84" s="139"/>
      <c r="AS84" s="140"/>
    </row>
    <row r="85" spans="1:55" ht="12.75" x14ac:dyDescent="0.2">
      <c r="A85" s="182" t="s">
        <v>85</v>
      </c>
      <c r="B85" s="40">
        <v>45</v>
      </c>
      <c r="C85" s="55">
        <v>0.02</v>
      </c>
      <c r="D85" s="129">
        <v>0.04</v>
      </c>
      <c r="E85" s="125">
        <v>0.08</v>
      </c>
      <c r="F85" s="125">
        <v>0.16</v>
      </c>
      <c r="G85" s="125"/>
      <c r="H85" s="125">
        <v>5.0000000000000001E-3</v>
      </c>
      <c r="I85" s="65">
        <v>1200</v>
      </c>
      <c r="J85" s="125"/>
      <c r="K85" s="134" t="s">
        <v>70</v>
      </c>
      <c r="L85" s="213">
        <v>2</v>
      </c>
      <c r="M85" s="40"/>
      <c r="N85" s="40"/>
      <c r="O85" s="129"/>
      <c r="P85" s="125"/>
      <c r="Q85" s="125"/>
      <c r="R85" s="35"/>
      <c r="S85" s="47" t="s">
        <v>216</v>
      </c>
      <c r="T85" s="47" t="s">
        <v>75</v>
      </c>
      <c r="U85" s="203" t="s">
        <v>214</v>
      </c>
      <c r="V85" s="126">
        <f>V82</f>
        <v>90</v>
      </c>
      <c r="W85" s="43">
        <f>W82</f>
        <v>2.2222222222222223</v>
      </c>
      <c r="X85" s="126">
        <f>X82</f>
        <v>200</v>
      </c>
      <c r="Y85" s="126">
        <f>Y82</f>
        <v>88.2</v>
      </c>
      <c r="Z85" s="153" t="s">
        <v>34</v>
      </c>
      <c r="AA85" s="153" t="s">
        <v>34</v>
      </c>
      <c r="AB85" s="41"/>
      <c r="AC85" s="126">
        <f>AC82/L85</f>
        <v>45</v>
      </c>
      <c r="AD85" s="43">
        <f>AD82*L85</f>
        <v>2.2222222222222223</v>
      </c>
      <c r="AE85" s="128">
        <f>AE82</f>
        <v>100</v>
      </c>
      <c r="AF85" s="128">
        <f>AC85 * (1 + D85) / (1 - H85)</f>
        <v>47.035175879396988</v>
      </c>
      <c r="AG85" s="129">
        <f>AG82</f>
        <v>-4.3269230769230831E-2</v>
      </c>
      <c r="AH85" s="43"/>
      <c r="AI85" s="126">
        <f>AI82/L85</f>
        <v>45</v>
      </c>
      <c r="AJ85" s="43">
        <f>AJ82*L85</f>
        <v>2.2222222222222223</v>
      </c>
      <c r="AK85" s="128">
        <f>AK82</f>
        <v>100</v>
      </c>
      <c r="AL85" s="128">
        <f>AI85 * (1 + E85) / (1 - H85)</f>
        <v>48.844221105527637</v>
      </c>
      <c r="AM85" s="129">
        <f>(B85 - AL85) / AL85</f>
        <v>-7.8703703703703692E-2</v>
      </c>
      <c r="AN85" s="35"/>
      <c r="AO85" s="126">
        <f>AO82/L85</f>
        <v>50</v>
      </c>
      <c r="AP85" s="43">
        <f>AP82*L85</f>
        <v>1.2000000000000002</v>
      </c>
      <c r="AQ85" s="128">
        <f>AQ82</f>
        <v>60</v>
      </c>
      <c r="AR85" s="128">
        <f>AO85 * (1 + F85) / (1 - H85)</f>
        <v>58.291457286432156</v>
      </c>
      <c r="AS85" s="129">
        <f>(B85 - AR85) / AR85</f>
        <v>-0.22801724137931029</v>
      </c>
      <c r="AT85" s="35"/>
      <c r="AU85" s="39">
        <f>AX85+AW85+AV85</f>
        <v>8.9444444444444446</v>
      </c>
      <c r="AV85" s="39">
        <f>AD85+AD86</f>
        <v>3.7222222222222223</v>
      </c>
      <c r="AW85" s="39">
        <f>AJ85+AJ86</f>
        <v>4.0222222222222221</v>
      </c>
      <c r="AX85" s="39">
        <f>AP85</f>
        <v>1.2000000000000002</v>
      </c>
      <c r="AY85" s="201">
        <f>AY82</f>
        <v>417.91250000000002</v>
      </c>
      <c r="AZ85" s="65">
        <f>AZ82</f>
        <v>0</v>
      </c>
      <c r="BA85" s="126">
        <f>AU85*B85</f>
        <v>402.5</v>
      </c>
      <c r="BB85" s="202">
        <f>(AZ85+BA85-AY85)/AY85</f>
        <v>-3.6879729608470725E-2</v>
      </c>
      <c r="BC85" s="65">
        <f>I85-AY85+AZ85</f>
        <v>782.08749999999998</v>
      </c>
    </row>
    <row r="86" spans="1:55" ht="15.75" customHeight="1" x14ac:dyDescent="0.2">
      <c r="A86" s="35"/>
      <c r="B86" s="36"/>
      <c r="C86" s="209"/>
      <c r="D86" s="129"/>
      <c r="E86" s="125"/>
      <c r="F86" s="125"/>
      <c r="G86" s="125"/>
      <c r="H86" s="125"/>
      <c r="I86" s="125"/>
      <c r="J86" s="35"/>
      <c r="K86" s="35"/>
      <c r="L86" s="35"/>
      <c r="M86" s="210"/>
      <c r="N86" s="35"/>
      <c r="O86" s="153"/>
      <c r="P86" s="125"/>
      <c r="Q86" s="125"/>
      <c r="R86" s="47"/>
      <c r="S86" s="47" t="s">
        <v>218</v>
      </c>
      <c r="T86" s="47" t="s">
        <v>73</v>
      </c>
      <c r="U86" s="203" t="s">
        <v>219</v>
      </c>
      <c r="V86" s="126">
        <f t="shared" ref="V86:X87" si="16">V83</f>
        <v>110</v>
      </c>
      <c r="W86" s="43">
        <f t="shared" si="16"/>
        <v>0.75</v>
      </c>
      <c r="X86" s="126">
        <f t="shared" si="16"/>
        <v>82.087500000000006</v>
      </c>
      <c r="Y86" s="153" t="s">
        <v>34</v>
      </c>
      <c r="Z86" s="153">
        <f>Z83</f>
        <v>7.0875000000000057</v>
      </c>
      <c r="AA86" s="199">
        <f>AA83</f>
        <v>9.450000000000007E-2</v>
      </c>
      <c r="AB86" s="41"/>
      <c r="AC86" s="126">
        <f>AC83/L85</f>
        <v>50</v>
      </c>
      <c r="AD86" s="43">
        <f>AD83*L85</f>
        <v>1.5</v>
      </c>
      <c r="AE86" s="128">
        <f>AE83</f>
        <v>75</v>
      </c>
      <c r="AF86" s="128">
        <f>AC86 * (1 + D85) / (1 - H85)</f>
        <v>52.261306532663319</v>
      </c>
      <c r="AG86" s="129">
        <f>AG83</f>
        <v>-0.13894230769230773</v>
      </c>
      <c r="AH86" s="43"/>
      <c r="AI86" s="126">
        <f>AI83/L85</f>
        <v>50</v>
      </c>
      <c r="AJ86" s="43">
        <f>AJ83*L85</f>
        <v>1.7999999999999998</v>
      </c>
      <c r="AK86" s="128">
        <f>AK83</f>
        <v>90</v>
      </c>
      <c r="AL86" s="128">
        <f>AI86 * (1 + E85) / (1 - H85)</f>
        <v>54.2713567839196</v>
      </c>
      <c r="AM86" s="129">
        <f>(B85 - AL86) / AL86</f>
        <v>-0.17083333333333336</v>
      </c>
      <c r="AN86" s="35"/>
      <c r="AO86" s="126"/>
      <c r="AP86" s="43"/>
      <c r="AQ86" s="128"/>
      <c r="AR86" s="128"/>
      <c r="AS86" s="129"/>
      <c r="AT86" s="35"/>
      <c r="AU86" s="35"/>
      <c r="AV86" s="35"/>
      <c r="AW86" s="35"/>
      <c r="AX86" s="35"/>
      <c r="AY86" s="35"/>
      <c r="AZ86" s="35"/>
      <c r="BA86" s="35"/>
      <c r="BB86" s="35"/>
      <c r="BC86" s="35"/>
    </row>
    <row r="87" spans="1:55" ht="12.75" x14ac:dyDescent="0.2">
      <c r="A87" s="182"/>
      <c r="B87" s="36"/>
      <c r="C87" s="209"/>
      <c r="D87" s="129"/>
      <c r="E87" s="125"/>
      <c r="F87" s="125"/>
      <c r="G87" s="125"/>
      <c r="H87" s="125"/>
      <c r="I87" s="125"/>
      <c r="J87" s="35"/>
      <c r="K87" s="35"/>
      <c r="L87" s="35"/>
      <c r="M87" s="210"/>
      <c r="N87" s="210"/>
      <c r="O87" s="129"/>
      <c r="P87" s="125"/>
      <c r="Q87" s="125"/>
      <c r="R87" s="47"/>
      <c r="S87" s="47" t="s">
        <v>215</v>
      </c>
      <c r="T87" s="47" t="s">
        <v>75</v>
      </c>
      <c r="U87" s="203" t="s">
        <v>78</v>
      </c>
      <c r="V87" s="126">
        <f t="shared" si="16"/>
        <v>100</v>
      </c>
      <c r="W87" s="43">
        <f t="shared" si="16"/>
        <v>3</v>
      </c>
      <c r="X87" s="126">
        <f t="shared" si="16"/>
        <v>300</v>
      </c>
      <c r="Y87" s="126" t="str">
        <f>Y83</f>
        <v>-</v>
      </c>
      <c r="Z87" s="153" t="s">
        <v>34</v>
      </c>
      <c r="AA87" s="153" t="s">
        <v>34</v>
      </c>
      <c r="AB87" s="41"/>
      <c r="AC87" s="212"/>
      <c r="AD87" s="212"/>
      <c r="AE87" s="212"/>
      <c r="AF87" s="212"/>
      <c r="AG87" s="170"/>
      <c r="AH87" s="170"/>
      <c r="AI87" s="212"/>
      <c r="AJ87" s="212"/>
      <c r="AK87" s="212"/>
      <c r="AL87" s="212"/>
      <c r="AM87" s="170"/>
      <c r="AN87" s="35"/>
      <c r="AO87" s="212"/>
      <c r="AP87" s="212"/>
      <c r="AQ87" s="212"/>
      <c r="AR87" s="212"/>
      <c r="AS87" s="170"/>
      <c r="AT87" s="35"/>
      <c r="AU87" s="35"/>
      <c r="AV87" s="35"/>
      <c r="AW87" s="35"/>
      <c r="AX87" s="35"/>
      <c r="AY87" s="35"/>
      <c r="AZ87" s="35"/>
      <c r="BA87" s="35"/>
      <c r="BB87" s="35"/>
      <c r="BC87" s="35"/>
    </row>
    <row r="88" spans="1:55" ht="12.75" x14ac:dyDescent="0.2">
      <c r="A88" s="110" t="s">
        <v>217</v>
      </c>
      <c r="B88" s="52">
        <v>50</v>
      </c>
      <c r="C88" s="54">
        <v>0.02</v>
      </c>
      <c r="D88" s="124">
        <v>0.04</v>
      </c>
      <c r="E88" s="95">
        <v>0.08</v>
      </c>
      <c r="F88" s="95">
        <v>0.16</v>
      </c>
      <c r="G88" s="95"/>
      <c r="H88" s="95">
        <v>5.0000000000000001E-3</v>
      </c>
      <c r="I88" s="63">
        <v>1200</v>
      </c>
      <c r="J88" s="95"/>
      <c r="K88" s="133" t="s">
        <v>75</v>
      </c>
      <c r="L88" s="133" t="s">
        <v>211</v>
      </c>
      <c r="M88" s="52">
        <v>50</v>
      </c>
      <c r="N88" s="52">
        <v>300</v>
      </c>
      <c r="O88" s="124">
        <v>0.5</v>
      </c>
      <c r="P88" s="95">
        <v>0.3</v>
      </c>
      <c r="Q88" s="95">
        <v>0.2</v>
      </c>
      <c r="S88" s="45" t="s">
        <v>217</v>
      </c>
      <c r="T88" s="45" t="s">
        <v>75</v>
      </c>
      <c r="U88" s="131" t="s">
        <v>211</v>
      </c>
      <c r="V88" s="122">
        <f>M88</f>
        <v>50</v>
      </c>
      <c r="W88" s="30">
        <f>X88/V88</f>
        <v>6</v>
      </c>
      <c r="X88" s="122">
        <f>N88</f>
        <v>300</v>
      </c>
      <c r="Y88" s="122">
        <f>V88 * (1 - ABS(C88))</f>
        <v>49</v>
      </c>
      <c r="Z88" s="152" t="s">
        <v>34</v>
      </c>
      <c r="AA88" s="152" t="s">
        <v>34</v>
      </c>
      <c r="AB88" s="12"/>
      <c r="AC88" s="122">
        <f>AC85</f>
        <v>45</v>
      </c>
      <c r="AD88" s="30">
        <f>AD85</f>
        <v>2.2222222222222223</v>
      </c>
      <c r="AE88" s="123">
        <f>AE85</f>
        <v>100</v>
      </c>
      <c r="AF88" s="123">
        <f>AC88 * (1 + D88) / (1 - H88)</f>
        <v>47.035175879396988</v>
      </c>
      <c r="AG88" s="124">
        <f>(B88 - AF88) / AF88</f>
        <v>6.3034188034187963E-2</v>
      </c>
      <c r="AH88" s="30"/>
      <c r="AI88" s="122">
        <f>AI85</f>
        <v>45</v>
      </c>
      <c r="AJ88" s="30">
        <f>AJ85</f>
        <v>2.2222222222222223</v>
      </c>
      <c r="AK88" s="123">
        <f>AK85</f>
        <v>100</v>
      </c>
      <c r="AL88" s="123">
        <f>AI88 * (1 + E88) / (1 - H88)</f>
        <v>48.844221105527637</v>
      </c>
      <c r="AM88" s="124">
        <f>(B88 - AL88) / AL88</f>
        <v>2.3662551440329235E-2</v>
      </c>
      <c r="AO88" s="122">
        <f>AO85</f>
        <v>50</v>
      </c>
      <c r="AP88" s="30">
        <f>AP85+W88*Q88</f>
        <v>2.4000000000000004</v>
      </c>
      <c r="AQ88" s="123">
        <f>AQ85+X88*Q88</f>
        <v>120</v>
      </c>
      <c r="AR88" s="123">
        <f>AO88 * (1 + F88) / (1 - H88)</f>
        <v>58.291457286432156</v>
      </c>
      <c r="AS88" s="124">
        <f>(B88 - AR88) / AR88</f>
        <v>-0.14224137931034475</v>
      </c>
      <c r="AU88" s="32">
        <f>AX88+AW88+AV88</f>
        <v>14.944444444444443</v>
      </c>
      <c r="AV88" s="32">
        <f>AD88+AD89</f>
        <v>6.7222222222222223</v>
      </c>
      <c r="AW88" s="32">
        <f>AJ88+AJ89</f>
        <v>5.822222222222222</v>
      </c>
      <c r="AX88" s="32">
        <f>AP88</f>
        <v>2.4000000000000004</v>
      </c>
      <c r="AY88" s="196">
        <f>AY85+X88</f>
        <v>717.91250000000002</v>
      </c>
      <c r="AZ88" s="63">
        <v>0</v>
      </c>
      <c r="BA88" s="122">
        <f>AU88*B88</f>
        <v>747.22222222222217</v>
      </c>
      <c r="BB88" s="197">
        <f>(AZ88+BA88-AY88)/AY88</f>
        <v>4.0826315494189261E-2</v>
      </c>
      <c r="BC88" s="63">
        <f>I88-AY88+AZ88</f>
        <v>482.08749999999998</v>
      </c>
    </row>
    <row r="89" spans="1:55" ht="12.75" x14ac:dyDescent="0.2">
      <c r="A89" s="150"/>
      <c r="B89" s="33"/>
      <c r="C89" s="67"/>
      <c r="D89" s="124"/>
      <c r="E89" s="95"/>
      <c r="F89" s="95"/>
      <c r="G89" s="95"/>
      <c r="H89" s="95"/>
      <c r="I89" s="95"/>
      <c r="M89" s="207"/>
      <c r="N89" s="207"/>
      <c r="O89" s="124"/>
      <c r="P89" s="95"/>
      <c r="Q89" s="95"/>
      <c r="R89" s="45"/>
      <c r="S89" s="45"/>
      <c r="W89" s="30"/>
      <c r="X89" s="122"/>
      <c r="Y89" s="122"/>
      <c r="Z89" s="152"/>
      <c r="AA89" s="152"/>
      <c r="AB89" s="12"/>
      <c r="AC89" s="122">
        <f>AC86</f>
        <v>50</v>
      </c>
      <c r="AD89" s="30">
        <f>AD86+W88*O88</f>
        <v>4.5</v>
      </c>
      <c r="AE89" s="157">
        <f>AE86+X88*O88</f>
        <v>225</v>
      </c>
      <c r="AF89" s="157">
        <f>AC89 * (1 + D88) / (1 - H88)</f>
        <v>52.261306532663319</v>
      </c>
      <c r="AG89" s="124">
        <f>(B88 - AF89) / AF89</f>
        <v>-4.3269230769230817E-2</v>
      </c>
      <c r="AH89" s="30"/>
      <c r="AI89" s="122">
        <f>AI86</f>
        <v>50</v>
      </c>
      <c r="AJ89" s="30">
        <f>AJ86+W88*P88</f>
        <v>3.5999999999999996</v>
      </c>
      <c r="AK89" s="157">
        <f>AK86+X88*P88</f>
        <v>180</v>
      </c>
      <c r="AL89" s="157">
        <f>AI89 * (1 + E88) / (1 - H88)</f>
        <v>54.2713567839196</v>
      </c>
      <c r="AM89" s="124">
        <f>(B88 - AL89) / AL89</f>
        <v>-7.8703703703703748E-2</v>
      </c>
    </row>
    <row r="90" spans="1:55" ht="12.75" x14ac:dyDescent="0.2">
      <c r="A90" s="182" t="s">
        <v>87</v>
      </c>
      <c r="B90" s="40">
        <v>16.66667</v>
      </c>
      <c r="C90" s="55">
        <v>0.02</v>
      </c>
      <c r="D90" s="129">
        <v>0.04</v>
      </c>
      <c r="E90" s="125">
        <v>0.08</v>
      </c>
      <c r="F90" s="125">
        <v>0.16</v>
      </c>
      <c r="G90" s="125"/>
      <c r="H90" s="125">
        <v>5.0000000000000001E-3</v>
      </c>
      <c r="I90" s="65">
        <v>1200</v>
      </c>
      <c r="J90" s="35"/>
      <c r="K90" s="35" t="s">
        <v>70</v>
      </c>
      <c r="L90" s="35">
        <v>3</v>
      </c>
      <c r="M90" s="210"/>
      <c r="N90" s="210"/>
      <c r="O90" s="129"/>
      <c r="P90" s="125"/>
      <c r="Q90" s="125"/>
      <c r="R90" s="47"/>
      <c r="S90" s="47"/>
      <c r="T90" s="35"/>
      <c r="U90" s="35"/>
      <c r="V90" s="35"/>
      <c r="W90" s="43"/>
      <c r="X90" s="126"/>
      <c r="Y90" s="126"/>
      <c r="Z90" s="153"/>
      <c r="AA90" s="153"/>
      <c r="AB90" s="41"/>
      <c r="AC90" s="126">
        <f>AC88/L90</f>
        <v>15</v>
      </c>
      <c r="AD90" s="43">
        <f>AD88*L90</f>
        <v>6.666666666666667</v>
      </c>
      <c r="AE90" s="128">
        <f t="shared" ref="AE90:AE103" si="17">AE88</f>
        <v>100</v>
      </c>
      <c r="AF90" s="128">
        <f>AC90 * (1 + D90) / (1 - H90)</f>
        <v>15.678391959798997</v>
      </c>
      <c r="AG90" s="129">
        <f>(B90 - AF90) / AF90</f>
        <v>6.3034400641025487E-2</v>
      </c>
      <c r="AH90" s="43"/>
      <c r="AI90" s="126">
        <f>AI88/L90</f>
        <v>15</v>
      </c>
      <c r="AJ90" s="43">
        <f>AJ88*L90</f>
        <v>6.666666666666667</v>
      </c>
      <c r="AK90" s="128">
        <f>AK88</f>
        <v>100</v>
      </c>
      <c r="AL90" s="128">
        <f>AI90 * (1 + E90) / (1 - H90)</f>
        <v>16.281407035175882</v>
      </c>
      <c r="AM90" s="129">
        <f>(B90 - AL90) / AL90</f>
        <v>2.3662756172839364E-2</v>
      </c>
      <c r="AN90" s="35"/>
      <c r="AO90" s="126">
        <f>AO88/L90</f>
        <v>16.666666666666668</v>
      </c>
      <c r="AP90" s="43">
        <f>AP88*L90</f>
        <v>7.2000000000000011</v>
      </c>
      <c r="AQ90" s="128">
        <f>AQ88</f>
        <v>120</v>
      </c>
      <c r="AR90" s="128">
        <f>AO90 * (1 + F90) / (1 - H90)</f>
        <v>19.430485762144052</v>
      </c>
      <c r="AS90" s="129">
        <f>(B90 - AR90) / AR90</f>
        <v>-0.14224120775862062</v>
      </c>
      <c r="AT90" s="35"/>
      <c r="AU90" s="39">
        <f>AX90+AW90+AV90</f>
        <v>44.833333333333329</v>
      </c>
      <c r="AV90" s="39">
        <f>AD90+AD91</f>
        <v>20.166666666666668</v>
      </c>
      <c r="AW90" s="39">
        <f>AJ90+AJ91</f>
        <v>17.466666666666665</v>
      </c>
      <c r="AX90" s="39">
        <f>AP90</f>
        <v>7.2000000000000011</v>
      </c>
      <c r="AY90" s="201">
        <f>AY88</f>
        <v>717.91250000000002</v>
      </c>
      <c r="AZ90" s="65">
        <v>0</v>
      </c>
      <c r="BA90" s="126">
        <f>AU90*B90</f>
        <v>747.22237166666662</v>
      </c>
      <c r="BB90" s="202">
        <f>(AZ90+BA90-AY90)/AY90</f>
        <v>4.0826523659452364E-2</v>
      </c>
      <c r="BC90" s="65">
        <f>I90-AY90+AZ90</f>
        <v>482.08749999999998</v>
      </c>
    </row>
    <row r="91" spans="1:55" ht="12.75" x14ac:dyDescent="0.2">
      <c r="A91" s="182"/>
      <c r="B91" s="36"/>
      <c r="C91" s="209"/>
      <c r="D91" s="129"/>
      <c r="E91" s="125"/>
      <c r="F91" s="125"/>
      <c r="G91" s="125"/>
      <c r="H91" s="125"/>
      <c r="I91" s="125"/>
      <c r="J91" s="35"/>
      <c r="K91" s="35"/>
      <c r="L91" s="35"/>
      <c r="M91" s="210"/>
      <c r="N91" s="210"/>
      <c r="O91" s="129"/>
      <c r="P91" s="125"/>
      <c r="Q91" s="125"/>
      <c r="R91" s="47"/>
      <c r="S91" s="47"/>
      <c r="T91" s="35"/>
      <c r="U91" s="35"/>
      <c r="V91" s="35"/>
      <c r="W91" s="43"/>
      <c r="X91" s="126"/>
      <c r="Y91" s="126"/>
      <c r="Z91" s="153"/>
      <c r="AA91" s="153"/>
      <c r="AB91" s="41"/>
      <c r="AC91" s="126">
        <f>AC89/L90</f>
        <v>16.666666666666668</v>
      </c>
      <c r="AD91" s="43">
        <f>AD89*L90</f>
        <v>13.5</v>
      </c>
      <c r="AE91" s="128">
        <f t="shared" si="17"/>
        <v>225</v>
      </c>
      <c r="AF91" s="128">
        <f>AC91 * (1 + D90) / (1 - H90)</f>
        <v>17.420435510887774</v>
      </c>
      <c r="AG91" s="129">
        <f>(B90 - AF91) / AF91</f>
        <v>-4.3269039423077041E-2</v>
      </c>
      <c r="AH91" s="43"/>
      <c r="AI91" s="126">
        <f>AI89/L90</f>
        <v>16.666666666666668</v>
      </c>
      <c r="AJ91" s="43">
        <f>AJ89*L90</f>
        <v>10.799999999999999</v>
      </c>
      <c r="AK91" s="128">
        <f>AK89</f>
        <v>180</v>
      </c>
      <c r="AL91" s="128">
        <f>AI91 * (1 + E90) / (1 - H90)</f>
        <v>18.090452261306535</v>
      </c>
      <c r="AM91" s="129">
        <f>(B90 - AL91) / AL91</f>
        <v>-7.870351944444455E-2</v>
      </c>
      <c r="AN91" s="35"/>
      <c r="AO91" s="35"/>
      <c r="AP91" s="35"/>
      <c r="AQ91" s="35"/>
      <c r="AR91" s="35"/>
      <c r="AS91" s="35"/>
      <c r="AT91" s="35"/>
      <c r="AU91" s="35"/>
      <c r="AV91" s="35"/>
      <c r="AW91" s="35"/>
      <c r="AX91" s="35"/>
      <c r="AY91" s="35"/>
      <c r="AZ91" s="35"/>
      <c r="BA91" s="35"/>
      <c r="BB91" s="35"/>
      <c r="BC91" s="35"/>
    </row>
    <row r="92" spans="1:55" ht="12.75" x14ac:dyDescent="0.2">
      <c r="A92" s="150" t="s">
        <v>264</v>
      </c>
      <c r="B92" s="52">
        <v>20</v>
      </c>
      <c r="C92" s="62">
        <v>0.02</v>
      </c>
      <c r="D92" s="124">
        <v>0.04</v>
      </c>
      <c r="E92" s="95">
        <v>0.08</v>
      </c>
      <c r="F92" s="95">
        <v>0.16</v>
      </c>
      <c r="G92" s="95"/>
      <c r="H92" s="95">
        <v>5.0000000000000001E-3</v>
      </c>
      <c r="I92" s="63">
        <v>1200</v>
      </c>
      <c r="J92" s="95"/>
      <c r="K92" s="133" t="s">
        <v>73</v>
      </c>
      <c r="L92" s="133" t="s">
        <v>211</v>
      </c>
      <c r="M92" s="52">
        <v>20</v>
      </c>
      <c r="N92" s="152" t="s">
        <v>34</v>
      </c>
      <c r="O92" s="152" t="s">
        <v>34</v>
      </c>
      <c r="P92" s="95">
        <v>1</v>
      </c>
      <c r="Q92" s="152" t="s">
        <v>34</v>
      </c>
      <c r="S92" s="45" t="s">
        <v>264</v>
      </c>
      <c r="T92" s="45" t="s">
        <v>73</v>
      </c>
      <c r="U92" s="131" t="s">
        <v>211</v>
      </c>
      <c r="V92" s="122">
        <f>M92</f>
        <v>20</v>
      </c>
      <c r="W92" s="30">
        <f>AJ90*P92</f>
        <v>6.666666666666667</v>
      </c>
      <c r="X92" s="122">
        <f>V92*W92-(V92*W92*H92)</f>
        <v>132.66666666666669</v>
      </c>
      <c r="Y92" s="152" t="s">
        <v>34</v>
      </c>
      <c r="Z92" s="152">
        <f>X92-(AI90*W92)</f>
        <v>32.666666666666686</v>
      </c>
      <c r="AA92" s="161">
        <f>Z92/(AI90*W92)</f>
        <v>0.32666666666666688</v>
      </c>
      <c r="AB92" s="12"/>
      <c r="AC92" s="122">
        <f t="shared" ref="AC92:AD95" si="18">AC90</f>
        <v>15</v>
      </c>
      <c r="AD92" s="30">
        <f t="shared" si="18"/>
        <v>6.666666666666667</v>
      </c>
      <c r="AE92" s="157">
        <f t="shared" si="17"/>
        <v>100</v>
      </c>
      <c r="AF92" s="157">
        <f>AC92 * (1 + D92) / (1 - H92)</f>
        <v>15.678391959798997</v>
      </c>
      <c r="AG92" s="124">
        <f>(B92 - AF92) / AF92</f>
        <v>0.27564102564102544</v>
      </c>
      <c r="AH92" s="30"/>
      <c r="AI92" s="122"/>
      <c r="AJ92" s="30"/>
      <c r="AK92" s="157"/>
      <c r="AL92" s="157"/>
      <c r="AM92" s="124"/>
      <c r="AO92" s="122">
        <f>AO90</f>
        <v>16.666666666666668</v>
      </c>
      <c r="AP92" s="30">
        <f>AP90</f>
        <v>7.2000000000000011</v>
      </c>
      <c r="AQ92" s="157">
        <f>AQ90</f>
        <v>120</v>
      </c>
      <c r="AR92" s="157">
        <f>AO92 * (1 + F92) / (1 - H92)</f>
        <v>19.430485762144052</v>
      </c>
      <c r="AS92" s="124">
        <f>(B92 - AR92) / AR92</f>
        <v>2.9310344827586297E-2</v>
      </c>
      <c r="AU92" s="32">
        <f>AX92+AW92+AV92</f>
        <v>38.166666666666671</v>
      </c>
      <c r="AV92" s="32">
        <f>AD92+AD93</f>
        <v>20.166666666666668</v>
      </c>
      <c r="AW92" s="32">
        <f>AJ92+AJ93</f>
        <v>10.799999999999999</v>
      </c>
      <c r="AX92" s="32">
        <f>AP92</f>
        <v>7.2000000000000011</v>
      </c>
      <c r="AY92" s="196">
        <f>AY90</f>
        <v>717.91250000000002</v>
      </c>
      <c r="AZ92" s="63">
        <f>X92</f>
        <v>132.66666666666669</v>
      </c>
      <c r="BA92" s="122">
        <f>AU92*B92</f>
        <v>763.33333333333348</v>
      </c>
      <c r="BB92" s="206">
        <f>(AZ92+BA92-AY92)/AY92</f>
        <v>0.24806296031898065</v>
      </c>
      <c r="BC92" s="63">
        <f>I92-AY92+AZ92</f>
        <v>614.75416666666661</v>
      </c>
    </row>
    <row r="93" spans="1:55" ht="12.75" x14ac:dyDescent="0.2">
      <c r="AB93" s="12"/>
      <c r="AC93" s="122">
        <f t="shared" si="18"/>
        <v>16.666666666666668</v>
      </c>
      <c r="AD93" s="30">
        <f t="shared" si="18"/>
        <v>13.5</v>
      </c>
      <c r="AE93" s="157">
        <f t="shared" si="17"/>
        <v>225</v>
      </c>
      <c r="AF93" s="157">
        <f>AC93 * (1 + D92) / (1 - H92)</f>
        <v>17.420435510887774</v>
      </c>
      <c r="AG93" s="124">
        <f>(B92 - AF93) / AF93</f>
        <v>0.14807692307692294</v>
      </c>
      <c r="AH93" s="30"/>
      <c r="AI93" s="122">
        <f>AI91</f>
        <v>16.666666666666668</v>
      </c>
      <c r="AJ93" s="30">
        <f>AJ91</f>
        <v>10.799999999999999</v>
      </c>
      <c r="AK93" s="157">
        <f>AK91</f>
        <v>180</v>
      </c>
      <c r="AL93" s="157">
        <f>AI93 * (1 + E92) / (1 - H92)</f>
        <v>18.090452261306535</v>
      </c>
      <c r="AM93" s="124">
        <f>(B92 - AL93) / AL93</f>
        <v>0.10555555555555543</v>
      </c>
    </row>
    <row r="94" spans="1:55" ht="12.75" x14ac:dyDescent="0.2">
      <c r="A94" s="182" t="s">
        <v>266</v>
      </c>
      <c r="B94" s="40">
        <v>20</v>
      </c>
      <c r="C94" s="55">
        <v>0.02</v>
      </c>
      <c r="D94" s="129">
        <v>0.04</v>
      </c>
      <c r="E94" s="125">
        <v>0.08</v>
      </c>
      <c r="F94" s="125">
        <v>0.16</v>
      </c>
      <c r="G94" s="125"/>
      <c r="H94" s="125">
        <v>5.0000000000000001E-3</v>
      </c>
      <c r="I94" s="65">
        <v>1200</v>
      </c>
      <c r="J94" s="35"/>
      <c r="K94" s="35" t="s">
        <v>267</v>
      </c>
      <c r="L94" s="35"/>
      <c r="M94" s="210"/>
      <c r="N94" s="210"/>
      <c r="O94" s="129"/>
      <c r="P94" s="125"/>
      <c r="Q94" s="125"/>
      <c r="R94" s="35"/>
      <c r="S94" s="166" t="s">
        <v>264</v>
      </c>
      <c r="T94" s="166" t="s">
        <v>73</v>
      </c>
      <c r="U94" s="173" t="s">
        <v>211</v>
      </c>
      <c r="V94" s="174">
        <f>V92</f>
        <v>20</v>
      </c>
      <c r="W94" s="175">
        <f>W92</f>
        <v>6.666666666666667</v>
      </c>
      <c r="X94" s="174">
        <f>V94*W94-(V94*W94*H94)</f>
        <v>132.66666666666669</v>
      </c>
      <c r="Y94" s="217" t="s">
        <v>34</v>
      </c>
      <c r="Z94" s="217">
        <f>Z92</f>
        <v>32.666666666666686</v>
      </c>
      <c r="AA94" s="218">
        <f>AA92</f>
        <v>0.32666666666666688</v>
      </c>
      <c r="AB94" s="41"/>
      <c r="AC94" s="126">
        <f t="shared" si="18"/>
        <v>15</v>
      </c>
      <c r="AD94" s="43">
        <f t="shared" si="18"/>
        <v>6.666666666666667</v>
      </c>
      <c r="AE94" s="128">
        <f t="shared" si="17"/>
        <v>100</v>
      </c>
      <c r="AF94" s="128">
        <f>AC94 * (1 + D94) / (1 - H94)</f>
        <v>15.678391959798997</v>
      </c>
      <c r="AG94" s="129">
        <f>(B94 - AF94) / AF94</f>
        <v>0.27564102564102544</v>
      </c>
      <c r="AH94" s="43"/>
      <c r="AI94" s="126">
        <f>AI90</f>
        <v>15</v>
      </c>
      <c r="AJ94" s="43">
        <f>AJ90</f>
        <v>6.666666666666667</v>
      </c>
      <c r="AK94" s="128">
        <f>AK90</f>
        <v>100</v>
      </c>
      <c r="AL94" s="128">
        <f>AI94 * (1 + E94) / (1 - H94)</f>
        <v>16.281407035175882</v>
      </c>
      <c r="AM94" s="129">
        <f>(B94 - AL94) / AL94</f>
        <v>0.22839506172839491</v>
      </c>
      <c r="AN94" s="35"/>
      <c r="AO94" s="126">
        <f>AO92</f>
        <v>16.666666666666668</v>
      </c>
      <c r="AP94" s="43">
        <f>AP92</f>
        <v>7.2000000000000011</v>
      </c>
      <c r="AQ94" s="128">
        <f>AQ92</f>
        <v>120</v>
      </c>
      <c r="AR94" s="128">
        <f>AO94 * (1 + F94) / (1 - H94)</f>
        <v>19.430485762144052</v>
      </c>
      <c r="AS94" s="129">
        <f>(B94 - AR94) / AR94</f>
        <v>2.9310344827586297E-2</v>
      </c>
      <c r="AT94" s="35"/>
      <c r="AU94" s="39">
        <f>AX94+AW94+AV94</f>
        <v>44.833333333333329</v>
      </c>
      <c r="AV94" s="39">
        <f>AD94+AD95</f>
        <v>20.166666666666668</v>
      </c>
      <c r="AW94" s="39">
        <f>AJ94+AJ95</f>
        <v>17.466666666666665</v>
      </c>
      <c r="AX94" s="39">
        <f>AP94</f>
        <v>7.2000000000000011</v>
      </c>
      <c r="AY94" s="201">
        <f>AY92</f>
        <v>717.91250000000002</v>
      </c>
      <c r="AZ94" s="65">
        <v>0</v>
      </c>
      <c r="BA94" s="126">
        <f>AU94*B94</f>
        <v>896.66666666666652</v>
      </c>
      <c r="BB94" s="202">
        <f>(AZ94+BA94-AY94)/AY94</f>
        <v>0.24899157859302698</v>
      </c>
      <c r="BC94" s="65">
        <f>I94-AY94+AZ94</f>
        <v>482.08749999999998</v>
      </c>
    </row>
    <row r="95" spans="1:55" ht="12.75" x14ac:dyDescent="0.2">
      <c r="A95" s="182"/>
      <c r="B95" s="40"/>
      <c r="C95" s="55"/>
      <c r="D95" s="129"/>
      <c r="E95" s="125"/>
      <c r="F95" s="125"/>
      <c r="G95" s="125"/>
      <c r="H95" s="125"/>
      <c r="I95" s="65"/>
      <c r="J95" s="35"/>
      <c r="K95" s="35"/>
      <c r="L95" s="35"/>
      <c r="M95" s="210"/>
      <c r="N95" s="210"/>
      <c r="O95" s="129"/>
      <c r="P95" s="125"/>
      <c r="Q95" s="125"/>
      <c r="R95" s="35"/>
      <c r="S95" s="166"/>
      <c r="T95" s="166"/>
      <c r="U95" s="173"/>
      <c r="V95" s="174"/>
      <c r="W95" s="175"/>
      <c r="X95" s="174"/>
      <c r="Y95" s="217"/>
      <c r="Z95" s="217"/>
      <c r="AA95" s="218"/>
      <c r="AB95" s="41"/>
      <c r="AC95" s="126">
        <f t="shared" si="18"/>
        <v>16.666666666666668</v>
      </c>
      <c r="AD95" s="43">
        <f t="shared" si="18"/>
        <v>13.5</v>
      </c>
      <c r="AE95" s="128">
        <f t="shared" si="17"/>
        <v>225</v>
      </c>
      <c r="AF95" s="128">
        <f>AC95 * (1 + D94) / (1 - H94)</f>
        <v>17.420435510887774</v>
      </c>
      <c r="AG95" s="129">
        <f>(B94 - AF95) / AF95</f>
        <v>0.14807692307692294</v>
      </c>
      <c r="AH95" s="43"/>
      <c r="AI95" s="126">
        <f>AI93</f>
        <v>16.666666666666668</v>
      </c>
      <c r="AJ95" s="43">
        <f>AJ93</f>
        <v>10.799999999999999</v>
      </c>
      <c r="AK95" s="128">
        <f>AK93</f>
        <v>180</v>
      </c>
      <c r="AL95" s="128">
        <f>AI95 * (1 + E94) / (1 - H94)</f>
        <v>18.090452261306535</v>
      </c>
      <c r="AM95" s="129">
        <f>(B94 - AL95) / AL95</f>
        <v>0.10555555555555543</v>
      </c>
      <c r="AN95" s="35"/>
      <c r="AO95" s="126"/>
      <c r="AP95" s="43"/>
      <c r="AQ95" s="128"/>
      <c r="AR95" s="128"/>
      <c r="AS95" s="129"/>
      <c r="AT95" s="35"/>
      <c r="AU95" s="39"/>
      <c r="AV95" s="39"/>
      <c r="AW95" s="39"/>
      <c r="AX95" s="39"/>
      <c r="AY95" s="201"/>
      <c r="AZ95" s="65"/>
      <c r="BA95" s="126"/>
      <c r="BB95" s="202"/>
      <c r="BC95" s="65"/>
    </row>
    <row r="96" spans="1:55" ht="12.75" x14ac:dyDescent="0.2">
      <c r="A96" s="150" t="s">
        <v>265</v>
      </c>
      <c r="B96" s="52">
        <v>25</v>
      </c>
      <c r="C96" s="62">
        <v>0.02</v>
      </c>
      <c r="D96" s="124">
        <v>0.04</v>
      </c>
      <c r="E96" s="95">
        <v>0.08</v>
      </c>
      <c r="F96" s="95">
        <v>0.16</v>
      </c>
      <c r="G96" s="95"/>
      <c r="H96" s="95">
        <v>5.0000000000000001E-3</v>
      </c>
      <c r="I96" s="63">
        <v>1200</v>
      </c>
      <c r="K96" s="45" t="s">
        <v>272</v>
      </c>
      <c r="L96">
        <v>2</v>
      </c>
      <c r="M96" s="207"/>
      <c r="N96" s="207"/>
      <c r="O96" s="124"/>
      <c r="P96" s="95"/>
      <c r="Q96" s="95"/>
      <c r="S96" s="45"/>
      <c r="T96" s="45"/>
      <c r="U96" s="131"/>
      <c r="V96" s="122"/>
      <c r="W96" s="30"/>
      <c r="X96" s="122"/>
      <c r="Y96" s="122"/>
      <c r="Z96" s="152"/>
      <c r="AA96" s="152"/>
      <c r="AB96" s="12"/>
      <c r="AC96" s="122">
        <f>AC94*L90/L96</f>
        <v>22.5</v>
      </c>
      <c r="AD96" s="30">
        <f>AD94*L96/L90</f>
        <v>4.4444444444444446</v>
      </c>
      <c r="AE96" s="157">
        <f t="shared" si="17"/>
        <v>100</v>
      </c>
      <c r="AF96" s="157">
        <f>AC96 * (1 + D96) / (1 - H96)</f>
        <v>23.517587939698494</v>
      </c>
      <c r="AG96" s="124">
        <f>(B96 - AF96) / AF96</f>
        <v>6.3034188034187963E-2</v>
      </c>
      <c r="AH96" s="30"/>
      <c r="AI96" s="122">
        <f>AI94*L90/L96</f>
        <v>22.5</v>
      </c>
      <c r="AJ96" s="30">
        <f>AJ94*L96/L90</f>
        <v>4.4444444444444446</v>
      </c>
      <c r="AK96" s="157">
        <f>AK94</f>
        <v>100</v>
      </c>
      <c r="AL96" s="157">
        <f>AI96 * (1 + E96) / (1 - H96)</f>
        <v>24.422110552763819</v>
      </c>
      <c r="AM96" s="124">
        <f>(B96 - AL96) / AL96</f>
        <v>2.3662551440329235E-2</v>
      </c>
      <c r="AO96" s="122">
        <f>AO94*L90/L96</f>
        <v>25</v>
      </c>
      <c r="AP96" s="30">
        <f>AP94*L96/L90</f>
        <v>4.8000000000000007</v>
      </c>
      <c r="AQ96" s="157">
        <f>AQ94</f>
        <v>120</v>
      </c>
      <c r="AR96" s="157">
        <f>AO96 * (1 + F96) / (1 - H96)</f>
        <v>29.145728643216078</v>
      </c>
      <c r="AS96" s="124">
        <f>(B96 - AR96) / AR96</f>
        <v>-0.14224137931034475</v>
      </c>
      <c r="AU96" s="32">
        <f>AX96+AW96+AV96</f>
        <v>29.888888888888886</v>
      </c>
      <c r="AV96" s="32">
        <f>AD96+AD97</f>
        <v>13.444444444444445</v>
      </c>
      <c r="AW96" s="32">
        <f>AJ96+AJ97</f>
        <v>11.644444444444444</v>
      </c>
      <c r="AX96" s="32">
        <f>AP96</f>
        <v>4.8000000000000007</v>
      </c>
      <c r="AY96" s="196">
        <f>AY94</f>
        <v>717.91250000000002</v>
      </c>
      <c r="AZ96" s="63">
        <v>0</v>
      </c>
      <c r="BA96" s="122">
        <f>AU96*B96</f>
        <v>747.22222222222217</v>
      </c>
      <c r="BB96" s="206">
        <f>(AZ96+BA96-AY96)/AY96</f>
        <v>4.0826315494189261E-2</v>
      </c>
      <c r="BC96" s="63">
        <f>I96-AY96+AZ96</f>
        <v>482.08749999999998</v>
      </c>
    </row>
    <row r="97" spans="1:55" ht="12.75" x14ac:dyDescent="0.2">
      <c r="A97" s="150"/>
      <c r="B97" s="33"/>
      <c r="C97" s="67"/>
      <c r="D97" s="124"/>
      <c r="E97" s="95"/>
      <c r="F97" s="95"/>
      <c r="G97" s="95"/>
      <c r="H97" s="95"/>
      <c r="I97" s="95"/>
      <c r="M97" s="207"/>
      <c r="N97" s="207"/>
      <c r="O97" s="124"/>
      <c r="P97" s="95"/>
      <c r="Q97" s="95"/>
      <c r="S97" s="45"/>
      <c r="T97" s="45"/>
      <c r="U97" s="131"/>
      <c r="V97" s="122"/>
      <c r="W97" s="30"/>
      <c r="X97" s="122"/>
      <c r="Y97" s="122"/>
      <c r="Z97" s="152"/>
      <c r="AA97" s="152"/>
      <c r="AB97" s="12"/>
      <c r="AC97" s="122">
        <f>AC95*L90/L96</f>
        <v>25</v>
      </c>
      <c r="AD97" s="30">
        <f>AD95*L96/L90</f>
        <v>9</v>
      </c>
      <c r="AE97" s="157">
        <f t="shared" si="17"/>
        <v>225</v>
      </c>
      <c r="AF97" s="157">
        <f>AC97 * (1 + D96) / (1 - H96)</f>
        <v>26.13065326633166</v>
      </c>
      <c r="AG97" s="124">
        <f>(B96 - AF97) / AF97</f>
        <v>-4.3269230769230817E-2</v>
      </c>
      <c r="AH97" s="30"/>
      <c r="AI97" s="122">
        <f>AI95*L90/L96</f>
        <v>25</v>
      </c>
      <c r="AJ97" s="30">
        <f>AJ95*L96/L90</f>
        <v>7.1999999999999993</v>
      </c>
      <c r="AK97" s="157">
        <f>AK95</f>
        <v>180</v>
      </c>
      <c r="AL97" s="157">
        <f>AI97 * (1 + E96) / (1 - H96)</f>
        <v>27.1356783919598</v>
      </c>
      <c r="AM97" s="124">
        <f>(B96 - AL97) / AL97</f>
        <v>-7.8703703703703748E-2</v>
      </c>
      <c r="AO97" s="122"/>
      <c r="AP97" s="30"/>
      <c r="AQ97" s="157"/>
      <c r="AR97" s="157"/>
      <c r="AS97" s="124"/>
      <c r="AU97" s="32"/>
      <c r="AV97" s="32"/>
      <c r="AW97" s="32"/>
      <c r="AX97" s="32"/>
      <c r="AY97" s="196"/>
      <c r="AZ97" s="63"/>
      <c r="BA97" s="122"/>
      <c r="BB97" s="206"/>
      <c r="BC97" s="63"/>
    </row>
    <row r="98" spans="1:55" ht="12.75" x14ac:dyDescent="0.2">
      <c r="A98" s="182" t="s">
        <v>268</v>
      </c>
      <c r="B98" s="40">
        <v>25</v>
      </c>
      <c r="C98" s="55">
        <v>0.02</v>
      </c>
      <c r="D98" s="129">
        <v>0.04</v>
      </c>
      <c r="E98" s="125">
        <v>0.08</v>
      </c>
      <c r="F98" s="125">
        <v>0.16</v>
      </c>
      <c r="G98" s="125"/>
      <c r="H98" s="125">
        <v>5.0000000000000001E-3</v>
      </c>
      <c r="I98" s="65">
        <v>1200</v>
      </c>
      <c r="J98" s="125"/>
      <c r="K98" s="134" t="s">
        <v>73</v>
      </c>
      <c r="L98" s="134" t="s">
        <v>211</v>
      </c>
      <c r="M98" s="40">
        <v>20</v>
      </c>
      <c r="N98" s="153" t="s">
        <v>34</v>
      </c>
      <c r="O98" s="153" t="s">
        <v>34</v>
      </c>
      <c r="P98" s="125">
        <v>1</v>
      </c>
      <c r="Q98" s="153" t="s">
        <v>34</v>
      </c>
      <c r="R98" s="35"/>
      <c r="S98" s="47" t="s">
        <v>268</v>
      </c>
      <c r="T98" s="47" t="s">
        <v>73</v>
      </c>
      <c r="U98" s="203" t="s">
        <v>211</v>
      </c>
      <c r="V98" s="126">
        <v>25</v>
      </c>
      <c r="W98" s="43">
        <f>AJ96*P98</f>
        <v>4.4444444444444446</v>
      </c>
      <c r="X98" s="126">
        <f>V98*W98-(V98*W98*H98)</f>
        <v>110.55555555555556</v>
      </c>
      <c r="Y98" s="153" t="s">
        <v>34</v>
      </c>
      <c r="Z98" s="153">
        <f>X98-(AI96*W98)</f>
        <v>10.555555555555557</v>
      </c>
      <c r="AA98" s="199">
        <f>Z98/(AI96*W98)</f>
        <v>0.10555555555555557</v>
      </c>
      <c r="AB98" s="41"/>
      <c r="AC98" s="126">
        <f t="shared" ref="AC98:AD101" si="19">AC96</f>
        <v>22.5</v>
      </c>
      <c r="AD98" s="43">
        <f t="shared" si="19"/>
        <v>4.4444444444444446</v>
      </c>
      <c r="AE98" s="128">
        <f t="shared" si="17"/>
        <v>100</v>
      </c>
      <c r="AF98" s="128">
        <f>AC98 * (1 + D98) / (1 - H98)</f>
        <v>23.517587939698494</v>
      </c>
      <c r="AG98" s="129">
        <f>(B98 - AF98) / AF98</f>
        <v>6.3034188034187963E-2</v>
      </c>
      <c r="AH98" s="43"/>
      <c r="AI98" s="126"/>
      <c r="AJ98" s="43"/>
      <c r="AK98" s="128"/>
      <c r="AL98" s="128"/>
      <c r="AM98" s="129"/>
      <c r="AN98" s="35"/>
      <c r="AO98" s="126">
        <f>AO96</f>
        <v>25</v>
      </c>
      <c r="AP98" s="43">
        <f>AP96</f>
        <v>4.8000000000000007</v>
      </c>
      <c r="AQ98" s="128">
        <f>AQ96</f>
        <v>120</v>
      </c>
      <c r="AR98" s="128">
        <f>AO98 * (1 + F98) / (1 - H98)</f>
        <v>29.145728643216078</v>
      </c>
      <c r="AS98" s="129">
        <f>(B98 - AR98) / AR98</f>
        <v>-0.14224137931034475</v>
      </c>
      <c r="AT98" s="35"/>
      <c r="AU98" s="39">
        <f>AX98+AW98+AV98</f>
        <v>25.444444444444443</v>
      </c>
      <c r="AV98" s="39">
        <f>AD98+AD99</f>
        <v>13.444444444444445</v>
      </c>
      <c r="AW98" s="39">
        <f>AJ98+AJ99</f>
        <v>7.1999999999999993</v>
      </c>
      <c r="AX98" s="39">
        <f>AP98</f>
        <v>4.8000000000000007</v>
      </c>
      <c r="AY98" s="201">
        <f>AY96</f>
        <v>717.91250000000002</v>
      </c>
      <c r="AZ98" s="65">
        <f>X98</f>
        <v>110.55555555555556</v>
      </c>
      <c r="BA98" s="126">
        <f>AU98*B98</f>
        <v>636.11111111111109</v>
      </c>
      <c r="BB98" s="202">
        <f>(AZ98+BA98-AY98)/AY98</f>
        <v>4.0052466932483564E-2</v>
      </c>
      <c r="BC98" s="65">
        <f>I98-AY98+AZ98</f>
        <v>592.64305555555552</v>
      </c>
    </row>
    <row r="99" spans="1:55" ht="12.75" x14ac:dyDescent="0.2">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41"/>
      <c r="AC99" s="126">
        <f t="shared" si="19"/>
        <v>25</v>
      </c>
      <c r="AD99" s="43">
        <f t="shared" si="19"/>
        <v>9</v>
      </c>
      <c r="AE99" s="128">
        <f t="shared" si="17"/>
        <v>225</v>
      </c>
      <c r="AF99" s="128">
        <f>AC99 * (1 + D98) / (1 - H98)</f>
        <v>26.13065326633166</v>
      </c>
      <c r="AG99" s="129">
        <f>(B98 - AF99) / AF99</f>
        <v>-4.3269230769230817E-2</v>
      </c>
      <c r="AH99" s="43"/>
      <c r="AI99" s="126">
        <f>AI97</f>
        <v>25</v>
      </c>
      <c r="AJ99" s="43">
        <f>AJ97</f>
        <v>7.1999999999999993</v>
      </c>
      <c r="AK99" s="128">
        <f>AK97</f>
        <v>180</v>
      </c>
      <c r="AL99" s="128">
        <f>AI99 * (1 + E98) / (1 - H98)</f>
        <v>27.1356783919598</v>
      </c>
      <c r="AM99" s="129">
        <f>(B98 - AL99) / AL99</f>
        <v>-7.8703703703703748E-2</v>
      </c>
      <c r="AN99" s="35"/>
      <c r="AO99" s="35"/>
      <c r="AP99" s="35"/>
      <c r="AQ99" s="35"/>
      <c r="AR99" s="35"/>
      <c r="AS99" s="35"/>
      <c r="AT99" s="35"/>
      <c r="AU99" s="35"/>
      <c r="AV99" s="35"/>
      <c r="AW99" s="35"/>
      <c r="AX99" s="35"/>
      <c r="AY99" s="35"/>
      <c r="AZ99" s="35"/>
      <c r="BA99" s="35"/>
      <c r="BB99" s="35"/>
      <c r="BC99" s="35"/>
    </row>
    <row r="100" spans="1:55" ht="12.75" x14ac:dyDescent="0.2">
      <c r="A100" s="150" t="s">
        <v>269</v>
      </c>
      <c r="B100" s="52">
        <v>25</v>
      </c>
      <c r="C100" s="62">
        <v>0.02</v>
      </c>
      <c r="D100" s="124">
        <v>0.04</v>
      </c>
      <c r="E100" s="95">
        <v>0.08</v>
      </c>
      <c r="F100" s="95">
        <v>0.16</v>
      </c>
      <c r="G100" s="95"/>
      <c r="H100" s="95">
        <v>5.0000000000000001E-3</v>
      </c>
      <c r="I100" s="63">
        <v>1200</v>
      </c>
      <c r="K100" s="45" t="s">
        <v>270</v>
      </c>
      <c r="M100" s="207"/>
      <c r="N100" s="207"/>
      <c r="O100" s="124"/>
      <c r="P100" s="95"/>
      <c r="Q100" s="95"/>
      <c r="S100" s="146" t="s">
        <v>268</v>
      </c>
      <c r="T100" s="146" t="s">
        <v>73</v>
      </c>
      <c r="U100" s="215" t="s">
        <v>211</v>
      </c>
      <c r="V100" s="162">
        <f>V98</f>
        <v>25</v>
      </c>
      <c r="W100" s="163">
        <f>W98</f>
        <v>4.4444444444444446</v>
      </c>
      <c r="X100" s="162">
        <f>V100*W100-(V100*W100*H100)</f>
        <v>110.55555555555556</v>
      </c>
      <c r="Y100" s="216" t="s">
        <v>34</v>
      </c>
      <c r="Z100" s="216">
        <f>Z98</f>
        <v>10.555555555555557</v>
      </c>
      <c r="AA100" s="214">
        <f>AA98</f>
        <v>0.10555555555555557</v>
      </c>
      <c r="AB100" s="12"/>
      <c r="AC100" s="122">
        <f t="shared" si="19"/>
        <v>22.5</v>
      </c>
      <c r="AD100" s="30">
        <f t="shared" si="19"/>
        <v>4.4444444444444446</v>
      </c>
      <c r="AE100" s="157">
        <f t="shared" si="17"/>
        <v>100</v>
      </c>
      <c r="AF100" s="157">
        <f>AC100 * (1 + D100) / (1 - H100)</f>
        <v>23.517587939698494</v>
      </c>
      <c r="AG100" s="124">
        <f>(B100 - AF100) / AF100</f>
        <v>6.3034188034187963E-2</v>
      </c>
      <c r="AH100" s="30"/>
      <c r="AI100" s="122">
        <f>AI96</f>
        <v>22.5</v>
      </c>
      <c r="AJ100" s="30">
        <f>AJ96</f>
        <v>4.4444444444444446</v>
      </c>
      <c r="AK100" s="157">
        <f>AK96</f>
        <v>100</v>
      </c>
      <c r="AL100" s="157">
        <f>AI100 * (1 + E100) / (1 - H100)</f>
        <v>24.422110552763819</v>
      </c>
      <c r="AM100" s="124">
        <f>(B100 - AL100) / AL100</f>
        <v>2.3662551440329235E-2</v>
      </c>
      <c r="AO100" s="122">
        <f>AO98</f>
        <v>25</v>
      </c>
      <c r="AP100" s="30">
        <f>AP98</f>
        <v>4.8000000000000007</v>
      </c>
      <c r="AQ100" s="157">
        <f>AQ98</f>
        <v>120</v>
      </c>
      <c r="AR100" s="157">
        <f>AO100 * (1 + F100) / (1 - H100)</f>
        <v>29.145728643216078</v>
      </c>
      <c r="AS100" s="124">
        <f>(B100 - AR100) / AR100</f>
        <v>-0.14224137931034475</v>
      </c>
      <c r="AU100" s="32">
        <f>AX100+AW100+AV100</f>
        <v>29.888888888888886</v>
      </c>
      <c r="AV100" s="32">
        <f>AD100+AD101</f>
        <v>13.444444444444445</v>
      </c>
      <c r="AW100" s="32">
        <f>AJ100+AJ101</f>
        <v>11.644444444444444</v>
      </c>
      <c r="AX100" s="32">
        <f>AP100</f>
        <v>4.8000000000000007</v>
      </c>
      <c r="AY100" s="196">
        <f>AY98</f>
        <v>717.91250000000002</v>
      </c>
      <c r="AZ100" s="63">
        <v>0</v>
      </c>
      <c r="BA100" s="122">
        <f>AU100*B100</f>
        <v>747.22222222222217</v>
      </c>
      <c r="BB100" s="206">
        <f>(AZ100+BA100-AY100)/AY100</f>
        <v>4.0826315494189261E-2</v>
      </c>
      <c r="BC100" s="63">
        <f>I100-AY100+AZ100</f>
        <v>482.08749999999998</v>
      </c>
    </row>
    <row r="101" spans="1:55" ht="12.75" x14ac:dyDescent="0.2">
      <c r="A101" s="150"/>
      <c r="B101" s="52"/>
      <c r="C101" s="62"/>
      <c r="D101" s="124"/>
      <c r="E101" s="95"/>
      <c r="F101" s="95"/>
      <c r="G101" s="95"/>
      <c r="H101" s="95"/>
      <c r="I101" s="63"/>
      <c r="M101" s="207"/>
      <c r="N101" s="207"/>
      <c r="O101" s="124"/>
      <c r="P101" s="95"/>
      <c r="Q101" s="95"/>
      <c r="S101" s="146"/>
      <c r="T101" s="146"/>
      <c r="U101" s="215"/>
      <c r="V101" s="162"/>
      <c r="W101" s="163"/>
      <c r="X101" s="162"/>
      <c r="Y101" s="216"/>
      <c r="Z101" s="216"/>
      <c r="AA101" s="214"/>
      <c r="AB101" s="12"/>
      <c r="AC101" s="122">
        <f t="shared" si="19"/>
        <v>25</v>
      </c>
      <c r="AD101" s="30">
        <f t="shared" si="19"/>
        <v>9</v>
      </c>
      <c r="AE101" s="157">
        <f t="shared" si="17"/>
        <v>225</v>
      </c>
      <c r="AF101" s="157">
        <f>AC101 * (1 + D100) / (1 - H100)</f>
        <v>26.13065326633166</v>
      </c>
      <c r="AG101" s="124">
        <f>(B100 - AF101) / AF101</f>
        <v>-4.3269230769230817E-2</v>
      </c>
      <c r="AH101" s="30"/>
      <c r="AI101" s="122">
        <f>AI99</f>
        <v>25</v>
      </c>
      <c r="AJ101" s="30">
        <f>AJ99</f>
        <v>7.1999999999999993</v>
      </c>
      <c r="AK101" s="157">
        <f>AK99</f>
        <v>180</v>
      </c>
      <c r="AL101" s="157">
        <f>AI101 * (1 + E100) / (1 - H100)</f>
        <v>27.1356783919598</v>
      </c>
      <c r="AM101" s="124">
        <f>(B100 - AL101) / AL101</f>
        <v>-7.8703703703703748E-2</v>
      </c>
      <c r="AO101" s="122"/>
      <c r="AP101" s="30"/>
      <c r="AQ101" s="157"/>
      <c r="AR101" s="157"/>
      <c r="AS101" s="124"/>
      <c r="AU101" s="32"/>
      <c r="AV101" s="32"/>
      <c r="AW101" s="32"/>
      <c r="AX101" s="32"/>
      <c r="AY101" s="196"/>
      <c r="AZ101" s="63"/>
      <c r="BA101" s="122"/>
      <c r="BB101" s="206"/>
      <c r="BC101" s="63"/>
    </row>
    <row r="102" spans="1:55" ht="12.75" x14ac:dyDescent="0.2">
      <c r="A102" s="182" t="s">
        <v>271</v>
      </c>
      <c r="B102" s="40">
        <v>25</v>
      </c>
      <c r="C102" s="55">
        <v>0.02</v>
      </c>
      <c r="D102" s="129">
        <v>0.04</v>
      </c>
      <c r="E102" s="125">
        <v>0.08</v>
      </c>
      <c r="F102" s="125">
        <v>0.16</v>
      </c>
      <c r="G102" s="125"/>
      <c r="H102" s="125">
        <v>5.0000000000000001E-3</v>
      </c>
      <c r="I102" s="65">
        <v>1200</v>
      </c>
      <c r="J102" s="35"/>
      <c r="K102" s="47" t="s">
        <v>271</v>
      </c>
      <c r="L102" s="35"/>
      <c r="M102" s="210"/>
      <c r="N102" s="210"/>
      <c r="O102" s="129"/>
      <c r="P102" s="125"/>
      <c r="Q102" s="125"/>
      <c r="R102" s="35"/>
      <c r="S102" s="47"/>
      <c r="T102" s="47"/>
      <c r="U102" s="203"/>
      <c r="V102" s="126"/>
      <c r="W102" s="43"/>
      <c r="X102" s="126"/>
      <c r="Y102" s="126"/>
      <c r="Z102" s="153"/>
      <c r="AA102" s="153"/>
      <c r="AB102" s="41"/>
      <c r="AC102" s="126">
        <f>AC100*L96</f>
        <v>45</v>
      </c>
      <c r="AD102" s="43">
        <f>AD100/L96</f>
        <v>2.2222222222222223</v>
      </c>
      <c r="AE102" s="128">
        <f t="shared" si="17"/>
        <v>100</v>
      </c>
      <c r="AF102" s="128">
        <f>AC102 * (1 + D102) / (1 - H102)</f>
        <v>47.035175879396988</v>
      </c>
      <c r="AG102" s="129">
        <f>(B102 - AF102) / AF102</f>
        <v>-0.46848290598290604</v>
      </c>
      <c r="AH102" s="43"/>
      <c r="AI102" s="126">
        <f>AI100*L96</f>
        <v>45</v>
      </c>
      <c r="AJ102" s="43">
        <f>AJ100/L96</f>
        <v>2.2222222222222223</v>
      </c>
      <c r="AK102" s="128">
        <f>AK100</f>
        <v>100</v>
      </c>
      <c r="AL102" s="128">
        <f>AI102 * (1 + E102) / (1 - H102)</f>
        <v>48.844221105527637</v>
      </c>
      <c r="AM102" s="129">
        <f>(B102 - AL102) / AL102</f>
        <v>-0.48816872427983538</v>
      </c>
      <c r="AN102" s="35"/>
      <c r="AO102" s="126">
        <f>AO100*L96</f>
        <v>50</v>
      </c>
      <c r="AP102" s="43">
        <f>AP100/L96</f>
        <v>2.4000000000000004</v>
      </c>
      <c r="AQ102" s="128">
        <f>AQ100</f>
        <v>120</v>
      </c>
      <c r="AR102" s="128">
        <f>AO102 * (1 + F102) / (1 - H102)</f>
        <v>58.291457286432156</v>
      </c>
      <c r="AS102" s="129">
        <f>(B102 - AR102) / AR102</f>
        <v>-0.57112068965517238</v>
      </c>
      <c r="AT102" s="35"/>
      <c r="AU102" s="39">
        <f>AX102+AW102+AV102</f>
        <v>14.944444444444443</v>
      </c>
      <c r="AV102" s="39">
        <f>AD102+AD103</f>
        <v>6.7222222222222223</v>
      </c>
      <c r="AW102" s="39">
        <f>AJ102+AJ103</f>
        <v>5.822222222222222</v>
      </c>
      <c r="AX102" s="39">
        <f>AP102</f>
        <v>2.4000000000000004</v>
      </c>
      <c r="AY102" s="201">
        <f>AY100</f>
        <v>717.91250000000002</v>
      </c>
      <c r="AZ102" s="65">
        <v>0</v>
      </c>
      <c r="BA102" s="126">
        <f>AU102*B102</f>
        <v>373.61111111111109</v>
      </c>
      <c r="BB102" s="202">
        <f>(AZ102+BA102-AY102)/AY102</f>
        <v>-0.47958684225290538</v>
      </c>
      <c r="BC102" s="65">
        <f>I102-AY102+AZ102</f>
        <v>482.08749999999998</v>
      </c>
    </row>
    <row r="103" spans="1:55" ht="12.75" x14ac:dyDescent="0.2">
      <c r="A103" s="182"/>
      <c r="B103" s="36"/>
      <c r="C103" s="209"/>
      <c r="D103" s="129"/>
      <c r="E103" s="125"/>
      <c r="F103" s="125"/>
      <c r="G103" s="125"/>
      <c r="H103" s="125"/>
      <c r="I103" s="125"/>
      <c r="J103" s="35"/>
      <c r="K103" s="35"/>
      <c r="L103" s="35"/>
      <c r="M103" s="210"/>
      <c r="N103" s="210"/>
      <c r="O103" s="129"/>
      <c r="P103" s="125"/>
      <c r="Q103" s="125"/>
      <c r="R103" s="35"/>
      <c r="S103" s="47"/>
      <c r="T103" s="47"/>
      <c r="U103" s="203"/>
      <c r="V103" s="126"/>
      <c r="W103" s="43"/>
      <c r="X103" s="126"/>
      <c r="Y103" s="126"/>
      <c r="Z103" s="153"/>
      <c r="AA103" s="153"/>
      <c r="AB103" s="41"/>
      <c r="AC103" s="126">
        <f>AC101*L96</f>
        <v>50</v>
      </c>
      <c r="AD103" s="43">
        <f>AD101/L96</f>
        <v>4.5</v>
      </c>
      <c r="AE103" s="128">
        <f t="shared" si="17"/>
        <v>225</v>
      </c>
      <c r="AF103" s="128">
        <f>AC103 * (1 + D102) / (1 - H102)</f>
        <v>52.261306532663319</v>
      </c>
      <c r="AG103" s="129">
        <f>(B102 - AF103) / AF103</f>
        <v>-0.52163461538461542</v>
      </c>
      <c r="AH103" s="43"/>
      <c r="AI103" s="126">
        <f>AI101*L96</f>
        <v>50</v>
      </c>
      <c r="AJ103" s="43">
        <f>AJ101/L96</f>
        <v>3.5999999999999996</v>
      </c>
      <c r="AK103" s="128">
        <f>AK101</f>
        <v>180</v>
      </c>
      <c r="AL103" s="128">
        <f>AI103 * (1 + E102) / (1 - H102)</f>
        <v>54.2713567839196</v>
      </c>
      <c r="AM103" s="129">
        <f>(B102 - AL103) / AL103</f>
        <v>-0.53935185185185186</v>
      </c>
      <c r="AN103" s="35"/>
      <c r="AO103" s="126"/>
      <c r="AP103" s="43"/>
      <c r="AQ103" s="128"/>
      <c r="AR103" s="128"/>
      <c r="AS103" s="129"/>
      <c r="AT103" s="35"/>
      <c r="AU103" s="39"/>
      <c r="AV103" s="39"/>
      <c r="AW103" s="39"/>
      <c r="AX103" s="39"/>
      <c r="AY103" s="201"/>
      <c r="AZ103" s="65"/>
      <c r="BA103" s="126"/>
      <c r="BB103" s="202"/>
      <c r="BC103" s="65"/>
    </row>
    <row r="104" spans="1:55" ht="12.75" x14ac:dyDescent="0.2">
      <c r="A104" s="150"/>
      <c r="B104" s="52"/>
      <c r="C104" s="62"/>
      <c r="D104" s="124"/>
      <c r="E104" s="95"/>
      <c r="F104" s="95"/>
      <c r="G104" s="95"/>
      <c r="H104" s="95"/>
      <c r="I104" s="63"/>
      <c r="M104" s="207"/>
      <c r="N104" s="207"/>
      <c r="O104" s="124"/>
      <c r="P104" s="95"/>
      <c r="Q104" s="95"/>
      <c r="S104" s="45"/>
      <c r="T104" s="45"/>
      <c r="U104" s="131"/>
      <c r="V104" s="122"/>
      <c r="W104" s="30"/>
      <c r="X104" s="122"/>
      <c r="Y104" s="122"/>
      <c r="Z104" s="152"/>
      <c r="AA104" s="152"/>
      <c r="AB104" s="12"/>
      <c r="AC104" s="122"/>
      <c r="AD104" s="30"/>
      <c r="AE104" s="157"/>
      <c r="AF104" s="157"/>
      <c r="AG104" s="124"/>
      <c r="AH104" s="30"/>
      <c r="AI104" s="122"/>
      <c r="AJ104" s="30"/>
      <c r="AK104" s="157"/>
      <c r="AL104" s="157"/>
      <c r="AM104" s="124"/>
    </row>
    <row r="105" spans="1:55" ht="12.75" x14ac:dyDescent="0.2">
      <c r="A105" s="208" t="s">
        <v>273</v>
      </c>
      <c r="B105" s="33"/>
      <c r="C105" s="67"/>
      <c r="D105" s="124"/>
      <c r="E105" s="95"/>
      <c r="F105" s="95"/>
      <c r="G105" s="95"/>
      <c r="H105" s="95"/>
      <c r="I105" s="95"/>
      <c r="M105" s="207"/>
      <c r="N105" s="207"/>
      <c r="O105" s="124"/>
      <c r="P105" s="95"/>
      <c r="Q105" s="95"/>
      <c r="S105" s="45"/>
      <c r="T105" s="45"/>
      <c r="U105" s="131"/>
      <c r="V105" s="122"/>
      <c r="W105" s="30"/>
      <c r="X105" s="122"/>
      <c r="Y105" s="122"/>
      <c r="Z105" s="152"/>
      <c r="AA105" s="152"/>
      <c r="AB105" s="12"/>
      <c r="AC105" s="122"/>
      <c r="AD105" s="30"/>
      <c r="AE105" s="157"/>
      <c r="AF105" s="157"/>
      <c r="AG105" s="124"/>
      <c r="AH105" s="30"/>
      <c r="AI105" s="122"/>
      <c r="AJ105" s="30"/>
      <c r="AK105" s="157"/>
      <c r="AL105" s="157"/>
      <c r="AM105" s="124"/>
    </row>
    <row r="106" spans="1:55" ht="12.75" x14ac:dyDescent="0.2">
      <c r="B106" s="45" t="s">
        <v>204</v>
      </c>
      <c r="C106" s="109"/>
      <c r="K106" s="45" t="s">
        <v>202</v>
      </c>
      <c r="S106" s="45" t="s">
        <v>203</v>
      </c>
      <c r="U106" s="12"/>
      <c r="V106" s="12"/>
      <c r="W106" s="12"/>
      <c r="X106" s="12"/>
      <c r="Y106" s="12"/>
      <c r="Z106" s="12"/>
      <c r="AA106" s="12"/>
      <c r="AB106" s="12"/>
      <c r="AC106" s="130" t="s">
        <v>205</v>
      </c>
      <c r="AD106" s="46"/>
      <c r="AE106" s="46"/>
      <c r="AF106" s="46"/>
      <c r="AG106" s="46"/>
      <c r="AH106" s="46"/>
      <c r="AI106" s="130" t="s">
        <v>207</v>
      </c>
      <c r="AJ106" s="46"/>
      <c r="AK106" s="46"/>
      <c r="AL106" s="46"/>
      <c r="AM106" s="46"/>
      <c r="AN106" s="45"/>
      <c r="AO106" s="130" t="s">
        <v>208</v>
      </c>
      <c r="AP106" s="12"/>
      <c r="AQ106" s="12"/>
      <c r="AR106" s="12"/>
      <c r="AS106" s="12"/>
      <c r="AU106" s="130" t="s">
        <v>206</v>
      </c>
    </row>
    <row r="107" spans="1:55" ht="12.75" x14ac:dyDescent="0.2">
      <c r="B107" s="57" t="s">
        <v>209</v>
      </c>
      <c r="C107" s="28" t="s">
        <v>190</v>
      </c>
      <c r="D107" s="57" t="s">
        <v>191</v>
      </c>
      <c r="E107" s="28" t="s">
        <v>192</v>
      </c>
      <c r="F107" s="28" t="s">
        <v>193</v>
      </c>
      <c r="G107" s="28" t="s">
        <v>293</v>
      </c>
      <c r="H107" s="57" t="s">
        <v>292</v>
      </c>
      <c r="I107" s="57" t="s">
        <v>241</v>
      </c>
      <c r="J107" s="101"/>
      <c r="K107" s="28" t="s">
        <v>76</v>
      </c>
      <c r="L107" s="28" t="s">
        <v>4</v>
      </c>
      <c r="M107" s="57" t="s">
        <v>0</v>
      </c>
      <c r="N107" s="57" t="s">
        <v>1</v>
      </c>
      <c r="O107" s="28" t="s">
        <v>191</v>
      </c>
      <c r="P107" s="28" t="s">
        <v>192</v>
      </c>
      <c r="Q107" s="28" t="s">
        <v>193</v>
      </c>
      <c r="S107" s="28"/>
      <c r="T107" s="28" t="s">
        <v>76</v>
      </c>
      <c r="U107" s="28" t="s">
        <v>4</v>
      </c>
      <c r="V107" s="57" t="s">
        <v>0</v>
      </c>
      <c r="W107" s="28" t="s">
        <v>62</v>
      </c>
      <c r="X107" s="57" t="s">
        <v>220</v>
      </c>
      <c r="Y107" s="57" t="s">
        <v>190</v>
      </c>
      <c r="Z107" s="57" t="s">
        <v>194</v>
      </c>
      <c r="AA107" s="28" t="s">
        <v>195</v>
      </c>
      <c r="AB107" s="12"/>
      <c r="AC107" s="28" t="s">
        <v>0</v>
      </c>
      <c r="AD107" s="28" t="s">
        <v>196</v>
      </c>
      <c r="AE107" s="57" t="s">
        <v>1</v>
      </c>
      <c r="AF107" s="57" t="s">
        <v>197</v>
      </c>
      <c r="AG107" s="57" t="s">
        <v>198</v>
      </c>
      <c r="AH107" s="60"/>
      <c r="AI107" s="28" t="s">
        <v>0</v>
      </c>
      <c r="AJ107" s="28" t="s">
        <v>196</v>
      </c>
      <c r="AK107" s="57" t="s">
        <v>1</v>
      </c>
      <c r="AL107" s="57" t="s">
        <v>197</v>
      </c>
      <c r="AM107" s="57" t="s">
        <v>198</v>
      </c>
      <c r="AO107" s="28" t="s">
        <v>0</v>
      </c>
      <c r="AP107" s="28" t="s">
        <v>196</v>
      </c>
      <c r="AQ107" s="57" t="s">
        <v>1</v>
      </c>
      <c r="AR107" s="57" t="s">
        <v>197</v>
      </c>
      <c r="AS107" s="57" t="s">
        <v>198</v>
      </c>
      <c r="AU107" s="57" t="s">
        <v>199</v>
      </c>
      <c r="AV107" s="28" t="s">
        <v>191</v>
      </c>
      <c r="AW107" s="28" t="s">
        <v>192</v>
      </c>
      <c r="AX107" s="28" t="s">
        <v>193</v>
      </c>
      <c r="AY107" s="249"/>
      <c r="AZ107" s="249"/>
      <c r="BA107" s="249"/>
      <c r="BB107" s="249"/>
      <c r="BC107" s="249"/>
    </row>
    <row r="108" spans="1:55" s="250" customFormat="1" ht="12.75" x14ac:dyDescent="0.2">
      <c r="A108" s="250" t="s">
        <v>286</v>
      </c>
      <c r="B108" s="251"/>
      <c r="C108" s="251"/>
      <c r="D108" s="251"/>
      <c r="E108" s="251"/>
      <c r="F108" s="251"/>
      <c r="G108" s="251"/>
      <c r="H108" s="251"/>
      <c r="I108" s="251"/>
      <c r="J108" s="251"/>
      <c r="K108" s="251"/>
      <c r="L108" s="251"/>
      <c r="M108" s="251"/>
      <c r="N108" s="251"/>
      <c r="O108" s="251"/>
      <c r="P108" s="251"/>
      <c r="Q108" s="251"/>
      <c r="S108" s="251"/>
      <c r="T108" s="251"/>
      <c r="U108" s="251"/>
      <c r="V108" s="251"/>
      <c r="W108" s="251"/>
      <c r="X108" s="251"/>
      <c r="Y108" s="251"/>
      <c r="Z108" s="251"/>
      <c r="AA108" s="251"/>
      <c r="AB108" s="251"/>
      <c r="AC108" s="251"/>
      <c r="AD108" s="251"/>
      <c r="AE108" s="251"/>
      <c r="AF108" s="251"/>
      <c r="AG108" s="251"/>
      <c r="AH108" s="251"/>
      <c r="AI108" s="251"/>
      <c r="AJ108" s="251"/>
      <c r="AK108" s="251"/>
      <c r="AL108" s="251"/>
      <c r="AM108" s="251"/>
      <c r="AO108" s="251"/>
      <c r="AP108" s="251"/>
      <c r="AQ108" s="251"/>
      <c r="AR108" s="251"/>
      <c r="AS108" s="251"/>
      <c r="AU108" s="251"/>
      <c r="AV108" s="251"/>
      <c r="AW108" s="251"/>
      <c r="AX108" s="251"/>
      <c r="AY108" s="251"/>
      <c r="AZ108" s="251"/>
      <c r="BA108" s="251"/>
      <c r="BB108" s="251"/>
      <c r="BC108" s="251"/>
    </row>
    <row r="109" spans="1:55" ht="12.75" x14ac:dyDescent="0.2">
      <c r="A109" s="110" t="s">
        <v>285</v>
      </c>
      <c r="B109" s="52"/>
      <c r="C109" s="54"/>
      <c r="D109" s="124"/>
      <c r="E109" s="95"/>
      <c r="F109" s="95"/>
      <c r="G109" s="95"/>
      <c r="H109" s="95"/>
      <c r="I109" s="63"/>
      <c r="J109" s="95"/>
      <c r="K109" s="133"/>
      <c r="L109" s="133"/>
      <c r="M109" s="52"/>
      <c r="N109" s="52"/>
      <c r="O109" s="124"/>
      <c r="P109" s="95"/>
      <c r="Q109" s="95"/>
      <c r="S109" s="45"/>
      <c r="T109" s="45"/>
      <c r="U109" s="131"/>
      <c r="V109" s="122"/>
      <c r="W109" s="30"/>
      <c r="X109" s="122"/>
      <c r="Y109" s="122"/>
      <c r="Z109" s="152"/>
      <c r="AA109" s="152"/>
      <c r="AB109" s="12"/>
      <c r="AC109" s="122"/>
      <c r="AD109" s="30"/>
      <c r="AE109" s="123"/>
      <c r="AF109" s="123"/>
      <c r="AG109" s="124"/>
      <c r="AH109" s="30"/>
      <c r="AI109" s="122"/>
      <c r="AJ109" s="30"/>
      <c r="AK109" s="123"/>
      <c r="AL109" s="123"/>
      <c r="AM109" s="124"/>
      <c r="AO109" s="122"/>
      <c r="AP109" s="30"/>
      <c r="AQ109" s="123"/>
      <c r="AR109" s="123"/>
      <c r="AS109" s="124"/>
      <c r="AU109" s="32"/>
      <c r="AV109" s="32"/>
      <c r="AW109" s="32"/>
      <c r="AX109" s="32"/>
      <c r="AY109" s="239"/>
      <c r="AZ109" s="233"/>
      <c r="BA109" s="235"/>
      <c r="BB109" s="206"/>
      <c r="BC109" s="233"/>
    </row>
    <row r="110" spans="1:55" ht="12.75" x14ac:dyDescent="0.2">
      <c r="A110" s="110" t="s">
        <v>287</v>
      </c>
      <c r="B110" s="52"/>
      <c r="C110" s="54"/>
      <c r="D110" s="124"/>
      <c r="E110" s="95"/>
      <c r="F110" s="95"/>
      <c r="G110" s="95"/>
      <c r="H110" s="95"/>
      <c r="I110" s="63"/>
      <c r="J110" s="95"/>
      <c r="K110" s="133"/>
      <c r="L110" s="133"/>
      <c r="M110" s="52"/>
      <c r="N110" s="52"/>
      <c r="O110" s="124"/>
      <c r="P110" s="95"/>
      <c r="Q110" s="95"/>
      <c r="S110" s="45"/>
      <c r="T110" s="45"/>
      <c r="U110" s="131"/>
      <c r="V110" s="122"/>
      <c r="W110" s="30"/>
      <c r="X110" s="122"/>
      <c r="Y110" s="122"/>
      <c r="Z110" s="152"/>
      <c r="AA110" s="152"/>
      <c r="AB110" s="12"/>
      <c r="AC110" s="122"/>
      <c r="AD110" s="30"/>
      <c r="AE110" s="123"/>
      <c r="AF110" s="123"/>
      <c r="AG110" s="124"/>
      <c r="AH110" s="30"/>
      <c r="AI110" s="122"/>
      <c r="AJ110" s="30"/>
      <c r="AK110" s="123"/>
      <c r="AL110" s="123"/>
      <c r="AM110" s="124"/>
      <c r="AO110" s="122"/>
      <c r="AP110" s="30"/>
      <c r="AQ110" s="123"/>
      <c r="AR110" s="123"/>
      <c r="AS110" s="124"/>
      <c r="AU110" s="32"/>
      <c r="AV110" s="32"/>
      <c r="AW110" s="32"/>
      <c r="AX110" s="32"/>
      <c r="AY110" s="239"/>
      <c r="AZ110" s="233"/>
      <c r="BA110" s="235"/>
      <c r="BB110" s="206"/>
      <c r="BC110" s="233"/>
    </row>
    <row r="111" spans="1:55" ht="12.75" x14ac:dyDescent="0.2">
      <c r="A111" s="110" t="s">
        <v>286</v>
      </c>
      <c r="B111" s="52"/>
      <c r="C111" s="54"/>
      <c r="D111" s="124"/>
      <c r="E111" s="95"/>
      <c r="F111" s="95"/>
      <c r="G111" s="95"/>
      <c r="H111" s="95"/>
      <c r="I111" s="63"/>
      <c r="J111" s="95"/>
      <c r="K111" s="133"/>
      <c r="L111" s="133"/>
      <c r="M111" s="52"/>
      <c r="N111" s="52"/>
      <c r="O111" s="124"/>
      <c r="P111" s="95"/>
      <c r="Q111" s="95"/>
      <c r="S111" s="45"/>
      <c r="T111" s="45"/>
      <c r="U111" s="131"/>
      <c r="V111" s="122"/>
      <c r="W111" s="30"/>
      <c r="X111" s="122"/>
      <c r="Y111" s="122"/>
      <c r="Z111" s="152"/>
      <c r="AA111" s="152"/>
      <c r="AB111" s="12"/>
      <c r="AC111" s="122"/>
      <c r="AD111" s="30"/>
      <c r="AE111" s="123"/>
      <c r="AF111" s="123"/>
      <c r="AG111" s="124"/>
      <c r="AH111" s="30"/>
      <c r="AI111" s="122"/>
      <c r="AJ111" s="30"/>
      <c r="AK111" s="123"/>
      <c r="AL111" s="123"/>
      <c r="AM111" s="124"/>
      <c r="AO111" s="122"/>
      <c r="AP111" s="30"/>
      <c r="AQ111" s="123"/>
      <c r="AR111" s="123"/>
      <c r="AS111" s="124"/>
      <c r="AU111" s="32"/>
      <c r="AV111" s="32"/>
      <c r="AW111" s="32"/>
      <c r="AX111" s="32"/>
      <c r="AY111" s="239"/>
      <c r="AZ111" s="233"/>
      <c r="BA111" s="235"/>
      <c r="BB111" s="206"/>
      <c r="BC111" s="233"/>
    </row>
    <row r="112" spans="1:55" ht="12.75" x14ac:dyDescent="0.2">
      <c r="A112" s="110" t="s">
        <v>278</v>
      </c>
      <c r="B112" s="52">
        <v>100</v>
      </c>
      <c r="C112" s="54">
        <v>0.02</v>
      </c>
      <c r="D112" s="124">
        <v>0.04</v>
      </c>
      <c r="E112" s="95">
        <v>0.08</v>
      </c>
      <c r="F112" s="95">
        <v>0.16</v>
      </c>
      <c r="G112" s="95"/>
      <c r="H112" s="95">
        <v>0.01</v>
      </c>
      <c r="I112" s="63">
        <v>1200</v>
      </c>
      <c r="J112" s="95"/>
      <c r="K112" s="133" t="s">
        <v>75</v>
      </c>
      <c r="L112" s="133" t="s">
        <v>78</v>
      </c>
      <c r="M112" s="52">
        <v>100</v>
      </c>
      <c r="N112" s="52">
        <v>200</v>
      </c>
      <c r="O112" s="124">
        <v>0.5</v>
      </c>
      <c r="P112" s="95">
        <v>0.3</v>
      </c>
      <c r="Q112" s="95">
        <v>0.2</v>
      </c>
      <c r="S112" s="45" t="s">
        <v>215</v>
      </c>
      <c r="T112" s="45" t="s">
        <v>75</v>
      </c>
      <c r="U112" s="131" t="s">
        <v>78</v>
      </c>
      <c r="V112" s="122">
        <f>M112</f>
        <v>100</v>
      </c>
      <c r="W112" s="30">
        <f>X112/V112</f>
        <v>2</v>
      </c>
      <c r="X112" s="122">
        <f>N112</f>
        <v>200</v>
      </c>
      <c r="Y112" s="122">
        <f>V112 * (1 - ABS(C112))</f>
        <v>98</v>
      </c>
      <c r="Z112" s="152" t="s">
        <v>34</v>
      </c>
      <c r="AA112" s="152" t="s">
        <v>34</v>
      </c>
      <c r="AB112" s="12"/>
      <c r="AC112" s="122">
        <f>V112</f>
        <v>100</v>
      </c>
      <c r="AD112" s="30">
        <f>W112*O112</f>
        <v>1</v>
      </c>
      <c r="AE112" s="123">
        <f>X112*O112</f>
        <v>100</v>
      </c>
      <c r="AF112" s="123">
        <f>AC112 * (1 + D112) / (1 - H112)</f>
        <v>105.05050505050505</v>
      </c>
      <c r="AG112" s="124">
        <f>(B112 - AF112) / AF112</f>
        <v>-4.8076923076923087E-2</v>
      </c>
      <c r="AH112" s="30"/>
      <c r="AI112" s="122">
        <f>V112</f>
        <v>100</v>
      </c>
      <c r="AJ112" s="30">
        <f>W112*P112</f>
        <v>0.6</v>
      </c>
      <c r="AK112" s="123">
        <f>X112*P112</f>
        <v>60</v>
      </c>
      <c r="AL112" s="123">
        <f>AI112 * (1 + E112) / (1 - H112)</f>
        <v>109.09090909090909</v>
      </c>
      <c r="AM112" s="124">
        <f>(B112 - AL112) / AL112</f>
        <v>-8.3333333333333356E-2</v>
      </c>
      <c r="AO112" s="122">
        <f>V112</f>
        <v>100</v>
      </c>
      <c r="AP112" s="30">
        <f>W112*Q112</f>
        <v>0.4</v>
      </c>
      <c r="AQ112" s="123">
        <f>X112*Q112</f>
        <v>40</v>
      </c>
      <c r="AR112" s="123">
        <f>AO112 * (1 + F112) / (1 - H112)</f>
        <v>117.17171717171716</v>
      </c>
      <c r="AS112" s="124">
        <f>(B112 - AR112) / AR112</f>
        <v>-0.14655172413793097</v>
      </c>
      <c r="AU112" s="32">
        <f>AX112+AW112+AV112</f>
        <v>2</v>
      </c>
      <c r="AV112" s="32">
        <f>AD112</f>
        <v>1</v>
      </c>
      <c r="AW112" s="32">
        <f>AJ112</f>
        <v>0.6</v>
      </c>
      <c r="AX112" s="32">
        <f>AP112</f>
        <v>0.4</v>
      </c>
      <c r="AY112" s="239"/>
      <c r="AZ112" s="233"/>
      <c r="BA112" s="235"/>
      <c r="BB112" s="206"/>
      <c r="BC112" s="233"/>
    </row>
    <row r="113" spans="1:55" ht="12.75" x14ac:dyDescent="0.2">
      <c r="A113" s="177" t="s">
        <v>277</v>
      </c>
      <c r="B113" s="40">
        <v>110</v>
      </c>
      <c r="C113" s="55">
        <v>0.02</v>
      </c>
      <c r="D113" s="129">
        <v>0.04</v>
      </c>
      <c r="E113" s="125">
        <v>0.08</v>
      </c>
      <c r="F113" s="125">
        <v>0.16</v>
      </c>
      <c r="G113" s="125"/>
      <c r="H113" s="125">
        <v>0.01</v>
      </c>
      <c r="I113" s="65">
        <v>1200</v>
      </c>
      <c r="J113" s="125"/>
      <c r="K113" s="134" t="s">
        <v>75</v>
      </c>
      <c r="L113" s="134" t="s">
        <v>211</v>
      </c>
      <c r="M113" s="40">
        <v>110</v>
      </c>
      <c r="N113" s="40">
        <v>300</v>
      </c>
      <c r="O113" s="129">
        <v>0.5</v>
      </c>
      <c r="P113" s="125">
        <v>0.3</v>
      </c>
      <c r="Q113" s="125">
        <v>0.2</v>
      </c>
      <c r="R113" s="35"/>
      <c r="S113" s="47" t="s">
        <v>216</v>
      </c>
      <c r="T113" s="47" t="s">
        <v>75</v>
      </c>
      <c r="U113" s="134" t="s">
        <v>211</v>
      </c>
      <c r="V113" s="126">
        <f>M113</f>
        <v>110</v>
      </c>
      <c r="W113" s="43">
        <f>X113/V113</f>
        <v>2.7272727272727271</v>
      </c>
      <c r="X113" s="126">
        <f>N113</f>
        <v>300</v>
      </c>
      <c r="Y113" s="126">
        <f>V113 * (1 - ABS(C113))</f>
        <v>107.8</v>
      </c>
      <c r="Z113" s="153" t="s">
        <v>34</v>
      </c>
      <c r="AA113" s="153" t="s">
        <v>34</v>
      </c>
      <c r="AB113" s="41"/>
      <c r="AC113" s="126">
        <f>V113</f>
        <v>110</v>
      </c>
      <c r="AD113" s="43">
        <f>W113*O113</f>
        <v>1.3636363636363635</v>
      </c>
      <c r="AE113" s="128">
        <f>X113*O113</f>
        <v>150</v>
      </c>
      <c r="AF113" s="128">
        <f>AC113 * (1 + D113) / (1 - H113)</f>
        <v>115.55555555555556</v>
      </c>
      <c r="AG113" s="129">
        <f>(B113 - AF113) / AF113</f>
        <v>-4.8076923076923087E-2</v>
      </c>
      <c r="AH113" s="43"/>
      <c r="AI113" s="126">
        <f>V113</f>
        <v>110</v>
      </c>
      <c r="AJ113" s="43">
        <f>W113*P113</f>
        <v>0.81818181818181812</v>
      </c>
      <c r="AK113" s="128">
        <f>X113*P113</f>
        <v>90</v>
      </c>
      <c r="AL113" s="128">
        <f>AI113 * (1 + E113) / (1 - H113)</f>
        <v>120.00000000000001</v>
      </c>
      <c r="AM113" s="129">
        <f>(B113 - AL113) / AL113</f>
        <v>-8.333333333333344E-2</v>
      </c>
      <c r="AN113" s="35"/>
      <c r="AO113" s="126">
        <f>V113</f>
        <v>110</v>
      </c>
      <c r="AP113" s="43">
        <f>W113*Q113</f>
        <v>0.54545454545454541</v>
      </c>
      <c r="AQ113" s="128">
        <f>X113*Q113</f>
        <v>60</v>
      </c>
      <c r="AR113" s="128">
        <f>AO113 * (1 + F113) / (1 - H113)</f>
        <v>128.88888888888889</v>
      </c>
      <c r="AS113" s="129">
        <f>(B113 - AR113) / AR113</f>
        <v>-0.14655172413793102</v>
      </c>
      <c r="AT113" s="35"/>
      <c r="AU113" s="39">
        <f>AX113+AW113+AV113</f>
        <v>4.7272727272727266</v>
      </c>
      <c r="AV113" s="39">
        <f>AD113+AD114</f>
        <v>2.3636363636363633</v>
      </c>
      <c r="AW113" s="39">
        <f>AJ113+AJ114</f>
        <v>1.418181818181818</v>
      </c>
      <c r="AX113" s="39">
        <f>AP113+AP114</f>
        <v>0.94545454545454544</v>
      </c>
      <c r="AY113" s="196"/>
      <c r="AZ113" s="63"/>
      <c r="BA113" s="122"/>
      <c r="BB113" s="197"/>
      <c r="BC113" s="63"/>
    </row>
    <row r="114" spans="1:55" ht="12.75" x14ac:dyDescent="0.2">
      <c r="A114" s="35"/>
      <c r="B114" s="40"/>
      <c r="C114" s="55"/>
      <c r="D114" s="129"/>
      <c r="E114" s="125"/>
      <c r="F114" s="125"/>
      <c r="G114" s="125"/>
      <c r="H114" s="125"/>
      <c r="I114" s="65"/>
      <c r="J114" s="125"/>
      <c r="K114" s="134"/>
      <c r="L114" s="134"/>
      <c r="M114" s="40"/>
      <c r="N114" s="40"/>
      <c r="O114" s="129"/>
      <c r="P114" s="125"/>
      <c r="Q114" s="125"/>
      <c r="R114" s="35"/>
      <c r="S114" s="47"/>
      <c r="T114" s="47"/>
      <c r="U114" s="203"/>
      <c r="V114" s="126"/>
      <c r="W114" s="43"/>
      <c r="X114" s="126"/>
      <c r="Y114" s="126"/>
      <c r="Z114" s="153"/>
      <c r="AA114" s="153"/>
      <c r="AB114" s="41"/>
      <c r="AC114" s="126">
        <f>AC112</f>
        <v>100</v>
      </c>
      <c r="AD114" s="43">
        <f>AD112</f>
        <v>1</v>
      </c>
      <c r="AE114" s="128">
        <f>AE112</f>
        <v>100</v>
      </c>
      <c r="AF114" s="128">
        <f>AC114 * (1 + D113) / (1 - H113)</f>
        <v>105.05050505050505</v>
      </c>
      <c r="AG114" s="129">
        <f>(B113 - AF114) / AF114</f>
        <v>4.7115384615384601E-2</v>
      </c>
      <c r="AH114" s="43"/>
      <c r="AI114" s="126">
        <f>AI112</f>
        <v>100</v>
      </c>
      <c r="AJ114" s="43">
        <f>AJ112</f>
        <v>0.6</v>
      </c>
      <c r="AK114" s="128">
        <f>AK112</f>
        <v>60</v>
      </c>
      <c r="AL114" s="128">
        <f>AI114 * (1 + E113) / (1 - H113)</f>
        <v>109.09090909090909</v>
      </c>
      <c r="AM114" s="129">
        <f>(B113 - AL114) / AL114</f>
        <v>8.3333333333333089E-3</v>
      </c>
      <c r="AN114" s="35"/>
      <c r="AO114" s="126">
        <f>AO112</f>
        <v>100</v>
      </c>
      <c r="AP114" s="43">
        <f>AP112</f>
        <v>0.4</v>
      </c>
      <c r="AQ114" s="128">
        <f>AQ112</f>
        <v>40</v>
      </c>
      <c r="AR114" s="128">
        <f>AO114 * (1 + F113) / (1 - H113)</f>
        <v>117.17171717171716</v>
      </c>
      <c r="AS114" s="129">
        <f>(B113 - AR114) / AR114</f>
        <v>-6.1206896551724066E-2</v>
      </c>
      <c r="AT114" s="35"/>
      <c r="AU114" s="39"/>
      <c r="AV114" s="39"/>
      <c r="AW114" s="39"/>
      <c r="AX114" s="39"/>
      <c r="AY114" s="196"/>
      <c r="AZ114" s="63"/>
      <c r="BA114" s="122"/>
      <c r="BB114" s="197"/>
      <c r="BC114" s="63"/>
    </row>
    <row r="115" spans="1:55" s="237" customFormat="1" ht="12.75" x14ac:dyDescent="0.2">
      <c r="A115" s="250" t="s">
        <v>234</v>
      </c>
      <c r="B115" s="230">
        <v>90</v>
      </c>
      <c r="C115" s="62">
        <v>0.02</v>
      </c>
      <c r="D115" s="231">
        <v>0.04</v>
      </c>
      <c r="E115" s="232">
        <v>0.08</v>
      </c>
      <c r="F115" s="232">
        <v>0.16</v>
      </c>
      <c r="G115" s="232"/>
      <c r="H115" s="232">
        <v>0.01</v>
      </c>
      <c r="I115" s="233">
        <v>1200</v>
      </c>
      <c r="J115" s="232"/>
      <c r="K115" s="234"/>
      <c r="L115" s="234"/>
      <c r="M115" s="230"/>
      <c r="N115" s="230"/>
      <c r="O115" s="231"/>
      <c r="P115" s="232"/>
      <c r="Q115" s="232"/>
      <c r="S115" s="252"/>
      <c r="T115" s="252"/>
      <c r="U115" s="234"/>
      <c r="V115" s="235"/>
      <c r="W115" s="236"/>
      <c r="X115" s="235"/>
      <c r="Y115" s="235"/>
      <c r="Z115" s="241"/>
      <c r="AA115" s="241"/>
      <c r="AB115" s="247"/>
      <c r="AC115" s="235">
        <f>AC113</f>
        <v>110</v>
      </c>
      <c r="AD115" s="236">
        <f>AD113</f>
        <v>1.3636363636363635</v>
      </c>
      <c r="AE115" s="157">
        <f>AE113</f>
        <v>150</v>
      </c>
      <c r="AF115" s="157">
        <f>AC115 * (1 + D115) / (1 - H115)</f>
        <v>115.55555555555556</v>
      </c>
      <c r="AG115" s="231">
        <f>(B115 - AF115) / AF115</f>
        <v>-0.22115384615384617</v>
      </c>
      <c r="AH115" s="236"/>
      <c r="AI115" s="235">
        <f>AI113</f>
        <v>110</v>
      </c>
      <c r="AJ115" s="236">
        <f>AJ113</f>
        <v>0.81818181818181812</v>
      </c>
      <c r="AK115" s="157">
        <f>AK113</f>
        <v>90</v>
      </c>
      <c r="AL115" s="157">
        <f>AI115 * (1 + E115) / (1 - H115)</f>
        <v>120.00000000000001</v>
      </c>
      <c r="AM115" s="231">
        <f>(B115 - AL115) / AL115</f>
        <v>-0.25000000000000011</v>
      </c>
      <c r="AO115" s="235">
        <f>AO113</f>
        <v>110</v>
      </c>
      <c r="AP115" s="236">
        <f>AP113</f>
        <v>0.54545454545454541</v>
      </c>
      <c r="AQ115" s="157">
        <f>AQ113</f>
        <v>60</v>
      </c>
      <c r="AR115" s="157">
        <f>AO115 * (1 + F115) / (1 - H115)</f>
        <v>128.88888888888889</v>
      </c>
      <c r="AS115" s="231">
        <f>(B115 - AR115) / AR115</f>
        <v>-0.30172413793103448</v>
      </c>
      <c r="AU115" s="238">
        <f>AX115+AW115+AV115</f>
        <v>4.7272727272727266</v>
      </c>
      <c r="AV115" s="238">
        <f>AD115+AD116</f>
        <v>2.3636363636363633</v>
      </c>
      <c r="AW115" s="238">
        <f>AJ115+AJ116</f>
        <v>1.418181818181818</v>
      </c>
      <c r="AX115" s="238">
        <f>AP115+AP116</f>
        <v>0.94545454545454544</v>
      </c>
      <c r="AY115" s="239"/>
      <c r="AZ115" s="233"/>
      <c r="BA115" s="235"/>
      <c r="BB115" s="206"/>
      <c r="BC115" s="233"/>
    </row>
    <row r="116" spans="1:55" s="237" customFormat="1" ht="12.75" x14ac:dyDescent="0.2">
      <c r="B116" s="230"/>
      <c r="C116" s="62"/>
      <c r="D116" s="231"/>
      <c r="E116" s="232"/>
      <c r="F116" s="232"/>
      <c r="G116" s="232"/>
      <c r="H116" s="232"/>
      <c r="I116" s="233"/>
      <c r="J116" s="232"/>
      <c r="K116" s="234"/>
      <c r="L116" s="234"/>
      <c r="M116" s="230"/>
      <c r="N116" s="230"/>
      <c r="O116" s="231"/>
      <c r="P116" s="232"/>
      <c r="Q116" s="232"/>
      <c r="S116" s="252"/>
      <c r="T116" s="252"/>
      <c r="U116" s="253"/>
      <c r="V116" s="235"/>
      <c r="W116" s="236"/>
      <c r="X116" s="235"/>
      <c r="Y116" s="235"/>
      <c r="Z116" s="241"/>
      <c r="AA116" s="241"/>
      <c r="AB116" s="247"/>
      <c r="AC116" s="235">
        <f>AC114</f>
        <v>100</v>
      </c>
      <c r="AD116" s="236">
        <f>AD114</f>
        <v>1</v>
      </c>
      <c r="AE116" s="157">
        <f>AE114</f>
        <v>100</v>
      </c>
      <c r="AF116" s="157">
        <f>AC116 * (1 + D115) / (1 - H115)</f>
        <v>105.05050505050505</v>
      </c>
      <c r="AG116" s="231">
        <f>(B115 - AF116) / AF116</f>
        <v>-0.14326923076923079</v>
      </c>
      <c r="AH116" s="236"/>
      <c r="AI116" s="235">
        <f>AI114</f>
        <v>100</v>
      </c>
      <c r="AJ116" s="236">
        <f>AJ114</f>
        <v>0.6</v>
      </c>
      <c r="AK116" s="157">
        <f>AK114</f>
        <v>60</v>
      </c>
      <c r="AL116" s="157">
        <f>AI116 * (1 + E115) / (1 - H115)</f>
        <v>109.09090909090909</v>
      </c>
      <c r="AM116" s="231">
        <f>(B115 - AL116) / AL116</f>
        <v>-0.17500000000000002</v>
      </c>
      <c r="AO116" s="235">
        <f>AO114</f>
        <v>100</v>
      </c>
      <c r="AP116" s="236">
        <f>AP114</f>
        <v>0.4</v>
      </c>
      <c r="AQ116" s="157">
        <f>AQ114</f>
        <v>40</v>
      </c>
      <c r="AR116" s="157">
        <f>AO116 * (1 + F115) / (1 - H115)</f>
        <v>117.17171717171716</v>
      </c>
      <c r="AS116" s="231">
        <f>(B115 - AR116) / AR116</f>
        <v>-0.23189655172413787</v>
      </c>
      <c r="AU116" s="238"/>
      <c r="AV116" s="238"/>
      <c r="AW116" s="238"/>
      <c r="AX116" s="238"/>
      <c r="AY116" s="239"/>
      <c r="AZ116" s="233"/>
      <c r="BA116" s="235"/>
      <c r="BB116" s="206"/>
      <c r="BC116" s="233"/>
    </row>
    <row r="117" spans="1:55" s="237" customFormat="1" ht="12.75" x14ac:dyDescent="0.2">
      <c r="A117" s="47" t="s">
        <v>288</v>
      </c>
      <c r="B117" s="40">
        <v>90</v>
      </c>
      <c r="C117" s="55">
        <v>0.04</v>
      </c>
      <c r="D117" s="129">
        <v>0.04</v>
      </c>
      <c r="E117" s="125">
        <v>0.08</v>
      </c>
      <c r="F117" s="125">
        <v>0.16</v>
      </c>
      <c r="G117" s="125"/>
      <c r="H117" s="125">
        <v>0.01</v>
      </c>
      <c r="I117" s="65">
        <v>1200</v>
      </c>
      <c r="J117" s="125"/>
      <c r="K117" s="134"/>
      <c r="L117" s="134"/>
      <c r="M117" s="40"/>
      <c r="N117" s="40"/>
      <c r="O117" s="129"/>
      <c r="P117" s="125"/>
      <c r="Q117" s="125"/>
      <c r="R117" s="35"/>
      <c r="S117" s="47" t="s">
        <v>215</v>
      </c>
      <c r="T117" s="47" t="s">
        <v>75</v>
      </c>
      <c r="U117" s="203" t="s">
        <v>78</v>
      </c>
      <c r="V117" s="126">
        <f>V112</f>
        <v>100</v>
      </c>
      <c r="W117" s="43">
        <f>W112</f>
        <v>2</v>
      </c>
      <c r="X117" s="126">
        <f>X112</f>
        <v>200</v>
      </c>
      <c r="Y117" s="126">
        <f>V117 * (1 - ABS(C117))</f>
        <v>96</v>
      </c>
      <c r="Z117" s="153" t="s">
        <v>34</v>
      </c>
      <c r="AA117" s="153" t="s">
        <v>34</v>
      </c>
      <c r="AB117" s="41"/>
      <c r="AC117" s="126">
        <f>AC115</f>
        <v>110</v>
      </c>
      <c r="AD117" s="43">
        <f>AD115</f>
        <v>1.3636363636363635</v>
      </c>
      <c r="AE117" s="128">
        <f>AE115</f>
        <v>150</v>
      </c>
      <c r="AF117" s="128">
        <f>AC117 * (1 + D117) / (1 - H117)</f>
        <v>115.55555555555556</v>
      </c>
      <c r="AG117" s="129">
        <f>(B117 - AF117) / AF117</f>
        <v>-0.22115384615384617</v>
      </c>
      <c r="AH117" s="43"/>
      <c r="AI117" s="126">
        <f>AI115</f>
        <v>110</v>
      </c>
      <c r="AJ117" s="43">
        <f>AJ115</f>
        <v>0.81818181818181812</v>
      </c>
      <c r="AK117" s="128">
        <f>AK115</f>
        <v>90</v>
      </c>
      <c r="AL117" s="128">
        <f>AI117 * (1 + E117) / (1 - H117)</f>
        <v>120.00000000000001</v>
      </c>
      <c r="AM117" s="129">
        <f>(B117 - AL117) / AL117</f>
        <v>-0.25000000000000011</v>
      </c>
      <c r="AN117" s="35"/>
      <c r="AO117" s="126">
        <f>AO115</f>
        <v>110</v>
      </c>
      <c r="AP117" s="43">
        <f>AP115</f>
        <v>0.54545454545454541</v>
      </c>
      <c r="AQ117" s="128">
        <f>AQ115</f>
        <v>60</v>
      </c>
      <c r="AR117" s="128">
        <f>AO117 * (1 + F117) / (1 - H117)</f>
        <v>128.88888888888889</v>
      </c>
      <c r="AS117" s="129">
        <f>(B117 - AR117) / AR117</f>
        <v>-0.30172413793103448</v>
      </c>
      <c r="AT117" s="35"/>
      <c r="AU117" s="39">
        <f>AX117+AW117+AV117</f>
        <v>4.7272727272727266</v>
      </c>
      <c r="AV117" s="39">
        <f>AD117+AD118</f>
        <v>2.3636363636363633</v>
      </c>
      <c r="AW117" s="39">
        <f>AJ117+AJ118</f>
        <v>1.418181818181818</v>
      </c>
      <c r="AX117" s="39">
        <f>AP117+AP118</f>
        <v>0.94545454545454544</v>
      </c>
      <c r="AY117" s="239"/>
      <c r="AZ117" s="233"/>
      <c r="BA117" s="235"/>
      <c r="BB117" s="206"/>
      <c r="BC117" s="233"/>
    </row>
    <row r="118" spans="1:55" s="237" customFormat="1" ht="12.75" x14ac:dyDescent="0.2">
      <c r="A118" s="35"/>
      <c r="B118" s="40"/>
      <c r="C118" s="55"/>
      <c r="D118" s="129"/>
      <c r="E118" s="125"/>
      <c r="F118" s="125"/>
      <c r="G118" s="125"/>
      <c r="H118" s="125"/>
      <c r="I118" s="65"/>
      <c r="J118" s="125"/>
      <c r="K118" s="134"/>
      <c r="L118" s="134"/>
      <c r="M118" s="40"/>
      <c r="N118" s="40"/>
      <c r="O118" s="129"/>
      <c r="P118" s="125"/>
      <c r="Q118" s="125"/>
      <c r="R118" s="35"/>
      <c r="S118" s="47" t="s">
        <v>216</v>
      </c>
      <c r="T118" s="47" t="s">
        <v>75</v>
      </c>
      <c r="U118" s="134" t="s">
        <v>211</v>
      </c>
      <c r="V118" s="126">
        <f>V113</f>
        <v>110</v>
      </c>
      <c r="W118" s="43">
        <f>W113</f>
        <v>2.7272727272727271</v>
      </c>
      <c r="X118" s="126">
        <f>X113</f>
        <v>300</v>
      </c>
      <c r="Y118" s="126">
        <f>V118 * (1 - ABS(C117))</f>
        <v>105.6</v>
      </c>
      <c r="Z118" s="153" t="s">
        <v>34</v>
      </c>
      <c r="AA118" s="153" t="s">
        <v>34</v>
      </c>
      <c r="AB118" s="41"/>
      <c r="AC118" s="126">
        <f>AC116</f>
        <v>100</v>
      </c>
      <c r="AD118" s="43">
        <f>AD116</f>
        <v>1</v>
      </c>
      <c r="AE118" s="128">
        <f>AE116</f>
        <v>100</v>
      </c>
      <c r="AF118" s="128">
        <f>AC118 * (1 + D117) / (1 - H117)</f>
        <v>105.05050505050505</v>
      </c>
      <c r="AG118" s="129">
        <f>(B117 - AF118) / AF118</f>
        <v>-0.14326923076923079</v>
      </c>
      <c r="AH118" s="43"/>
      <c r="AI118" s="126">
        <f>AI116</f>
        <v>100</v>
      </c>
      <c r="AJ118" s="43">
        <f>AJ116</f>
        <v>0.6</v>
      </c>
      <c r="AK118" s="128">
        <f>AK116</f>
        <v>60</v>
      </c>
      <c r="AL118" s="128">
        <f>AI118 * (1 + E117) / (1 - H117)</f>
        <v>109.09090909090909</v>
      </c>
      <c r="AM118" s="129">
        <f>(B117 - AL118) / AL118</f>
        <v>-0.17500000000000002</v>
      </c>
      <c r="AN118" s="35"/>
      <c r="AO118" s="126">
        <f>AO116</f>
        <v>100</v>
      </c>
      <c r="AP118" s="43">
        <f>AP116</f>
        <v>0.4</v>
      </c>
      <c r="AQ118" s="128">
        <f>AQ116</f>
        <v>40</v>
      </c>
      <c r="AR118" s="128">
        <f>AO118 * (1 + F117) / (1 - H117)</f>
        <v>117.17171717171716</v>
      </c>
      <c r="AS118" s="129">
        <f>(B117 - AR118) / AR118</f>
        <v>-0.23189655172413787</v>
      </c>
      <c r="AT118" s="35"/>
      <c r="AU118" s="39"/>
      <c r="AV118" s="39"/>
      <c r="AW118" s="39"/>
      <c r="AX118" s="39"/>
      <c r="AY118" s="239"/>
      <c r="AZ118" s="233"/>
      <c r="BA118" s="235"/>
      <c r="BB118" s="206"/>
      <c r="BC118" s="233"/>
    </row>
    <row r="119" spans="1:55" ht="12.75" x14ac:dyDescent="0.2">
      <c r="A119" s="150"/>
      <c r="B119" s="33"/>
      <c r="C119" s="67"/>
      <c r="D119" s="124"/>
      <c r="E119" s="95"/>
      <c r="F119" s="95"/>
      <c r="G119" s="95"/>
      <c r="H119" s="95"/>
      <c r="I119" s="95"/>
      <c r="M119" s="207"/>
      <c r="N119" s="207"/>
      <c r="O119" s="124"/>
      <c r="P119" s="95"/>
      <c r="Q119" s="95"/>
      <c r="S119" s="45"/>
      <c r="T119" s="45"/>
      <c r="U119" s="131"/>
      <c r="V119" s="122"/>
      <c r="W119" s="30"/>
      <c r="X119" s="122"/>
      <c r="Y119" s="122"/>
      <c r="Z119" s="152"/>
      <c r="AA119" s="152"/>
      <c r="AB119" s="12"/>
      <c r="AC119" s="122"/>
      <c r="AD119" s="30"/>
      <c r="AE119" s="157"/>
      <c r="AF119" s="157"/>
      <c r="AG119" s="124"/>
      <c r="AH119" s="30"/>
      <c r="AI119" s="122"/>
      <c r="AJ119" s="30"/>
      <c r="AK119" s="157"/>
      <c r="AL119" s="157"/>
      <c r="AM119" s="124"/>
    </row>
    <row r="120" spans="1:55" ht="38.25" x14ac:dyDescent="0.2">
      <c r="A120" s="150" t="s">
        <v>274</v>
      </c>
      <c r="B120" s="33"/>
      <c r="C120" s="67"/>
      <c r="D120" s="124"/>
      <c r="E120" s="95"/>
      <c r="F120" s="95"/>
      <c r="G120" s="95"/>
      <c r="H120" s="95"/>
      <c r="I120" s="95"/>
      <c r="M120" s="207"/>
      <c r="N120" s="207"/>
      <c r="O120" s="124"/>
      <c r="P120" s="95"/>
      <c r="Q120" s="95"/>
      <c r="S120" s="45"/>
      <c r="T120" s="45"/>
      <c r="U120" s="131"/>
      <c r="V120" s="122"/>
      <c r="W120" s="30"/>
      <c r="X120" s="122"/>
      <c r="Y120" s="122"/>
      <c r="Z120" s="152"/>
      <c r="AA120" s="152"/>
      <c r="AB120" s="12"/>
      <c r="AC120" s="122"/>
      <c r="AD120" s="30"/>
      <c r="AE120" s="157"/>
      <c r="AF120" s="157"/>
      <c r="AG120" s="124"/>
      <c r="AH120" s="30"/>
      <c r="AI120" s="122"/>
      <c r="AJ120" s="30"/>
      <c r="AK120" s="157"/>
      <c r="AL120" s="157"/>
      <c r="AM120" s="124"/>
    </row>
    <row r="121" spans="1:55" ht="25.5" x14ac:dyDescent="0.2">
      <c r="A121" s="208" t="s">
        <v>275</v>
      </c>
      <c r="B121" s="33"/>
      <c r="C121" s="67"/>
      <c r="D121" s="124"/>
      <c r="E121" s="95"/>
      <c r="F121" s="95"/>
      <c r="G121" s="95"/>
      <c r="H121" s="95"/>
      <c r="I121" s="95"/>
      <c r="M121" s="207"/>
      <c r="N121" s="207"/>
      <c r="O121" s="124"/>
      <c r="P121" s="95"/>
      <c r="Q121" s="95"/>
      <c r="S121" s="45"/>
      <c r="T121" s="45"/>
      <c r="U121" s="131"/>
      <c r="V121" s="122"/>
      <c r="W121" s="30"/>
      <c r="X121" s="122"/>
      <c r="Y121" s="122"/>
      <c r="Z121" s="152"/>
      <c r="AA121" s="152"/>
      <c r="AB121" s="12"/>
      <c r="AC121" s="122"/>
      <c r="AD121" s="30"/>
      <c r="AE121" s="157"/>
      <c r="AF121" s="157"/>
      <c r="AG121" s="124"/>
      <c r="AH121" s="30"/>
      <c r="AI121" s="122"/>
      <c r="AJ121" s="30"/>
      <c r="AK121" s="157"/>
      <c r="AL121" s="157"/>
      <c r="AM121" s="124"/>
    </row>
    <row r="122" spans="1:55" ht="12.75" x14ac:dyDescent="0.2">
      <c r="B122" s="45" t="s">
        <v>204</v>
      </c>
      <c r="C122" s="109"/>
      <c r="K122" s="45" t="s">
        <v>202</v>
      </c>
      <c r="S122" s="45" t="s">
        <v>203</v>
      </c>
      <c r="U122" s="12"/>
      <c r="V122" s="12"/>
      <c r="W122" s="12"/>
      <c r="X122" s="12"/>
      <c r="Y122" s="12"/>
      <c r="Z122" s="12"/>
      <c r="AA122" s="12"/>
      <c r="AB122" s="12"/>
      <c r="AC122" s="130" t="s">
        <v>205</v>
      </c>
      <c r="AD122" s="46"/>
      <c r="AE122" s="46"/>
      <c r="AF122" s="46"/>
      <c r="AG122" s="46"/>
      <c r="AH122" s="46"/>
      <c r="AI122" s="130" t="s">
        <v>207</v>
      </c>
      <c r="AJ122" s="46"/>
      <c r="AK122" s="46"/>
      <c r="AL122" s="46"/>
      <c r="AM122" s="46"/>
      <c r="AN122" s="45"/>
      <c r="AO122" s="130" t="s">
        <v>208</v>
      </c>
      <c r="AP122" s="12"/>
      <c r="AQ122" s="12"/>
      <c r="AR122" s="12"/>
      <c r="AS122" s="12"/>
      <c r="AU122" s="130" t="s">
        <v>206</v>
      </c>
    </row>
    <row r="123" spans="1:55" ht="12.75" x14ac:dyDescent="0.2">
      <c r="B123" s="57" t="s">
        <v>209</v>
      </c>
      <c r="C123" s="28" t="s">
        <v>190</v>
      </c>
      <c r="D123" s="57" t="s">
        <v>191</v>
      </c>
      <c r="E123" s="28" t="s">
        <v>192</v>
      </c>
      <c r="F123" s="28" t="s">
        <v>193</v>
      </c>
      <c r="G123" s="28" t="s">
        <v>293</v>
      </c>
      <c r="H123" s="57" t="s">
        <v>292</v>
      </c>
      <c r="I123" s="57" t="s">
        <v>241</v>
      </c>
      <c r="J123" s="101"/>
      <c r="K123" s="28" t="s">
        <v>76</v>
      </c>
      <c r="L123" s="28" t="s">
        <v>4</v>
      </c>
      <c r="M123" s="57" t="s">
        <v>0</v>
      </c>
      <c r="N123" s="57" t="s">
        <v>1</v>
      </c>
      <c r="O123" s="28" t="s">
        <v>191</v>
      </c>
      <c r="P123" s="28" t="s">
        <v>192</v>
      </c>
      <c r="Q123" s="28" t="s">
        <v>193</v>
      </c>
      <c r="S123" s="28"/>
      <c r="T123" s="28" t="s">
        <v>76</v>
      </c>
      <c r="U123" s="28" t="s">
        <v>4</v>
      </c>
      <c r="V123" s="57" t="s">
        <v>0</v>
      </c>
      <c r="W123" s="28" t="s">
        <v>62</v>
      </c>
      <c r="X123" s="57" t="s">
        <v>220</v>
      </c>
      <c r="Y123" s="57" t="s">
        <v>190</v>
      </c>
      <c r="Z123" s="57" t="s">
        <v>194</v>
      </c>
      <c r="AA123" s="28" t="s">
        <v>195</v>
      </c>
      <c r="AB123" s="12"/>
      <c r="AC123" s="28" t="s">
        <v>0</v>
      </c>
      <c r="AD123" s="28" t="s">
        <v>196</v>
      </c>
      <c r="AE123" s="57" t="s">
        <v>1</v>
      </c>
      <c r="AF123" s="57" t="s">
        <v>197</v>
      </c>
      <c r="AG123" s="57" t="s">
        <v>198</v>
      </c>
      <c r="AH123" s="60"/>
      <c r="AI123" s="28" t="s">
        <v>0</v>
      </c>
      <c r="AJ123" s="28" t="s">
        <v>196</v>
      </c>
      <c r="AK123" s="57" t="s">
        <v>1</v>
      </c>
      <c r="AL123" s="57" t="s">
        <v>197</v>
      </c>
      <c r="AM123" s="57" t="s">
        <v>198</v>
      </c>
      <c r="AO123" s="28" t="s">
        <v>0</v>
      </c>
      <c r="AP123" s="28" t="s">
        <v>196</v>
      </c>
      <c r="AQ123" s="57" t="s">
        <v>1</v>
      </c>
      <c r="AR123" s="57" t="s">
        <v>197</v>
      </c>
      <c r="AS123" s="57" t="s">
        <v>198</v>
      </c>
      <c r="AU123" s="57" t="s">
        <v>199</v>
      </c>
      <c r="AV123" s="28" t="s">
        <v>191</v>
      </c>
      <c r="AW123" s="28" t="s">
        <v>192</v>
      </c>
      <c r="AX123" s="28" t="s">
        <v>193</v>
      </c>
      <c r="AY123" s="57" t="s">
        <v>79</v>
      </c>
      <c r="AZ123" s="57" t="s">
        <v>239</v>
      </c>
      <c r="BA123" s="57" t="s">
        <v>238</v>
      </c>
      <c r="BB123" s="57" t="s">
        <v>248</v>
      </c>
      <c r="BC123" s="57" t="s">
        <v>240</v>
      </c>
    </row>
    <row r="124" spans="1:55" ht="12.75" x14ac:dyDescent="0.2">
      <c r="A124" s="110" t="s">
        <v>215</v>
      </c>
      <c r="B124" s="52">
        <v>100</v>
      </c>
      <c r="C124" s="54">
        <v>0.02</v>
      </c>
      <c r="D124" s="124">
        <v>0.04</v>
      </c>
      <c r="E124" s="95">
        <v>0.08</v>
      </c>
      <c r="F124" s="95">
        <v>0.16</v>
      </c>
      <c r="G124" s="95"/>
      <c r="H124" s="95">
        <v>5.0000000000000001E-3</v>
      </c>
      <c r="I124" s="63">
        <v>1200</v>
      </c>
      <c r="J124" s="95"/>
      <c r="K124" s="133" t="s">
        <v>75</v>
      </c>
      <c r="L124" s="133" t="s">
        <v>78</v>
      </c>
      <c r="M124" s="52">
        <v>100</v>
      </c>
      <c r="N124" s="52">
        <v>300</v>
      </c>
      <c r="O124" s="124">
        <v>0.5</v>
      </c>
      <c r="P124" s="95">
        <v>0.3</v>
      </c>
      <c r="Q124" s="95">
        <v>0.2</v>
      </c>
      <c r="S124" s="45" t="s">
        <v>215</v>
      </c>
      <c r="T124" s="45" t="s">
        <v>75</v>
      </c>
      <c r="U124" s="131" t="s">
        <v>78</v>
      </c>
      <c r="V124" s="122">
        <f>M124</f>
        <v>100</v>
      </c>
      <c r="W124" s="30">
        <f>X124/V124</f>
        <v>3</v>
      </c>
      <c r="X124" s="122">
        <f>N124</f>
        <v>300</v>
      </c>
      <c r="Y124" s="122">
        <f>V124 * (1 - ABS(C124))</f>
        <v>98</v>
      </c>
      <c r="Z124" s="152" t="s">
        <v>34</v>
      </c>
      <c r="AA124" s="152" t="s">
        <v>34</v>
      </c>
      <c r="AB124" s="12"/>
      <c r="AC124" s="122">
        <f>V124</f>
        <v>100</v>
      </c>
      <c r="AD124" s="30">
        <f>W124*O124</f>
        <v>1.5</v>
      </c>
      <c r="AE124" s="123">
        <f>X124*O124</f>
        <v>150</v>
      </c>
      <c r="AF124" s="123">
        <f>AC124 * (1 + D124) / (1 - H124)</f>
        <v>104.52261306532664</v>
      </c>
      <c r="AG124" s="231">
        <f>(B124 - AF124) / AF124</f>
        <v>-4.3269230769230817E-2</v>
      </c>
      <c r="AH124" s="30"/>
      <c r="AI124" s="122">
        <f>V124</f>
        <v>100</v>
      </c>
      <c r="AJ124" s="30">
        <f>W124*P124</f>
        <v>0.89999999999999991</v>
      </c>
      <c r="AK124" s="123">
        <f>X124*P124</f>
        <v>90</v>
      </c>
      <c r="AL124" s="123">
        <f>AI124 * (1 + E124) / (1 - H124)</f>
        <v>108.5427135678392</v>
      </c>
      <c r="AM124" s="124">
        <f>(B124 - AL124) / AL124</f>
        <v>-7.8703703703703748E-2</v>
      </c>
      <c r="AO124" s="122">
        <f>V124</f>
        <v>100</v>
      </c>
      <c r="AP124" s="30">
        <f>W124*Q124</f>
        <v>0.60000000000000009</v>
      </c>
      <c r="AQ124" s="123">
        <f>X124*Q124</f>
        <v>60</v>
      </c>
      <c r="AR124" s="123">
        <f>AO124 * (1 + F124) / (1 - H124)</f>
        <v>116.58291457286431</v>
      </c>
      <c r="AS124" s="124">
        <f>(B124 - AR124) / AR124</f>
        <v>-0.14224137931034475</v>
      </c>
      <c r="AU124" s="32">
        <f>AX124+AW124+AV124</f>
        <v>3</v>
      </c>
      <c r="AV124" s="32">
        <f>AD124</f>
        <v>1.5</v>
      </c>
      <c r="AW124" s="32">
        <f>AJ124</f>
        <v>0.89999999999999991</v>
      </c>
      <c r="AX124" s="32">
        <f>AP124</f>
        <v>0.60000000000000009</v>
      </c>
      <c r="AY124" s="196">
        <f>N124</f>
        <v>300</v>
      </c>
      <c r="AZ124" s="63">
        <v>0</v>
      </c>
      <c r="BA124" s="122">
        <f>AU124*B124</f>
        <v>300</v>
      </c>
      <c r="BB124" s="197">
        <f>(AZ124+BA124-AY124)/AY124</f>
        <v>0</v>
      </c>
      <c r="BC124" s="63">
        <f>I124-AY124+AZ124</f>
        <v>900</v>
      </c>
    </row>
    <row r="125" spans="1:55" ht="12.75" x14ac:dyDescent="0.2">
      <c r="A125" s="182" t="s">
        <v>276</v>
      </c>
      <c r="B125" s="40">
        <v>100</v>
      </c>
      <c r="C125" s="55">
        <v>0.02</v>
      </c>
      <c r="D125" s="129">
        <v>0.04</v>
      </c>
      <c r="E125" s="125">
        <v>0.08</v>
      </c>
      <c r="F125" s="125">
        <v>0.16</v>
      </c>
      <c r="G125" s="125"/>
      <c r="H125" s="125">
        <v>5.0000000000000001E-3</v>
      </c>
      <c r="I125" s="65">
        <v>1200</v>
      </c>
      <c r="J125" s="125"/>
      <c r="K125" s="134" t="s">
        <v>243</v>
      </c>
      <c r="L125" s="153"/>
      <c r="M125" s="153"/>
      <c r="N125" s="40">
        <v>20</v>
      </c>
      <c r="O125" s="153"/>
      <c r="P125" s="153"/>
      <c r="Q125" s="153"/>
      <c r="R125" s="35"/>
      <c r="S125" s="47" t="s">
        <v>276</v>
      </c>
      <c r="T125" s="47" t="s">
        <v>243</v>
      </c>
      <c r="U125" s="153" t="s">
        <v>34</v>
      </c>
      <c r="V125" s="153" t="s">
        <v>34</v>
      </c>
      <c r="W125" s="153" t="s">
        <v>34</v>
      </c>
      <c r="X125" s="126">
        <f>N125</f>
        <v>20</v>
      </c>
      <c r="Y125" s="153" t="s">
        <v>34</v>
      </c>
      <c r="Z125" s="153" t="s">
        <v>34</v>
      </c>
      <c r="AA125" s="153" t="s">
        <v>34</v>
      </c>
      <c r="AB125" s="41"/>
      <c r="AC125" s="126">
        <f>AC124</f>
        <v>100</v>
      </c>
      <c r="AD125" s="43">
        <f>AD124</f>
        <v>1.5</v>
      </c>
      <c r="AE125" s="128">
        <f>AE124</f>
        <v>150</v>
      </c>
      <c r="AF125" s="128">
        <f>AC125 * (1 + D125) / (1 - H125)</f>
        <v>104.52261306532664</v>
      </c>
      <c r="AG125" s="129">
        <f>(B125 - AF125) / AF125</f>
        <v>-4.3269230769230817E-2</v>
      </c>
      <c r="AH125" s="43"/>
      <c r="AI125" s="126">
        <f>AI124</f>
        <v>100</v>
      </c>
      <c r="AJ125" s="43">
        <f>AJ124</f>
        <v>0.89999999999999991</v>
      </c>
      <c r="AK125" s="128">
        <f>AK124</f>
        <v>90</v>
      </c>
      <c r="AL125" s="128">
        <f>AI125 * (1 + E125) / (1 - H125)</f>
        <v>108.5427135678392</v>
      </c>
      <c r="AM125" s="129">
        <f>(B125 - AL125) / AL125</f>
        <v>-7.8703703703703748E-2</v>
      </c>
      <c r="AN125" s="35"/>
      <c r="AO125" s="126">
        <f>AO124</f>
        <v>100</v>
      </c>
      <c r="AP125" s="43">
        <f>AP124</f>
        <v>0.60000000000000009</v>
      </c>
      <c r="AQ125" s="128">
        <f>AQ124</f>
        <v>60</v>
      </c>
      <c r="AR125" s="128">
        <f>AO125 * (1 + F125) / (1 - H125)</f>
        <v>116.58291457286431</v>
      </c>
      <c r="AS125" s="129">
        <f>(B125 - AR125) / AR125</f>
        <v>-0.14224137931034475</v>
      </c>
      <c r="AT125" s="35"/>
      <c r="AU125" s="39">
        <f>AX125+AW125+AV125</f>
        <v>3</v>
      </c>
      <c r="AV125" s="39">
        <f>AD125</f>
        <v>1.5</v>
      </c>
      <c r="AW125" s="39">
        <f>AJ125</f>
        <v>0.89999999999999991</v>
      </c>
      <c r="AX125" s="39">
        <f>AP125</f>
        <v>0.60000000000000009</v>
      </c>
      <c r="AY125" s="201">
        <f>AY124</f>
        <v>300</v>
      </c>
      <c r="AZ125" s="65">
        <f>AZ124+X125</f>
        <v>20</v>
      </c>
      <c r="BA125" s="126">
        <f>AU125*B125</f>
        <v>300</v>
      </c>
      <c r="BB125" s="202">
        <f>(AZ125+BA125-AY125)/AY125</f>
        <v>6.6666666666666666E-2</v>
      </c>
      <c r="BC125" s="65">
        <f>I125-AY125+AZ125</f>
        <v>920</v>
      </c>
    </row>
    <row r="126" spans="1:55" ht="12.75" x14ac:dyDescent="0.2">
      <c r="A126" s="150" t="s">
        <v>85</v>
      </c>
      <c r="B126" s="52">
        <v>100</v>
      </c>
      <c r="C126" s="54">
        <v>0.02</v>
      </c>
      <c r="D126" s="124">
        <v>0.04</v>
      </c>
      <c r="E126" s="95">
        <v>0.08</v>
      </c>
      <c r="F126" s="95">
        <v>0.16</v>
      </c>
      <c r="G126" s="95"/>
      <c r="H126" s="95">
        <v>5.0000000000000001E-3</v>
      </c>
      <c r="I126" s="63">
        <v>1200</v>
      </c>
      <c r="K126" s="45" t="s">
        <v>70</v>
      </c>
      <c r="M126" s="207"/>
      <c r="N126" s="207"/>
      <c r="O126" s="124"/>
      <c r="P126" s="95"/>
      <c r="Q126" s="95"/>
      <c r="S126" s="45" t="s">
        <v>85</v>
      </c>
      <c r="T126" s="45" t="s">
        <v>70</v>
      </c>
      <c r="U126" s="152" t="s">
        <v>34</v>
      </c>
      <c r="V126" s="152" t="s">
        <v>34</v>
      </c>
      <c r="W126" s="152" t="s">
        <v>34</v>
      </c>
      <c r="X126" s="225">
        <v>2</v>
      </c>
      <c r="Y126" s="152" t="s">
        <v>34</v>
      </c>
      <c r="Z126" s="152" t="s">
        <v>34</v>
      </c>
      <c r="AA126" s="152" t="s">
        <v>34</v>
      </c>
      <c r="AB126" s="224"/>
      <c r="AC126" s="122">
        <f>AC125/X126</f>
        <v>50</v>
      </c>
      <c r="AD126" s="30">
        <f>AD125*X126</f>
        <v>3</v>
      </c>
      <c r="AE126" s="123">
        <f>AE125</f>
        <v>150</v>
      </c>
      <c r="AF126" s="123">
        <f>AC126 * (1 + D126) / (1 - H126)</f>
        <v>52.261306532663319</v>
      </c>
      <c r="AG126" s="124">
        <f>(B126 - AF126) / AF126</f>
        <v>0.91346153846153832</v>
      </c>
      <c r="AH126" s="30"/>
      <c r="AI126" s="122">
        <f>AI125/X126</f>
        <v>50</v>
      </c>
      <c r="AJ126" s="30">
        <f>AJ125*X126</f>
        <v>1.7999999999999998</v>
      </c>
      <c r="AK126" s="123">
        <f>AK125</f>
        <v>90</v>
      </c>
      <c r="AL126" s="123">
        <f>AI126 * (1 + E126) / (1 - H126)</f>
        <v>54.2713567839196</v>
      </c>
      <c r="AM126" s="124">
        <f>(B126 - AL126) / AL126</f>
        <v>0.84259259259259256</v>
      </c>
      <c r="AO126" s="122">
        <f>AO125/X126</f>
        <v>50</v>
      </c>
      <c r="AP126" s="30">
        <f>AP125*X126</f>
        <v>1.2000000000000002</v>
      </c>
      <c r="AQ126" s="123">
        <f>AQ125</f>
        <v>60</v>
      </c>
      <c r="AR126" s="123">
        <f>AO126 * (1 + F126) / (1 - H126)</f>
        <v>58.291457286432156</v>
      </c>
      <c r="AS126" s="124">
        <f>(B126 - AR126) / AR126</f>
        <v>0.7155172413793105</v>
      </c>
      <c r="AU126" s="32">
        <f>AX126+AW126+AV126</f>
        <v>6</v>
      </c>
      <c r="AV126" s="32">
        <f>AD126</f>
        <v>3</v>
      </c>
      <c r="AW126" s="32">
        <f>AJ126</f>
        <v>1.7999999999999998</v>
      </c>
      <c r="AX126" s="32">
        <f>AP126</f>
        <v>1.2000000000000002</v>
      </c>
      <c r="AY126" s="196">
        <f>AY125</f>
        <v>300</v>
      </c>
      <c r="AZ126" s="63">
        <f>AZ125</f>
        <v>20</v>
      </c>
      <c r="BA126" s="122">
        <f>AU126*B126</f>
        <v>600</v>
      </c>
      <c r="BB126" s="197">
        <f>(AZ126+BA126-AY126)/AY126</f>
        <v>1.0666666666666667</v>
      </c>
      <c r="BC126" s="63">
        <f>I126-AY126+AZ126</f>
        <v>920</v>
      </c>
    </row>
    <row r="127" spans="1:55" ht="12.75" x14ac:dyDescent="0.2">
      <c r="A127" s="182" t="s">
        <v>245</v>
      </c>
      <c r="B127" s="40">
        <v>100</v>
      </c>
      <c r="C127" s="55">
        <v>0.02</v>
      </c>
      <c r="D127" s="129">
        <v>0.04</v>
      </c>
      <c r="E127" s="125">
        <v>0.08</v>
      </c>
      <c r="F127" s="125">
        <v>0.16</v>
      </c>
      <c r="G127" s="125"/>
      <c r="H127" s="125">
        <v>5.0000000000000001E-3</v>
      </c>
      <c r="I127" s="65">
        <v>1200</v>
      </c>
      <c r="J127" s="125"/>
      <c r="K127" s="134" t="s">
        <v>246</v>
      </c>
      <c r="L127" s="153"/>
      <c r="M127" s="153"/>
      <c r="N127" s="40">
        <v>10</v>
      </c>
      <c r="O127" s="153"/>
      <c r="P127" s="153"/>
      <c r="Q127" s="153"/>
      <c r="R127" s="35"/>
      <c r="S127" s="47" t="s">
        <v>245</v>
      </c>
      <c r="T127" s="47" t="s">
        <v>246</v>
      </c>
      <c r="U127" s="153" t="s">
        <v>34</v>
      </c>
      <c r="V127" s="153" t="s">
        <v>34</v>
      </c>
      <c r="W127" s="153" t="s">
        <v>34</v>
      </c>
      <c r="X127" s="126">
        <f>N127</f>
        <v>10</v>
      </c>
      <c r="Y127" s="153" t="s">
        <v>34</v>
      </c>
      <c r="Z127" s="153" t="s">
        <v>34</v>
      </c>
      <c r="AA127" s="153" t="s">
        <v>34</v>
      </c>
      <c r="AB127" s="41"/>
      <c r="AC127" s="126">
        <f>AC126</f>
        <v>50</v>
      </c>
      <c r="AD127" s="43">
        <f>AD126</f>
        <v>3</v>
      </c>
      <c r="AE127" s="128">
        <f>AE126</f>
        <v>150</v>
      </c>
      <c r="AF127" s="128">
        <f>AC127 * (1 + D127) / (1 - H127)</f>
        <v>52.261306532663319</v>
      </c>
      <c r="AG127" s="129">
        <f>(B127 - AF127) / AF127</f>
        <v>0.91346153846153832</v>
      </c>
      <c r="AH127" s="43"/>
      <c r="AI127" s="126">
        <f>AI126</f>
        <v>50</v>
      </c>
      <c r="AJ127" s="43">
        <f>AJ126</f>
        <v>1.7999999999999998</v>
      </c>
      <c r="AK127" s="128">
        <f>AK126</f>
        <v>90</v>
      </c>
      <c r="AL127" s="128">
        <f>AI127 * (1 + E127) / (1 - H127)</f>
        <v>54.2713567839196</v>
      </c>
      <c r="AM127" s="129">
        <f>(B127 - AL127) / AL127</f>
        <v>0.84259259259259256</v>
      </c>
      <c r="AN127" s="35"/>
      <c r="AO127" s="126">
        <f>AO126</f>
        <v>50</v>
      </c>
      <c r="AP127" s="43">
        <f>AP126</f>
        <v>1.2000000000000002</v>
      </c>
      <c r="AQ127" s="128">
        <f>AQ126</f>
        <v>60</v>
      </c>
      <c r="AR127" s="128">
        <f>AO127 * (1 + F127) / (1 - H127)</f>
        <v>58.291457286432156</v>
      </c>
      <c r="AS127" s="129">
        <f>(B127 - AR127) / AR127</f>
        <v>0.7155172413793105</v>
      </c>
      <c r="AT127" s="35"/>
      <c r="AU127" s="39">
        <f>AX127+AW127+AV127</f>
        <v>6</v>
      </c>
      <c r="AV127" s="39">
        <f>AD127</f>
        <v>3</v>
      </c>
      <c r="AW127" s="39">
        <f>AJ127</f>
        <v>1.7999999999999998</v>
      </c>
      <c r="AX127" s="39">
        <f>AP127</f>
        <v>1.2000000000000002</v>
      </c>
      <c r="AY127" s="201">
        <f>AY126</f>
        <v>300</v>
      </c>
      <c r="AZ127" s="65">
        <f>AZ126+X127</f>
        <v>30</v>
      </c>
      <c r="BA127" s="126">
        <f>AU127*B127</f>
        <v>600</v>
      </c>
      <c r="BB127" s="202">
        <f>(AZ127+BA127-AY127)/AY127</f>
        <v>1.1000000000000001</v>
      </c>
      <c r="BC127" s="65">
        <f>I127-AY127+AZ127</f>
        <v>930</v>
      </c>
    </row>
    <row r="128" spans="1:55" ht="12.75" x14ac:dyDescent="0.2">
      <c r="A128" s="150" t="s">
        <v>218</v>
      </c>
      <c r="B128" s="52">
        <v>100</v>
      </c>
      <c r="C128" s="62">
        <v>0.02</v>
      </c>
      <c r="D128" s="124">
        <v>0.04</v>
      </c>
      <c r="E128" s="95">
        <v>0.08</v>
      </c>
      <c r="F128" s="95">
        <v>0.16</v>
      </c>
      <c r="G128" s="95"/>
      <c r="H128" s="95">
        <v>5.0000000000000001E-3</v>
      </c>
      <c r="I128" s="63">
        <v>1200</v>
      </c>
      <c r="J128" s="95"/>
      <c r="K128" s="133" t="s">
        <v>73</v>
      </c>
      <c r="L128" s="133" t="s">
        <v>219</v>
      </c>
      <c r="M128" s="52">
        <v>100</v>
      </c>
      <c r="N128" s="152" t="s">
        <v>34</v>
      </c>
      <c r="O128" s="124">
        <v>0.5</v>
      </c>
      <c r="P128" s="152" t="s">
        <v>34</v>
      </c>
      <c r="Q128" s="152" t="s">
        <v>34</v>
      </c>
      <c r="S128" s="45" t="s">
        <v>218</v>
      </c>
      <c r="T128" s="45" t="s">
        <v>73</v>
      </c>
      <c r="U128" s="133" t="s">
        <v>219</v>
      </c>
      <c r="V128" s="122">
        <f>M128</f>
        <v>100</v>
      </c>
      <c r="W128" s="30">
        <f>O128*AD127</f>
        <v>1.5</v>
      </c>
      <c r="X128" s="122">
        <f>V128*W128-(V128*W128*H128)</f>
        <v>149.25</v>
      </c>
      <c r="Y128" s="152" t="s">
        <v>34</v>
      </c>
      <c r="Z128" s="152">
        <f>X128-(AI126*W128)</f>
        <v>74.25</v>
      </c>
      <c r="AA128" s="161">
        <f>Z128/(AI126*W128)</f>
        <v>0.99</v>
      </c>
      <c r="AB128" s="12"/>
      <c r="AC128" s="122">
        <f>AC126</f>
        <v>50</v>
      </c>
      <c r="AD128" s="30">
        <f>AD127*O128</f>
        <v>1.5</v>
      </c>
      <c r="AE128" s="157">
        <f>AE127*O128</f>
        <v>75</v>
      </c>
      <c r="AF128" s="157">
        <f>AC128 * (1 + D128) / (1 - H128)</f>
        <v>52.261306532663319</v>
      </c>
      <c r="AG128" s="124">
        <f>(B128 - AF128) / AF128</f>
        <v>0.91346153846153832</v>
      </c>
      <c r="AH128" s="30"/>
      <c r="AI128" s="122">
        <f>AI127</f>
        <v>50</v>
      </c>
      <c r="AJ128" s="30">
        <f>AJ127</f>
        <v>1.7999999999999998</v>
      </c>
      <c r="AK128" s="123">
        <f>AK127</f>
        <v>90</v>
      </c>
      <c r="AL128" s="123">
        <f>AI128 * (1 + E128) / (1 - H128)</f>
        <v>54.2713567839196</v>
      </c>
      <c r="AM128" s="124">
        <f>(B128 - AL128) / AL128</f>
        <v>0.84259259259259256</v>
      </c>
      <c r="AO128" s="122">
        <f>AO126</f>
        <v>50</v>
      </c>
      <c r="AP128" s="30">
        <f>AP126</f>
        <v>1.2000000000000002</v>
      </c>
      <c r="AQ128" s="157">
        <f>AQ126</f>
        <v>60</v>
      </c>
      <c r="AR128" s="157">
        <f>AO128 * (1 + F128) / (1 - H128)</f>
        <v>58.291457286432156</v>
      </c>
      <c r="AS128" s="124">
        <f>(B128 - AR128) / AR128</f>
        <v>0.7155172413793105</v>
      </c>
      <c r="AU128" s="32">
        <f>AX128+AW128+AV128</f>
        <v>4.5</v>
      </c>
      <c r="AV128" s="32">
        <f>AD128</f>
        <v>1.5</v>
      </c>
      <c r="AW128" s="32">
        <f>AJ128</f>
        <v>1.7999999999999998</v>
      </c>
      <c r="AX128" s="32">
        <f>AP128</f>
        <v>1.2000000000000002</v>
      </c>
      <c r="AY128" s="196">
        <f>AY126</f>
        <v>300</v>
      </c>
      <c r="AZ128" s="63">
        <f>AZ127+X128</f>
        <v>179.25</v>
      </c>
      <c r="BA128" s="122">
        <f>AU128*B128</f>
        <v>450</v>
      </c>
      <c r="BB128" s="206">
        <f>(AZ128+BA128-AY128)/AY128</f>
        <v>1.0974999999999999</v>
      </c>
      <c r="BC128" s="63">
        <f>I128-AY128+AZ128</f>
        <v>1079.25</v>
      </c>
    </row>
    <row r="129" spans="1:55" ht="12.75" x14ac:dyDescent="0.2">
      <c r="A129" s="182" t="s">
        <v>279</v>
      </c>
      <c r="B129" s="40">
        <v>100</v>
      </c>
      <c r="C129" s="55">
        <v>0.02</v>
      </c>
      <c r="D129" s="129">
        <v>0.04</v>
      </c>
      <c r="E129" s="125">
        <v>0.08</v>
      </c>
      <c r="F129" s="125">
        <v>0.16</v>
      </c>
      <c r="G129" s="125"/>
      <c r="H129" s="125">
        <v>5.0000000000000001E-3</v>
      </c>
      <c r="I129" s="65">
        <v>1200</v>
      </c>
      <c r="J129" s="125"/>
      <c r="K129" s="134" t="s">
        <v>279</v>
      </c>
      <c r="L129" s="134"/>
      <c r="M129" s="40"/>
      <c r="N129" s="153"/>
      <c r="O129" s="129"/>
      <c r="P129" s="153"/>
      <c r="Q129" s="153"/>
      <c r="R129" s="35"/>
      <c r="S129" s="47" t="s">
        <v>218</v>
      </c>
      <c r="T129" s="166" t="s">
        <v>73</v>
      </c>
      <c r="U129" s="169" t="s">
        <v>219</v>
      </c>
      <c r="V129" s="227">
        <f>V128</f>
        <v>100</v>
      </c>
      <c r="W129" s="170">
        <f>W128</f>
        <v>1.5</v>
      </c>
      <c r="X129" s="227">
        <f>V129*W129-(V129*W129*H129)</f>
        <v>149.25</v>
      </c>
      <c r="Y129" s="228" t="s">
        <v>34</v>
      </c>
      <c r="Z129" s="228">
        <f>X129-(AI127*W129)</f>
        <v>74.25</v>
      </c>
      <c r="AA129" s="229">
        <f>Z129/(AI127*W129)</f>
        <v>0.99</v>
      </c>
      <c r="AB129" s="41"/>
      <c r="AC129" s="126">
        <f>AC127</f>
        <v>50</v>
      </c>
      <c r="AD129" s="43">
        <f>AD127</f>
        <v>3</v>
      </c>
      <c r="AE129" s="128">
        <f>AE127</f>
        <v>150</v>
      </c>
      <c r="AF129" s="128">
        <f>AC129 * (1 + D129) / (1 - H129)</f>
        <v>52.261306532663319</v>
      </c>
      <c r="AG129" s="129">
        <f>(B129 - AF129) / AF129</f>
        <v>0.91346153846153832</v>
      </c>
      <c r="AH129" s="43"/>
      <c r="AI129" s="126">
        <f>AI128</f>
        <v>50</v>
      </c>
      <c r="AJ129" s="43">
        <f>AJ128</f>
        <v>1.7999999999999998</v>
      </c>
      <c r="AK129" s="128">
        <f>AK128</f>
        <v>90</v>
      </c>
      <c r="AL129" s="128">
        <f>AI129 * (1 + E129) / (1 - H129)</f>
        <v>54.2713567839196</v>
      </c>
      <c r="AM129" s="129">
        <f>(B129 - AL129) / AL129</f>
        <v>0.84259259259259256</v>
      </c>
      <c r="AN129" s="35"/>
      <c r="AO129" s="126">
        <f>AO127</f>
        <v>50</v>
      </c>
      <c r="AP129" s="43">
        <f>AP127</f>
        <v>1.2000000000000002</v>
      </c>
      <c r="AQ129" s="128">
        <f>AQ127</f>
        <v>60</v>
      </c>
      <c r="AR129" s="128">
        <f>AO129 * (1 + F129) / (1 - H129)</f>
        <v>58.291457286432156</v>
      </c>
      <c r="AS129" s="129">
        <f>(B129 - AR129) / AR129</f>
        <v>0.7155172413793105</v>
      </c>
      <c r="AT129" s="35"/>
      <c r="AU129" s="39">
        <f>AX129+AW129+AV129</f>
        <v>6</v>
      </c>
      <c r="AV129" s="39">
        <f>AD129</f>
        <v>3</v>
      </c>
      <c r="AW129" s="39">
        <f>AJ129</f>
        <v>1.7999999999999998</v>
      </c>
      <c r="AX129" s="39">
        <f>AP129</f>
        <v>1.2000000000000002</v>
      </c>
      <c r="AY129" s="201">
        <f>AY127</f>
        <v>300</v>
      </c>
      <c r="AZ129" s="65">
        <f>AZ128-X129</f>
        <v>30</v>
      </c>
      <c r="BA129" s="126">
        <f>AU129*B129</f>
        <v>600</v>
      </c>
      <c r="BB129" s="202">
        <f>(AZ129+BA129-AY129)/AY129</f>
        <v>1.1000000000000001</v>
      </c>
      <c r="BC129" s="65">
        <f>I129-AY129+AZ129</f>
        <v>930</v>
      </c>
    </row>
    <row r="130" spans="1:55" s="237" customFormat="1" ht="12.75" x14ac:dyDescent="0.2">
      <c r="A130" s="240" t="s">
        <v>281</v>
      </c>
      <c r="B130" s="52">
        <v>100</v>
      </c>
      <c r="C130" s="62">
        <v>0.02</v>
      </c>
      <c r="D130" s="124">
        <v>0.04</v>
      </c>
      <c r="E130" s="95">
        <v>0.08</v>
      </c>
      <c r="F130" s="95">
        <v>0.16</v>
      </c>
      <c r="G130" s="95"/>
      <c r="H130" s="95">
        <v>5.0000000000000001E-3</v>
      </c>
      <c r="I130" s="63">
        <v>1200</v>
      </c>
      <c r="J130" s="232"/>
      <c r="K130" s="234" t="s">
        <v>282</v>
      </c>
      <c r="L130" s="234"/>
      <c r="M130" s="230"/>
      <c r="N130" s="241">
        <v>10</v>
      </c>
      <c r="O130" s="231"/>
      <c r="P130" s="241"/>
      <c r="Q130" s="241"/>
      <c r="S130" s="234" t="s">
        <v>282</v>
      </c>
      <c r="T130" s="242" t="s">
        <v>246</v>
      </c>
      <c r="U130" s="243"/>
      <c r="V130" s="244"/>
      <c r="W130" s="245"/>
      <c r="X130" s="241">
        <v>10</v>
      </c>
      <c r="Y130" s="246"/>
      <c r="Z130" s="246"/>
      <c r="AA130" s="226"/>
      <c r="AB130" s="247"/>
      <c r="AC130" s="235">
        <f>AC128</f>
        <v>50</v>
      </c>
      <c r="AD130" s="236">
        <f>AD129</f>
        <v>3</v>
      </c>
      <c r="AE130" s="157">
        <f>AE129</f>
        <v>150</v>
      </c>
      <c r="AF130" s="157">
        <f>AC130 * (1 + D130) / (1 - H130)</f>
        <v>52.261306532663319</v>
      </c>
      <c r="AG130" s="231">
        <f>(B130 - AF130) / AF130</f>
        <v>0.91346153846153832</v>
      </c>
      <c r="AH130" s="236"/>
      <c r="AI130" s="235">
        <f>AI129</f>
        <v>50</v>
      </c>
      <c r="AJ130" s="236">
        <f>AJ129</f>
        <v>1.7999999999999998</v>
      </c>
      <c r="AK130" s="157">
        <f>AK129</f>
        <v>90</v>
      </c>
      <c r="AL130" s="157">
        <f>AI130 * (1 + E130) / (1 - H130)</f>
        <v>54.2713567839196</v>
      </c>
      <c r="AM130" s="231">
        <f>(B130 - AL130) / AL130</f>
        <v>0.84259259259259256</v>
      </c>
      <c r="AO130" s="235">
        <f>AO128</f>
        <v>50</v>
      </c>
      <c r="AP130" s="236">
        <f>AP128</f>
        <v>1.2000000000000002</v>
      </c>
      <c r="AQ130" s="157">
        <f>AQ128</f>
        <v>60</v>
      </c>
      <c r="AR130" s="157">
        <f>AO130 * (1 + F130) / (1 - H130)</f>
        <v>58.291457286432156</v>
      </c>
      <c r="AS130" s="231">
        <f>(B130 - AR130) / AR130</f>
        <v>0.7155172413793105</v>
      </c>
      <c r="AU130" s="238">
        <f>AX130+AW130+AV130</f>
        <v>6</v>
      </c>
      <c r="AV130" s="238">
        <f>AD130</f>
        <v>3</v>
      </c>
      <c r="AW130" s="238">
        <f>AJ130</f>
        <v>1.7999999999999998</v>
      </c>
      <c r="AX130" s="238">
        <f>AP130</f>
        <v>1.2000000000000002</v>
      </c>
      <c r="AY130" s="239">
        <f>AY128</f>
        <v>300</v>
      </c>
      <c r="AZ130" s="233">
        <f>AZ129-X130</f>
        <v>20</v>
      </c>
      <c r="BA130" s="235">
        <f>AU130*B130</f>
        <v>600</v>
      </c>
      <c r="BB130" s="206">
        <f>(AZ130+BA130-AY130)/AY130</f>
        <v>1.0666666666666667</v>
      </c>
      <c r="BC130" s="233">
        <f>I130-AY130+AZ130</f>
        <v>920</v>
      </c>
    </row>
    <row r="131" spans="1:55" ht="12.75" x14ac:dyDescent="0.2">
      <c r="A131" s="182" t="s">
        <v>280</v>
      </c>
      <c r="B131" s="40">
        <v>100</v>
      </c>
      <c r="C131" s="55">
        <v>0.02</v>
      </c>
      <c r="D131" s="129">
        <v>0.04</v>
      </c>
      <c r="E131" s="125">
        <v>0.08</v>
      </c>
      <c r="F131" s="125">
        <v>0.16</v>
      </c>
      <c r="G131" s="125"/>
      <c r="H131" s="125">
        <v>5.0000000000000001E-3</v>
      </c>
      <c r="I131" s="65">
        <v>1200</v>
      </c>
      <c r="J131" s="35"/>
      <c r="K131" s="134" t="s">
        <v>280</v>
      </c>
      <c r="L131" s="35"/>
      <c r="M131" s="210"/>
      <c r="N131" s="210"/>
      <c r="O131" s="129"/>
      <c r="P131" s="125"/>
      <c r="Q131" s="125"/>
      <c r="R131" s="35"/>
      <c r="S131" s="134" t="s">
        <v>280</v>
      </c>
      <c r="T131" s="166" t="s">
        <v>70</v>
      </c>
      <c r="U131" s="203"/>
      <c r="V131" s="126"/>
      <c r="W131" s="43"/>
      <c r="X131" s="126"/>
      <c r="Y131" s="126"/>
      <c r="Z131" s="153"/>
      <c r="AA131" s="153"/>
      <c r="AB131" s="41"/>
      <c r="AC131" s="126">
        <f>AC130*X126</f>
        <v>100</v>
      </c>
      <c r="AD131" s="43">
        <f>AD130/X126</f>
        <v>1.5</v>
      </c>
      <c r="AE131" s="128">
        <f>AE129</f>
        <v>150</v>
      </c>
      <c r="AF131" s="128">
        <f>AC131 * (1 + D131) / (1 - H131)</f>
        <v>104.52261306532664</v>
      </c>
      <c r="AG131" s="129">
        <f>(B131 - AF131) / AF131</f>
        <v>-4.3269230769230817E-2</v>
      </c>
      <c r="AH131" s="43"/>
      <c r="AI131" s="126">
        <f>AI130*X126</f>
        <v>100</v>
      </c>
      <c r="AJ131" s="43">
        <f>AJ130/X126</f>
        <v>0.89999999999999991</v>
      </c>
      <c r="AK131" s="128">
        <f>AK129</f>
        <v>90</v>
      </c>
      <c r="AL131" s="128">
        <f>AI131 * (1 + E131) / (1 - H131)</f>
        <v>108.5427135678392</v>
      </c>
      <c r="AM131" s="129">
        <f>(B131 - AL131) / AL131</f>
        <v>-7.8703703703703748E-2</v>
      </c>
      <c r="AN131" s="35"/>
      <c r="AO131" s="126">
        <f>AO130*X126</f>
        <v>100</v>
      </c>
      <c r="AP131" s="43">
        <f>AP130/X126</f>
        <v>0.60000000000000009</v>
      </c>
      <c r="AQ131" s="128">
        <f>AQ128</f>
        <v>60</v>
      </c>
      <c r="AR131" s="128">
        <f>AO131 * (1 + F131) / (1 - H131)</f>
        <v>116.58291457286431</v>
      </c>
      <c r="AS131" s="129">
        <f>(B131 - AR131) / AR131</f>
        <v>-0.14224137931034475</v>
      </c>
      <c r="AT131" s="35"/>
      <c r="AU131" s="39">
        <f>AX131+AW131+AV131</f>
        <v>5.4</v>
      </c>
      <c r="AV131" s="39">
        <f>AD131+AD132</f>
        <v>3</v>
      </c>
      <c r="AW131" s="39">
        <f>AJ131+AJ132</f>
        <v>1.7999999999999998</v>
      </c>
      <c r="AX131" s="39">
        <f>AP131</f>
        <v>0.60000000000000009</v>
      </c>
      <c r="AY131" s="201">
        <f>AY128</f>
        <v>300</v>
      </c>
      <c r="AZ131" s="65">
        <f>AZ130</f>
        <v>20</v>
      </c>
      <c r="BA131" s="126">
        <f>AU131*B131</f>
        <v>540</v>
      </c>
      <c r="BB131" s="202">
        <f>(AZ131+BA131-AY131)/AY131</f>
        <v>0.8666666666666667</v>
      </c>
      <c r="BC131" s="65">
        <f>I131-AY131+AZ131</f>
        <v>920</v>
      </c>
    </row>
    <row r="132" spans="1:55" ht="12.75" x14ac:dyDescent="0.2">
      <c r="A132" s="240" t="s">
        <v>283</v>
      </c>
      <c r="B132" s="52">
        <v>100</v>
      </c>
      <c r="C132" s="62">
        <v>0.02</v>
      </c>
      <c r="D132" s="124">
        <v>0.04</v>
      </c>
      <c r="E132" s="95">
        <v>0.08</v>
      </c>
      <c r="F132" s="95">
        <v>0.16</v>
      </c>
      <c r="G132" s="95"/>
      <c r="H132" s="95">
        <v>5.0000000000000001E-3</v>
      </c>
      <c r="I132" s="63">
        <v>1200</v>
      </c>
      <c r="J132" s="232"/>
      <c r="K132" s="240" t="s">
        <v>283</v>
      </c>
      <c r="L132" s="234"/>
      <c r="M132" s="230"/>
      <c r="N132" s="241">
        <f>N125</f>
        <v>20</v>
      </c>
      <c r="O132" s="231"/>
      <c r="P132" s="241"/>
      <c r="Q132" s="241"/>
      <c r="R132" s="237"/>
      <c r="S132" s="240" t="s">
        <v>283</v>
      </c>
      <c r="T132" s="242" t="s">
        <v>243</v>
      </c>
      <c r="U132" s="243"/>
      <c r="V132" s="244"/>
      <c r="W132" s="245"/>
      <c r="X132" s="246">
        <v>20</v>
      </c>
      <c r="Y132" s="246"/>
      <c r="Z132" s="246"/>
      <c r="AA132" s="226"/>
      <c r="AB132" s="247"/>
      <c r="AC132" s="235">
        <f>AC131</f>
        <v>100</v>
      </c>
      <c r="AD132" s="236">
        <f>AD131</f>
        <v>1.5</v>
      </c>
      <c r="AE132" s="157">
        <f>AE131</f>
        <v>150</v>
      </c>
      <c r="AF132" s="157">
        <f>AC132 * (1 + D132) / (1 - H132)</f>
        <v>104.52261306532664</v>
      </c>
      <c r="AG132" s="231">
        <f>(B132 - AF132) / AF132</f>
        <v>-4.3269230769230817E-2</v>
      </c>
      <c r="AH132" s="236"/>
      <c r="AI132" s="235">
        <f>AI131</f>
        <v>100</v>
      </c>
      <c r="AJ132" s="236">
        <f>AJ131</f>
        <v>0.89999999999999991</v>
      </c>
      <c r="AK132" s="157">
        <f>AK131</f>
        <v>90</v>
      </c>
      <c r="AL132" s="157">
        <f>AI132 * (1 + E132) / (1 - H132)</f>
        <v>108.5427135678392</v>
      </c>
      <c r="AM132" s="231">
        <f>(B132 - AL132) / AL132</f>
        <v>-7.8703703703703748E-2</v>
      </c>
      <c r="AN132" s="237"/>
      <c r="AO132" s="235">
        <f>AO131</f>
        <v>100</v>
      </c>
      <c r="AP132" s="236">
        <f>AP131</f>
        <v>0.60000000000000009</v>
      </c>
      <c r="AQ132" s="157">
        <f>AQ130</f>
        <v>60</v>
      </c>
      <c r="AR132" s="157">
        <f>AO132 * (1 + F132) / (1 - H132)</f>
        <v>116.58291457286431</v>
      </c>
      <c r="AS132" s="231">
        <f>(B132 - AR132) / AR132</f>
        <v>-0.14224137931034475</v>
      </c>
      <c r="AT132" s="237"/>
      <c r="AU132" s="238">
        <f>AX132+AW132+AV132</f>
        <v>3</v>
      </c>
      <c r="AV132" s="238">
        <f>AD132</f>
        <v>1.5</v>
      </c>
      <c r="AW132" s="238">
        <f>AJ132</f>
        <v>0.89999999999999991</v>
      </c>
      <c r="AX132" s="238">
        <f>AP132</f>
        <v>0.60000000000000009</v>
      </c>
      <c r="AY132" s="239">
        <f>AY130</f>
        <v>300</v>
      </c>
      <c r="AZ132" s="233">
        <f>AZ131-X132</f>
        <v>0</v>
      </c>
      <c r="BA132" s="235">
        <f>AU132*B132</f>
        <v>300</v>
      </c>
      <c r="BB132" s="206">
        <f>(AZ132+BA132-AY132)/AY132</f>
        <v>0</v>
      </c>
      <c r="BC132" s="233">
        <f>I132-AY132+AZ132</f>
        <v>900</v>
      </c>
    </row>
    <row r="133" spans="1:55" ht="12.75" x14ac:dyDescent="0.2">
      <c r="A133" s="182" t="s">
        <v>284</v>
      </c>
      <c r="B133" s="40">
        <v>100</v>
      </c>
      <c r="C133" s="55">
        <v>0.02</v>
      </c>
      <c r="D133" s="129">
        <v>0.04</v>
      </c>
      <c r="E133" s="125">
        <v>0.08</v>
      </c>
      <c r="F133" s="125">
        <v>0.16</v>
      </c>
      <c r="G133" s="125"/>
      <c r="H133" s="125">
        <v>5.0000000000000001E-3</v>
      </c>
      <c r="I133" s="65">
        <v>1200</v>
      </c>
      <c r="J133" s="35"/>
      <c r="K133" s="47" t="s">
        <v>284</v>
      </c>
      <c r="L133" s="35"/>
      <c r="M133" s="210"/>
      <c r="N133" s="210"/>
      <c r="O133" s="129"/>
      <c r="P133" s="125"/>
      <c r="Q133" s="125"/>
      <c r="R133" s="35"/>
      <c r="S133" s="47" t="s">
        <v>215</v>
      </c>
      <c r="T133" s="166" t="s">
        <v>75</v>
      </c>
      <c r="U133" s="248" t="s">
        <v>78</v>
      </c>
      <c r="V133" s="227">
        <f>V124</f>
        <v>100</v>
      </c>
      <c r="W133" s="170">
        <f>W124</f>
        <v>3</v>
      </c>
      <c r="X133" s="227">
        <f>X124</f>
        <v>300</v>
      </c>
      <c r="Y133" s="227">
        <f>V133 * (1 - ABS(C133))</f>
        <v>98</v>
      </c>
      <c r="Z133" s="228" t="s">
        <v>34</v>
      </c>
      <c r="AA133" s="228" t="s">
        <v>34</v>
      </c>
      <c r="AB133" s="41"/>
      <c r="AC133" s="212"/>
      <c r="AD133" s="212"/>
      <c r="AE133" s="212"/>
      <c r="AF133" s="212"/>
      <c r="AG133" s="170"/>
      <c r="AH133" s="170"/>
      <c r="AI133" s="212"/>
      <c r="AJ133" s="212"/>
      <c r="AK133" s="212"/>
      <c r="AL133" s="212"/>
      <c r="AM133" s="170"/>
      <c r="AN133" s="35"/>
      <c r="AO133" s="212"/>
      <c r="AP133" s="212"/>
      <c r="AQ133" s="212"/>
      <c r="AR133" s="212"/>
      <c r="AS133" s="170"/>
      <c r="AT133" s="35"/>
      <c r="AU133" s="39">
        <f>AX133+AW133+AV133</f>
        <v>0</v>
      </c>
      <c r="AV133" s="39">
        <f>AD133</f>
        <v>0</v>
      </c>
      <c r="AW133" s="39">
        <f>AJ133</f>
        <v>0</v>
      </c>
      <c r="AX133" s="39">
        <f>AP133</f>
        <v>0</v>
      </c>
      <c r="AY133" s="201">
        <v>0</v>
      </c>
      <c r="AZ133" s="65">
        <v>0</v>
      </c>
      <c r="BA133" s="126">
        <f>AU133*B133</f>
        <v>0</v>
      </c>
      <c r="BB133" s="202">
        <v>0</v>
      </c>
      <c r="BC133" s="65">
        <f>I133-AY133+AZ133</f>
        <v>1200</v>
      </c>
    </row>
    <row r="134" spans="1:55" ht="12.75" x14ac:dyDescent="0.2">
      <c r="A134" s="150"/>
      <c r="B134" s="33"/>
      <c r="C134" s="67"/>
      <c r="D134" s="124"/>
      <c r="E134" s="95"/>
      <c r="F134" s="95"/>
      <c r="G134" s="95"/>
      <c r="H134" s="95"/>
      <c r="I134" s="95"/>
      <c r="M134" s="207"/>
      <c r="N134" s="207"/>
      <c r="O134" s="124"/>
      <c r="P134" s="95"/>
      <c r="Q134" s="95"/>
      <c r="S134" s="45"/>
      <c r="T134" s="45"/>
      <c r="U134" s="131"/>
      <c r="V134" s="122"/>
      <c r="W134" s="30"/>
      <c r="X134" s="122"/>
      <c r="Y134" s="122"/>
      <c r="Z134" s="152"/>
      <c r="AA134" s="152"/>
      <c r="AB134" s="12"/>
      <c r="AC134" s="139"/>
      <c r="AD134" s="139"/>
      <c r="AE134" s="139"/>
      <c r="AF134" s="139"/>
      <c r="AG134" s="140"/>
      <c r="AH134" s="140"/>
      <c r="AI134" s="139"/>
      <c r="AJ134" s="139"/>
      <c r="AK134" s="139"/>
      <c r="AL134" s="139"/>
      <c r="AM134" s="140"/>
      <c r="AO134" s="139"/>
      <c r="AP134" s="139"/>
      <c r="AQ134" s="139"/>
      <c r="AR134" s="139"/>
      <c r="AS134" s="140"/>
    </row>
    <row r="135" spans="1:55" ht="12.75" x14ac:dyDescent="0.2">
      <c r="A135" s="150" t="s">
        <v>289</v>
      </c>
      <c r="B135" s="33"/>
      <c r="C135" s="67"/>
      <c r="D135" s="124"/>
      <c r="E135" s="95"/>
      <c r="F135" s="95"/>
      <c r="G135" s="95"/>
      <c r="H135" s="95"/>
      <c r="I135" s="95"/>
      <c r="M135" s="207"/>
      <c r="N135" s="207"/>
      <c r="O135" s="124"/>
      <c r="P135" s="95"/>
      <c r="Q135" s="95"/>
      <c r="S135" s="45"/>
      <c r="T135" s="45"/>
      <c r="U135" s="131"/>
      <c r="V135" s="122"/>
      <c r="W135" s="30"/>
      <c r="X135" s="122"/>
      <c r="Y135" s="122"/>
      <c r="Z135" s="152"/>
      <c r="AA135" s="152"/>
      <c r="AB135" s="12"/>
      <c r="AC135" s="139"/>
      <c r="AD135" s="139"/>
      <c r="AE135" s="139"/>
      <c r="AF135" s="139"/>
      <c r="AG135" s="140"/>
      <c r="AH135" s="140"/>
      <c r="AI135" s="139"/>
      <c r="AJ135" s="139"/>
      <c r="AK135" s="139"/>
      <c r="AL135" s="139"/>
      <c r="AM135" s="140"/>
      <c r="AO135" s="139"/>
      <c r="AP135" s="139"/>
      <c r="AQ135" s="139"/>
      <c r="AR135" s="139"/>
      <c r="AS135" s="140"/>
    </row>
    <row r="136" spans="1:55" ht="12.75" x14ac:dyDescent="0.2">
      <c r="A136" s="150"/>
      <c r="B136" s="33"/>
      <c r="C136" s="67"/>
      <c r="D136" s="124"/>
      <c r="E136" s="95"/>
      <c r="F136" s="95"/>
      <c r="G136" s="95"/>
      <c r="H136" s="95"/>
      <c r="I136" s="95"/>
      <c r="M136" s="207"/>
      <c r="N136" s="207"/>
      <c r="O136" s="124"/>
      <c r="P136" s="95"/>
      <c r="Q136" s="95"/>
      <c r="S136" s="45"/>
      <c r="T136" s="45"/>
      <c r="U136" s="131"/>
      <c r="V136" s="122"/>
      <c r="W136" s="30"/>
      <c r="X136" s="122"/>
      <c r="Y136" s="122"/>
      <c r="Z136" s="152"/>
      <c r="AA136" s="152"/>
      <c r="AB136" s="12"/>
      <c r="AC136" s="139"/>
      <c r="AD136" s="139"/>
      <c r="AE136" s="139"/>
      <c r="AF136" s="139"/>
      <c r="AG136" s="140"/>
      <c r="AH136" s="140"/>
      <c r="AI136" s="139"/>
      <c r="AJ136" s="139"/>
      <c r="AK136" s="139"/>
      <c r="AL136" s="139"/>
      <c r="AM136" s="140"/>
      <c r="AO136" s="139"/>
      <c r="AP136" s="139"/>
      <c r="AQ136" s="139"/>
      <c r="AR136" s="139"/>
      <c r="AS136" s="140"/>
    </row>
    <row r="137" spans="1:55" ht="12.75" x14ac:dyDescent="0.2">
      <c r="A137" s="150"/>
      <c r="B137" s="33"/>
      <c r="C137" s="67"/>
      <c r="D137" s="124"/>
      <c r="E137" s="95"/>
      <c r="F137" s="95"/>
      <c r="G137" s="95"/>
      <c r="H137" s="95"/>
      <c r="I137" s="95"/>
      <c r="M137" s="207"/>
      <c r="N137" s="207"/>
      <c r="O137" s="124"/>
      <c r="P137" s="95"/>
      <c r="Q137" s="95"/>
      <c r="S137" s="45"/>
      <c r="T137" s="45"/>
      <c r="U137" s="131"/>
      <c r="V137" s="122"/>
      <c r="W137" s="30"/>
      <c r="X137" s="122"/>
      <c r="Y137" s="122"/>
      <c r="Z137" s="152"/>
      <c r="AA137" s="152"/>
      <c r="AB137" s="12"/>
      <c r="AC137" s="139"/>
      <c r="AD137" s="139"/>
      <c r="AE137" s="139"/>
      <c r="AF137" s="139"/>
      <c r="AG137" s="140"/>
      <c r="AH137" s="140"/>
      <c r="AI137" s="139"/>
      <c r="AJ137" s="139"/>
      <c r="AK137" s="139"/>
      <c r="AL137" s="139"/>
      <c r="AM137" s="140"/>
      <c r="AO137" s="139"/>
      <c r="AP137" s="139"/>
      <c r="AQ137" s="139"/>
      <c r="AR137" s="139"/>
      <c r="AS137" s="140"/>
    </row>
    <row r="138" spans="1:55" ht="12.75" x14ac:dyDescent="0.2">
      <c r="A138" s="150"/>
      <c r="B138" s="33"/>
      <c r="C138" s="67"/>
      <c r="I138" s="95"/>
      <c r="M138" s="207"/>
      <c r="N138" s="207"/>
      <c r="O138" s="124"/>
      <c r="P138" s="95"/>
      <c r="Q138" s="95"/>
      <c r="S138" s="45"/>
      <c r="T138" s="45"/>
      <c r="U138" s="131"/>
      <c r="V138" s="122"/>
      <c r="W138" s="30"/>
      <c r="X138" s="122"/>
      <c r="Y138" s="122"/>
      <c r="Z138" s="152"/>
      <c r="AA138" s="152"/>
      <c r="AB138" s="12"/>
      <c r="AC138" s="139"/>
      <c r="AD138" s="139"/>
      <c r="AE138" s="139"/>
      <c r="AF138" s="139"/>
      <c r="AG138" s="140"/>
      <c r="AH138" s="140"/>
      <c r="AI138" s="139"/>
      <c r="AJ138" s="139"/>
      <c r="AK138" s="139"/>
      <c r="AL138" s="139"/>
      <c r="AM138" s="140"/>
      <c r="AO138" s="139"/>
      <c r="AP138" s="139"/>
      <c r="AQ138" s="139"/>
      <c r="AR138" s="139"/>
      <c r="AS138" s="140"/>
    </row>
    <row r="139" spans="1:55" ht="12.75" x14ac:dyDescent="0.2">
      <c r="A139" s="150"/>
      <c r="B139" s="33"/>
      <c r="C139" s="67"/>
      <c r="D139" s="124"/>
      <c r="E139" s="95"/>
      <c r="F139" s="95"/>
      <c r="G139" s="95"/>
      <c r="H139" s="95"/>
      <c r="I139" s="95"/>
      <c r="M139" s="207"/>
      <c r="N139" s="207"/>
      <c r="O139" s="124"/>
      <c r="P139" s="95"/>
      <c r="Q139" s="95"/>
      <c r="S139" s="45"/>
      <c r="T139" s="45"/>
      <c r="U139" s="131"/>
      <c r="V139" s="122"/>
      <c r="W139" s="30"/>
      <c r="X139" s="122"/>
      <c r="Y139" s="122"/>
      <c r="Z139" s="152"/>
      <c r="AA139" s="152"/>
      <c r="AB139" s="12"/>
      <c r="AC139" s="139"/>
      <c r="AD139" s="139"/>
      <c r="AE139" s="139"/>
      <c r="AF139" s="139"/>
      <c r="AG139" s="140"/>
      <c r="AH139" s="140"/>
      <c r="AI139" s="139"/>
      <c r="AJ139" s="139"/>
      <c r="AK139" s="139"/>
      <c r="AL139" s="139"/>
      <c r="AM139" s="140"/>
      <c r="AO139" s="139"/>
      <c r="AP139" s="139"/>
      <c r="AQ139" s="139"/>
      <c r="AR139" s="139"/>
      <c r="AS139" s="140"/>
    </row>
    <row r="140" spans="1:55" ht="12.75" x14ac:dyDescent="0.2">
      <c r="A140" s="150"/>
      <c r="B140" s="33"/>
      <c r="C140" s="67"/>
      <c r="D140" s="124"/>
      <c r="E140" s="95"/>
      <c r="F140" s="95"/>
      <c r="G140" s="95"/>
      <c r="H140" s="95"/>
      <c r="I140" s="95"/>
      <c r="M140" s="207"/>
      <c r="N140" s="207"/>
      <c r="O140" s="124"/>
      <c r="P140" s="95"/>
      <c r="Q140" s="95"/>
      <c r="S140" s="45"/>
      <c r="T140" s="45"/>
      <c r="U140" s="131"/>
      <c r="V140" s="122"/>
      <c r="W140" s="30"/>
      <c r="X140" s="122"/>
      <c r="Y140" s="122"/>
      <c r="Z140" s="152"/>
      <c r="AA140" s="152"/>
      <c r="AB140" s="12"/>
      <c r="AC140" s="139"/>
      <c r="AD140" s="139"/>
      <c r="AE140" s="139"/>
      <c r="AF140" s="139"/>
      <c r="AG140" s="140"/>
      <c r="AH140" s="140"/>
      <c r="AI140" s="139"/>
      <c r="AJ140" s="139"/>
      <c r="AK140" s="139"/>
      <c r="AL140" s="139"/>
      <c r="AM140" s="140"/>
      <c r="AO140" s="139"/>
      <c r="AP140" s="139"/>
      <c r="AQ140" s="139"/>
      <c r="AR140" s="139"/>
      <c r="AS140" s="140"/>
    </row>
    <row r="141" spans="1:55" ht="12.75" x14ac:dyDescent="0.2">
      <c r="A141" s="150"/>
      <c r="B141" s="33"/>
      <c r="C141" s="67"/>
      <c r="D141" s="124"/>
      <c r="E141" s="95"/>
      <c r="F141" s="95"/>
      <c r="G141" s="95"/>
      <c r="H141" s="95"/>
      <c r="I141" s="95"/>
      <c r="M141" s="207"/>
      <c r="N141" s="207"/>
      <c r="O141" s="124"/>
      <c r="P141" s="95"/>
      <c r="Q141" s="95"/>
      <c r="S141" s="45"/>
      <c r="T141" s="45"/>
      <c r="U141" s="131"/>
      <c r="V141" s="122"/>
      <c r="W141" s="30"/>
      <c r="X141" s="122"/>
      <c r="Y141" s="122"/>
      <c r="Z141" s="152"/>
      <c r="AA141" s="152"/>
      <c r="AB141" s="12"/>
      <c r="AC141" s="139"/>
      <c r="AD141" s="139"/>
      <c r="AE141" s="139"/>
      <c r="AF141" s="139"/>
      <c r="AG141" s="140"/>
      <c r="AH141" s="140"/>
      <c r="AI141" s="139"/>
      <c r="AJ141" s="139"/>
      <c r="AK141" s="139"/>
      <c r="AL141" s="139"/>
      <c r="AM141" s="140"/>
      <c r="AO141" s="139"/>
      <c r="AP141" s="139"/>
      <c r="AQ141" s="139"/>
      <c r="AR141" s="139"/>
      <c r="AS141" s="140"/>
    </row>
    <row r="142" spans="1:55" ht="12.75" x14ac:dyDescent="0.2">
      <c r="A142" s="150"/>
      <c r="B142" s="33"/>
      <c r="C142" s="67"/>
      <c r="D142" s="124"/>
      <c r="E142" s="95"/>
      <c r="F142" s="95"/>
      <c r="G142" s="95"/>
      <c r="H142" s="95"/>
      <c r="I142" s="95"/>
      <c r="M142" s="207"/>
      <c r="N142" s="207"/>
      <c r="O142" s="124"/>
      <c r="P142" s="95"/>
      <c r="Q142" s="95"/>
      <c r="S142" s="45"/>
      <c r="T142" s="45"/>
      <c r="U142" s="131"/>
      <c r="V142" s="122"/>
      <c r="W142" s="30"/>
      <c r="X142" s="122"/>
      <c r="Y142" s="122"/>
      <c r="Z142" s="152"/>
      <c r="AA142" s="152"/>
      <c r="AB142" s="12"/>
      <c r="AC142" s="139"/>
      <c r="AD142" s="139"/>
      <c r="AE142" s="139"/>
      <c r="AF142" s="139"/>
      <c r="AG142" s="140"/>
      <c r="AH142" s="140"/>
      <c r="AI142" s="139"/>
      <c r="AJ142" s="139"/>
      <c r="AK142" s="139"/>
      <c r="AL142" s="139"/>
      <c r="AM142" s="140"/>
      <c r="AO142" s="139"/>
      <c r="AP142" s="139"/>
      <c r="AQ142" s="139"/>
      <c r="AR142" s="139"/>
      <c r="AS142" s="140"/>
    </row>
    <row r="143" spans="1:55" ht="12.75" x14ac:dyDescent="0.2">
      <c r="A143" s="150"/>
      <c r="B143" s="33"/>
      <c r="C143" s="67"/>
      <c r="D143" s="124"/>
      <c r="E143" s="95"/>
      <c r="F143" s="95"/>
      <c r="G143" s="95"/>
      <c r="H143" s="95"/>
      <c r="I143" s="95"/>
      <c r="M143" s="207"/>
      <c r="N143" s="207"/>
      <c r="O143" s="124"/>
      <c r="P143" s="95"/>
      <c r="Q143" s="95"/>
      <c r="S143" s="45"/>
      <c r="T143" s="45"/>
      <c r="U143" s="131"/>
      <c r="V143" s="122"/>
      <c r="W143" s="30"/>
      <c r="X143" s="122"/>
      <c r="Y143" s="122"/>
      <c r="Z143" s="152"/>
      <c r="AA143" s="152"/>
      <c r="AB143" s="12"/>
      <c r="AC143" s="139"/>
      <c r="AD143" s="139"/>
      <c r="AE143" s="139"/>
      <c r="AF143" s="139"/>
      <c r="AG143" s="140"/>
      <c r="AH143" s="140"/>
      <c r="AI143" s="139"/>
      <c r="AJ143" s="139"/>
      <c r="AK143" s="139"/>
      <c r="AL143" s="139"/>
      <c r="AM143" s="140"/>
      <c r="AO143" s="139"/>
      <c r="AP143" s="139"/>
      <c r="AQ143" s="139"/>
      <c r="AR143" s="139"/>
      <c r="AS143" s="140"/>
    </row>
    <row r="144" spans="1:55" ht="12.75" x14ac:dyDescent="0.2">
      <c r="A144" s="150"/>
      <c r="B144" s="33"/>
      <c r="C144" s="67"/>
      <c r="D144" s="124"/>
      <c r="E144" s="95"/>
      <c r="F144" s="95"/>
      <c r="G144" s="95"/>
      <c r="H144" s="95"/>
      <c r="I144" s="95"/>
      <c r="M144" s="93"/>
      <c r="N144" s="93"/>
      <c r="O144" s="124"/>
      <c r="P144" s="95"/>
      <c r="Q144" s="95"/>
      <c r="S144" s="12"/>
      <c r="T144" s="12"/>
      <c r="U144" s="12"/>
      <c r="V144" s="137"/>
      <c r="W144" s="138"/>
      <c r="X144" s="137"/>
      <c r="Y144" s="137"/>
      <c r="Z144" s="12"/>
      <c r="AA144" s="12"/>
      <c r="AB144" s="12"/>
      <c r="AC144" s="139"/>
      <c r="AD144" s="139"/>
      <c r="AE144" s="139"/>
      <c r="AF144" s="139"/>
      <c r="AG144" s="140"/>
      <c r="AH144" s="140"/>
      <c r="AI144" s="139"/>
      <c r="AJ144" s="139"/>
      <c r="AK144" s="139"/>
      <c r="AL144" s="139"/>
      <c r="AM144" s="140"/>
      <c r="AO144" s="139"/>
      <c r="AP144" s="139"/>
      <c r="AQ144" s="139"/>
      <c r="AR144" s="139"/>
      <c r="AS144" s="140"/>
    </row>
    <row r="145" spans="1:64" ht="12.75" x14ac:dyDescent="0.2">
      <c r="A145" s="45" t="s">
        <v>295</v>
      </c>
      <c r="B145" s="33"/>
      <c r="C145" s="67"/>
      <c r="D145" s="124"/>
      <c r="E145" s="95"/>
      <c r="F145" s="95"/>
      <c r="G145" s="95"/>
      <c r="H145" s="95"/>
      <c r="I145" s="95"/>
      <c r="M145" s="33"/>
      <c r="N145" s="33"/>
      <c r="O145" s="124"/>
      <c r="P145" s="95"/>
      <c r="Q145" s="95"/>
      <c r="S145" s="12"/>
      <c r="T145" s="12"/>
      <c r="U145" s="12"/>
      <c r="V145" s="137"/>
      <c r="W145" s="138"/>
      <c r="X145" s="137"/>
      <c r="Y145" s="137"/>
      <c r="Z145" s="12"/>
      <c r="AA145" s="12"/>
      <c r="AB145" s="12"/>
      <c r="AC145" s="139"/>
      <c r="AD145" s="139"/>
      <c r="AE145" s="139"/>
      <c r="AF145" s="139"/>
      <c r="AG145" s="140"/>
      <c r="AH145" s="140"/>
      <c r="AI145" s="139"/>
      <c r="AJ145" s="139"/>
      <c r="AK145" s="139"/>
      <c r="AL145" s="139"/>
      <c r="AM145" s="140"/>
      <c r="AO145" s="139"/>
      <c r="AP145" s="139"/>
      <c r="AQ145" s="139"/>
      <c r="AR145" s="139"/>
      <c r="AS145" s="140"/>
    </row>
    <row r="146" spans="1:64" ht="12.75" x14ac:dyDescent="0.2">
      <c r="A146" s="45" t="s">
        <v>296</v>
      </c>
      <c r="S146" s="12"/>
      <c r="T146" s="12"/>
      <c r="U146" s="12"/>
      <c r="V146" s="12"/>
      <c r="W146" s="12"/>
      <c r="X146" s="12"/>
      <c r="Y146" s="12"/>
      <c r="Z146" s="12"/>
      <c r="AA146" s="12"/>
      <c r="AB146" s="12"/>
      <c r="AC146" s="13"/>
      <c r="AD146" s="13"/>
      <c r="AE146" s="13"/>
      <c r="AF146" s="13"/>
      <c r="AG146" s="30"/>
      <c r="AH146" s="30"/>
      <c r="AI146" s="13"/>
      <c r="AJ146" s="13"/>
      <c r="AK146" s="13"/>
      <c r="AL146" s="13"/>
      <c r="AM146" s="30"/>
      <c r="AO146" s="13"/>
      <c r="AP146" s="13"/>
      <c r="AQ146" s="13"/>
      <c r="AR146" s="13"/>
      <c r="AS146" s="30"/>
    </row>
    <row r="147" spans="1:64" ht="12.75" x14ac:dyDescent="0.2">
      <c r="A147" s="45"/>
      <c r="S147" s="12"/>
      <c r="T147" s="12"/>
      <c r="U147" s="12"/>
      <c r="V147" s="12"/>
      <c r="W147" s="12"/>
      <c r="X147" s="12"/>
      <c r="Y147" s="12"/>
      <c r="Z147" s="12"/>
      <c r="AA147" s="12"/>
      <c r="AB147" s="12"/>
      <c r="AC147" s="13"/>
      <c r="AD147" s="13"/>
      <c r="AE147" s="13"/>
      <c r="AF147" s="13"/>
      <c r="AG147" s="30"/>
      <c r="AH147" s="30"/>
      <c r="AI147" s="13"/>
      <c r="AJ147" s="13"/>
      <c r="AK147" s="13"/>
      <c r="AL147" s="13"/>
      <c r="AM147" s="30"/>
      <c r="AO147" s="13"/>
      <c r="AP147" s="13"/>
      <c r="AQ147" s="13"/>
      <c r="AR147" s="13"/>
      <c r="AS147" s="30"/>
    </row>
    <row r="148" spans="1:64" ht="15.75" customHeight="1" x14ac:dyDescent="0.2">
      <c r="A148" s="45" t="s">
        <v>237</v>
      </c>
    </row>
    <row r="149" spans="1:64" ht="15.75" customHeight="1" x14ac:dyDescent="0.2">
      <c r="B149" s="178" t="s">
        <v>31</v>
      </c>
      <c r="C149" s="34"/>
      <c r="AC149" s="56" t="s">
        <v>27</v>
      </c>
      <c r="AD149" s="12"/>
      <c r="AE149" s="12"/>
      <c r="AF149" s="12"/>
      <c r="AG149" s="12"/>
      <c r="AH149" s="12"/>
      <c r="AI149" s="56" t="s">
        <v>28</v>
      </c>
      <c r="AJ149" s="12"/>
      <c r="AK149" s="12"/>
      <c r="AL149" s="12"/>
      <c r="AM149" s="12"/>
      <c r="AS149" s="34" t="s">
        <v>52</v>
      </c>
      <c r="AY149" s="34" t="s">
        <v>53</v>
      </c>
      <c r="BF149" s="34" t="s">
        <v>65</v>
      </c>
    </row>
    <row r="150" spans="1:64" ht="15.75" customHeight="1" x14ac:dyDescent="0.2">
      <c r="B150" s="28" t="s">
        <v>61</v>
      </c>
      <c r="C150" s="28"/>
      <c r="D150" s="28" t="s">
        <v>29</v>
      </c>
      <c r="E150" s="57" t="s">
        <v>63</v>
      </c>
      <c r="F150" s="57" t="s">
        <v>72</v>
      </c>
      <c r="G150" s="57"/>
      <c r="H150" s="57"/>
      <c r="I150" s="57"/>
      <c r="J150" s="101"/>
      <c r="K150" s="101"/>
      <c r="L150" s="101"/>
      <c r="M150" s="101"/>
      <c r="N150" s="101"/>
      <c r="O150" s="101"/>
      <c r="P150" s="101"/>
      <c r="Q150" s="101"/>
      <c r="S150" s="28" t="s">
        <v>3</v>
      </c>
      <c r="T150" s="28"/>
      <c r="U150" s="57" t="s">
        <v>50</v>
      </c>
      <c r="V150" s="57" t="s">
        <v>70</v>
      </c>
      <c r="W150" s="28" t="s">
        <v>1</v>
      </c>
      <c r="X150" s="57" t="s">
        <v>62</v>
      </c>
      <c r="Y150" s="57" t="s">
        <v>9</v>
      </c>
      <c r="Z150" s="57"/>
      <c r="AC150" s="28" t="s">
        <v>30</v>
      </c>
      <c r="AD150" s="28" t="s">
        <v>1</v>
      </c>
      <c r="AE150" s="57" t="s">
        <v>10</v>
      </c>
      <c r="AF150" s="57"/>
      <c r="AG150" s="57" t="s">
        <v>64</v>
      </c>
      <c r="AH150" s="60"/>
      <c r="AI150" s="28" t="s">
        <v>30</v>
      </c>
      <c r="AJ150" s="28" t="s">
        <v>1</v>
      </c>
      <c r="AK150" s="57" t="s">
        <v>10</v>
      </c>
      <c r="AL150" s="57"/>
      <c r="AM150" s="57" t="s">
        <v>64</v>
      </c>
      <c r="AN150" s="28" t="s">
        <v>58</v>
      </c>
      <c r="AO150" s="28"/>
      <c r="AP150" s="28" t="s">
        <v>59</v>
      </c>
      <c r="AQ150" s="28" t="s">
        <v>60</v>
      </c>
      <c r="AS150" s="61" t="s">
        <v>54</v>
      </c>
      <c r="AT150" s="61" t="s">
        <v>57</v>
      </c>
      <c r="AU150" s="61" t="s">
        <v>55</v>
      </c>
      <c r="AV150" s="61" t="s">
        <v>57</v>
      </c>
      <c r="AW150" s="61" t="s">
        <v>56</v>
      </c>
      <c r="AX150" s="61" t="s">
        <v>57</v>
      </c>
      <c r="AY150" s="28" t="s">
        <v>54</v>
      </c>
      <c r="AZ150" s="28" t="s">
        <v>57</v>
      </c>
      <c r="BA150" s="28" t="s">
        <v>55</v>
      </c>
      <c r="BB150" s="28" t="s">
        <v>57</v>
      </c>
      <c r="BC150" s="28" t="s">
        <v>56</v>
      </c>
      <c r="BD150" s="28" t="s">
        <v>57</v>
      </c>
      <c r="BE150" s="60"/>
      <c r="BF150" s="61" t="s">
        <v>54</v>
      </c>
      <c r="BG150" s="61" t="s">
        <v>57</v>
      </c>
      <c r="BH150" s="61" t="s">
        <v>55</v>
      </c>
      <c r="BI150" s="61" t="s">
        <v>57</v>
      </c>
      <c r="BJ150" s="61" t="s">
        <v>66</v>
      </c>
      <c r="BK150" s="61" t="s">
        <v>56</v>
      </c>
      <c r="BL150" s="61" t="s">
        <v>57</v>
      </c>
    </row>
    <row r="151" spans="1:64" ht="15.75" customHeight="1" x14ac:dyDescent="0.2">
      <c r="B151" s="33">
        <v>100</v>
      </c>
      <c r="C151" s="33"/>
      <c r="D151" s="29">
        <v>0.7</v>
      </c>
      <c r="E151" s="50">
        <v>5</v>
      </c>
      <c r="F151">
        <v>10</v>
      </c>
      <c r="S151" s="12" t="s">
        <v>32</v>
      </c>
      <c r="T151" s="12"/>
      <c r="U151" s="13"/>
      <c r="V151" s="13"/>
      <c r="W151" s="13">
        <v>200</v>
      </c>
      <c r="X151" s="58" t="e">
        <f>W151/#REF!</f>
        <v>#REF!</v>
      </c>
      <c r="Y151" s="58"/>
      <c r="Z151" s="58"/>
      <c r="AC151" s="31" t="e">
        <f>#REF!</f>
        <v>#REF!</v>
      </c>
      <c r="AD151" s="31">
        <f>W151*D151</f>
        <v>140</v>
      </c>
      <c r="AE151" s="63" t="e">
        <f>(#REF!+(#REF!*(F151/100)))/(1-#REF!/100)</f>
        <v>#REF!</v>
      </c>
      <c r="AF151" s="63"/>
      <c r="AG151" s="32" t="e">
        <f>AD151/AC151</f>
        <v>#REF!</v>
      </c>
      <c r="AH151" s="32"/>
      <c r="AI151" s="31" t="e">
        <f>#REF!</f>
        <v>#REF!</v>
      </c>
      <c r="AJ151" s="31">
        <f>W151*(1-D151)</f>
        <v>60.000000000000007</v>
      </c>
      <c r="AK151" s="63" t="e">
        <f>(#REF!+(#REF!*(F151/100)))/(1-#REF!/100)</f>
        <v>#REF!</v>
      </c>
      <c r="AL151" s="63"/>
      <c r="AM151" s="32" t="e">
        <f>AJ151/AI151</f>
        <v>#REF!</v>
      </c>
      <c r="AN151" s="32" t="e">
        <f>AG151</f>
        <v>#REF!</v>
      </c>
      <c r="AO151" s="32"/>
      <c r="AP151" s="32" t="e">
        <f>AM151</f>
        <v>#REF!</v>
      </c>
      <c r="AQ151" s="32" t="e">
        <f>AN151+AP151</f>
        <v>#REF!</v>
      </c>
      <c r="AS151" s="52">
        <v>0</v>
      </c>
      <c r="AT151" s="50">
        <v>0</v>
      </c>
      <c r="AU151" s="52">
        <v>0</v>
      </c>
      <c r="AV151" s="50">
        <v>0</v>
      </c>
      <c r="AW151" s="52">
        <v>0</v>
      </c>
      <c r="AX151" s="54">
        <v>0</v>
      </c>
      <c r="AY151" s="52">
        <v>0</v>
      </c>
      <c r="AZ151" s="50">
        <v>0</v>
      </c>
      <c r="BA151" s="52">
        <v>0</v>
      </c>
      <c r="BB151" s="50">
        <v>0</v>
      </c>
      <c r="BC151" s="52">
        <v>0</v>
      </c>
      <c r="BD151" s="50">
        <v>0</v>
      </c>
      <c r="BE151" s="50"/>
      <c r="BF151" s="52">
        <v>0</v>
      </c>
      <c r="BG151" s="50">
        <v>0</v>
      </c>
      <c r="BH151" s="52">
        <v>0</v>
      </c>
      <c r="BI151" s="50">
        <v>0</v>
      </c>
      <c r="BJ151" s="52">
        <v>0</v>
      </c>
      <c r="BK151" s="52">
        <v>0</v>
      </c>
      <c r="BL151" s="50">
        <v>0</v>
      </c>
    </row>
    <row r="152" spans="1:64" ht="15.75" customHeight="1" x14ac:dyDescent="0.2">
      <c r="B152" s="36">
        <v>100</v>
      </c>
      <c r="C152" s="36"/>
      <c r="D152" s="37">
        <v>0.7</v>
      </c>
      <c r="E152" s="51">
        <v>5</v>
      </c>
      <c r="F152" s="35">
        <v>10</v>
      </c>
      <c r="G152" s="35"/>
      <c r="H152" s="35"/>
      <c r="I152" s="35"/>
      <c r="S152" s="41" t="s">
        <v>51</v>
      </c>
      <c r="T152" s="41"/>
      <c r="U152" s="42">
        <v>20</v>
      </c>
      <c r="V152" s="42"/>
      <c r="W152" s="42"/>
      <c r="X152" s="59"/>
      <c r="Y152" s="59"/>
      <c r="Z152" s="59"/>
      <c r="AC152" s="38"/>
      <c r="AD152" s="38"/>
      <c r="AE152" s="65"/>
      <c r="AF152" s="65"/>
      <c r="AG152" s="39"/>
      <c r="AH152" s="32"/>
      <c r="AI152" s="38"/>
      <c r="AJ152" s="38"/>
      <c r="AK152" s="38"/>
      <c r="AL152" s="38"/>
      <c r="AM152" s="39"/>
      <c r="AN152" s="39" t="e">
        <f t="shared" ref="AN152:AQ152" si="20">AN151</f>
        <v>#REF!</v>
      </c>
      <c r="AO152" s="39"/>
      <c r="AP152" s="39" t="e">
        <f t="shared" si="20"/>
        <v>#REF!</v>
      </c>
      <c r="AQ152" s="39" t="e">
        <f t="shared" si="20"/>
        <v>#REF!</v>
      </c>
      <c r="AS152" s="40">
        <f>AS151</f>
        <v>0</v>
      </c>
      <c r="AT152" s="51">
        <f t="shared" ref="AT152:AV152" si="21">AT151</f>
        <v>0</v>
      </c>
      <c r="AU152" s="40">
        <f t="shared" si="21"/>
        <v>0</v>
      </c>
      <c r="AV152" s="51">
        <f t="shared" si="21"/>
        <v>0</v>
      </c>
      <c r="AW152" s="40">
        <f>AW151</f>
        <v>0</v>
      </c>
      <c r="AX152" s="55">
        <f>AW152/W151</f>
        <v>0</v>
      </c>
      <c r="AY152" s="40">
        <f>AY151</f>
        <v>0</v>
      </c>
      <c r="AZ152" s="51">
        <f t="shared" ref="AZ152" si="22">AZ151</f>
        <v>0</v>
      </c>
      <c r="BA152" s="40">
        <f t="shared" ref="BA152" si="23">BA151</f>
        <v>0</v>
      </c>
      <c r="BB152" s="51">
        <f t="shared" ref="BB152" si="24">BB151</f>
        <v>0</v>
      </c>
      <c r="BC152" s="40">
        <f>BC151</f>
        <v>0</v>
      </c>
      <c r="BD152" s="51">
        <f t="shared" ref="BD152" si="25">BD151</f>
        <v>0</v>
      </c>
      <c r="BE152" s="50"/>
      <c r="BF152" s="40">
        <f>AS152+AY152</f>
        <v>0</v>
      </c>
      <c r="BG152" s="51">
        <f t="shared" ref="BG152" si="26">BG151</f>
        <v>0</v>
      </c>
      <c r="BH152" s="40">
        <f t="shared" ref="BH152" si="27">BH151</f>
        <v>0</v>
      </c>
      <c r="BI152" s="51">
        <f t="shared" ref="BI152" si="28">BI151</f>
        <v>0</v>
      </c>
      <c r="BJ152" s="65">
        <f>U152</f>
        <v>20</v>
      </c>
      <c r="BK152" s="65">
        <f>BF152+BH152+BJ152</f>
        <v>20</v>
      </c>
      <c r="BL152" s="55">
        <f>BK152/(AD151+AJ151)</f>
        <v>0.1</v>
      </c>
    </row>
    <row r="153" spans="1:64" ht="15.75" customHeight="1" x14ac:dyDescent="0.2">
      <c r="B153" s="33">
        <v>300</v>
      </c>
      <c r="C153" s="33"/>
      <c r="D153" s="29">
        <v>0.7</v>
      </c>
      <c r="E153" s="50">
        <v>5</v>
      </c>
      <c r="F153">
        <v>10</v>
      </c>
      <c r="S153" t="s">
        <v>33</v>
      </c>
      <c r="U153" s="33"/>
      <c r="V153" s="33"/>
      <c r="W153" s="33">
        <v>400</v>
      </c>
      <c r="X153" s="50" t="e">
        <f>W153/#REF!</f>
        <v>#REF!</v>
      </c>
      <c r="Y153" s="50"/>
      <c r="Z153" s="50"/>
      <c r="AC153" s="31" t="e">
        <f>AC151</f>
        <v>#REF!</v>
      </c>
      <c r="AD153" s="31">
        <v>140</v>
      </c>
      <c r="AE153" s="63" t="e">
        <f>(#REF!+(#REF!*(F151/100)))/(1-#REF!/100)</f>
        <v>#REF!</v>
      </c>
      <c r="AF153" s="63"/>
      <c r="AG153" s="32">
        <v>1.4</v>
      </c>
      <c r="AH153" s="32"/>
      <c r="AI153" s="31">
        <v>100</v>
      </c>
      <c r="AJ153" s="31">
        <v>60.000000000000007</v>
      </c>
      <c r="AK153" s="63" t="e">
        <f>(#REF!+(#REF!*(F151/100)))/(1-#REF!/100)</f>
        <v>#REF!</v>
      </c>
      <c r="AL153" s="63"/>
      <c r="AM153" s="32">
        <v>0.60000000000000009</v>
      </c>
      <c r="AN153" s="32" t="e">
        <f>AN152+AG154</f>
        <v>#REF!</v>
      </c>
      <c r="AO153" s="32"/>
      <c r="AP153" s="32" t="e">
        <f>AP152</f>
        <v>#REF!</v>
      </c>
      <c r="AQ153" s="32" t="e">
        <f>AN153+AP153</f>
        <v>#REF!</v>
      </c>
      <c r="AS153" s="52">
        <f>AS152</f>
        <v>0</v>
      </c>
      <c r="AT153" s="50">
        <f>AT152</f>
        <v>0</v>
      </c>
      <c r="AU153" s="52">
        <f>AU152</f>
        <v>0</v>
      </c>
      <c r="AV153" s="50">
        <f>AV152</f>
        <v>0</v>
      </c>
      <c r="AW153" s="52">
        <f>AW152</f>
        <v>0</v>
      </c>
      <c r="AX153" s="64">
        <f>AW153 / (W151+W153)</f>
        <v>0</v>
      </c>
      <c r="AY153" s="52" t="e">
        <f>(B153*AN153)-(AD153+AD154)</f>
        <v>#REF!</v>
      </c>
      <c r="AZ153" s="54" t="e">
        <f>AY153/(AD153+AD154)</f>
        <v>#REF!</v>
      </c>
      <c r="BA153" s="52" t="e">
        <f>(AP153*B153)-AJ153</f>
        <v>#REF!</v>
      </c>
      <c r="BB153" s="53" t="e">
        <f>BA153/(AI153*AM153)</f>
        <v>#REF!</v>
      </c>
      <c r="BC153" s="52" t="e">
        <f>AY153+BA153</f>
        <v>#REF!</v>
      </c>
      <c r="BD153" s="62" t="e">
        <f>BC153/(AD153+AD154+AJ153)</f>
        <v>#REF!</v>
      </c>
      <c r="BE153" s="62"/>
      <c r="BF153" s="52" t="e">
        <f>AS153+AY153</f>
        <v>#REF!</v>
      </c>
      <c r="BG153" s="54" t="e">
        <f>AZ153</f>
        <v>#REF!</v>
      </c>
      <c r="BH153" s="52" t="e">
        <f>AU153+BA153</f>
        <v>#REF!</v>
      </c>
      <c r="BI153" s="53" t="e">
        <f>BH153/AJ153</f>
        <v>#REF!</v>
      </c>
      <c r="BJ153" s="63">
        <f>BJ152</f>
        <v>20</v>
      </c>
      <c r="BK153" s="52" t="e">
        <f>BF153+BH153+BJ153</f>
        <v>#REF!</v>
      </c>
      <c r="BL153" s="54" t="e">
        <f>BK153/(AD153+AD154+AJ153)</f>
        <v>#REF!</v>
      </c>
    </row>
    <row r="154" spans="1:64" ht="15.75" customHeight="1" x14ac:dyDescent="0.2">
      <c r="E154" s="50"/>
      <c r="X154" s="50"/>
      <c r="Y154" s="50"/>
      <c r="Z154" s="50"/>
      <c r="AC154" s="31" t="e">
        <f>#REF!</f>
        <v>#REF!</v>
      </c>
      <c r="AD154" s="31">
        <f>W153</f>
        <v>400</v>
      </c>
      <c r="AE154" s="63" t="e">
        <f>(#REF!+(#REF!*(F153/100)))/(1-#REF!/100)</f>
        <v>#REF!</v>
      </c>
      <c r="AF154" s="63"/>
      <c r="AG154" s="32" t="e">
        <f>AD154/AC154</f>
        <v>#REF!</v>
      </c>
      <c r="AH154" s="32"/>
      <c r="AI154" s="49" t="s">
        <v>34</v>
      </c>
      <c r="AJ154" s="49" t="s">
        <v>34</v>
      </c>
      <c r="AK154" s="49" t="s">
        <v>34</v>
      </c>
      <c r="AL154" s="49"/>
      <c r="AM154" s="49" t="s">
        <v>34</v>
      </c>
      <c r="AT154" s="50"/>
      <c r="AV154" s="50"/>
      <c r="AX154" s="54"/>
      <c r="AY154" s="31"/>
      <c r="AZ154" s="54"/>
      <c r="BB154" s="50"/>
      <c r="BD154" s="50"/>
      <c r="BE154" s="50"/>
      <c r="BG154" s="50"/>
      <c r="BI154" s="50"/>
      <c r="BJ154" s="63"/>
      <c r="BL154" s="50"/>
    </row>
    <row r="155" spans="1:64" ht="15.75" customHeight="1" x14ac:dyDescent="0.2">
      <c r="B155" s="36">
        <v>910</v>
      </c>
      <c r="C155" s="36"/>
      <c r="D155" s="37">
        <v>0.7</v>
      </c>
      <c r="E155" s="51">
        <v>5</v>
      </c>
      <c r="F155" s="35">
        <v>10</v>
      </c>
      <c r="G155" s="35"/>
      <c r="H155" s="35"/>
      <c r="I155" s="35"/>
      <c r="S155" s="35" t="s">
        <v>35</v>
      </c>
      <c r="T155" s="35"/>
      <c r="U155" s="36"/>
      <c r="V155" s="36"/>
      <c r="W155" s="36">
        <v>350</v>
      </c>
      <c r="X155" s="51" t="e">
        <f>W155/#REF!</f>
        <v>#REF!</v>
      </c>
      <c r="Y155" s="51"/>
      <c r="Z155" s="51"/>
      <c r="AC155" s="38" t="e">
        <f>AC153</f>
        <v>#REF!</v>
      </c>
      <c r="AD155" s="38">
        <v>140</v>
      </c>
      <c r="AE155" s="65" t="e">
        <f>AE153</f>
        <v>#REF!</v>
      </c>
      <c r="AF155" s="65"/>
      <c r="AG155" s="39">
        <v>1.4</v>
      </c>
      <c r="AH155" s="32"/>
      <c r="AI155" s="38">
        <v>100</v>
      </c>
      <c r="AJ155" s="38">
        <v>60.000000000000007</v>
      </c>
      <c r="AK155" s="65" t="e">
        <f>AK153</f>
        <v>#REF!</v>
      </c>
      <c r="AL155" s="65"/>
      <c r="AM155" s="39">
        <v>0.60000000000000009</v>
      </c>
      <c r="AN155" s="39" t="e">
        <f>AN153</f>
        <v>#REF!</v>
      </c>
      <c r="AO155" s="39"/>
      <c r="AP155" s="39" t="e">
        <f>AP153+AM156</f>
        <v>#REF!</v>
      </c>
      <c r="AQ155" s="39" t="e">
        <f>AN155+AP155</f>
        <v>#REF!</v>
      </c>
      <c r="AS155" s="40">
        <f t="shared" ref="AS155:AX155" si="29">AS153</f>
        <v>0</v>
      </c>
      <c r="AT155" s="51">
        <f t="shared" si="29"/>
        <v>0</v>
      </c>
      <c r="AU155" s="40">
        <f t="shared" si="29"/>
        <v>0</v>
      </c>
      <c r="AV155" s="51">
        <f t="shared" si="29"/>
        <v>0</v>
      </c>
      <c r="AW155" s="40">
        <f t="shared" si="29"/>
        <v>0</v>
      </c>
      <c r="AX155" s="55">
        <f t="shared" si="29"/>
        <v>0</v>
      </c>
      <c r="AY155" s="40" t="e">
        <f>(B155*AN155)-(AD155+AD156)</f>
        <v>#REF!</v>
      </c>
      <c r="AZ155" s="55" t="e">
        <f>AY155/(AD155+AD156)</f>
        <v>#REF!</v>
      </c>
      <c r="BA155" s="40" t="e">
        <f>(AP155*B155)-(AJ155+AJ156)</f>
        <v>#REF!</v>
      </c>
      <c r="BB155" s="55" t="e">
        <f>BA155/(AJ155+AJ156)</f>
        <v>#REF!</v>
      </c>
      <c r="BC155" s="40" t="e">
        <f>AY155+BA155</f>
        <v>#REF!</v>
      </c>
      <c r="BD155" s="55" t="e">
        <f>BC155/(AD155+AD156+AJ155+AJ156)</f>
        <v>#REF!</v>
      </c>
      <c r="BE155" s="50"/>
      <c r="BF155" s="40" t="e">
        <f>AS155+AY155</f>
        <v>#REF!</v>
      </c>
      <c r="BG155" s="55" t="e">
        <f>AZ155</f>
        <v>#REF!</v>
      </c>
      <c r="BH155" s="40" t="e">
        <f>AU155+BA155</f>
        <v>#REF!</v>
      </c>
      <c r="BI155" s="55" t="e">
        <f>BH155/(AJ155+AJ156)</f>
        <v>#REF!</v>
      </c>
      <c r="BJ155" s="65">
        <f>BJ153</f>
        <v>20</v>
      </c>
      <c r="BK155" s="40" t="e">
        <f>BF155+BH155+BJ155</f>
        <v>#REF!</v>
      </c>
      <c r="BL155" s="55" t="e">
        <f>BK155/(AD155+AD156+AJ155+AJ156)</f>
        <v>#REF!</v>
      </c>
    </row>
    <row r="156" spans="1:64" ht="15.75" customHeight="1" x14ac:dyDescent="0.2">
      <c r="B156" s="35"/>
      <c r="C156" s="35"/>
      <c r="D156" s="35"/>
      <c r="E156" s="51"/>
      <c r="F156" s="35"/>
      <c r="G156" s="35"/>
      <c r="H156" s="35"/>
      <c r="I156" s="35"/>
      <c r="S156" s="35"/>
      <c r="T156" s="35"/>
      <c r="U156" s="35"/>
      <c r="V156" s="35"/>
      <c r="W156" s="35"/>
      <c r="X156" s="51"/>
      <c r="Y156" s="51"/>
      <c r="Z156" s="51"/>
      <c r="AC156" s="38" t="e">
        <f>AC154</f>
        <v>#REF!</v>
      </c>
      <c r="AD156" s="38">
        <v>400</v>
      </c>
      <c r="AE156" s="65" t="e">
        <f>AE154</f>
        <v>#REF!</v>
      </c>
      <c r="AF156" s="65"/>
      <c r="AG156" s="39">
        <v>1.6</v>
      </c>
      <c r="AH156" s="32"/>
      <c r="AI156" s="36" t="e">
        <f>#REF!</f>
        <v>#REF!</v>
      </c>
      <c r="AJ156" s="36">
        <f>W155</f>
        <v>350</v>
      </c>
      <c r="AK156" s="65" t="e">
        <f>(#REF!+(#REF!*(F155/100)))/(1-#REF!/100)</f>
        <v>#REF!</v>
      </c>
      <c r="AL156" s="65"/>
      <c r="AM156" s="39" t="e">
        <f>AJ156/AI156</f>
        <v>#REF!</v>
      </c>
      <c r="AT156" s="50"/>
      <c r="AV156" s="50"/>
      <c r="AX156" s="50"/>
      <c r="AZ156" s="50"/>
      <c r="BB156" s="50"/>
      <c r="BD156" s="50"/>
      <c r="BE156" s="50"/>
      <c r="BG156" s="50"/>
      <c r="BI156" s="50"/>
      <c r="BJ156" s="63"/>
      <c r="BL156" s="50"/>
    </row>
    <row r="157" spans="1:64" ht="15.75" customHeight="1" x14ac:dyDescent="0.2">
      <c r="B157" s="33">
        <v>910</v>
      </c>
      <c r="C157" s="33"/>
      <c r="D157" s="29">
        <v>0.7</v>
      </c>
      <c r="E157" s="50">
        <v>5</v>
      </c>
      <c r="F157">
        <v>10</v>
      </c>
      <c r="S157" t="s">
        <v>49</v>
      </c>
      <c r="U157" s="33">
        <v>10</v>
      </c>
      <c r="V157" s="33"/>
      <c r="X157" s="50"/>
      <c r="Y157" s="50"/>
      <c r="Z157" s="50"/>
      <c r="AC157" s="31"/>
      <c r="AD157" s="31"/>
      <c r="AE157" s="31"/>
      <c r="AF157" s="31"/>
      <c r="AG157" s="31"/>
      <c r="AH157" s="31"/>
      <c r="AI157" s="33"/>
      <c r="AJ157" s="33"/>
      <c r="AK157" s="31"/>
      <c r="AL157" s="31"/>
      <c r="AM157" s="32"/>
      <c r="AN157" s="32" t="e">
        <f>AN155</f>
        <v>#REF!</v>
      </c>
      <c r="AO157" s="32"/>
      <c r="AP157" s="32" t="e">
        <f>AP155+AM158</f>
        <v>#REF!</v>
      </c>
      <c r="AQ157" s="32" t="e">
        <f>AN157+AP157</f>
        <v>#REF!</v>
      </c>
      <c r="AS157" s="52">
        <f t="shared" ref="AS157:AX158" si="30">AS155</f>
        <v>0</v>
      </c>
      <c r="AT157" s="50">
        <f t="shared" si="30"/>
        <v>0</v>
      </c>
      <c r="AU157" s="52">
        <f t="shared" si="30"/>
        <v>0</v>
      </c>
      <c r="AV157" s="50">
        <f t="shared" si="30"/>
        <v>0</v>
      </c>
      <c r="AW157" s="52">
        <f t="shared" si="30"/>
        <v>0</v>
      </c>
      <c r="AX157" s="62">
        <f t="shared" si="30"/>
        <v>0</v>
      </c>
      <c r="AY157" s="52" t="e">
        <f t="shared" ref="AY157:BD157" si="31">AY155</f>
        <v>#REF!</v>
      </c>
      <c r="AZ157" s="62" t="e">
        <f t="shared" si="31"/>
        <v>#REF!</v>
      </c>
      <c r="BA157" s="52" t="e">
        <f t="shared" si="31"/>
        <v>#REF!</v>
      </c>
      <c r="BB157" s="62" t="e">
        <f t="shared" si="31"/>
        <v>#REF!</v>
      </c>
      <c r="BC157" s="52" t="e">
        <f t="shared" si="31"/>
        <v>#REF!</v>
      </c>
      <c r="BD157" s="62" t="e">
        <f t="shared" si="31"/>
        <v>#REF!</v>
      </c>
      <c r="BE157" s="50"/>
      <c r="BF157" s="52" t="e">
        <f>BF155</f>
        <v>#REF!</v>
      </c>
      <c r="BG157" s="62" t="e">
        <f>BG155</f>
        <v>#REF!</v>
      </c>
      <c r="BH157" s="52" t="e">
        <f>BH155</f>
        <v>#REF!</v>
      </c>
      <c r="BI157" s="62" t="e">
        <f>BI155</f>
        <v>#REF!</v>
      </c>
      <c r="BJ157" s="63">
        <f>BJ155+U157</f>
        <v>30</v>
      </c>
      <c r="BK157" s="52" t="e">
        <f>BF157+BH157+BJ157</f>
        <v>#REF!</v>
      </c>
      <c r="BL157" s="62" t="e">
        <f>BK157/(AD155+AD156+AJ155+AJ156)</f>
        <v>#REF!</v>
      </c>
    </row>
    <row r="158" spans="1:64" ht="15.75" customHeight="1" x14ac:dyDescent="0.2">
      <c r="B158" s="36">
        <v>510</v>
      </c>
      <c r="C158" s="36"/>
      <c r="D158" s="37">
        <v>0.7</v>
      </c>
      <c r="E158" s="51">
        <v>5</v>
      </c>
      <c r="F158" s="35">
        <v>10</v>
      </c>
      <c r="G158" s="35"/>
      <c r="H158" s="35"/>
      <c r="I158" s="35"/>
      <c r="S158" s="35" t="s">
        <v>36</v>
      </c>
      <c r="T158" s="35"/>
      <c r="U158" s="40"/>
      <c r="V158" s="40"/>
      <c r="W158" s="36">
        <v>100</v>
      </c>
      <c r="X158" s="51" t="e">
        <f>W158/#REF!</f>
        <v>#REF!</v>
      </c>
      <c r="Y158" s="51"/>
      <c r="Z158" s="51"/>
      <c r="AC158" s="38">
        <v>100</v>
      </c>
      <c r="AD158" s="38">
        <v>140</v>
      </c>
      <c r="AE158" s="38" t="e">
        <f>AE155</f>
        <v>#REF!</v>
      </c>
      <c r="AF158" s="38"/>
      <c r="AG158" s="39">
        <v>1.4</v>
      </c>
      <c r="AH158" s="32"/>
      <c r="AI158" s="38">
        <v>100</v>
      </c>
      <c r="AJ158" s="38">
        <v>60.000000000000007</v>
      </c>
      <c r="AK158" s="38" t="e">
        <f>AK155</f>
        <v>#REF!</v>
      </c>
      <c r="AL158" s="38"/>
      <c r="AM158" s="39">
        <v>0.60000000000000009</v>
      </c>
      <c r="AN158" s="39" t="e">
        <f>AG158+AG159+AG160</f>
        <v>#REF!</v>
      </c>
      <c r="AO158" s="39"/>
      <c r="AP158" s="39" t="e">
        <f>AM158+AM159+AM160</f>
        <v>#REF!</v>
      </c>
      <c r="AQ158" s="39" t="e">
        <f>AN158+AP158</f>
        <v>#REF!</v>
      </c>
      <c r="AS158" s="40">
        <f t="shared" si="30"/>
        <v>0</v>
      </c>
      <c r="AT158" s="51">
        <f t="shared" si="30"/>
        <v>0</v>
      </c>
      <c r="AU158" s="40">
        <f t="shared" si="30"/>
        <v>0</v>
      </c>
      <c r="AV158" s="51">
        <f t="shared" si="30"/>
        <v>0</v>
      </c>
      <c r="AW158" s="40">
        <f t="shared" si="30"/>
        <v>0</v>
      </c>
      <c r="AX158" s="55">
        <f t="shared" si="30"/>
        <v>0</v>
      </c>
      <c r="AY158" s="40" t="e">
        <f>(B158*AN158)-(AD158+AD159+AD160)</f>
        <v>#REF!</v>
      </c>
      <c r="AZ158" s="55" t="e">
        <f>AY158/(AD158+AD159+AD160)</f>
        <v>#REF!</v>
      </c>
      <c r="BA158" s="40" t="e">
        <f>(AP158*B158)-(AJ158+AJ159+AJ160)</f>
        <v>#REF!</v>
      </c>
      <c r="BB158" s="55" t="e">
        <f>BA158/(AJ158+AJ159+AJ160)</f>
        <v>#REF!</v>
      </c>
      <c r="BC158" s="40" t="e">
        <f>AY158+BA158</f>
        <v>#REF!</v>
      </c>
      <c r="BD158" s="55" t="e">
        <f>BC158/(AD158+AD159+AD160+AJ158+AJ159+AJ160)</f>
        <v>#REF!</v>
      </c>
      <c r="BE158" s="50"/>
      <c r="BF158" s="40" t="e">
        <f>AS158+AY158</f>
        <v>#REF!</v>
      </c>
      <c r="BG158" s="55" t="e">
        <f>AZ158</f>
        <v>#REF!</v>
      </c>
      <c r="BH158" s="40" t="e">
        <f>AU158+BA158</f>
        <v>#REF!</v>
      </c>
      <c r="BI158" s="55" t="e">
        <f>BH158/(AJ158+AJ159+AJ160)</f>
        <v>#REF!</v>
      </c>
      <c r="BJ158" s="65">
        <f>BJ157</f>
        <v>30</v>
      </c>
      <c r="BK158" s="40" t="e">
        <f>BF158+BH158+BJ158</f>
        <v>#REF!</v>
      </c>
      <c r="BL158" s="55" t="e">
        <f>BK158/(AD158+AD159+AD160+AJ158+AJ159+AJ160)</f>
        <v>#REF!</v>
      </c>
    </row>
    <row r="159" spans="1:64" ht="15.75" customHeight="1" x14ac:dyDescent="0.2">
      <c r="B159" s="35"/>
      <c r="C159" s="35"/>
      <c r="D159" s="35"/>
      <c r="E159" s="51"/>
      <c r="F159" s="35"/>
      <c r="G159" s="35"/>
      <c r="H159" s="35"/>
      <c r="I159" s="35"/>
      <c r="S159" s="35"/>
      <c r="T159" s="35"/>
      <c r="U159" s="35"/>
      <c r="V159" s="35"/>
      <c r="W159" s="35"/>
      <c r="X159" s="51"/>
      <c r="Y159" s="51"/>
      <c r="Z159" s="51"/>
      <c r="AC159" s="38">
        <v>250</v>
      </c>
      <c r="AD159" s="38">
        <v>400</v>
      </c>
      <c r="AE159" s="38" t="e">
        <f>AE156</f>
        <v>#REF!</v>
      </c>
      <c r="AF159" s="38"/>
      <c r="AG159" s="39">
        <v>1.6</v>
      </c>
      <c r="AH159" s="32"/>
      <c r="AI159" s="36">
        <v>900</v>
      </c>
      <c r="AJ159" s="36">
        <v>350</v>
      </c>
      <c r="AK159" s="38" t="e">
        <f>AK156</f>
        <v>#REF!</v>
      </c>
      <c r="AL159" s="38"/>
      <c r="AM159" s="39">
        <v>0.3888888888888889</v>
      </c>
      <c r="AN159" s="35"/>
      <c r="AO159" s="35"/>
      <c r="AP159" s="35"/>
      <c r="AQ159" s="35"/>
      <c r="AS159" s="35"/>
      <c r="AT159" s="51"/>
      <c r="AU159" s="35"/>
      <c r="AV159" s="51"/>
      <c r="AW159" s="35"/>
      <c r="AX159" s="51"/>
      <c r="AY159" s="35"/>
      <c r="AZ159" s="51"/>
      <c r="BA159" s="35"/>
      <c r="BB159" s="51"/>
      <c r="BC159" s="35"/>
      <c r="BD159" s="51"/>
      <c r="BE159" s="50"/>
      <c r="BF159" s="35"/>
      <c r="BG159" s="51"/>
      <c r="BH159" s="35"/>
      <c r="BI159" s="51"/>
      <c r="BJ159" s="35"/>
      <c r="BK159" s="35"/>
      <c r="BL159" s="51"/>
    </row>
    <row r="160" spans="1:64" ht="15.75" customHeight="1" x14ac:dyDescent="0.2">
      <c r="B160" s="35"/>
      <c r="C160" s="35"/>
      <c r="D160" s="35"/>
      <c r="E160" s="51"/>
      <c r="F160" s="35"/>
      <c r="G160" s="35"/>
      <c r="H160" s="35"/>
      <c r="I160" s="35"/>
      <c r="S160" s="35"/>
      <c r="T160" s="35"/>
      <c r="U160" s="35"/>
      <c r="V160" s="35"/>
      <c r="W160" s="35"/>
      <c r="X160" s="51"/>
      <c r="Y160" s="51"/>
      <c r="Z160" s="51"/>
      <c r="AC160" s="40" t="e">
        <f>#REF!</f>
        <v>#REF!</v>
      </c>
      <c r="AD160" s="36">
        <f>W158*D158</f>
        <v>70</v>
      </c>
      <c r="AE160" s="65" t="e">
        <f>(#REF!+(#REF!*(F158/100)))/(1-#REF!/100)</f>
        <v>#REF!</v>
      </c>
      <c r="AF160" s="65"/>
      <c r="AG160" s="39" t="e">
        <f>AD160/AC160</f>
        <v>#REF!</v>
      </c>
      <c r="AH160" s="31"/>
      <c r="AI160" s="40" t="e">
        <f>#REF!</f>
        <v>#REF!</v>
      </c>
      <c r="AJ160" s="36">
        <f>W158*(1-D158)</f>
        <v>30.000000000000004</v>
      </c>
      <c r="AK160" s="65" t="e">
        <f>(#REF!+(#REF!*(F158/100)))/(1-#REF!/100)</f>
        <v>#REF!</v>
      </c>
      <c r="AL160" s="65"/>
      <c r="AM160" s="39" t="e">
        <f>AJ160/AI160</f>
        <v>#REF!</v>
      </c>
      <c r="AN160" s="35"/>
      <c r="AO160" s="35"/>
      <c r="AP160" s="35"/>
      <c r="AQ160" s="35"/>
      <c r="AS160" s="35"/>
      <c r="AT160" s="51"/>
      <c r="AU160" s="35"/>
      <c r="AV160" s="51"/>
      <c r="AW160" s="35"/>
      <c r="AX160" s="51"/>
      <c r="AY160" s="35"/>
      <c r="AZ160" s="51"/>
      <c r="BA160" s="35"/>
      <c r="BB160" s="51"/>
      <c r="BC160" s="35"/>
      <c r="BD160" s="51"/>
      <c r="BE160" s="50"/>
      <c r="BF160" s="35"/>
      <c r="BG160" s="51"/>
      <c r="BH160" s="35"/>
      <c r="BI160" s="51"/>
      <c r="BJ160" s="35"/>
      <c r="BK160" s="35"/>
      <c r="BL160" s="51"/>
    </row>
    <row r="161" spans="2:64" ht="15.75" customHeight="1" x14ac:dyDescent="0.2">
      <c r="E161" s="50"/>
      <c r="X161" s="50"/>
      <c r="Y161" s="50"/>
      <c r="Z161" s="50"/>
      <c r="AC161" s="52"/>
      <c r="AD161" s="33"/>
      <c r="AE161" s="33"/>
      <c r="AF161" s="33"/>
      <c r="AG161" s="32"/>
      <c r="AH161" s="31"/>
      <c r="AI161" s="52"/>
      <c r="AJ161" s="33"/>
      <c r="AK161" s="33"/>
      <c r="AL161" s="33"/>
      <c r="AM161" s="32"/>
      <c r="AT161" s="50"/>
      <c r="AV161" s="50"/>
      <c r="AX161" s="50"/>
      <c r="AZ161" s="50"/>
      <c r="BB161" s="50"/>
      <c r="BD161" s="50"/>
      <c r="BE161" s="50"/>
      <c r="BG161" s="50"/>
      <c r="BI161" s="50"/>
      <c r="BL161" s="50"/>
    </row>
    <row r="162" spans="2:64" ht="15.75" customHeight="1" x14ac:dyDescent="0.2">
      <c r="B162" s="178" t="s">
        <v>67</v>
      </c>
      <c r="C162" s="34"/>
      <c r="AC162" s="56" t="s">
        <v>27</v>
      </c>
      <c r="AD162" s="12"/>
      <c r="AE162" s="12"/>
      <c r="AF162" s="12"/>
      <c r="AG162" s="12"/>
      <c r="AH162" s="12"/>
      <c r="AI162" s="56" t="s">
        <v>28</v>
      </c>
      <c r="AJ162" s="12"/>
      <c r="AK162" s="12"/>
      <c r="AL162" s="12"/>
      <c r="AM162" s="12"/>
      <c r="AS162" s="34" t="s">
        <v>52</v>
      </c>
      <c r="AY162" s="34" t="s">
        <v>53</v>
      </c>
      <c r="BF162" s="34" t="s">
        <v>65</v>
      </c>
    </row>
    <row r="163" spans="2:64" ht="15.75" customHeight="1" x14ac:dyDescent="0.2">
      <c r="B163" s="28" t="s">
        <v>61</v>
      </c>
      <c r="C163" s="28"/>
      <c r="D163" s="28" t="s">
        <v>29</v>
      </c>
      <c r="E163" s="57" t="s">
        <v>63</v>
      </c>
      <c r="F163" s="57" t="s">
        <v>72</v>
      </c>
      <c r="G163" s="57"/>
      <c r="H163" s="57"/>
      <c r="I163" s="57"/>
      <c r="J163" s="101"/>
      <c r="K163" s="101"/>
      <c r="L163" s="101"/>
      <c r="M163" s="101"/>
      <c r="N163" s="101"/>
      <c r="O163" s="101"/>
      <c r="P163" s="101"/>
      <c r="Q163" s="101"/>
      <c r="S163" s="28" t="s">
        <v>3</v>
      </c>
      <c r="T163" s="28"/>
      <c r="U163" s="57" t="s">
        <v>50</v>
      </c>
      <c r="V163" s="57" t="s">
        <v>70</v>
      </c>
      <c r="W163" s="28" t="s">
        <v>1</v>
      </c>
      <c r="X163" s="57" t="s">
        <v>62</v>
      </c>
      <c r="Y163" s="57" t="s">
        <v>9</v>
      </c>
      <c r="Z163" s="57"/>
      <c r="AC163" s="28" t="s">
        <v>30</v>
      </c>
      <c r="AD163" s="28" t="s">
        <v>1</v>
      </c>
      <c r="AE163" s="57" t="s">
        <v>10</v>
      </c>
      <c r="AF163" s="57"/>
      <c r="AG163" s="57" t="s">
        <v>64</v>
      </c>
      <c r="AH163" s="60"/>
      <c r="AI163" s="28" t="s">
        <v>30</v>
      </c>
      <c r="AJ163" s="28" t="s">
        <v>1</v>
      </c>
      <c r="AK163" s="57" t="s">
        <v>10</v>
      </c>
      <c r="AL163" s="57"/>
      <c r="AM163" s="57" t="s">
        <v>64</v>
      </c>
      <c r="AN163" s="28" t="s">
        <v>58</v>
      </c>
      <c r="AO163" s="28"/>
      <c r="AP163" s="28" t="s">
        <v>59</v>
      </c>
      <c r="AQ163" s="28" t="s">
        <v>60</v>
      </c>
      <c r="AS163" s="61" t="s">
        <v>54</v>
      </c>
      <c r="AT163" s="61" t="s">
        <v>57</v>
      </c>
      <c r="AU163" s="61" t="s">
        <v>55</v>
      </c>
      <c r="AV163" s="61" t="s">
        <v>57</v>
      </c>
      <c r="AW163" s="61" t="s">
        <v>56</v>
      </c>
      <c r="AX163" s="61" t="s">
        <v>57</v>
      </c>
      <c r="AY163" s="28" t="s">
        <v>54</v>
      </c>
      <c r="AZ163" s="28" t="s">
        <v>57</v>
      </c>
      <c r="BA163" s="28" t="s">
        <v>55</v>
      </c>
      <c r="BB163" s="28" t="s">
        <v>57</v>
      </c>
      <c r="BC163" s="28" t="s">
        <v>56</v>
      </c>
      <c r="BD163" s="28" t="s">
        <v>57</v>
      </c>
      <c r="BE163" s="60"/>
      <c r="BF163" s="61" t="s">
        <v>54</v>
      </c>
      <c r="BG163" s="61" t="s">
        <v>57</v>
      </c>
      <c r="BH163" s="61" t="s">
        <v>55</v>
      </c>
      <c r="BI163" s="61" t="s">
        <v>57</v>
      </c>
      <c r="BJ163" s="61" t="s">
        <v>66</v>
      </c>
      <c r="BK163" s="61" t="s">
        <v>56</v>
      </c>
      <c r="BL163" s="61" t="s">
        <v>57</v>
      </c>
    </row>
    <row r="164" spans="2:64" ht="15.75" customHeight="1" x14ac:dyDescent="0.2">
      <c r="B164" s="33">
        <v>200</v>
      </c>
      <c r="C164" s="33"/>
      <c r="D164" s="29">
        <v>0.6</v>
      </c>
      <c r="E164" s="50">
        <v>5</v>
      </c>
      <c r="F164">
        <v>10</v>
      </c>
      <c r="S164" s="12" t="s">
        <v>68</v>
      </c>
      <c r="T164" s="12"/>
      <c r="U164" s="13"/>
      <c r="V164" s="13"/>
      <c r="W164" s="13">
        <v>400</v>
      </c>
      <c r="X164" s="58" t="e">
        <f>W164/#REF!</f>
        <v>#REF!</v>
      </c>
      <c r="Y164" s="58"/>
      <c r="Z164" s="58"/>
      <c r="AC164" s="31" t="e">
        <f>#REF!</f>
        <v>#REF!</v>
      </c>
      <c r="AD164" s="31">
        <f>W164*D164</f>
        <v>240</v>
      </c>
      <c r="AE164" s="63" t="e">
        <f>(#REF!+(#REF!*(F164/100)))/(1-#REF!/100)</f>
        <v>#REF!</v>
      </c>
      <c r="AF164" s="63"/>
      <c r="AG164" s="32" t="e">
        <f>AD164/AC164</f>
        <v>#REF!</v>
      </c>
      <c r="AH164" s="32"/>
      <c r="AI164" s="31" t="e">
        <f>#REF!</f>
        <v>#REF!</v>
      </c>
      <c r="AJ164" s="31">
        <f>W164*(1-D164)</f>
        <v>160</v>
      </c>
      <c r="AK164" s="63" t="e">
        <f>(#REF!+(#REF!*(F164/100)))/(1-#REF!/100)</f>
        <v>#REF!</v>
      </c>
      <c r="AL164" s="63"/>
      <c r="AM164" s="32" t="e">
        <f>AJ164/AI164</f>
        <v>#REF!</v>
      </c>
      <c r="AN164" s="32" t="e">
        <f>AG164</f>
        <v>#REF!</v>
      </c>
      <c r="AO164" s="32"/>
      <c r="AP164" s="32" t="e">
        <f>AM164</f>
        <v>#REF!</v>
      </c>
      <c r="AQ164" s="32" t="e">
        <f>AN164+AP164</f>
        <v>#REF!</v>
      </c>
      <c r="AS164" s="52">
        <v>0</v>
      </c>
      <c r="AT164" s="50">
        <v>0</v>
      </c>
      <c r="AU164" s="52">
        <v>0</v>
      </c>
      <c r="AV164" s="50">
        <v>0</v>
      </c>
      <c r="AW164" s="52">
        <v>0</v>
      </c>
      <c r="AX164" s="54">
        <v>0</v>
      </c>
      <c r="AY164" s="52">
        <v>0</v>
      </c>
      <c r="AZ164" s="50">
        <v>0</v>
      </c>
      <c r="BA164" s="52">
        <v>0</v>
      </c>
      <c r="BB164" s="50">
        <v>0</v>
      </c>
      <c r="BC164" s="52">
        <v>0</v>
      </c>
      <c r="BD164" s="50">
        <v>0</v>
      </c>
      <c r="BE164" s="50"/>
      <c r="BF164" s="52">
        <v>0</v>
      </c>
      <c r="BG164" s="50">
        <v>0</v>
      </c>
      <c r="BH164" s="52">
        <v>0</v>
      </c>
      <c r="BI164" s="50">
        <v>0</v>
      </c>
      <c r="BJ164" s="52">
        <v>0</v>
      </c>
      <c r="BK164" s="52">
        <v>0</v>
      </c>
      <c r="BL164" s="50">
        <v>0</v>
      </c>
    </row>
    <row r="165" spans="2:64" ht="15.75" customHeight="1" x14ac:dyDescent="0.2">
      <c r="B165" s="36">
        <v>100</v>
      </c>
      <c r="C165" s="36"/>
      <c r="D165" s="37">
        <v>0.6</v>
      </c>
      <c r="E165" s="51">
        <v>5</v>
      </c>
      <c r="F165" s="35">
        <v>10</v>
      </c>
      <c r="G165" s="35"/>
      <c r="H165" s="35"/>
      <c r="I165" s="35"/>
      <c r="S165" s="41" t="s">
        <v>69</v>
      </c>
      <c r="T165" s="41"/>
      <c r="U165" s="35"/>
      <c r="V165" s="59">
        <v>2</v>
      </c>
      <c r="W165" s="42"/>
      <c r="X165" s="59"/>
      <c r="Y165" s="59"/>
      <c r="Z165" s="59"/>
      <c r="AC165" s="38" t="e">
        <f>AC164/V165</f>
        <v>#REF!</v>
      </c>
      <c r="AD165" s="38">
        <f>AD164</f>
        <v>240</v>
      </c>
      <c r="AE165" s="65" t="e">
        <f>AE164/V165</f>
        <v>#REF!</v>
      </c>
      <c r="AF165" s="65"/>
      <c r="AG165" s="39" t="e">
        <f>AG164*V165</f>
        <v>#REF!</v>
      </c>
      <c r="AH165" s="32"/>
      <c r="AI165" s="38" t="e">
        <f>AI164/V165</f>
        <v>#REF!</v>
      </c>
      <c r="AJ165" s="38">
        <f>AJ164</f>
        <v>160</v>
      </c>
      <c r="AK165" s="65" t="e">
        <f>AK164/V165</f>
        <v>#REF!</v>
      </c>
      <c r="AL165" s="65"/>
      <c r="AM165" s="39" t="e">
        <f>AM164*V165</f>
        <v>#REF!</v>
      </c>
      <c r="AN165" s="39" t="e">
        <f>AN164*V165</f>
        <v>#REF!</v>
      </c>
      <c r="AO165" s="39"/>
      <c r="AP165" s="39" t="e">
        <f>AP164*V165</f>
        <v>#REF!</v>
      </c>
      <c r="AQ165" s="39" t="e">
        <f>AN165+AP165</f>
        <v>#REF!</v>
      </c>
      <c r="AS165" s="40">
        <f t="shared" ref="AS165:AX165" si="32">AS164</f>
        <v>0</v>
      </c>
      <c r="AT165" s="51">
        <f t="shared" si="32"/>
        <v>0</v>
      </c>
      <c r="AU165" s="40">
        <f t="shared" si="32"/>
        <v>0</v>
      </c>
      <c r="AV165" s="51">
        <f t="shared" si="32"/>
        <v>0</v>
      </c>
      <c r="AW165" s="40">
        <f t="shared" si="32"/>
        <v>0</v>
      </c>
      <c r="AX165" s="55">
        <f t="shared" si="32"/>
        <v>0</v>
      </c>
      <c r="AY165" s="40">
        <f t="shared" ref="AY165:BD165" si="33">AY164</f>
        <v>0</v>
      </c>
      <c r="AZ165" s="51">
        <f t="shared" si="33"/>
        <v>0</v>
      </c>
      <c r="BA165" s="40">
        <f t="shared" si="33"/>
        <v>0</v>
      </c>
      <c r="BB165" s="51">
        <f t="shared" si="33"/>
        <v>0</v>
      </c>
      <c r="BC165" s="40">
        <f t="shared" si="33"/>
        <v>0</v>
      </c>
      <c r="BD165" s="51">
        <f t="shared" si="33"/>
        <v>0</v>
      </c>
      <c r="BE165" s="50"/>
      <c r="BF165" s="40">
        <f t="shared" ref="BF165:BL165" si="34">BF164</f>
        <v>0</v>
      </c>
      <c r="BG165" s="51">
        <f t="shared" si="34"/>
        <v>0</v>
      </c>
      <c r="BH165" s="40">
        <f t="shared" si="34"/>
        <v>0</v>
      </c>
      <c r="BI165" s="51">
        <f t="shared" si="34"/>
        <v>0</v>
      </c>
      <c r="BJ165" s="40">
        <f t="shared" si="34"/>
        <v>0</v>
      </c>
      <c r="BK165" s="40">
        <f t="shared" si="34"/>
        <v>0</v>
      </c>
      <c r="BL165" s="51">
        <f t="shared" si="34"/>
        <v>0</v>
      </c>
    </row>
    <row r="166" spans="2:64" ht="15.75" customHeight="1" x14ac:dyDescent="0.2">
      <c r="B166" s="33">
        <v>100</v>
      </c>
      <c r="C166" s="33"/>
      <c r="D166" s="29">
        <v>0.6</v>
      </c>
      <c r="E166" s="50">
        <v>5</v>
      </c>
      <c r="F166">
        <v>10</v>
      </c>
      <c r="S166" s="12" t="s">
        <v>71</v>
      </c>
      <c r="T166" s="12"/>
      <c r="U166" s="13"/>
      <c r="V166" s="13"/>
      <c r="W166" s="13">
        <v>300</v>
      </c>
      <c r="X166" s="58" t="e">
        <f>W166/#REF!</f>
        <v>#REF!</v>
      </c>
      <c r="Y166" s="58"/>
      <c r="Z166" s="58"/>
      <c r="AC166" s="31" t="e">
        <f>#REF!</f>
        <v>#REF!</v>
      </c>
      <c r="AD166" s="31">
        <f>W166*D166</f>
        <v>180</v>
      </c>
      <c r="AE166" s="63" t="e">
        <f>(#REF!+(#REF!*(F166/100)))/(1-#REF!/100)</f>
        <v>#REF!</v>
      </c>
      <c r="AF166" s="63"/>
      <c r="AG166" s="32" t="e">
        <f>AD166/AC166</f>
        <v>#REF!</v>
      </c>
      <c r="AH166" s="32"/>
      <c r="AI166" s="31" t="e">
        <f>#REF!</f>
        <v>#REF!</v>
      </c>
      <c r="AJ166" s="31">
        <f>W166*(1-D166)</f>
        <v>120</v>
      </c>
      <c r="AK166" s="63" t="e">
        <f>(#REF!+(#REF!*(F166/100)))/(1-#REF!/100)</f>
        <v>#REF!</v>
      </c>
      <c r="AL166" s="63"/>
      <c r="AM166" s="32" t="e">
        <f>AJ166/AI166</f>
        <v>#REF!</v>
      </c>
      <c r="AN166" s="32" t="e">
        <f>AG166+AG167</f>
        <v>#REF!</v>
      </c>
      <c r="AO166" s="32"/>
      <c r="AP166" s="32" t="e">
        <f>AM166+AM167</f>
        <v>#REF!</v>
      </c>
      <c r="AQ166" s="32" t="e">
        <f>AN166+AP166</f>
        <v>#REF!</v>
      </c>
      <c r="AS166" s="52">
        <f>AS164</f>
        <v>0</v>
      </c>
      <c r="AT166" s="50">
        <f t="shared" ref="AT166:AV166" si="35">AT164</f>
        <v>0</v>
      </c>
      <c r="AU166" s="52">
        <f t="shared" si="35"/>
        <v>0</v>
      </c>
      <c r="AV166" s="50">
        <f t="shared" si="35"/>
        <v>0</v>
      </c>
      <c r="AW166" s="52">
        <f>AW164</f>
        <v>0</v>
      </c>
      <c r="AX166" s="62">
        <f>AW166/W164</f>
        <v>0</v>
      </c>
      <c r="AY166" s="63" t="e">
        <f>(B166*AN166)-(AD166+AD167)</f>
        <v>#REF!</v>
      </c>
      <c r="AZ166" s="62" t="e">
        <f>AY166/(AD166+AD167)</f>
        <v>#REF!</v>
      </c>
      <c r="BA166" s="63" t="e">
        <f>(AP166*B166)-(AJ166+AJ167)</f>
        <v>#REF!</v>
      </c>
      <c r="BB166" s="62" t="e">
        <f>BA166/(AJ166+AJ167)</f>
        <v>#REF!</v>
      </c>
      <c r="BC166" s="63" t="e">
        <f>AY166+BA166</f>
        <v>#REF!</v>
      </c>
      <c r="BD166" s="62" t="e">
        <f>BC166/(AD166+AD167+AJ166+AJ167)</f>
        <v>#REF!</v>
      </c>
      <c r="BE166" s="50"/>
      <c r="BF166" s="63" t="e">
        <f>AS166+AY166</f>
        <v>#REF!</v>
      </c>
      <c r="BG166" s="62" t="e">
        <f>AZ166</f>
        <v>#REF!</v>
      </c>
      <c r="BH166" s="63" t="e">
        <f>AU166+BA166</f>
        <v>#REF!</v>
      </c>
      <c r="BI166" s="62" t="e">
        <f>BH166/(AJ166+AJ167)</f>
        <v>#REF!</v>
      </c>
      <c r="BJ166" s="63">
        <f>BJ164</f>
        <v>0</v>
      </c>
      <c r="BK166" s="63" t="e">
        <f>BF166+BH166+BJ166</f>
        <v>#REF!</v>
      </c>
      <c r="BL166" s="62" t="e">
        <f>BK166/(AD166+AD167+AJ166+AJ167)</f>
        <v>#REF!</v>
      </c>
    </row>
    <row r="167" spans="2:64" ht="15.75" customHeight="1" x14ac:dyDescent="0.2">
      <c r="B167" s="33"/>
      <c r="C167" s="33"/>
      <c r="D167" s="29"/>
      <c r="E167" s="50"/>
      <c r="S167" s="12"/>
      <c r="T167" s="12"/>
      <c r="U167" s="13"/>
      <c r="V167" s="13"/>
      <c r="W167" s="13"/>
      <c r="X167" s="58"/>
      <c r="Y167" s="58"/>
      <c r="Z167" s="58"/>
      <c r="AC167" s="31" t="e">
        <f>AC165</f>
        <v>#REF!</v>
      </c>
      <c r="AD167" s="31">
        <f>AD165</f>
        <v>240</v>
      </c>
      <c r="AE167" s="63" t="e">
        <f>AE165</f>
        <v>#REF!</v>
      </c>
      <c r="AF167" s="63"/>
      <c r="AG167" s="32" t="e">
        <f>AG165</f>
        <v>#REF!</v>
      </c>
      <c r="AH167" s="32"/>
      <c r="AI167" s="31" t="e">
        <f>AI165</f>
        <v>#REF!</v>
      </c>
      <c r="AJ167" s="31">
        <f>AJ165</f>
        <v>160</v>
      </c>
      <c r="AK167" s="63" t="e">
        <f>AK165</f>
        <v>#REF!</v>
      </c>
      <c r="AL167" s="63"/>
      <c r="AM167" s="32" t="e">
        <f>AM165</f>
        <v>#REF!</v>
      </c>
      <c r="AN167" s="32"/>
      <c r="AO167" s="32"/>
      <c r="AP167" s="32"/>
      <c r="AQ167" s="32"/>
      <c r="AS167" s="52"/>
      <c r="AT167" s="50"/>
      <c r="AU167" s="52"/>
      <c r="AV167" s="50"/>
      <c r="AW167" s="52"/>
      <c r="AX167" s="62"/>
      <c r="AY167" s="52"/>
      <c r="AZ167" s="50"/>
      <c r="BA167" s="52"/>
      <c r="BB167" s="50"/>
      <c r="BC167" s="52"/>
      <c r="BD167" s="50"/>
      <c r="BE167" s="50"/>
      <c r="BF167" s="52"/>
      <c r="BG167" s="50"/>
      <c r="BH167" s="52"/>
      <c r="BI167" s="50"/>
      <c r="BJ167" s="63"/>
      <c r="BK167" s="63"/>
      <c r="BL167" s="62"/>
    </row>
    <row r="168" spans="2:64" ht="15.75" customHeight="1" x14ac:dyDescent="0.2">
      <c r="B168" s="33"/>
      <c r="C168" s="33"/>
      <c r="D168" s="29"/>
      <c r="E168" s="50"/>
      <c r="S168" s="12"/>
      <c r="T168" s="12"/>
      <c r="U168" s="13"/>
      <c r="V168" s="13"/>
      <c r="W168" s="13"/>
      <c r="X168" s="58"/>
      <c r="Y168" s="58"/>
      <c r="Z168" s="58"/>
      <c r="AC168" s="31"/>
      <c r="AD168" s="31"/>
      <c r="AE168" s="63"/>
      <c r="AF168" s="63"/>
      <c r="AG168" s="32"/>
      <c r="AH168" s="32"/>
      <c r="AI168" s="31"/>
      <c r="AJ168" s="31"/>
      <c r="AK168" s="63"/>
      <c r="AL168" s="63"/>
      <c r="AM168" s="32"/>
      <c r="AN168" s="32"/>
      <c r="AO168" s="32"/>
      <c r="AP168" s="32"/>
      <c r="AQ168" s="32"/>
      <c r="AS168" s="52"/>
      <c r="AT168" s="50"/>
      <c r="AU168" s="52"/>
      <c r="AV168" s="50"/>
      <c r="AW168" s="52"/>
      <c r="AX168" s="62"/>
      <c r="AY168" s="52"/>
      <c r="AZ168" s="50"/>
      <c r="BA168" s="52"/>
      <c r="BB168" s="50"/>
      <c r="BC168" s="52"/>
      <c r="BD168" s="50"/>
      <c r="BE168" s="50"/>
      <c r="BF168" s="52"/>
      <c r="BG168" s="50"/>
      <c r="BH168" s="52"/>
      <c r="BI168" s="50"/>
      <c r="BJ168" s="63"/>
      <c r="BK168" s="63"/>
      <c r="BL168" s="62"/>
    </row>
    <row r="169" spans="2:64" ht="15.75" customHeight="1" x14ac:dyDescent="0.2">
      <c r="B169" s="179" t="s">
        <v>37</v>
      </c>
      <c r="C169" s="109"/>
      <c r="U169" s="12"/>
      <c r="V169" s="12"/>
      <c r="W169" s="12"/>
      <c r="X169" s="12"/>
      <c r="Y169" s="12"/>
      <c r="Z169" s="12"/>
      <c r="AA169" s="12"/>
      <c r="AB169" s="12"/>
      <c r="AC169" s="56" t="s">
        <v>27</v>
      </c>
      <c r="AD169" s="12"/>
      <c r="AE169" s="12"/>
      <c r="AF169" s="12"/>
      <c r="AG169" s="12"/>
      <c r="AH169" s="12"/>
      <c r="AI169" s="56" t="s">
        <v>28</v>
      </c>
      <c r="AJ169" s="12"/>
      <c r="AK169" s="12"/>
      <c r="AL169" s="12"/>
      <c r="AM169" s="12"/>
      <c r="AT169" s="33"/>
      <c r="AY169" s="63"/>
    </row>
    <row r="170" spans="2:64" ht="15.75" customHeight="1" x14ac:dyDescent="0.2">
      <c r="B170" s="28" t="s">
        <v>61</v>
      </c>
      <c r="C170" s="28"/>
      <c r="D170" s="28" t="s">
        <v>29</v>
      </c>
      <c r="E170" s="57" t="s">
        <v>63</v>
      </c>
      <c r="F170" s="57" t="s">
        <v>72</v>
      </c>
      <c r="G170" s="57"/>
      <c r="H170" s="57"/>
      <c r="I170" s="57"/>
      <c r="J170" s="101"/>
      <c r="K170" s="101"/>
      <c r="L170" s="101"/>
      <c r="M170" s="101"/>
      <c r="N170" s="101"/>
      <c r="O170" s="101"/>
      <c r="P170" s="101"/>
      <c r="Q170" s="101"/>
      <c r="S170" s="28" t="s">
        <v>3</v>
      </c>
      <c r="T170" s="28"/>
      <c r="U170" s="57" t="s">
        <v>50</v>
      </c>
      <c r="V170" s="57" t="s">
        <v>70</v>
      </c>
      <c r="W170" s="28" t="s">
        <v>1</v>
      </c>
      <c r="X170" s="57" t="s">
        <v>62</v>
      </c>
      <c r="Y170" s="57" t="s">
        <v>9</v>
      </c>
      <c r="Z170" s="57"/>
      <c r="AA170" s="60"/>
      <c r="AB170" s="12"/>
      <c r="AC170" s="28" t="s">
        <v>30</v>
      </c>
      <c r="AD170" s="28" t="s">
        <v>1</v>
      </c>
      <c r="AE170" s="57" t="s">
        <v>10</v>
      </c>
      <c r="AF170" s="57"/>
      <c r="AG170" s="57" t="s">
        <v>64</v>
      </c>
      <c r="AH170" s="60"/>
      <c r="AI170" s="28" t="s">
        <v>30</v>
      </c>
      <c r="AJ170" s="28" t="s">
        <v>1</v>
      </c>
      <c r="AK170" s="57" t="s">
        <v>10</v>
      </c>
      <c r="AL170" s="57"/>
      <c r="AM170" s="57" t="s">
        <v>64</v>
      </c>
      <c r="AT170" s="33"/>
    </row>
    <row r="171" spans="2:64" ht="15.75" customHeight="1" x14ac:dyDescent="0.2">
      <c r="B171" s="33">
        <v>100</v>
      </c>
      <c r="C171" s="33"/>
      <c r="D171" s="29">
        <v>0.6</v>
      </c>
      <c r="E171" s="50">
        <v>5</v>
      </c>
      <c r="F171">
        <v>10</v>
      </c>
      <c r="S171" t="s">
        <v>38</v>
      </c>
      <c r="U171" s="33"/>
      <c r="V171" s="33"/>
      <c r="W171" s="33">
        <v>200</v>
      </c>
      <c r="X171" s="33"/>
      <c r="Y171" s="33"/>
      <c r="Z171" s="33"/>
      <c r="AA171" s="67"/>
      <c r="AC171" s="33" t="e">
        <f>#REF!</f>
        <v>#REF!</v>
      </c>
      <c r="AD171" s="33">
        <f>W171*D171</f>
        <v>120</v>
      </c>
      <c r="AE171" s="33"/>
      <c r="AF171" s="33"/>
      <c r="AG171" s="44" t="e">
        <f>AD171/AC171</f>
        <v>#REF!</v>
      </c>
      <c r="AH171" s="44"/>
      <c r="AI171" s="33" t="e">
        <f>#REF!</f>
        <v>#REF!</v>
      </c>
      <c r="AJ171" s="31">
        <f>W171*(1-D171)</f>
        <v>80</v>
      </c>
      <c r="AK171" s="33"/>
      <c r="AL171" s="33"/>
      <c r="AM171" s="32" t="e">
        <f>AJ171/AI171</f>
        <v>#REF!</v>
      </c>
    </row>
    <row r="172" spans="2:64" ht="15.75" customHeight="1" x14ac:dyDescent="0.2">
      <c r="B172" s="36">
        <v>100</v>
      </c>
      <c r="C172" s="36"/>
      <c r="D172" s="37">
        <v>0.6</v>
      </c>
      <c r="E172" s="51">
        <v>5</v>
      </c>
      <c r="F172" s="35">
        <v>10</v>
      </c>
      <c r="G172" s="35"/>
      <c r="H172" s="35"/>
      <c r="I172" s="35"/>
      <c r="S172" s="35" t="s">
        <v>39</v>
      </c>
      <c r="T172" s="35"/>
      <c r="U172" s="35"/>
      <c r="V172" s="35"/>
      <c r="W172" s="35"/>
      <c r="X172" s="35"/>
      <c r="Y172" s="35"/>
      <c r="Z172" s="35"/>
      <c r="AC172" s="38" t="s">
        <v>34</v>
      </c>
      <c r="AD172" s="38" t="s">
        <v>34</v>
      </c>
      <c r="AE172" s="38"/>
      <c r="AF172" s="38"/>
      <c r="AG172" s="38" t="s">
        <v>34</v>
      </c>
      <c r="AH172" s="31"/>
      <c r="AI172" s="38" t="s">
        <v>34</v>
      </c>
      <c r="AJ172" s="38" t="s">
        <v>34</v>
      </c>
      <c r="AK172" s="38"/>
      <c r="AL172" s="38"/>
      <c r="AM172" s="38" t="s">
        <v>34</v>
      </c>
    </row>
    <row r="173" spans="2:64" ht="15.75" customHeight="1" x14ac:dyDescent="0.2">
      <c r="B173" s="33">
        <v>100</v>
      </c>
      <c r="C173" s="33"/>
      <c r="D173" s="29">
        <v>0.6</v>
      </c>
      <c r="E173" s="50">
        <v>5</v>
      </c>
      <c r="F173">
        <v>10</v>
      </c>
      <c r="S173" t="s">
        <v>40</v>
      </c>
      <c r="U173" s="33"/>
      <c r="V173" s="33"/>
      <c r="W173" s="33">
        <v>500</v>
      </c>
      <c r="X173" s="33"/>
      <c r="Y173" s="33"/>
      <c r="Z173" s="33"/>
      <c r="AA173" s="67"/>
      <c r="AC173" s="33" t="e">
        <f>#REF!</f>
        <v>#REF!</v>
      </c>
      <c r="AD173" s="33">
        <f>W173</f>
        <v>500</v>
      </c>
      <c r="AE173" s="33"/>
      <c r="AF173" s="33"/>
      <c r="AG173" s="44" t="e">
        <f>AD173/AC173</f>
        <v>#REF!</v>
      </c>
      <c r="AH173" s="44"/>
      <c r="AI173" s="31" t="s">
        <v>34</v>
      </c>
      <c r="AJ173" s="31" t="s">
        <v>34</v>
      </c>
      <c r="AK173" s="33"/>
      <c r="AL173" s="33"/>
      <c r="AM173" s="31" t="s">
        <v>34</v>
      </c>
    </row>
    <row r="174" spans="2:64" ht="15.75" customHeight="1" x14ac:dyDescent="0.2">
      <c r="B174" s="36">
        <v>100</v>
      </c>
      <c r="C174" s="36"/>
      <c r="D174" s="37">
        <v>0.6</v>
      </c>
      <c r="E174" s="51">
        <v>5</v>
      </c>
      <c r="F174" s="35">
        <v>10</v>
      </c>
      <c r="G174" s="35"/>
      <c r="H174" s="35"/>
      <c r="I174" s="35"/>
      <c r="S174" s="35" t="s">
        <v>41</v>
      </c>
      <c r="T174" s="35"/>
      <c r="U174" s="35"/>
      <c r="V174" s="35"/>
      <c r="W174" s="35"/>
      <c r="X174" s="35"/>
      <c r="Y174" s="35"/>
      <c r="Z174" s="35"/>
      <c r="AC174" s="38" t="s">
        <v>34</v>
      </c>
      <c r="AD174" s="38" t="s">
        <v>34</v>
      </c>
      <c r="AE174" s="38"/>
      <c r="AF174" s="38"/>
      <c r="AG174" s="38" t="s">
        <v>34</v>
      </c>
      <c r="AH174" s="31"/>
      <c r="AI174" s="38" t="s">
        <v>34</v>
      </c>
      <c r="AJ174" s="38" t="s">
        <v>34</v>
      </c>
      <c r="AK174" s="38"/>
      <c r="AL174" s="38"/>
      <c r="AM174" s="38" t="s">
        <v>34</v>
      </c>
    </row>
    <row r="175" spans="2:64" ht="15.75" customHeight="1" x14ac:dyDescent="0.2">
      <c r="B175" s="33">
        <v>100</v>
      </c>
      <c r="C175" s="33"/>
      <c r="D175" s="29">
        <v>0.6</v>
      </c>
      <c r="E175" s="50">
        <v>5</v>
      </c>
      <c r="F175">
        <v>10</v>
      </c>
      <c r="S175" t="s">
        <v>42</v>
      </c>
      <c r="U175" s="33"/>
      <c r="V175" s="33"/>
      <c r="W175" s="33">
        <v>350</v>
      </c>
      <c r="X175" s="33"/>
      <c r="Y175" s="33"/>
      <c r="Z175" s="33"/>
      <c r="AA175" s="67"/>
      <c r="AC175" s="31" t="s">
        <v>34</v>
      </c>
      <c r="AD175" s="31" t="s">
        <v>34</v>
      </c>
      <c r="AE175" s="31"/>
      <c r="AF175" s="31"/>
      <c r="AG175" s="31" t="s">
        <v>34</v>
      </c>
      <c r="AH175" s="31"/>
      <c r="AI175" s="33" t="e">
        <f>#REF!</f>
        <v>#REF!</v>
      </c>
      <c r="AJ175" s="31">
        <f>W175*(1-D175)</f>
        <v>140</v>
      </c>
      <c r="AK175" s="31"/>
      <c r="AL175" s="31"/>
      <c r="AM175" s="32" t="e">
        <f>AJ175/AI175</f>
        <v>#REF!</v>
      </c>
    </row>
    <row r="176" spans="2:64" ht="15.75" customHeight="1" x14ac:dyDescent="0.2">
      <c r="B176" s="36">
        <v>100</v>
      </c>
      <c r="C176" s="36"/>
      <c r="D176" s="37">
        <v>0.6</v>
      </c>
      <c r="E176" s="51">
        <v>5</v>
      </c>
      <c r="F176" s="35">
        <v>10</v>
      </c>
      <c r="G176" s="35"/>
      <c r="H176" s="35"/>
      <c r="I176" s="35"/>
      <c r="S176" s="35" t="s">
        <v>43</v>
      </c>
      <c r="T176" s="35"/>
      <c r="U176" s="35"/>
      <c r="V176" s="35"/>
      <c r="W176" s="35"/>
      <c r="X176" s="35"/>
      <c r="Y176" s="35"/>
      <c r="Z176" s="35"/>
      <c r="AC176" s="38" t="s">
        <v>34</v>
      </c>
      <c r="AD176" s="38" t="s">
        <v>34</v>
      </c>
      <c r="AE176" s="38"/>
      <c r="AF176" s="38"/>
      <c r="AG176" s="38" t="s">
        <v>34</v>
      </c>
      <c r="AH176" s="31"/>
      <c r="AI176" s="38" t="s">
        <v>34</v>
      </c>
      <c r="AJ176" s="38" t="s">
        <v>34</v>
      </c>
      <c r="AK176" s="38"/>
      <c r="AL176" s="38"/>
      <c r="AM176" s="38" t="s">
        <v>34</v>
      </c>
    </row>
    <row r="178" spans="2:44" ht="15.75" customHeight="1" x14ac:dyDescent="0.2">
      <c r="B178" s="178" t="s">
        <v>44</v>
      </c>
      <c r="C178" s="34"/>
      <c r="AC178" s="56" t="s">
        <v>27</v>
      </c>
      <c r="AD178" s="12"/>
      <c r="AE178" s="12"/>
      <c r="AF178" s="12"/>
      <c r="AG178" s="12"/>
      <c r="AH178" s="12"/>
      <c r="AI178" s="56" t="s">
        <v>28</v>
      </c>
      <c r="AK178" s="12"/>
      <c r="AL178" s="12"/>
    </row>
    <row r="179" spans="2:44" ht="15.75" customHeight="1" x14ac:dyDescent="0.2">
      <c r="B179" s="28" t="s">
        <v>61</v>
      </c>
      <c r="C179" s="28"/>
      <c r="D179" s="28" t="s">
        <v>29</v>
      </c>
      <c r="E179" s="57" t="s">
        <v>63</v>
      </c>
      <c r="F179" s="57" t="s">
        <v>72</v>
      </c>
      <c r="G179" s="57"/>
      <c r="H179" s="57"/>
      <c r="I179" s="57"/>
      <c r="J179" s="101"/>
      <c r="K179" s="101"/>
      <c r="L179" s="101"/>
      <c r="M179" s="101"/>
      <c r="N179" s="101"/>
      <c r="O179" s="101"/>
      <c r="P179" s="101"/>
      <c r="Q179" s="101"/>
      <c r="S179" s="28" t="s">
        <v>3</v>
      </c>
      <c r="T179" s="28"/>
      <c r="U179" s="57" t="s">
        <v>50</v>
      </c>
      <c r="V179" s="57" t="s">
        <v>70</v>
      </c>
      <c r="W179" s="28" t="s">
        <v>1</v>
      </c>
      <c r="X179" s="57" t="s">
        <v>62</v>
      </c>
      <c r="Y179" s="57" t="s">
        <v>9</v>
      </c>
      <c r="Z179" s="57"/>
      <c r="AA179" s="60"/>
      <c r="AB179" s="12"/>
      <c r="AC179" s="28" t="s">
        <v>30</v>
      </c>
      <c r="AD179" s="28" t="s">
        <v>1</v>
      </c>
      <c r="AE179" s="57" t="s">
        <v>10</v>
      </c>
      <c r="AF179" s="57"/>
      <c r="AG179" s="57" t="s">
        <v>64</v>
      </c>
      <c r="AH179" s="60"/>
      <c r="AI179" s="28" t="s">
        <v>30</v>
      </c>
      <c r="AJ179" s="28" t="s">
        <v>1</v>
      </c>
      <c r="AK179" s="57" t="s">
        <v>10</v>
      </c>
      <c r="AL179" s="57"/>
      <c r="AM179" s="57" t="s">
        <v>64</v>
      </c>
    </row>
    <row r="180" spans="2:44" ht="15.75" customHeight="1" x14ac:dyDescent="0.2">
      <c r="B180" s="33">
        <v>100</v>
      </c>
      <c r="C180" s="33"/>
      <c r="D180" s="29">
        <v>0.3</v>
      </c>
      <c r="E180" s="50">
        <v>5</v>
      </c>
      <c r="F180">
        <v>10</v>
      </c>
      <c r="S180" s="45" t="s">
        <v>47</v>
      </c>
      <c r="T180" s="45"/>
      <c r="U180" s="33"/>
      <c r="V180" s="33"/>
      <c r="W180" s="33">
        <v>200</v>
      </c>
      <c r="X180" s="33"/>
      <c r="Y180" s="33"/>
      <c r="Z180" s="33"/>
      <c r="AA180" s="67"/>
      <c r="AC180" s="33" t="e">
        <f>#REF!</f>
        <v>#REF!</v>
      </c>
      <c r="AD180" s="33">
        <f>W180*D180</f>
        <v>60</v>
      </c>
      <c r="AE180" s="33"/>
      <c r="AF180" s="33"/>
      <c r="AG180" s="44" t="e">
        <f>AD180/AC180</f>
        <v>#REF!</v>
      </c>
      <c r="AH180" s="44"/>
      <c r="AI180" s="33" t="e">
        <f>#REF!</f>
        <v>#REF!</v>
      </c>
      <c r="AJ180" s="31">
        <f>W180*(1-D180)</f>
        <v>140</v>
      </c>
      <c r="AK180" s="33"/>
      <c r="AL180" s="33"/>
      <c r="AM180" s="32" t="e">
        <f>AJ180/AI180</f>
        <v>#REF!</v>
      </c>
    </row>
    <row r="181" spans="2:44" ht="15.75" customHeight="1" x14ac:dyDescent="0.2">
      <c r="B181" s="36">
        <v>100</v>
      </c>
      <c r="C181" s="36"/>
      <c r="D181" s="37">
        <v>0.3</v>
      </c>
      <c r="E181" s="51">
        <v>5</v>
      </c>
      <c r="F181" s="35">
        <v>10</v>
      </c>
      <c r="G181" s="35"/>
      <c r="H181" s="35"/>
      <c r="I181" s="35"/>
      <c r="S181" s="47" t="s">
        <v>45</v>
      </c>
      <c r="T181" s="47"/>
      <c r="U181" s="36"/>
      <c r="V181" s="36"/>
      <c r="W181" s="36">
        <v>300</v>
      </c>
      <c r="X181" s="36"/>
      <c r="Y181" s="36"/>
      <c r="Z181" s="36"/>
      <c r="AA181" s="67"/>
      <c r="AC181" s="36" t="e">
        <f>#REF!</f>
        <v>#REF!</v>
      </c>
      <c r="AD181" s="36">
        <f>W181+AD180</f>
        <v>360</v>
      </c>
      <c r="AE181" s="36"/>
      <c r="AF181" s="36"/>
      <c r="AG181" s="48" t="e">
        <f>AD181/AC181</f>
        <v>#REF!</v>
      </c>
      <c r="AH181" s="44"/>
      <c r="AI181" s="36">
        <v>100</v>
      </c>
      <c r="AJ181" s="38">
        <f>AJ180</f>
        <v>140</v>
      </c>
      <c r="AK181" s="36"/>
      <c r="AL181" s="36"/>
      <c r="AM181" s="39">
        <v>1.4</v>
      </c>
    </row>
    <row r="182" spans="2:44" ht="15.75" customHeight="1" x14ac:dyDescent="0.2">
      <c r="B182" s="33">
        <v>100</v>
      </c>
      <c r="C182" s="33"/>
      <c r="D182" s="29">
        <v>0.3</v>
      </c>
      <c r="E182" s="50">
        <v>5</v>
      </c>
      <c r="F182">
        <v>10</v>
      </c>
      <c r="S182" s="45" t="s">
        <v>46</v>
      </c>
      <c r="T182" s="45"/>
      <c r="U182" s="33"/>
      <c r="V182" s="33"/>
      <c r="W182" s="33">
        <v>400</v>
      </c>
      <c r="X182" s="33"/>
      <c r="Y182" s="33"/>
      <c r="Z182" s="33"/>
      <c r="AC182" s="33">
        <v>100</v>
      </c>
      <c r="AD182" s="33">
        <f>AD181</f>
        <v>360</v>
      </c>
      <c r="AE182" s="33"/>
      <c r="AF182" s="33"/>
      <c r="AG182" s="44">
        <v>3.6</v>
      </c>
      <c r="AH182" s="44"/>
      <c r="AI182" s="33" t="e">
        <f>#REF!</f>
        <v>#REF!</v>
      </c>
      <c r="AJ182" s="33">
        <f>W182+AJ181</f>
        <v>540</v>
      </c>
      <c r="AK182" s="33"/>
      <c r="AL182" s="33"/>
      <c r="AM182" s="32" t="e">
        <f>AJ182/AI182</f>
        <v>#REF!</v>
      </c>
    </row>
    <row r="183" spans="2:44" ht="15.75" customHeight="1" x14ac:dyDescent="0.2">
      <c r="B183" s="36">
        <v>100</v>
      </c>
      <c r="C183" s="36"/>
      <c r="D183" s="37">
        <v>0.3</v>
      </c>
      <c r="E183" s="51">
        <v>5</v>
      </c>
      <c r="F183" s="35">
        <v>10</v>
      </c>
      <c r="G183" s="35"/>
      <c r="H183" s="35"/>
      <c r="I183" s="35"/>
      <c r="S183" s="47" t="s">
        <v>48</v>
      </c>
      <c r="T183" s="47"/>
      <c r="U183" s="36"/>
      <c r="V183" s="36"/>
      <c r="W183" s="36">
        <v>500</v>
      </c>
      <c r="X183" s="36"/>
      <c r="Y183" s="36"/>
      <c r="Z183" s="36"/>
      <c r="AA183" s="67"/>
      <c r="AC183" s="36" t="e">
        <f>#REF!</f>
        <v>#REF!</v>
      </c>
      <c r="AD183" s="36">
        <f>AD182+(W183*D183)</f>
        <v>510</v>
      </c>
      <c r="AE183" s="36"/>
      <c r="AF183" s="36"/>
      <c r="AG183" s="48" t="e">
        <f>AD183/AC183</f>
        <v>#REF!</v>
      </c>
      <c r="AH183" s="44"/>
      <c r="AI183" s="36" t="e">
        <f>#REF!</f>
        <v>#REF!</v>
      </c>
      <c r="AJ183" s="36">
        <f>AJ182+(W183*(1-D183))</f>
        <v>890</v>
      </c>
      <c r="AK183" s="36"/>
      <c r="AL183" s="36"/>
      <c r="AM183" s="39" t="e">
        <f>AJ183/AI183</f>
        <v>#REF!</v>
      </c>
    </row>
    <row r="185" spans="2:44" ht="15.75" customHeight="1" x14ac:dyDescent="0.2">
      <c r="B185" s="178" t="s">
        <v>98</v>
      </c>
      <c r="C185" s="34"/>
      <c r="AC185" s="56" t="s">
        <v>27</v>
      </c>
      <c r="AD185" s="12"/>
      <c r="AE185" s="12"/>
      <c r="AF185" s="12"/>
      <c r="AG185" s="12"/>
      <c r="AH185" s="12"/>
      <c r="AI185" s="56" t="s">
        <v>28</v>
      </c>
      <c r="AK185" s="12"/>
      <c r="AL185" s="12"/>
      <c r="AO185" s="34" t="s">
        <v>179</v>
      </c>
    </row>
    <row r="186" spans="2:44" ht="15.75" customHeight="1" x14ac:dyDescent="0.2">
      <c r="B186" s="28" t="s">
        <v>61</v>
      </c>
      <c r="C186" s="28"/>
      <c r="D186" s="28" t="s">
        <v>29</v>
      </c>
      <c r="E186" s="57" t="s">
        <v>63</v>
      </c>
      <c r="F186" s="57" t="s">
        <v>72</v>
      </c>
      <c r="G186" s="57"/>
      <c r="H186" s="57" t="s">
        <v>99</v>
      </c>
      <c r="I186" s="57"/>
      <c r="J186" s="101"/>
      <c r="K186" s="101"/>
      <c r="L186" s="101"/>
      <c r="M186" s="101"/>
      <c r="N186" s="101"/>
      <c r="O186" s="101"/>
      <c r="P186" s="101"/>
      <c r="Q186" s="101"/>
      <c r="S186" s="28" t="s">
        <v>3</v>
      </c>
      <c r="T186" s="28"/>
      <c r="U186" s="57" t="s">
        <v>50</v>
      </c>
      <c r="V186" s="57" t="s">
        <v>70</v>
      </c>
      <c r="W186" s="28" t="s">
        <v>1</v>
      </c>
      <c r="X186" s="57" t="s">
        <v>62</v>
      </c>
      <c r="Y186" s="57" t="s">
        <v>9</v>
      </c>
      <c r="Z186" s="57"/>
      <c r="AA186" s="60"/>
      <c r="AB186" s="12"/>
      <c r="AC186" s="28" t="s">
        <v>30</v>
      </c>
      <c r="AD186" s="28" t="s">
        <v>1</v>
      </c>
      <c r="AE186" s="57" t="s">
        <v>72</v>
      </c>
      <c r="AF186" s="57" t="s">
        <v>100</v>
      </c>
      <c r="AG186" s="57" t="s">
        <v>64</v>
      </c>
      <c r="AH186" s="60"/>
      <c r="AI186" s="28" t="s">
        <v>30</v>
      </c>
      <c r="AJ186" s="28" t="s">
        <v>1</v>
      </c>
      <c r="AK186" s="57" t="s">
        <v>99</v>
      </c>
      <c r="AL186" s="57" t="s">
        <v>101</v>
      </c>
      <c r="AM186" s="57" t="s">
        <v>64</v>
      </c>
      <c r="AO186" s="28" t="s">
        <v>100</v>
      </c>
      <c r="AP186" s="57" t="s">
        <v>101</v>
      </c>
      <c r="AQ186" s="101"/>
      <c r="AR186" s="101"/>
    </row>
    <row r="187" spans="2:44" ht="15.75" customHeight="1" x14ac:dyDescent="0.2">
      <c r="B187" s="33">
        <v>100</v>
      </c>
      <c r="C187" s="33" t="s">
        <v>187</v>
      </c>
      <c r="D187" s="29">
        <v>0.5</v>
      </c>
      <c r="E187" s="50">
        <v>5</v>
      </c>
      <c r="F187">
        <v>10</v>
      </c>
      <c r="H187">
        <v>20</v>
      </c>
      <c r="S187" s="45" t="s">
        <v>102</v>
      </c>
      <c r="T187" s="45"/>
      <c r="U187" s="33"/>
      <c r="V187" s="33"/>
      <c r="W187" s="33">
        <v>200</v>
      </c>
      <c r="X187" s="50" t="e">
        <f>W187/#REF!</f>
        <v>#REF!</v>
      </c>
      <c r="Y187" s="33"/>
      <c r="Z187" s="33"/>
      <c r="AA187" s="67"/>
      <c r="AC187" s="33" t="e">
        <f>#REF!</f>
        <v>#REF!</v>
      </c>
      <c r="AD187" s="33">
        <f>W187*D187</f>
        <v>100</v>
      </c>
      <c r="AE187" s="52" t="e">
        <f>AC187*(1+F187/100)/(1-#REF!/100)</f>
        <v>#REF!</v>
      </c>
      <c r="AF187" s="95" t="e">
        <f t="shared" ref="AF187:AF195" si="36">(B187-AE187)/AE187</f>
        <v>#REF!</v>
      </c>
      <c r="AG187" s="44" t="e">
        <f>AD187/AC187</f>
        <v>#REF!</v>
      </c>
      <c r="AH187" s="44"/>
      <c r="AI187" s="33" t="e">
        <f>#REF!</f>
        <v>#REF!</v>
      </c>
      <c r="AJ187" s="31">
        <f>W187*(1-D187)</f>
        <v>100</v>
      </c>
      <c r="AK187" s="52" t="e">
        <f>AI187*(1+H187/100)/(1-#REF!/100)</f>
        <v>#REF!</v>
      </c>
      <c r="AL187" s="54" t="e">
        <f t="shared" ref="AL187:AL195" si="37">(B187-AK187)/AK187</f>
        <v>#REF!</v>
      </c>
      <c r="AM187" s="32" t="e">
        <f>AJ187/AI187</f>
        <v>#REF!</v>
      </c>
      <c r="AO187" s="54" t="e">
        <f t="shared" ref="AO187:AO195" si="38">(B187-AE187)/AE187</f>
        <v>#REF!</v>
      </c>
      <c r="AP187" s="54" t="e">
        <f t="shared" ref="AP187:AP195" si="39">(B187-AK187)/AK187</f>
        <v>#REF!</v>
      </c>
    </row>
    <row r="188" spans="2:44" ht="15.75" customHeight="1" x14ac:dyDescent="0.2">
      <c r="B188" s="36">
        <v>109</v>
      </c>
      <c r="C188" s="36" t="s">
        <v>187</v>
      </c>
      <c r="D188" s="37">
        <v>0.5</v>
      </c>
      <c r="E188" s="51">
        <v>5</v>
      </c>
      <c r="F188" s="35">
        <v>10</v>
      </c>
      <c r="G188" s="35"/>
      <c r="H188" s="35">
        <v>20</v>
      </c>
      <c r="I188" s="35"/>
      <c r="S188" s="47"/>
      <c r="T188" s="47"/>
      <c r="U188" s="36"/>
      <c r="V188" s="36"/>
      <c r="W188" s="36"/>
      <c r="X188" s="51"/>
      <c r="Y188" s="36"/>
      <c r="Z188" s="36"/>
      <c r="AA188" s="67"/>
      <c r="AC188" s="36" t="e">
        <f t="shared" ref="AC188:AE190" si="40">AC187</f>
        <v>#REF!</v>
      </c>
      <c r="AD188" s="36">
        <f t="shared" si="40"/>
        <v>100</v>
      </c>
      <c r="AE188" s="40" t="e">
        <f t="shared" si="40"/>
        <v>#REF!</v>
      </c>
      <c r="AF188" s="116" t="e">
        <f t="shared" si="36"/>
        <v>#REF!</v>
      </c>
      <c r="AG188" s="48" t="e">
        <f>AG187</f>
        <v>#REF!</v>
      </c>
      <c r="AH188" s="44"/>
      <c r="AI188" s="36">
        <v>100</v>
      </c>
      <c r="AJ188" s="38">
        <f t="shared" ref="AJ188:AK190" si="41">AJ187</f>
        <v>100</v>
      </c>
      <c r="AK188" s="40" t="e">
        <f t="shared" si="41"/>
        <v>#REF!</v>
      </c>
      <c r="AL188" s="55" t="e">
        <f t="shared" si="37"/>
        <v>#REF!</v>
      </c>
      <c r="AM188" s="39" t="e">
        <f>AM187</f>
        <v>#REF!</v>
      </c>
      <c r="AO188" s="115" t="e">
        <f t="shared" si="38"/>
        <v>#REF!</v>
      </c>
      <c r="AP188" s="55" t="e">
        <f t="shared" si="39"/>
        <v>#REF!</v>
      </c>
    </row>
    <row r="189" spans="2:44" ht="15.75" customHeight="1" x14ac:dyDescent="0.2">
      <c r="B189" s="33">
        <v>115</v>
      </c>
      <c r="C189" s="33" t="s">
        <v>187</v>
      </c>
      <c r="D189" s="29">
        <v>0.5</v>
      </c>
      <c r="E189" s="50">
        <v>5</v>
      </c>
      <c r="F189">
        <v>10</v>
      </c>
      <c r="H189">
        <v>20</v>
      </c>
      <c r="S189" s="45"/>
      <c r="T189" s="45"/>
      <c r="U189" s="33"/>
      <c r="V189" s="33"/>
      <c r="W189" s="33"/>
      <c r="X189" s="50"/>
      <c r="Y189" s="33"/>
      <c r="Z189" s="33"/>
      <c r="AC189" s="33" t="e">
        <f t="shared" si="40"/>
        <v>#REF!</v>
      </c>
      <c r="AD189" s="33">
        <f t="shared" si="40"/>
        <v>100</v>
      </c>
      <c r="AE189" s="118" t="e">
        <f t="shared" si="40"/>
        <v>#REF!</v>
      </c>
      <c r="AF189" s="113" t="e">
        <f t="shared" si="36"/>
        <v>#REF!</v>
      </c>
      <c r="AG189" s="44" t="e">
        <f>AG188</f>
        <v>#REF!</v>
      </c>
      <c r="AH189" s="44"/>
      <c r="AI189" s="33">
        <v>100</v>
      </c>
      <c r="AJ189" s="31">
        <f t="shared" si="41"/>
        <v>100</v>
      </c>
      <c r="AK189" s="52" t="e">
        <f t="shared" si="41"/>
        <v>#REF!</v>
      </c>
      <c r="AL189" s="62" t="e">
        <f t="shared" si="37"/>
        <v>#REF!</v>
      </c>
      <c r="AM189" s="32" t="e">
        <f>AM188</f>
        <v>#REF!</v>
      </c>
      <c r="AO189" s="117" t="e">
        <f t="shared" si="38"/>
        <v>#REF!</v>
      </c>
      <c r="AP189" s="54" t="e">
        <f t="shared" si="39"/>
        <v>#REF!</v>
      </c>
    </row>
    <row r="190" spans="2:44" ht="15.75" customHeight="1" x14ac:dyDescent="0.2">
      <c r="B190" s="36">
        <v>122</v>
      </c>
      <c r="C190" s="36" t="s">
        <v>187</v>
      </c>
      <c r="D190" s="37">
        <v>0.5</v>
      </c>
      <c r="E190" s="51">
        <v>5</v>
      </c>
      <c r="F190" s="35">
        <v>10</v>
      </c>
      <c r="G190" s="35"/>
      <c r="H190" s="35">
        <v>20</v>
      </c>
      <c r="I190" s="35"/>
      <c r="S190" s="47"/>
      <c r="T190" s="47"/>
      <c r="U190" s="36"/>
      <c r="V190" s="36"/>
      <c r="W190" s="36"/>
      <c r="X190" s="51"/>
      <c r="Y190" s="36"/>
      <c r="Z190" s="36"/>
      <c r="AA190" s="67"/>
      <c r="AC190" s="36" t="e">
        <f t="shared" si="40"/>
        <v>#REF!</v>
      </c>
      <c r="AD190" s="36">
        <f t="shared" si="40"/>
        <v>100</v>
      </c>
      <c r="AE190" s="119" t="e">
        <f t="shared" si="40"/>
        <v>#REF!</v>
      </c>
      <c r="AF190" s="114" t="e">
        <f t="shared" si="36"/>
        <v>#REF!</v>
      </c>
      <c r="AG190" s="48" t="e">
        <f>AG189</f>
        <v>#REF!</v>
      </c>
      <c r="AH190" s="44"/>
      <c r="AI190" s="36">
        <v>100</v>
      </c>
      <c r="AJ190" s="38">
        <f t="shared" si="41"/>
        <v>100</v>
      </c>
      <c r="AK190" s="119" t="e">
        <f t="shared" si="41"/>
        <v>#REF!</v>
      </c>
      <c r="AL190" s="114" t="e">
        <f t="shared" si="37"/>
        <v>#REF!</v>
      </c>
      <c r="AM190" s="39" t="e">
        <f>AM189</f>
        <v>#REF!</v>
      </c>
      <c r="AO190" s="114" t="e">
        <f t="shared" si="38"/>
        <v>#REF!</v>
      </c>
      <c r="AP190" s="114" t="e">
        <f t="shared" si="39"/>
        <v>#REF!</v>
      </c>
    </row>
    <row r="191" spans="2:44" ht="15.75" customHeight="1" x14ac:dyDescent="0.2">
      <c r="B191" s="33">
        <v>100</v>
      </c>
      <c r="C191" s="33" t="s">
        <v>188</v>
      </c>
      <c r="D191" s="29">
        <v>0.5</v>
      </c>
      <c r="E191" s="50">
        <v>5</v>
      </c>
      <c r="F191">
        <v>10</v>
      </c>
      <c r="H191">
        <v>20</v>
      </c>
      <c r="S191" s="45" t="s">
        <v>102</v>
      </c>
      <c r="T191" s="45"/>
      <c r="U191" s="33"/>
      <c r="V191" s="33"/>
      <c r="W191" s="33">
        <v>200</v>
      </c>
      <c r="X191" s="50" t="e">
        <f>W191/#REF!</f>
        <v>#REF!</v>
      </c>
      <c r="Y191" s="33"/>
      <c r="Z191" s="33"/>
      <c r="AA191" s="67"/>
      <c r="AC191" s="33" t="e">
        <f>#REF!</f>
        <v>#REF!</v>
      </c>
      <c r="AD191" s="33">
        <f>W191*D191</f>
        <v>100</v>
      </c>
      <c r="AE191" s="52" t="e">
        <f>AC191*(1+F191/100)/(1-#REF!/100)</f>
        <v>#REF!</v>
      </c>
      <c r="AF191" s="95" t="e">
        <f t="shared" si="36"/>
        <v>#REF!</v>
      </c>
      <c r="AG191" s="44" t="e">
        <f>AD191/AC191</f>
        <v>#REF!</v>
      </c>
      <c r="AH191" s="44"/>
      <c r="AI191" s="33" t="e">
        <f>#REF!</f>
        <v>#REF!</v>
      </c>
      <c r="AJ191" s="31">
        <f>W191*(1-D191)</f>
        <v>100</v>
      </c>
      <c r="AK191" s="52" t="e">
        <f>AI191*(1+H191/100)/(1-#REF!/100)</f>
        <v>#REF!</v>
      </c>
      <c r="AL191" s="54" t="e">
        <f t="shared" si="37"/>
        <v>#REF!</v>
      </c>
      <c r="AM191" s="32" t="e">
        <f>AJ191/AI191</f>
        <v>#REF!</v>
      </c>
      <c r="AO191" s="54" t="e">
        <f t="shared" si="38"/>
        <v>#REF!</v>
      </c>
      <c r="AP191" s="54" t="e">
        <f t="shared" si="39"/>
        <v>#REF!</v>
      </c>
    </row>
    <row r="192" spans="2:44" ht="15.75" customHeight="1" x14ac:dyDescent="0.2">
      <c r="B192" s="36">
        <v>109</v>
      </c>
      <c r="C192" s="36" t="s">
        <v>188</v>
      </c>
      <c r="D192" s="37">
        <v>0.5</v>
      </c>
      <c r="E192" s="51">
        <v>5</v>
      </c>
      <c r="F192" s="35">
        <v>10</v>
      </c>
      <c r="G192" s="35"/>
      <c r="H192" s="35">
        <v>20</v>
      </c>
      <c r="I192" s="35"/>
      <c r="S192" s="47"/>
      <c r="T192" s="47"/>
      <c r="U192" s="36"/>
      <c r="V192" s="36"/>
      <c r="W192" s="36"/>
      <c r="X192" s="51"/>
      <c r="Y192" s="36"/>
      <c r="Z192" s="36"/>
      <c r="AA192" s="67"/>
      <c r="AC192" s="36" t="e">
        <f t="shared" ref="AC192:AE192" si="42">AC191</f>
        <v>#REF!</v>
      </c>
      <c r="AD192" s="36">
        <f t="shared" si="42"/>
        <v>100</v>
      </c>
      <c r="AE192" s="40" t="e">
        <f t="shared" si="42"/>
        <v>#REF!</v>
      </c>
      <c r="AF192" s="55" t="e">
        <f t="shared" si="36"/>
        <v>#REF!</v>
      </c>
      <c r="AG192" s="48" t="e">
        <f>AG191</f>
        <v>#REF!</v>
      </c>
      <c r="AH192" s="44"/>
      <c r="AI192" s="36">
        <v>100</v>
      </c>
      <c r="AJ192" s="38">
        <f t="shared" ref="AJ192:AK192" si="43">AJ191</f>
        <v>100</v>
      </c>
      <c r="AK192" s="40" t="e">
        <f t="shared" si="43"/>
        <v>#REF!</v>
      </c>
      <c r="AL192" s="55" t="e">
        <f t="shared" si="37"/>
        <v>#REF!</v>
      </c>
      <c r="AM192" s="39" t="e">
        <f>AM191</f>
        <v>#REF!</v>
      </c>
      <c r="AO192" s="55" t="e">
        <f t="shared" si="38"/>
        <v>#REF!</v>
      </c>
      <c r="AP192" s="55" t="e">
        <f t="shared" si="39"/>
        <v>#REF!</v>
      </c>
    </row>
    <row r="193" spans="2:42" ht="15.75" customHeight="1" x14ac:dyDescent="0.2">
      <c r="B193" s="33">
        <v>115</v>
      </c>
      <c r="C193" s="33" t="s">
        <v>188</v>
      </c>
      <c r="D193" s="29">
        <v>0.5</v>
      </c>
      <c r="E193" s="50">
        <v>5</v>
      </c>
      <c r="F193">
        <v>10</v>
      </c>
      <c r="H193">
        <v>20</v>
      </c>
      <c r="S193" s="45"/>
      <c r="T193" s="45"/>
      <c r="U193" s="33"/>
      <c r="V193" s="33"/>
      <c r="W193" s="33"/>
      <c r="X193" s="50"/>
      <c r="Y193" s="33"/>
      <c r="Z193" s="33"/>
      <c r="AA193" s="67"/>
      <c r="AC193" s="33" t="e">
        <f t="shared" ref="AC193:AE193" si="44">AC192</f>
        <v>#REF!</v>
      </c>
      <c r="AD193" s="33">
        <f t="shared" si="44"/>
        <v>100</v>
      </c>
      <c r="AE193" s="118" t="e">
        <f t="shared" si="44"/>
        <v>#REF!</v>
      </c>
      <c r="AF193" s="113" t="e">
        <f t="shared" si="36"/>
        <v>#REF!</v>
      </c>
      <c r="AG193" s="44" t="e">
        <f>AG192</f>
        <v>#REF!</v>
      </c>
      <c r="AH193" s="44"/>
      <c r="AI193" s="33">
        <v>100</v>
      </c>
      <c r="AJ193" s="31">
        <f t="shared" ref="AJ193:AK193" si="45">AJ192</f>
        <v>100</v>
      </c>
      <c r="AK193" s="52" t="e">
        <f t="shared" si="45"/>
        <v>#REF!</v>
      </c>
      <c r="AL193" s="62" t="e">
        <f t="shared" si="37"/>
        <v>#REF!</v>
      </c>
      <c r="AM193" s="32" t="e">
        <f>AM192</f>
        <v>#REF!</v>
      </c>
      <c r="AO193" s="117" t="e">
        <f t="shared" si="38"/>
        <v>#REF!</v>
      </c>
      <c r="AP193" s="54" t="e">
        <f t="shared" si="39"/>
        <v>#REF!</v>
      </c>
    </row>
    <row r="194" spans="2:42" ht="15.75" customHeight="1" x14ac:dyDescent="0.2">
      <c r="B194" s="36">
        <v>122</v>
      </c>
      <c r="C194" s="121" t="s">
        <v>188</v>
      </c>
      <c r="D194" s="37">
        <v>0.5</v>
      </c>
      <c r="E194" s="51">
        <v>5</v>
      </c>
      <c r="F194" s="35">
        <v>10</v>
      </c>
      <c r="G194" s="35"/>
      <c r="H194" s="35">
        <v>20</v>
      </c>
      <c r="I194" s="35"/>
      <c r="S194" s="47"/>
      <c r="T194" s="47"/>
      <c r="U194" s="36"/>
      <c r="V194" s="36"/>
      <c r="W194" s="36"/>
      <c r="X194" s="51"/>
      <c r="Y194" s="36"/>
      <c r="Z194" s="36"/>
      <c r="AA194" s="67"/>
      <c r="AC194" s="36" t="e">
        <f t="shared" ref="AC194:AE194" si="46">AC193</f>
        <v>#REF!</v>
      </c>
      <c r="AD194" s="36">
        <f t="shared" si="46"/>
        <v>100</v>
      </c>
      <c r="AE194" s="119" t="e">
        <f t="shared" si="46"/>
        <v>#REF!</v>
      </c>
      <c r="AF194" s="114" t="e">
        <f t="shared" si="36"/>
        <v>#REF!</v>
      </c>
      <c r="AG194" s="48" t="e">
        <f>AG193</f>
        <v>#REF!</v>
      </c>
      <c r="AH194" s="44"/>
      <c r="AI194" s="36">
        <v>100</v>
      </c>
      <c r="AJ194" s="38">
        <f t="shared" ref="AJ194:AK194" si="47">AJ193</f>
        <v>100</v>
      </c>
      <c r="AK194" s="119" t="e">
        <f t="shared" si="47"/>
        <v>#REF!</v>
      </c>
      <c r="AL194" s="114" t="e">
        <f t="shared" si="37"/>
        <v>#REF!</v>
      </c>
      <c r="AM194" s="39" t="e">
        <f>AM193</f>
        <v>#REF!</v>
      </c>
      <c r="AO194" s="114" t="e">
        <f t="shared" si="38"/>
        <v>#REF!</v>
      </c>
      <c r="AP194" s="114" t="e">
        <f t="shared" si="39"/>
        <v>#REF!</v>
      </c>
    </row>
    <row r="195" spans="2:42" ht="15.75" customHeight="1" x14ac:dyDescent="0.2">
      <c r="B195" s="33">
        <v>122</v>
      </c>
      <c r="C195" s="33" t="s">
        <v>188</v>
      </c>
      <c r="D195" s="29">
        <v>0.5</v>
      </c>
      <c r="E195" s="50">
        <v>5</v>
      </c>
      <c r="F195">
        <v>10</v>
      </c>
      <c r="H195">
        <v>20</v>
      </c>
      <c r="S195" s="45" t="s">
        <v>189</v>
      </c>
      <c r="T195" s="45"/>
      <c r="U195" s="33"/>
      <c r="V195" s="33"/>
      <c r="W195" s="33">
        <v>200</v>
      </c>
      <c r="X195" s="50" t="e">
        <f>W195/#REF!</f>
        <v>#REF!</v>
      </c>
      <c r="Y195" s="33"/>
      <c r="Z195" s="33"/>
      <c r="AA195" s="67"/>
      <c r="AC195" s="33" t="e">
        <f>#REF!</f>
        <v>#REF!</v>
      </c>
      <c r="AD195" s="33">
        <f>W195*D195</f>
        <v>100</v>
      </c>
      <c r="AE195" s="118" t="e">
        <f>AC195*(1+F195/100)/(1-#REF!/100)</f>
        <v>#REF!</v>
      </c>
      <c r="AF195" s="113" t="e">
        <f t="shared" si="36"/>
        <v>#REF!</v>
      </c>
      <c r="AG195" s="44" t="e">
        <f>AG194</f>
        <v>#REF!</v>
      </c>
      <c r="AH195" s="44"/>
      <c r="AI195" s="33" t="e">
        <f>#REF!</f>
        <v>#REF!</v>
      </c>
      <c r="AJ195" s="31">
        <f>W195*(1-D195)</f>
        <v>100</v>
      </c>
      <c r="AK195" s="52" t="e">
        <f>AI195*(1+H195/100)/(1-#REF!/100)</f>
        <v>#REF!</v>
      </c>
      <c r="AL195" s="54" t="e">
        <f t="shared" si="37"/>
        <v>#REF!</v>
      </c>
      <c r="AM195" s="32" t="e">
        <f>AJ195/AI195</f>
        <v>#REF!</v>
      </c>
      <c r="AO195" s="117" t="e">
        <f t="shared" si="38"/>
        <v>#REF!</v>
      </c>
      <c r="AP195" s="54" t="e">
        <f t="shared" si="39"/>
        <v>#REF!</v>
      </c>
    </row>
    <row r="196" spans="2:42" ht="15.75" customHeight="1" x14ac:dyDescent="0.2">
      <c r="B196" s="33"/>
      <c r="C196" s="33"/>
      <c r="D196" s="29"/>
      <c r="E196" s="50"/>
      <c r="S196" s="45"/>
      <c r="T196" s="45"/>
      <c r="U196" s="33"/>
      <c r="V196" s="33"/>
      <c r="W196" s="33"/>
      <c r="X196" s="50"/>
      <c r="Y196" s="33"/>
      <c r="Z196" s="33"/>
      <c r="AA196" s="67"/>
      <c r="AC196" s="33"/>
      <c r="AD196" s="33"/>
      <c r="AE196" s="52"/>
      <c r="AF196" s="62"/>
      <c r="AG196" s="44"/>
      <c r="AH196" s="44"/>
      <c r="AI196" s="33"/>
      <c r="AJ196" s="31"/>
      <c r="AK196" s="33"/>
      <c r="AL196" s="62"/>
      <c r="AM196" s="32"/>
    </row>
    <row r="197" spans="2:42" ht="15.75" customHeight="1" x14ac:dyDescent="0.2">
      <c r="AC197" s="110"/>
      <c r="AD197" s="110"/>
      <c r="AE197" s="110"/>
      <c r="AF197" s="110"/>
      <c r="AG197" s="110"/>
      <c r="AH197" s="110"/>
      <c r="AI197" s="110"/>
      <c r="AJ197" s="110"/>
      <c r="AK197" s="110"/>
      <c r="AL197" s="110"/>
      <c r="AM197" s="110"/>
      <c r="AN197" s="110"/>
    </row>
    <row r="198" spans="2:42" ht="15.75" customHeight="1" x14ac:dyDescent="0.2">
      <c r="B198" s="178" t="s">
        <v>103</v>
      </c>
      <c r="C198" s="34"/>
      <c r="AC198" s="110"/>
      <c r="AD198" s="110"/>
      <c r="AE198" s="111"/>
      <c r="AF198" s="110"/>
      <c r="AG198" s="110"/>
      <c r="AH198" s="110"/>
      <c r="AI198" s="110"/>
      <c r="AJ198" s="110"/>
      <c r="AK198" s="110"/>
      <c r="AL198" s="110"/>
      <c r="AM198" s="110"/>
      <c r="AN198" s="110"/>
    </row>
    <row r="199" spans="2:42" ht="15.75" customHeight="1" x14ac:dyDescent="0.2">
      <c r="B199" s="28" t="s">
        <v>61</v>
      </c>
      <c r="C199" s="28"/>
      <c r="D199" s="28" t="s">
        <v>29</v>
      </c>
      <c r="E199" s="57" t="s">
        <v>63</v>
      </c>
      <c r="F199" s="57" t="s">
        <v>72</v>
      </c>
      <c r="G199" s="57"/>
      <c r="H199" s="57" t="s">
        <v>99</v>
      </c>
      <c r="I199" s="57"/>
      <c r="J199" s="101"/>
      <c r="K199" s="101"/>
      <c r="L199" s="101"/>
      <c r="M199" s="101"/>
      <c r="N199" s="101"/>
      <c r="O199" s="101"/>
      <c r="P199" s="101"/>
      <c r="Q199" s="101"/>
      <c r="AC199" s="110"/>
      <c r="AD199" s="110"/>
      <c r="AE199" s="112"/>
      <c r="AF199" s="110"/>
      <c r="AG199" s="110"/>
      <c r="AH199" s="110"/>
      <c r="AI199" s="110"/>
      <c r="AJ199" s="110"/>
      <c r="AK199" s="110"/>
      <c r="AL199" s="110"/>
      <c r="AM199" s="110"/>
      <c r="AN199" s="110"/>
    </row>
    <row r="200" spans="2:42" ht="15.75" customHeight="1" x14ac:dyDescent="0.2">
      <c r="B200" s="33">
        <v>100</v>
      </c>
      <c r="C200" s="33"/>
      <c r="D200" s="29">
        <v>0.5</v>
      </c>
      <c r="E200" s="50">
        <v>5</v>
      </c>
      <c r="F200">
        <v>10</v>
      </c>
      <c r="H200">
        <v>20</v>
      </c>
      <c r="AC200" s="110"/>
      <c r="AD200" s="110"/>
      <c r="AE200" s="110"/>
      <c r="AF200" s="110"/>
      <c r="AG200" s="110"/>
      <c r="AH200" s="110"/>
      <c r="AI200" s="110"/>
      <c r="AJ200" s="110"/>
      <c r="AK200" s="110"/>
      <c r="AL200" s="110"/>
      <c r="AM200" s="110"/>
      <c r="AN200" s="110"/>
    </row>
    <row r="201" spans="2:42" ht="15.75" customHeight="1" x14ac:dyDescent="0.2">
      <c r="B201" s="36">
        <v>109</v>
      </c>
      <c r="C201" s="36"/>
      <c r="D201" s="37">
        <v>0.5</v>
      </c>
      <c r="E201" s="51">
        <v>5</v>
      </c>
      <c r="F201" s="35">
        <v>10</v>
      </c>
      <c r="G201" s="35"/>
      <c r="H201" s="35">
        <v>20</v>
      </c>
      <c r="I201" s="35"/>
      <c r="AC201" s="110"/>
      <c r="AD201" s="110"/>
      <c r="AE201" s="110"/>
      <c r="AF201" s="110"/>
      <c r="AG201" s="110"/>
      <c r="AH201" s="110"/>
      <c r="AI201" s="110"/>
      <c r="AJ201" s="110"/>
      <c r="AK201" s="110"/>
      <c r="AL201" s="110"/>
      <c r="AM201" s="110"/>
      <c r="AN201" s="110"/>
    </row>
    <row r="202" spans="2:42" ht="15.75" customHeight="1" x14ac:dyDescent="0.2">
      <c r="B202" s="33">
        <v>115</v>
      </c>
      <c r="C202" s="33"/>
      <c r="D202" s="29">
        <v>0.5</v>
      </c>
      <c r="E202" s="50">
        <v>5</v>
      </c>
      <c r="F202">
        <v>10</v>
      </c>
      <c r="H202">
        <v>20</v>
      </c>
      <c r="AC202" s="110"/>
      <c r="AD202" s="110"/>
      <c r="AE202" s="110"/>
      <c r="AF202" s="110"/>
      <c r="AG202" s="110"/>
      <c r="AH202" s="110"/>
      <c r="AI202" s="110"/>
      <c r="AJ202" s="110"/>
      <c r="AK202" s="110"/>
      <c r="AL202" s="110"/>
      <c r="AM202" s="110"/>
      <c r="AN202" s="110"/>
    </row>
    <row r="203" spans="2:42" ht="15.75" customHeight="1" x14ac:dyDescent="0.2">
      <c r="B203" s="36">
        <v>122</v>
      </c>
      <c r="C203" s="36"/>
      <c r="D203" s="37">
        <v>0.5</v>
      </c>
      <c r="E203" s="51">
        <v>5</v>
      </c>
      <c r="F203" s="35">
        <v>10</v>
      </c>
      <c r="G203" s="35"/>
      <c r="H203" s="35">
        <v>20</v>
      </c>
      <c r="I203" s="35"/>
      <c r="AC203" s="110"/>
      <c r="AD203" s="110"/>
      <c r="AE203" s="110"/>
      <c r="AF203" s="110"/>
      <c r="AG203" s="110"/>
      <c r="AH203" s="110"/>
      <c r="AI203" s="110"/>
      <c r="AJ203" s="110"/>
      <c r="AK203" s="110"/>
      <c r="AL203" s="110"/>
      <c r="AM203" s="110"/>
      <c r="AN203" s="110"/>
    </row>
    <row r="204" spans="2:42" ht="15.75" customHeight="1" x14ac:dyDescent="0.2">
      <c r="AN204" s="120"/>
    </row>
    <row r="205" spans="2:42" ht="15.75" customHeight="1" x14ac:dyDescent="0.2">
      <c r="B205" s="178" t="s">
        <v>175</v>
      </c>
      <c r="C205" s="34"/>
      <c r="AC205" s="56" t="s">
        <v>186</v>
      </c>
      <c r="AD205" s="12"/>
      <c r="AE205" s="12"/>
      <c r="AF205" s="34" t="s">
        <v>179</v>
      </c>
      <c r="AI205" s="46"/>
      <c r="AJ205" s="45"/>
      <c r="AK205" s="46"/>
      <c r="AL205" s="46"/>
      <c r="AM205" s="45"/>
    </row>
    <row r="206" spans="2:42" ht="15.75" customHeight="1" x14ac:dyDescent="0.2">
      <c r="B206" s="28" t="s">
        <v>110</v>
      </c>
      <c r="C206" s="28" t="s">
        <v>114</v>
      </c>
      <c r="D206" s="28" t="s">
        <v>29</v>
      </c>
      <c r="E206" s="57" t="s">
        <v>63</v>
      </c>
      <c r="F206" s="57" t="s">
        <v>72</v>
      </c>
      <c r="G206" s="57"/>
      <c r="H206" s="57" t="s">
        <v>99</v>
      </c>
      <c r="I206" s="57"/>
      <c r="J206" s="101"/>
      <c r="K206" s="101"/>
      <c r="L206" s="101"/>
      <c r="M206" s="101"/>
      <c r="N206" s="101"/>
      <c r="O206" s="101"/>
      <c r="P206" s="101"/>
      <c r="Q206" s="101"/>
      <c r="S206" s="28" t="s">
        <v>3</v>
      </c>
      <c r="T206" s="28"/>
      <c r="U206" s="28"/>
      <c r="V206" s="57" t="s">
        <v>70</v>
      </c>
      <c r="W206" s="28" t="s">
        <v>1</v>
      </c>
      <c r="X206" s="57" t="s">
        <v>62</v>
      </c>
      <c r="Y206" s="101"/>
      <c r="Z206" s="101"/>
      <c r="AC206" s="57" t="s">
        <v>0</v>
      </c>
      <c r="AD206" s="57" t="s">
        <v>9</v>
      </c>
      <c r="AE206" s="101"/>
      <c r="AF206" s="57" t="s">
        <v>182</v>
      </c>
      <c r="AG206" s="57" t="s">
        <v>183</v>
      </c>
      <c r="AH206" s="57" t="s">
        <v>181</v>
      </c>
      <c r="AI206" s="101"/>
      <c r="AJ206" s="101"/>
      <c r="AK206" s="101"/>
      <c r="AL206" s="101"/>
      <c r="AM206" s="101"/>
    </row>
    <row r="207" spans="2:42" ht="15.75" customHeight="1" x14ac:dyDescent="0.2">
      <c r="B207" s="33">
        <v>100</v>
      </c>
      <c r="C207" s="99" t="s">
        <v>176</v>
      </c>
      <c r="D207" s="29">
        <v>0.5</v>
      </c>
      <c r="E207" s="50">
        <v>5</v>
      </c>
      <c r="F207">
        <v>10</v>
      </c>
      <c r="H207">
        <v>20</v>
      </c>
      <c r="S207" s="45" t="s">
        <v>75</v>
      </c>
      <c r="T207" s="45"/>
      <c r="U207" s="33"/>
      <c r="V207" s="33"/>
      <c r="W207" s="33">
        <v>500</v>
      </c>
      <c r="X207" s="50" t="e">
        <f>W207/#REF!</f>
        <v>#REF!</v>
      </c>
      <c r="Y207" s="52"/>
      <c r="Z207" s="52"/>
      <c r="AC207" s="33"/>
      <c r="AD207" s="33"/>
      <c r="AE207" s="33"/>
      <c r="AF207" s="100" t="e">
        <f>IF(
      OR(
        (B207*(1+#REF!/100)/C214-1)*100 &lt;= -E207,
        (B207*(1+#REF!/100)/C215-1)*100 &lt;= -E207,
        (B207*(1+#REF!/100)/C216-1)*100 &lt;= -E207,
        (B207*(1+#REF!/100)/C217-1)*100 &lt;= -E207,
        (B207*(1+#REF!/100)/C218-1)*100 &lt;= -E207
      ),
      MIN(
        IF((B207*(1+#REF!/100)/C214-1)*100 &lt;= -E207, (B207*(1+#REF!/100)/C214-1)*100, 0),
        IF((B207*(1+#REF!/100)/C215-1)*100 &lt;= -E207, (B207*(1+#REF!/100)/C215-1)*100, 0),
        IF((B207*(1+#REF!/100)/C216-1)*100 &lt;= -E207, (B207*(1+#REF!/100)/C216-1)*100, 0),
        IF((B207*(1+#REF!/100)/C217-1)*100 &lt;= -E207, (B207*(1+#REF!/100)/C217-1)*100, 0),
        IF((B207*(1+#REF!/100)/C218-1)*100 &lt;= -E207, (B207*(1+#REF!/100)/C218-1)*100, 0)
      )/100,
      ""
    )</f>
        <v>#REF!</v>
      </c>
      <c r="AG207" s="92" t="s">
        <v>34</v>
      </c>
      <c r="AH207" t="s">
        <v>184</v>
      </c>
      <c r="AI207" s="99"/>
      <c r="AJ207" s="102"/>
      <c r="AK207" s="99"/>
      <c r="AL207" s="103"/>
      <c r="AM207" s="104"/>
    </row>
    <row r="208" spans="2:42" ht="15.75" customHeight="1" x14ac:dyDescent="0.2">
      <c r="B208" s="36"/>
      <c r="C208" s="36"/>
      <c r="D208" s="37"/>
      <c r="E208" s="51"/>
      <c r="F208" s="35"/>
      <c r="G208" s="35"/>
      <c r="H208" s="35"/>
      <c r="I208" s="35"/>
      <c r="S208" s="47" t="s">
        <v>75</v>
      </c>
      <c r="T208" s="47"/>
      <c r="U208" s="36"/>
      <c r="V208" s="36"/>
      <c r="W208" s="36">
        <v>200</v>
      </c>
      <c r="X208" s="51" t="e">
        <f>W208/#REF!</f>
        <v>#REF!</v>
      </c>
      <c r="Y208" s="52"/>
      <c r="Z208" s="52"/>
      <c r="AC208" s="36"/>
      <c r="AD208" s="36"/>
      <c r="AE208" s="33"/>
      <c r="AF208" s="107" t="e">
        <f>IF(
      OR(
        (B207*(1+#REF!/100)/C214-1)*100 &lt;= -E207,
        (B207*(1+#REF!/100)/C215-1)*100 &lt;= -E207,
        (B207*(1+#REF!/100)/C216-1)*100 &lt;= -E207,
        (B207*(1+#REF!/100)/C217-1)*100 &lt;= -E207,
        (B207*(1+#REF!/100)/C218-1)*100 &lt;= -E207
      ),
      MIN(
        IF((B207*(1+#REF!/100)/C214-1)*100 &lt;= -E207, (B207*(1+#REF!/100)/C214-1)*100, 0),
        IF((B207*(1+#REF!/100)/C215-1)*100 &lt;= -E207, (B207*(1+#REF!/100)/C215-1)*100, 0),
        IF((B207*(1+#REF!/100)/C216-1)*100 &lt;= -E207, (B207*(1+#REF!/100)/C216-1)*100, 0),
        IF((B207*(1+#REF!/100)/C217-1)*100 &lt;= -E207, (B207*(1+#REF!/100)/C217-1)*100, 0),
        IF((B207*(1+#REF!/100)/C218-1)*100 &lt;= -E207, (B207*(1+#REF!/100)/C218-1)*100, 0)
      )/100,
      ""
    )</f>
        <v>#REF!</v>
      </c>
      <c r="AG208" s="105" t="s">
        <v>34</v>
      </c>
      <c r="AH208" s="35" t="e">
        <f>#REF!</f>
        <v>#REF!</v>
      </c>
      <c r="AI208" s="99"/>
      <c r="AJ208" s="102"/>
      <c r="AK208" s="99"/>
      <c r="AL208" s="103"/>
      <c r="AM208" s="104"/>
    </row>
    <row r="209" spans="2:45" ht="15.75" customHeight="1" x14ac:dyDescent="0.2">
      <c r="B209" s="33">
        <v>50</v>
      </c>
      <c r="C209" s="99" t="s">
        <v>185</v>
      </c>
      <c r="D209" s="29">
        <v>0.5</v>
      </c>
      <c r="E209" s="50">
        <v>8</v>
      </c>
      <c r="F209">
        <v>10</v>
      </c>
      <c r="H209">
        <v>20</v>
      </c>
      <c r="S209" s="45" t="s">
        <v>75</v>
      </c>
      <c r="T209" s="45"/>
      <c r="U209" s="33"/>
      <c r="V209" s="33"/>
      <c r="W209" s="33">
        <v>600</v>
      </c>
      <c r="X209" s="50" t="e">
        <f>W209/#REF!</f>
        <v>#REF!</v>
      </c>
      <c r="Y209" s="52"/>
      <c r="Z209" s="52"/>
      <c r="AC209" s="33" t="e">
        <f>#REF!</f>
        <v>#REF!</v>
      </c>
      <c r="AD209" s="52" t="e">
        <f>AC209 * (1 - $E$209%)</f>
        <v>#REF!</v>
      </c>
      <c r="AE209" s="33"/>
      <c r="AG209" s="54" t="e">
        <f>($B$209 -#REF!) /#REF!</f>
        <v>#REF!</v>
      </c>
      <c r="AH209" t="e">
        <f>#REF!</f>
        <v>#REF!</v>
      </c>
      <c r="AI209" s="99"/>
      <c r="AJ209" s="102"/>
      <c r="AK209" s="99"/>
      <c r="AL209" s="103"/>
      <c r="AM209" s="104"/>
    </row>
    <row r="210" spans="2:45" ht="15.75" customHeight="1" x14ac:dyDescent="0.2">
      <c r="B210" s="36"/>
      <c r="C210" s="36"/>
      <c r="D210" s="37"/>
      <c r="E210" s="51"/>
      <c r="F210" s="35"/>
      <c r="G210" s="35"/>
      <c r="H210" s="35"/>
      <c r="I210" s="35"/>
      <c r="S210" s="47" t="s">
        <v>75</v>
      </c>
      <c r="T210" s="47"/>
      <c r="U210" s="36"/>
      <c r="V210" s="36"/>
      <c r="W210" s="36">
        <v>520</v>
      </c>
      <c r="X210" s="51" t="e">
        <f>W210/#REF!</f>
        <v>#REF!</v>
      </c>
      <c r="Y210" s="52"/>
      <c r="Z210" s="52"/>
      <c r="AC210" s="36" t="e">
        <f>#REF!</f>
        <v>#REF!</v>
      </c>
      <c r="AD210" s="40" t="e">
        <f t="shared" ref="AD210:AD211" si="48">AC210 * (1 - $E$209%)</f>
        <v>#REF!</v>
      </c>
      <c r="AE210" s="33"/>
      <c r="AF210" s="35"/>
      <c r="AG210" s="55" t="e">
        <f>($B$209 -#REF!) /#REF!</f>
        <v>#REF!</v>
      </c>
      <c r="AH210" s="35" t="e">
        <f>#REF!</f>
        <v>#REF!</v>
      </c>
      <c r="AI210" s="99"/>
      <c r="AJ210" s="102"/>
      <c r="AK210" s="99"/>
      <c r="AL210" s="103"/>
      <c r="AM210" s="104"/>
    </row>
    <row r="211" spans="2:45" ht="15.75" customHeight="1" x14ac:dyDescent="0.2">
      <c r="B211" s="33"/>
      <c r="C211" s="33"/>
      <c r="D211" s="29"/>
      <c r="E211" s="50"/>
      <c r="S211" t="s">
        <v>75</v>
      </c>
      <c r="W211" s="33">
        <v>700</v>
      </c>
      <c r="X211" s="50" t="e">
        <f>W211/#REF!</f>
        <v>#REF!</v>
      </c>
      <c r="Y211" s="52"/>
      <c r="Z211" s="52"/>
      <c r="AC211" s="33" t="e">
        <f>#REF!</f>
        <v>#REF!</v>
      </c>
      <c r="AD211" s="52" t="e">
        <f t="shared" si="48"/>
        <v>#REF!</v>
      </c>
      <c r="AG211" s="54" t="e">
        <f>($B$209 -#REF!) /#REF!</f>
        <v>#REF!</v>
      </c>
      <c r="AH211" t="e">
        <f>#REF!</f>
        <v>#REF!</v>
      </c>
      <c r="AI211" s="45"/>
      <c r="AJ211" s="45"/>
      <c r="AK211" s="45"/>
      <c r="AL211" s="45"/>
      <c r="AM211" s="45"/>
    </row>
    <row r="212" spans="2:45" ht="15.75" customHeight="1" x14ac:dyDescent="0.2">
      <c r="B212" s="99" t="s">
        <v>177</v>
      </c>
      <c r="C212" s="33"/>
      <c r="D212" s="29"/>
      <c r="E212" s="50"/>
      <c r="S212" s="47" t="s">
        <v>75</v>
      </c>
      <c r="T212" s="47"/>
      <c r="U212" s="35"/>
      <c r="V212" s="35"/>
      <c r="W212" s="36">
        <v>255</v>
      </c>
      <c r="X212" s="51" t="e">
        <f>W212/#REF!</f>
        <v>#REF!</v>
      </c>
      <c r="AC212" s="36" t="e">
        <f>#REF!</f>
        <v>#REF!</v>
      </c>
      <c r="AD212" s="40" t="e">
        <f>(AC212 * (1 - $E$209%)) / (1 +#REF! %)</f>
        <v>#REF!</v>
      </c>
      <c r="AF212" s="35"/>
      <c r="AG212" s="106" t="e">
        <f>($B$209 -#REF!) /#REF!</f>
        <v>#REF!</v>
      </c>
      <c r="AH212" s="35" t="e">
        <f>#REF!</f>
        <v>#REF!</v>
      </c>
    </row>
    <row r="213" spans="2:45" ht="15.75" customHeight="1" x14ac:dyDescent="0.2">
      <c r="B213" s="57" t="s">
        <v>2</v>
      </c>
      <c r="C213" s="57" t="s">
        <v>178</v>
      </c>
      <c r="D213" s="57" t="s">
        <v>180</v>
      </c>
      <c r="S213" s="45" t="s">
        <v>75</v>
      </c>
      <c r="T213" s="45"/>
      <c r="W213" s="33">
        <v>1100</v>
      </c>
      <c r="X213" s="50" t="e">
        <f>W213/#REF!</f>
        <v>#REF!</v>
      </c>
      <c r="AC213" s="33" t="e">
        <f>#REF!</f>
        <v>#REF!</v>
      </c>
      <c r="AF213" s="100" t="e">
        <f>IF(
      OR(
        (B207*(1+#REF!/100)/C214-1)*100 &lt;= -E207,
        (B207*(1+#REF!/100)/C215-1)*100 &lt;= -E207,
        (B207*(1+#REF!/100)/C216-1)*100 &lt;= -E207,
        (B207*(1+#REF!/100)/C217-1)*100 &lt;= -E207,
        (B207*(1+#REF!/100)/C218-1)*100 &lt;= -E207
      ),
      MIN(
        IF((B207*(1+#REF!/100)/C214-1)*100 &lt;= -E207, (B207*(1+#REF!/100)/C214-1)*100, 0),
        IF((B207*(1+#REF!/100)/C215-1)*100 &lt;= -E207, (B207*(1+#REF!/100)/C215-1)*100, 0),
        IF((B207*(1+#REF!/100)/C216-1)*100 &lt;= -E207, (B207*(1+#REF!/100)/C216-1)*100, 0),
        IF((B207*(1+#REF!/100)/C217-1)*100 &lt;= -E207, (B207*(1+#REF!/100)/C217-1)*100, 0),
        IF((B207*(1+#REF!/100)/C218-1)*100 &lt;= -E207, (B207*(1+#REF!/100)/C218-1)*100, 0)
      )/100,
      ""
    )</f>
        <v>#REF!</v>
      </c>
      <c r="AG213" s="108" t="e">
        <f>($B$207 -#REF!) /#REF!</f>
        <v>#REF!</v>
      </c>
      <c r="AH213" t="e">
        <f>#REF!</f>
        <v>#REF!</v>
      </c>
    </row>
    <row r="214" spans="2:45" ht="15.75" customHeight="1" x14ac:dyDescent="0.2">
      <c r="B214" s="98">
        <v>45924</v>
      </c>
      <c r="C214" s="97">
        <v>106</v>
      </c>
    </row>
    <row r="215" spans="2:45" ht="15.75" customHeight="1" x14ac:dyDescent="0.2">
      <c r="B215" s="98">
        <v>45923</v>
      </c>
      <c r="C215" s="97">
        <v>105</v>
      </c>
    </row>
    <row r="216" spans="2:45" ht="15.75" customHeight="1" x14ac:dyDescent="0.2">
      <c r="B216" s="98">
        <v>45922</v>
      </c>
      <c r="C216" s="97">
        <v>108</v>
      </c>
    </row>
    <row r="217" spans="2:45" ht="15.75" customHeight="1" x14ac:dyDescent="0.2">
      <c r="B217" s="98">
        <v>45921</v>
      </c>
      <c r="C217" s="97">
        <v>107</v>
      </c>
    </row>
    <row r="218" spans="2:45" ht="15.75" customHeight="1" x14ac:dyDescent="0.2">
      <c r="B218" s="98">
        <v>45920</v>
      </c>
      <c r="C218" s="97">
        <v>104</v>
      </c>
      <c r="R218" s="45"/>
      <c r="AD218" s="68"/>
    </row>
    <row r="219" spans="2:45" ht="15.75" customHeight="1" x14ac:dyDescent="0.2">
      <c r="R219" s="45"/>
    </row>
    <row r="220" spans="2:45" ht="15.75" customHeight="1" x14ac:dyDescent="0.2">
      <c r="R220" s="45"/>
    </row>
    <row r="221" spans="2:45" ht="15.75" customHeight="1" x14ac:dyDescent="0.2">
      <c r="R221" s="92"/>
      <c r="AD221" s="45" t="s">
        <v>74</v>
      </c>
      <c r="AN221" s="45" t="s">
        <v>94</v>
      </c>
    </row>
    <row r="222" spans="2:45" ht="15.75" customHeight="1" x14ac:dyDescent="0.2">
      <c r="AD222" s="69" t="s">
        <v>2</v>
      </c>
      <c r="AE222" s="70" t="s">
        <v>3</v>
      </c>
      <c r="AF222" s="70"/>
      <c r="AG222" s="70" t="s">
        <v>76</v>
      </c>
      <c r="AH222" s="70" t="s">
        <v>4</v>
      </c>
      <c r="AI222" s="70" t="s">
        <v>0</v>
      </c>
      <c r="AJ222" s="70" t="s">
        <v>1</v>
      </c>
      <c r="AK222" s="70" t="s">
        <v>62</v>
      </c>
      <c r="AL222" s="70"/>
      <c r="AM222" s="70" t="s">
        <v>77</v>
      </c>
      <c r="AN222" s="70" t="s">
        <v>84</v>
      </c>
      <c r="AO222" s="70" t="s">
        <v>83</v>
      </c>
      <c r="AP222" s="70" t="s">
        <v>7</v>
      </c>
      <c r="AQ222" s="70" t="s">
        <v>81</v>
      </c>
      <c r="AR222" s="70" t="s">
        <v>79</v>
      </c>
      <c r="AS222" s="70" t="s">
        <v>82</v>
      </c>
    </row>
    <row r="223" spans="2:45" ht="15.75" customHeight="1" x14ac:dyDescent="0.2">
      <c r="AD223" s="78">
        <v>45658</v>
      </c>
      <c r="AE223" s="79" t="s">
        <v>75</v>
      </c>
      <c r="AF223" s="79"/>
      <c r="AG223" s="80" t="s">
        <v>85</v>
      </c>
      <c r="AH223" s="79" t="s">
        <v>78</v>
      </c>
      <c r="AI223" s="81">
        <v>200</v>
      </c>
      <c r="AJ223" s="81">
        <v>200</v>
      </c>
      <c r="AK223" s="82">
        <f>AJ223/AI223</f>
        <v>1</v>
      </c>
      <c r="AL223" s="82"/>
      <c r="AM223" s="79"/>
      <c r="AN223" s="82">
        <v>1</v>
      </c>
      <c r="AO223" s="82">
        <f>AN223/2</f>
        <v>0.5</v>
      </c>
      <c r="AP223" s="83">
        <f>AN223/2</f>
        <v>0.5</v>
      </c>
      <c r="AQ223" s="81">
        <v>0</v>
      </c>
      <c r="AR223" s="84">
        <f>ABS(AQ223-AJ223)</f>
        <v>200</v>
      </c>
      <c r="AS223" s="85">
        <f>((AQ223+(AK223*AI223)-AR223)/AR223)</f>
        <v>0</v>
      </c>
    </row>
    <row r="224" spans="2:45" ht="15.75" customHeight="1" x14ac:dyDescent="0.2">
      <c r="AD224" s="71">
        <v>45659</v>
      </c>
      <c r="AE224" s="72" t="s">
        <v>73</v>
      </c>
      <c r="AF224" s="72"/>
      <c r="AG224" s="74" t="s">
        <v>86</v>
      </c>
      <c r="AH224" s="72" t="s">
        <v>10</v>
      </c>
      <c r="AI224" s="73">
        <v>220</v>
      </c>
      <c r="AJ224" s="72"/>
      <c r="AK224" s="75">
        <f>AO223</f>
        <v>0.5</v>
      </c>
      <c r="AL224" s="75"/>
      <c r="AM224" s="73">
        <f>AI224*AK224</f>
        <v>110</v>
      </c>
      <c r="AN224" s="75">
        <v>0.5</v>
      </c>
      <c r="AO224" s="75">
        <v>0</v>
      </c>
      <c r="AP224" s="75">
        <v>0.5</v>
      </c>
      <c r="AQ224" s="73">
        <f>AM224+AQ223</f>
        <v>110</v>
      </c>
      <c r="AR224" s="73">
        <f>AR223</f>
        <v>200</v>
      </c>
      <c r="AS224" s="77">
        <f t="shared" ref="AS224:AS232" si="49">((AQ224+(AN224*AI224)-AR224)/AR224)</f>
        <v>0.1</v>
      </c>
    </row>
    <row r="225" spans="27:45" ht="15.75" customHeight="1" x14ac:dyDescent="0.2">
      <c r="AD225" s="78">
        <v>45660</v>
      </c>
      <c r="AE225" s="79" t="s">
        <v>75</v>
      </c>
      <c r="AF225" s="79"/>
      <c r="AG225" s="80" t="s">
        <v>87</v>
      </c>
      <c r="AH225" s="79" t="s">
        <v>80</v>
      </c>
      <c r="AI225" s="81">
        <v>220</v>
      </c>
      <c r="AJ225" s="81">
        <v>220</v>
      </c>
      <c r="AK225" s="82">
        <f>AJ225/AI225</f>
        <v>1</v>
      </c>
      <c r="AL225" s="82"/>
      <c r="AM225" s="79"/>
      <c r="AN225" s="82">
        <f>AK225+AN224</f>
        <v>1.5</v>
      </c>
      <c r="AO225" s="82">
        <f>AO224+(AK225/2)</f>
        <v>0.5</v>
      </c>
      <c r="AP225" s="82">
        <f>AP224+(AK225/2)</f>
        <v>1</v>
      </c>
      <c r="AQ225" s="81">
        <v>0</v>
      </c>
      <c r="AR225" s="81">
        <f>AR224+(AJ225-AQ224)</f>
        <v>310</v>
      </c>
      <c r="AS225" s="85">
        <f t="shared" si="49"/>
        <v>6.4516129032258063E-2</v>
      </c>
    </row>
    <row r="226" spans="27:45" ht="15.75" customHeight="1" x14ac:dyDescent="0.2">
      <c r="AD226" s="71">
        <v>45661</v>
      </c>
      <c r="AE226" s="72" t="s">
        <v>73</v>
      </c>
      <c r="AF226" s="72"/>
      <c r="AG226" s="74" t="s">
        <v>88</v>
      </c>
      <c r="AH226" s="72" t="s">
        <v>80</v>
      </c>
      <c r="AI226" s="73">
        <v>190</v>
      </c>
      <c r="AJ226" s="72"/>
      <c r="AK226" s="75">
        <v>0.5</v>
      </c>
      <c r="AL226" s="75"/>
      <c r="AM226" s="73">
        <f>AI226*AK226</f>
        <v>95</v>
      </c>
      <c r="AN226" s="75">
        <f>AN225-AK226</f>
        <v>1</v>
      </c>
      <c r="AO226" s="75">
        <f>AO225</f>
        <v>0.5</v>
      </c>
      <c r="AP226" s="75">
        <f>AP225-AK226</f>
        <v>0.5</v>
      </c>
      <c r="AQ226" s="73">
        <f>AQ225+AM226</f>
        <v>95</v>
      </c>
      <c r="AR226" s="73">
        <f>AR225</f>
        <v>310</v>
      </c>
      <c r="AS226" s="77">
        <f t="shared" si="49"/>
        <v>-8.0645161290322578E-2</v>
      </c>
    </row>
    <row r="227" spans="27:45" ht="15.75" customHeight="1" x14ac:dyDescent="0.2">
      <c r="AD227" s="78">
        <v>45662</v>
      </c>
      <c r="AE227" s="79" t="s">
        <v>75</v>
      </c>
      <c r="AF227" s="79"/>
      <c r="AG227" s="80" t="s">
        <v>89</v>
      </c>
      <c r="AH227" s="79" t="s">
        <v>80</v>
      </c>
      <c r="AI227" s="81">
        <v>200</v>
      </c>
      <c r="AJ227" s="81">
        <v>200</v>
      </c>
      <c r="AK227" s="82">
        <f>AJ227/AI227</f>
        <v>1</v>
      </c>
      <c r="AL227" s="82"/>
      <c r="AM227" s="79"/>
      <c r="AN227" s="82">
        <f>AN226+AK227</f>
        <v>2</v>
      </c>
      <c r="AO227" s="82">
        <f>AO226+(AK227/2)</f>
        <v>1</v>
      </c>
      <c r="AP227" s="82">
        <f>AP226+(AK227/2)</f>
        <v>1</v>
      </c>
      <c r="AQ227" s="81">
        <v>0</v>
      </c>
      <c r="AR227" s="81">
        <f>AR226+(AJ227-AQ226)</f>
        <v>415</v>
      </c>
      <c r="AS227" s="85">
        <f t="shared" si="49"/>
        <v>-3.614457831325301E-2</v>
      </c>
    </row>
    <row r="228" spans="27:45" ht="15.75" customHeight="1" x14ac:dyDescent="0.2">
      <c r="AD228" s="71">
        <v>45663</v>
      </c>
      <c r="AE228" s="72" t="s">
        <v>73</v>
      </c>
      <c r="AF228" s="72"/>
      <c r="AG228" s="74" t="s">
        <v>90</v>
      </c>
      <c r="AH228" s="72" t="s">
        <v>80</v>
      </c>
      <c r="AI228" s="73">
        <v>210</v>
      </c>
      <c r="AJ228" s="72"/>
      <c r="AK228" s="75">
        <v>0.5</v>
      </c>
      <c r="AL228" s="75"/>
      <c r="AM228" s="73">
        <f>AI228*AK228</f>
        <v>105</v>
      </c>
      <c r="AN228" s="75">
        <f>AN227-AK228</f>
        <v>1.5</v>
      </c>
      <c r="AO228" s="75">
        <f>AO227-AK228</f>
        <v>0.5</v>
      </c>
      <c r="AP228" s="75">
        <f>AP227</f>
        <v>1</v>
      </c>
      <c r="AQ228" s="73">
        <f>AQ227+AM228</f>
        <v>105</v>
      </c>
      <c r="AR228" s="73">
        <f>AR227</f>
        <v>415</v>
      </c>
      <c r="AS228" s="77">
        <f t="shared" si="49"/>
        <v>1.2048192771084338E-2</v>
      </c>
    </row>
    <row r="229" spans="27:45" ht="15.75" customHeight="1" x14ac:dyDescent="0.2">
      <c r="AD229" s="71">
        <v>45664</v>
      </c>
      <c r="AE229" s="72" t="s">
        <v>73</v>
      </c>
      <c r="AF229" s="72"/>
      <c r="AG229" s="74" t="s">
        <v>91</v>
      </c>
      <c r="AH229" s="72" t="s">
        <v>80</v>
      </c>
      <c r="AI229" s="73">
        <v>210</v>
      </c>
      <c r="AJ229" s="72"/>
      <c r="AK229" s="75">
        <v>0.5</v>
      </c>
      <c r="AL229" s="75"/>
      <c r="AM229" s="73">
        <f>AI229/2</f>
        <v>105</v>
      </c>
      <c r="AN229" s="75">
        <f>AN228-AK229</f>
        <v>1</v>
      </c>
      <c r="AO229" s="75">
        <f>AO228</f>
        <v>0.5</v>
      </c>
      <c r="AP229" s="75">
        <f>AP228-AK229</f>
        <v>0.5</v>
      </c>
      <c r="AQ229" s="73">
        <f>AM229+AQ228</f>
        <v>210</v>
      </c>
      <c r="AR229" s="73">
        <f>AR228</f>
        <v>415</v>
      </c>
      <c r="AS229" s="77">
        <f t="shared" si="49"/>
        <v>1.2048192771084338E-2</v>
      </c>
    </row>
    <row r="230" spans="27:45" ht="15.75" customHeight="1" x14ac:dyDescent="0.2">
      <c r="AA230" s="92"/>
      <c r="AD230" s="78">
        <v>45665</v>
      </c>
      <c r="AE230" s="80" t="s">
        <v>75</v>
      </c>
      <c r="AF230" s="80"/>
      <c r="AG230" s="80" t="s">
        <v>92</v>
      </c>
      <c r="AH230" s="80" t="s">
        <v>80</v>
      </c>
      <c r="AI230" s="81">
        <v>200</v>
      </c>
      <c r="AJ230" s="81">
        <v>200</v>
      </c>
      <c r="AK230" s="82">
        <v>1</v>
      </c>
      <c r="AL230" s="82"/>
      <c r="AM230" s="79"/>
      <c r="AN230" s="82">
        <f>AN229+AK230</f>
        <v>2</v>
      </c>
      <c r="AO230" s="82">
        <f>AK230+AO229</f>
        <v>1.5</v>
      </c>
      <c r="AP230" s="83">
        <f>AP229</f>
        <v>0.5</v>
      </c>
      <c r="AQ230" s="81">
        <f>AQ229-AJ230</f>
        <v>10</v>
      </c>
      <c r="AR230" s="81">
        <f>AR228</f>
        <v>415</v>
      </c>
      <c r="AS230" s="85">
        <f t="shared" si="49"/>
        <v>-1.2048192771084338E-2</v>
      </c>
    </row>
    <row r="231" spans="27:45" ht="15.75" customHeight="1" x14ac:dyDescent="0.2">
      <c r="AA231" s="93"/>
      <c r="AD231" s="71">
        <v>45666</v>
      </c>
      <c r="AE231" s="74" t="s">
        <v>73</v>
      </c>
      <c r="AF231" s="74"/>
      <c r="AG231" s="74" t="s">
        <v>92</v>
      </c>
      <c r="AH231" s="74" t="s">
        <v>80</v>
      </c>
      <c r="AI231" s="73">
        <v>230</v>
      </c>
      <c r="AJ231" s="72"/>
      <c r="AK231" s="75">
        <v>0.5</v>
      </c>
      <c r="AL231" s="75"/>
      <c r="AM231" s="73">
        <f>AI231/2</f>
        <v>115</v>
      </c>
      <c r="AN231" s="75">
        <f>AN230-AK231</f>
        <v>1.5</v>
      </c>
      <c r="AO231" s="75">
        <f>AO230-AK231</f>
        <v>1</v>
      </c>
      <c r="AP231" s="75">
        <f>AP230</f>
        <v>0.5</v>
      </c>
      <c r="AQ231" s="73">
        <f>AQ230+AM231</f>
        <v>125</v>
      </c>
      <c r="AR231" s="73">
        <f>AR230</f>
        <v>415</v>
      </c>
      <c r="AS231" s="77">
        <f t="shared" si="49"/>
        <v>0.13253012048192772</v>
      </c>
    </row>
    <row r="232" spans="27:45" ht="15.75" customHeight="1" x14ac:dyDescent="0.2">
      <c r="AA232" s="93"/>
      <c r="AD232" s="78">
        <v>45667</v>
      </c>
      <c r="AE232" s="80" t="s">
        <v>75</v>
      </c>
      <c r="AF232" s="80"/>
      <c r="AG232" s="80" t="s">
        <v>93</v>
      </c>
      <c r="AH232" s="80" t="s">
        <v>80</v>
      </c>
      <c r="AI232" s="81">
        <v>230</v>
      </c>
      <c r="AJ232" s="81">
        <v>230</v>
      </c>
      <c r="AK232" s="82">
        <v>1</v>
      </c>
      <c r="AL232" s="82"/>
      <c r="AM232" s="79"/>
      <c r="AN232" s="82">
        <f>AN231+AK232</f>
        <v>2.5</v>
      </c>
      <c r="AO232" s="82">
        <f>AO231</f>
        <v>1</v>
      </c>
      <c r="AP232" s="82">
        <f>AP231+AK232</f>
        <v>1.5</v>
      </c>
      <c r="AQ232" s="81">
        <v>0</v>
      </c>
      <c r="AR232" s="81">
        <f>AR231+(AJ232-AQ231)</f>
        <v>520</v>
      </c>
      <c r="AS232" s="85">
        <f t="shared" si="49"/>
        <v>0.10576923076923077</v>
      </c>
    </row>
    <row r="233" spans="27:45" ht="15.75" customHeight="1" x14ac:dyDescent="0.2">
      <c r="AA233" s="93"/>
    </row>
    <row r="234" spans="27:45" ht="15.75" customHeight="1" x14ac:dyDescent="0.2">
      <c r="AA234" s="93"/>
    </row>
    <row r="235" spans="27:45" ht="12.75" x14ac:dyDescent="0.2">
      <c r="AD235" s="45" t="s">
        <v>74</v>
      </c>
      <c r="AN235" s="45" t="s">
        <v>94</v>
      </c>
    </row>
    <row r="236" spans="27:45" ht="15.75" customHeight="1" x14ac:dyDescent="0.2">
      <c r="AA236" s="54"/>
      <c r="AD236" s="69" t="s">
        <v>2</v>
      </c>
      <c r="AE236" s="70" t="s">
        <v>3</v>
      </c>
      <c r="AF236" s="70"/>
      <c r="AG236" s="70" t="s">
        <v>76</v>
      </c>
      <c r="AH236" s="70" t="s">
        <v>4</v>
      </c>
      <c r="AI236" s="70" t="s">
        <v>0</v>
      </c>
      <c r="AJ236" s="70" t="s">
        <v>1</v>
      </c>
      <c r="AK236" s="70" t="s">
        <v>62</v>
      </c>
      <c r="AL236" s="70"/>
      <c r="AM236" s="70" t="s">
        <v>77</v>
      </c>
      <c r="AN236" s="70" t="s">
        <v>84</v>
      </c>
      <c r="AO236" s="70" t="s">
        <v>83</v>
      </c>
      <c r="AP236" s="70" t="s">
        <v>7</v>
      </c>
      <c r="AQ236" s="70" t="s">
        <v>81</v>
      </c>
      <c r="AR236" s="70" t="s">
        <v>79</v>
      </c>
      <c r="AS236" s="70" t="s">
        <v>82</v>
      </c>
    </row>
    <row r="237" spans="27:45" ht="15.75" customHeight="1" x14ac:dyDescent="0.2">
      <c r="AA237" s="94"/>
      <c r="AD237" s="78"/>
      <c r="AE237" s="79" t="s">
        <v>75</v>
      </c>
      <c r="AF237" s="79"/>
      <c r="AG237" s="80" t="s">
        <v>70</v>
      </c>
      <c r="AH237" s="79" t="s">
        <v>78</v>
      </c>
      <c r="AI237" s="89">
        <v>232.37</v>
      </c>
      <c r="AJ237" s="81">
        <v>1000</v>
      </c>
      <c r="AK237" s="86">
        <f t="shared" ref="AK237:AK242" si="50">AJ237/AI237</f>
        <v>4.3034815165468867</v>
      </c>
      <c r="AL237" s="86"/>
      <c r="AM237" s="89"/>
      <c r="AN237" s="86">
        <f>AK237</f>
        <v>4.3034815165468867</v>
      </c>
      <c r="AO237" s="86">
        <f>AN237/2</f>
        <v>2.1517407582734434</v>
      </c>
      <c r="AP237" s="88">
        <f>AN237/2</f>
        <v>2.1517407582734434</v>
      </c>
      <c r="AQ237" s="89">
        <v>0</v>
      </c>
      <c r="AR237" s="91">
        <f>ABS(AQ237-AJ237)</f>
        <v>1000</v>
      </c>
      <c r="AS237" s="85">
        <f>((AQ237+(AK237*AI237)-AR237)/AR237)</f>
        <v>1.1368683772161603E-16</v>
      </c>
    </row>
    <row r="238" spans="27:45" ht="15.75" customHeight="1" x14ac:dyDescent="0.2">
      <c r="AD238" s="78"/>
      <c r="AE238" s="79" t="s">
        <v>75</v>
      </c>
      <c r="AF238" s="79"/>
      <c r="AG238" s="80" t="s">
        <v>70</v>
      </c>
      <c r="AH238" s="79" t="s">
        <v>80</v>
      </c>
      <c r="AI238" s="89">
        <v>205.6</v>
      </c>
      <c r="AJ238" s="81">
        <v>500</v>
      </c>
      <c r="AK238" s="86">
        <f t="shared" si="50"/>
        <v>2.4319066147859925</v>
      </c>
      <c r="AL238" s="86"/>
      <c r="AM238" s="89"/>
      <c r="AN238" s="86">
        <f>AK238+AN237</f>
        <v>6.7353881313328792</v>
      </c>
      <c r="AO238" s="86">
        <f>AO237+(AK238/2)</f>
        <v>3.3676940656664396</v>
      </c>
      <c r="AP238" s="86">
        <f>AP237+(AK238/2)</f>
        <v>3.3676940656664396</v>
      </c>
      <c r="AQ238" s="89">
        <v>0</v>
      </c>
      <c r="AR238" s="89">
        <f>AR237+(AJ238-AQ237)</f>
        <v>1500</v>
      </c>
      <c r="AS238" s="85">
        <f t="shared" ref="AS238:AS248" si="51">((AQ238+(AN238*AI238)-AR238)/AR238)</f>
        <v>-7.6802800131973381E-2</v>
      </c>
    </row>
    <row r="239" spans="27:45" ht="15.75" customHeight="1" x14ac:dyDescent="0.2">
      <c r="AD239" s="78"/>
      <c r="AE239" s="79" t="s">
        <v>75</v>
      </c>
      <c r="AF239" s="79"/>
      <c r="AG239" s="80" t="s">
        <v>70</v>
      </c>
      <c r="AH239" s="79" t="s">
        <v>80</v>
      </c>
      <c r="AI239" s="89">
        <v>199.37</v>
      </c>
      <c r="AJ239" s="81">
        <v>500</v>
      </c>
      <c r="AK239" s="86">
        <f t="shared" si="50"/>
        <v>2.5078998846366054</v>
      </c>
      <c r="AL239" s="86"/>
      <c r="AM239" s="89"/>
      <c r="AN239" s="86">
        <f>AK239+AN238</f>
        <v>9.243288015969485</v>
      </c>
      <c r="AO239" s="86">
        <f>AO238+(AK239/2)</f>
        <v>4.6216440079847425</v>
      </c>
      <c r="AP239" s="86">
        <f>AP238+(AK239/2)</f>
        <v>4.6216440079847425</v>
      </c>
      <c r="AQ239" s="89">
        <v>0</v>
      </c>
      <c r="AR239" s="89">
        <f>AR238+(AJ239-AQ238)</f>
        <v>2000</v>
      </c>
      <c r="AS239" s="85">
        <f t="shared" si="51"/>
        <v>-7.858283412808191E-2</v>
      </c>
    </row>
    <row r="240" spans="27:45" ht="15.75" customHeight="1" x14ac:dyDescent="0.2">
      <c r="AD240" s="78"/>
      <c r="AE240" s="79" t="s">
        <v>75</v>
      </c>
      <c r="AF240" s="79"/>
      <c r="AG240" s="80" t="s">
        <v>70</v>
      </c>
      <c r="AH240" s="79" t="s">
        <v>80</v>
      </c>
      <c r="AI240" s="89">
        <v>196.54</v>
      </c>
      <c r="AJ240" s="81">
        <v>500</v>
      </c>
      <c r="AK240" s="86">
        <f t="shared" si="50"/>
        <v>2.5440113971710594</v>
      </c>
      <c r="AL240" s="86"/>
      <c r="AM240" s="89"/>
      <c r="AN240" s="86">
        <f>AK240+AN239</f>
        <v>11.787299413140545</v>
      </c>
      <c r="AO240" s="86">
        <f>AO239+(AK240/2)</f>
        <v>5.8936497065702724</v>
      </c>
      <c r="AP240" s="86">
        <f>AP239+(AK240/2)</f>
        <v>5.8936497065702724</v>
      </c>
      <c r="AQ240" s="89">
        <v>0</v>
      </c>
      <c r="AR240" s="89">
        <f>AR239+(AJ240-AQ239)</f>
        <v>2500</v>
      </c>
      <c r="AS240" s="85">
        <f t="shared" si="51"/>
        <v>-7.3329669336542974E-2</v>
      </c>
    </row>
    <row r="241" spans="30:45" ht="15.75" customHeight="1" x14ac:dyDescent="0.2">
      <c r="AD241" s="78"/>
      <c r="AE241" s="79" t="s">
        <v>75</v>
      </c>
      <c r="AF241" s="79"/>
      <c r="AG241" s="80" t="s">
        <v>70</v>
      </c>
      <c r="AH241" s="79" t="s">
        <v>80</v>
      </c>
      <c r="AI241" s="89">
        <v>184.88</v>
      </c>
      <c r="AJ241" s="81">
        <v>50</v>
      </c>
      <c r="AK241" s="86">
        <f t="shared" si="50"/>
        <v>0.27044569450454348</v>
      </c>
      <c r="AL241" s="86"/>
      <c r="AM241" s="89"/>
      <c r="AN241" s="86">
        <f>AK241+AN240</f>
        <v>12.057745107645088</v>
      </c>
      <c r="AO241" s="86">
        <f>AO240+(AK241/2)</f>
        <v>6.0288725538225441</v>
      </c>
      <c r="AP241" s="86">
        <f>AP240+(AK241/2)</f>
        <v>6.0288725538225441</v>
      </c>
      <c r="AQ241" s="89">
        <v>0</v>
      </c>
      <c r="AR241" s="89">
        <f>AR240+(AJ241-AQ240)</f>
        <v>2550</v>
      </c>
      <c r="AS241" s="85">
        <f t="shared" si="51"/>
        <v>-0.12578983705826521</v>
      </c>
    </row>
    <row r="242" spans="30:45" ht="15.75" customHeight="1" x14ac:dyDescent="0.2">
      <c r="AD242" s="78"/>
      <c r="AE242" s="79" t="s">
        <v>75</v>
      </c>
      <c r="AF242" s="79"/>
      <c r="AG242" s="80" t="s">
        <v>70</v>
      </c>
      <c r="AH242" s="79" t="s">
        <v>80</v>
      </c>
      <c r="AI242" s="89">
        <v>180.62</v>
      </c>
      <c r="AJ242" s="81">
        <v>50</v>
      </c>
      <c r="AK242" s="86">
        <f t="shared" si="50"/>
        <v>0.27682427195216475</v>
      </c>
      <c r="AL242" s="86"/>
      <c r="AM242" s="89"/>
      <c r="AN242" s="86">
        <f>AK242+AN241</f>
        <v>12.334569379597253</v>
      </c>
      <c r="AO242" s="86">
        <f>AO241+(AK242/2)</f>
        <v>6.1672846897986267</v>
      </c>
      <c r="AP242" s="86">
        <f>AP241+(AK242/2)</f>
        <v>6.1672846897986267</v>
      </c>
      <c r="AQ242" s="89">
        <v>0</v>
      </c>
      <c r="AR242" s="89">
        <f>AR241+(AJ242-AQ241)</f>
        <v>2600</v>
      </c>
      <c r="AS242" s="85">
        <f t="shared" si="51"/>
        <v>-0.14312695332967085</v>
      </c>
    </row>
    <row r="243" spans="30:45" ht="15.75" customHeight="1" x14ac:dyDescent="0.2">
      <c r="AD243" s="71"/>
      <c r="AE243" s="72" t="s">
        <v>73</v>
      </c>
      <c r="AF243" s="72"/>
      <c r="AG243" s="74" t="s">
        <v>27</v>
      </c>
      <c r="AH243" s="72" t="s">
        <v>10</v>
      </c>
      <c r="AI243" s="90">
        <v>208.59</v>
      </c>
      <c r="AJ243" s="72"/>
      <c r="AK243" s="87">
        <v>0.13841000000000001</v>
      </c>
      <c r="AL243" s="87"/>
      <c r="AM243" s="90">
        <f>AI243*AK243</f>
        <v>28.870941900000002</v>
      </c>
      <c r="AN243" s="87">
        <f>AN242-AK243</f>
        <v>12.196159379597253</v>
      </c>
      <c r="AO243" s="87">
        <f>AO242-AK243</f>
        <v>6.0288746897986263</v>
      </c>
      <c r="AP243" s="87">
        <f>AP242</f>
        <v>6.1672846897986267</v>
      </c>
      <c r="AQ243" s="90">
        <f>AM243+AQ237</f>
        <v>28.870941900000002</v>
      </c>
      <c r="AR243" s="90">
        <f>AR242</f>
        <v>2600</v>
      </c>
      <c r="AS243" s="77">
        <f t="shared" si="51"/>
        <v>-1.0435451196080277E-2</v>
      </c>
    </row>
    <row r="244" spans="30:45" ht="15.75" customHeight="1" x14ac:dyDescent="0.2">
      <c r="AD244" s="78"/>
      <c r="AE244" s="72" t="s">
        <v>73</v>
      </c>
      <c r="AF244" s="72"/>
      <c r="AG244" s="74" t="s">
        <v>27</v>
      </c>
      <c r="AH244" s="72" t="s">
        <v>10</v>
      </c>
      <c r="AI244" s="90">
        <v>208.54</v>
      </c>
      <c r="AJ244" s="72"/>
      <c r="AK244" s="87">
        <v>0.13522000000000001</v>
      </c>
      <c r="AL244" s="87"/>
      <c r="AM244" s="90">
        <f>AI244*AK244</f>
        <v>28.198778799999999</v>
      </c>
      <c r="AN244" s="87">
        <f>AN243-AK244</f>
        <v>12.060939379597253</v>
      </c>
      <c r="AO244" s="87">
        <f>AO243-AK244</f>
        <v>5.8936546897986259</v>
      </c>
      <c r="AP244" s="87">
        <f>AP243</f>
        <v>6.1672846897986267</v>
      </c>
      <c r="AQ244" s="90">
        <f>AM244+AQ238</f>
        <v>28.198778799999999</v>
      </c>
      <c r="AR244" s="90">
        <f>AR243</f>
        <v>2600</v>
      </c>
      <c r="AS244" s="85">
        <f t="shared" si="51"/>
        <v>-2.1774201145688038E-2</v>
      </c>
    </row>
    <row r="245" spans="30:45" ht="15.75" customHeight="1" x14ac:dyDescent="0.2">
      <c r="AD245" s="71"/>
      <c r="AE245" s="72" t="s">
        <v>73</v>
      </c>
      <c r="AF245" s="72"/>
      <c r="AG245" s="74" t="s">
        <v>95</v>
      </c>
      <c r="AH245" s="72" t="s">
        <v>80</v>
      </c>
      <c r="AI245" s="90">
        <v>28.25</v>
      </c>
      <c r="AJ245" s="72"/>
      <c r="AK245" s="87">
        <f>AO244</f>
        <v>5.8936546897986259</v>
      </c>
      <c r="AL245" s="87"/>
      <c r="AM245" s="90">
        <f>AI245*AK245</f>
        <v>166.49574498681119</v>
      </c>
      <c r="AN245" s="87">
        <f>AN244-AK245</f>
        <v>6.1672846897986267</v>
      </c>
      <c r="AO245" s="87">
        <f>AO244-AK245</f>
        <v>0</v>
      </c>
      <c r="AP245" s="87">
        <f>AP244</f>
        <v>6.1672846897986267</v>
      </c>
      <c r="AQ245" s="90">
        <f>AQ244+AM245</f>
        <v>194.6945237868112</v>
      </c>
      <c r="AR245" s="90">
        <f>AR244</f>
        <v>2600</v>
      </c>
      <c r="AS245" s="77">
        <f t="shared" si="51"/>
        <v>-0.85810757066399135</v>
      </c>
    </row>
    <row r="246" spans="30:45" ht="15.75" customHeight="1" x14ac:dyDescent="0.2">
      <c r="AD246" s="78"/>
      <c r="AE246" s="79" t="s">
        <v>75</v>
      </c>
      <c r="AF246" s="79"/>
      <c r="AG246" s="80" t="s">
        <v>89</v>
      </c>
      <c r="AH246" s="79" t="s">
        <v>80</v>
      </c>
      <c r="AI246" s="89">
        <v>28.39</v>
      </c>
      <c r="AJ246" s="81">
        <v>200</v>
      </c>
      <c r="AK246" s="86">
        <f>AJ246/AI246</f>
        <v>7.0447340612891862</v>
      </c>
      <c r="AL246" s="86"/>
      <c r="AM246" s="89"/>
      <c r="AN246" s="86">
        <f>AN245+AK246</f>
        <v>13.212018751087813</v>
      </c>
      <c r="AO246" s="86">
        <f>AO245+(AK246/2)</f>
        <v>3.5223670306445931</v>
      </c>
      <c r="AP246" s="86">
        <f>AP245+(AK246/2)</f>
        <v>9.6896517204432193</v>
      </c>
      <c r="AQ246" s="89">
        <v>0</v>
      </c>
      <c r="AR246" s="89">
        <f>AR245+(AJ246-AQ245)</f>
        <v>2605.3054762131887</v>
      </c>
      <c r="AS246" s="85">
        <f t="shared" si="51"/>
        <v>-0.85602870152156774</v>
      </c>
    </row>
    <row r="247" spans="30:45" ht="15.75" customHeight="1" x14ac:dyDescent="0.2">
      <c r="AD247" s="78"/>
      <c r="AE247" s="80" t="s">
        <v>75</v>
      </c>
      <c r="AF247" s="80"/>
      <c r="AG247" s="80" t="s">
        <v>96</v>
      </c>
      <c r="AH247" s="80" t="s">
        <v>80</v>
      </c>
      <c r="AI247" s="89">
        <v>27.28</v>
      </c>
      <c r="AJ247" s="81">
        <v>200</v>
      </c>
      <c r="AK247" s="86">
        <f>AJ247/AI247</f>
        <v>7.3313782991202343</v>
      </c>
      <c r="AL247" s="86"/>
      <c r="AM247" s="89"/>
      <c r="AN247" s="86">
        <f>AN246+AK247</f>
        <v>20.543397050208046</v>
      </c>
      <c r="AO247" s="86">
        <f>AO246+(AK247/2)</f>
        <v>7.1880561802047103</v>
      </c>
      <c r="AP247" s="86">
        <f>AP246+(AK247/2)</f>
        <v>13.355340870003337</v>
      </c>
      <c r="AQ247" s="89">
        <v>0</v>
      </c>
      <c r="AR247" s="89">
        <f>AR246+(AJ247-AQ246)</f>
        <v>2805.3054762131887</v>
      </c>
      <c r="AS247" s="85">
        <f t="shared" si="51"/>
        <v>-0.80022714949169182</v>
      </c>
    </row>
    <row r="248" spans="30:45" ht="15.75" customHeight="1" x14ac:dyDescent="0.2">
      <c r="AD248" s="78"/>
      <c r="AE248" s="80" t="s">
        <v>75</v>
      </c>
      <c r="AF248" s="80"/>
      <c r="AG248" s="80" t="s">
        <v>97</v>
      </c>
      <c r="AH248" s="80" t="s">
        <v>80</v>
      </c>
      <c r="AI248" s="89">
        <v>27.38</v>
      </c>
      <c r="AJ248" s="81">
        <v>200</v>
      </c>
      <c r="AK248" s="86">
        <f>AJ248/AI248</f>
        <v>7.3046018991964941</v>
      </c>
      <c r="AL248" s="86"/>
      <c r="AM248" s="89"/>
      <c r="AN248" s="86">
        <f>AN247+AK248</f>
        <v>27.847998949404541</v>
      </c>
      <c r="AO248" s="86">
        <f>AO247+(AK248/2)</f>
        <v>10.840357129802957</v>
      </c>
      <c r="AP248" s="86">
        <f>AP247+(AK248/2)</f>
        <v>17.007641819601584</v>
      </c>
      <c r="AQ248" s="89">
        <v>0</v>
      </c>
      <c r="AR248" s="89">
        <f>AR247+(AJ248-AQ247)</f>
        <v>3005.3054762131887</v>
      </c>
      <c r="AS248" s="85">
        <f t="shared" si="51"/>
        <v>-0.74628928164884878</v>
      </c>
    </row>
  </sheetData>
  <pageMargins left="0.7" right="0.7" top="0.75" bottom="0.75" header="0.3" footer="0.3"/>
  <pageSetup orientation="portrait" horizontalDpi="300" verticalDpi="300" r:id="rId1"/>
  <ignoredErrors>
    <ignoredError sqref="AN153 AC154 AP155 AQ152 BG153 BG155 BG158 AM165 AG165 BG166 AC165:AE165 AI165:AK165 AF188:AF189" formula="1"/>
  </ignoredError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87240-63E6-4AF7-81AA-62B1973154A2}">
  <dimension ref="B2:Q50"/>
  <sheetViews>
    <sheetView topLeftCell="A31" workbookViewId="0">
      <selection activeCell="T43" sqref="T43"/>
    </sheetView>
  </sheetViews>
  <sheetFormatPr defaultColWidth="8.85546875" defaultRowHeight="12.75" x14ac:dyDescent="0.2"/>
  <cols>
    <col min="2" max="2" width="30.140625" customWidth="1"/>
    <col min="3" max="3" width="33.28515625" customWidth="1"/>
    <col min="4" max="4" width="12.42578125" bestFit="1" customWidth="1"/>
    <col min="5" max="5" width="10.42578125" bestFit="1" customWidth="1"/>
    <col min="6" max="6" width="16" bestFit="1" customWidth="1"/>
    <col min="7" max="7" width="10.42578125" bestFit="1" customWidth="1"/>
    <col min="8" max="8" width="9.42578125" bestFit="1" customWidth="1"/>
    <col min="9" max="9" width="8.85546875" bestFit="1" customWidth="1"/>
    <col min="10" max="10" width="7.85546875" bestFit="1" customWidth="1"/>
    <col min="11" max="11" width="11.7109375" bestFit="1" customWidth="1"/>
    <col min="12" max="12" width="6.85546875" bestFit="1" customWidth="1"/>
    <col min="13" max="13" width="13.7109375" bestFit="1" customWidth="1"/>
    <col min="14" max="14" width="11.5703125" customWidth="1"/>
    <col min="15" max="15" width="11.7109375" bestFit="1" customWidth="1"/>
    <col min="16" max="16" width="9.7109375" bestFit="1" customWidth="1"/>
  </cols>
  <sheetData>
    <row r="2" spans="2:15" x14ac:dyDescent="0.2">
      <c r="B2" s="45" t="s">
        <v>123</v>
      </c>
    </row>
    <row r="3" spans="2:15" x14ac:dyDescent="0.2">
      <c r="B3" s="70" t="s">
        <v>104</v>
      </c>
      <c r="C3" s="70" t="s">
        <v>105</v>
      </c>
      <c r="D3" s="70" t="s">
        <v>106</v>
      </c>
      <c r="E3" s="70" t="s">
        <v>107</v>
      </c>
      <c r="F3" s="70" t="s">
        <v>117</v>
      </c>
      <c r="G3" s="70" t="s">
        <v>119</v>
      </c>
      <c r="H3" s="70" t="s">
        <v>110</v>
      </c>
      <c r="I3" s="70" t="s">
        <v>109</v>
      </c>
      <c r="J3" s="70" t="s">
        <v>111</v>
      </c>
      <c r="K3" s="70" t="s">
        <v>113</v>
      </c>
      <c r="L3" s="70" t="s">
        <v>29</v>
      </c>
      <c r="M3" s="70" t="s">
        <v>63</v>
      </c>
      <c r="N3" s="70" t="s">
        <v>72</v>
      </c>
      <c r="O3" s="70" t="s">
        <v>99</v>
      </c>
    </row>
    <row r="4" spans="2:15" x14ac:dyDescent="0.2">
      <c r="B4" s="45" t="s">
        <v>140</v>
      </c>
      <c r="C4" s="45" t="s">
        <v>141</v>
      </c>
      <c r="D4" s="45" t="s">
        <v>114</v>
      </c>
      <c r="E4" s="45" t="s">
        <v>115</v>
      </c>
      <c r="F4" s="45" t="s">
        <v>118</v>
      </c>
      <c r="G4" s="45" t="s">
        <v>120</v>
      </c>
      <c r="I4">
        <v>1200</v>
      </c>
      <c r="J4" s="45"/>
      <c r="L4">
        <v>50</v>
      </c>
      <c r="M4">
        <v>5</v>
      </c>
      <c r="N4">
        <v>10</v>
      </c>
      <c r="O4">
        <v>20</v>
      </c>
    </row>
    <row r="6" spans="2:15" x14ac:dyDescent="0.2">
      <c r="B6" s="45" t="s">
        <v>124</v>
      </c>
    </row>
    <row r="7" spans="2:15" x14ac:dyDescent="0.2">
      <c r="B7" s="70" t="s">
        <v>104</v>
      </c>
      <c r="C7" s="76"/>
      <c r="D7" s="76"/>
      <c r="E7" s="76"/>
      <c r="F7" s="76"/>
      <c r="G7" s="76"/>
      <c r="H7" s="76"/>
      <c r="I7" s="76"/>
      <c r="J7" s="76"/>
      <c r="K7" s="76"/>
      <c r="L7" s="76"/>
      <c r="M7" s="76"/>
      <c r="N7" s="76"/>
    </row>
    <row r="8" spans="2:15" x14ac:dyDescent="0.2">
      <c r="B8" s="45" t="s">
        <v>132</v>
      </c>
    </row>
    <row r="10" spans="2:15" x14ac:dyDescent="0.2">
      <c r="B10" s="45" t="s">
        <v>125</v>
      </c>
    </row>
    <row r="11" spans="2:15" x14ac:dyDescent="0.2">
      <c r="B11" s="70" t="s">
        <v>104</v>
      </c>
      <c r="C11" s="70" t="s">
        <v>76</v>
      </c>
      <c r="D11" s="70" t="s">
        <v>107</v>
      </c>
      <c r="E11" s="70" t="s">
        <v>108</v>
      </c>
      <c r="F11" s="70" t="s">
        <v>119</v>
      </c>
      <c r="G11" s="70" t="s">
        <v>63</v>
      </c>
      <c r="H11" s="70" t="s">
        <v>72</v>
      </c>
      <c r="I11" s="70" t="s">
        <v>99</v>
      </c>
      <c r="J11" s="70" t="s">
        <v>112</v>
      </c>
      <c r="K11" s="70" t="s">
        <v>109</v>
      </c>
      <c r="L11" s="70" t="s">
        <v>79</v>
      </c>
      <c r="M11" s="70" t="s">
        <v>121</v>
      </c>
      <c r="N11" s="70" t="s">
        <v>122</v>
      </c>
    </row>
    <row r="12" spans="2:15" x14ac:dyDescent="0.2">
      <c r="B12" s="45" t="s">
        <v>132</v>
      </c>
      <c r="C12" s="45" t="s">
        <v>114</v>
      </c>
      <c r="D12" s="45" t="s">
        <v>115</v>
      </c>
      <c r="E12" s="45" t="s">
        <v>118</v>
      </c>
      <c r="F12" s="45" t="s">
        <v>120</v>
      </c>
      <c r="G12">
        <v>5</v>
      </c>
      <c r="H12">
        <v>10</v>
      </c>
      <c r="I12">
        <v>20</v>
      </c>
      <c r="J12" s="96" t="s">
        <v>34</v>
      </c>
      <c r="K12" s="33">
        <v>1200</v>
      </c>
      <c r="L12" s="96" t="s">
        <v>34</v>
      </c>
      <c r="M12" s="96" t="s">
        <v>34</v>
      </c>
      <c r="N12" s="96" t="s">
        <v>34</v>
      </c>
    </row>
    <row r="14" spans="2:15" x14ac:dyDescent="0.2">
      <c r="B14" s="45" t="s">
        <v>131</v>
      </c>
    </row>
    <row r="15" spans="2:15" x14ac:dyDescent="0.2">
      <c r="B15" s="70" t="s">
        <v>104</v>
      </c>
      <c r="C15" s="70" t="s">
        <v>105</v>
      </c>
      <c r="D15" s="70" t="s">
        <v>106</v>
      </c>
      <c r="E15" s="70" t="s">
        <v>107</v>
      </c>
      <c r="F15" s="70" t="s">
        <v>117</v>
      </c>
      <c r="G15" s="70" t="s">
        <v>119</v>
      </c>
      <c r="H15" s="70" t="s">
        <v>110</v>
      </c>
      <c r="I15" s="70" t="s">
        <v>109</v>
      </c>
      <c r="J15" s="70" t="s">
        <v>111</v>
      </c>
      <c r="K15" s="70" t="s">
        <v>113</v>
      </c>
      <c r="L15" s="70" t="s">
        <v>29</v>
      </c>
      <c r="M15" s="70" t="s">
        <v>63</v>
      </c>
      <c r="N15" s="70" t="s">
        <v>72</v>
      </c>
      <c r="O15" s="70" t="s">
        <v>99</v>
      </c>
    </row>
    <row r="16" spans="2:15" x14ac:dyDescent="0.2">
      <c r="B16" s="45" t="s">
        <v>144</v>
      </c>
      <c r="C16" s="45" t="s">
        <v>146</v>
      </c>
      <c r="D16" s="45" t="s">
        <v>133</v>
      </c>
      <c r="E16" s="45" t="s">
        <v>128</v>
      </c>
      <c r="F16" s="45" t="s">
        <v>134</v>
      </c>
      <c r="G16" s="45" t="s">
        <v>135</v>
      </c>
      <c r="I16">
        <v>2000</v>
      </c>
      <c r="J16" s="96"/>
      <c r="K16">
        <v>0.1</v>
      </c>
      <c r="L16">
        <v>50</v>
      </c>
      <c r="M16">
        <v>5</v>
      </c>
      <c r="N16">
        <v>10</v>
      </c>
      <c r="O16">
        <v>20</v>
      </c>
    </row>
    <row r="17" spans="2:15" x14ac:dyDescent="0.2">
      <c r="B17" s="45" t="s">
        <v>143</v>
      </c>
      <c r="C17" s="45" t="s">
        <v>147</v>
      </c>
      <c r="D17" s="45" t="s">
        <v>133</v>
      </c>
      <c r="E17" s="45" t="s">
        <v>130</v>
      </c>
      <c r="F17" s="45" t="s">
        <v>160</v>
      </c>
      <c r="G17" s="45" t="s">
        <v>135</v>
      </c>
      <c r="I17">
        <v>3000</v>
      </c>
      <c r="J17" s="96"/>
      <c r="K17">
        <v>0.2</v>
      </c>
      <c r="L17">
        <v>50</v>
      </c>
      <c r="M17">
        <v>5</v>
      </c>
      <c r="N17">
        <v>10</v>
      </c>
      <c r="O17">
        <v>20</v>
      </c>
    </row>
    <row r="18" spans="2:15" x14ac:dyDescent="0.2">
      <c r="B18" s="45" t="s">
        <v>145</v>
      </c>
      <c r="C18" s="45" t="s">
        <v>148</v>
      </c>
      <c r="D18" s="45" t="s">
        <v>114</v>
      </c>
      <c r="E18" s="45" t="s">
        <v>129</v>
      </c>
      <c r="F18" s="45" t="s">
        <v>118</v>
      </c>
      <c r="G18" s="45" t="s">
        <v>120</v>
      </c>
      <c r="I18">
        <v>1500</v>
      </c>
      <c r="J18" s="96"/>
      <c r="L18">
        <v>50</v>
      </c>
      <c r="M18">
        <v>5</v>
      </c>
      <c r="N18">
        <v>10</v>
      </c>
      <c r="O18">
        <v>20</v>
      </c>
    </row>
    <row r="19" spans="2:15" x14ac:dyDescent="0.2">
      <c r="B19" s="45" t="s">
        <v>142</v>
      </c>
      <c r="C19" s="45" t="s">
        <v>139</v>
      </c>
      <c r="D19" s="45" t="s">
        <v>137</v>
      </c>
      <c r="E19" s="45" t="s">
        <v>130</v>
      </c>
      <c r="F19" s="45" t="s">
        <v>137</v>
      </c>
      <c r="G19" s="45" t="s">
        <v>120</v>
      </c>
      <c r="I19">
        <v>500</v>
      </c>
      <c r="J19" s="45"/>
      <c r="K19">
        <v>0.85</v>
      </c>
      <c r="L19">
        <v>50</v>
      </c>
      <c r="M19">
        <v>5</v>
      </c>
      <c r="N19">
        <v>10</v>
      </c>
      <c r="O19">
        <v>20</v>
      </c>
    </row>
    <row r="20" spans="2:15" x14ac:dyDescent="0.2">
      <c r="B20" s="45" t="s">
        <v>138</v>
      </c>
      <c r="C20" s="45" t="s">
        <v>149</v>
      </c>
      <c r="D20" s="45" t="s">
        <v>133</v>
      </c>
      <c r="E20" s="45" t="s">
        <v>115</v>
      </c>
      <c r="F20" s="45" t="s">
        <v>116</v>
      </c>
      <c r="G20" s="45" t="s">
        <v>135</v>
      </c>
      <c r="I20">
        <v>1200</v>
      </c>
      <c r="J20" s="45"/>
      <c r="K20">
        <v>0.5</v>
      </c>
      <c r="L20">
        <v>50</v>
      </c>
      <c r="M20">
        <v>5</v>
      </c>
      <c r="N20">
        <v>10</v>
      </c>
      <c r="O20">
        <v>20</v>
      </c>
    </row>
    <row r="21" spans="2:15" x14ac:dyDescent="0.2">
      <c r="B21" s="45" t="s">
        <v>150</v>
      </c>
      <c r="C21" s="45" t="s">
        <v>151</v>
      </c>
      <c r="D21" s="45" t="s">
        <v>137</v>
      </c>
      <c r="E21" s="45" t="s">
        <v>128</v>
      </c>
      <c r="F21" s="45" t="s">
        <v>137</v>
      </c>
      <c r="G21" s="45" t="s">
        <v>120</v>
      </c>
      <c r="I21">
        <v>1000</v>
      </c>
      <c r="J21" s="96"/>
      <c r="K21">
        <v>0.2</v>
      </c>
      <c r="L21">
        <v>50</v>
      </c>
      <c r="M21">
        <v>5</v>
      </c>
      <c r="N21">
        <v>10</v>
      </c>
      <c r="O21">
        <v>20</v>
      </c>
    </row>
    <row r="22" spans="2:15" x14ac:dyDescent="0.2">
      <c r="B22" s="45" t="s">
        <v>152</v>
      </c>
      <c r="C22" s="45" t="s">
        <v>153</v>
      </c>
      <c r="D22" s="45" t="s">
        <v>133</v>
      </c>
      <c r="E22" s="45" t="s">
        <v>128</v>
      </c>
      <c r="F22" s="45" t="s">
        <v>154</v>
      </c>
      <c r="G22" s="45" t="s">
        <v>135</v>
      </c>
      <c r="I22">
        <v>1300</v>
      </c>
      <c r="J22" s="96"/>
      <c r="K22">
        <v>0.5</v>
      </c>
      <c r="L22">
        <v>50</v>
      </c>
      <c r="M22">
        <v>5</v>
      </c>
      <c r="N22">
        <v>10</v>
      </c>
      <c r="O22">
        <v>20</v>
      </c>
    </row>
    <row r="23" spans="2:15" x14ac:dyDescent="0.2">
      <c r="B23" s="45" t="s">
        <v>155</v>
      </c>
      <c r="C23" s="45" t="s">
        <v>156</v>
      </c>
      <c r="D23" s="45" t="s">
        <v>133</v>
      </c>
      <c r="E23" s="45" t="s">
        <v>130</v>
      </c>
      <c r="F23" s="45" t="s">
        <v>157</v>
      </c>
      <c r="G23" s="45" t="s">
        <v>120</v>
      </c>
      <c r="I23">
        <v>1000</v>
      </c>
      <c r="J23" s="45"/>
      <c r="K23">
        <v>0.5</v>
      </c>
      <c r="L23">
        <v>50</v>
      </c>
      <c r="M23">
        <v>5</v>
      </c>
      <c r="N23">
        <v>10</v>
      </c>
      <c r="O23">
        <v>20</v>
      </c>
    </row>
    <row r="24" spans="2:15" x14ac:dyDescent="0.2">
      <c r="B24" s="45" t="s">
        <v>158</v>
      </c>
      <c r="C24" s="45" t="s">
        <v>159</v>
      </c>
      <c r="D24" s="45" t="s">
        <v>114</v>
      </c>
      <c r="E24" s="45" t="s">
        <v>130</v>
      </c>
      <c r="F24" s="45" t="s">
        <v>160</v>
      </c>
      <c r="G24" s="45" t="s">
        <v>120</v>
      </c>
      <c r="I24">
        <v>1600</v>
      </c>
      <c r="J24" s="45"/>
      <c r="L24">
        <v>50</v>
      </c>
      <c r="M24">
        <v>5</v>
      </c>
      <c r="N24">
        <v>10</v>
      </c>
      <c r="O24">
        <v>20</v>
      </c>
    </row>
    <row r="25" spans="2:15" x14ac:dyDescent="0.2">
      <c r="B25" s="45" t="s">
        <v>161</v>
      </c>
      <c r="C25" s="45" t="s">
        <v>162</v>
      </c>
      <c r="D25" s="45" t="s">
        <v>114</v>
      </c>
      <c r="E25" s="45" t="s">
        <v>115</v>
      </c>
      <c r="F25" s="45" t="s">
        <v>163</v>
      </c>
      <c r="G25" s="45" t="s">
        <v>135</v>
      </c>
      <c r="I25">
        <v>1200</v>
      </c>
      <c r="J25" s="45"/>
      <c r="L25">
        <v>50</v>
      </c>
      <c r="M25">
        <v>5</v>
      </c>
      <c r="N25">
        <v>10</v>
      </c>
      <c r="O25">
        <v>20</v>
      </c>
    </row>
    <row r="26" spans="2:15" x14ac:dyDescent="0.2">
      <c r="B26" s="45" t="s">
        <v>164</v>
      </c>
      <c r="C26" s="45" t="s">
        <v>165</v>
      </c>
      <c r="D26" s="45" t="s">
        <v>133</v>
      </c>
      <c r="E26" s="45" t="s">
        <v>129</v>
      </c>
      <c r="F26" s="45" t="s">
        <v>166</v>
      </c>
      <c r="G26" s="45" t="s">
        <v>120</v>
      </c>
      <c r="I26">
        <v>1500</v>
      </c>
      <c r="J26" s="96"/>
      <c r="K26">
        <v>0.1</v>
      </c>
      <c r="L26">
        <v>50</v>
      </c>
      <c r="M26">
        <v>5</v>
      </c>
      <c r="N26">
        <v>10</v>
      </c>
      <c r="O26">
        <v>20</v>
      </c>
    </row>
    <row r="27" spans="2:15" x14ac:dyDescent="0.2">
      <c r="B27" s="45" t="s">
        <v>167</v>
      </c>
      <c r="C27" s="45" t="s">
        <v>168</v>
      </c>
      <c r="D27" s="45" t="s">
        <v>114</v>
      </c>
      <c r="E27" s="45" t="s">
        <v>128</v>
      </c>
      <c r="F27" s="45" t="s">
        <v>134</v>
      </c>
      <c r="G27" s="45" t="s">
        <v>120</v>
      </c>
      <c r="I27">
        <v>1500</v>
      </c>
      <c r="J27" s="96"/>
      <c r="L27">
        <v>50</v>
      </c>
      <c r="M27">
        <v>5</v>
      </c>
      <c r="N27">
        <v>10</v>
      </c>
      <c r="O27">
        <v>20</v>
      </c>
    </row>
    <row r="28" spans="2:15" x14ac:dyDescent="0.2">
      <c r="B28" s="45" t="s">
        <v>169</v>
      </c>
      <c r="C28" s="45" t="s">
        <v>170</v>
      </c>
      <c r="D28" s="45" t="s">
        <v>114</v>
      </c>
      <c r="E28" s="45" t="s">
        <v>129</v>
      </c>
      <c r="F28" s="45" t="s">
        <v>166</v>
      </c>
      <c r="G28" s="45" t="s">
        <v>120</v>
      </c>
      <c r="I28">
        <v>1100</v>
      </c>
      <c r="J28" s="96"/>
      <c r="L28">
        <v>50</v>
      </c>
      <c r="M28">
        <v>5</v>
      </c>
      <c r="N28">
        <v>10</v>
      </c>
      <c r="O28">
        <v>20</v>
      </c>
    </row>
    <row r="29" spans="2:15" x14ac:dyDescent="0.2">
      <c r="B29" s="45" t="s">
        <v>171</v>
      </c>
      <c r="C29" s="45" t="s">
        <v>172</v>
      </c>
      <c r="D29" s="45" t="s">
        <v>133</v>
      </c>
      <c r="E29" s="45" t="s">
        <v>130</v>
      </c>
      <c r="F29" s="45" t="s">
        <v>157</v>
      </c>
      <c r="G29" s="45" t="s">
        <v>135</v>
      </c>
      <c r="I29">
        <v>800</v>
      </c>
      <c r="J29" s="45"/>
      <c r="K29">
        <v>0.25</v>
      </c>
      <c r="L29">
        <v>50</v>
      </c>
      <c r="M29">
        <v>5</v>
      </c>
      <c r="N29">
        <v>10</v>
      </c>
      <c r="O29">
        <v>20</v>
      </c>
    </row>
    <row r="30" spans="2:15" x14ac:dyDescent="0.2">
      <c r="B30" s="45"/>
      <c r="C30" s="45"/>
      <c r="D30" s="45"/>
      <c r="E30" s="45"/>
      <c r="F30" s="45"/>
      <c r="G30" s="45"/>
      <c r="J30" s="45"/>
    </row>
    <row r="31" spans="2:15" x14ac:dyDescent="0.2">
      <c r="B31" s="45"/>
      <c r="C31" s="45"/>
      <c r="D31" s="45"/>
      <c r="E31" s="45"/>
      <c r="F31" s="45"/>
      <c r="G31" s="45"/>
      <c r="J31" s="45"/>
    </row>
    <row r="32" spans="2:15" x14ac:dyDescent="0.2">
      <c r="B32" s="45" t="s">
        <v>173</v>
      </c>
    </row>
    <row r="33" spans="2:17" x14ac:dyDescent="0.2">
      <c r="B33" s="70" t="s">
        <v>107</v>
      </c>
      <c r="C33" s="70" t="s">
        <v>109</v>
      </c>
      <c r="D33" s="70" t="s">
        <v>79</v>
      </c>
      <c r="E33" s="70" t="s">
        <v>126</v>
      </c>
      <c r="F33" s="70" t="s">
        <v>127</v>
      </c>
      <c r="G33" s="70" t="s">
        <v>82</v>
      </c>
    </row>
    <row r="34" spans="2:17" x14ac:dyDescent="0.2">
      <c r="B34" s="45" t="s">
        <v>128</v>
      </c>
      <c r="C34" s="97">
        <f>I16+I21+I22+I27</f>
        <v>5800</v>
      </c>
      <c r="D34" s="96" t="s">
        <v>34</v>
      </c>
      <c r="E34" s="96" t="s">
        <v>34</v>
      </c>
      <c r="F34" s="96" t="s">
        <v>34</v>
      </c>
      <c r="G34" s="96" t="s">
        <v>34</v>
      </c>
    </row>
    <row r="35" spans="2:17" x14ac:dyDescent="0.2">
      <c r="B35" s="45" t="s">
        <v>129</v>
      </c>
      <c r="C35" s="97">
        <f>I18+I26+I28</f>
        <v>4100</v>
      </c>
      <c r="D35" s="96" t="s">
        <v>34</v>
      </c>
      <c r="E35" s="96" t="s">
        <v>34</v>
      </c>
      <c r="F35" s="96" t="s">
        <v>34</v>
      </c>
      <c r="G35" s="96" t="s">
        <v>34</v>
      </c>
    </row>
    <row r="36" spans="2:17" x14ac:dyDescent="0.2">
      <c r="B36" s="45" t="s">
        <v>130</v>
      </c>
      <c r="C36" s="97">
        <f>I17+I19+I23+I24+I29</f>
        <v>6900</v>
      </c>
      <c r="D36" s="96" t="s">
        <v>34</v>
      </c>
      <c r="E36" s="96" t="s">
        <v>34</v>
      </c>
      <c r="F36" s="96" t="s">
        <v>34</v>
      </c>
      <c r="G36" s="96" t="s">
        <v>34</v>
      </c>
    </row>
    <row r="37" spans="2:17" x14ac:dyDescent="0.2">
      <c r="B37" s="45" t="s">
        <v>115</v>
      </c>
      <c r="C37" s="97">
        <f>I4+I20+I25</f>
        <v>3600</v>
      </c>
      <c r="D37" s="96" t="s">
        <v>34</v>
      </c>
      <c r="E37" s="96" t="s">
        <v>34</v>
      </c>
      <c r="F37" s="96" t="s">
        <v>34</v>
      </c>
      <c r="G37" s="96" t="s">
        <v>34</v>
      </c>
      <c r="J37" s="133" t="s">
        <v>292</v>
      </c>
      <c r="K37" s="67">
        <v>0.01</v>
      </c>
    </row>
    <row r="38" spans="2:17" x14ac:dyDescent="0.2">
      <c r="J38" s="45" t="s">
        <v>293</v>
      </c>
      <c r="K38" s="67">
        <v>0.01</v>
      </c>
    </row>
    <row r="39" spans="2:17" x14ac:dyDescent="0.2">
      <c r="B39" s="45" t="s">
        <v>174</v>
      </c>
    </row>
    <row r="40" spans="2:17" x14ac:dyDescent="0.2">
      <c r="B40" s="70" t="s">
        <v>107</v>
      </c>
      <c r="C40" s="70" t="s">
        <v>109</v>
      </c>
      <c r="D40" s="70" t="s">
        <v>79</v>
      </c>
      <c r="E40" s="70" t="s">
        <v>126</v>
      </c>
      <c r="F40" s="70" t="s">
        <v>127</v>
      </c>
      <c r="G40" s="70" t="s">
        <v>82</v>
      </c>
    </row>
    <row r="41" spans="2:17" x14ac:dyDescent="0.2">
      <c r="B41" s="45" t="s">
        <v>134</v>
      </c>
      <c r="C41" s="63">
        <f>I16+I27</f>
        <v>3500</v>
      </c>
      <c r="D41" s="96" t="s">
        <v>34</v>
      </c>
      <c r="E41" s="96" t="s">
        <v>34</v>
      </c>
      <c r="F41" s="96" t="s">
        <v>34</v>
      </c>
      <c r="G41" s="96" t="s">
        <v>34</v>
      </c>
      <c r="N41" s="67">
        <v>0.02</v>
      </c>
      <c r="O41" s="67">
        <v>0.04</v>
      </c>
    </row>
    <row r="42" spans="2:17" x14ac:dyDescent="0.2">
      <c r="B42" s="45" t="s">
        <v>154</v>
      </c>
      <c r="C42" s="63">
        <f>I22</f>
        <v>1300</v>
      </c>
      <c r="D42" s="96" t="s">
        <v>34</v>
      </c>
      <c r="E42" s="96" t="s">
        <v>34</v>
      </c>
      <c r="F42" s="96" t="s">
        <v>34</v>
      </c>
      <c r="G42" s="96" t="s">
        <v>34</v>
      </c>
      <c r="J42" s="45" t="s">
        <v>3</v>
      </c>
      <c r="K42" s="124" t="s">
        <v>0</v>
      </c>
      <c r="L42" s="133" t="s">
        <v>290</v>
      </c>
      <c r="M42" s="133" t="s">
        <v>291</v>
      </c>
      <c r="N42" s="133" t="s">
        <v>190</v>
      </c>
      <c r="O42" s="133" t="s">
        <v>197</v>
      </c>
      <c r="P42" s="133" t="s">
        <v>194</v>
      </c>
      <c r="Q42" s="133" t="s">
        <v>294</v>
      </c>
    </row>
    <row r="43" spans="2:17" x14ac:dyDescent="0.2">
      <c r="B43" s="45" t="s">
        <v>137</v>
      </c>
      <c r="C43" s="63">
        <f>I19+I21</f>
        <v>1500</v>
      </c>
      <c r="D43" s="96" t="s">
        <v>34</v>
      </c>
      <c r="E43" s="96" t="s">
        <v>34</v>
      </c>
      <c r="F43" s="96" t="s">
        <v>34</v>
      </c>
      <c r="G43" s="96" t="s">
        <v>34</v>
      </c>
      <c r="J43" s="45" t="s">
        <v>75</v>
      </c>
      <c r="K43" s="33">
        <v>100000</v>
      </c>
      <c r="L43" s="95">
        <v>0.01</v>
      </c>
      <c r="M43" s="52">
        <f>K43+(K43*L43)</f>
        <v>101000</v>
      </c>
      <c r="N43" s="52">
        <f xml:space="preserve"> (M43 / (1 + K37)) * (1 - N41)</f>
        <v>98000</v>
      </c>
      <c r="O43" s="52">
        <f>M43 * (1 + O41) / (1 - K37)</f>
        <v>106101.01010101011</v>
      </c>
    </row>
    <row r="44" spans="2:17" x14ac:dyDescent="0.2">
      <c r="B44" s="45" t="s">
        <v>160</v>
      </c>
      <c r="C44" s="63">
        <f>I17+I24</f>
        <v>4600</v>
      </c>
      <c r="D44" s="96" t="s">
        <v>34</v>
      </c>
      <c r="E44" s="96" t="s">
        <v>34</v>
      </c>
      <c r="F44" s="96" t="s">
        <v>34</v>
      </c>
      <c r="G44" s="96" t="s">
        <v>34</v>
      </c>
      <c r="J44" s="45" t="s">
        <v>73</v>
      </c>
      <c r="K44" s="52">
        <f>O43</f>
        <v>106101.01010101011</v>
      </c>
      <c r="L44" s="95">
        <v>0.01</v>
      </c>
      <c r="M44" s="52">
        <f>K44-(K44*L44)</f>
        <v>105040</v>
      </c>
      <c r="P44" s="52">
        <f>M44-M43</f>
        <v>4040</v>
      </c>
      <c r="Q44" s="54">
        <f>P44/M43</f>
        <v>0.04</v>
      </c>
    </row>
    <row r="45" spans="2:17" x14ac:dyDescent="0.2">
      <c r="B45" s="45" t="s">
        <v>136</v>
      </c>
      <c r="C45" s="63">
        <v>0</v>
      </c>
      <c r="D45" s="96" t="s">
        <v>34</v>
      </c>
      <c r="E45" s="96" t="s">
        <v>34</v>
      </c>
      <c r="F45" s="96" t="s">
        <v>34</v>
      </c>
      <c r="G45" s="96" t="s">
        <v>34</v>
      </c>
    </row>
    <row r="46" spans="2:17" x14ac:dyDescent="0.2">
      <c r="B46" s="45" t="s">
        <v>157</v>
      </c>
      <c r="C46" s="63">
        <f>I23+I29</f>
        <v>1800</v>
      </c>
      <c r="D46" s="96" t="s">
        <v>34</v>
      </c>
      <c r="E46" s="96" t="s">
        <v>34</v>
      </c>
      <c r="F46" s="96" t="s">
        <v>34</v>
      </c>
      <c r="G46" s="96" t="s">
        <v>34</v>
      </c>
    </row>
    <row r="47" spans="2:17" x14ac:dyDescent="0.2">
      <c r="B47" s="45" t="s">
        <v>166</v>
      </c>
      <c r="C47" s="63">
        <f>I26+I28</f>
        <v>2600</v>
      </c>
      <c r="D47" s="96" t="s">
        <v>34</v>
      </c>
      <c r="E47" s="96" t="s">
        <v>34</v>
      </c>
      <c r="F47" s="96" t="s">
        <v>34</v>
      </c>
      <c r="G47" s="96" t="s">
        <v>34</v>
      </c>
    </row>
    <row r="48" spans="2:17" x14ac:dyDescent="0.2">
      <c r="B48" s="45" t="s">
        <v>163</v>
      </c>
      <c r="C48" s="63">
        <f>I25</f>
        <v>1200</v>
      </c>
      <c r="D48" s="96" t="s">
        <v>34</v>
      </c>
      <c r="E48" s="96" t="s">
        <v>34</v>
      </c>
      <c r="F48" s="96" t="s">
        <v>34</v>
      </c>
      <c r="G48" s="96" t="s">
        <v>34</v>
      </c>
    </row>
    <row r="49" spans="2:7" x14ac:dyDescent="0.2">
      <c r="B49" s="45" t="s">
        <v>118</v>
      </c>
      <c r="C49" s="63">
        <f>I4+I18</f>
        <v>2700</v>
      </c>
      <c r="D49" s="96" t="s">
        <v>34</v>
      </c>
      <c r="E49" s="96" t="s">
        <v>34</v>
      </c>
      <c r="F49" s="96" t="s">
        <v>34</v>
      </c>
      <c r="G49" s="96" t="s">
        <v>34</v>
      </c>
    </row>
    <row r="50" spans="2:7" x14ac:dyDescent="0.2">
      <c r="B50" s="45" t="s">
        <v>116</v>
      </c>
      <c r="C50" s="63">
        <f>I20</f>
        <v>1200</v>
      </c>
      <c r="D50" s="96" t="s">
        <v>34</v>
      </c>
      <c r="E50" s="96" t="s">
        <v>34</v>
      </c>
      <c r="F50" s="96" t="s">
        <v>34</v>
      </c>
      <c r="G50" s="96"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AMD</vt:lpstr>
      <vt:lpstr>AMZN</vt:lpstr>
      <vt:lpstr>BA</vt:lpstr>
      <vt:lpstr>COST</vt:lpstr>
      <vt:lpstr>GOOG</vt:lpstr>
      <vt:lpstr>NVDA</vt:lpstr>
      <vt:lpstr>RDDT</vt:lpstr>
      <vt:lpstr>WMT</vt:lpstr>
      <vt:lpstr>Tests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Marin Sarbulescu</cp:lastModifiedBy>
  <dcterms:modified xsi:type="dcterms:W3CDTF">2026-01-10T20:38:02Z</dcterms:modified>
</cp:coreProperties>
</file>