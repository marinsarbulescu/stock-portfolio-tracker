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E1245353-D0B6-41F6-B001-388D9F532F7F}" xr6:coauthVersionLast="47" xr6:coauthVersionMax="47" xr10:uidLastSave="{00000000-0000-0000-0000-000000000000}"/>
  <bookViews>
    <workbookView xWindow="3720" yWindow="225" windowWidth="46140" windowHeight="10365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9" i="14" l="1"/>
  <c r="X29" i="14"/>
  <c r="V29" i="14"/>
  <c r="U29" i="14"/>
  <c r="T29" i="14"/>
  <c r="AO28" i="14"/>
  <c r="AN28" i="14"/>
  <c r="AI28" i="14"/>
  <c r="AH28" i="14"/>
  <c r="R25" i="14"/>
  <c r="Q25" i="14"/>
  <c r="T25" i="14"/>
  <c r="AA33" i="14"/>
  <c r="AD33" i="14" s="1"/>
  <c r="AE33" i="14" s="1"/>
  <c r="R36" i="14"/>
  <c r="Q36" i="14"/>
  <c r="R35" i="14"/>
  <c r="Q35" i="14"/>
  <c r="S34" i="14"/>
  <c r="R34" i="14"/>
  <c r="Q34" i="14"/>
  <c r="Y33" i="14"/>
  <c r="X33" i="14"/>
  <c r="S33" i="14"/>
  <c r="R33" i="14"/>
  <c r="Q33" i="14"/>
  <c r="Y31" i="14"/>
  <c r="Y36" i="14" s="1"/>
  <c r="X31" i="14"/>
  <c r="X36" i="14" s="1"/>
  <c r="S31" i="14"/>
  <c r="S36" i="14" s="1"/>
  <c r="W30" i="14"/>
  <c r="S30" i="14"/>
  <c r="S35" i="14" s="1"/>
  <c r="W29" i="14"/>
  <c r="W34" i="14" s="1"/>
  <c r="V28" i="14"/>
  <c r="AI33" i="14" s="1"/>
  <c r="T28" i="14"/>
  <c r="T33" i="14" s="1"/>
  <c r="R24" i="14"/>
  <c r="Q24" i="14"/>
  <c r="R23" i="14"/>
  <c r="Q23" i="14"/>
  <c r="T22" i="14"/>
  <c r="T34" i="14" s="1"/>
  <c r="T20" i="14"/>
  <c r="T23" i="14" s="1"/>
  <c r="T30" i="14" s="1"/>
  <c r="T35" i="14" s="1"/>
  <c r="V19" i="14"/>
  <c r="T19" i="14"/>
  <c r="AQ14" i="14"/>
  <c r="S14" i="14"/>
  <c r="R14" i="14"/>
  <c r="S13" i="14"/>
  <c r="V12" i="14"/>
  <c r="AC10" i="14" s="1"/>
  <c r="T12" i="14"/>
  <c r="AA10" i="14" s="1"/>
  <c r="V7" i="14"/>
  <c r="V10" i="14" s="1"/>
  <c r="V13" i="14" s="1"/>
  <c r="AI13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W7" i="14"/>
  <c r="AH90" i="14"/>
  <c r="AG90" i="14"/>
  <c r="AI90" i="14" s="1"/>
  <c r="AB90" i="14"/>
  <c r="AA90" i="14"/>
  <c r="AC90" i="14" s="1"/>
  <c r="AM90" i="14" s="1"/>
  <c r="V90" i="14"/>
  <c r="AH86" i="14"/>
  <c r="AH87" i="14" s="1"/>
  <c r="AH88" i="14" s="1"/>
  <c r="AH89" i="14" s="1"/>
  <c r="AG86" i="14"/>
  <c r="AI86" i="14" s="1"/>
  <c r="AN86" i="14" s="1"/>
  <c r="AB86" i="14"/>
  <c r="AB87" i="14" s="1"/>
  <c r="AB88" i="14" s="1"/>
  <c r="AB89" i="14" s="1"/>
  <c r="AA86" i="14"/>
  <c r="AC86" i="14" s="1"/>
  <c r="V86" i="14"/>
  <c r="AA107" i="14"/>
  <c r="AB107" i="14" s="1"/>
  <c r="AE108" i="14"/>
  <c r="AD108" i="14"/>
  <c r="V108" i="14"/>
  <c r="AA108" i="14"/>
  <c r="AF108" i="14"/>
  <c r="AF104" i="14"/>
  <c r="AF105" i="14"/>
  <c r="AF107" i="14"/>
  <c r="AE107" i="14"/>
  <c r="V107" i="14"/>
  <c r="AA106" i="14"/>
  <c r="AB106" i="14" s="1"/>
  <c r="AA105" i="14"/>
  <c r="AB105" i="14" s="1"/>
  <c r="AA104" i="14"/>
  <c r="AB104" i="14" s="1"/>
  <c r="AF106" i="14"/>
  <c r="AE105" i="14"/>
  <c r="AE106" i="14"/>
  <c r="AE104" i="14"/>
  <c r="V106" i="14"/>
  <c r="V105" i="14"/>
  <c r="V104" i="14"/>
  <c r="AF103" i="14"/>
  <c r="AD103" i="14"/>
  <c r="AD102" i="14"/>
  <c r="V103" i="14"/>
  <c r="V102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82" i="14"/>
  <c r="AH82" i="14"/>
  <c r="AH83" i="14" s="1"/>
  <c r="AH84" i="14" s="1"/>
  <c r="AH85" i="14" s="1"/>
  <c r="AG82" i="14"/>
  <c r="AI82" i="14" s="1"/>
  <c r="AN82" i="14" s="1"/>
  <c r="AB82" i="14"/>
  <c r="AB83" i="14" s="1"/>
  <c r="AB84" i="14" s="1"/>
  <c r="AB85" i="14" s="1"/>
  <c r="AA82" i="14"/>
  <c r="AA83" i="14" s="1"/>
  <c r="AA84" i="14" s="1"/>
  <c r="AA85" i="14" s="1"/>
  <c r="AK139" i="14"/>
  <c r="AO139" i="14" s="1"/>
  <c r="AI137" i="14"/>
  <c r="AI136" i="14"/>
  <c r="AI135" i="14"/>
  <c r="AI134" i="14"/>
  <c r="AI133" i="14"/>
  <c r="AI143" i="14"/>
  <c r="AI142" i="14"/>
  <c r="AI141" i="14"/>
  <c r="AP132" i="14"/>
  <c r="AI132" i="14"/>
  <c r="AK126" i="14"/>
  <c r="AK124" i="14"/>
  <c r="AN118" i="14"/>
  <c r="AM118" i="14"/>
  <c r="AI119" i="14" s="1"/>
  <c r="AK119" i="14" s="1"/>
  <c r="AO119" i="14" s="1"/>
  <c r="AP118" i="14"/>
  <c r="AK123" i="14"/>
  <c r="AO123" i="14" s="1"/>
  <c r="AI122" i="14"/>
  <c r="AK121" i="14"/>
  <c r="AO121" i="14" s="1"/>
  <c r="AI120" i="14"/>
  <c r="AL120" i="14" s="1"/>
  <c r="AL121" i="14" s="1"/>
  <c r="AI118" i="14"/>
  <c r="AH75" i="14"/>
  <c r="AH76" i="14" s="1"/>
  <c r="AH77" i="14" s="1"/>
  <c r="AH78" i="14" s="1"/>
  <c r="AB75" i="14"/>
  <c r="AB76" i="14" s="1"/>
  <c r="AB77" i="14" s="1"/>
  <c r="AB78" i="14" s="1"/>
  <c r="AB68" i="14"/>
  <c r="AH70" i="14"/>
  <c r="AH66" i="14"/>
  <c r="AB66" i="14"/>
  <c r="AI61" i="14"/>
  <c r="AI59" i="14"/>
  <c r="AI60" i="14" s="1"/>
  <c r="AI62" i="14" s="1"/>
  <c r="AC61" i="14"/>
  <c r="AC59" i="14"/>
  <c r="AI55" i="14"/>
  <c r="AI51" i="14"/>
  <c r="AI54" i="14" s="1"/>
  <c r="AC55" i="14"/>
  <c r="AI48" i="14"/>
  <c r="AI50" i="14" s="1"/>
  <c r="AI53" i="14" s="1"/>
  <c r="AI46" i="14"/>
  <c r="AC49" i="14"/>
  <c r="AC51" i="14" s="1"/>
  <c r="AC54" i="14" s="1"/>
  <c r="AC48" i="14"/>
  <c r="AC50" i="14" s="1"/>
  <c r="AC53" i="14" s="1"/>
  <c r="AC46" i="14"/>
  <c r="BH61" i="14"/>
  <c r="AG61" i="14"/>
  <c r="AB61" i="14"/>
  <c r="AA61" i="14"/>
  <c r="AH61" i="14"/>
  <c r="V61" i="14"/>
  <c r="BJ60" i="14"/>
  <c r="BI60" i="14"/>
  <c r="BH60" i="14"/>
  <c r="BG60" i="14"/>
  <c r="BF60" i="14"/>
  <c r="BE60" i="14"/>
  <c r="BD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U61" i="14"/>
  <c r="AV61" i="14" s="1"/>
  <c r="AT61" i="14"/>
  <c r="AS61" i="14"/>
  <c r="AR61" i="14"/>
  <c r="AQ61" i="14"/>
  <c r="AH59" i="14"/>
  <c r="AH60" i="14" s="1"/>
  <c r="AH62" i="14" s="1"/>
  <c r="AG59" i="14"/>
  <c r="AG60" i="14" s="1"/>
  <c r="AG62" i="14" s="1"/>
  <c r="AB59" i="14"/>
  <c r="AB60" i="14" s="1"/>
  <c r="AB62" i="14" s="1"/>
  <c r="AA59" i="14"/>
  <c r="V59" i="14"/>
  <c r="AV53" i="14"/>
  <c r="AU53" i="14"/>
  <c r="AT53" i="14"/>
  <c r="AS53" i="14"/>
  <c r="AR53" i="14"/>
  <c r="AQ53" i="14"/>
  <c r="BH47" i="14"/>
  <c r="BH48" i="14" s="1"/>
  <c r="BH50" i="14" s="1"/>
  <c r="BH52" i="14" s="1"/>
  <c r="BH53" i="14" s="1"/>
  <c r="AU47" i="14"/>
  <c r="AU48" i="14" s="1"/>
  <c r="V53" i="14"/>
  <c r="V50" i="14"/>
  <c r="V48" i="14"/>
  <c r="V46" i="14"/>
  <c r="BF47" i="14"/>
  <c r="BE47" i="14"/>
  <c r="BB47" i="14"/>
  <c r="BA47" i="14"/>
  <c r="AZ47" i="14"/>
  <c r="AY47" i="14"/>
  <c r="AX47" i="14"/>
  <c r="AW47" i="14"/>
  <c r="BG47" i="14"/>
  <c r="AT47" i="14"/>
  <c r="AT48" i="14" s="1"/>
  <c r="AT50" i="14" s="1"/>
  <c r="AT52" i="14" s="1"/>
  <c r="AR47" i="14"/>
  <c r="AR48" i="14" s="1"/>
  <c r="AR50" i="14" s="1"/>
  <c r="AR52" i="14" s="1"/>
  <c r="AS47" i="14"/>
  <c r="AS48" i="14" s="1"/>
  <c r="AS50" i="14" s="1"/>
  <c r="AQ47" i="14"/>
  <c r="AQ48" i="14" s="1"/>
  <c r="AQ50" i="14" s="1"/>
  <c r="AG78" i="14"/>
  <c r="AA78" i="14"/>
  <c r="AG77" i="14"/>
  <c r="AA76" i="14"/>
  <c r="AG75" i="14"/>
  <c r="AA75" i="14"/>
  <c r="AG70" i="14"/>
  <c r="AA68" i="14"/>
  <c r="AG66" i="14"/>
  <c r="AA66" i="14"/>
  <c r="AH55" i="14"/>
  <c r="AG55" i="14"/>
  <c r="AB55" i="14"/>
  <c r="AA55" i="14"/>
  <c r="AH51" i="14"/>
  <c r="AG51" i="14"/>
  <c r="AB49" i="14"/>
  <c r="AA49" i="14"/>
  <c r="AA51" i="14" s="1"/>
  <c r="AH46" i="14"/>
  <c r="AG46" i="14"/>
  <c r="AB46" i="14"/>
  <c r="AA46" i="14"/>
  <c r="AA48" i="14" s="1"/>
  <c r="AA50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T26" i="14" l="1"/>
  <c r="R26" i="14"/>
  <c r="R27" i="14"/>
  <c r="Q26" i="14"/>
  <c r="Q27" i="14"/>
  <c r="W28" i="14"/>
  <c r="W33" i="14" s="1"/>
  <c r="U28" i="14"/>
  <c r="AG28" i="14"/>
  <c r="AM28" i="14"/>
  <c r="V33" i="14"/>
  <c r="U19" i="14"/>
  <c r="AH19" i="14" s="1"/>
  <c r="AH20" i="14" s="1"/>
  <c r="U25" i="14" s="1"/>
  <c r="V25" i="14" s="1"/>
  <c r="W19" i="14"/>
  <c r="AA19" i="14"/>
  <c r="AD19" i="14" s="1"/>
  <c r="AG19" i="14"/>
  <c r="AJ19" i="14" s="1"/>
  <c r="AI19" i="14"/>
  <c r="AI20" i="14" s="1"/>
  <c r="AI22" i="14" s="1"/>
  <c r="V21" i="14"/>
  <c r="V24" i="14" s="1"/>
  <c r="V27" i="14" s="1"/>
  <c r="AC19" i="14"/>
  <c r="AC20" i="14" s="1"/>
  <c r="AC22" i="14" s="1"/>
  <c r="AC25" i="14" s="1"/>
  <c r="AK19" i="14"/>
  <c r="AE19" i="14"/>
  <c r="T21" i="14"/>
  <c r="AN19" i="14"/>
  <c r="AN20" i="14" s="1"/>
  <c r="AN22" i="14" s="1"/>
  <c r="AM19" i="14"/>
  <c r="AP19" i="14" s="1"/>
  <c r="AQ19" i="14" s="1"/>
  <c r="U21" i="14"/>
  <c r="U24" i="14" s="1"/>
  <c r="U27" i="14" s="1"/>
  <c r="AO19" i="14"/>
  <c r="AO20" i="14" s="1"/>
  <c r="AO22" i="14" s="1"/>
  <c r="AO25" i="14" s="1"/>
  <c r="AB19" i="14"/>
  <c r="V6" i="14"/>
  <c r="T6" i="14"/>
  <c r="W10" i="14"/>
  <c r="W13" i="14" s="1"/>
  <c r="W12" i="14"/>
  <c r="AC13" i="14"/>
  <c r="T8" i="14"/>
  <c r="T11" i="14" s="1"/>
  <c r="T14" i="14" s="1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J7" i="14"/>
  <c r="AP4" i="14"/>
  <c r="T9" i="14"/>
  <c r="V11" i="14"/>
  <c r="V14" i="14" s="1"/>
  <c r="AG7" i="14"/>
  <c r="AG11" i="14" s="1"/>
  <c r="T10" i="14"/>
  <c r="AA7" i="14"/>
  <c r="AC7" i="14"/>
  <c r="AC11" i="14" s="1"/>
  <c r="AD4" i="14"/>
  <c r="AE4" i="14" s="1"/>
  <c r="AD5" i="14"/>
  <c r="AG5" i="14"/>
  <c r="AG8" i="14" s="1"/>
  <c r="AM4" i="14"/>
  <c r="AO4" i="14"/>
  <c r="AO5" i="14" s="1"/>
  <c r="AJ5" i="14"/>
  <c r="U4" i="14"/>
  <c r="U6" i="14" s="1"/>
  <c r="W4" i="14"/>
  <c r="AP5" i="14"/>
  <c r="AQ5" i="14" s="1"/>
  <c r="AM5" i="14"/>
  <c r="V9" i="14"/>
  <c r="AC4" i="14"/>
  <c r="AC5" i="14" s="1"/>
  <c r="AC8" i="14" s="1"/>
  <c r="AJ4" i="14"/>
  <c r="AK4" i="14" s="1"/>
  <c r="AA4" i="14"/>
  <c r="W5" i="14"/>
  <c r="AK90" i="14"/>
  <c r="AN90" i="14"/>
  <c r="AJ90" i="14"/>
  <c r="AD90" i="14"/>
  <c r="AM86" i="14"/>
  <c r="AD86" i="14"/>
  <c r="AE86" i="14"/>
  <c r="AE87" i="14" s="1"/>
  <c r="AE88" i="14" s="1"/>
  <c r="AE89" i="14" s="1"/>
  <c r="AE90" i="14" s="1"/>
  <c r="AA87" i="14"/>
  <c r="AA88" i="14" s="1"/>
  <c r="AA89" i="14" s="1"/>
  <c r="AC82" i="14"/>
  <c r="AC83" i="14" s="1"/>
  <c r="AJ86" i="14"/>
  <c r="AI83" i="14"/>
  <c r="AN83" i="14" s="1"/>
  <c r="AC87" i="14"/>
  <c r="AK86" i="14"/>
  <c r="AK87" i="14" s="1"/>
  <c r="AK88" i="14" s="1"/>
  <c r="AK89" i="14" s="1"/>
  <c r="AI87" i="14"/>
  <c r="AN87" i="14" s="1"/>
  <c r="AL122" i="14"/>
  <c r="AL123" i="14" s="1"/>
  <c r="AO124" i="14"/>
  <c r="AO125" i="14" s="1"/>
  <c r="AJ83" i="14"/>
  <c r="AI84" i="14"/>
  <c r="AN84" i="14" s="1"/>
  <c r="AJ82" i="14"/>
  <c r="AE82" i="14"/>
  <c r="AE83" i="14" s="1"/>
  <c r="AE84" i="14" s="1"/>
  <c r="AE85" i="14" s="1"/>
  <c r="AK82" i="14"/>
  <c r="AK83" i="14" s="1"/>
  <c r="AK84" i="14" s="1"/>
  <c r="AK85" i="14" s="1"/>
  <c r="AE61" i="14"/>
  <c r="AQ118" i="14"/>
  <c r="AP133" i="14"/>
  <c r="AP134" i="14" s="1"/>
  <c r="AP135" i="14" s="1"/>
  <c r="AP136" i="14" s="1"/>
  <c r="AP137" i="14" s="1"/>
  <c r="AP138" i="14" s="1"/>
  <c r="AP139" i="14" s="1"/>
  <c r="AQ132" i="14"/>
  <c r="AL132" i="14"/>
  <c r="AL133" i="14" s="1"/>
  <c r="AL134" i="14" s="1"/>
  <c r="AM120" i="14"/>
  <c r="AM121" i="14" s="1"/>
  <c r="AM122" i="14" s="1"/>
  <c r="AM123" i="14" s="1"/>
  <c r="AM124" i="14" s="1"/>
  <c r="AM125" i="14" s="1"/>
  <c r="AM126" i="14" s="1"/>
  <c r="AM127" i="14" s="1"/>
  <c r="AN120" i="14"/>
  <c r="AN121" i="14" s="1"/>
  <c r="AN122" i="14" s="1"/>
  <c r="AN123" i="14" s="1"/>
  <c r="AN124" i="14" s="1"/>
  <c r="AN125" i="14" s="1"/>
  <c r="AN126" i="14" s="1"/>
  <c r="AN127" i="14" s="1"/>
  <c r="AP119" i="14"/>
  <c r="AK61" i="14"/>
  <c r="AC60" i="14"/>
  <c r="AC62" i="14" s="1"/>
  <c r="AA60" i="14"/>
  <c r="AA62" i="14" s="1"/>
  <c r="AE59" i="14"/>
  <c r="AE60" i="14" s="1"/>
  <c r="AE62" i="14" s="1"/>
  <c r="AK59" i="14"/>
  <c r="AK60" i="14" s="1"/>
  <c r="AK62" i="14" s="1"/>
  <c r="AQ52" i="14"/>
  <c r="BD47" i="14"/>
  <c r="BI47" i="14" s="1"/>
  <c r="BJ47" i="14" s="1"/>
  <c r="AS52" i="14"/>
  <c r="AV47" i="14"/>
  <c r="AK78" i="14"/>
  <c r="AE76" i="14"/>
  <c r="AK77" i="14"/>
  <c r="AE78" i="14"/>
  <c r="AE66" i="14"/>
  <c r="AE75" i="14"/>
  <c r="AK66" i="14"/>
  <c r="AE68" i="14"/>
  <c r="AK70" i="14"/>
  <c r="AK75" i="14"/>
  <c r="AK55" i="14"/>
  <c r="AN53" i="14" s="1"/>
  <c r="AY53" i="14" s="1"/>
  <c r="AZ53" i="14" s="1"/>
  <c r="AE55" i="14"/>
  <c r="AL53" i="14" s="1"/>
  <c r="AK51" i="14"/>
  <c r="AK46" i="14"/>
  <c r="AN46" i="14" s="1"/>
  <c r="AN47" i="14" s="1"/>
  <c r="AN48" i="14" s="1"/>
  <c r="AE46" i="14"/>
  <c r="AL46" i="14" s="1"/>
  <c r="AE49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N25" i="14" l="1"/>
  <c r="AV25" i="14" s="1"/>
  <c r="AI25" i="14"/>
  <c r="AU19" i="14"/>
  <c r="AO33" i="14"/>
  <c r="V31" i="14"/>
  <c r="V36" i="14" s="1"/>
  <c r="AC28" i="14"/>
  <c r="U31" i="14"/>
  <c r="U36" i="14" s="1"/>
  <c r="AM33" i="14"/>
  <c r="AP28" i="14"/>
  <c r="AJ28" i="14"/>
  <c r="AG33" i="14"/>
  <c r="U33" i="14"/>
  <c r="U22" i="14"/>
  <c r="AH22" i="14"/>
  <c r="AH7" i="14"/>
  <c r="AH11" i="14" s="1"/>
  <c r="U20" i="14"/>
  <c r="AB20" i="14"/>
  <c r="AB22" i="14" s="1"/>
  <c r="AM20" i="14"/>
  <c r="AG20" i="14"/>
  <c r="AA20" i="14"/>
  <c r="T24" i="14"/>
  <c r="T27" i="14" s="1"/>
  <c r="AV22" i="14"/>
  <c r="AB7" i="14"/>
  <c r="AB11" i="14" s="1"/>
  <c r="W21" i="14"/>
  <c r="W24" i="14" s="1"/>
  <c r="W27" i="14" s="1"/>
  <c r="AT19" i="14"/>
  <c r="AS19" i="14"/>
  <c r="AV20" i="14"/>
  <c r="AV19" i="14"/>
  <c r="W9" i="14"/>
  <c r="W6" i="14"/>
  <c r="AQ4" i="14"/>
  <c r="AA11" i="14"/>
  <c r="T13" i="14"/>
  <c r="U8" i="14"/>
  <c r="U11" i="14" s="1"/>
  <c r="AH13" i="14"/>
  <c r="AB13" i="14"/>
  <c r="W8" i="14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N61" i="14"/>
  <c r="AY61" i="14" s="1"/>
  <c r="BF61" i="14" s="1"/>
  <c r="BG61" i="14" s="1"/>
  <c r="AL61" i="14"/>
  <c r="AO61" i="14" s="1"/>
  <c r="AM87" i="14"/>
  <c r="AD87" i="14"/>
  <c r="AM83" i="14"/>
  <c r="AD83" i="14"/>
  <c r="AM82" i="14"/>
  <c r="AD82" i="14"/>
  <c r="AJ87" i="14"/>
  <c r="AI88" i="14"/>
  <c r="AN88" i="14" s="1"/>
  <c r="AC88" i="14"/>
  <c r="AC84" i="14"/>
  <c r="AJ84" i="14"/>
  <c r="AI85" i="14"/>
  <c r="AQ134" i="14"/>
  <c r="AL135" i="14"/>
  <c r="AQ133" i="14"/>
  <c r="AN132" i="14"/>
  <c r="AM132" i="14"/>
  <c r="AM133" i="14" s="1"/>
  <c r="AM134" i="14" s="1"/>
  <c r="AM135" i="14" s="1"/>
  <c r="AM136" i="14" s="1"/>
  <c r="AM137" i="14" s="1"/>
  <c r="AM138" i="14" s="1"/>
  <c r="AM139" i="14" s="1"/>
  <c r="AP120" i="14"/>
  <c r="AP121" i="14" s="1"/>
  <c r="AQ121" i="14" s="1"/>
  <c r="AL124" i="14"/>
  <c r="AL125" i="14" s="1"/>
  <c r="AL126" i="14" s="1"/>
  <c r="AL127" i="14" s="1"/>
  <c r="AO126" i="14"/>
  <c r="AQ119" i="14"/>
  <c r="AN59" i="14"/>
  <c r="AN60" i="14" s="1"/>
  <c r="AL59" i="14"/>
  <c r="AL60" i="14" s="1"/>
  <c r="AY48" i="14"/>
  <c r="BF48" i="14" s="1"/>
  <c r="BG48" i="14" s="1"/>
  <c r="AN50" i="14"/>
  <c r="AW53" i="14"/>
  <c r="AO53" i="14"/>
  <c r="BF53" i="14"/>
  <c r="BG53" i="14" s="1"/>
  <c r="AV48" i="14"/>
  <c r="AV50" i="14" s="1"/>
  <c r="AV52" i="14" s="1"/>
  <c r="AU50" i="14"/>
  <c r="AU52" i="14" s="1"/>
  <c r="AO46" i="14"/>
  <c r="AO47" i="14" s="1"/>
  <c r="AL47" i="14"/>
  <c r="AL48" i="14" s="1"/>
  <c r="AW48" i="14" s="1"/>
  <c r="AX48" i="14" s="1"/>
  <c r="AB25" i="14" l="1"/>
  <c r="AT25" i="14" s="1"/>
  <c r="AH25" i="14"/>
  <c r="AU25" i="14" s="1"/>
  <c r="X25" i="14"/>
  <c r="Y25" i="14" s="1"/>
  <c r="AS4" i="14"/>
  <c r="W31" i="14"/>
  <c r="W36" i="14" s="1"/>
  <c r="T31" i="14"/>
  <c r="T36" i="14" s="1"/>
  <c r="AU28" i="14"/>
  <c r="AH33" i="14"/>
  <c r="AU33" i="14" s="1"/>
  <c r="AV28" i="14"/>
  <c r="AN33" i="14"/>
  <c r="AV33" i="14" s="1"/>
  <c r="AP33" i="14"/>
  <c r="AQ28" i="14"/>
  <c r="AQ33" i="14" s="1"/>
  <c r="AK28" i="14"/>
  <c r="AK33" i="14" s="1"/>
  <c r="AJ33" i="14"/>
  <c r="AJ20" i="14"/>
  <c r="AG22" i="14"/>
  <c r="AP20" i="14"/>
  <c r="AM22" i="14"/>
  <c r="AD20" i="14"/>
  <c r="AA22" i="14"/>
  <c r="AA25" i="14" s="1"/>
  <c r="AT22" i="14"/>
  <c r="AB28" i="14"/>
  <c r="U23" i="14"/>
  <c r="U26" i="14" s="1"/>
  <c r="V20" i="14"/>
  <c r="X20" i="14" s="1"/>
  <c r="U34" i="14"/>
  <c r="V22" i="14"/>
  <c r="AU20" i="14"/>
  <c r="AT20" i="14"/>
  <c r="AS20" i="14"/>
  <c r="W11" i="14"/>
  <c r="W14" i="14" s="1"/>
  <c r="U14" i="14"/>
  <c r="AH12" i="14"/>
  <c r="AU10" i="14" s="1"/>
  <c r="AN12" i="14"/>
  <c r="AV10" i="14" s="1"/>
  <c r="AJ13" i="14"/>
  <c r="AK13" i="14" s="1"/>
  <c r="AG13" i="14"/>
  <c r="AA13" i="14"/>
  <c r="AD13" i="14"/>
  <c r="AE13" i="14" s="1"/>
  <c r="AK12" i="14"/>
  <c r="AJ14" i="14"/>
  <c r="AK14" i="14" s="1"/>
  <c r="AN5" i="14"/>
  <c r="AV5" i="14" s="1"/>
  <c r="AV4" i="14"/>
  <c r="AH5" i="14"/>
  <c r="AU4" i="14"/>
  <c r="AZ61" i="14"/>
  <c r="AW61" i="14"/>
  <c r="BA61" i="14" s="1"/>
  <c r="BB61" i="14" s="1"/>
  <c r="AB5" i="14"/>
  <c r="AT4" i="14"/>
  <c r="AJ85" i="14"/>
  <c r="AN85" i="14"/>
  <c r="AM84" i="14"/>
  <c r="AD84" i="14"/>
  <c r="AM88" i="14"/>
  <c r="AD88" i="14"/>
  <c r="AI89" i="14"/>
  <c r="AJ88" i="14"/>
  <c r="AC89" i="14"/>
  <c r="AQ120" i="14"/>
  <c r="AO60" i="14"/>
  <c r="AC85" i="14"/>
  <c r="AQ135" i="14"/>
  <c r="AL136" i="14"/>
  <c r="AN133" i="14"/>
  <c r="AN134" i="14" s="1"/>
  <c r="AN135" i="14" s="1"/>
  <c r="AN136" i="14" s="1"/>
  <c r="AN137" i="14" s="1"/>
  <c r="AN138" i="14" s="1"/>
  <c r="AN139" i="14" s="1"/>
  <c r="AN140" i="14" s="1"/>
  <c r="AN141" i="14" s="1"/>
  <c r="AP122" i="14"/>
  <c r="AP123" i="14" s="1"/>
  <c r="AP124" i="14" s="1"/>
  <c r="AQ124" i="14" s="1"/>
  <c r="AO59" i="14"/>
  <c r="AZ48" i="14"/>
  <c r="AX53" i="14"/>
  <c r="BE53" i="14" s="1"/>
  <c r="BD53" i="14"/>
  <c r="BI53" i="14" s="1"/>
  <c r="BJ53" i="14" s="1"/>
  <c r="BA53" i="14"/>
  <c r="BB53" i="14" s="1"/>
  <c r="AN52" i="14"/>
  <c r="AY50" i="14"/>
  <c r="BD48" i="14"/>
  <c r="BI48" i="14" s="1"/>
  <c r="BJ48" i="14" s="1"/>
  <c r="AL50" i="14"/>
  <c r="AO48" i="14"/>
  <c r="AM25" i="14" l="1"/>
  <c r="AG25" i="14"/>
  <c r="AJ25" i="14" s="1"/>
  <c r="AK25" i="14" s="1"/>
  <c r="AS25" i="14"/>
  <c r="AA28" i="14"/>
  <c r="AD28" i="14" s="1"/>
  <c r="AE28" i="14" s="1"/>
  <c r="U30" i="14"/>
  <c r="U35" i="14" s="1"/>
  <c r="V35" i="14" s="1"/>
  <c r="AT28" i="14"/>
  <c r="AS28" i="14" s="1"/>
  <c r="AB33" i="14"/>
  <c r="V34" i="14"/>
  <c r="X22" i="14"/>
  <c r="V23" i="14"/>
  <c r="V26" i="14" s="1"/>
  <c r="AD22" i="14"/>
  <c r="AD25" i="14" s="1"/>
  <c r="AE25" i="14" s="1"/>
  <c r="AE20" i="14"/>
  <c r="AP22" i="14"/>
  <c r="AP25" i="14" s="1"/>
  <c r="AQ20" i="14"/>
  <c r="AJ22" i="14"/>
  <c r="AK20" i="14"/>
  <c r="AK22" i="14" s="1"/>
  <c r="AS22" i="14"/>
  <c r="AX61" i="14"/>
  <c r="BE61" i="14" s="1"/>
  <c r="BD61" i="14"/>
  <c r="BI61" i="14" s="1"/>
  <c r="BJ61" i="14" s="1"/>
  <c r="AN14" i="14"/>
  <c r="AV13" i="14" s="1"/>
  <c r="AB14" i="14"/>
  <c r="AT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85" i="14"/>
  <c r="AD85" i="14"/>
  <c r="AM89" i="14"/>
  <c r="AD89" i="14"/>
  <c r="AJ89" i="14"/>
  <c r="AN89" i="14"/>
  <c r="AQ122" i="14"/>
  <c r="AQ136" i="14"/>
  <c r="AL137" i="14"/>
  <c r="AI140" i="14"/>
  <c r="AK140" i="14" s="1"/>
  <c r="AO140" i="14" s="1"/>
  <c r="AN142" i="14"/>
  <c r="AN143" i="14" s="1"/>
  <c r="AK138" i="14"/>
  <c r="AO138" i="14" s="1"/>
  <c r="AP125" i="14"/>
  <c r="AQ123" i="14"/>
  <c r="AW50" i="14"/>
  <c r="BA50" i="14" s="1"/>
  <c r="AO50" i="14"/>
  <c r="AL52" i="14"/>
  <c r="AO52" i="14" s="1"/>
  <c r="AZ50" i="14"/>
  <c r="AZ52" i="14" s="1"/>
  <c r="AY52" i="14"/>
  <c r="BF50" i="14"/>
  <c r="BA48" i="14"/>
  <c r="BB48" i="14" s="1"/>
  <c r="BE48" i="14"/>
  <c r="AE22" i="14" l="1"/>
  <c r="AQ22" i="14"/>
  <c r="V30" i="14"/>
  <c r="AT33" i="14"/>
  <c r="AS33" i="14" s="1"/>
  <c r="AC33" i="14"/>
  <c r="Y20" i="14"/>
  <c r="Y23" i="14" s="1"/>
  <c r="Y26" i="14" s="1"/>
  <c r="X23" i="14"/>
  <c r="X26" i="14" s="1"/>
  <c r="Y22" i="14"/>
  <c r="X34" i="14"/>
  <c r="AS13" i="14"/>
  <c r="AT7" i="14"/>
  <c r="AS7" i="14" s="1"/>
  <c r="AQ137" i="14"/>
  <c r="AL138" i="14"/>
  <c r="AL139" i="14" s="1"/>
  <c r="AL140" i="14" s="1"/>
  <c r="AM140" i="14"/>
  <c r="AM141" i="14" s="1"/>
  <c r="AM142" i="14" s="1"/>
  <c r="AM143" i="14" s="1"/>
  <c r="AP140" i="14"/>
  <c r="AP141" i="14" s="1"/>
  <c r="AP142" i="14" s="1"/>
  <c r="AP143" i="14" s="1"/>
  <c r="AQ138" i="14"/>
  <c r="AP126" i="14"/>
  <c r="AP127" i="14" s="1"/>
  <c r="AQ127" i="14" s="1"/>
  <c r="AQ125" i="14"/>
  <c r="BG50" i="14"/>
  <c r="BG52" i="14" s="1"/>
  <c r="BF52" i="14"/>
  <c r="BB50" i="14"/>
  <c r="BB52" i="14" s="1"/>
  <c r="BA52" i="14"/>
  <c r="AX50" i="14"/>
  <c r="AW52" i="14"/>
  <c r="BD50" i="14"/>
  <c r="AQ25" i="14" l="1"/>
  <c r="Y30" i="14"/>
  <c r="Y35" i="14" s="1"/>
  <c r="Y34" i="14"/>
  <c r="X30" i="14"/>
  <c r="X35" i="14" s="1"/>
  <c r="AQ139" i="14"/>
  <c r="AL141" i="14"/>
  <c r="AQ140" i="14"/>
  <c r="AQ126" i="14"/>
  <c r="BI50" i="14"/>
  <c r="BJ50" i="14" s="1"/>
  <c r="BD52" i="14"/>
  <c r="BI52" i="14" s="1"/>
  <c r="BJ52" i="14" s="1"/>
  <c r="BE50" i="14"/>
  <c r="BE52" i="14" s="1"/>
  <c r="AX52" i="14"/>
  <c r="AQ141" i="14" l="1"/>
  <c r="AL142" i="14"/>
  <c r="AL143" i="14" s="1"/>
  <c r="AQ143" i="14" s="1"/>
  <c r="AQ142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D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G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AQ47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47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47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47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47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47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47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47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47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47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47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47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47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48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48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48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48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48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48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61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61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61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61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61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61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61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61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61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61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61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61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103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106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107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<sst xmlns="http://schemas.openxmlformats.org/spreadsheetml/2006/main" count="1037" uniqueCount="229">
  <si>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</si>
  <si>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</si>
  <si>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</si>
  <si>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</si>
  <si>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</si>
  <si>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</si>
  <si>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</si>
  <si>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</si>
  <si>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</si>
  <si>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</si>
  <si>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</si>
  <si>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</si>
  <si>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</si>
  <si>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</si>
  <si>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</si>
  <si>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</si>
  <si>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</si>
  <si>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</si>
  <si>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</si>
  <si>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</si>
  <si>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</si>
  <si>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</si>
  <si>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</si>
  <si>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</si>
  <si>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</si>
  <si>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</si>
  <si>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</si>
  <si>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</si>
  <si>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</si>
  <si>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</si>
  <si>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</si>
  <si>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</si>
  <si>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</si>
  <si>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</si>
  <si>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</si>
  <si>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</si>
  <si>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</si>
  <si>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</si>
  <si>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</si>
  <si>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</si>
  <si>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</si>
  <si>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</si>
  <si>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</si>
  <si>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</si>
  <si>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</si>
  <si>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</si>
  <si>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</si>
  <si>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</si>
  <si>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</si>
  <si>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</si>
  <si>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</si>
  <si>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</si>
  <si>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</si>
  <si>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</si>
  <si>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</si>
  <si>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</si>
  <si>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</si>
  <si>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</si>
  <si>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</si>
  <si>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</si>
  <si>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</si>
  <si>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</si>
  <si>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</si>
  <si>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</si>
  <si>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</si>
  <si>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</si>
  <si>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</si>
  <si>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</si>
  <si>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</si>
  <si>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</si>
  <si>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</si>
  <si>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</si>
  <si>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</si>
  <si>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</si>
  <si>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</si>
  <si>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</si>
  <si>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</si>
  <si>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</si>
  <si>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</si>
  <si>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</si>
  <si>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</si>
  <si>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</si>
  <si>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</si>
  <si>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</si>
  <si>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</si>
  <si>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</si>
  <si>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</si>
  <si>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</si>
  <si>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</si>
  <si>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</si>
  <si>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</si>
  <si>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</si>
  <si>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</si>
  <si>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</si>
  <si>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</si>
  <si>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</si>
  <si>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</si>
  <si>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</si>
  <si>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</si>
  <si>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</si>
  <si>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</si>
  <si>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</si>
  <si>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</si>
  <si>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</si>
  <si>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</si>
  <si>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</si>
  <si>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</si>
  <si>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</si>
  <si>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</si>
  <si>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</si>
  <si>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</si>
  <si>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</si>
  <si>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</si>
  <si>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</si>
  <si>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</si>
  <si>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</si>
  <si>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</si>
  <si>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</si>
  <si>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</si>
  <si>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</si>
  <si>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</si>
  <si>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</si>
  <si>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</si>
  <si>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</si>
  <si>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</si>
  <si>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</si>
  <si>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</si>
  <si>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</si>
  <si>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</si>
  <si>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</si>
  <si>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</si>
  <si>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</si>
  <si>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</si>
  <si>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</si>
  <si>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</si>
  <si>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</si>
  <si>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</si>
  <si>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</si>
  <si>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</si>
  <si>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</si>
  <si>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</si>
  <si>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</si>
  <si>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</si>
  <si>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</si>
  <si>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</si>
  <si>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</si>
  <si>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</si>
  <si>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</si>
  <si>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</si>
  <si>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</si>
  <si>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</si>
  <si>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</si>
  <si>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</si>
  <si>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</si>
  <si>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</si>
  <si>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</si>
  <si>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</si>
  <si>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</si>
  <si>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</si>
  <si>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</si>
  <si>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</si>
  <si>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</si>
  <si>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</si>
  <si>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</si>
  <si>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</si>
  <si>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</si>
  <si>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</si>
  <si>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</si>
  <si>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</si>
  <si>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</si>
  <si>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</si>
  <si>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</si>
  <si>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</si>
  <si>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</si>
  <si>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</si>
  <si>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</si>
  <si>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</si>
  <si>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</si>
  <si>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</si>
  <si>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</si>
  <si>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</si>
  <si>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</si>
  <si>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</si>
  <si>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</si>
  <si>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</si>
  <si>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</si>
  <si>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</si>
  <si>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</si>
  <si>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</si>
  <si>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</si>
  <si>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</si>
  <si>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</si>
  <si>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</si>
  <si>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</si>
  <si>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</si>
  <si>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</si>
  <si>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</si>
  <si>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</si>
  <si>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</si>
  <si>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</si>
  <si>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</si>
  <si>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</si>
  <si>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</si>
  <si>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</si>
  <si>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</si>
  <si>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</si>
  <si>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</si>
  <si>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</si>
  <si>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</si>
  <si>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</si>
  <si>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</si>
  <si>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</si>
  <si>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</si>
  <si>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</si>
  <si>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</si>
  <si>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</si>
  <si>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</si>
  <si>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</si>
  <si>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</si>
  <si>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</si>
  <si>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</si>
  <si>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</si>
  <si>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</si>
  <si>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</si>
  <si>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 SellA</t>
  </si>
  <si>
    <t>Del</t>
  </si>
  <si>
    <t>Del SellB</t>
  </si>
  <si>
    <t>Edit SellB</t>
  </si>
  <si>
    <t>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</si>
</sst>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2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10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8" fillId="5" borderId="0" xfId="0" applyFon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0" fontId="8" fillId="9" borderId="0" xfId="0" applyFont="1" applyFill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44" fontId="0" fillId="0" borderId="0" xfId="2" applyFont="1" applyFill="1"/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0" fontId="11" fillId="0" borderId="0" xfId="0" applyFont="1" applyFill="1"/>
    <xf numFmtId="8" fontId="0" fillId="0" borderId="0" xfId="0" applyNumberFormat="1" applyFill="1"/>
    <xf numFmtId="10" fontId="3" fillId="0" borderId="0" xfId="0" applyNumberFormat="1" applyFont="1" applyFill="1" applyAlignment="1">
      <alignment horizontal="right"/>
    </xf>
    <xf numFmtId="10" fontId="0" fillId="0" borderId="0" xfId="0" applyNumberFormat="1" applyFill="1"/>
    <xf numFmtId="0" fontId="0" fillId="0" borderId="0" xfId="0" applyFill="1"/>
    <xf numFmtId="0" fontId="10" fillId="0" borderId="0" xfId="0" applyFont="1" applyFill="1"/>
    <xf numFmtId="164" fontId="3" fillId="0" borderId="0" xfId="0" applyNumberFormat="1" applyFont="1" applyFill="1"/>
    <xf numFmtId="166" fontId="3" fillId="0" borderId="0" xfId="0" applyNumberFormat="1" applyFont="1" applyFill="1"/>
    <xf numFmtId="164" fontId="3" fillId="0" borderId="0" xfId="0" quotePrefix="1" applyNumberFormat="1" applyFont="1" applyFill="1" applyAlignment="1">
      <alignment horizontal="center"/>
    </xf>
    <xf numFmtId="0" fontId="3" fillId="0" borderId="0" xfId="0" applyFont="1" applyFill="1"/>
    <xf numFmtId="164" fontId="10" fillId="0" borderId="0" xfId="0" applyNumberFormat="1" applyFont="1" applyFill="1" applyAlignment="1">
      <alignment horizontal="right"/>
    </xf>
    <xf numFmtId="166" fontId="10" fillId="0" borderId="0" xfId="0" applyNumberFormat="1" applyFont="1" applyFill="1" applyAlignment="1">
      <alignment horizontal="right"/>
    </xf>
    <xf numFmtId="10" fontId="10" fillId="0" borderId="0" xfId="1" applyNumberFormat="1" applyFont="1" applyFill="1" applyAlignment="1">
      <alignment horizontal="right"/>
    </xf>
    <xf numFmtId="166" fontId="11" fillId="0" borderId="0" xfId="0" applyNumberFormat="1" applyFont="1" applyFill="1"/>
    <xf numFmtId="164" fontId="3" fillId="0" borderId="0" xfId="0" applyNumberFormat="1" applyFont="1" applyFill="1" applyAlignment="1">
      <alignment horizontal="center"/>
    </xf>
    <xf numFmtId="164" fontId="3" fillId="0" borderId="0" xfId="0" quotePrefix="1" applyNumberFormat="1" applyFont="1" applyFill="1" applyAlignment="1">
      <alignment horizontal="right"/>
    </xf>
    <xf numFmtId="165" fontId="3" fillId="0" borderId="0" xfId="0" quotePrefix="1" applyNumberFormat="1" applyFont="1" applyFill="1" applyAlignment="1">
      <alignment horizontal="right"/>
    </xf>
    <xf numFmtId="49" fontId="3" fillId="0" borderId="0" xfId="0" applyNumberFormat="1" applyFont="1" applyFill="1"/>
    <xf numFmtId="0" fontId="25" fillId="0" borderId="0" xfId="0" applyFont="1" applyFill="1"/>
    <xf numFmtId="8" fontId="25" fillId="0" borderId="0" xfId="0" applyNumberFormat="1" applyFont="1" applyFill="1"/>
    <xf numFmtId="10" fontId="26" fillId="0" borderId="0" xfId="0" applyNumberFormat="1" applyFont="1" applyFill="1" applyAlignment="1">
      <alignment horizontal="right"/>
    </xf>
    <xf numFmtId="10" fontId="25" fillId="0" borderId="0" xfId="0" applyNumberFormat="1" applyFont="1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166" fontId="7" fillId="0" borderId="0" xfId="0" applyNumberFormat="1" applyFont="1" applyFill="1" applyAlignment="1">
      <alignment horizontal="right"/>
    </xf>
    <xf numFmtId="166" fontId="0" fillId="0" borderId="0" xfId="0" applyNumberFormat="1" applyFill="1"/>
    <xf numFmtId="164" fontId="10" fillId="0" borderId="0" xfId="0" quotePrefix="1" applyNumberFormat="1" applyFont="1" applyFill="1" applyAlignment="1">
      <alignment horizontal="center"/>
    </xf>
    <xf numFmtId="164" fontId="0" fillId="0" borderId="0" xfId="0" applyNumberFormat="1" applyFill="1"/>
    <xf numFmtId="0" fontId="11" fillId="0" borderId="0" xfId="0" applyFont="1" applyFill="1" applyAlignment="1">
      <alignment wrapText="1"/>
    </xf>
    <xf numFmtId="6" fontId="0" fillId="0" borderId="0" xfId="0" applyNumberFormat="1" applyFill="1"/>
    <xf numFmtId="9" fontId="0" fillId="0" borderId="0" xfId="0" applyNumberFormat="1" applyFill="1"/>
    <xf numFmtId="10" fontId="3" fillId="0" borderId="0" xfId="0" applyNumberFormat="1" applyFont="1" applyFill="1"/>
    <xf numFmtId="165" fontId="7" fillId="0" borderId="0" xfId="0" applyNumberFormat="1" applyFont="1" applyFill="1" applyAlignment="1">
      <alignment horizontal="right"/>
    </xf>
    <xf numFmtId="0" fontId="26" fillId="0" borderId="0" xfId="0" applyFont="1" applyFill="1"/>
    <xf numFmtId="49" fontId="26" fillId="0" borderId="0" xfId="0" applyNumberFormat="1" applyFont="1" applyFill="1"/>
    <xf numFmtId="164" fontId="26" fillId="0" borderId="0" xfId="0" applyNumberFormat="1" applyFont="1" applyFill="1"/>
    <xf numFmtId="166" fontId="26" fillId="0" borderId="0" xfId="0" applyNumberFormat="1" applyFont="1" applyFill="1"/>
    <xf numFmtId="10" fontId="26" fillId="0" borderId="0" xfId="0" applyNumberFormat="1" applyFont="1" applyFill="1"/>
    <xf numFmtId="10" fontId="10" fillId="3" borderId="0" xfId="0" applyNumberFormat="1" applyFont="1" applyFill="1" applyAlignment="1">
      <alignment horizontal="right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43"/>
  <sheetViews>
    <sheetView tabSelected="1" topLeftCell="A15" workbookViewId="0">
      <selection activeCell="S30" sqref="S30"/>
    </sheetView>
  </sheetViews>
  <sheetFormatPr defaultColWidth="12.5703125" defaultRowHeight="15.75" customHeight="1" x14ac:dyDescent="0.2"/>
  <cols>
    <col min="1" max="1" width="29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1" width="8.7109375" bestFit="1" customWidth="1"/>
    <col min="12" max="12" width="8.140625" bestFit="1" customWidth="1"/>
    <col min="13" max="13" width="7.7109375" bestFit="1" customWidth="1"/>
    <col min="14" max="14" width="8.28515625" bestFit="1" customWidth="1"/>
    <col min="15" max="15" width="8.7109375" bestFit="1" customWidth="1"/>
    <col min="16" max="16" width="6.42578125" customWidth="1"/>
    <col min="17" max="17" width="8.5703125" customWidth="1"/>
    <col min="18" max="18" width="6" customWidth="1"/>
    <col min="19" max="19" width="11.42578125" customWidth="1"/>
    <col min="20" max="20" width="7.42578125" customWidth="1"/>
    <col min="21" max="21" width="8.5703125" bestFit="1" customWidth="1"/>
    <col min="22" max="22" width="7.5703125" bestFit="1" customWidth="1"/>
    <col min="23" max="23" width="8" customWidth="1"/>
    <col min="24" max="24" width="7.5703125" bestFit="1" customWidth="1"/>
    <col min="25" max="25" width="7.8554687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67" t="s">
        <v>214</v>
      </c>
    </row>
    <row r="2" spans="1:48" ht="12.75" x14ac:dyDescent="0.2">
      <c r="B2" s="45" t="s">
        <v>204</v>
      </c>
      <c r="C2" s="111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2" t="s">
        <v>205</v>
      </c>
      <c r="AB2" s="46"/>
      <c r="AC2" s="46"/>
      <c r="AD2" s="46"/>
      <c r="AE2" s="46"/>
      <c r="AF2" s="46"/>
      <c r="AG2" s="132" t="s">
        <v>207</v>
      </c>
      <c r="AH2" s="46"/>
      <c r="AI2" s="46"/>
      <c r="AJ2" s="46"/>
      <c r="AK2" s="46"/>
      <c r="AL2" s="45"/>
      <c r="AM2" s="132" t="s">
        <v>208</v>
      </c>
      <c r="AN2" s="12"/>
      <c r="AO2" s="12"/>
      <c r="AP2" s="12"/>
      <c r="AQ2" s="12"/>
      <c r="AS2" s="132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3"/>
      <c r="I3" s="28" t="s">
        <v>76</v>
      </c>
      <c r="J3" s="28" t="s">
        <v>4</v>
      </c>
      <c r="K3" s="57" t="s">
        <v>0</v>
      </c>
      <c r="L3" s="57" t="s">
        <v>1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222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6">
        <v>0.04</v>
      </c>
      <c r="E4" s="97">
        <v>0.08</v>
      </c>
      <c r="F4" s="97">
        <v>0.16</v>
      </c>
      <c r="G4" s="97">
        <v>0.01</v>
      </c>
      <c r="H4" s="97"/>
      <c r="I4" s="135" t="s">
        <v>75</v>
      </c>
      <c r="J4" s="135" t="s">
        <v>78</v>
      </c>
      <c r="K4" s="52">
        <v>100</v>
      </c>
      <c r="L4" s="52">
        <v>200</v>
      </c>
      <c r="M4" s="126">
        <v>0.5</v>
      </c>
      <c r="N4" s="97">
        <v>0.3</v>
      </c>
      <c r="O4" s="97">
        <v>0.2</v>
      </c>
      <c r="Q4" s="45" t="s">
        <v>216</v>
      </c>
      <c r="R4" s="45" t="s">
        <v>75</v>
      </c>
      <c r="S4" s="133" t="s">
        <v>78</v>
      </c>
      <c r="T4" s="124">
        <f>K4</f>
        <v>100</v>
      </c>
      <c r="U4" s="30">
        <f>V4/T4</f>
        <v>2</v>
      </c>
      <c r="V4" s="124">
        <f>L4</f>
        <v>200</v>
      </c>
      <c r="W4" s="124">
        <f>T4 * (1 - ABS(C4))</f>
        <v>98</v>
      </c>
      <c r="X4" s="154" t="s">
        <v>34</v>
      </c>
      <c r="Y4" s="154" t="s">
        <v>34</v>
      </c>
      <c r="Z4" s="12"/>
      <c r="AA4" s="124">
        <f>T4</f>
        <v>100</v>
      </c>
      <c r="AB4" s="30">
        <f>U4*M4</f>
        <v>1</v>
      </c>
      <c r="AC4" s="125">
        <f>V4*M4</f>
        <v>100</v>
      </c>
      <c r="AD4" s="125">
        <f>T4 * (1 + D4) / (1 - G4)</f>
        <v>105.05050505050505</v>
      </c>
      <c r="AE4" s="126">
        <f>(B4 - AD4) / AD4</f>
        <v>-4.8076923076923087E-2</v>
      </c>
      <c r="AF4" s="30"/>
      <c r="AG4" s="124">
        <f>T4</f>
        <v>100</v>
      </c>
      <c r="AH4" s="30">
        <f>U4*N4</f>
        <v>0.6</v>
      </c>
      <c r="AI4" s="125">
        <f>V4*N4</f>
        <v>60</v>
      </c>
      <c r="AJ4" s="125">
        <f>T4 * (1 + E4) / (1 - G4)</f>
        <v>109.09090909090909</v>
      </c>
      <c r="AK4" s="126">
        <f>(B4 - AJ4) / AJ4</f>
        <v>-8.3333333333333356E-2</v>
      </c>
      <c r="AM4" s="124">
        <f>T4</f>
        <v>100</v>
      </c>
      <c r="AN4" s="30">
        <f>U4*O4</f>
        <v>0.4</v>
      </c>
      <c r="AO4" s="125">
        <f>V4*O4</f>
        <v>40</v>
      </c>
      <c r="AP4" s="125">
        <f>T4 * (1 + F4) / (1 - G4)</f>
        <v>117.17171717171716</v>
      </c>
      <c r="AQ4" s="126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31">
        <v>0.04</v>
      </c>
      <c r="E5" s="127">
        <v>0.08</v>
      </c>
      <c r="F5" s="127">
        <v>0.16</v>
      </c>
      <c r="G5" s="127">
        <v>0.01</v>
      </c>
      <c r="H5" s="127"/>
      <c r="I5" s="136" t="s">
        <v>75</v>
      </c>
      <c r="J5" s="136" t="s">
        <v>211</v>
      </c>
      <c r="K5" s="40">
        <v>100</v>
      </c>
      <c r="L5" s="40">
        <v>300</v>
      </c>
      <c r="M5" s="131">
        <v>0.5</v>
      </c>
      <c r="N5" s="127">
        <v>0.25</v>
      </c>
      <c r="O5" s="127">
        <v>0.25</v>
      </c>
      <c r="P5" s="35"/>
      <c r="Q5" s="47" t="s">
        <v>217</v>
      </c>
      <c r="R5" s="47" t="s">
        <v>75</v>
      </c>
      <c r="S5" s="134" t="s">
        <v>211</v>
      </c>
      <c r="T5" s="128">
        <f>K5</f>
        <v>100</v>
      </c>
      <c r="U5" s="43">
        <f>V5/T5</f>
        <v>3</v>
      </c>
      <c r="V5" s="128">
        <f>L5</f>
        <v>300</v>
      </c>
      <c r="W5" s="128">
        <f>T5 * (1 - ABS(C5))</f>
        <v>98</v>
      </c>
      <c r="X5" s="155" t="s">
        <v>34</v>
      </c>
      <c r="Y5" s="155" t="s">
        <v>34</v>
      </c>
      <c r="Z5" s="41"/>
      <c r="AA5" s="128">
        <f>T5</f>
        <v>100</v>
      </c>
      <c r="AB5" s="43">
        <f>AB4+(U5*M5)</f>
        <v>2.5</v>
      </c>
      <c r="AC5" s="130">
        <f>AC4+(V5*M5)</f>
        <v>250</v>
      </c>
      <c r="AD5" s="130">
        <f>T5 * (1 + D5) / (1 - G5)</f>
        <v>105.05050505050505</v>
      </c>
      <c r="AE5" s="131">
        <f>(B5 - AD5) / AD5</f>
        <v>-4.8076923076923087E-2</v>
      </c>
      <c r="AF5" s="43"/>
      <c r="AG5" s="128">
        <f>T5</f>
        <v>100</v>
      </c>
      <c r="AH5" s="43">
        <f>AH4+(U5*N5)</f>
        <v>1.35</v>
      </c>
      <c r="AI5" s="130">
        <f>AI4+(V5*N5)</f>
        <v>135</v>
      </c>
      <c r="AJ5" s="130">
        <f>T5 * (1 + E5) / (1 - G5)</f>
        <v>109.09090909090909</v>
      </c>
      <c r="AK5" s="131">
        <f>(B5 - AJ5) / AJ5</f>
        <v>-8.3333333333333356E-2</v>
      </c>
      <c r="AL5" s="35"/>
      <c r="AM5" s="128">
        <f>T5</f>
        <v>100</v>
      </c>
      <c r="AN5" s="43">
        <f>AN4+(U5*O5)</f>
        <v>1.1499999999999999</v>
      </c>
      <c r="AO5" s="130">
        <f>AO4+(V5*O5)</f>
        <v>115</v>
      </c>
      <c r="AP5" s="130">
        <f>T5 * (1 + F5) / (1 - G5)</f>
        <v>117.17171717171716</v>
      </c>
      <c r="AQ5" s="131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31"/>
      <c r="E6" s="127"/>
      <c r="F6" s="127"/>
      <c r="G6" s="127"/>
      <c r="H6" s="127"/>
      <c r="I6" s="136"/>
      <c r="J6" s="136"/>
      <c r="K6" s="40"/>
      <c r="L6" s="40"/>
      <c r="M6" s="131"/>
      <c r="N6" s="127"/>
      <c r="O6" s="127"/>
      <c r="P6" s="35"/>
      <c r="Q6" s="47" t="s">
        <v>216</v>
      </c>
      <c r="R6" s="47" t="s">
        <v>75</v>
      </c>
      <c r="S6" s="134" t="s">
        <v>78</v>
      </c>
      <c r="T6" s="128">
        <f>T4</f>
        <v>100</v>
      </c>
      <c r="U6" s="43">
        <f>U4</f>
        <v>2</v>
      </c>
      <c r="V6" s="128">
        <f>V4</f>
        <v>200</v>
      </c>
      <c r="W6" s="128">
        <f>W4</f>
        <v>98</v>
      </c>
      <c r="X6" s="155"/>
      <c r="Y6" s="155"/>
      <c r="Z6" s="41"/>
      <c r="AA6" s="128"/>
      <c r="AB6" s="43"/>
      <c r="AC6" s="130"/>
      <c r="AD6" s="130"/>
      <c r="AE6" s="131"/>
      <c r="AF6" s="43"/>
      <c r="AG6" s="128"/>
      <c r="AH6" s="43"/>
      <c r="AI6" s="130"/>
      <c r="AJ6" s="130"/>
      <c r="AK6" s="131"/>
      <c r="AL6" s="35"/>
      <c r="AM6" s="128"/>
      <c r="AN6" s="43"/>
      <c r="AO6" s="130"/>
      <c r="AP6" s="130"/>
      <c r="AQ6" s="131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6">
        <v>0.04</v>
      </c>
      <c r="E7" s="97">
        <v>0.08</v>
      </c>
      <c r="F7" s="97">
        <v>0.16</v>
      </c>
      <c r="G7" s="97">
        <v>0.01</v>
      </c>
      <c r="H7" s="97"/>
      <c r="I7" s="135" t="s">
        <v>75</v>
      </c>
      <c r="J7" s="135" t="s">
        <v>215</v>
      </c>
      <c r="K7" s="52">
        <v>120</v>
      </c>
      <c r="L7" s="52">
        <v>400</v>
      </c>
      <c r="M7" s="126">
        <v>0.5</v>
      </c>
      <c r="N7" s="97">
        <v>0.5</v>
      </c>
      <c r="O7" s="97">
        <v>0</v>
      </c>
      <c r="Q7" s="45" t="s">
        <v>218</v>
      </c>
      <c r="R7" s="45" t="s">
        <v>75</v>
      </c>
      <c r="S7" s="132" t="s">
        <v>215</v>
      </c>
      <c r="T7" s="124">
        <f>K7</f>
        <v>120</v>
      </c>
      <c r="U7" s="30">
        <f>V7/T7</f>
        <v>3.3333333333333335</v>
      </c>
      <c r="V7" s="124">
        <f>L7</f>
        <v>400</v>
      </c>
      <c r="W7" s="124">
        <f>T7 * (1 - ABS(C7))</f>
        <v>117.6</v>
      </c>
      <c r="X7" s="154" t="s">
        <v>34</v>
      </c>
      <c r="Y7" s="154" t="s">
        <v>34</v>
      </c>
      <c r="Z7" s="12"/>
      <c r="AA7" s="124">
        <f>T7</f>
        <v>120</v>
      </c>
      <c r="AB7" s="30">
        <f>U7*M7</f>
        <v>1.6666666666666667</v>
      </c>
      <c r="AC7" s="125">
        <f>V7*M7</f>
        <v>200</v>
      </c>
      <c r="AD7" s="125">
        <f>T7 * (1 + D7) / (1 - G7)</f>
        <v>126.06060606060608</v>
      </c>
      <c r="AE7" s="126">
        <f>(B7 - AD7) / AD7</f>
        <v>-4.8076923076923198E-2</v>
      </c>
      <c r="AF7" s="30"/>
      <c r="AG7" s="124">
        <f>T7</f>
        <v>120</v>
      </c>
      <c r="AH7" s="30">
        <f>U7*M7</f>
        <v>1.6666666666666667</v>
      </c>
      <c r="AI7" s="125">
        <f>V7*M7</f>
        <v>200</v>
      </c>
      <c r="AJ7" s="125">
        <f>T7 * (1 + E7) / (1 - G7)</f>
        <v>130.90909090909093</v>
      </c>
      <c r="AK7" s="126">
        <f>(B7 - AJ7) / AJ7</f>
        <v>-8.3333333333333509E-2</v>
      </c>
      <c r="AM7" s="124">
        <v>100</v>
      </c>
      <c r="AN7" s="30">
        <v>1.1499999999999999</v>
      </c>
      <c r="AO7" s="125">
        <v>115</v>
      </c>
      <c r="AP7" s="125">
        <v>117.17171717171716</v>
      </c>
      <c r="AQ7" s="126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7"/>
      <c r="H8" s="97"/>
      <c r="I8" s="97"/>
      <c r="J8" s="97"/>
      <c r="K8" s="52"/>
      <c r="L8" s="52"/>
      <c r="M8" s="97"/>
      <c r="N8" s="97"/>
      <c r="O8" s="97"/>
      <c r="Q8" s="46" t="s">
        <v>217</v>
      </c>
      <c r="R8" s="46" t="s">
        <v>75</v>
      </c>
      <c r="S8" s="132" t="s">
        <v>211</v>
      </c>
      <c r="T8" s="124">
        <f>T5</f>
        <v>100</v>
      </c>
      <c r="U8" s="30">
        <f>U5</f>
        <v>3</v>
      </c>
      <c r="V8" s="124">
        <f>V5</f>
        <v>300</v>
      </c>
      <c r="W8" s="124">
        <f>W5</f>
        <v>98</v>
      </c>
      <c r="X8" s="154" t="s">
        <v>34</v>
      </c>
      <c r="Y8" s="154" t="s">
        <v>34</v>
      </c>
      <c r="Z8" s="12"/>
      <c r="AA8" s="124">
        <f>AA5</f>
        <v>100</v>
      </c>
      <c r="AB8" s="30">
        <f>AB5</f>
        <v>2.5</v>
      </c>
      <c r="AC8" s="125">
        <f>AC5</f>
        <v>250</v>
      </c>
      <c r="AD8" s="125">
        <f>AD5</f>
        <v>105.05050505050505</v>
      </c>
      <c r="AE8" s="126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54" t="s">
        <v>34</v>
      </c>
      <c r="AN8" s="157" t="s">
        <v>34</v>
      </c>
      <c r="AO8" s="157" t="s">
        <v>34</v>
      </c>
      <c r="AP8" s="157" t="s">
        <v>34</v>
      </c>
      <c r="AQ8" s="157" t="s">
        <v>34</v>
      </c>
    </row>
    <row r="9" spans="1:48" ht="12.75" x14ac:dyDescent="0.2">
      <c r="B9" s="52"/>
      <c r="C9" s="97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2" t="s">
        <v>78</v>
      </c>
      <c r="T9" s="124">
        <f>T4</f>
        <v>100</v>
      </c>
      <c r="U9" s="30">
        <f>U4</f>
        <v>2</v>
      </c>
      <c r="V9" s="124">
        <f>V4</f>
        <v>200</v>
      </c>
      <c r="W9" s="124">
        <f>W4</f>
        <v>98</v>
      </c>
      <c r="X9" s="154" t="s">
        <v>34</v>
      </c>
      <c r="Y9" s="154" t="s">
        <v>34</v>
      </c>
      <c r="Z9" s="12"/>
      <c r="AA9" s="63"/>
      <c r="AF9" s="30"/>
      <c r="AG9" s="13"/>
      <c r="AH9" s="13"/>
      <c r="AI9" s="13"/>
      <c r="AJ9" s="13"/>
      <c r="AK9" s="30"/>
      <c r="AM9" s="124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31">
        <v>0.04</v>
      </c>
      <c r="E10" s="127">
        <v>0.08</v>
      </c>
      <c r="F10" s="127">
        <v>0.16</v>
      </c>
      <c r="G10" s="127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31">
        <v>0.4</v>
      </c>
      <c r="N10" s="127">
        <v>0.5</v>
      </c>
      <c r="O10" s="127">
        <v>0.1</v>
      </c>
      <c r="P10" s="35"/>
      <c r="Q10" s="41" t="s">
        <v>218</v>
      </c>
      <c r="R10" s="41" t="s">
        <v>75</v>
      </c>
      <c r="S10" s="41" t="s">
        <v>215</v>
      </c>
      <c r="T10" s="137">
        <f t="shared" ref="T10:V11" si="0">T7</f>
        <v>120</v>
      </c>
      <c r="U10" s="138">
        <f t="shared" si="0"/>
        <v>3.3333333333333335</v>
      </c>
      <c r="V10" s="137">
        <f t="shared" si="0"/>
        <v>400</v>
      </c>
      <c r="W10" s="137">
        <f>W7</f>
        <v>117.6</v>
      </c>
      <c r="X10" s="155" t="s">
        <v>34</v>
      </c>
      <c r="Y10" s="155" t="s">
        <v>34</v>
      </c>
      <c r="Z10" s="41"/>
      <c r="AA10" s="144">
        <f>T12</f>
        <v>130</v>
      </c>
      <c r="AB10" s="143">
        <f>U12*M10</f>
        <v>1.846153846153846</v>
      </c>
      <c r="AC10" s="144">
        <f>V12*M10</f>
        <v>240</v>
      </c>
      <c r="AD10" s="144">
        <f>T12 * (1 + D10) / (1 - G10)</f>
        <v>136.56565656565658</v>
      </c>
      <c r="AE10" s="145">
        <f>(B10 - AD10) / AD10</f>
        <v>-0.1213017751479291</v>
      </c>
      <c r="AF10" s="143"/>
      <c r="AG10" s="144">
        <f>T12</f>
        <v>130</v>
      </c>
      <c r="AH10" s="143">
        <f>U12*N10</f>
        <v>2.3076923076923075</v>
      </c>
      <c r="AI10" s="144">
        <f>V12*N10</f>
        <v>300</v>
      </c>
      <c r="AJ10" s="144">
        <f>T12 * (1 + E10) / (1 - G10)</f>
        <v>141.81818181818181</v>
      </c>
      <c r="AK10" s="145">
        <f>(B10 - AJ10) / AJ10</f>
        <v>-0.15384615384615383</v>
      </c>
      <c r="AL10" s="47"/>
      <c r="AM10" s="144">
        <f>T12</f>
        <v>130</v>
      </c>
      <c r="AN10" s="143">
        <f>U12*O10</f>
        <v>0.46153846153846151</v>
      </c>
      <c r="AO10" s="144">
        <f>V12*O10</f>
        <v>60</v>
      </c>
      <c r="AP10" s="144">
        <f>T12 * (1 + F10) / (1 - G10)</f>
        <v>152.3232323232323</v>
      </c>
      <c r="AQ10" s="131">
        <f>(B10 - AP10) / AP10</f>
        <v>-0.21220159151193624</v>
      </c>
      <c r="AR10" s="47"/>
      <c r="AS10" s="147">
        <f>AT10+AU10+AV10</f>
        <v>10.948717948717949</v>
      </c>
      <c r="AT10" s="147">
        <f>AB10+AB11+AB12</f>
        <v>5.0128205128205128</v>
      </c>
      <c r="AU10" s="147">
        <f>AH10+AH11+AH12</f>
        <v>4.7243589743589745</v>
      </c>
      <c r="AV10" s="147">
        <f>AN10+AN12</f>
        <v>1.2115384615384615</v>
      </c>
    </row>
    <row r="11" spans="1:48" ht="12.75" x14ac:dyDescent="0.2">
      <c r="A11" s="45"/>
      <c r="B11" s="52"/>
      <c r="C11" s="97"/>
      <c r="D11" s="126"/>
      <c r="E11" s="97"/>
      <c r="F11" s="97"/>
      <c r="G11" s="97"/>
      <c r="K11" s="52"/>
      <c r="L11" s="52"/>
      <c r="M11" s="126"/>
      <c r="N11" s="97"/>
      <c r="O11" s="97"/>
      <c r="Q11" s="41" t="s">
        <v>217</v>
      </c>
      <c r="R11" s="41" t="s">
        <v>75</v>
      </c>
      <c r="S11" s="41" t="s">
        <v>211</v>
      </c>
      <c r="T11" s="137">
        <f t="shared" si="0"/>
        <v>100</v>
      </c>
      <c r="U11" s="138">
        <f t="shared" si="0"/>
        <v>3</v>
      </c>
      <c r="V11" s="137">
        <f t="shared" si="0"/>
        <v>300</v>
      </c>
      <c r="W11" s="137">
        <f>W8</f>
        <v>98</v>
      </c>
      <c r="X11" s="155" t="s">
        <v>34</v>
      </c>
      <c r="Y11" s="155" t="s">
        <v>34</v>
      </c>
      <c r="Z11" s="41"/>
      <c r="AA11" s="144">
        <f>T10</f>
        <v>120</v>
      </c>
      <c r="AB11" s="143">
        <f>AB7</f>
        <v>1.6666666666666667</v>
      </c>
      <c r="AC11" s="144">
        <f>AC7</f>
        <v>200</v>
      </c>
      <c r="AD11" s="130">
        <f>AD7</f>
        <v>126.06060606060608</v>
      </c>
      <c r="AE11" s="131">
        <f>AE7</f>
        <v>-4.8076923076923198E-2</v>
      </c>
      <c r="AF11" s="143"/>
      <c r="AG11" s="144">
        <f>AG7</f>
        <v>120</v>
      </c>
      <c r="AH11" s="143">
        <f>AH7</f>
        <v>1.6666666666666667</v>
      </c>
      <c r="AI11" s="144">
        <f>AI7</f>
        <v>200</v>
      </c>
      <c r="AJ11" s="144">
        <f>AJ7</f>
        <v>130.90909090909093</v>
      </c>
      <c r="AK11" s="131">
        <f>AK7</f>
        <v>-8.3333333333333509E-2</v>
      </c>
      <c r="AL11" s="47"/>
      <c r="AM11" s="129" t="s">
        <v>34</v>
      </c>
      <c r="AN11" s="146" t="s">
        <v>34</v>
      </c>
      <c r="AO11" s="146" t="s">
        <v>34</v>
      </c>
      <c r="AP11" s="146" t="s">
        <v>34</v>
      </c>
      <c r="AQ11" s="146" t="s">
        <v>34</v>
      </c>
      <c r="AR11" s="47"/>
      <c r="AS11" s="47"/>
      <c r="AT11" s="147"/>
      <c r="AU11" s="147"/>
      <c r="AV11" s="147"/>
    </row>
    <row r="12" spans="1:48" ht="12.75" x14ac:dyDescent="0.2">
      <c r="A12" s="45"/>
      <c r="B12" s="52"/>
      <c r="C12" s="97"/>
      <c r="D12" s="126"/>
      <c r="E12" s="97"/>
      <c r="F12" s="97"/>
      <c r="G12" s="97"/>
      <c r="K12" s="52"/>
      <c r="L12" s="52"/>
      <c r="M12" s="126"/>
      <c r="N12" s="97"/>
      <c r="O12" s="97"/>
      <c r="Q12" s="41" t="s">
        <v>216</v>
      </c>
      <c r="R12" s="41" t="s">
        <v>75</v>
      </c>
      <c r="S12" s="41" t="s">
        <v>78</v>
      </c>
      <c r="T12" s="137">
        <f>K10</f>
        <v>130</v>
      </c>
      <c r="U12" s="138">
        <f>V12/T12</f>
        <v>4.615384615384615</v>
      </c>
      <c r="V12" s="137">
        <f>L10</f>
        <v>600</v>
      </c>
      <c r="W12" s="137">
        <f>T12 * (1 - ABS(C10))</f>
        <v>127.39999999999999</v>
      </c>
      <c r="X12" s="155" t="s">
        <v>34</v>
      </c>
      <c r="Y12" s="155" t="s">
        <v>34</v>
      </c>
      <c r="Z12" s="41"/>
      <c r="AA12" s="144">
        <f>T11</f>
        <v>100</v>
      </c>
      <c r="AB12" s="143">
        <f>AB8-AB4</f>
        <v>1.5</v>
      </c>
      <c r="AC12" s="144">
        <f>V11*M5</f>
        <v>150</v>
      </c>
      <c r="AD12" s="130">
        <f>T11 * (1 + D10) / (1 - G10)</f>
        <v>105.05050505050505</v>
      </c>
      <c r="AE12" s="131">
        <f>AE8</f>
        <v>0.1423076923076923</v>
      </c>
      <c r="AF12" s="143"/>
      <c r="AG12" s="144">
        <f>T11</f>
        <v>100</v>
      </c>
      <c r="AH12" s="143">
        <f>U11*N5</f>
        <v>0.75</v>
      </c>
      <c r="AI12" s="144">
        <f>V11*N5</f>
        <v>75</v>
      </c>
      <c r="AJ12" s="144">
        <f>T11 * (1 + E10) / (1 - G10)</f>
        <v>109.09090909090909</v>
      </c>
      <c r="AK12" s="55">
        <f>(B10 - AJ12) / AJ12</f>
        <v>9.9999999999999978E-2</v>
      </c>
      <c r="AL12" s="47"/>
      <c r="AM12" s="144">
        <f>T11</f>
        <v>100</v>
      </c>
      <c r="AN12" s="143">
        <f>U11*O5</f>
        <v>0.75</v>
      </c>
      <c r="AO12" s="144">
        <f>V11*O5</f>
        <v>75</v>
      </c>
      <c r="AP12" s="144">
        <f>T11 * (1 + F10) / (1 - G10)</f>
        <v>117.17171717171716</v>
      </c>
      <c r="AQ12" s="131">
        <f>(B10 - AP12) / AP12</f>
        <v>2.4137931034482842E-2</v>
      </c>
      <c r="AR12" s="47"/>
      <c r="AS12" s="47"/>
      <c r="AT12" s="147"/>
      <c r="AU12" s="147"/>
      <c r="AV12" s="147"/>
    </row>
    <row r="13" spans="1:48" ht="12.75" x14ac:dyDescent="0.2">
      <c r="A13" s="45" t="s">
        <v>213</v>
      </c>
      <c r="B13" s="52">
        <v>90</v>
      </c>
      <c r="C13" s="54">
        <v>0.02</v>
      </c>
      <c r="D13" s="126">
        <v>0.04</v>
      </c>
      <c r="E13" s="97">
        <v>0.08</v>
      </c>
      <c r="F13" s="97">
        <v>0.16</v>
      </c>
      <c r="G13" s="97">
        <v>0.01</v>
      </c>
      <c r="I13" s="148" t="s">
        <v>75</v>
      </c>
      <c r="J13" s="148" t="s">
        <v>78</v>
      </c>
      <c r="K13" s="149">
        <v>130</v>
      </c>
      <c r="L13" s="149">
        <v>600</v>
      </c>
      <c r="M13" s="150">
        <v>0.4</v>
      </c>
      <c r="N13" s="151">
        <v>0.5</v>
      </c>
      <c r="O13" s="151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39">
        <f t="shared" si="1"/>
        <v>120</v>
      </c>
      <c r="U13" s="140">
        <f t="shared" si="1"/>
        <v>3.3333333333333335</v>
      </c>
      <c r="V13" s="139">
        <f t="shared" si="1"/>
        <v>400</v>
      </c>
      <c r="W13" s="139">
        <f t="shared" si="1"/>
        <v>117.6</v>
      </c>
      <c r="X13" s="154" t="s">
        <v>34</v>
      </c>
      <c r="Y13" s="154" t="s">
        <v>34</v>
      </c>
      <c r="Z13" s="12"/>
      <c r="AA13" s="124">
        <f>T13</f>
        <v>120</v>
      </c>
      <c r="AB13" s="30">
        <f>U13*M7</f>
        <v>1.6666666666666667</v>
      </c>
      <c r="AC13" s="125">
        <f>V13*M7</f>
        <v>200</v>
      </c>
      <c r="AD13" s="125">
        <f>T13 * (1 + D13) / (1 - G13)</f>
        <v>126.06060606060608</v>
      </c>
      <c r="AE13" s="126">
        <f>(B13 - AD13) / AD13</f>
        <v>-0.2860576923076924</v>
      </c>
      <c r="AF13" s="142"/>
      <c r="AG13" s="124">
        <f>T13</f>
        <v>120</v>
      </c>
      <c r="AH13" s="30">
        <f>U13*N7</f>
        <v>1.6666666666666667</v>
      </c>
      <c r="AI13" s="125">
        <f>V13*N7</f>
        <v>200</v>
      </c>
      <c r="AJ13" s="125">
        <f>T13 * (1 + E13) / (1 - G13)</f>
        <v>130.90909090909093</v>
      </c>
      <c r="AK13" s="126">
        <f>(B13 - AJ13) / AJ13</f>
        <v>-0.31250000000000011</v>
      </c>
      <c r="AM13" s="154" t="s">
        <v>34</v>
      </c>
      <c r="AN13" s="157" t="s">
        <v>34</v>
      </c>
      <c r="AO13" s="157" t="s">
        <v>34</v>
      </c>
      <c r="AP13" s="157" t="s">
        <v>34</v>
      </c>
      <c r="AQ13" s="157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8"/>
      <c r="D14" s="126"/>
      <c r="E14" s="97"/>
      <c r="F14" s="97"/>
      <c r="G14" s="97"/>
      <c r="K14" s="33"/>
      <c r="L14" s="33"/>
      <c r="M14" s="126"/>
      <c r="N14" s="97"/>
      <c r="O14" s="97"/>
      <c r="Q14" s="12" t="s">
        <v>217</v>
      </c>
      <c r="R14" s="12" t="str">
        <f>R11</f>
        <v>Buy</v>
      </c>
      <c r="S14" s="12" t="str">
        <f t="shared" si="1"/>
        <v>Custom</v>
      </c>
      <c r="T14" s="139">
        <f t="shared" si="1"/>
        <v>100</v>
      </c>
      <c r="U14" s="140">
        <f t="shared" si="1"/>
        <v>3</v>
      </c>
      <c r="V14" s="139">
        <f t="shared" si="1"/>
        <v>300</v>
      </c>
      <c r="W14" s="139">
        <f t="shared" si="1"/>
        <v>98</v>
      </c>
      <c r="X14" s="154" t="s">
        <v>34</v>
      </c>
      <c r="Y14" s="154" t="s">
        <v>34</v>
      </c>
      <c r="Z14" s="12"/>
      <c r="AA14" s="124">
        <f>T14</f>
        <v>100</v>
      </c>
      <c r="AB14" s="30">
        <f>U14*M4</f>
        <v>1.5</v>
      </c>
      <c r="AC14" s="125">
        <f>V14*M4</f>
        <v>150</v>
      </c>
      <c r="AD14" s="125">
        <f>T14 * (1 + D13) / (1 - G13)</f>
        <v>105.05050505050505</v>
      </c>
      <c r="AE14" s="126">
        <f>(B13 - AD14) / AD14</f>
        <v>-0.14326923076923079</v>
      </c>
      <c r="AF14" s="142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4">
        <f>T14</f>
        <v>100</v>
      </c>
      <c r="AN14" s="30">
        <f>U14*O5</f>
        <v>0.75</v>
      </c>
      <c r="AO14" s="125">
        <f>V14*O5</f>
        <v>75</v>
      </c>
      <c r="AP14" s="125">
        <v>117.17171717171716</v>
      </c>
      <c r="AQ14" s="126">
        <f>(B13 - AP14) / AP14</f>
        <v>-0.23189655172413787</v>
      </c>
    </row>
    <row r="15" spans="1:48" ht="12.75" x14ac:dyDescent="0.2">
      <c r="A15" s="45"/>
      <c r="B15" s="33"/>
      <c r="C15" s="68"/>
      <c r="D15" s="126"/>
      <c r="E15" s="97"/>
      <c r="F15" s="97"/>
      <c r="G15" s="97"/>
      <c r="K15" s="33"/>
      <c r="L15" s="33"/>
      <c r="M15" s="126"/>
      <c r="N15" s="97"/>
      <c r="O15" s="97"/>
      <c r="Q15" s="12"/>
      <c r="R15" s="12"/>
      <c r="S15" s="12"/>
      <c r="T15" s="139"/>
      <c r="U15" s="140"/>
      <c r="V15" s="139"/>
      <c r="W15" s="139"/>
      <c r="X15" s="156"/>
      <c r="Y15" s="156"/>
      <c r="Z15" s="12"/>
      <c r="AA15" s="141"/>
      <c r="AB15" s="141"/>
      <c r="AC15" s="141"/>
      <c r="AD15" s="141"/>
      <c r="AE15" s="142"/>
      <c r="AF15" s="142"/>
      <c r="AG15" s="141"/>
      <c r="AH15" s="141"/>
      <c r="AI15" s="141"/>
      <c r="AJ15" s="141"/>
      <c r="AK15" s="142"/>
      <c r="AM15" s="141"/>
      <c r="AN15" s="141"/>
      <c r="AO15" s="141"/>
      <c r="AP15" s="141"/>
      <c r="AQ15" s="142"/>
    </row>
    <row r="16" spans="1:48" ht="12.75" x14ac:dyDescent="0.2">
      <c r="A16" s="67" t="s">
        <v>219</v>
      </c>
      <c r="B16" s="33"/>
      <c r="C16" s="68"/>
      <c r="D16" s="126"/>
      <c r="E16" s="97"/>
      <c r="F16" s="97"/>
      <c r="G16" s="97"/>
      <c r="K16" s="33"/>
      <c r="L16" s="33"/>
      <c r="M16" s="126"/>
      <c r="N16" s="97"/>
      <c r="O16" s="97"/>
      <c r="Q16" s="12"/>
      <c r="R16" s="12"/>
      <c r="S16" s="12"/>
      <c r="T16" s="139"/>
      <c r="U16" s="140"/>
      <c r="V16" s="139"/>
      <c r="W16" s="139"/>
      <c r="X16" s="12"/>
      <c r="Y16" s="12"/>
      <c r="Z16" s="12"/>
      <c r="AA16" s="141"/>
      <c r="AB16" s="141"/>
      <c r="AC16" s="141"/>
      <c r="AD16" s="141"/>
      <c r="AE16" s="142"/>
      <c r="AF16" s="142"/>
      <c r="AG16" s="141"/>
      <c r="AH16" s="141"/>
      <c r="AI16" s="141"/>
      <c r="AJ16" s="141"/>
      <c r="AK16" s="142"/>
      <c r="AM16" s="141"/>
      <c r="AN16" s="141"/>
      <c r="AO16" s="141"/>
      <c r="AP16" s="141"/>
      <c r="AQ16" s="142"/>
    </row>
    <row r="17" spans="1:48" ht="12.75" x14ac:dyDescent="0.2">
      <c r="B17" s="45" t="s">
        <v>204</v>
      </c>
      <c r="C17" s="111"/>
      <c r="I17" s="45" t="s">
        <v>202</v>
      </c>
      <c r="Q17" s="45" t="s">
        <v>203</v>
      </c>
      <c r="S17" s="12"/>
      <c r="T17" s="12"/>
      <c r="U17" s="12"/>
      <c r="V17" s="12"/>
      <c r="W17" s="12"/>
      <c r="X17" s="12"/>
      <c r="Y17" s="12"/>
      <c r="Z17" s="12"/>
      <c r="AA17" s="132" t="s">
        <v>205</v>
      </c>
      <c r="AB17" s="46"/>
      <c r="AC17" s="46"/>
      <c r="AD17" s="46"/>
      <c r="AE17" s="46"/>
      <c r="AF17" s="46"/>
      <c r="AG17" s="132" t="s">
        <v>207</v>
      </c>
      <c r="AH17" s="46"/>
      <c r="AI17" s="46"/>
      <c r="AJ17" s="46"/>
      <c r="AK17" s="46"/>
      <c r="AL17" s="45"/>
      <c r="AM17" s="132" t="s">
        <v>208</v>
      </c>
      <c r="AN17" s="12"/>
      <c r="AO17" s="12"/>
      <c r="AP17" s="12"/>
      <c r="AQ17" s="12"/>
      <c r="AS17" s="132" t="s">
        <v>206</v>
      </c>
    </row>
    <row r="18" spans="1:48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103"/>
      <c r="I18" s="28" t="s">
        <v>76</v>
      </c>
      <c r="J18" s="28" t="s">
        <v>4</v>
      </c>
      <c r="K18" s="57" t="s">
        <v>0</v>
      </c>
      <c r="L18" s="57" t="s">
        <v>1</v>
      </c>
      <c r="M18" s="28" t="s">
        <v>191</v>
      </c>
      <c r="N18" s="28" t="s">
        <v>192</v>
      </c>
      <c r="O18" s="28" t="s">
        <v>193</v>
      </c>
      <c r="Q18" s="28"/>
      <c r="R18" s="28" t="s">
        <v>76</v>
      </c>
      <c r="S18" s="28" t="s">
        <v>4</v>
      </c>
      <c r="T18" s="57" t="s">
        <v>0</v>
      </c>
      <c r="U18" s="28" t="s">
        <v>62</v>
      </c>
      <c r="V18" s="57" t="s">
        <v>222</v>
      </c>
      <c r="W18" s="57" t="s">
        <v>190</v>
      </c>
      <c r="X18" s="57" t="s">
        <v>194</v>
      </c>
      <c r="Y18" s="28" t="s">
        <v>195</v>
      </c>
      <c r="Z18" s="12"/>
      <c r="AA18" s="28" t="s">
        <v>0</v>
      </c>
      <c r="AB18" s="28" t="s">
        <v>196</v>
      </c>
      <c r="AC18" s="57" t="s">
        <v>1</v>
      </c>
      <c r="AD18" s="57" t="s">
        <v>197</v>
      </c>
      <c r="AE18" s="57" t="s">
        <v>198</v>
      </c>
      <c r="AF18" s="60"/>
      <c r="AG18" s="28" t="s">
        <v>0</v>
      </c>
      <c r="AH18" s="28" t="s">
        <v>196</v>
      </c>
      <c r="AI18" s="57" t="s">
        <v>1</v>
      </c>
      <c r="AJ18" s="57" t="s">
        <v>197</v>
      </c>
      <c r="AK18" s="57" t="s">
        <v>198</v>
      </c>
      <c r="AM18" s="28" t="s">
        <v>0</v>
      </c>
      <c r="AN18" s="28" t="s">
        <v>196</v>
      </c>
      <c r="AO18" s="57" t="s">
        <v>1</v>
      </c>
      <c r="AP18" s="57" t="s">
        <v>197</v>
      </c>
      <c r="AQ18" s="57" t="s">
        <v>198</v>
      </c>
      <c r="AS18" s="57" t="s">
        <v>199</v>
      </c>
      <c r="AT18" s="28" t="s">
        <v>191</v>
      </c>
      <c r="AU18" s="28" t="s">
        <v>192</v>
      </c>
      <c r="AV18" s="28" t="s">
        <v>193</v>
      </c>
    </row>
    <row r="19" spans="1:48" ht="12.75" x14ac:dyDescent="0.2">
      <c r="A19" s="45" t="s">
        <v>216</v>
      </c>
      <c r="B19" s="52">
        <v>100</v>
      </c>
      <c r="C19" s="54">
        <v>0.02</v>
      </c>
      <c r="D19" s="126">
        <v>0.04</v>
      </c>
      <c r="E19" s="97">
        <v>0.08</v>
      </c>
      <c r="F19" s="97">
        <v>0.16</v>
      </c>
      <c r="G19" s="97">
        <v>0.01</v>
      </c>
      <c r="H19" s="97"/>
      <c r="I19" s="135" t="s">
        <v>75</v>
      </c>
      <c r="J19" s="135" t="s">
        <v>78</v>
      </c>
      <c r="K19" s="52">
        <v>100</v>
      </c>
      <c r="L19" s="52">
        <v>600</v>
      </c>
      <c r="M19" s="126">
        <v>0.5</v>
      </c>
      <c r="N19" s="97">
        <v>0.3</v>
      </c>
      <c r="O19" s="97">
        <v>0.2</v>
      </c>
      <c r="Q19" s="45" t="s">
        <v>216</v>
      </c>
      <c r="R19" s="45" t="s">
        <v>75</v>
      </c>
      <c r="S19" s="133" t="s">
        <v>78</v>
      </c>
      <c r="T19" s="124">
        <f>K19</f>
        <v>100</v>
      </c>
      <c r="U19" s="30">
        <f>V19/T19</f>
        <v>6</v>
      </c>
      <c r="V19" s="124">
        <f>L19</f>
        <v>600</v>
      </c>
      <c r="W19" s="124">
        <f>T19 * (1 - ABS(C19))</f>
        <v>98</v>
      </c>
      <c r="X19" s="154" t="s">
        <v>34</v>
      </c>
      <c r="Y19" s="154" t="s">
        <v>34</v>
      </c>
      <c r="Z19" s="12"/>
      <c r="AA19" s="124">
        <f>T19</f>
        <v>100</v>
      </c>
      <c r="AB19" s="30">
        <f>U19*M19</f>
        <v>3</v>
      </c>
      <c r="AC19" s="125">
        <f>V19*M19</f>
        <v>300</v>
      </c>
      <c r="AD19" s="125">
        <f>AA19 * (1 + D19) / (1 - G19)</f>
        <v>105.05050505050505</v>
      </c>
      <c r="AE19" s="126">
        <f>(B19 - AD19) / AD19</f>
        <v>-4.8076923076923087E-2</v>
      </c>
      <c r="AF19" s="30"/>
      <c r="AG19" s="124">
        <f>T19</f>
        <v>100</v>
      </c>
      <c r="AH19" s="30">
        <f>U19*N19</f>
        <v>1.7999999999999998</v>
      </c>
      <c r="AI19" s="125">
        <f>V19*N19</f>
        <v>180</v>
      </c>
      <c r="AJ19" s="125">
        <f>AG19 * (1 + E19) / (1 - G19)</f>
        <v>109.09090909090909</v>
      </c>
      <c r="AK19" s="126">
        <f>(B19 - AJ19) / AJ19</f>
        <v>-8.3333333333333356E-2</v>
      </c>
      <c r="AM19" s="124">
        <f>T19</f>
        <v>100</v>
      </c>
      <c r="AN19" s="30">
        <f>U19*O19</f>
        <v>1.2000000000000002</v>
      </c>
      <c r="AO19" s="125">
        <f>V19*O19</f>
        <v>120</v>
      </c>
      <c r="AP19" s="125">
        <f>AM19 * (1 + F19) / (1 - G19)</f>
        <v>117.17171717171716</v>
      </c>
      <c r="AQ19" s="126">
        <f>(B19 - AP19) / AP19</f>
        <v>-0.14655172413793097</v>
      </c>
      <c r="AS19" s="32">
        <f>AB19+AH19+AN19</f>
        <v>6</v>
      </c>
      <c r="AT19" s="32">
        <f>AB19</f>
        <v>3</v>
      </c>
      <c r="AU19" s="32">
        <f>AH19</f>
        <v>1.7999999999999998</v>
      </c>
      <c r="AV19" s="32">
        <f>AN19</f>
        <v>1.2000000000000002</v>
      </c>
    </row>
    <row r="20" spans="1:48" ht="12.75" x14ac:dyDescent="0.2">
      <c r="A20" s="47" t="s">
        <v>220</v>
      </c>
      <c r="B20" s="40">
        <v>110</v>
      </c>
      <c r="C20" s="55">
        <v>0.02</v>
      </c>
      <c r="D20" s="131">
        <v>0.04</v>
      </c>
      <c r="E20" s="127">
        <v>0.08</v>
      </c>
      <c r="F20" s="127">
        <v>0.16</v>
      </c>
      <c r="G20" s="127">
        <v>0.01</v>
      </c>
      <c r="H20" s="127"/>
      <c r="I20" s="136" t="s">
        <v>73</v>
      </c>
      <c r="J20" s="136" t="s">
        <v>221</v>
      </c>
      <c r="K20" s="40">
        <v>110</v>
      </c>
      <c r="L20" s="155" t="s">
        <v>34</v>
      </c>
      <c r="M20" s="131">
        <v>0.5</v>
      </c>
      <c r="N20" s="155" t="s">
        <v>34</v>
      </c>
      <c r="O20" s="155" t="s">
        <v>34</v>
      </c>
      <c r="P20" s="35"/>
      <c r="Q20" s="47" t="s">
        <v>220</v>
      </c>
      <c r="R20" s="47" t="s">
        <v>73</v>
      </c>
      <c r="S20" s="134" t="s">
        <v>221</v>
      </c>
      <c r="T20" s="128">
        <f>K20</f>
        <v>110</v>
      </c>
      <c r="U20" s="43">
        <f>AB19*M20</f>
        <v>1.5</v>
      </c>
      <c r="V20" s="128">
        <f>T20*U20-(T20*U20*G20)</f>
        <v>163.35</v>
      </c>
      <c r="W20" s="155" t="s">
        <v>34</v>
      </c>
      <c r="X20" s="129">
        <f>V20-(T19*U20)</f>
        <v>13.349999999999994</v>
      </c>
      <c r="Y20" s="153">
        <f>X20/(T19*U20)</f>
        <v>8.8999999999999968E-2</v>
      </c>
      <c r="Z20" s="41"/>
      <c r="AA20" s="128">
        <f>T21</f>
        <v>100</v>
      </c>
      <c r="AB20" s="43">
        <f>AB19-U20</f>
        <v>1.5</v>
      </c>
      <c r="AC20" s="130">
        <f>AC19*M20</f>
        <v>150</v>
      </c>
      <c r="AD20" s="130">
        <f>AA20 * (1 + D20) / (1 - G20)</f>
        <v>105.05050505050505</v>
      </c>
      <c r="AE20" s="158">
        <f>(B20 - AD20) / AD20</f>
        <v>4.7115384615384601E-2</v>
      </c>
      <c r="AF20" s="43"/>
      <c r="AG20" s="128">
        <f>T21</f>
        <v>100</v>
      </c>
      <c r="AH20" s="43">
        <f>AH19</f>
        <v>1.7999999999999998</v>
      </c>
      <c r="AI20" s="130">
        <f>AI19</f>
        <v>180</v>
      </c>
      <c r="AJ20" s="130">
        <f>AG20 * (1 + E20) / (1 - G20)</f>
        <v>109.09090909090909</v>
      </c>
      <c r="AK20" s="158">
        <f>(B20 - AJ20) / AJ20</f>
        <v>8.3333333333333089E-3</v>
      </c>
      <c r="AL20" s="35"/>
      <c r="AM20" s="128">
        <f>T21</f>
        <v>100</v>
      </c>
      <c r="AN20" s="43">
        <f>AN19</f>
        <v>1.2000000000000002</v>
      </c>
      <c r="AO20" s="130">
        <f>AO19</f>
        <v>120</v>
      </c>
      <c r="AP20" s="130">
        <f>AM20 * (1 + F20) / (1 - G20)</f>
        <v>117.17171717171716</v>
      </c>
      <c r="AQ20" s="131">
        <f>(B20 - AP20) / AP20</f>
        <v>-6.1206896551724066E-2</v>
      </c>
      <c r="AR20" s="35"/>
      <c r="AS20" s="39">
        <f>AB20+AH20+AN20</f>
        <v>4.5</v>
      </c>
      <c r="AT20" s="39">
        <f>AB20</f>
        <v>1.5</v>
      </c>
      <c r="AU20" s="39">
        <f>AH20</f>
        <v>1.7999999999999998</v>
      </c>
      <c r="AV20" s="39">
        <f>AN20</f>
        <v>1.2000000000000002</v>
      </c>
    </row>
    <row r="21" spans="1:48" ht="12.75" x14ac:dyDescent="0.2">
      <c r="A21" s="47"/>
      <c r="B21" s="40"/>
      <c r="C21" s="55"/>
      <c r="D21" s="131"/>
      <c r="E21" s="127"/>
      <c r="F21" s="127"/>
      <c r="G21" s="127"/>
      <c r="H21" s="127"/>
      <c r="I21" s="136"/>
      <c r="J21" s="136"/>
      <c r="K21" s="40"/>
      <c r="L21" s="40"/>
      <c r="M21" s="131"/>
      <c r="N21" s="127"/>
      <c r="O21" s="127"/>
      <c r="P21" s="35"/>
      <c r="Q21" s="47" t="s">
        <v>216</v>
      </c>
      <c r="R21" s="47" t="s">
        <v>75</v>
      </c>
      <c r="S21" s="134" t="s">
        <v>78</v>
      </c>
      <c r="T21" s="128">
        <f>T19</f>
        <v>100</v>
      </c>
      <c r="U21" s="43">
        <f>U19</f>
        <v>6</v>
      </c>
      <c r="V21" s="128">
        <f>V19</f>
        <v>600</v>
      </c>
      <c r="W21" s="128">
        <f>W19</f>
        <v>98</v>
      </c>
      <c r="X21" s="155" t="s">
        <v>34</v>
      </c>
      <c r="Y21" s="155" t="s">
        <v>34</v>
      </c>
      <c r="Z21" s="41"/>
      <c r="AA21" s="128"/>
      <c r="AB21" s="43"/>
      <c r="AC21" s="130"/>
      <c r="AD21" s="130"/>
      <c r="AE21" s="131"/>
      <c r="AF21" s="43"/>
      <c r="AG21" s="128"/>
      <c r="AH21" s="43"/>
      <c r="AI21" s="130"/>
      <c r="AJ21" s="130"/>
      <c r="AK21" s="131"/>
      <c r="AL21" s="35"/>
      <c r="AM21" s="128"/>
      <c r="AN21" s="43"/>
      <c r="AO21" s="130"/>
      <c r="AP21" s="130"/>
      <c r="AQ21" s="131"/>
      <c r="AR21" s="35"/>
      <c r="AS21" s="39"/>
      <c r="AT21" s="39"/>
      <c r="AU21" s="39"/>
      <c r="AV21" s="39"/>
    </row>
    <row r="22" spans="1:48" ht="12.75" x14ac:dyDescent="0.2">
      <c r="A22" s="45" t="s">
        <v>223</v>
      </c>
      <c r="B22" s="52">
        <v>90</v>
      </c>
      <c r="C22" s="54">
        <v>0.02</v>
      </c>
      <c r="D22" s="126">
        <v>0.04</v>
      </c>
      <c r="E22" s="97">
        <v>0.08</v>
      </c>
      <c r="F22" s="97">
        <v>0.16</v>
      </c>
      <c r="G22" s="97">
        <v>0.01</v>
      </c>
      <c r="H22" s="97"/>
      <c r="I22" s="135" t="s">
        <v>73</v>
      </c>
      <c r="J22" s="135" t="s">
        <v>221</v>
      </c>
      <c r="K22" s="52">
        <v>90</v>
      </c>
      <c r="L22" s="154" t="s">
        <v>34</v>
      </c>
      <c r="M22" s="154" t="s">
        <v>34</v>
      </c>
      <c r="N22" s="97">
        <v>1</v>
      </c>
      <c r="O22" s="154" t="s">
        <v>34</v>
      </c>
      <c r="Q22" s="45" t="s">
        <v>223</v>
      </c>
      <c r="R22" s="45" t="s">
        <v>73</v>
      </c>
      <c r="S22" s="132" t="s">
        <v>221</v>
      </c>
      <c r="T22" s="124">
        <f>K22</f>
        <v>90</v>
      </c>
      <c r="U22" s="30">
        <f>AH20*N22</f>
        <v>1.7999999999999998</v>
      </c>
      <c r="V22" s="124">
        <f>T22*U22-(T22*U22*G22)</f>
        <v>160.37999999999997</v>
      </c>
      <c r="W22" s="154" t="s">
        <v>34</v>
      </c>
      <c r="X22" s="154">
        <f>V22-(T21*U22)</f>
        <v>-19.620000000000005</v>
      </c>
      <c r="Y22" s="162">
        <f>X22/(T21*U22)</f>
        <v>-0.10900000000000004</v>
      </c>
      <c r="Z22" s="12"/>
      <c r="AA22" s="124">
        <f>AA20</f>
        <v>100</v>
      </c>
      <c r="AB22" s="30">
        <f>AB20</f>
        <v>1.5</v>
      </c>
      <c r="AC22" s="125">
        <f>AC20</f>
        <v>150</v>
      </c>
      <c r="AD22" s="125">
        <f>AD20</f>
        <v>105.05050505050505</v>
      </c>
      <c r="AE22" s="126">
        <f>(B22 - AD22) / AD22</f>
        <v>-0.14326923076923079</v>
      </c>
      <c r="AF22" s="30"/>
      <c r="AG22" s="164">
        <f>AG20</f>
        <v>100</v>
      </c>
      <c r="AH22" s="165">
        <f>AH20</f>
        <v>1.7999999999999998</v>
      </c>
      <c r="AI22" s="166">
        <f>AI20</f>
        <v>180</v>
      </c>
      <c r="AJ22" s="166">
        <f>AJ20</f>
        <v>109.09090909090909</v>
      </c>
      <c r="AK22" s="150">
        <f>AK20</f>
        <v>8.3333333333333089E-3</v>
      </c>
      <c r="AM22" s="124">
        <f>AM20</f>
        <v>100</v>
      </c>
      <c r="AN22" s="30">
        <f>AN20</f>
        <v>1.2000000000000002</v>
      </c>
      <c r="AO22" s="125">
        <f>AO20</f>
        <v>120</v>
      </c>
      <c r="AP22" s="125">
        <f>AP20</f>
        <v>117.17171717171716</v>
      </c>
      <c r="AQ22" s="126">
        <f>(B22 - AP22) / AP22</f>
        <v>-0.23189655172413787</v>
      </c>
      <c r="AS22" s="32">
        <f>AT22+AU22+AV22</f>
        <v>2.7</v>
      </c>
      <c r="AT22" s="32">
        <f>AB22</f>
        <v>1.5</v>
      </c>
      <c r="AU22" s="32">
        <v>0</v>
      </c>
      <c r="AV22" s="32">
        <f>AN22</f>
        <v>1.2000000000000002</v>
      </c>
    </row>
    <row r="23" spans="1:48" ht="12.75" x14ac:dyDescent="0.2">
      <c r="B23" s="52"/>
      <c r="C23" s="97"/>
      <c r="H23" s="97"/>
      <c r="I23" s="97"/>
      <c r="J23" s="97"/>
      <c r="K23" s="52"/>
      <c r="L23" s="52"/>
      <c r="M23" s="97"/>
      <c r="N23" s="97"/>
      <c r="O23" s="97"/>
      <c r="Q23" s="46" t="str">
        <f>Q20</f>
        <v>SellA</v>
      </c>
      <c r="R23" s="46" t="str">
        <f>R20</f>
        <v>Sell</v>
      </c>
      <c r="S23" s="132" t="s">
        <v>221</v>
      </c>
      <c r="T23" s="124">
        <f t="shared" ref="T23:V23" si="2">T20</f>
        <v>110</v>
      </c>
      <c r="U23" s="30">
        <f t="shared" si="2"/>
        <v>1.5</v>
      </c>
      <c r="V23" s="124">
        <f t="shared" si="2"/>
        <v>163.35</v>
      </c>
      <c r="W23" s="154" t="s">
        <v>34</v>
      </c>
      <c r="X23" s="154">
        <f>X20</f>
        <v>13.349999999999994</v>
      </c>
      <c r="Y23" s="163">
        <f>Y20</f>
        <v>8.8999999999999968E-2</v>
      </c>
      <c r="Z23" s="12"/>
      <c r="AA23" s="124"/>
      <c r="AB23" s="30"/>
      <c r="AC23" s="159"/>
      <c r="AD23" s="159"/>
      <c r="AE23" s="126"/>
      <c r="AF23" s="30"/>
      <c r="AG23" s="63"/>
      <c r="AH23" s="32"/>
      <c r="AI23" s="63"/>
      <c r="AJ23" s="63"/>
      <c r="AK23" s="62"/>
      <c r="AM23" s="160"/>
      <c r="AN23" s="161"/>
      <c r="AO23" s="161"/>
      <c r="AP23" s="161"/>
      <c r="AQ23" s="161"/>
    </row>
    <row r="24" spans="1:48" ht="12.75" x14ac:dyDescent="0.2">
      <c r="B24" s="52"/>
      <c r="C24" s="97"/>
      <c r="D24" s="29"/>
      <c r="E24" s="50"/>
      <c r="G24" s="50"/>
      <c r="H24" s="50"/>
      <c r="I24" s="50"/>
      <c r="J24" s="50"/>
      <c r="K24" s="52"/>
      <c r="L24" s="52"/>
      <c r="M24" s="50"/>
      <c r="N24" s="50"/>
      <c r="O24" s="50"/>
      <c r="Q24" s="46" t="str">
        <f>Q21</f>
        <v>BuyA</v>
      </c>
      <c r="R24" s="46" t="str">
        <f>R21</f>
        <v>Buy</v>
      </c>
      <c r="S24" s="132" t="s">
        <v>78</v>
      </c>
      <c r="T24" s="124">
        <f>T21</f>
        <v>100</v>
      </c>
      <c r="U24" s="30">
        <f>U21</f>
        <v>6</v>
      </c>
      <c r="V24" s="124">
        <f>V21</f>
        <v>600</v>
      </c>
      <c r="W24" s="167">
        <f>W21</f>
        <v>98</v>
      </c>
      <c r="X24" s="154" t="s">
        <v>34</v>
      </c>
      <c r="Y24" s="154" t="s">
        <v>34</v>
      </c>
      <c r="Z24" s="12"/>
      <c r="AA24" s="63"/>
      <c r="AF24" s="30"/>
      <c r="AG24" s="13"/>
      <c r="AH24" s="13"/>
      <c r="AI24" s="13"/>
      <c r="AJ24" s="13"/>
      <c r="AK24" s="30"/>
      <c r="AM24" s="124"/>
      <c r="AN24" s="13"/>
      <c r="AO24" s="13"/>
      <c r="AP24" s="13"/>
      <c r="AQ24" s="30"/>
    </row>
    <row r="25" spans="1:48" s="35" customFormat="1" ht="12.75" x14ac:dyDescent="0.2">
      <c r="A25" s="47" t="s">
        <v>227</v>
      </c>
      <c r="B25" s="40">
        <v>90</v>
      </c>
      <c r="C25" s="55">
        <v>0.02</v>
      </c>
      <c r="D25" s="131">
        <v>0.04</v>
      </c>
      <c r="E25" s="127">
        <v>0.08</v>
      </c>
      <c r="F25" s="127">
        <v>0.16</v>
      </c>
      <c r="G25" s="127">
        <v>0.01</v>
      </c>
      <c r="H25" s="51"/>
      <c r="I25" s="170" t="s">
        <v>228</v>
      </c>
      <c r="J25" s="170" t="s">
        <v>211</v>
      </c>
      <c r="K25" s="40">
        <v>95</v>
      </c>
      <c r="L25" s="155" t="s">
        <v>34</v>
      </c>
      <c r="M25" s="155" t="s">
        <v>34</v>
      </c>
      <c r="N25" s="127">
        <v>0.5</v>
      </c>
      <c r="O25" s="155" t="s">
        <v>34</v>
      </c>
      <c r="Q25" s="47" t="str">
        <f>Q22</f>
        <v>SellB</v>
      </c>
      <c r="R25" s="47" t="str">
        <f>R22</f>
        <v>Sell</v>
      </c>
      <c r="S25" s="134" t="s">
        <v>211</v>
      </c>
      <c r="T25" s="128">
        <f>K25</f>
        <v>95</v>
      </c>
      <c r="U25" s="43">
        <f>AH20*N25</f>
        <v>0.89999999999999991</v>
      </c>
      <c r="V25" s="128">
        <f>T25*U25-(T25*U25*G25)</f>
        <v>84.644999999999982</v>
      </c>
      <c r="W25" s="155" t="s">
        <v>34</v>
      </c>
      <c r="X25" s="129">
        <f>V25-(T24*U25)</f>
        <v>-5.355000000000004</v>
      </c>
      <c r="Y25" s="153">
        <f>X25/(T24*U25)</f>
        <v>-5.9500000000000053E-2</v>
      </c>
      <c r="Z25" s="41"/>
      <c r="AA25" s="128">
        <f>AA22</f>
        <v>100</v>
      </c>
      <c r="AB25" s="43">
        <f>AB22</f>
        <v>1.5</v>
      </c>
      <c r="AC25" s="130">
        <f>AC22</f>
        <v>150</v>
      </c>
      <c r="AD25" s="130">
        <f>AD22</f>
        <v>105.05050505050505</v>
      </c>
      <c r="AE25" s="209">
        <f>(B25 - AD25) / AD25</f>
        <v>-0.14326923076923079</v>
      </c>
      <c r="AF25" s="43"/>
      <c r="AG25" s="128">
        <f>AG22</f>
        <v>100</v>
      </c>
      <c r="AH25" s="43">
        <f>AH22*N25</f>
        <v>0.89999999999999991</v>
      </c>
      <c r="AI25" s="130">
        <f>AI22*N25</f>
        <v>90</v>
      </c>
      <c r="AJ25" s="130">
        <f>AG25 * (1 + E25) / (1 - G25)</f>
        <v>109.09090909090909</v>
      </c>
      <c r="AK25" s="209">
        <f>(B25 - AJ25) / AJ25</f>
        <v>-0.17500000000000002</v>
      </c>
      <c r="AM25" s="128">
        <f>AM22</f>
        <v>100</v>
      </c>
      <c r="AN25" s="43">
        <f>AN22</f>
        <v>1.2000000000000002</v>
      </c>
      <c r="AO25" s="130">
        <f>AO22</f>
        <v>120</v>
      </c>
      <c r="AP25" s="130">
        <f>AP22</f>
        <v>117.17171717171716</v>
      </c>
      <c r="AQ25" s="131">
        <f>AQ22</f>
        <v>-0.23189655172413787</v>
      </c>
      <c r="AS25" s="39">
        <f>AT25+AU25+AV25</f>
        <v>3.6</v>
      </c>
      <c r="AT25" s="39">
        <f>AB25</f>
        <v>1.5</v>
      </c>
      <c r="AU25" s="39">
        <f>AH25</f>
        <v>0.89999999999999991</v>
      </c>
      <c r="AV25" s="39">
        <f>AN25</f>
        <v>1.2000000000000002</v>
      </c>
    </row>
    <row r="26" spans="1:48" s="35" customFormat="1" ht="12.75" x14ac:dyDescent="0.2">
      <c r="B26" s="40"/>
      <c r="C26" s="127"/>
      <c r="D26" s="37"/>
      <c r="E26" s="51"/>
      <c r="G26" s="51"/>
      <c r="H26" s="51"/>
      <c r="I26" s="51"/>
      <c r="J26" s="51"/>
      <c r="K26" s="40"/>
      <c r="L26" s="40"/>
      <c r="M26" s="51"/>
      <c r="N26" s="51"/>
      <c r="O26" s="51"/>
      <c r="Q26" s="47" t="str">
        <f>Q23</f>
        <v>SellA</v>
      </c>
      <c r="R26" s="47" t="str">
        <f>R23</f>
        <v>Sell</v>
      </c>
      <c r="S26" s="134" t="s">
        <v>221</v>
      </c>
      <c r="T26" s="128">
        <f>T23</f>
        <v>110</v>
      </c>
      <c r="U26" s="43">
        <f>U23</f>
        <v>1.5</v>
      </c>
      <c r="V26" s="128">
        <f>V23</f>
        <v>163.35</v>
      </c>
      <c r="W26" s="155" t="s">
        <v>34</v>
      </c>
      <c r="X26" s="129">
        <f>X23</f>
        <v>13.349999999999994</v>
      </c>
      <c r="Y26" s="153">
        <f>Y23</f>
        <v>8.8999999999999968E-2</v>
      </c>
      <c r="Z26" s="41"/>
      <c r="AA26" s="65"/>
      <c r="AF26" s="43"/>
      <c r="AG26" s="42"/>
      <c r="AH26" s="42"/>
      <c r="AI26" s="42"/>
      <c r="AJ26" s="42"/>
      <c r="AK26" s="43"/>
      <c r="AM26" s="128"/>
      <c r="AN26" s="42"/>
      <c r="AO26" s="42"/>
      <c r="AP26" s="42"/>
      <c r="AQ26" s="43"/>
    </row>
    <row r="27" spans="1:48" s="35" customFormat="1" ht="12.75" x14ac:dyDescent="0.2">
      <c r="B27" s="40"/>
      <c r="C27" s="127"/>
      <c r="D27" s="37"/>
      <c r="E27" s="51"/>
      <c r="G27" s="51"/>
      <c r="H27" s="51"/>
      <c r="I27" s="51"/>
      <c r="J27" s="51"/>
      <c r="K27" s="40"/>
      <c r="L27" s="40"/>
      <c r="M27" s="51"/>
      <c r="N27" s="51"/>
      <c r="O27" s="51"/>
      <c r="Q27" s="47" t="str">
        <f>Q24</f>
        <v>BuyA</v>
      </c>
      <c r="R27" s="47" t="str">
        <f>R24</f>
        <v>Buy</v>
      </c>
      <c r="S27" s="134" t="s">
        <v>78</v>
      </c>
      <c r="T27" s="128">
        <f>T24</f>
        <v>100</v>
      </c>
      <c r="U27" s="43">
        <f>U24</f>
        <v>6</v>
      </c>
      <c r="V27" s="128">
        <f>V24</f>
        <v>600</v>
      </c>
      <c r="W27" s="169">
        <f>W24</f>
        <v>98</v>
      </c>
      <c r="X27" s="155" t="s">
        <v>34</v>
      </c>
      <c r="Y27" s="155" t="s">
        <v>34</v>
      </c>
      <c r="Z27" s="41"/>
      <c r="AA27" s="65"/>
      <c r="AF27" s="43"/>
      <c r="AG27" s="42"/>
      <c r="AH27" s="42"/>
      <c r="AI27" s="42"/>
      <c r="AJ27" s="42"/>
      <c r="AK27" s="43"/>
      <c r="AM27" s="128"/>
      <c r="AN27" s="42"/>
      <c r="AO27" s="42"/>
      <c r="AP27" s="42"/>
      <c r="AQ27" s="43"/>
    </row>
    <row r="28" spans="1:48" s="175" customFormat="1" ht="12.75" x14ac:dyDescent="0.2">
      <c r="A28" s="171" t="s">
        <v>217</v>
      </c>
      <c r="B28" s="172">
        <v>100</v>
      </c>
      <c r="C28" s="62">
        <v>0.02</v>
      </c>
      <c r="D28" s="173">
        <v>0.04</v>
      </c>
      <c r="E28" s="174">
        <v>0.08</v>
      </c>
      <c r="F28" s="174">
        <v>0.16</v>
      </c>
      <c r="G28" s="174">
        <v>0.01</v>
      </c>
      <c r="I28" s="171" t="s">
        <v>75</v>
      </c>
      <c r="J28" s="171" t="s">
        <v>215</v>
      </c>
      <c r="K28" s="172">
        <v>100</v>
      </c>
      <c r="L28" s="172">
        <v>400</v>
      </c>
      <c r="M28" s="173">
        <v>0.4</v>
      </c>
      <c r="N28" s="174">
        <v>0.4</v>
      </c>
      <c r="O28" s="174">
        <v>0.2</v>
      </c>
      <c r="Q28" s="176" t="s">
        <v>217</v>
      </c>
      <c r="R28" s="176" t="s">
        <v>75</v>
      </c>
      <c r="S28" s="176" t="s">
        <v>215</v>
      </c>
      <c r="T28" s="177">
        <f>K28</f>
        <v>100</v>
      </c>
      <c r="U28" s="178">
        <f>V28/T28</f>
        <v>4</v>
      </c>
      <c r="V28" s="177">
        <f>L28</f>
        <v>400</v>
      </c>
      <c r="W28" s="177">
        <f>T28 * (1 - ABS(C28))</f>
        <v>98</v>
      </c>
      <c r="X28" s="179" t="s">
        <v>34</v>
      </c>
      <c r="Y28" s="179" t="s">
        <v>34</v>
      </c>
      <c r="Z28" s="180"/>
      <c r="AA28" s="181">
        <f>AA22</f>
        <v>100</v>
      </c>
      <c r="AB28" s="182">
        <f>AB22+(U28*M28)</f>
        <v>3.1</v>
      </c>
      <c r="AC28" s="181">
        <f>AC22+(V28*M28)</f>
        <v>310</v>
      </c>
      <c r="AD28" s="181">
        <f>AA28 * (1 + D28) / (1 - G28)</f>
        <v>105.05050505050505</v>
      </c>
      <c r="AE28" s="183">
        <f>(B28 - AD28) / AD28</f>
        <v>-4.8076923076923087E-2</v>
      </c>
      <c r="AF28" s="182"/>
      <c r="AG28" s="181">
        <f>T28</f>
        <v>100</v>
      </c>
      <c r="AH28" s="182">
        <f>AH25+(U28*N28)</f>
        <v>2.5</v>
      </c>
      <c r="AI28" s="181">
        <f>AI25+(V28*M28)</f>
        <v>250</v>
      </c>
      <c r="AJ28" s="181">
        <f>AG28 * (1 + E28) / (1 - G28)</f>
        <v>109.09090909090909</v>
      </c>
      <c r="AK28" s="183">
        <f>(B28 - AJ28) / AJ28</f>
        <v>-8.3333333333333356E-2</v>
      </c>
      <c r="AL28" s="171"/>
      <c r="AM28" s="181">
        <f>T28</f>
        <v>100</v>
      </c>
      <c r="AN28" s="182">
        <f>AN25+(U28*O28)</f>
        <v>2</v>
      </c>
      <c r="AO28" s="181">
        <f>AO25+(V28*O28)</f>
        <v>200</v>
      </c>
      <c r="AP28" s="181">
        <f>AM28 * (1 + F28) / (1 - G28)</f>
        <v>117.17171717171716</v>
      </c>
      <c r="AQ28" s="173">
        <f>(B28 - AP28) / AP28</f>
        <v>-0.14655172413793097</v>
      </c>
      <c r="AR28" s="171"/>
      <c r="AS28" s="184">
        <f>AT28+AU28+AV28</f>
        <v>7.6</v>
      </c>
      <c r="AT28" s="184">
        <f>AB28</f>
        <v>3.1</v>
      </c>
      <c r="AU28" s="184">
        <f>AH28</f>
        <v>2.5</v>
      </c>
      <c r="AV28" s="184">
        <f>AN28</f>
        <v>2</v>
      </c>
    </row>
    <row r="29" spans="1:48" s="175" customFormat="1" ht="12.75" x14ac:dyDescent="0.2">
      <c r="A29" s="171"/>
      <c r="B29" s="172"/>
      <c r="C29" s="174"/>
      <c r="D29" s="173"/>
      <c r="E29" s="174"/>
      <c r="F29" s="174"/>
      <c r="G29" s="174"/>
      <c r="K29" s="172"/>
      <c r="L29" s="172"/>
      <c r="M29" s="173"/>
      <c r="N29" s="174"/>
      <c r="O29" s="174"/>
      <c r="Q29" s="176" t="s">
        <v>223</v>
      </c>
      <c r="R29" s="176" t="s">
        <v>73</v>
      </c>
      <c r="S29" s="176" t="s">
        <v>211</v>
      </c>
      <c r="T29" s="177">
        <f>T25</f>
        <v>95</v>
      </c>
      <c r="U29" s="178">
        <f>U25</f>
        <v>0.89999999999999991</v>
      </c>
      <c r="V29" s="177">
        <f>V25</f>
        <v>84.644999999999982</v>
      </c>
      <c r="W29" s="185" t="str">
        <f>W22</f>
        <v>-</v>
      </c>
      <c r="X29" s="179">
        <f>X25</f>
        <v>-5.355000000000004</v>
      </c>
      <c r="Y29" s="163">
        <f>Y25</f>
        <v>-5.9500000000000053E-2</v>
      </c>
      <c r="Z29" s="180"/>
      <c r="AA29" s="181"/>
      <c r="AB29" s="182"/>
      <c r="AC29" s="181"/>
      <c r="AD29" s="159"/>
      <c r="AE29" s="173"/>
      <c r="AF29" s="182"/>
      <c r="AG29" s="181"/>
      <c r="AH29" s="182"/>
      <c r="AI29" s="181"/>
      <c r="AJ29" s="181"/>
      <c r="AK29" s="173"/>
      <c r="AL29" s="171"/>
      <c r="AM29" s="186"/>
      <c r="AN29" s="187"/>
      <c r="AO29" s="187"/>
      <c r="AP29" s="187"/>
      <c r="AQ29" s="187"/>
      <c r="AR29" s="171"/>
      <c r="AS29" s="171"/>
      <c r="AT29" s="184"/>
      <c r="AU29" s="184"/>
      <c r="AV29" s="184"/>
    </row>
    <row r="30" spans="1:48" s="175" customFormat="1" ht="12.75" x14ac:dyDescent="0.2">
      <c r="A30" s="171"/>
      <c r="B30" s="172"/>
      <c r="C30" s="174"/>
      <c r="D30" s="173"/>
      <c r="E30" s="174"/>
      <c r="F30" s="174"/>
      <c r="G30" s="174"/>
      <c r="K30" s="172"/>
      <c r="L30" s="172"/>
      <c r="M30" s="173"/>
      <c r="N30" s="174"/>
      <c r="O30" s="174"/>
      <c r="Q30" s="176" t="s">
        <v>220</v>
      </c>
      <c r="R30" s="176" t="s">
        <v>73</v>
      </c>
      <c r="S30" s="188" t="str">
        <f>S23</f>
        <v>Profit Target</v>
      </c>
      <c r="T30" s="177">
        <f>T23</f>
        <v>110</v>
      </c>
      <c r="U30" s="178">
        <f>U23</f>
        <v>1.5</v>
      </c>
      <c r="V30" s="177">
        <f>V23</f>
        <v>163.35</v>
      </c>
      <c r="W30" s="185" t="str">
        <f>W23</f>
        <v>-</v>
      </c>
      <c r="X30" s="179">
        <f>X23</f>
        <v>13.349999999999994</v>
      </c>
      <c r="Y30" s="163">
        <f>Y23</f>
        <v>8.8999999999999968E-2</v>
      </c>
      <c r="Z30" s="180"/>
      <c r="AA30" s="181"/>
      <c r="AB30" s="182"/>
      <c r="AC30" s="181"/>
      <c r="AD30" s="159"/>
      <c r="AE30" s="173"/>
      <c r="AF30" s="182"/>
      <c r="AG30" s="181"/>
      <c r="AH30" s="182"/>
      <c r="AI30" s="181"/>
      <c r="AJ30" s="181"/>
      <c r="AK30" s="62"/>
      <c r="AL30" s="171"/>
      <c r="AM30" s="181"/>
      <c r="AN30" s="182"/>
      <c r="AO30" s="181"/>
      <c r="AP30" s="181"/>
      <c r="AQ30" s="173"/>
      <c r="AR30" s="171"/>
      <c r="AS30" s="171"/>
      <c r="AT30" s="184"/>
      <c r="AU30" s="184"/>
      <c r="AV30" s="184"/>
    </row>
    <row r="31" spans="1:48" s="175" customFormat="1" ht="12.75" x14ac:dyDescent="0.2">
      <c r="A31" s="171"/>
      <c r="B31" s="172"/>
      <c r="C31" s="62"/>
      <c r="D31" s="173"/>
      <c r="E31" s="174"/>
      <c r="F31" s="174"/>
      <c r="G31" s="174"/>
      <c r="I31" s="189"/>
      <c r="J31" s="189"/>
      <c r="K31" s="190"/>
      <c r="L31" s="190"/>
      <c r="M31" s="191"/>
      <c r="N31" s="192"/>
      <c r="O31" s="192"/>
      <c r="Q31" s="176" t="s">
        <v>216</v>
      </c>
      <c r="R31" s="176" t="s">
        <v>75</v>
      </c>
      <c r="S31" s="188" t="str">
        <f>S24</f>
        <v>Initial</v>
      </c>
      <c r="T31" s="177">
        <f>T24</f>
        <v>100</v>
      </c>
      <c r="U31" s="178">
        <f>U24</f>
        <v>6</v>
      </c>
      <c r="V31" s="177">
        <f>V24</f>
        <v>600</v>
      </c>
      <c r="W31" s="177">
        <f>W24</f>
        <v>98</v>
      </c>
      <c r="X31" s="179" t="str">
        <f>X24</f>
        <v>-</v>
      </c>
      <c r="Y31" s="179" t="str">
        <f>Y24</f>
        <v>-</v>
      </c>
      <c r="Z31" s="180"/>
      <c r="AA31" s="193"/>
      <c r="AB31" s="194"/>
      <c r="AC31" s="159"/>
      <c r="AD31" s="159"/>
      <c r="AE31" s="173"/>
      <c r="AF31" s="195"/>
      <c r="AG31" s="193"/>
      <c r="AH31" s="194"/>
      <c r="AI31" s="159"/>
      <c r="AJ31" s="159"/>
      <c r="AK31" s="173"/>
      <c r="AM31" s="186"/>
      <c r="AN31" s="187"/>
      <c r="AO31" s="187"/>
      <c r="AP31" s="187"/>
      <c r="AQ31" s="187"/>
      <c r="AS31" s="196"/>
      <c r="AT31" s="196"/>
      <c r="AU31" s="196"/>
      <c r="AV31" s="196"/>
    </row>
    <row r="32" spans="1:48" s="175" customFormat="1" ht="12.75" x14ac:dyDescent="0.2">
      <c r="A32" s="171" t="s">
        <v>226</v>
      </c>
      <c r="B32" s="172"/>
      <c r="C32" s="62"/>
      <c r="D32" s="173"/>
      <c r="E32" s="174"/>
      <c r="F32" s="174"/>
      <c r="G32" s="174"/>
      <c r="I32" s="189"/>
      <c r="J32" s="189"/>
      <c r="K32" s="190"/>
      <c r="L32" s="190"/>
      <c r="M32" s="191"/>
      <c r="N32" s="192"/>
      <c r="O32" s="192"/>
      <c r="Q32" s="176"/>
      <c r="R32" s="176"/>
      <c r="S32" s="188"/>
      <c r="T32" s="177"/>
      <c r="U32" s="178"/>
      <c r="V32" s="177"/>
      <c r="W32" s="177"/>
      <c r="X32" s="179"/>
      <c r="Y32" s="179"/>
      <c r="Z32" s="180"/>
      <c r="AA32" s="193"/>
      <c r="AB32" s="194"/>
      <c r="AC32" s="159"/>
      <c r="AD32" s="159"/>
      <c r="AE32" s="173"/>
      <c r="AF32" s="195"/>
      <c r="AG32" s="193"/>
      <c r="AH32" s="194"/>
      <c r="AI32" s="159"/>
      <c r="AJ32" s="159"/>
      <c r="AK32" s="173"/>
      <c r="AM32" s="186"/>
      <c r="AN32" s="187"/>
      <c r="AO32" s="187"/>
      <c r="AP32" s="187"/>
      <c r="AQ32" s="187"/>
      <c r="AS32" s="196"/>
      <c r="AT32" s="196"/>
      <c r="AU32" s="196"/>
      <c r="AV32" s="196"/>
    </row>
    <row r="33" spans="1:62" s="175" customFormat="1" ht="12.75" x14ac:dyDescent="0.2">
      <c r="A33" s="171" t="s">
        <v>224</v>
      </c>
      <c r="B33" s="172">
        <v>100</v>
      </c>
      <c r="C33" s="62">
        <v>0.02</v>
      </c>
      <c r="D33" s="173">
        <v>0.04</v>
      </c>
      <c r="E33" s="174">
        <v>0.08</v>
      </c>
      <c r="F33" s="174">
        <v>0.16</v>
      </c>
      <c r="G33" s="174">
        <v>0.01</v>
      </c>
      <c r="I33" s="197" t="s">
        <v>225</v>
      </c>
      <c r="J33" s="179" t="s">
        <v>34</v>
      </c>
      <c r="K33" s="179" t="s">
        <v>34</v>
      </c>
      <c r="L33" s="179" t="s">
        <v>34</v>
      </c>
      <c r="M33" s="179" t="s">
        <v>34</v>
      </c>
      <c r="N33" s="179" t="s">
        <v>34</v>
      </c>
      <c r="O33" s="179" t="s">
        <v>34</v>
      </c>
      <c r="P33" s="179" t="s">
        <v>34</v>
      </c>
      <c r="Q33" s="180" t="str">
        <f>Q28</f>
        <v>BuyB</v>
      </c>
      <c r="R33" s="180" t="str">
        <f>R28</f>
        <v>Buy</v>
      </c>
      <c r="S33" s="180" t="str">
        <f>S28</f>
        <v>Entry Target</v>
      </c>
      <c r="T33" s="177">
        <f>T28</f>
        <v>100</v>
      </c>
      <c r="U33" s="178">
        <f>U28</f>
        <v>4</v>
      </c>
      <c r="V33" s="177">
        <f>V28</f>
        <v>400</v>
      </c>
      <c r="W33" s="185">
        <f>W28</f>
        <v>98</v>
      </c>
      <c r="X33" s="179" t="str">
        <f>X28</f>
        <v>-</v>
      </c>
      <c r="Y33" s="179" t="str">
        <f>Y28</f>
        <v>-</v>
      </c>
      <c r="Z33" s="180"/>
      <c r="AA33" s="193">
        <f>B33</f>
        <v>100</v>
      </c>
      <c r="AB33" s="194">
        <f>AB28+U35</f>
        <v>4.5999999999999996</v>
      </c>
      <c r="AC33" s="159">
        <f>AA33*AB33</f>
        <v>459.99999999999994</v>
      </c>
      <c r="AD33" s="159">
        <f>AA33 * (1 + D33) / (1 - G33)</f>
        <v>105.05050505050505</v>
      </c>
      <c r="AE33" s="173">
        <f>(B33 - AD33) / AD33</f>
        <v>-4.8076923076923087E-2</v>
      </c>
      <c r="AF33" s="195"/>
      <c r="AG33" s="198">
        <f>AG28</f>
        <v>100</v>
      </c>
      <c r="AH33" s="196">
        <f>AH28</f>
        <v>2.5</v>
      </c>
      <c r="AI33" s="198">
        <f>AI28</f>
        <v>250</v>
      </c>
      <c r="AJ33" s="198">
        <f>AJ28</f>
        <v>109.09090909090909</v>
      </c>
      <c r="AK33" s="62">
        <f>AK28</f>
        <v>-8.3333333333333356E-2</v>
      </c>
      <c r="AM33" s="193">
        <f>AM28</f>
        <v>100</v>
      </c>
      <c r="AN33" s="194">
        <f>AN28</f>
        <v>2</v>
      </c>
      <c r="AO33" s="159">
        <f>AO28</f>
        <v>200</v>
      </c>
      <c r="AP33" s="159">
        <f>AP28</f>
        <v>117.17171717171716</v>
      </c>
      <c r="AQ33" s="173">
        <f>AQ28</f>
        <v>-0.14655172413793097</v>
      </c>
      <c r="AS33" s="196">
        <f>AT33+AU33+AV33</f>
        <v>9.1</v>
      </c>
      <c r="AT33" s="196">
        <f>AB33</f>
        <v>4.5999999999999996</v>
      </c>
      <c r="AU33" s="196">
        <f>AH33</f>
        <v>2.5</v>
      </c>
      <c r="AV33" s="196">
        <f>AN33</f>
        <v>2</v>
      </c>
    </row>
    <row r="34" spans="1:62" s="175" customFormat="1" ht="12.75" x14ac:dyDescent="0.2">
      <c r="A34" s="199"/>
      <c r="B34" s="200"/>
      <c r="C34" s="201"/>
      <c r="D34" s="173"/>
      <c r="E34" s="174"/>
      <c r="F34" s="174"/>
      <c r="G34" s="174"/>
      <c r="K34" s="168"/>
      <c r="L34" s="168"/>
      <c r="M34" s="173"/>
      <c r="N34" s="174"/>
      <c r="O34" s="174"/>
      <c r="Q34" s="180" t="str">
        <f t="shared" ref="Q33:R35" si="3">Q29</f>
        <v>SellB</v>
      </c>
      <c r="R34" s="180" t="str">
        <f t="shared" si="3"/>
        <v>Sell</v>
      </c>
      <c r="S34" s="180" t="str">
        <f>S29</f>
        <v>Custom</v>
      </c>
      <c r="T34" s="177">
        <f t="shared" ref="T34:Y34" si="4">T29</f>
        <v>95</v>
      </c>
      <c r="U34" s="178">
        <f t="shared" si="4"/>
        <v>0.89999999999999991</v>
      </c>
      <c r="V34" s="177">
        <f t="shared" si="4"/>
        <v>84.644999999999982</v>
      </c>
      <c r="W34" s="179" t="str">
        <f t="shared" si="4"/>
        <v>-</v>
      </c>
      <c r="X34" s="177">
        <f t="shared" si="4"/>
        <v>-5.355000000000004</v>
      </c>
      <c r="Y34" s="202">
        <f t="shared" si="4"/>
        <v>-5.9500000000000053E-2</v>
      </c>
      <c r="Z34" s="180"/>
      <c r="AA34" s="203"/>
      <c r="AB34" s="203"/>
      <c r="AC34" s="203"/>
      <c r="AD34" s="203"/>
      <c r="AE34" s="195"/>
      <c r="AF34" s="195"/>
      <c r="AG34" s="203"/>
      <c r="AH34" s="203"/>
      <c r="AI34" s="203"/>
      <c r="AJ34" s="203"/>
      <c r="AK34" s="195"/>
      <c r="AM34" s="203"/>
      <c r="AN34" s="203"/>
      <c r="AO34" s="203"/>
      <c r="AP34" s="203"/>
      <c r="AQ34" s="195"/>
    </row>
    <row r="35" spans="1:62" s="175" customFormat="1" ht="12.75" x14ac:dyDescent="0.2">
      <c r="A35" s="199"/>
      <c r="B35" s="200"/>
      <c r="C35" s="201"/>
      <c r="D35" s="173"/>
      <c r="E35" s="174"/>
      <c r="F35" s="174"/>
      <c r="G35" s="174"/>
      <c r="K35" s="168"/>
      <c r="L35" s="168"/>
      <c r="M35" s="173"/>
      <c r="N35" s="174"/>
      <c r="O35" s="174"/>
      <c r="Q35" s="204" t="str">
        <f t="shared" si="3"/>
        <v>SellA</v>
      </c>
      <c r="R35" s="204" t="str">
        <f t="shared" si="3"/>
        <v>Sell</v>
      </c>
      <c r="S35" s="205" t="str">
        <f>S30</f>
        <v>Profit Target</v>
      </c>
      <c r="T35" s="206">
        <f>T30</f>
        <v>110</v>
      </c>
      <c r="U35" s="207">
        <f>U30</f>
        <v>1.5</v>
      </c>
      <c r="V35" s="206">
        <f>T35*U35-(T35*U35*G33)</f>
        <v>163.35</v>
      </c>
      <c r="W35" s="206"/>
      <c r="X35" s="206">
        <f>X30</f>
        <v>13.349999999999994</v>
      </c>
      <c r="Y35" s="208">
        <f>Y30</f>
        <v>8.8999999999999968E-2</v>
      </c>
      <c r="Z35" s="180"/>
      <c r="AA35" s="203"/>
      <c r="AB35" s="203"/>
      <c r="AC35" s="203"/>
      <c r="AD35" s="203"/>
      <c r="AE35" s="195"/>
      <c r="AF35" s="195"/>
      <c r="AG35" s="203"/>
      <c r="AH35" s="203"/>
      <c r="AI35" s="203"/>
      <c r="AJ35" s="203"/>
      <c r="AK35" s="195"/>
      <c r="AM35" s="203"/>
      <c r="AN35" s="203"/>
      <c r="AO35" s="203"/>
      <c r="AP35" s="203"/>
      <c r="AQ35" s="195"/>
    </row>
    <row r="36" spans="1:62" s="175" customFormat="1" ht="12.75" x14ac:dyDescent="0.2">
      <c r="A36" s="199"/>
      <c r="B36" s="200"/>
      <c r="C36" s="201"/>
      <c r="D36" s="173"/>
      <c r="E36" s="174"/>
      <c r="F36" s="174"/>
      <c r="G36" s="174"/>
      <c r="K36" s="168"/>
      <c r="L36" s="168"/>
      <c r="M36" s="173"/>
      <c r="N36" s="174"/>
      <c r="O36" s="174"/>
      <c r="Q36" s="180" t="str">
        <f>Q31</f>
        <v>BuyA</v>
      </c>
      <c r="R36" s="180" t="str">
        <f>R31</f>
        <v>Buy</v>
      </c>
      <c r="S36" s="188" t="str">
        <f>S31</f>
        <v>Initial</v>
      </c>
      <c r="T36" s="177">
        <f>T31</f>
        <v>100</v>
      </c>
      <c r="U36" s="178">
        <f>U31</f>
        <v>6</v>
      </c>
      <c r="V36" s="177">
        <f>V31</f>
        <v>600</v>
      </c>
      <c r="W36" s="177">
        <f>W31</f>
        <v>98</v>
      </c>
      <c r="X36" s="185" t="str">
        <f>X31</f>
        <v>-</v>
      </c>
      <c r="Y36" s="185" t="str">
        <f>Y31</f>
        <v>-</v>
      </c>
      <c r="Z36" s="180"/>
      <c r="AA36" s="203"/>
      <c r="AB36" s="203"/>
      <c r="AC36" s="203"/>
      <c r="AD36" s="203"/>
      <c r="AE36" s="195"/>
      <c r="AF36" s="195"/>
      <c r="AG36" s="203"/>
      <c r="AH36" s="203"/>
      <c r="AI36" s="203"/>
      <c r="AJ36" s="203"/>
      <c r="AK36" s="195"/>
      <c r="AM36" s="203"/>
      <c r="AN36" s="203"/>
      <c r="AO36" s="203"/>
      <c r="AP36" s="203"/>
      <c r="AQ36" s="195"/>
    </row>
    <row r="37" spans="1:62" ht="12.75" x14ac:dyDescent="0.2">
      <c r="A37" s="152"/>
      <c r="B37" s="33"/>
      <c r="C37" s="68"/>
      <c r="D37" s="126"/>
      <c r="E37" s="97"/>
      <c r="F37" s="97"/>
      <c r="G37" s="97"/>
      <c r="K37" s="94"/>
      <c r="L37" s="94"/>
      <c r="M37" s="126"/>
      <c r="N37" s="97"/>
      <c r="O37" s="97"/>
      <c r="Q37" s="12"/>
      <c r="R37" s="12"/>
      <c r="S37" s="12"/>
      <c r="T37" s="139"/>
      <c r="U37" s="140"/>
      <c r="V37" s="139"/>
      <c r="W37" s="139"/>
      <c r="X37" s="12"/>
      <c r="Y37" s="12"/>
      <c r="Z37" s="12"/>
      <c r="AA37" s="141"/>
      <c r="AB37" s="141"/>
      <c r="AC37" s="141"/>
      <c r="AD37" s="141"/>
      <c r="AE37" s="142"/>
      <c r="AF37" s="142"/>
      <c r="AG37" s="141"/>
      <c r="AH37" s="141"/>
      <c r="AI37" s="141"/>
      <c r="AJ37" s="141"/>
      <c r="AK37" s="142"/>
      <c r="AM37" s="141"/>
      <c r="AN37" s="141"/>
      <c r="AO37" s="141"/>
      <c r="AP37" s="141"/>
      <c r="AQ37" s="142"/>
    </row>
    <row r="38" spans="1:62" ht="12.75" x14ac:dyDescent="0.2">
      <c r="A38" s="152"/>
      <c r="B38" s="33"/>
      <c r="C38" s="68"/>
      <c r="D38" s="126"/>
      <c r="E38" s="97"/>
      <c r="F38" s="97"/>
      <c r="G38" s="97"/>
      <c r="K38" s="94"/>
      <c r="L38" s="94"/>
      <c r="M38" s="126"/>
      <c r="N38" s="97"/>
      <c r="O38" s="97"/>
      <c r="Q38" s="12"/>
      <c r="R38" s="12"/>
      <c r="S38" s="12"/>
      <c r="T38" s="139"/>
      <c r="U38" s="140"/>
      <c r="V38" s="139"/>
      <c r="W38" s="139"/>
      <c r="X38" s="12"/>
      <c r="Y38" s="12"/>
      <c r="Z38" s="12"/>
      <c r="AA38" s="141"/>
      <c r="AB38" s="141"/>
      <c r="AC38" s="141"/>
      <c r="AD38" s="141"/>
      <c r="AE38" s="142"/>
      <c r="AF38" s="142"/>
      <c r="AG38" s="141"/>
      <c r="AH38" s="141"/>
      <c r="AI38" s="141"/>
      <c r="AJ38" s="141"/>
      <c r="AK38" s="142"/>
      <c r="AM38" s="141"/>
      <c r="AN38" s="141"/>
      <c r="AO38" s="141"/>
      <c r="AP38" s="141"/>
      <c r="AQ38" s="142"/>
    </row>
    <row r="39" spans="1:62" ht="12.75" x14ac:dyDescent="0.2">
      <c r="A39" s="152"/>
      <c r="B39" s="33"/>
      <c r="C39" s="68"/>
      <c r="D39" s="126"/>
      <c r="E39" s="97"/>
      <c r="F39" s="97"/>
      <c r="G39" s="97"/>
      <c r="K39" s="94"/>
      <c r="L39" s="94"/>
      <c r="M39" s="126"/>
      <c r="N39" s="97"/>
      <c r="O39" s="97"/>
      <c r="Q39" s="12"/>
      <c r="R39" s="12"/>
      <c r="S39" s="12"/>
      <c r="T39" s="139"/>
      <c r="U39" s="140"/>
      <c r="V39" s="139"/>
      <c r="W39" s="139"/>
      <c r="X39" s="12"/>
      <c r="Y39" s="12"/>
      <c r="Z39" s="12"/>
      <c r="AA39" s="141"/>
      <c r="AB39" s="141"/>
      <c r="AC39" s="141"/>
      <c r="AD39" s="141"/>
      <c r="AE39" s="142"/>
      <c r="AF39" s="142"/>
      <c r="AG39" s="141"/>
      <c r="AH39" s="141"/>
      <c r="AI39" s="141"/>
      <c r="AJ39" s="141"/>
      <c r="AK39" s="142"/>
      <c r="AM39" s="141"/>
      <c r="AN39" s="141"/>
      <c r="AO39" s="141"/>
      <c r="AP39" s="141"/>
      <c r="AQ39" s="142"/>
    </row>
    <row r="40" spans="1:62" ht="12.75" x14ac:dyDescent="0.2">
      <c r="A40" s="152"/>
      <c r="B40" s="33"/>
      <c r="C40" s="68"/>
      <c r="D40" s="126"/>
      <c r="E40" s="97"/>
      <c r="F40" s="97"/>
      <c r="G40" s="97"/>
      <c r="K40" s="94"/>
      <c r="L40" s="94"/>
      <c r="M40" s="126"/>
      <c r="N40" s="97"/>
      <c r="O40" s="97"/>
      <c r="Q40" s="12"/>
      <c r="R40" s="12"/>
      <c r="S40" s="12"/>
      <c r="T40" s="139"/>
      <c r="U40" s="140"/>
      <c r="V40" s="139"/>
      <c r="W40" s="139"/>
      <c r="X40" s="12"/>
      <c r="Y40" s="12"/>
      <c r="Z40" s="12"/>
      <c r="AA40" s="141"/>
      <c r="AB40" s="141"/>
      <c r="AC40" s="141"/>
      <c r="AD40" s="141"/>
      <c r="AE40" s="142"/>
      <c r="AF40" s="142"/>
      <c r="AG40" s="141"/>
      <c r="AH40" s="141"/>
      <c r="AI40" s="141"/>
      <c r="AJ40" s="141"/>
      <c r="AK40" s="142"/>
      <c r="AM40" s="141"/>
      <c r="AN40" s="141"/>
      <c r="AO40" s="141"/>
      <c r="AP40" s="141"/>
      <c r="AQ40" s="142"/>
    </row>
    <row r="41" spans="1:62" ht="12.75" x14ac:dyDescent="0.2">
      <c r="A41" s="45"/>
      <c r="B41" s="33"/>
      <c r="C41" s="68"/>
      <c r="D41" s="126"/>
      <c r="E41" s="97"/>
      <c r="F41" s="97"/>
      <c r="G41" s="97"/>
      <c r="K41" s="33"/>
      <c r="L41" s="33"/>
      <c r="M41" s="126"/>
      <c r="N41" s="97"/>
      <c r="O41" s="97"/>
      <c r="Q41" s="12"/>
      <c r="R41" s="12"/>
      <c r="S41" s="12"/>
      <c r="T41" s="139"/>
      <c r="U41" s="140"/>
      <c r="V41" s="139"/>
      <c r="W41" s="139"/>
      <c r="X41" s="12"/>
      <c r="Y41" s="12"/>
      <c r="Z41" s="12"/>
      <c r="AA41" s="141"/>
      <c r="AB41" s="141"/>
      <c r="AC41" s="141"/>
      <c r="AD41" s="141"/>
      <c r="AE41" s="142"/>
      <c r="AF41" s="142"/>
      <c r="AG41" s="141"/>
      <c r="AH41" s="141"/>
      <c r="AI41" s="141"/>
      <c r="AJ41" s="141"/>
      <c r="AK41" s="142"/>
      <c r="AM41" s="141"/>
      <c r="AN41" s="141"/>
      <c r="AO41" s="141"/>
      <c r="AP41" s="141"/>
      <c r="AQ41" s="142"/>
    </row>
    <row r="42" spans="1:62" ht="12.75" x14ac:dyDescent="0.2"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3"/>
      <c r="AB42" s="13"/>
      <c r="AC42" s="13"/>
      <c r="AD42" s="13"/>
      <c r="AE42" s="30"/>
      <c r="AF42" s="30"/>
      <c r="AG42" s="13"/>
      <c r="AH42" s="13"/>
      <c r="AI42" s="13"/>
      <c r="AJ42" s="13"/>
      <c r="AK42" s="30"/>
      <c r="AM42" s="13"/>
      <c r="AN42" s="13"/>
      <c r="AO42" s="13"/>
      <c r="AP42" s="13"/>
      <c r="AQ42" s="30"/>
    </row>
    <row r="44" spans="1:62" ht="15.75" customHeight="1" x14ac:dyDescent="0.2">
      <c r="B44" s="66" t="s">
        <v>31</v>
      </c>
      <c r="C44" s="34"/>
      <c r="AA44" s="56" t="s">
        <v>27</v>
      </c>
      <c r="AB44" s="12"/>
      <c r="AC44" s="12"/>
      <c r="AD44" s="12"/>
      <c r="AE44" s="12"/>
      <c r="AF44" s="12"/>
      <c r="AG44" s="56" t="s">
        <v>28</v>
      </c>
      <c r="AH44" s="12"/>
      <c r="AI44" s="12"/>
      <c r="AJ44" s="12"/>
      <c r="AK44" s="12"/>
      <c r="AQ44" s="34" t="s">
        <v>52</v>
      </c>
      <c r="AW44" s="34" t="s">
        <v>53</v>
      </c>
      <c r="BD44" s="34" t="s">
        <v>65</v>
      </c>
    </row>
    <row r="45" spans="1:62" ht="15.75" customHeight="1" x14ac:dyDescent="0.2">
      <c r="B45" s="28" t="s">
        <v>61</v>
      </c>
      <c r="C45" s="28"/>
      <c r="D45" s="28" t="s">
        <v>29</v>
      </c>
      <c r="E45" s="57" t="s">
        <v>63</v>
      </c>
      <c r="F45" s="57" t="s">
        <v>72</v>
      </c>
      <c r="G45" s="57"/>
      <c r="H45" s="103"/>
      <c r="I45" s="103"/>
      <c r="J45" s="103"/>
      <c r="K45" s="103"/>
      <c r="L45" s="103"/>
      <c r="M45" s="103"/>
      <c r="N45" s="103"/>
      <c r="O45" s="103"/>
      <c r="Q45" s="28" t="s">
        <v>3</v>
      </c>
      <c r="R45" s="28"/>
      <c r="S45" s="57" t="s">
        <v>50</v>
      </c>
      <c r="T45" s="57" t="s">
        <v>70</v>
      </c>
      <c r="U45" s="28" t="s">
        <v>1</v>
      </c>
      <c r="V45" s="57" t="s">
        <v>62</v>
      </c>
      <c r="W45" s="57" t="s">
        <v>9</v>
      </c>
      <c r="X45" s="57"/>
      <c r="AA45" s="28" t="s">
        <v>30</v>
      </c>
      <c r="AB45" s="28" t="s">
        <v>1</v>
      </c>
      <c r="AC45" s="57" t="s">
        <v>10</v>
      </c>
      <c r="AD45" s="57"/>
      <c r="AE45" s="57" t="s">
        <v>64</v>
      </c>
      <c r="AF45" s="60"/>
      <c r="AG45" s="28" t="s">
        <v>30</v>
      </c>
      <c r="AH45" s="28" t="s">
        <v>1</v>
      </c>
      <c r="AI45" s="57" t="s">
        <v>10</v>
      </c>
      <c r="AJ45" s="57"/>
      <c r="AK45" s="57" t="s">
        <v>64</v>
      </c>
      <c r="AL45" s="28" t="s">
        <v>58</v>
      </c>
      <c r="AM45" s="28"/>
      <c r="AN45" s="28" t="s">
        <v>59</v>
      </c>
      <c r="AO45" s="28" t="s">
        <v>60</v>
      </c>
      <c r="AQ45" s="61" t="s">
        <v>54</v>
      </c>
      <c r="AR45" s="61" t="s">
        <v>57</v>
      </c>
      <c r="AS45" s="61" t="s">
        <v>55</v>
      </c>
      <c r="AT45" s="61" t="s">
        <v>57</v>
      </c>
      <c r="AU45" s="61" t="s">
        <v>56</v>
      </c>
      <c r="AV45" s="61" t="s">
        <v>57</v>
      </c>
      <c r="AW45" s="28" t="s">
        <v>54</v>
      </c>
      <c r="AX45" s="28" t="s">
        <v>57</v>
      </c>
      <c r="AY45" s="28" t="s">
        <v>55</v>
      </c>
      <c r="AZ45" s="28" t="s">
        <v>57</v>
      </c>
      <c r="BA45" s="28" t="s">
        <v>56</v>
      </c>
      <c r="BB45" s="28" t="s">
        <v>57</v>
      </c>
      <c r="BC45" s="60"/>
      <c r="BD45" s="61" t="s">
        <v>54</v>
      </c>
      <c r="BE45" s="61" t="s">
        <v>57</v>
      </c>
      <c r="BF45" s="61" t="s">
        <v>55</v>
      </c>
      <c r="BG45" s="61" t="s">
        <v>57</v>
      </c>
      <c r="BH45" s="61" t="s">
        <v>66</v>
      </c>
      <c r="BI45" s="61" t="s">
        <v>56</v>
      </c>
      <c r="BJ45" s="61" t="s">
        <v>57</v>
      </c>
    </row>
    <row r="46" spans="1:62" ht="15.75" customHeight="1" x14ac:dyDescent="0.2">
      <c r="B46" s="33">
        <v>100</v>
      </c>
      <c r="C46" s="33"/>
      <c r="D46" s="29">
        <v>0.7</v>
      </c>
      <c r="E46" s="50">
        <v>5</v>
      </c>
      <c r="F46">
        <v>10</v>
      </c>
      <c r="Q46" s="12" t="s">
        <v>32</v>
      </c>
      <c r="R46" s="12"/>
      <c r="S46" s="13"/>
      <c r="T46" s="13"/>
      <c r="U46" s="13">
        <v>200</v>
      </c>
      <c r="V46" s="58" t="e">
        <f>U46/#REF!</f>
        <v>#REF!</v>
      </c>
      <c r="W46" s="58"/>
      <c r="X46" s="58"/>
      <c r="AA46" s="31" t="e">
        <f>#REF!</f>
        <v>#REF!</v>
      </c>
      <c r="AB46" s="31">
        <f>U46*D46</f>
        <v>140</v>
      </c>
      <c r="AC46" s="63" t="e">
        <f>(#REF!+(#REF!*(F46/100)))/(1-#REF!/100)</f>
        <v>#REF!</v>
      </c>
      <c r="AD46" s="63"/>
      <c r="AE46" s="32" t="e">
        <f>AB46/AA46</f>
        <v>#REF!</v>
      </c>
      <c r="AF46" s="32"/>
      <c r="AG46" s="31" t="e">
        <f>#REF!</f>
        <v>#REF!</v>
      </c>
      <c r="AH46" s="31">
        <f>U46*(1-D46)</f>
        <v>60.000000000000007</v>
      </c>
      <c r="AI46" s="63" t="e">
        <f>(#REF!+(#REF!*(F46/100)))/(1-#REF!/100)</f>
        <v>#REF!</v>
      </c>
      <c r="AJ46" s="63"/>
      <c r="AK46" s="32" t="e">
        <f>AH46/AG46</f>
        <v>#REF!</v>
      </c>
      <c r="AL46" s="32" t="e">
        <f>AE46</f>
        <v>#REF!</v>
      </c>
      <c r="AM46" s="32"/>
      <c r="AN46" s="32" t="e">
        <f>AK46</f>
        <v>#REF!</v>
      </c>
      <c r="AO46" s="32" t="e">
        <f>AL46+AN46</f>
        <v>#REF!</v>
      </c>
      <c r="AQ46" s="52">
        <v>0</v>
      </c>
      <c r="AR46" s="50">
        <v>0</v>
      </c>
      <c r="AS46" s="52">
        <v>0</v>
      </c>
      <c r="AT46" s="50">
        <v>0</v>
      </c>
      <c r="AU46" s="52">
        <v>0</v>
      </c>
      <c r="AV46" s="54">
        <v>0</v>
      </c>
      <c r="AW46" s="52">
        <v>0</v>
      </c>
      <c r="AX46" s="50">
        <v>0</v>
      </c>
      <c r="AY46" s="52">
        <v>0</v>
      </c>
      <c r="AZ46" s="50">
        <v>0</v>
      </c>
      <c r="BA46" s="52">
        <v>0</v>
      </c>
      <c r="BB46" s="50">
        <v>0</v>
      </c>
      <c r="BC46" s="50"/>
      <c r="BD46" s="52">
        <v>0</v>
      </c>
      <c r="BE46" s="50">
        <v>0</v>
      </c>
      <c r="BF46" s="52">
        <v>0</v>
      </c>
      <c r="BG46" s="50">
        <v>0</v>
      </c>
      <c r="BH46" s="52">
        <v>0</v>
      </c>
      <c r="BI46" s="52">
        <v>0</v>
      </c>
      <c r="BJ46" s="50">
        <v>0</v>
      </c>
    </row>
    <row r="47" spans="1:62" ht="15.75" customHeight="1" x14ac:dyDescent="0.2">
      <c r="B47" s="36">
        <v>100</v>
      </c>
      <c r="C47" s="36"/>
      <c r="D47" s="37">
        <v>0.7</v>
      </c>
      <c r="E47" s="51">
        <v>5</v>
      </c>
      <c r="F47" s="35">
        <v>10</v>
      </c>
      <c r="G47" s="35"/>
      <c r="Q47" s="41" t="s">
        <v>51</v>
      </c>
      <c r="R47" s="41"/>
      <c r="S47" s="42">
        <v>20</v>
      </c>
      <c r="T47" s="42"/>
      <c r="U47" s="42"/>
      <c r="V47" s="59"/>
      <c r="W47" s="59"/>
      <c r="X47" s="59"/>
      <c r="AA47" s="38"/>
      <c r="AB47" s="38"/>
      <c r="AC47" s="65"/>
      <c r="AD47" s="65"/>
      <c r="AE47" s="39"/>
      <c r="AF47" s="32"/>
      <c r="AG47" s="38"/>
      <c r="AH47" s="38"/>
      <c r="AI47" s="38"/>
      <c r="AJ47" s="38"/>
      <c r="AK47" s="39"/>
      <c r="AL47" s="39" t="e">
        <f t="shared" ref="AL47:AO47" si="5">AL46</f>
        <v>#REF!</v>
      </c>
      <c r="AM47" s="39"/>
      <c r="AN47" s="39" t="e">
        <f t="shared" si="5"/>
        <v>#REF!</v>
      </c>
      <c r="AO47" s="39" t="e">
        <f t="shared" si="5"/>
        <v>#REF!</v>
      </c>
      <c r="AQ47" s="40">
        <f>AQ46</f>
        <v>0</v>
      </c>
      <c r="AR47" s="51">
        <f t="shared" ref="AR47:AT47" si="6">AR46</f>
        <v>0</v>
      </c>
      <c r="AS47" s="40">
        <f t="shared" si="6"/>
        <v>0</v>
      </c>
      <c r="AT47" s="51">
        <f t="shared" si="6"/>
        <v>0</v>
      </c>
      <c r="AU47" s="40">
        <f>AU46</f>
        <v>0</v>
      </c>
      <c r="AV47" s="55">
        <f>AU47/U46</f>
        <v>0</v>
      </c>
      <c r="AW47" s="40">
        <f>AW46</f>
        <v>0</v>
      </c>
      <c r="AX47" s="51">
        <f t="shared" ref="AX47" si="7">AX46</f>
        <v>0</v>
      </c>
      <c r="AY47" s="40">
        <f t="shared" ref="AY47" si="8">AY46</f>
        <v>0</v>
      </c>
      <c r="AZ47" s="51">
        <f t="shared" ref="AZ47" si="9">AZ46</f>
        <v>0</v>
      </c>
      <c r="BA47" s="40">
        <f>BA46</f>
        <v>0</v>
      </c>
      <c r="BB47" s="51">
        <f t="shared" ref="BB47" si="10">BB46</f>
        <v>0</v>
      </c>
      <c r="BC47" s="50"/>
      <c r="BD47" s="40">
        <f>AQ47+AW47</f>
        <v>0</v>
      </c>
      <c r="BE47" s="51">
        <f t="shared" ref="BE47" si="11">BE46</f>
        <v>0</v>
      </c>
      <c r="BF47" s="40">
        <f t="shared" ref="BF47" si="12">BF46</f>
        <v>0</v>
      </c>
      <c r="BG47" s="51">
        <f t="shared" ref="BG47" si="13">BG46</f>
        <v>0</v>
      </c>
      <c r="BH47" s="65">
        <f>S47</f>
        <v>20</v>
      </c>
      <c r="BI47" s="65">
        <f>BD47+BF47+BH47</f>
        <v>20</v>
      </c>
      <c r="BJ47" s="55">
        <f>BI47/(AB46+AH46)</f>
        <v>0.1</v>
      </c>
    </row>
    <row r="48" spans="1:62" ht="15.75" customHeight="1" x14ac:dyDescent="0.2">
      <c r="B48" s="33">
        <v>300</v>
      </c>
      <c r="C48" s="33"/>
      <c r="D48" s="29">
        <v>0.7</v>
      </c>
      <c r="E48" s="50">
        <v>5</v>
      </c>
      <c r="F48">
        <v>10</v>
      </c>
      <c r="Q48" t="s">
        <v>33</v>
      </c>
      <c r="S48" s="33"/>
      <c r="T48" s="33"/>
      <c r="U48" s="33">
        <v>400</v>
      </c>
      <c r="V48" s="50" t="e">
        <f>U48/#REF!</f>
        <v>#REF!</v>
      </c>
      <c r="W48" s="50"/>
      <c r="X48" s="50"/>
      <c r="AA48" s="31" t="e">
        <f>AA46</f>
        <v>#REF!</v>
      </c>
      <c r="AB48" s="31">
        <v>140</v>
      </c>
      <c r="AC48" s="63" t="e">
        <f>(#REF!+(#REF!*(F46/100)))/(1-#REF!/100)</f>
        <v>#REF!</v>
      </c>
      <c r="AD48" s="63"/>
      <c r="AE48" s="32">
        <v>1.4</v>
      </c>
      <c r="AF48" s="32"/>
      <c r="AG48" s="31">
        <v>100</v>
      </c>
      <c r="AH48" s="31">
        <v>60.000000000000007</v>
      </c>
      <c r="AI48" s="63" t="e">
        <f>(#REF!+(#REF!*(F46/100)))/(1-#REF!/100)</f>
        <v>#REF!</v>
      </c>
      <c r="AJ48" s="63"/>
      <c r="AK48" s="32">
        <v>0.60000000000000009</v>
      </c>
      <c r="AL48" s="32" t="e">
        <f>AL47+AE49</f>
        <v>#REF!</v>
      </c>
      <c r="AM48" s="32"/>
      <c r="AN48" s="32" t="e">
        <f>AN47</f>
        <v>#REF!</v>
      </c>
      <c r="AO48" s="32" t="e">
        <f>AL48+AN48</f>
        <v>#REF!</v>
      </c>
      <c r="AQ48" s="52">
        <f>AQ47</f>
        <v>0</v>
      </c>
      <c r="AR48" s="50">
        <f>AR47</f>
        <v>0</v>
      </c>
      <c r="AS48" s="52">
        <f>AS47</f>
        <v>0</v>
      </c>
      <c r="AT48" s="50">
        <f>AT47</f>
        <v>0</v>
      </c>
      <c r="AU48" s="52">
        <f>AU47</f>
        <v>0</v>
      </c>
      <c r="AV48" s="64">
        <f>AU48 / (U46+U48)</f>
        <v>0</v>
      </c>
      <c r="AW48" s="52" t="e">
        <f>(B48*AL48)-(AB48+AB49)</f>
        <v>#REF!</v>
      </c>
      <c r="AX48" s="54" t="e">
        <f>AW48/(AB48+AB49)</f>
        <v>#REF!</v>
      </c>
      <c r="AY48" s="52" t="e">
        <f>(AN48*B48)-AH48</f>
        <v>#REF!</v>
      </c>
      <c r="AZ48" s="53" t="e">
        <f>AY48/(AG48*AK48)</f>
        <v>#REF!</v>
      </c>
      <c r="BA48" s="52" t="e">
        <f>AW48+AY48</f>
        <v>#REF!</v>
      </c>
      <c r="BB48" s="62" t="e">
        <f>BA48/(AB48+AB49+AH48)</f>
        <v>#REF!</v>
      </c>
      <c r="BC48" s="62"/>
      <c r="BD48" s="52" t="e">
        <f>AQ48+AW48</f>
        <v>#REF!</v>
      </c>
      <c r="BE48" s="54" t="e">
        <f>AX48</f>
        <v>#REF!</v>
      </c>
      <c r="BF48" s="52" t="e">
        <f>AS48+AY48</f>
        <v>#REF!</v>
      </c>
      <c r="BG48" s="53" t="e">
        <f>BF48/AH48</f>
        <v>#REF!</v>
      </c>
      <c r="BH48" s="63">
        <f>BH47</f>
        <v>20</v>
      </c>
      <c r="BI48" s="52" t="e">
        <f>BD48+BF48+BH48</f>
        <v>#REF!</v>
      </c>
      <c r="BJ48" s="54" t="e">
        <f>BI48/(AB48+AB49+AH48)</f>
        <v>#REF!</v>
      </c>
    </row>
    <row r="49" spans="2:62" ht="15.75" customHeight="1" x14ac:dyDescent="0.2">
      <c r="E49" s="50"/>
      <c r="V49" s="50"/>
      <c r="W49" s="50"/>
      <c r="X49" s="50"/>
      <c r="AA49" s="31" t="e">
        <f>#REF!</f>
        <v>#REF!</v>
      </c>
      <c r="AB49" s="31">
        <f>U48</f>
        <v>400</v>
      </c>
      <c r="AC49" s="63" t="e">
        <f>(#REF!+(#REF!*(F48/100)))/(1-#REF!/100)</f>
        <v>#REF!</v>
      </c>
      <c r="AD49" s="63"/>
      <c r="AE49" s="32" t="e">
        <f>AB49/AA49</f>
        <v>#REF!</v>
      </c>
      <c r="AF49" s="32"/>
      <c r="AG49" s="49" t="s">
        <v>34</v>
      </c>
      <c r="AH49" s="49" t="s">
        <v>34</v>
      </c>
      <c r="AI49" s="49" t="s">
        <v>34</v>
      </c>
      <c r="AJ49" s="49"/>
      <c r="AK49" s="49" t="s">
        <v>34</v>
      </c>
      <c r="AR49" s="50"/>
      <c r="AT49" s="50"/>
      <c r="AV49" s="54"/>
      <c r="AW49" s="31"/>
      <c r="AX49" s="54"/>
      <c r="AZ49" s="50"/>
      <c r="BB49" s="50"/>
      <c r="BC49" s="50"/>
      <c r="BE49" s="50"/>
      <c r="BG49" s="50"/>
      <c r="BH49" s="63"/>
      <c r="BJ49" s="50"/>
    </row>
    <row r="50" spans="2:62" ht="15.75" customHeight="1" x14ac:dyDescent="0.2">
      <c r="B50" s="36">
        <v>910</v>
      </c>
      <c r="C50" s="36"/>
      <c r="D50" s="37">
        <v>0.7</v>
      </c>
      <c r="E50" s="51">
        <v>5</v>
      </c>
      <c r="F50" s="35">
        <v>10</v>
      </c>
      <c r="G50" s="35"/>
      <c r="Q50" s="35" t="s">
        <v>35</v>
      </c>
      <c r="R50" s="35"/>
      <c r="S50" s="36"/>
      <c r="T50" s="36"/>
      <c r="U50" s="36">
        <v>350</v>
      </c>
      <c r="V50" s="51" t="e">
        <f>U50/#REF!</f>
        <v>#REF!</v>
      </c>
      <c r="W50" s="51"/>
      <c r="X50" s="51"/>
      <c r="AA50" s="38" t="e">
        <f>AA48</f>
        <v>#REF!</v>
      </c>
      <c r="AB50" s="38">
        <v>140</v>
      </c>
      <c r="AC50" s="65" t="e">
        <f>AC48</f>
        <v>#REF!</v>
      </c>
      <c r="AD50" s="65"/>
      <c r="AE50" s="39">
        <v>1.4</v>
      </c>
      <c r="AF50" s="32"/>
      <c r="AG50" s="38">
        <v>100</v>
      </c>
      <c r="AH50" s="38">
        <v>60.000000000000007</v>
      </c>
      <c r="AI50" s="65" t="e">
        <f>AI48</f>
        <v>#REF!</v>
      </c>
      <c r="AJ50" s="65"/>
      <c r="AK50" s="39">
        <v>0.60000000000000009</v>
      </c>
      <c r="AL50" s="39" t="e">
        <f>AL48</f>
        <v>#REF!</v>
      </c>
      <c r="AM50" s="39"/>
      <c r="AN50" s="39" t="e">
        <f>AN48+AK51</f>
        <v>#REF!</v>
      </c>
      <c r="AO50" s="39" t="e">
        <f>AL50+AN50</f>
        <v>#REF!</v>
      </c>
      <c r="AQ50" s="40">
        <f t="shared" ref="AQ50:AV50" si="14">AQ48</f>
        <v>0</v>
      </c>
      <c r="AR50" s="51">
        <f t="shared" si="14"/>
        <v>0</v>
      </c>
      <c r="AS50" s="40">
        <f t="shared" si="14"/>
        <v>0</v>
      </c>
      <c r="AT50" s="51">
        <f t="shared" si="14"/>
        <v>0</v>
      </c>
      <c r="AU50" s="40">
        <f t="shared" si="14"/>
        <v>0</v>
      </c>
      <c r="AV50" s="55">
        <f t="shared" si="14"/>
        <v>0</v>
      </c>
      <c r="AW50" s="40" t="e">
        <f>(B50*AL50)-(AB50+AB51)</f>
        <v>#REF!</v>
      </c>
      <c r="AX50" s="55" t="e">
        <f>AW50/(AB50+AB51)</f>
        <v>#REF!</v>
      </c>
      <c r="AY50" s="40" t="e">
        <f>(AN50*B50)-(AH50+AH51)</f>
        <v>#REF!</v>
      </c>
      <c r="AZ50" s="55" t="e">
        <f>AY50/(AH50+AH51)</f>
        <v>#REF!</v>
      </c>
      <c r="BA50" s="40" t="e">
        <f>AW50+AY50</f>
        <v>#REF!</v>
      </c>
      <c r="BB50" s="55" t="e">
        <f>BA50/(AB50+AB51+AH50+AH51)</f>
        <v>#REF!</v>
      </c>
      <c r="BC50" s="50"/>
      <c r="BD50" s="40" t="e">
        <f>AQ50+AW50</f>
        <v>#REF!</v>
      </c>
      <c r="BE50" s="55" t="e">
        <f>AX50</f>
        <v>#REF!</v>
      </c>
      <c r="BF50" s="40" t="e">
        <f>AS50+AY50</f>
        <v>#REF!</v>
      </c>
      <c r="BG50" s="55" t="e">
        <f>BF50/(AH50+AH51)</f>
        <v>#REF!</v>
      </c>
      <c r="BH50" s="65">
        <f>BH48</f>
        <v>20</v>
      </c>
      <c r="BI50" s="40" t="e">
        <f>BD50+BF50+BH50</f>
        <v>#REF!</v>
      </c>
      <c r="BJ50" s="55" t="e">
        <f>BI50/(AB50+AB51+AH50+AH51)</f>
        <v>#REF!</v>
      </c>
    </row>
    <row r="51" spans="2:62" ht="15.75" customHeight="1" x14ac:dyDescent="0.2">
      <c r="B51" s="35"/>
      <c r="C51" s="35"/>
      <c r="D51" s="35"/>
      <c r="E51" s="51"/>
      <c r="F51" s="35"/>
      <c r="G51" s="35"/>
      <c r="Q51" s="35"/>
      <c r="R51" s="35"/>
      <c r="S51" s="35"/>
      <c r="T51" s="35"/>
      <c r="U51" s="35"/>
      <c r="V51" s="51"/>
      <c r="W51" s="51"/>
      <c r="X51" s="51"/>
      <c r="AA51" s="38" t="e">
        <f>AA49</f>
        <v>#REF!</v>
      </c>
      <c r="AB51" s="38">
        <v>400</v>
      </c>
      <c r="AC51" s="65" t="e">
        <f>AC49</f>
        <v>#REF!</v>
      </c>
      <c r="AD51" s="65"/>
      <c r="AE51" s="39">
        <v>1.6</v>
      </c>
      <c r="AF51" s="32"/>
      <c r="AG51" s="36" t="e">
        <f>#REF!</f>
        <v>#REF!</v>
      </c>
      <c r="AH51" s="36">
        <f>U50</f>
        <v>350</v>
      </c>
      <c r="AI51" s="65" t="e">
        <f>(#REF!+(#REF!*(F50/100)))/(1-#REF!/100)</f>
        <v>#REF!</v>
      </c>
      <c r="AJ51" s="65"/>
      <c r="AK51" s="39" t="e">
        <f>AH51/AG51</f>
        <v>#REF!</v>
      </c>
      <c r="AR51" s="50"/>
      <c r="AT51" s="50"/>
      <c r="AV51" s="50"/>
      <c r="AX51" s="50"/>
      <c r="AZ51" s="50"/>
      <c r="BB51" s="50"/>
      <c r="BC51" s="50"/>
      <c r="BE51" s="50"/>
      <c r="BG51" s="50"/>
      <c r="BH51" s="63"/>
      <c r="BJ51" s="50"/>
    </row>
    <row r="52" spans="2:62" ht="15.75" customHeight="1" x14ac:dyDescent="0.2">
      <c r="B52" s="33">
        <v>910</v>
      </c>
      <c r="C52" s="33"/>
      <c r="D52" s="29">
        <v>0.7</v>
      </c>
      <c r="E52" s="50">
        <v>5</v>
      </c>
      <c r="F52">
        <v>10</v>
      </c>
      <c r="Q52" t="s">
        <v>49</v>
      </c>
      <c r="S52" s="33">
        <v>10</v>
      </c>
      <c r="T52" s="33"/>
      <c r="V52" s="50"/>
      <c r="W52" s="50"/>
      <c r="X52" s="50"/>
      <c r="AA52" s="31"/>
      <c r="AB52" s="31"/>
      <c r="AC52" s="31"/>
      <c r="AD52" s="31"/>
      <c r="AE52" s="31"/>
      <c r="AF52" s="31"/>
      <c r="AG52" s="33"/>
      <c r="AH52" s="33"/>
      <c r="AI52" s="31"/>
      <c r="AJ52" s="31"/>
      <c r="AK52" s="32"/>
      <c r="AL52" s="32" t="e">
        <f>AL50</f>
        <v>#REF!</v>
      </c>
      <c r="AM52" s="32"/>
      <c r="AN52" s="32" t="e">
        <f>AN50+AK53</f>
        <v>#REF!</v>
      </c>
      <c r="AO52" s="32" t="e">
        <f>AL52+AN52</f>
        <v>#REF!</v>
      </c>
      <c r="AQ52" s="52">
        <f t="shared" ref="AQ52:AV53" si="15">AQ50</f>
        <v>0</v>
      </c>
      <c r="AR52" s="50">
        <f t="shared" si="15"/>
        <v>0</v>
      </c>
      <c r="AS52" s="52">
        <f t="shared" si="15"/>
        <v>0</v>
      </c>
      <c r="AT52" s="50">
        <f t="shared" si="15"/>
        <v>0</v>
      </c>
      <c r="AU52" s="52">
        <f t="shared" si="15"/>
        <v>0</v>
      </c>
      <c r="AV52" s="62">
        <f t="shared" si="15"/>
        <v>0</v>
      </c>
      <c r="AW52" s="52" t="e">
        <f t="shared" ref="AW52:BB52" si="16">AW50</f>
        <v>#REF!</v>
      </c>
      <c r="AX52" s="62" t="e">
        <f t="shared" si="16"/>
        <v>#REF!</v>
      </c>
      <c r="AY52" s="52" t="e">
        <f t="shared" si="16"/>
        <v>#REF!</v>
      </c>
      <c r="AZ52" s="62" t="e">
        <f t="shared" si="16"/>
        <v>#REF!</v>
      </c>
      <c r="BA52" s="52" t="e">
        <f t="shared" si="16"/>
        <v>#REF!</v>
      </c>
      <c r="BB52" s="62" t="e">
        <f t="shared" si="16"/>
        <v>#REF!</v>
      </c>
      <c r="BC52" s="50"/>
      <c r="BD52" s="52" t="e">
        <f>BD50</f>
        <v>#REF!</v>
      </c>
      <c r="BE52" s="62" t="e">
        <f>BE50</f>
        <v>#REF!</v>
      </c>
      <c r="BF52" s="52" t="e">
        <f>BF50</f>
        <v>#REF!</v>
      </c>
      <c r="BG52" s="62" t="e">
        <f>BG50</f>
        <v>#REF!</v>
      </c>
      <c r="BH52" s="63">
        <f>BH50+S52</f>
        <v>30</v>
      </c>
      <c r="BI52" s="52" t="e">
        <f>BD52+BF52+BH52</f>
        <v>#REF!</v>
      </c>
      <c r="BJ52" s="62" t="e">
        <f>BI52/(AB50+AB51+AH50+AH51)</f>
        <v>#REF!</v>
      </c>
    </row>
    <row r="53" spans="2:62" ht="15.75" customHeight="1" x14ac:dyDescent="0.2">
      <c r="B53" s="36">
        <v>510</v>
      </c>
      <c r="C53" s="36"/>
      <c r="D53" s="37">
        <v>0.7</v>
      </c>
      <c r="E53" s="51">
        <v>5</v>
      </c>
      <c r="F53" s="35">
        <v>10</v>
      </c>
      <c r="G53" s="35"/>
      <c r="Q53" s="35" t="s">
        <v>36</v>
      </c>
      <c r="R53" s="35"/>
      <c r="S53" s="40"/>
      <c r="T53" s="40"/>
      <c r="U53" s="36">
        <v>100</v>
      </c>
      <c r="V53" s="51" t="e">
        <f>U53/#REF!</f>
        <v>#REF!</v>
      </c>
      <c r="W53" s="51"/>
      <c r="X53" s="51"/>
      <c r="AA53" s="38">
        <v>100</v>
      </c>
      <c r="AB53" s="38">
        <v>140</v>
      </c>
      <c r="AC53" s="38" t="e">
        <f>AC50</f>
        <v>#REF!</v>
      </c>
      <c r="AD53" s="38"/>
      <c r="AE53" s="39">
        <v>1.4</v>
      </c>
      <c r="AF53" s="32"/>
      <c r="AG53" s="38">
        <v>100</v>
      </c>
      <c r="AH53" s="38">
        <v>60.000000000000007</v>
      </c>
      <c r="AI53" s="38" t="e">
        <f>AI50</f>
        <v>#REF!</v>
      </c>
      <c r="AJ53" s="38"/>
      <c r="AK53" s="39">
        <v>0.60000000000000009</v>
      </c>
      <c r="AL53" s="39" t="e">
        <f>AE53+AE54+AE55</f>
        <v>#REF!</v>
      </c>
      <c r="AM53" s="39"/>
      <c r="AN53" s="39" t="e">
        <f>AK53+AK54+AK55</f>
        <v>#REF!</v>
      </c>
      <c r="AO53" s="39" t="e">
        <f>AL53+AN53</f>
        <v>#REF!</v>
      </c>
      <c r="AQ53" s="40">
        <f t="shared" si="15"/>
        <v>0</v>
      </c>
      <c r="AR53" s="51">
        <f t="shared" si="15"/>
        <v>0</v>
      </c>
      <c r="AS53" s="40">
        <f t="shared" si="15"/>
        <v>0</v>
      </c>
      <c r="AT53" s="51">
        <f t="shared" si="15"/>
        <v>0</v>
      </c>
      <c r="AU53" s="40">
        <f t="shared" si="15"/>
        <v>0</v>
      </c>
      <c r="AV53" s="55">
        <f t="shared" si="15"/>
        <v>0</v>
      </c>
      <c r="AW53" s="40" t="e">
        <f>(B53*AL53)-(AB53+AB54+AB55)</f>
        <v>#REF!</v>
      </c>
      <c r="AX53" s="55" t="e">
        <f>AW53/(AB53+AB54+AB55)</f>
        <v>#REF!</v>
      </c>
      <c r="AY53" s="40" t="e">
        <f>(AN53*B53)-(AH53+AH54+AH55)</f>
        <v>#REF!</v>
      </c>
      <c r="AZ53" s="55" t="e">
        <f>AY53/(AH53+AH54+AH55)</f>
        <v>#REF!</v>
      </c>
      <c r="BA53" s="40" t="e">
        <f>AW53+AY53</f>
        <v>#REF!</v>
      </c>
      <c r="BB53" s="55" t="e">
        <f>BA53/(AB53+AB54+AB55+AH53+AH54+AH55)</f>
        <v>#REF!</v>
      </c>
      <c r="BC53" s="50"/>
      <c r="BD53" s="40" t="e">
        <f>AQ53+AW53</f>
        <v>#REF!</v>
      </c>
      <c r="BE53" s="55" t="e">
        <f>AX53</f>
        <v>#REF!</v>
      </c>
      <c r="BF53" s="40" t="e">
        <f>AS53+AY53</f>
        <v>#REF!</v>
      </c>
      <c r="BG53" s="55" t="e">
        <f>BF53/(AH53+AH54+AH55)</f>
        <v>#REF!</v>
      </c>
      <c r="BH53" s="65">
        <f>BH52</f>
        <v>30</v>
      </c>
      <c r="BI53" s="40" t="e">
        <f>BD53+BF53+BH53</f>
        <v>#REF!</v>
      </c>
      <c r="BJ53" s="55" t="e">
        <f>BI53/(AB53+AB54+AB55+AH53+AH54+AH55)</f>
        <v>#REF!</v>
      </c>
    </row>
    <row r="54" spans="2:62" ht="15.75" customHeight="1" x14ac:dyDescent="0.2">
      <c r="B54" s="35"/>
      <c r="C54" s="35"/>
      <c r="D54" s="35"/>
      <c r="E54" s="51"/>
      <c r="F54" s="35"/>
      <c r="G54" s="35"/>
      <c r="Q54" s="35"/>
      <c r="R54" s="35"/>
      <c r="S54" s="35"/>
      <c r="T54" s="35"/>
      <c r="U54" s="35"/>
      <c r="V54" s="51"/>
      <c r="W54" s="51"/>
      <c r="X54" s="51"/>
      <c r="AA54" s="38">
        <v>250</v>
      </c>
      <c r="AB54" s="38">
        <v>400</v>
      </c>
      <c r="AC54" s="38" t="e">
        <f>AC51</f>
        <v>#REF!</v>
      </c>
      <c r="AD54" s="38"/>
      <c r="AE54" s="39">
        <v>1.6</v>
      </c>
      <c r="AF54" s="32"/>
      <c r="AG54" s="36">
        <v>900</v>
      </c>
      <c r="AH54" s="36">
        <v>350</v>
      </c>
      <c r="AI54" s="38" t="e">
        <f>AI51</f>
        <v>#REF!</v>
      </c>
      <c r="AJ54" s="38"/>
      <c r="AK54" s="39">
        <v>0.3888888888888889</v>
      </c>
      <c r="AL54" s="35"/>
      <c r="AM54" s="35"/>
      <c r="AN54" s="35"/>
      <c r="AO54" s="35"/>
      <c r="AQ54" s="35"/>
      <c r="AR54" s="51"/>
      <c r="AS54" s="35"/>
      <c r="AT54" s="51"/>
      <c r="AU54" s="35"/>
      <c r="AV54" s="51"/>
      <c r="AW54" s="35"/>
      <c r="AX54" s="51"/>
      <c r="AY54" s="35"/>
      <c r="AZ54" s="51"/>
      <c r="BA54" s="35"/>
      <c r="BB54" s="51"/>
      <c r="BC54" s="50"/>
      <c r="BD54" s="35"/>
      <c r="BE54" s="51"/>
      <c r="BF54" s="35"/>
      <c r="BG54" s="51"/>
      <c r="BH54" s="35"/>
      <c r="BI54" s="35"/>
      <c r="BJ54" s="51"/>
    </row>
    <row r="55" spans="2:62" ht="15.75" customHeight="1" x14ac:dyDescent="0.2">
      <c r="B55" s="35"/>
      <c r="C55" s="35"/>
      <c r="D55" s="35"/>
      <c r="E55" s="51"/>
      <c r="F55" s="35"/>
      <c r="G55" s="35"/>
      <c r="Q55" s="35"/>
      <c r="R55" s="35"/>
      <c r="S55" s="35"/>
      <c r="T55" s="35"/>
      <c r="U55" s="35"/>
      <c r="V55" s="51"/>
      <c r="W55" s="51"/>
      <c r="X55" s="51"/>
      <c r="AA55" s="40" t="e">
        <f>#REF!</f>
        <v>#REF!</v>
      </c>
      <c r="AB55" s="36">
        <f>U53*D53</f>
        <v>70</v>
      </c>
      <c r="AC55" s="65" t="e">
        <f>(#REF!+(#REF!*(F53/100)))/(1-#REF!/100)</f>
        <v>#REF!</v>
      </c>
      <c r="AD55" s="65"/>
      <c r="AE55" s="39" t="e">
        <f>AB55/AA55</f>
        <v>#REF!</v>
      </c>
      <c r="AF55" s="31"/>
      <c r="AG55" s="40" t="e">
        <f>#REF!</f>
        <v>#REF!</v>
      </c>
      <c r="AH55" s="36">
        <f>U53*(1-D53)</f>
        <v>30.000000000000004</v>
      </c>
      <c r="AI55" s="65" t="e">
        <f>(#REF!+(#REF!*(F53/100)))/(1-#REF!/100)</f>
        <v>#REF!</v>
      </c>
      <c r="AJ55" s="65"/>
      <c r="AK55" s="39" t="e">
        <f>AH55/AG55</f>
        <v>#REF!</v>
      </c>
      <c r="AL55" s="35"/>
      <c r="AM55" s="35"/>
      <c r="AN55" s="35"/>
      <c r="AO55" s="35"/>
      <c r="AQ55" s="35"/>
      <c r="AR55" s="51"/>
      <c r="AS55" s="35"/>
      <c r="AT55" s="51"/>
      <c r="AU55" s="35"/>
      <c r="AV55" s="51"/>
      <c r="AW55" s="35"/>
      <c r="AX55" s="51"/>
      <c r="AY55" s="35"/>
      <c r="AZ55" s="51"/>
      <c r="BA55" s="35"/>
      <c r="BB55" s="51"/>
      <c r="BC55" s="50"/>
      <c r="BD55" s="35"/>
      <c r="BE55" s="51"/>
      <c r="BF55" s="35"/>
      <c r="BG55" s="51"/>
      <c r="BH55" s="35"/>
      <c r="BI55" s="35"/>
      <c r="BJ55" s="51"/>
    </row>
    <row r="56" spans="2:62" ht="15.75" customHeight="1" x14ac:dyDescent="0.2">
      <c r="E56" s="50"/>
      <c r="V56" s="50"/>
      <c r="W56" s="50"/>
      <c r="X56" s="50"/>
      <c r="AA56" s="52"/>
      <c r="AB56" s="33"/>
      <c r="AC56" s="33"/>
      <c r="AD56" s="33"/>
      <c r="AE56" s="32"/>
      <c r="AF56" s="31"/>
      <c r="AG56" s="52"/>
      <c r="AH56" s="33"/>
      <c r="AI56" s="33"/>
      <c r="AJ56" s="33"/>
      <c r="AK56" s="32"/>
      <c r="AR56" s="50"/>
      <c r="AT56" s="50"/>
      <c r="AV56" s="50"/>
      <c r="AX56" s="50"/>
      <c r="AZ56" s="50"/>
      <c r="BB56" s="50"/>
      <c r="BC56" s="50"/>
      <c r="BE56" s="50"/>
      <c r="BG56" s="50"/>
      <c r="BJ56" s="50"/>
    </row>
    <row r="57" spans="2:62" ht="15.75" customHeight="1" x14ac:dyDescent="0.2">
      <c r="B57" s="66" t="s">
        <v>67</v>
      </c>
      <c r="C57" s="34"/>
      <c r="AA57" s="56" t="s">
        <v>27</v>
      </c>
      <c r="AB57" s="12"/>
      <c r="AC57" s="12"/>
      <c r="AD57" s="12"/>
      <c r="AE57" s="12"/>
      <c r="AF57" s="12"/>
      <c r="AG57" s="56" t="s">
        <v>28</v>
      </c>
      <c r="AH57" s="12"/>
      <c r="AI57" s="12"/>
      <c r="AJ57" s="12"/>
      <c r="AK57" s="12"/>
      <c r="AQ57" s="34" t="s">
        <v>52</v>
      </c>
      <c r="AW57" s="34" t="s">
        <v>53</v>
      </c>
      <c r="BD57" s="34" t="s">
        <v>65</v>
      </c>
    </row>
    <row r="58" spans="2:62" ht="15.75" customHeight="1" x14ac:dyDescent="0.2">
      <c r="B58" s="28" t="s">
        <v>61</v>
      </c>
      <c r="C58" s="28"/>
      <c r="D58" s="28" t="s">
        <v>29</v>
      </c>
      <c r="E58" s="57" t="s">
        <v>63</v>
      </c>
      <c r="F58" s="57" t="s">
        <v>72</v>
      </c>
      <c r="G58" s="57"/>
      <c r="H58" s="103"/>
      <c r="I58" s="103"/>
      <c r="J58" s="103"/>
      <c r="K58" s="103"/>
      <c r="L58" s="103"/>
      <c r="M58" s="103"/>
      <c r="N58" s="103"/>
      <c r="O58" s="103"/>
      <c r="Q58" s="28" t="s">
        <v>3</v>
      </c>
      <c r="R58" s="28"/>
      <c r="S58" s="57" t="s">
        <v>50</v>
      </c>
      <c r="T58" s="57" t="s">
        <v>70</v>
      </c>
      <c r="U58" s="28" t="s">
        <v>1</v>
      </c>
      <c r="V58" s="57" t="s">
        <v>62</v>
      </c>
      <c r="W58" s="57" t="s">
        <v>9</v>
      </c>
      <c r="X58" s="57"/>
      <c r="AA58" s="28" t="s">
        <v>30</v>
      </c>
      <c r="AB58" s="28" t="s">
        <v>1</v>
      </c>
      <c r="AC58" s="57" t="s">
        <v>10</v>
      </c>
      <c r="AD58" s="57"/>
      <c r="AE58" s="57" t="s">
        <v>64</v>
      </c>
      <c r="AF58" s="60"/>
      <c r="AG58" s="28" t="s">
        <v>30</v>
      </c>
      <c r="AH58" s="28" t="s">
        <v>1</v>
      </c>
      <c r="AI58" s="57" t="s">
        <v>10</v>
      </c>
      <c r="AJ58" s="57"/>
      <c r="AK58" s="57" t="s">
        <v>64</v>
      </c>
      <c r="AL58" s="28" t="s">
        <v>58</v>
      </c>
      <c r="AM58" s="28"/>
      <c r="AN58" s="28" t="s">
        <v>59</v>
      </c>
      <c r="AO58" s="28" t="s">
        <v>60</v>
      </c>
      <c r="AQ58" s="61" t="s">
        <v>54</v>
      </c>
      <c r="AR58" s="61" t="s">
        <v>57</v>
      </c>
      <c r="AS58" s="61" t="s">
        <v>55</v>
      </c>
      <c r="AT58" s="61" t="s">
        <v>57</v>
      </c>
      <c r="AU58" s="61" t="s">
        <v>56</v>
      </c>
      <c r="AV58" s="61" t="s">
        <v>57</v>
      </c>
      <c r="AW58" s="28" t="s">
        <v>54</v>
      </c>
      <c r="AX58" s="28" t="s">
        <v>57</v>
      </c>
      <c r="AY58" s="28" t="s">
        <v>55</v>
      </c>
      <c r="AZ58" s="28" t="s">
        <v>57</v>
      </c>
      <c r="BA58" s="28" t="s">
        <v>56</v>
      </c>
      <c r="BB58" s="28" t="s">
        <v>57</v>
      </c>
      <c r="BC58" s="60"/>
      <c r="BD58" s="61" t="s">
        <v>54</v>
      </c>
      <c r="BE58" s="61" t="s">
        <v>57</v>
      </c>
      <c r="BF58" s="61" t="s">
        <v>55</v>
      </c>
      <c r="BG58" s="61" t="s">
        <v>57</v>
      </c>
      <c r="BH58" s="61" t="s">
        <v>66</v>
      </c>
      <c r="BI58" s="61" t="s">
        <v>56</v>
      </c>
      <c r="BJ58" s="61" t="s">
        <v>57</v>
      </c>
    </row>
    <row r="59" spans="2:62" ht="15.75" customHeight="1" x14ac:dyDescent="0.2">
      <c r="B59" s="33">
        <v>200</v>
      </c>
      <c r="C59" s="33"/>
      <c r="D59" s="29">
        <v>0.6</v>
      </c>
      <c r="E59" s="50">
        <v>5</v>
      </c>
      <c r="F59">
        <v>10</v>
      </c>
      <c r="Q59" s="12" t="s">
        <v>68</v>
      </c>
      <c r="R59" s="12"/>
      <c r="S59" s="13"/>
      <c r="T59" s="13"/>
      <c r="U59" s="13">
        <v>400</v>
      </c>
      <c r="V59" s="58" t="e">
        <f>U59/#REF!</f>
        <v>#REF!</v>
      </c>
      <c r="W59" s="58"/>
      <c r="X59" s="58"/>
      <c r="AA59" s="31" t="e">
        <f>#REF!</f>
        <v>#REF!</v>
      </c>
      <c r="AB59" s="31">
        <f>U59*D59</f>
        <v>240</v>
      </c>
      <c r="AC59" s="63" t="e">
        <f>(#REF!+(#REF!*(F59/100)))/(1-#REF!/100)</f>
        <v>#REF!</v>
      </c>
      <c r="AD59" s="63"/>
      <c r="AE59" s="32" t="e">
        <f>AB59/AA59</f>
        <v>#REF!</v>
      </c>
      <c r="AF59" s="32"/>
      <c r="AG59" s="31" t="e">
        <f>#REF!</f>
        <v>#REF!</v>
      </c>
      <c r="AH59" s="31">
        <f>U59*(1-D59)</f>
        <v>160</v>
      </c>
      <c r="AI59" s="63" t="e">
        <f>(#REF!+(#REF!*(F59/100)))/(1-#REF!/100)</f>
        <v>#REF!</v>
      </c>
      <c r="AJ59" s="63"/>
      <c r="AK59" s="32" t="e">
        <f>AH59/AG59</f>
        <v>#REF!</v>
      </c>
      <c r="AL59" s="32" t="e">
        <f>AE59</f>
        <v>#REF!</v>
      </c>
      <c r="AM59" s="32"/>
      <c r="AN59" s="32" t="e">
        <f>AK59</f>
        <v>#REF!</v>
      </c>
      <c r="AO59" s="32" t="e">
        <f>AL59+AN59</f>
        <v>#REF!</v>
      </c>
      <c r="AQ59" s="52">
        <v>0</v>
      </c>
      <c r="AR59" s="50">
        <v>0</v>
      </c>
      <c r="AS59" s="52">
        <v>0</v>
      </c>
      <c r="AT59" s="50">
        <v>0</v>
      </c>
      <c r="AU59" s="52">
        <v>0</v>
      </c>
      <c r="AV59" s="54">
        <v>0</v>
      </c>
      <c r="AW59" s="52">
        <v>0</v>
      </c>
      <c r="AX59" s="50">
        <v>0</v>
      </c>
      <c r="AY59" s="52">
        <v>0</v>
      </c>
      <c r="AZ59" s="50">
        <v>0</v>
      </c>
      <c r="BA59" s="52">
        <v>0</v>
      </c>
      <c r="BB59" s="50">
        <v>0</v>
      </c>
      <c r="BC59" s="50"/>
      <c r="BD59" s="52">
        <v>0</v>
      </c>
      <c r="BE59" s="50">
        <v>0</v>
      </c>
      <c r="BF59" s="52">
        <v>0</v>
      </c>
      <c r="BG59" s="50">
        <v>0</v>
      </c>
      <c r="BH59" s="52">
        <v>0</v>
      </c>
      <c r="BI59" s="52">
        <v>0</v>
      </c>
      <c r="BJ59" s="50">
        <v>0</v>
      </c>
    </row>
    <row r="60" spans="2:62" ht="15.75" customHeight="1" x14ac:dyDescent="0.2">
      <c r="B60" s="36">
        <v>100</v>
      </c>
      <c r="C60" s="36"/>
      <c r="D60" s="37">
        <v>0.6</v>
      </c>
      <c r="E60" s="51">
        <v>5</v>
      </c>
      <c r="F60" s="35">
        <v>10</v>
      </c>
      <c r="G60" s="35"/>
      <c r="Q60" s="41" t="s">
        <v>69</v>
      </c>
      <c r="R60" s="41"/>
      <c r="S60" s="35"/>
      <c r="T60" s="59">
        <v>2</v>
      </c>
      <c r="U60" s="42"/>
      <c r="V60" s="59"/>
      <c r="W60" s="59"/>
      <c r="X60" s="59"/>
      <c r="AA60" s="38" t="e">
        <f>AA59/T60</f>
        <v>#REF!</v>
      </c>
      <c r="AB60" s="38">
        <f>AB59</f>
        <v>240</v>
      </c>
      <c r="AC60" s="65" t="e">
        <f>AC59/T60</f>
        <v>#REF!</v>
      </c>
      <c r="AD60" s="65"/>
      <c r="AE60" s="39" t="e">
        <f>AE59*T60</f>
        <v>#REF!</v>
      </c>
      <c r="AF60" s="32"/>
      <c r="AG60" s="38" t="e">
        <f>AG59/T60</f>
        <v>#REF!</v>
      </c>
      <c r="AH60" s="38">
        <f>AH59</f>
        <v>160</v>
      </c>
      <c r="AI60" s="65" t="e">
        <f>AI59/T60</f>
        <v>#REF!</v>
      </c>
      <c r="AJ60" s="65"/>
      <c r="AK60" s="39" t="e">
        <f>AK59*T60</f>
        <v>#REF!</v>
      </c>
      <c r="AL60" s="39" t="e">
        <f>AL59*T60</f>
        <v>#REF!</v>
      </c>
      <c r="AM60" s="39"/>
      <c r="AN60" s="39" t="e">
        <f>AN59*T60</f>
        <v>#REF!</v>
      </c>
      <c r="AO60" s="39" t="e">
        <f>AL60+AN60</f>
        <v>#REF!</v>
      </c>
      <c r="AQ60" s="40">
        <f t="shared" ref="AQ60:AV60" si="17">AQ59</f>
        <v>0</v>
      </c>
      <c r="AR60" s="51">
        <f t="shared" si="17"/>
        <v>0</v>
      </c>
      <c r="AS60" s="40">
        <f t="shared" si="17"/>
        <v>0</v>
      </c>
      <c r="AT60" s="51">
        <f t="shared" si="17"/>
        <v>0</v>
      </c>
      <c r="AU60" s="40">
        <f t="shared" si="17"/>
        <v>0</v>
      </c>
      <c r="AV60" s="55">
        <f t="shared" si="17"/>
        <v>0</v>
      </c>
      <c r="AW60" s="40">
        <f t="shared" ref="AW60:BB60" si="18">AW59</f>
        <v>0</v>
      </c>
      <c r="AX60" s="51">
        <f t="shared" si="18"/>
        <v>0</v>
      </c>
      <c r="AY60" s="40">
        <f t="shared" si="18"/>
        <v>0</v>
      </c>
      <c r="AZ60" s="51">
        <f t="shared" si="18"/>
        <v>0</v>
      </c>
      <c r="BA60" s="40">
        <f t="shared" si="18"/>
        <v>0</v>
      </c>
      <c r="BB60" s="51">
        <f t="shared" si="18"/>
        <v>0</v>
      </c>
      <c r="BC60" s="50"/>
      <c r="BD60" s="40">
        <f t="shared" ref="BD60:BJ60" si="19">BD59</f>
        <v>0</v>
      </c>
      <c r="BE60" s="51">
        <f t="shared" si="19"/>
        <v>0</v>
      </c>
      <c r="BF60" s="40">
        <f t="shared" si="19"/>
        <v>0</v>
      </c>
      <c r="BG60" s="51">
        <f t="shared" si="19"/>
        <v>0</v>
      </c>
      <c r="BH60" s="40">
        <f t="shared" si="19"/>
        <v>0</v>
      </c>
      <c r="BI60" s="40">
        <f t="shared" si="19"/>
        <v>0</v>
      </c>
      <c r="BJ60" s="51">
        <f t="shared" si="19"/>
        <v>0</v>
      </c>
    </row>
    <row r="61" spans="2:62" ht="15.75" customHeight="1" x14ac:dyDescent="0.2">
      <c r="B61" s="33">
        <v>100</v>
      </c>
      <c r="C61" s="33"/>
      <c r="D61" s="29">
        <v>0.6</v>
      </c>
      <c r="E61" s="50">
        <v>5</v>
      </c>
      <c r="F61">
        <v>10</v>
      </c>
      <c r="Q61" s="12" t="s">
        <v>71</v>
      </c>
      <c r="R61" s="12"/>
      <c r="S61" s="13"/>
      <c r="T61" s="13"/>
      <c r="U61" s="13">
        <v>300</v>
      </c>
      <c r="V61" s="58" t="e">
        <f>U61/#REF!</f>
        <v>#REF!</v>
      </c>
      <c r="W61" s="58"/>
      <c r="X61" s="58"/>
      <c r="AA61" s="31" t="e">
        <f>#REF!</f>
        <v>#REF!</v>
      </c>
      <c r="AB61" s="31">
        <f>U61*D61</f>
        <v>180</v>
      </c>
      <c r="AC61" s="63" t="e">
        <f>(#REF!+(#REF!*(F61/100)))/(1-#REF!/100)</f>
        <v>#REF!</v>
      </c>
      <c r="AD61" s="63"/>
      <c r="AE61" s="32" t="e">
        <f>AB61/AA61</f>
        <v>#REF!</v>
      </c>
      <c r="AF61" s="32"/>
      <c r="AG61" s="31" t="e">
        <f>#REF!</f>
        <v>#REF!</v>
      </c>
      <c r="AH61" s="31">
        <f>U61*(1-D61)</f>
        <v>120</v>
      </c>
      <c r="AI61" s="63" t="e">
        <f>(#REF!+(#REF!*(F61/100)))/(1-#REF!/100)</f>
        <v>#REF!</v>
      </c>
      <c r="AJ61" s="63"/>
      <c r="AK61" s="32" t="e">
        <f>AH61/AG61</f>
        <v>#REF!</v>
      </c>
      <c r="AL61" s="32" t="e">
        <f>AE61+AE62</f>
        <v>#REF!</v>
      </c>
      <c r="AM61" s="32"/>
      <c r="AN61" s="32" t="e">
        <f>AK61+AK62</f>
        <v>#REF!</v>
      </c>
      <c r="AO61" s="32" t="e">
        <f>AL61+AN61</f>
        <v>#REF!</v>
      </c>
      <c r="AQ61" s="52">
        <f>AQ59</f>
        <v>0</v>
      </c>
      <c r="AR61" s="50">
        <f t="shared" ref="AR61:AT61" si="20">AR59</f>
        <v>0</v>
      </c>
      <c r="AS61" s="52">
        <f t="shared" si="20"/>
        <v>0</v>
      </c>
      <c r="AT61" s="50">
        <f t="shared" si="20"/>
        <v>0</v>
      </c>
      <c r="AU61" s="52">
        <f>AU59</f>
        <v>0</v>
      </c>
      <c r="AV61" s="62">
        <f>AU61/U59</f>
        <v>0</v>
      </c>
      <c r="AW61" s="63" t="e">
        <f>(B61*AL61)-(AB61+AB62)</f>
        <v>#REF!</v>
      </c>
      <c r="AX61" s="62" t="e">
        <f>AW61/(AB61+AB62)</f>
        <v>#REF!</v>
      </c>
      <c r="AY61" s="63" t="e">
        <f>(AN61*B61)-(AH61+AH62)</f>
        <v>#REF!</v>
      </c>
      <c r="AZ61" s="62" t="e">
        <f>AY61/(AH61+AH62)</f>
        <v>#REF!</v>
      </c>
      <c r="BA61" s="63" t="e">
        <f>AW61+AY61</f>
        <v>#REF!</v>
      </c>
      <c r="BB61" s="62" t="e">
        <f>BA61/(AB61+AB62+AH61+AH62)</f>
        <v>#REF!</v>
      </c>
      <c r="BC61" s="50"/>
      <c r="BD61" s="63" t="e">
        <f>AQ61+AW61</f>
        <v>#REF!</v>
      </c>
      <c r="BE61" s="62" t="e">
        <f>AX61</f>
        <v>#REF!</v>
      </c>
      <c r="BF61" s="63" t="e">
        <f>AS61+AY61</f>
        <v>#REF!</v>
      </c>
      <c r="BG61" s="62" t="e">
        <f>BF61/(AH61+AH62)</f>
        <v>#REF!</v>
      </c>
      <c r="BH61" s="63">
        <f>BH59</f>
        <v>0</v>
      </c>
      <c r="BI61" s="63" t="e">
        <f>BD61+BF61+BH61</f>
        <v>#REF!</v>
      </c>
      <c r="BJ61" s="62" t="e">
        <f>BI61/(AB61+AB62+AH61+AH62)</f>
        <v>#REF!</v>
      </c>
    </row>
    <row r="62" spans="2:62" ht="15.75" customHeight="1" x14ac:dyDescent="0.2">
      <c r="B62" s="33"/>
      <c r="C62" s="33"/>
      <c r="D62" s="29"/>
      <c r="E62" s="50"/>
      <c r="Q62" s="12"/>
      <c r="R62" s="12"/>
      <c r="S62" s="13"/>
      <c r="T62" s="13"/>
      <c r="U62" s="13"/>
      <c r="V62" s="58"/>
      <c r="W62" s="58"/>
      <c r="X62" s="58"/>
      <c r="AA62" s="31" t="e">
        <f>AA60</f>
        <v>#REF!</v>
      </c>
      <c r="AB62" s="31">
        <f>AB60</f>
        <v>240</v>
      </c>
      <c r="AC62" s="63" t="e">
        <f>AC60</f>
        <v>#REF!</v>
      </c>
      <c r="AD62" s="63"/>
      <c r="AE62" s="32" t="e">
        <f>AE60</f>
        <v>#REF!</v>
      </c>
      <c r="AF62" s="32"/>
      <c r="AG62" s="31" t="e">
        <f>AG60</f>
        <v>#REF!</v>
      </c>
      <c r="AH62" s="31">
        <f>AH60</f>
        <v>160</v>
      </c>
      <c r="AI62" s="63" t="e">
        <f>AI60</f>
        <v>#REF!</v>
      </c>
      <c r="AJ62" s="63"/>
      <c r="AK62" s="32" t="e">
        <f>AK60</f>
        <v>#REF!</v>
      </c>
      <c r="AL62" s="32"/>
      <c r="AM62" s="32"/>
      <c r="AN62" s="32"/>
      <c r="AO62" s="32"/>
      <c r="AQ62" s="52"/>
      <c r="AR62" s="50"/>
      <c r="AS62" s="52"/>
      <c r="AT62" s="50"/>
      <c r="AU62" s="52"/>
      <c r="AV62" s="62"/>
      <c r="AW62" s="52"/>
      <c r="AX62" s="50"/>
      <c r="AY62" s="52"/>
      <c r="AZ62" s="50"/>
      <c r="BA62" s="52"/>
      <c r="BB62" s="50"/>
      <c r="BC62" s="50"/>
      <c r="BD62" s="52"/>
      <c r="BE62" s="50"/>
      <c r="BF62" s="52"/>
      <c r="BG62" s="50"/>
      <c r="BH62" s="63"/>
      <c r="BI62" s="63"/>
      <c r="BJ62" s="62"/>
    </row>
    <row r="63" spans="2:62" ht="15.75" customHeight="1" x14ac:dyDescent="0.2">
      <c r="B63" s="33"/>
      <c r="C63" s="33"/>
      <c r="D63" s="29"/>
      <c r="E63" s="50"/>
      <c r="Q63" s="12"/>
      <c r="R63" s="12"/>
      <c r="S63" s="13"/>
      <c r="T63" s="13"/>
      <c r="U63" s="13"/>
      <c r="V63" s="58"/>
      <c r="W63" s="58"/>
      <c r="X63" s="58"/>
      <c r="AA63" s="31"/>
      <c r="AB63" s="31"/>
      <c r="AC63" s="63"/>
      <c r="AD63" s="63"/>
      <c r="AE63" s="32"/>
      <c r="AF63" s="32"/>
      <c r="AG63" s="31"/>
      <c r="AH63" s="31"/>
      <c r="AI63" s="63"/>
      <c r="AJ63" s="63"/>
      <c r="AK63" s="32"/>
      <c r="AL63" s="32"/>
      <c r="AM63" s="32"/>
      <c r="AN63" s="32"/>
      <c r="AO63" s="32"/>
      <c r="AQ63" s="52"/>
      <c r="AR63" s="50"/>
      <c r="AS63" s="52"/>
      <c r="AT63" s="50"/>
      <c r="AU63" s="52"/>
      <c r="AV63" s="62"/>
      <c r="AW63" s="52"/>
      <c r="AX63" s="50"/>
      <c r="AY63" s="52"/>
      <c r="AZ63" s="50"/>
      <c r="BA63" s="52"/>
      <c r="BB63" s="50"/>
      <c r="BC63" s="50"/>
      <c r="BD63" s="52"/>
      <c r="BE63" s="50"/>
      <c r="BF63" s="52"/>
      <c r="BG63" s="50"/>
      <c r="BH63" s="63"/>
      <c r="BI63" s="63"/>
      <c r="BJ63" s="62"/>
    </row>
    <row r="64" spans="2:62" ht="15.75" customHeight="1" x14ac:dyDescent="0.2">
      <c r="B64" s="67" t="s">
        <v>37</v>
      </c>
      <c r="C64" s="111"/>
      <c r="S64" s="12"/>
      <c r="T64" s="12"/>
      <c r="U64" s="12"/>
      <c r="V64" s="12"/>
      <c r="W64" s="12"/>
      <c r="X64" s="12"/>
      <c r="Y64" s="12"/>
      <c r="Z64" s="12"/>
      <c r="AA64" s="56" t="s">
        <v>27</v>
      </c>
      <c r="AB64" s="12"/>
      <c r="AC64" s="12"/>
      <c r="AD64" s="12"/>
      <c r="AE64" s="12"/>
      <c r="AF64" s="12"/>
      <c r="AG64" s="56" t="s">
        <v>28</v>
      </c>
      <c r="AH64" s="12"/>
      <c r="AI64" s="12"/>
      <c r="AJ64" s="12"/>
      <c r="AK64" s="12"/>
      <c r="AR64" s="33"/>
      <c r="AW64" s="63"/>
    </row>
    <row r="65" spans="2:44" ht="15.75" customHeight="1" x14ac:dyDescent="0.2">
      <c r="B65" s="28" t="s">
        <v>61</v>
      </c>
      <c r="C65" s="28"/>
      <c r="D65" s="28" t="s">
        <v>29</v>
      </c>
      <c r="E65" s="57" t="s">
        <v>63</v>
      </c>
      <c r="F65" s="57" t="s">
        <v>72</v>
      </c>
      <c r="G65" s="57"/>
      <c r="H65" s="103"/>
      <c r="I65" s="103"/>
      <c r="J65" s="103"/>
      <c r="K65" s="103"/>
      <c r="L65" s="103"/>
      <c r="M65" s="103"/>
      <c r="N65" s="103"/>
      <c r="O65" s="103"/>
      <c r="Q65" s="28" t="s">
        <v>3</v>
      </c>
      <c r="R65" s="28"/>
      <c r="S65" s="57" t="s">
        <v>50</v>
      </c>
      <c r="T65" s="57" t="s">
        <v>70</v>
      </c>
      <c r="U65" s="28" t="s">
        <v>1</v>
      </c>
      <c r="V65" s="57" t="s">
        <v>62</v>
      </c>
      <c r="W65" s="57" t="s">
        <v>9</v>
      </c>
      <c r="X65" s="57"/>
      <c r="Y65" s="60"/>
      <c r="Z65" s="12"/>
      <c r="AA65" s="28" t="s">
        <v>30</v>
      </c>
      <c r="AB65" s="28" t="s">
        <v>1</v>
      </c>
      <c r="AC65" s="57" t="s">
        <v>10</v>
      </c>
      <c r="AD65" s="57"/>
      <c r="AE65" s="57" t="s">
        <v>64</v>
      </c>
      <c r="AF65" s="60"/>
      <c r="AG65" s="28" t="s">
        <v>30</v>
      </c>
      <c r="AH65" s="28" t="s">
        <v>1</v>
      </c>
      <c r="AI65" s="57" t="s">
        <v>10</v>
      </c>
      <c r="AJ65" s="57"/>
      <c r="AK65" s="57" t="s">
        <v>64</v>
      </c>
      <c r="AR65" s="33"/>
    </row>
    <row r="66" spans="2:44" ht="15.75" customHeight="1" x14ac:dyDescent="0.2">
      <c r="B66" s="33">
        <v>100</v>
      </c>
      <c r="C66" s="33"/>
      <c r="D66" s="29">
        <v>0.6</v>
      </c>
      <c r="E66" s="50">
        <v>5</v>
      </c>
      <c r="F66">
        <v>10</v>
      </c>
      <c r="Q66" t="s">
        <v>38</v>
      </c>
      <c r="S66" s="33"/>
      <c r="T66" s="33"/>
      <c r="U66" s="33">
        <v>200</v>
      </c>
      <c r="V66" s="33"/>
      <c r="W66" s="33"/>
      <c r="X66" s="33"/>
      <c r="Y66" s="68"/>
      <c r="AA66" s="33" t="e">
        <f>#REF!</f>
        <v>#REF!</v>
      </c>
      <c r="AB66" s="33">
        <f>U66*D66</f>
        <v>120</v>
      </c>
      <c r="AC66" s="33"/>
      <c r="AD66" s="33"/>
      <c r="AE66" s="44" t="e">
        <f>AB66/AA66</f>
        <v>#REF!</v>
      </c>
      <c r="AF66" s="44"/>
      <c r="AG66" s="33" t="e">
        <f>#REF!</f>
        <v>#REF!</v>
      </c>
      <c r="AH66" s="31">
        <f>U66*(1-D66)</f>
        <v>80</v>
      </c>
      <c r="AI66" s="33"/>
      <c r="AJ66" s="33"/>
      <c r="AK66" s="32" t="e">
        <f>AH66/AG66</f>
        <v>#REF!</v>
      </c>
    </row>
    <row r="67" spans="2:44" ht="15.75" customHeight="1" x14ac:dyDescent="0.2">
      <c r="B67" s="36">
        <v>100</v>
      </c>
      <c r="C67" s="36"/>
      <c r="D67" s="37">
        <v>0.6</v>
      </c>
      <c r="E67" s="51">
        <v>5</v>
      </c>
      <c r="F67" s="35">
        <v>10</v>
      </c>
      <c r="G67" s="35"/>
      <c r="Q67" s="35" t="s">
        <v>39</v>
      </c>
      <c r="R67" s="35"/>
      <c r="S67" s="35"/>
      <c r="T67" s="35"/>
      <c r="U67" s="35"/>
      <c r="V67" s="35"/>
      <c r="W67" s="35"/>
      <c r="X67" s="35"/>
      <c r="AA67" s="38" t="s">
        <v>34</v>
      </c>
      <c r="AB67" s="38" t="s">
        <v>34</v>
      </c>
      <c r="AC67" s="38"/>
      <c r="AD67" s="38"/>
      <c r="AE67" s="38" t="s">
        <v>34</v>
      </c>
      <c r="AF67" s="31"/>
      <c r="AG67" s="38" t="s">
        <v>34</v>
      </c>
      <c r="AH67" s="38" t="s">
        <v>34</v>
      </c>
      <c r="AI67" s="38"/>
      <c r="AJ67" s="38"/>
      <c r="AK67" s="38" t="s">
        <v>34</v>
      </c>
    </row>
    <row r="68" spans="2:44" ht="15.75" customHeight="1" x14ac:dyDescent="0.2">
      <c r="B68" s="33">
        <v>100</v>
      </c>
      <c r="C68" s="33"/>
      <c r="D68" s="29">
        <v>0.6</v>
      </c>
      <c r="E68" s="50">
        <v>5</v>
      </c>
      <c r="F68">
        <v>10</v>
      </c>
      <c r="Q68" t="s">
        <v>40</v>
      </c>
      <c r="S68" s="33"/>
      <c r="T68" s="33"/>
      <c r="U68" s="33">
        <v>500</v>
      </c>
      <c r="V68" s="33"/>
      <c r="W68" s="33"/>
      <c r="X68" s="33"/>
      <c r="Y68" s="68"/>
      <c r="AA68" s="33" t="e">
        <f>#REF!</f>
        <v>#REF!</v>
      </c>
      <c r="AB68" s="33">
        <f>U68</f>
        <v>500</v>
      </c>
      <c r="AC68" s="33"/>
      <c r="AD68" s="33"/>
      <c r="AE68" s="44" t="e">
        <f>AB68/AA68</f>
        <v>#REF!</v>
      </c>
      <c r="AF68" s="44"/>
      <c r="AG68" s="31" t="s">
        <v>34</v>
      </c>
      <c r="AH68" s="31" t="s">
        <v>34</v>
      </c>
      <c r="AI68" s="33"/>
      <c r="AJ68" s="33"/>
      <c r="AK68" s="31" t="s">
        <v>34</v>
      </c>
    </row>
    <row r="69" spans="2:44" ht="15.75" customHeight="1" x14ac:dyDescent="0.2">
      <c r="B69" s="36">
        <v>100</v>
      </c>
      <c r="C69" s="36"/>
      <c r="D69" s="37">
        <v>0.6</v>
      </c>
      <c r="E69" s="51">
        <v>5</v>
      </c>
      <c r="F69" s="35">
        <v>10</v>
      </c>
      <c r="G69" s="35"/>
      <c r="Q69" s="35" t="s">
        <v>41</v>
      </c>
      <c r="R69" s="35"/>
      <c r="S69" s="35"/>
      <c r="T69" s="35"/>
      <c r="U69" s="35"/>
      <c r="V69" s="35"/>
      <c r="W69" s="35"/>
      <c r="X69" s="35"/>
      <c r="AA69" s="38" t="s">
        <v>34</v>
      </c>
      <c r="AB69" s="38" t="s">
        <v>34</v>
      </c>
      <c r="AC69" s="38"/>
      <c r="AD69" s="38"/>
      <c r="AE69" s="38" t="s">
        <v>34</v>
      </c>
      <c r="AF69" s="31"/>
      <c r="AG69" s="38" t="s">
        <v>34</v>
      </c>
      <c r="AH69" s="38" t="s">
        <v>34</v>
      </c>
      <c r="AI69" s="38"/>
      <c r="AJ69" s="38"/>
      <c r="AK69" s="38" t="s">
        <v>34</v>
      </c>
    </row>
    <row r="70" spans="2:44" ht="15.75" customHeight="1" x14ac:dyDescent="0.2">
      <c r="B70" s="33">
        <v>100</v>
      </c>
      <c r="C70" s="33"/>
      <c r="D70" s="29">
        <v>0.6</v>
      </c>
      <c r="E70" s="50">
        <v>5</v>
      </c>
      <c r="F70">
        <v>10</v>
      </c>
      <c r="Q70" t="s">
        <v>42</v>
      </c>
      <c r="S70" s="33"/>
      <c r="T70" s="33"/>
      <c r="U70" s="33">
        <v>350</v>
      </c>
      <c r="V70" s="33"/>
      <c r="W70" s="33"/>
      <c r="X70" s="33"/>
      <c r="Y70" s="68"/>
      <c r="AA70" s="31" t="s">
        <v>34</v>
      </c>
      <c r="AB70" s="31" t="s">
        <v>34</v>
      </c>
      <c r="AC70" s="31"/>
      <c r="AD70" s="31"/>
      <c r="AE70" s="31" t="s">
        <v>34</v>
      </c>
      <c r="AF70" s="31"/>
      <c r="AG70" s="33" t="e">
        <f>#REF!</f>
        <v>#REF!</v>
      </c>
      <c r="AH70" s="31">
        <f>U70*(1-D70)</f>
        <v>140</v>
      </c>
      <c r="AI70" s="31"/>
      <c r="AJ70" s="31"/>
      <c r="AK70" s="32" t="e">
        <f>AH70/AG70</f>
        <v>#REF!</v>
      </c>
    </row>
    <row r="71" spans="2:44" ht="15.75" customHeight="1" x14ac:dyDescent="0.2">
      <c r="B71" s="36">
        <v>100</v>
      </c>
      <c r="C71" s="36"/>
      <c r="D71" s="37">
        <v>0.6</v>
      </c>
      <c r="E71" s="51">
        <v>5</v>
      </c>
      <c r="F71" s="35">
        <v>10</v>
      </c>
      <c r="G71" s="35"/>
      <c r="Q71" s="35" t="s">
        <v>43</v>
      </c>
      <c r="R71" s="35"/>
      <c r="S71" s="35"/>
      <c r="T71" s="35"/>
      <c r="U71" s="35"/>
      <c r="V71" s="35"/>
      <c r="W71" s="35"/>
      <c r="X71" s="35"/>
      <c r="AA71" s="38" t="s">
        <v>34</v>
      </c>
      <c r="AB71" s="38" t="s">
        <v>34</v>
      </c>
      <c r="AC71" s="38"/>
      <c r="AD71" s="38"/>
      <c r="AE71" s="38" t="s">
        <v>34</v>
      </c>
      <c r="AF71" s="31"/>
      <c r="AG71" s="38" t="s">
        <v>34</v>
      </c>
      <c r="AH71" s="38" t="s">
        <v>34</v>
      </c>
      <c r="AI71" s="38"/>
      <c r="AJ71" s="38"/>
      <c r="AK71" s="38" t="s">
        <v>34</v>
      </c>
    </row>
    <row r="73" spans="2:44" ht="15.75" customHeight="1" x14ac:dyDescent="0.2">
      <c r="B73" s="66" t="s">
        <v>44</v>
      </c>
      <c r="C73" s="34"/>
      <c r="AA73" s="56" t="s">
        <v>27</v>
      </c>
      <c r="AB73" s="12"/>
      <c r="AC73" s="12"/>
      <c r="AD73" s="12"/>
      <c r="AE73" s="12"/>
      <c r="AF73" s="12"/>
      <c r="AG73" s="56" t="s">
        <v>28</v>
      </c>
      <c r="AI73" s="12"/>
      <c r="AJ73" s="12"/>
    </row>
    <row r="74" spans="2:44" ht="15.75" customHeight="1" x14ac:dyDescent="0.2">
      <c r="B74" s="28" t="s">
        <v>61</v>
      </c>
      <c r="C74" s="28"/>
      <c r="D74" s="28" t="s">
        <v>29</v>
      </c>
      <c r="E74" s="57" t="s">
        <v>63</v>
      </c>
      <c r="F74" s="57" t="s">
        <v>72</v>
      </c>
      <c r="G74" s="57"/>
      <c r="H74" s="103"/>
      <c r="I74" s="103"/>
      <c r="J74" s="103"/>
      <c r="K74" s="103"/>
      <c r="L74" s="103"/>
      <c r="M74" s="103"/>
      <c r="N74" s="103"/>
      <c r="O74" s="103"/>
      <c r="Q74" s="28" t="s">
        <v>3</v>
      </c>
      <c r="R74" s="28"/>
      <c r="S74" s="57" t="s">
        <v>50</v>
      </c>
      <c r="T74" s="57" t="s">
        <v>70</v>
      </c>
      <c r="U74" s="28" t="s">
        <v>1</v>
      </c>
      <c r="V74" s="57" t="s">
        <v>62</v>
      </c>
      <c r="W74" s="57" t="s">
        <v>9</v>
      </c>
      <c r="X74" s="57"/>
      <c r="Y74" s="60"/>
      <c r="Z74" s="12"/>
      <c r="AA74" s="28" t="s">
        <v>30</v>
      </c>
      <c r="AB74" s="28" t="s">
        <v>1</v>
      </c>
      <c r="AC74" s="57" t="s">
        <v>10</v>
      </c>
      <c r="AD74" s="57"/>
      <c r="AE74" s="57" t="s">
        <v>64</v>
      </c>
      <c r="AF74" s="60"/>
      <c r="AG74" s="28" t="s">
        <v>30</v>
      </c>
      <c r="AH74" s="28" t="s">
        <v>1</v>
      </c>
      <c r="AI74" s="57" t="s">
        <v>10</v>
      </c>
      <c r="AJ74" s="57"/>
      <c r="AK74" s="57" t="s">
        <v>64</v>
      </c>
    </row>
    <row r="75" spans="2:44" ht="15.75" customHeight="1" x14ac:dyDescent="0.2">
      <c r="B75" s="33">
        <v>100</v>
      </c>
      <c r="C75" s="33"/>
      <c r="D75" s="29">
        <v>0.3</v>
      </c>
      <c r="E75" s="50">
        <v>5</v>
      </c>
      <c r="F75">
        <v>10</v>
      </c>
      <c r="Q75" s="45" t="s">
        <v>47</v>
      </c>
      <c r="R75" s="45"/>
      <c r="S75" s="33"/>
      <c r="T75" s="33"/>
      <c r="U75" s="33">
        <v>200</v>
      </c>
      <c r="V75" s="33"/>
      <c r="W75" s="33"/>
      <c r="X75" s="33"/>
      <c r="Y75" s="68"/>
      <c r="AA75" s="33" t="e">
        <f>#REF!</f>
        <v>#REF!</v>
      </c>
      <c r="AB75" s="33">
        <f>U75*D75</f>
        <v>60</v>
      </c>
      <c r="AC75" s="33"/>
      <c r="AD75" s="33"/>
      <c r="AE75" s="44" t="e">
        <f>AB75/AA75</f>
        <v>#REF!</v>
      </c>
      <c r="AF75" s="44"/>
      <c r="AG75" s="33" t="e">
        <f>#REF!</f>
        <v>#REF!</v>
      </c>
      <c r="AH75" s="31">
        <f>U75*(1-D75)</f>
        <v>140</v>
      </c>
      <c r="AI75" s="33"/>
      <c r="AJ75" s="33"/>
      <c r="AK75" s="32" t="e">
        <f>AH75/AG75</f>
        <v>#REF!</v>
      </c>
    </row>
    <row r="76" spans="2:44" ht="15.75" customHeight="1" x14ac:dyDescent="0.2">
      <c r="B76" s="36">
        <v>100</v>
      </c>
      <c r="C76" s="36"/>
      <c r="D76" s="37">
        <v>0.3</v>
      </c>
      <c r="E76" s="51">
        <v>5</v>
      </c>
      <c r="F76" s="35">
        <v>10</v>
      </c>
      <c r="G76" s="35"/>
      <c r="Q76" s="47" t="s">
        <v>45</v>
      </c>
      <c r="R76" s="47"/>
      <c r="S76" s="36"/>
      <c r="T76" s="36"/>
      <c r="U76" s="36">
        <v>300</v>
      </c>
      <c r="V76" s="36"/>
      <c r="W76" s="36"/>
      <c r="X76" s="36"/>
      <c r="Y76" s="68"/>
      <c r="AA76" s="36" t="e">
        <f>#REF!</f>
        <v>#REF!</v>
      </c>
      <c r="AB76" s="36">
        <f>U76+AB75</f>
        <v>360</v>
      </c>
      <c r="AC76" s="36"/>
      <c r="AD76" s="36"/>
      <c r="AE76" s="48" t="e">
        <f>AB76/AA76</f>
        <v>#REF!</v>
      </c>
      <c r="AF76" s="44"/>
      <c r="AG76" s="36">
        <v>100</v>
      </c>
      <c r="AH76" s="38">
        <f>AH75</f>
        <v>140</v>
      </c>
      <c r="AI76" s="36"/>
      <c r="AJ76" s="36"/>
      <c r="AK76" s="39">
        <v>1.4</v>
      </c>
    </row>
    <row r="77" spans="2:44" ht="15.75" customHeight="1" x14ac:dyDescent="0.2">
      <c r="B77" s="33">
        <v>100</v>
      </c>
      <c r="C77" s="33"/>
      <c r="D77" s="29">
        <v>0.3</v>
      </c>
      <c r="E77" s="50">
        <v>5</v>
      </c>
      <c r="F77">
        <v>10</v>
      </c>
      <c r="Q77" s="45" t="s">
        <v>46</v>
      </c>
      <c r="R77" s="45"/>
      <c r="S77" s="33"/>
      <c r="T77" s="33"/>
      <c r="U77" s="33">
        <v>400</v>
      </c>
      <c r="V77" s="33"/>
      <c r="W77" s="33"/>
      <c r="X77" s="33"/>
      <c r="AA77" s="33">
        <v>100</v>
      </c>
      <c r="AB77" s="33">
        <f>AB76</f>
        <v>360</v>
      </c>
      <c r="AC77" s="33"/>
      <c r="AD77" s="33"/>
      <c r="AE77" s="44">
        <v>3.6</v>
      </c>
      <c r="AF77" s="44"/>
      <c r="AG77" s="33" t="e">
        <f>#REF!</f>
        <v>#REF!</v>
      </c>
      <c r="AH77" s="33">
        <f>U77+AH76</f>
        <v>540</v>
      </c>
      <c r="AI77" s="33"/>
      <c r="AJ77" s="33"/>
      <c r="AK77" s="32" t="e">
        <f>AH77/AG77</f>
        <v>#REF!</v>
      </c>
    </row>
    <row r="78" spans="2:44" ht="15.75" customHeight="1" x14ac:dyDescent="0.2">
      <c r="B78" s="36">
        <v>100</v>
      </c>
      <c r="C78" s="36"/>
      <c r="D78" s="37">
        <v>0.3</v>
      </c>
      <c r="E78" s="51">
        <v>5</v>
      </c>
      <c r="F78" s="35">
        <v>10</v>
      </c>
      <c r="G78" s="35"/>
      <c r="Q78" s="47" t="s">
        <v>48</v>
      </c>
      <c r="R78" s="47"/>
      <c r="S78" s="36"/>
      <c r="T78" s="36"/>
      <c r="U78" s="36">
        <v>500</v>
      </c>
      <c r="V78" s="36"/>
      <c r="W78" s="36"/>
      <c r="X78" s="36"/>
      <c r="Y78" s="68"/>
      <c r="AA78" s="36" t="e">
        <f>#REF!</f>
        <v>#REF!</v>
      </c>
      <c r="AB78" s="36">
        <f>AB77+(U78*D78)</f>
        <v>510</v>
      </c>
      <c r="AC78" s="36"/>
      <c r="AD78" s="36"/>
      <c r="AE78" s="48" t="e">
        <f>AB78/AA78</f>
        <v>#REF!</v>
      </c>
      <c r="AF78" s="44"/>
      <c r="AG78" s="36" t="e">
        <f>#REF!</f>
        <v>#REF!</v>
      </c>
      <c r="AH78" s="36">
        <f>AH77+(U78*(1-D78))</f>
        <v>890</v>
      </c>
      <c r="AI78" s="36"/>
      <c r="AJ78" s="36"/>
      <c r="AK78" s="39" t="e">
        <f>AH78/AG78</f>
        <v>#REF!</v>
      </c>
    </row>
    <row r="80" spans="2:44" ht="15.75" customHeight="1" x14ac:dyDescent="0.2">
      <c r="B80" s="66" t="s">
        <v>98</v>
      </c>
      <c r="C80" s="34"/>
      <c r="AA80" s="56" t="s">
        <v>27</v>
      </c>
      <c r="AB80" s="12"/>
      <c r="AC80" s="12"/>
      <c r="AD80" s="12"/>
      <c r="AE80" s="12"/>
      <c r="AF80" s="12"/>
      <c r="AG80" s="56" t="s">
        <v>28</v>
      </c>
      <c r="AI80" s="12"/>
      <c r="AJ80" s="12"/>
      <c r="AM80" s="34" t="s">
        <v>179</v>
      </c>
    </row>
    <row r="81" spans="2:42" ht="15.75" customHeight="1" x14ac:dyDescent="0.2">
      <c r="B81" s="28" t="s">
        <v>61</v>
      </c>
      <c r="C81" s="28"/>
      <c r="D81" s="28" t="s">
        <v>29</v>
      </c>
      <c r="E81" s="57" t="s">
        <v>63</v>
      </c>
      <c r="F81" s="57" t="s">
        <v>72</v>
      </c>
      <c r="G81" s="57" t="s">
        <v>99</v>
      </c>
      <c r="H81" s="103"/>
      <c r="I81" s="103"/>
      <c r="J81" s="103"/>
      <c r="K81" s="103"/>
      <c r="L81" s="103"/>
      <c r="M81" s="103"/>
      <c r="N81" s="103"/>
      <c r="O81" s="103"/>
      <c r="Q81" s="28" t="s">
        <v>3</v>
      </c>
      <c r="R81" s="28"/>
      <c r="S81" s="57" t="s">
        <v>50</v>
      </c>
      <c r="T81" s="57" t="s">
        <v>70</v>
      </c>
      <c r="U81" s="28" t="s">
        <v>1</v>
      </c>
      <c r="V81" s="57" t="s">
        <v>62</v>
      </c>
      <c r="W81" s="57" t="s">
        <v>9</v>
      </c>
      <c r="X81" s="57"/>
      <c r="Y81" s="60"/>
      <c r="Z81" s="12"/>
      <c r="AA81" s="28" t="s">
        <v>30</v>
      </c>
      <c r="AB81" s="28" t="s">
        <v>1</v>
      </c>
      <c r="AC81" s="57" t="s">
        <v>72</v>
      </c>
      <c r="AD81" s="57" t="s">
        <v>100</v>
      </c>
      <c r="AE81" s="57" t="s">
        <v>64</v>
      </c>
      <c r="AF81" s="60"/>
      <c r="AG81" s="28" t="s">
        <v>30</v>
      </c>
      <c r="AH81" s="28" t="s">
        <v>1</v>
      </c>
      <c r="AI81" s="57" t="s">
        <v>99</v>
      </c>
      <c r="AJ81" s="57" t="s">
        <v>101</v>
      </c>
      <c r="AK81" s="57" t="s">
        <v>64</v>
      </c>
      <c r="AM81" s="28" t="s">
        <v>100</v>
      </c>
      <c r="AN81" s="57" t="s">
        <v>101</v>
      </c>
      <c r="AO81" s="103"/>
      <c r="AP81" s="103"/>
    </row>
    <row r="82" spans="2:42" ht="15.75" customHeight="1" x14ac:dyDescent="0.2">
      <c r="B82" s="33">
        <v>100</v>
      </c>
      <c r="C82" s="33" t="s">
        <v>187</v>
      </c>
      <c r="D82" s="29">
        <v>0.5</v>
      </c>
      <c r="E82" s="50">
        <v>5</v>
      </c>
      <c r="F82">
        <v>10</v>
      </c>
      <c r="G82">
        <v>20</v>
      </c>
      <c r="Q82" s="45" t="s">
        <v>102</v>
      </c>
      <c r="R82" s="45"/>
      <c r="S82" s="33"/>
      <c r="T82" s="33"/>
      <c r="U82" s="33">
        <v>200</v>
      </c>
      <c r="V82" s="50" t="e">
        <f>U82/#REF!</f>
        <v>#REF!</v>
      </c>
      <c r="W82" s="33"/>
      <c r="X82" s="33"/>
      <c r="Y82" s="68"/>
      <c r="AA82" s="33" t="e">
        <f>#REF!</f>
        <v>#REF!</v>
      </c>
      <c r="AB82" s="33">
        <f>U82*D82</f>
        <v>100</v>
      </c>
      <c r="AC82" s="52" t="e">
        <f>AA82*(1+F82/100)/(1-#REF!/100)</f>
        <v>#REF!</v>
      </c>
      <c r="AD82" s="97" t="e">
        <f t="shared" ref="AD82:AD90" si="21">(B82-AC82)/AC82</f>
        <v>#REF!</v>
      </c>
      <c r="AE82" s="44" t="e">
        <f>AB82/AA82</f>
        <v>#REF!</v>
      </c>
      <c r="AF82" s="44"/>
      <c r="AG82" s="33" t="e">
        <f>#REF!</f>
        <v>#REF!</v>
      </c>
      <c r="AH82" s="31">
        <f>U82*(1-D82)</f>
        <v>100</v>
      </c>
      <c r="AI82" s="52" t="e">
        <f>AG82*(1+G82/100)/(1-#REF!/100)</f>
        <v>#REF!</v>
      </c>
      <c r="AJ82" s="54" t="e">
        <f t="shared" ref="AJ82:AJ90" si="22">(B82-AI82)/AI82</f>
        <v>#REF!</v>
      </c>
      <c r="AK82" s="32" t="e">
        <f>AH82/AG82</f>
        <v>#REF!</v>
      </c>
      <c r="AM82" s="54" t="e">
        <f t="shared" ref="AM82:AM90" si="23">(B82-AC82)/AC82</f>
        <v>#REF!</v>
      </c>
      <c r="AN82" s="54" t="e">
        <f t="shared" ref="AN82:AN90" si="24">(B82-AI82)/AI82</f>
        <v>#REF!</v>
      </c>
    </row>
    <row r="83" spans="2:42" ht="15.75" customHeight="1" x14ac:dyDescent="0.2">
      <c r="B83" s="36">
        <v>109</v>
      </c>
      <c r="C83" s="36" t="s">
        <v>187</v>
      </c>
      <c r="D83" s="37">
        <v>0.5</v>
      </c>
      <c r="E83" s="51">
        <v>5</v>
      </c>
      <c r="F83" s="35">
        <v>10</v>
      </c>
      <c r="G83" s="35">
        <v>20</v>
      </c>
      <c r="Q83" s="47"/>
      <c r="R83" s="47"/>
      <c r="S83" s="36"/>
      <c r="T83" s="36"/>
      <c r="U83" s="36"/>
      <c r="V83" s="51"/>
      <c r="W83" s="36"/>
      <c r="X83" s="36"/>
      <c r="Y83" s="68"/>
      <c r="AA83" s="36" t="e">
        <f t="shared" ref="AA83:AC85" si="25">AA82</f>
        <v>#REF!</v>
      </c>
      <c r="AB83" s="36">
        <f t="shared" si="25"/>
        <v>100</v>
      </c>
      <c r="AC83" s="40" t="e">
        <f t="shared" si="25"/>
        <v>#REF!</v>
      </c>
      <c r="AD83" s="118" t="e">
        <f t="shared" si="21"/>
        <v>#REF!</v>
      </c>
      <c r="AE83" s="48" t="e">
        <f>AE82</f>
        <v>#REF!</v>
      </c>
      <c r="AF83" s="44"/>
      <c r="AG83" s="36">
        <v>100</v>
      </c>
      <c r="AH83" s="38">
        <f t="shared" ref="AH83:AI85" si="26">AH82</f>
        <v>100</v>
      </c>
      <c r="AI83" s="40" t="e">
        <f t="shared" si="26"/>
        <v>#REF!</v>
      </c>
      <c r="AJ83" s="55" t="e">
        <f t="shared" si="22"/>
        <v>#REF!</v>
      </c>
      <c r="AK83" s="39" t="e">
        <f>AK82</f>
        <v>#REF!</v>
      </c>
      <c r="AM83" s="117" t="e">
        <f t="shared" si="23"/>
        <v>#REF!</v>
      </c>
      <c r="AN83" s="55" t="e">
        <f t="shared" si="24"/>
        <v>#REF!</v>
      </c>
    </row>
    <row r="84" spans="2:42" ht="15.75" customHeight="1" x14ac:dyDescent="0.2">
      <c r="B84" s="33">
        <v>115</v>
      </c>
      <c r="C84" s="33" t="s">
        <v>187</v>
      </c>
      <c r="D84" s="29">
        <v>0.5</v>
      </c>
      <c r="E84" s="50">
        <v>5</v>
      </c>
      <c r="F84">
        <v>10</v>
      </c>
      <c r="G84">
        <v>20</v>
      </c>
      <c r="Q84" s="45"/>
      <c r="R84" s="45"/>
      <c r="S84" s="33"/>
      <c r="T84" s="33"/>
      <c r="U84" s="33"/>
      <c r="V84" s="50"/>
      <c r="W84" s="33"/>
      <c r="X84" s="33"/>
      <c r="AA84" s="33" t="e">
        <f t="shared" si="25"/>
        <v>#REF!</v>
      </c>
      <c r="AB84" s="33">
        <f t="shared" si="25"/>
        <v>100</v>
      </c>
      <c r="AC84" s="120" t="e">
        <f t="shared" si="25"/>
        <v>#REF!</v>
      </c>
      <c r="AD84" s="115" t="e">
        <f t="shared" si="21"/>
        <v>#REF!</v>
      </c>
      <c r="AE84" s="44" t="e">
        <f>AE83</f>
        <v>#REF!</v>
      </c>
      <c r="AF84" s="44"/>
      <c r="AG84" s="33">
        <v>100</v>
      </c>
      <c r="AH84" s="31">
        <f t="shared" si="26"/>
        <v>100</v>
      </c>
      <c r="AI84" s="52" t="e">
        <f t="shared" si="26"/>
        <v>#REF!</v>
      </c>
      <c r="AJ84" s="62" t="e">
        <f t="shared" si="22"/>
        <v>#REF!</v>
      </c>
      <c r="AK84" s="32" t="e">
        <f>AK83</f>
        <v>#REF!</v>
      </c>
      <c r="AM84" s="119" t="e">
        <f t="shared" si="23"/>
        <v>#REF!</v>
      </c>
      <c r="AN84" s="54" t="e">
        <f t="shared" si="24"/>
        <v>#REF!</v>
      </c>
    </row>
    <row r="85" spans="2:42" ht="15.75" customHeight="1" x14ac:dyDescent="0.2">
      <c r="B85" s="36">
        <v>122</v>
      </c>
      <c r="C85" s="36" t="s">
        <v>187</v>
      </c>
      <c r="D85" s="37">
        <v>0.5</v>
      </c>
      <c r="E85" s="51">
        <v>5</v>
      </c>
      <c r="F85" s="35">
        <v>10</v>
      </c>
      <c r="G85" s="35">
        <v>20</v>
      </c>
      <c r="Q85" s="47"/>
      <c r="R85" s="47"/>
      <c r="S85" s="36"/>
      <c r="T85" s="36"/>
      <c r="U85" s="36"/>
      <c r="V85" s="51"/>
      <c r="W85" s="36"/>
      <c r="X85" s="36"/>
      <c r="Y85" s="68"/>
      <c r="AA85" s="36" t="e">
        <f t="shared" si="25"/>
        <v>#REF!</v>
      </c>
      <c r="AB85" s="36">
        <f t="shared" si="25"/>
        <v>100</v>
      </c>
      <c r="AC85" s="121" t="e">
        <f t="shared" si="25"/>
        <v>#REF!</v>
      </c>
      <c r="AD85" s="116" t="e">
        <f t="shared" si="21"/>
        <v>#REF!</v>
      </c>
      <c r="AE85" s="48" t="e">
        <f>AE84</f>
        <v>#REF!</v>
      </c>
      <c r="AF85" s="44"/>
      <c r="AG85" s="36">
        <v>100</v>
      </c>
      <c r="AH85" s="38">
        <f t="shared" si="26"/>
        <v>100</v>
      </c>
      <c r="AI85" s="121" t="e">
        <f t="shared" si="26"/>
        <v>#REF!</v>
      </c>
      <c r="AJ85" s="116" t="e">
        <f t="shared" si="22"/>
        <v>#REF!</v>
      </c>
      <c r="AK85" s="39" t="e">
        <f>AK84</f>
        <v>#REF!</v>
      </c>
      <c r="AM85" s="116" t="e">
        <f t="shared" si="23"/>
        <v>#REF!</v>
      </c>
      <c r="AN85" s="116" t="e">
        <f t="shared" si="24"/>
        <v>#REF!</v>
      </c>
    </row>
    <row r="86" spans="2:42" ht="15.75" customHeight="1" x14ac:dyDescent="0.2">
      <c r="B86" s="33">
        <v>100</v>
      </c>
      <c r="C86" s="33" t="s">
        <v>188</v>
      </c>
      <c r="D86" s="29">
        <v>0.5</v>
      </c>
      <c r="E86" s="50">
        <v>5</v>
      </c>
      <c r="F86">
        <v>10</v>
      </c>
      <c r="G86">
        <v>20</v>
      </c>
      <c r="Q86" s="45" t="s">
        <v>102</v>
      </c>
      <c r="R86" s="45"/>
      <c r="S86" s="33"/>
      <c r="T86" s="33"/>
      <c r="U86" s="33">
        <v>200</v>
      </c>
      <c r="V86" s="50" t="e">
        <f>U86/#REF!</f>
        <v>#REF!</v>
      </c>
      <c r="W86" s="33"/>
      <c r="X86" s="33"/>
      <c r="Y86" s="68"/>
      <c r="AA86" s="33" t="e">
        <f>#REF!</f>
        <v>#REF!</v>
      </c>
      <c r="AB86" s="33">
        <f>U86*D86</f>
        <v>100</v>
      </c>
      <c r="AC86" s="52" t="e">
        <f>AA86*(1+F86/100)/(1-#REF!/100)</f>
        <v>#REF!</v>
      </c>
      <c r="AD86" s="97" t="e">
        <f t="shared" si="21"/>
        <v>#REF!</v>
      </c>
      <c r="AE86" s="44" t="e">
        <f>AB86/AA86</f>
        <v>#REF!</v>
      </c>
      <c r="AF86" s="44"/>
      <c r="AG86" s="33" t="e">
        <f>#REF!</f>
        <v>#REF!</v>
      </c>
      <c r="AH86" s="31">
        <f>U86*(1-D86)</f>
        <v>100</v>
      </c>
      <c r="AI86" s="52" t="e">
        <f>AG86*(1+G86/100)/(1-#REF!/100)</f>
        <v>#REF!</v>
      </c>
      <c r="AJ86" s="54" t="e">
        <f t="shared" si="22"/>
        <v>#REF!</v>
      </c>
      <c r="AK86" s="32" t="e">
        <f>AH86/AG86</f>
        <v>#REF!</v>
      </c>
      <c r="AM86" s="54" t="e">
        <f t="shared" si="23"/>
        <v>#REF!</v>
      </c>
      <c r="AN86" s="54" t="e">
        <f t="shared" si="24"/>
        <v>#REF!</v>
      </c>
    </row>
    <row r="87" spans="2:42" ht="15.75" customHeight="1" x14ac:dyDescent="0.2">
      <c r="B87" s="36">
        <v>109</v>
      </c>
      <c r="C87" s="36" t="s">
        <v>188</v>
      </c>
      <c r="D87" s="37">
        <v>0.5</v>
      </c>
      <c r="E87" s="51">
        <v>5</v>
      </c>
      <c r="F87" s="35">
        <v>10</v>
      </c>
      <c r="G87" s="35">
        <v>20</v>
      </c>
      <c r="Q87" s="47"/>
      <c r="R87" s="47"/>
      <c r="S87" s="36"/>
      <c r="T87" s="36"/>
      <c r="U87" s="36"/>
      <c r="V87" s="51"/>
      <c r="W87" s="36"/>
      <c r="X87" s="36"/>
      <c r="Y87" s="68"/>
      <c r="AA87" s="36" t="e">
        <f t="shared" ref="AA87:AC87" si="27">AA86</f>
        <v>#REF!</v>
      </c>
      <c r="AB87" s="36">
        <f t="shared" si="27"/>
        <v>100</v>
      </c>
      <c r="AC87" s="40" t="e">
        <f t="shared" si="27"/>
        <v>#REF!</v>
      </c>
      <c r="AD87" s="55" t="e">
        <f t="shared" si="21"/>
        <v>#REF!</v>
      </c>
      <c r="AE87" s="48" t="e">
        <f>AE86</f>
        <v>#REF!</v>
      </c>
      <c r="AF87" s="44"/>
      <c r="AG87" s="36">
        <v>100</v>
      </c>
      <c r="AH87" s="38">
        <f t="shared" ref="AH87:AI87" si="28">AH86</f>
        <v>100</v>
      </c>
      <c r="AI87" s="40" t="e">
        <f t="shared" si="28"/>
        <v>#REF!</v>
      </c>
      <c r="AJ87" s="55" t="e">
        <f t="shared" si="22"/>
        <v>#REF!</v>
      </c>
      <c r="AK87" s="39" t="e">
        <f>AK86</f>
        <v>#REF!</v>
      </c>
      <c r="AM87" s="55" t="e">
        <f t="shared" si="23"/>
        <v>#REF!</v>
      </c>
      <c r="AN87" s="55" t="e">
        <f t="shared" si="24"/>
        <v>#REF!</v>
      </c>
    </row>
    <row r="88" spans="2:42" ht="15.75" customHeight="1" x14ac:dyDescent="0.2">
      <c r="B88" s="33">
        <v>115</v>
      </c>
      <c r="C88" s="33" t="s">
        <v>188</v>
      </c>
      <c r="D88" s="29">
        <v>0.5</v>
      </c>
      <c r="E88" s="50">
        <v>5</v>
      </c>
      <c r="F88">
        <v>10</v>
      </c>
      <c r="G88">
        <v>20</v>
      </c>
      <c r="Q88" s="45"/>
      <c r="R88" s="45"/>
      <c r="S88" s="33"/>
      <c r="T88" s="33"/>
      <c r="U88" s="33"/>
      <c r="V88" s="50"/>
      <c r="W88" s="33"/>
      <c r="X88" s="33"/>
      <c r="Y88" s="68"/>
      <c r="AA88" s="33" t="e">
        <f t="shared" ref="AA88:AC88" si="29">AA87</f>
        <v>#REF!</v>
      </c>
      <c r="AB88" s="33">
        <f t="shared" si="29"/>
        <v>100</v>
      </c>
      <c r="AC88" s="120" t="e">
        <f t="shared" si="29"/>
        <v>#REF!</v>
      </c>
      <c r="AD88" s="115" t="e">
        <f t="shared" si="21"/>
        <v>#REF!</v>
      </c>
      <c r="AE88" s="44" t="e">
        <f>AE87</f>
        <v>#REF!</v>
      </c>
      <c r="AF88" s="44"/>
      <c r="AG88" s="33">
        <v>100</v>
      </c>
      <c r="AH88" s="31">
        <f t="shared" ref="AH88:AI88" si="30">AH87</f>
        <v>100</v>
      </c>
      <c r="AI88" s="52" t="e">
        <f t="shared" si="30"/>
        <v>#REF!</v>
      </c>
      <c r="AJ88" s="62" t="e">
        <f t="shared" si="22"/>
        <v>#REF!</v>
      </c>
      <c r="AK88" s="32" t="e">
        <f>AK87</f>
        <v>#REF!</v>
      </c>
      <c r="AM88" s="119" t="e">
        <f t="shared" si="23"/>
        <v>#REF!</v>
      </c>
      <c r="AN88" s="54" t="e">
        <f t="shared" si="24"/>
        <v>#REF!</v>
      </c>
    </row>
    <row r="89" spans="2:42" ht="15.75" customHeight="1" x14ac:dyDescent="0.2">
      <c r="B89" s="36">
        <v>122</v>
      </c>
      <c r="C89" s="123" t="s">
        <v>188</v>
      </c>
      <c r="D89" s="37">
        <v>0.5</v>
      </c>
      <c r="E89" s="51">
        <v>5</v>
      </c>
      <c r="F89" s="35">
        <v>10</v>
      </c>
      <c r="G89" s="35">
        <v>20</v>
      </c>
      <c r="Q89" s="47"/>
      <c r="R89" s="47"/>
      <c r="S89" s="36"/>
      <c r="T89" s="36"/>
      <c r="U89" s="36"/>
      <c r="V89" s="51"/>
      <c r="W89" s="36"/>
      <c r="X89" s="36"/>
      <c r="Y89" s="68"/>
      <c r="AA89" s="36" t="e">
        <f t="shared" ref="AA89:AC89" si="31">AA88</f>
        <v>#REF!</v>
      </c>
      <c r="AB89" s="36">
        <f t="shared" si="31"/>
        <v>100</v>
      </c>
      <c r="AC89" s="121" t="e">
        <f t="shared" si="31"/>
        <v>#REF!</v>
      </c>
      <c r="AD89" s="116" t="e">
        <f t="shared" si="21"/>
        <v>#REF!</v>
      </c>
      <c r="AE89" s="48" t="e">
        <f>AE88</f>
        <v>#REF!</v>
      </c>
      <c r="AF89" s="44"/>
      <c r="AG89" s="36">
        <v>100</v>
      </c>
      <c r="AH89" s="38">
        <f t="shared" ref="AH89:AI89" si="32">AH88</f>
        <v>100</v>
      </c>
      <c r="AI89" s="121" t="e">
        <f t="shared" si="32"/>
        <v>#REF!</v>
      </c>
      <c r="AJ89" s="116" t="e">
        <f t="shared" si="22"/>
        <v>#REF!</v>
      </c>
      <c r="AK89" s="39" t="e">
        <f>AK88</f>
        <v>#REF!</v>
      </c>
      <c r="AM89" s="116" t="e">
        <f t="shared" si="23"/>
        <v>#REF!</v>
      </c>
      <c r="AN89" s="116" t="e">
        <f t="shared" si="24"/>
        <v>#REF!</v>
      </c>
    </row>
    <row r="90" spans="2:42" ht="15.75" customHeight="1" x14ac:dyDescent="0.2">
      <c r="B90" s="33">
        <v>122</v>
      </c>
      <c r="C90" s="33" t="s">
        <v>188</v>
      </c>
      <c r="D90" s="29">
        <v>0.5</v>
      </c>
      <c r="E90" s="50">
        <v>5</v>
      </c>
      <c r="F90">
        <v>10</v>
      </c>
      <c r="G90">
        <v>20</v>
      </c>
      <c r="Q90" s="45" t="s">
        <v>189</v>
      </c>
      <c r="R90" s="45"/>
      <c r="S90" s="33"/>
      <c r="T90" s="33"/>
      <c r="U90" s="33">
        <v>200</v>
      </c>
      <c r="V90" s="50" t="e">
        <f>U90/#REF!</f>
        <v>#REF!</v>
      </c>
      <c r="W90" s="33"/>
      <c r="X90" s="33"/>
      <c r="Y90" s="68"/>
      <c r="AA90" s="33" t="e">
        <f>#REF!</f>
        <v>#REF!</v>
      </c>
      <c r="AB90" s="33">
        <f>U90*D90</f>
        <v>100</v>
      </c>
      <c r="AC90" s="120" t="e">
        <f>AA90*(1+F90/100)/(1-#REF!/100)</f>
        <v>#REF!</v>
      </c>
      <c r="AD90" s="115" t="e">
        <f t="shared" si="21"/>
        <v>#REF!</v>
      </c>
      <c r="AE90" s="44" t="e">
        <f>AE89</f>
        <v>#REF!</v>
      </c>
      <c r="AF90" s="44"/>
      <c r="AG90" s="33" t="e">
        <f>#REF!</f>
        <v>#REF!</v>
      </c>
      <c r="AH90" s="31">
        <f>U90*(1-D90)</f>
        <v>100</v>
      </c>
      <c r="AI90" s="52" t="e">
        <f>AG90*(1+G90/100)/(1-#REF!/100)</f>
        <v>#REF!</v>
      </c>
      <c r="AJ90" s="54" t="e">
        <f t="shared" si="22"/>
        <v>#REF!</v>
      </c>
      <c r="AK90" s="32" t="e">
        <f>AH90/AG90</f>
        <v>#REF!</v>
      </c>
      <c r="AM90" s="119" t="e">
        <f t="shared" si="23"/>
        <v>#REF!</v>
      </c>
      <c r="AN90" s="54" t="e">
        <f t="shared" si="24"/>
        <v>#REF!</v>
      </c>
    </row>
    <row r="91" spans="2:42" ht="15.75" customHeight="1" x14ac:dyDescent="0.2">
      <c r="B91" s="33"/>
      <c r="C91" s="33"/>
      <c r="D91" s="29"/>
      <c r="E91" s="50"/>
      <c r="Q91" s="45"/>
      <c r="R91" s="45"/>
      <c r="S91" s="33"/>
      <c r="T91" s="33"/>
      <c r="U91" s="33"/>
      <c r="V91" s="50"/>
      <c r="W91" s="33"/>
      <c r="X91" s="33"/>
      <c r="Y91" s="68"/>
      <c r="AA91" s="33"/>
      <c r="AB91" s="33"/>
      <c r="AC91" s="52"/>
      <c r="AD91" s="62"/>
      <c r="AE91" s="44"/>
      <c r="AF91" s="44"/>
      <c r="AG91" s="33"/>
      <c r="AH91" s="31"/>
      <c r="AI91" s="33"/>
      <c r="AJ91" s="62"/>
      <c r="AK91" s="32"/>
    </row>
    <row r="92" spans="2:42" ht="15.75" customHeight="1" x14ac:dyDescent="0.2">
      <c r="AA92" s="112"/>
      <c r="AB92" s="112"/>
      <c r="AC92" s="112"/>
      <c r="AD92" s="112"/>
      <c r="AE92" s="112"/>
      <c r="AF92" s="112"/>
      <c r="AG92" s="112"/>
      <c r="AH92" s="112"/>
      <c r="AI92" s="112"/>
      <c r="AJ92" s="112"/>
      <c r="AK92" s="112"/>
      <c r="AL92" s="112"/>
    </row>
    <row r="93" spans="2:42" ht="15.75" customHeight="1" x14ac:dyDescent="0.2">
      <c r="B93" s="96" t="s">
        <v>103</v>
      </c>
      <c r="C93" s="34"/>
      <c r="AA93" s="112"/>
      <c r="AB93" s="112"/>
      <c r="AC93" s="113"/>
      <c r="AD93" s="112"/>
      <c r="AE93" s="112"/>
      <c r="AF93" s="112"/>
      <c r="AG93" s="112"/>
      <c r="AH93" s="112"/>
      <c r="AI93" s="112"/>
      <c r="AJ93" s="112"/>
      <c r="AK93" s="112"/>
      <c r="AL93" s="112"/>
    </row>
    <row r="94" spans="2:42" ht="15.75" customHeight="1" x14ac:dyDescent="0.2">
      <c r="B94" s="28" t="s">
        <v>61</v>
      </c>
      <c r="C94" s="28"/>
      <c r="D94" s="28" t="s">
        <v>29</v>
      </c>
      <c r="E94" s="57" t="s">
        <v>63</v>
      </c>
      <c r="F94" s="57" t="s">
        <v>72</v>
      </c>
      <c r="G94" s="57" t="s">
        <v>99</v>
      </c>
      <c r="H94" s="103"/>
      <c r="I94" s="103"/>
      <c r="J94" s="103"/>
      <c r="K94" s="103"/>
      <c r="L94" s="103"/>
      <c r="M94" s="103"/>
      <c r="N94" s="103"/>
      <c r="O94" s="103"/>
      <c r="AA94" s="112"/>
      <c r="AB94" s="112"/>
      <c r="AC94" s="114"/>
      <c r="AD94" s="112"/>
      <c r="AE94" s="112"/>
      <c r="AF94" s="112"/>
      <c r="AG94" s="112"/>
      <c r="AH94" s="112"/>
      <c r="AI94" s="112"/>
      <c r="AJ94" s="112"/>
      <c r="AK94" s="112"/>
      <c r="AL94" s="112"/>
    </row>
    <row r="95" spans="2:42" ht="15.75" customHeight="1" x14ac:dyDescent="0.2">
      <c r="B95" s="33">
        <v>100</v>
      </c>
      <c r="C95" s="33"/>
      <c r="D95" s="29">
        <v>0.5</v>
      </c>
      <c r="E95" s="50">
        <v>5</v>
      </c>
      <c r="F95">
        <v>10</v>
      </c>
      <c r="G95">
        <v>20</v>
      </c>
      <c r="AA95" s="112"/>
      <c r="AB95" s="112"/>
      <c r="AC95" s="112"/>
      <c r="AD95" s="112"/>
      <c r="AE95" s="112"/>
      <c r="AF95" s="112"/>
      <c r="AG95" s="112"/>
      <c r="AH95" s="112"/>
      <c r="AI95" s="112"/>
      <c r="AJ95" s="112"/>
      <c r="AK95" s="112"/>
      <c r="AL95" s="112"/>
    </row>
    <row r="96" spans="2:42" ht="15.75" customHeight="1" x14ac:dyDescent="0.2">
      <c r="B96" s="36">
        <v>109</v>
      </c>
      <c r="C96" s="36"/>
      <c r="D96" s="37">
        <v>0.5</v>
      </c>
      <c r="E96" s="51">
        <v>5</v>
      </c>
      <c r="F96" s="35">
        <v>10</v>
      </c>
      <c r="G96" s="35">
        <v>20</v>
      </c>
      <c r="AA96" s="112"/>
      <c r="AB96" s="112"/>
      <c r="AC96" s="112"/>
      <c r="AD96" s="112"/>
      <c r="AE96" s="112"/>
      <c r="AF96" s="112"/>
      <c r="AG96" s="112"/>
      <c r="AH96" s="112"/>
      <c r="AI96" s="112"/>
      <c r="AJ96" s="112"/>
      <c r="AK96" s="112"/>
      <c r="AL96" s="112"/>
    </row>
    <row r="97" spans="2:38" ht="15.75" customHeight="1" x14ac:dyDescent="0.2">
      <c r="B97" s="33">
        <v>115</v>
      </c>
      <c r="C97" s="33"/>
      <c r="D97" s="29">
        <v>0.5</v>
      </c>
      <c r="E97" s="50">
        <v>5</v>
      </c>
      <c r="F97">
        <v>10</v>
      </c>
      <c r="G97">
        <v>20</v>
      </c>
      <c r="AA97" s="112"/>
      <c r="AB97" s="112"/>
      <c r="AC97" s="112"/>
      <c r="AD97" s="112"/>
      <c r="AE97" s="112"/>
      <c r="AF97" s="112"/>
      <c r="AG97" s="112"/>
      <c r="AH97" s="112"/>
      <c r="AI97" s="112"/>
      <c r="AJ97" s="112"/>
      <c r="AK97" s="112"/>
      <c r="AL97" s="112"/>
    </row>
    <row r="98" spans="2:38" ht="15.75" customHeight="1" x14ac:dyDescent="0.2">
      <c r="B98" s="36">
        <v>122</v>
      </c>
      <c r="C98" s="36"/>
      <c r="D98" s="37">
        <v>0.5</v>
      </c>
      <c r="E98" s="51">
        <v>5</v>
      </c>
      <c r="F98" s="35">
        <v>10</v>
      </c>
      <c r="G98" s="35">
        <v>20</v>
      </c>
      <c r="AA98" s="112"/>
      <c r="AB98" s="112"/>
      <c r="AC98" s="112"/>
      <c r="AD98" s="112"/>
      <c r="AE98" s="112"/>
      <c r="AF98" s="112"/>
      <c r="AG98" s="112"/>
      <c r="AH98" s="112"/>
      <c r="AI98" s="112"/>
      <c r="AJ98" s="112"/>
      <c r="AK98" s="112"/>
      <c r="AL98" s="112"/>
    </row>
    <row r="99" spans="2:38" ht="15.75" customHeight="1" x14ac:dyDescent="0.2">
      <c r="AL99" s="122"/>
    </row>
    <row r="100" spans="2:38" ht="15.75" customHeight="1" x14ac:dyDescent="0.2">
      <c r="B100" s="66" t="s">
        <v>175</v>
      </c>
      <c r="C100" s="34"/>
      <c r="AA100" s="56" t="s">
        <v>186</v>
      </c>
      <c r="AB100" s="12"/>
      <c r="AC100" s="12"/>
      <c r="AD100" s="34" t="s">
        <v>179</v>
      </c>
      <c r="AG100" s="46"/>
      <c r="AH100" s="45"/>
      <c r="AI100" s="46"/>
      <c r="AJ100" s="46"/>
      <c r="AK100" s="45"/>
    </row>
    <row r="101" spans="2:38" ht="15.75" customHeight="1" x14ac:dyDescent="0.2">
      <c r="B101" s="28" t="s">
        <v>110</v>
      </c>
      <c r="C101" s="28" t="s">
        <v>114</v>
      </c>
      <c r="D101" s="28" t="s">
        <v>29</v>
      </c>
      <c r="E101" s="57" t="s">
        <v>63</v>
      </c>
      <c r="F101" s="57" t="s">
        <v>72</v>
      </c>
      <c r="G101" s="57" t="s">
        <v>99</v>
      </c>
      <c r="H101" s="103"/>
      <c r="I101" s="103"/>
      <c r="J101" s="103"/>
      <c r="K101" s="103"/>
      <c r="L101" s="103"/>
      <c r="M101" s="103"/>
      <c r="N101" s="103"/>
      <c r="O101" s="103"/>
      <c r="Q101" s="28" t="s">
        <v>3</v>
      </c>
      <c r="R101" s="28"/>
      <c r="S101" s="28"/>
      <c r="T101" s="57" t="s">
        <v>70</v>
      </c>
      <c r="U101" s="28" t="s">
        <v>1</v>
      </c>
      <c r="V101" s="57" t="s">
        <v>62</v>
      </c>
      <c r="W101" s="103"/>
      <c r="X101" s="103"/>
      <c r="AA101" s="57" t="s">
        <v>0</v>
      </c>
      <c r="AB101" s="57" t="s">
        <v>9</v>
      </c>
      <c r="AC101" s="103"/>
      <c r="AD101" s="57" t="s">
        <v>182</v>
      </c>
      <c r="AE101" s="57" t="s">
        <v>183</v>
      </c>
      <c r="AF101" s="57" t="s">
        <v>181</v>
      </c>
      <c r="AG101" s="103"/>
      <c r="AH101" s="103"/>
      <c r="AI101" s="103"/>
      <c r="AJ101" s="103"/>
      <c r="AK101" s="103"/>
    </row>
    <row r="102" spans="2:38" ht="15.75" customHeight="1" x14ac:dyDescent="0.2">
      <c r="B102" s="33">
        <v>100</v>
      </c>
      <c r="C102" s="101" t="s">
        <v>176</v>
      </c>
      <c r="D102" s="29">
        <v>0.5</v>
      </c>
      <c r="E102" s="50">
        <v>5</v>
      </c>
      <c r="F102">
        <v>10</v>
      </c>
      <c r="G102">
        <v>20</v>
      </c>
      <c r="Q102" s="45" t="s">
        <v>75</v>
      </c>
      <c r="R102" s="45"/>
      <c r="S102" s="33"/>
      <c r="T102" s="33"/>
      <c r="U102" s="33">
        <v>500</v>
      </c>
      <c r="V102" s="50" t="e">
        <f>U102/#REF!</f>
        <v>#REF!</v>
      </c>
      <c r="W102" s="52"/>
      <c r="X102" s="52"/>
      <c r="AA102" s="33"/>
      <c r="AB102" s="33"/>
      <c r="AC102" s="33"/>
      <c r="AD102" s="102" t="e">
        <f>IF(
      OR(
        (B102*(1+#REF!/100)/C109-1)*100 &lt;= -E102,
        (B102*(1+#REF!/100)/C110-1)*100 &lt;= -E102,
        (B102*(1+#REF!/100)/C111-1)*100 &lt;= -E102,
        (B102*(1+#REF!/100)/C112-1)*100 &lt;= -E102,
        (B102*(1+#REF!/100)/C113-1)*100 &lt;= -E102
      ),
      MIN(
        IF((B102*(1+#REF!/100)/C109-1)*100 &lt;= -E102, (B102*(1+#REF!/100)/C109-1)*100, 0),
        IF((B102*(1+#REF!/100)/C110-1)*100 &lt;= -E102, (B102*(1+#REF!/100)/C110-1)*100, 0),
        IF((B102*(1+#REF!/100)/C111-1)*100 &lt;= -E102, (B102*(1+#REF!/100)/C111-1)*100, 0),
        IF((B102*(1+#REF!/100)/C112-1)*100 &lt;= -E102, (B102*(1+#REF!/100)/C112-1)*100, 0),
        IF((B102*(1+#REF!/100)/C113-1)*100 &lt;= -E102, (B102*(1+#REF!/100)/C113-1)*100, 0)
      )/100,
      ""
    )</f>
        <v>#REF!</v>
      </c>
      <c r="AE102" s="93" t="s">
        <v>34</v>
      </c>
      <c r="AF102" t="s">
        <v>184</v>
      </c>
      <c r="AG102" s="101"/>
      <c r="AH102" s="104"/>
      <c r="AI102" s="101"/>
      <c r="AJ102" s="105"/>
      <c r="AK102" s="106"/>
    </row>
    <row r="103" spans="2:38" ht="15.75" customHeight="1" x14ac:dyDescent="0.2">
      <c r="B103" s="36"/>
      <c r="C103" s="36"/>
      <c r="D103" s="37"/>
      <c r="E103" s="51"/>
      <c r="F103" s="35"/>
      <c r="G103" s="35"/>
      <c r="Q103" s="47" t="s">
        <v>75</v>
      </c>
      <c r="R103" s="47"/>
      <c r="S103" s="36"/>
      <c r="T103" s="36"/>
      <c r="U103" s="36">
        <v>200</v>
      </c>
      <c r="V103" s="51" t="e">
        <f>U103/#REF!</f>
        <v>#REF!</v>
      </c>
      <c r="W103" s="52"/>
      <c r="X103" s="52"/>
      <c r="AA103" s="36"/>
      <c r="AB103" s="36"/>
      <c r="AC103" s="33"/>
      <c r="AD103" s="109" t="e">
        <f>IF(
      OR(
        (B102*(1+#REF!/100)/C109-1)*100 &lt;= -E102,
        (B102*(1+#REF!/100)/C110-1)*100 &lt;= -E102,
        (B102*(1+#REF!/100)/C111-1)*100 &lt;= -E102,
        (B102*(1+#REF!/100)/C112-1)*100 &lt;= -E102,
        (B102*(1+#REF!/100)/C113-1)*100 &lt;= -E102
      ),
      MIN(
        IF((B102*(1+#REF!/100)/C109-1)*100 &lt;= -E102, (B102*(1+#REF!/100)/C109-1)*100, 0),
        IF((B102*(1+#REF!/100)/C110-1)*100 &lt;= -E102, (B102*(1+#REF!/100)/C110-1)*100, 0),
        IF((B102*(1+#REF!/100)/C111-1)*100 &lt;= -E102, (B102*(1+#REF!/100)/C111-1)*100, 0),
        IF((B102*(1+#REF!/100)/C112-1)*100 &lt;= -E102, (B102*(1+#REF!/100)/C112-1)*100, 0),
        IF((B102*(1+#REF!/100)/C113-1)*100 &lt;= -E102, (B102*(1+#REF!/100)/C113-1)*100, 0)
      )/100,
      ""
    )</f>
        <v>#REF!</v>
      </c>
      <c r="AE103" s="107" t="s">
        <v>34</v>
      </c>
      <c r="AF103" s="35" t="e">
        <f>#REF!</f>
        <v>#REF!</v>
      </c>
      <c r="AG103" s="101"/>
      <c r="AH103" s="104"/>
      <c r="AI103" s="101"/>
      <c r="AJ103" s="105"/>
      <c r="AK103" s="106"/>
    </row>
    <row r="104" spans="2:38" ht="15.75" customHeight="1" x14ac:dyDescent="0.2">
      <c r="B104" s="33">
        <v>50</v>
      </c>
      <c r="C104" s="101" t="s">
        <v>185</v>
      </c>
      <c r="D104" s="29">
        <v>0.5</v>
      </c>
      <c r="E104" s="50">
        <v>8</v>
      </c>
      <c r="F104">
        <v>10</v>
      </c>
      <c r="G104">
        <v>20</v>
      </c>
      <c r="Q104" s="45" t="s">
        <v>75</v>
      </c>
      <c r="R104" s="45"/>
      <c r="S104" s="33"/>
      <c r="T104" s="33"/>
      <c r="U104" s="33">
        <v>600</v>
      </c>
      <c r="V104" s="50" t="e">
        <f>U104/#REF!</f>
        <v>#REF!</v>
      </c>
      <c r="W104" s="52"/>
      <c r="X104" s="52"/>
      <c r="AA104" s="33" t="e">
        <f>#REF!</f>
        <v>#REF!</v>
      </c>
      <c r="AB104" s="52" t="e">
        <f>AA104 * (1 - $E$104%)</f>
        <v>#REF!</v>
      </c>
      <c r="AC104" s="33"/>
      <c r="AE104" s="54" t="e">
        <f>($B$104 -#REF!) /#REF!</f>
        <v>#REF!</v>
      </c>
      <c r="AF104" t="e">
        <f>#REF!</f>
        <v>#REF!</v>
      </c>
      <c r="AG104" s="101"/>
      <c r="AH104" s="104"/>
      <c r="AI104" s="101"/>
      <c r="AJ104" s="105"/>
      <c r="AK104" s="106"/>
    </row>
    <row r="105" spans="2:38" ht="15.75" customHeight="1" x14ac:dyDescent="0.2">
      <c r="B105" s="36"/>
      <c r="C105" s="36"/>
      <c r="D105" s="37"/>
      <c r="E105" s="51"/>
      <c r="F105" s="35"/>
      <c r="G105" s="35"/>
      <c r="Q105" s="47" t="s">
        <v>75</v>
      </c>
      <c r="R105" s="47"/>
      <c r="S105" s="36"/>
      <c r="T105" s="36"/>
      <c r="U105" s="36">
        <v>520</v>
      </c>
      <c r="V105" s="51" t="e">
        <f>U105/#REF!</f>
        <v>#REF!</v>
      </c>
      <c r="W105" s="52"/>
      <c r="X105" s="52"/>
      <c r="AA105" s="36" t="e">
        <f>#REF!</f>
        <v>#REF!</v>
      </c>
      <c r="AB105" s="40" t="e">
        <f t="shared" ref="AB105:AB106" si="33">AA105 * (1 - $E$104%)</f>
        <v>#REF!</v>
      </c>
      <c r="AC105" s="33"/>
      <c r="AD105" s="35"/>
      <c r="AE105" s="55" t="e">
        <f>($B$104 -#REF!) /#REF!</f>
        <v>#REF!</v>
      </c>
      <c r="AF105" s="35" t="e">
        <f>#REF!</f>
        <v>#REF!</v>
      </c>
      <c r="AG105" s="101"/>
      <c r="AH105" s="104"/>
      <c r="AI105" s="101"/>
      <c r="AJ105" s="105"/>
      <c r="AK105" s="106"/>
    </row>
    <row r="106" spans="2:38" ht="15.75" customHeight="1" x14ac:dyDescent="0.2">
      <c r="B106" s="33"/>
      <c r="C106" s="33"/>
      <c r="D106" s="29"/>
      <c r="E106" s="50"/>
      <c r="Q106" t="s">
        <v>75</v>
      </c>
      <c r="U106" s="33">
        <v>700</v>
      </c>
      <c r="V106" s="50" t="e">
        <f>U106/#REF!</f>
        <v>#REF!</v>
      </c>
      <c r="W106" s="52"/>
      <c r="X106" s="52"/>
      <c r="AA106" s="33" t="e">
        <f>#REF!</f>
        <v>#REF!</v>
      </c>
      <c r="AB106" s="52" t="e">
        <f t="shared" si="33"/>
        <v>#REF!</v>
      </c>
      <c r="AE106" s="54" t="e">
        <f>($B$104 -#REF!) /#REF!</f>
        <v>#REF!</v>
      </c>
      <c r="AF106" t="e">
        <f>#REF!</f>
        <v>#REF!</v>
      </c>
      <c r="AG106" s="45"/>
      <c r="AH106" s="45"/>
      <c r="AI106" s="45"/>
      <c r="AJ106" s="45"/>
      <c r="AK106" s="45"/>
    </row>
    <row r="107" spans="2:38" ht="15.75" customHeight="1" x14ac:dyDescent="0.2">
      <c r="B107" s="101" t="s">
        <v>177</v>
      </c>
      <c r="C107" s="33"/>
      <c r="D107" s="29"/>
      <c r="E107" s="50"/>
      <c r="Q107" s="47" t="s">
        <v>75</v>
      </c>
      <c r="R107" s="47"/>
      <c r="S107" s="35"/>
      <c r="T107" s="35"/>
      <c r="U107" s="36">
        <v>255</v>
      </c>
      <c r="V107" s="51" t="e">
        <f>U107/#REF!</f>
        <v>#REF!</v>
      </c>
      <c r="AA107" s="36" t="e">
        <f>#REF!</f>
        <v>#REF!</v>
      </c>
      <c r="AB107" s="40" t="e">
        <f>(AA107 * (1 - $E$104%)) / (1 +#REF! %)</f>
        <v>#REF!</v>
      </c>
      <c r="AD107" s="35"/>
      <c r="AE107" s="108" t="e">
        <f>($B$104 -#REF!) /#REF!</f>
        <v>#REF!</v>
      </c>
      <c r="AF107" s="35" t="e">
        <f>#REF!</f>
        <v>#REF!</v>
      </c>
    </row>
    <row r="108" spans="2:38" ht="15.75" customHeight="1" x14ac:dyDescent="0.2">
      <c r="B108" s="57" t="s">
        <v>2</v>
      </c>
      <c r="C108" s="57" t="s">
        <v>178</v>
      </c>
      <c r="D108" s="57" t="s">
        <v>180</v>
      </c>
      <c r="Q108" s="45" t="s">
        <v>75</v>
      </c>
      <c r="R108" s="45"/>
      <c r="U108" s="33">
        <v>1100</v>
      </c>
      <c r="V108" s="50" t="e">
        <f>U108/#REF!</f>
        <v>#REF!</v>
      </c>
      <c r="AA108" s="33" t="e">
        <f>#REF!</f>
        <v>#REF!</v>
      </c>
      <c r="AD108" s="102" t="e">
        <f>IF(
      OR(
        (B102*(1+#REF!/100)/C109-1)*100 &lt;= -E102,
        (B102*(1+#REF!/100)/C110-1)*100 &lt;= -E102,
        (B102*(1+#REF!/100)/C111-1)*100 &lt;= -E102,
        (B102*(1+#REF!/100)/C112-1)*100 &lt;= -E102,
        (B102*(1+#REF!/100)/C113-1)*100 &lt;= -E102
      ),
      MIN(
        IF((B102*(1+#REF!/100)/C109-1)*100 &lt;= -E102, (B102*(1+#REF!/100)/C109-1)*100, 0),
        IF((B102*(1+#REF!/100)/C110-1)*100 &lt;= -E102, (B102*(1+#REF!/100)/C110-1)*100, 0),
        IF((B102*(1+#REF!/100)/C111-1)*100 &lt;= -E102, (B102*(1+#REF!/100)/C111-1)*100, 0),
        IF((B102*(1+#REF!/100)/C112-1)*100 &lt;= -E102, (B102*(1+#REF!/100)/C112-1)*100, 0),
        IF((B102*(1+#REF!/100)/C113-1)*100 &lt;= -E102, (B102*(1+#REF!/100)/C113-1)*100, 0)
      )/100,
      ""
    )</f>
        <v>#REF!</v>
      </c>
      <c r="AE108" s="110" t="e">
        <f>($B$102 -#REF!) /#REF!</f>
        <v>#REF!</v>
      </c>
      <c r="AF108" t="e">
        <f>#REF!</f>
        <v>#REF!</v>
      </c>
    </row>
    <row r="109" spans="2:38" ht="15.75" customHeight="1" x14ac:dyDescent="0.2">
      <c r="B109" s="100">
        <v>45924</v>
      </c>
      <c r="C109" s="99">
        <v>106</v>
      </c>
    </row>
    <row r="110" spans="2:38" ht="15.75" customHeight="1" x14ac:dyDescent="0.2">
      <c r="B110" s="100">
        <v>45923</v>
      </c>
      <c r="C110" s="99">
        <v>105</v>
      </c>
    </row>
    <row r="111" spans="2:38" ht="15.75" customHeight="1" x14ac:dyDescent="0.2">
      <c r="B111" s="100">
        <v>45922</v>
      </c>
      <c r="C111" s="99">
        <v>108</v>
      </c>
    </row>
    <row r="112" spans="2:38" ht="15.75" customHeight="1" x14ac:dyDescent="0.2">
      <c r="B112" s="100">
        <v>45921</v>
      </c>
      <c r="C112" s="99">
        <v>107</v>
      </c>
    </row>
    <row r="113" spans="2:43" ht="15.75" customHeight="1" x14ac:dyDescent="0.2">
      <c r="B113" s="100">
        <v>45920</v>
      </c>
      <c r="C113" s="99">
        <v>104</v>
      </c>
      <c r="P113" s="45"/>
      <c r="AB113" s="69"/>
    </row>
    <row r="114" spans="2:43" ht="15.75" customHeight="1" x14ac:dyDescent="0.2">
      <c r="P114" s="45"/>
    </row>
    <row r="115" spans="2:43" ht="15.75" customHeight="1" x14ac:dyDescent="0.2">
      <c r="P115" s="45"/>
    </row>
    <row r="116" spans="2:43" ht="15.75" customHeight="1" x14ac:dyDescent="0.2">
      <c r="P116" s="93"/>
      <c r="AB116" s="45" t="s">
        <v>74</v>
      </c>
      <c r="AL116" s="45" t="s">
        <v>94</v>
      </c>
    </row>
    <row r="117" spans="2:43" ht="15.75" customHeight="1" x14ac:dyDescent="0.2">
      <c r="AB117" s="70" t="s">
        <v>2</v>
      </c>
      <c r="AC117" s="71" t="s">
        <v>3</v>
      </c>
      <c r="AD117" s="71"/>
      <c r="AE117" s="71" t="s">
        <v>76</v>
      </c>
      <c r="AF117" s="71" t="s">
        <v>4</v>
      </c>
      <c r="AG117" s="71" t="s">
        <v>0</v>
      </c>
      <c r="AH117" s="71" t="s">
        <v>1</v>
      </c>
      <c r="AI117" s="71" t="s">
        <v>62</v>
      </c>
      <c r="AJ117" s="71"/>
      <c r="AK117" s="71" t="s">
        <v>77</v>
      </c>
      <c r="AL117" s="71" t="s">
        <v>84</v>
      </c>
      <c r="AM117" s="71" t="s">
        <v>83</v>
      </c>
      <c r="AN117" s="71" t="s">
        <v>7</v>
      </c>
      <c r="AO117" s="71" t="s">
        <v>81</v>
      </c>
      <c r="AP117" s="71" t="s">
        <v>79</v>
      </c>
      <c r="AQ117" s="71" t="s">
        <v>82</v>
      </c>
    </row>
    <row r="118" spans="2:43" ht="15.75" customHeight="1" x14ac:dyDescent="0.2">
      <c r="AB118" s="79">
        <v>45658</v>
      </c>
      <c r="AC118" s="80" t="s">
        <v>75</v>
      </c>
      <c r="AD118" s="80"/>
      <c r="AE118" s="81" t="s">
        <v>85</v>
      </c>
      <c r="AF118" s="80" t="s">
        <v>78</v>
      </c>
      <c r="AG118" s="82">
        <v>200</v>
      </c>
      <c r="AH118" s="82">
        <v>200</v>
      </c>
      <c r="AI118" s="83">
        <f>AH118/AG118</f>
        <v>1</v>
      </c>
      <c r="AJ118" s="83"/>
      <c r="AK118" s="80"/>
      <c r="AL118" s="83">
        <v>1</v>
      </c>
      <c r="AM118" s="83">
        <f>AL118/2</f>
        <v>0.5</v>
      </c>
      <c r="AN118" s="84">
        <f>AL118/2</f>
        <v>0.5</v>
      </c>
      <c r="AO118" s="82">
        <v>0</v>
      </c>
      <c r="AP118" s="85">
        <f>ABS(AO118-AH118)</f>
        <v>200</v>
      </c>
      <c r="AQ118" s="86">
        <f>((AO118+(AI118*AG118)-AP118)/AP118)</f>
        <v>0</v>
      </c>
    </row>
    <row r="119" spans="2:43" ht="15.75" customHeight="1" x14ac:dyDescent="0.2">
      <c r="AB119" s="72">
        <v>45659</v>
      </c>
      <c r="AC119" s="73" t="s">
        <v>73</v>
      </c>
      <c r="AD119" s="73"/>
      <c r="AE119" s="75" t="s">
        <v>86</v>
      </c>
      <c r="AF119" s="73" t="s">
        <v>10</v>
      </c>
      <c r="AG119" s="74">
        <v>220</v>
      </c>
      <c r="AH119" s="73"/>
      <c r="AI119" s="76">
        <f>AM118</f>
        <v>0.5</v>
      </c>
      <c r="AJ119" s="76"/>
      <c r="AK119" s="74">
        <f>AG119*AI119</f>
        <v>110</v>
      </c>
      <c r="AL119" s="76">
        <v>0.5</v>
      </c>
      <c r="AM119" s="76">
        <v>0</v>
      </c>
      <c r="AN119" s="76">
        <v>0.5</v>
      </c>
      <c r="AO119" s="74">
        <f>AK119+AO118</f>
        <v>110</v>
      </c>
      <c r="AP119" s="74">
        <f>AP118</f>
        <v>200</v>
      </c>
      <c r="AQ119" s="78">
        <f t="shared" ref="AQ119:AQ127" si="34">((AO119+(AL119*AG119)-AP119)/AP119)</f>
        <v>0.1</v>
      </c>
    </row>
    <row r="120" spans="2:43" ht="15.75" customHeight="1" x14ac:dyDescent="0.2">
      <c r="AB120" s="79">
        <v>45660</v>
      </c>
      <c r="AC120" s="80" t="s">
        <v>75</v>
      </c>
      <c r="AD120" s="80"/>
      <c r="AE120" s="81" t="s">
        <v>87</v>
      </c>
      <c r="AF120" s="80" t="s">
        <v>80</v>
      </c>
      <c r="AG120" s="82">
        <v>220</v>
      </c>
      <c r="AH120" s="82">
        <v>220</v>
      </c>
      <c r="AI120" s="83">
        <f>AH120/AG120</f>
        <v>1</v>
      </c>
      <c r="AJ120" s="83"/>
      <c r="AK120" s="80"/>
      <c r="AL120" s="83">
        <f>AI120+AL119</f>
        <v>1.5</v>
      </c>
      <c r="AM120" s="83">
        <f>AM119+(AI120/2)</f>
        <v>0.5</v>
      </c>
      <c r="AN120" s="83">
        <f>AN119+(AI120/2)</f>
        <v>1</v>
      </c>
      <c r="AO120" s="82">
        <v>0</v>
      </c>
      <c r="AP120" s="82">
        <f>AP119+(AH120-AO119)</f>
        <v>310</v>
      </c>
      <c r="AQ120" s="86">
        <f t="shared" si="34"/>
        <v>6.4516129032258063E-2</v>
      </c>
    </row>
    <row r="121" spans="2:43" ht="15.75" customHeight="1" x14ac:dyDescent="0.2">
      <c r="AB121" s="72">
        <v>45661</v>
      </c>
      <c r="AC121" s="73" t="s">
        <v>73</v>
      </c>
      <c r="AD121" s="73"/>
      <c r="AE121" s="75" t="s">
        <v>88</v>
      </c>
      <c r="AF121" s="73" t="s">
        <v>80</v>
      </c>
      <c r="AG121" s="74">
        <v>190</v>
      </c>
      <c r="AH121" s="73"/>
      <c r="AI121" s="76">
        <v>0.5</v>
      </c>
      <c r="AJ121" s="76"/>
      <c r="AK121" s="74">
        <f>AG121*AI121</f>
        <v>95</v>
      </c>
      <c r="AL121" s="76">
        <f>AL120-AI121</f>
        <v>1</v>
      </c>
      <c r="AM121" s="76">
        <f>AM120</f>
        <v>0.5</v>
      </c>
      <c r="AN121" s="76">
        <f>AN120-AI121</f>
        <v>0.5</v>
      </c>
      <c r="AO121" s="74">
        <f>AO120+AK121</f>
        <v>95</v>
      </c>
      <c r="AP121" s="74">
        <f>AP120</f>
        <v>310</v>
      </c>
      <c r="AQ121" s="78">
        <f t="shared" si="34"/>
        <v>-8.0645161290322578E-2</v>
      </c>
    </row>
    <row r="122" spans="2:43" ht="15.75" customHeight="1" x14ac:dyDescent="0.2">
      <c r="AB122" s="79">
        <v>45662</v>
      </c>
      <c r="AC122" s="80" t="s">
        <v>75</v>
      </c>
      <c r="AD122" s="80"/>
      <c r="AE122" s="81" t="s">
        <v>89</v>
      </c>
      <c r="AF122" s="80" t="s">
        <v>80</v>
      </c>
      <c r="AG122" s="82">
        <v>200</v>
      </c>
      <c r="AH122" s="82">
        <v>200</v>
      </c>
      <c r="AI122" s="83">
        <f>AH122/AG122</f>
        <v>1</v>
      </c>
      <c r="AJ122" s="83"/>
      <c r="AK122" s="80"/>
      <c r="AL122" s="83">
        <f>AL121+AI122</f>
        <v>2</v>
      </c>
      <c r="AM122" s="83">
        <f>AM121+(AI122/2)</f>
        <v>1</v>
      </c>
      <c r="AN122" s="83">
        <f>AN121+(AI122/2)</f>
        <v>1</v>
      </c>
      <c r="AO122" s="82">
        <v>0</v>
      </c>
      <c r="AP122" s="82">
        <f>AP121+(AH122-AO121)</f>
        <v>415</v>
      </c>
      <c r="AQ122" s="86">
        <f t="shared" si="34"/>
        <v>-3.614457831325301E-2</v>
      </c>
    </row>
    <row r="123" spans="2:43" ht="15.75" customHeight="1" x14ac:dyDescent="0.2">
      <c r="AB123" s="72">
        <v>45663</v>
      </c>
      <c r="AC123" s="73" t="s">
        <v>73</v>
      </c>
      <c r="AD123" s="73"/>
      <c r="AE123" s="75" t="s">
        <v>90</v>
      </c>
      <c r="AF123" s="73" t="s">
        <v>80</v>
      </c>
      <c r="AG123" s="74">
        <v>210</v>
      </c>
      <c r="AH123" s="73"/>
      <c r="AI123" s="76">
        <v>0.5</v>
      </c>
      <c r="AJ123" s="76"/>
      <c r="AK123" s="74">
        <f>AG123*AI123</f>
        <v>105</v>
      </c>
      <c r="AL123" s="76">
        <f>AL122-AI123</f>
        <v>1.5</v>
      </c>
      <c r="AM123" s="76">
        <f>AM122-AI123</f>
        <v>0.5</v>
      </c>
      <c r="AN123" s="76">
        <f>AN122</f>
        <v>1</v>
      </c>
      <c r="AO123" s="74">
        <f>AO122+AK123</f>
        <v>105</v>
      </c>
      <c r="AP123" s="74">
        <f>AP122</f>
        <v>415</v>
      </c>
      <c r="AQ123" s="78">
        <f t="shared" si="34"/>
        <v>1.2048192771084338E-2</v>
      </c>
    </row>
    <row r="124" spans="2:43" ht="15.75" customHeight="1" x14ac:dyDescent="0.2">
      <c r="AB124" s="72">
        <v>45664</v>
      </c>
      <c r="AC124" s="73" t="s">
        <v>73</v>
      </c>
      <c r="AD124" s="73"/>
      <c r="AE124" s="75" t="s">
        <v>91</v>
      </c>
      <c r="AF124" s="73" t="s">
        <v>80</v>
      </c>
      <c r="AG124" s="74">
        <v>210</v>
      </c>
      <c r="AH124" s="73"/>
      <c r="AI124" s="76">
        <v>0.5</v>
      </c>
      <c r="AJ124" s="76"/>
      <c r="AK124" s="74">
        <f>AG124/2</f>
        <v>105</v>
      </c>
      <c r="AL124" s="76">
        <f>AL123-AI124</f>
        <v>1</v>
      </c>
      <c r="AM124" s="76">
        <f>AM123</f>
        <v>0.5</v>
      </c>
      <c r="AN124" s="76">
        <f>AN123-AI124</f>
        <v>0.5</v>
      </c>
      <c r="AO124" s="74">
        <f>AK124+AO123</f>
        <v>210</v>
      </c>
      <c r="AP124" s="74">
        <f>AP123</f>
        <v>415</v>
      </c>
      <c r="AQ124" s="78">
        <f t="shared" si="34"/>
        <v>1.2048192771084338E-2</v>
      </c>
    </row>
    <row r="125" spans="2:43" ht="15.75" customHeight="1" x14ac:dyDescent="0.2">
      <c r="Y125" s="93"/>
      <c r="AB125" s="79">
        <v>45665</v>
      </c>
      <c r="AC125" s="81" t="s">
        <v>75</v>
      </c>
      <c r="AD125" s="81"/>
      <c r="AE125" s="81" t="s">
        <v>92</v>
      </c>
      <c r="AF125" s="81" t="s">
        <v>80</v>
      </c>
      <c r="AG125" s="82">
        <v>200</v>
      </c>
      <c r="AH125" s="82">
        <v>200</v>
      </c>
      <c r="AI125" s="83">
        <v>1</v>
      </c>
      <c r="AJ125" s="83"/>
      <c r="AK125" s="80"/>
      <c r="AL125" s="83">
        <f>AL124+AI125</f>
        <v>2</v>
      </c>
      <c r="AM125" s="83">
        <f>AI125+AM124</f>
        <v>1.5</v>
      </c>
      <c r="AN125" s="84">
        <f>AN124</f>
        <v>0.5</v>
      </c>
      <c r="AO125" s="82">
        <f>AO124-AH125</f>
        <v>10</v>
      </c>
      <c r="AP125" s="82">
        <f>AP123</f>
        <v>415</v>
      </c>
      <c r="AQ125" s="86">
        <f t="shared" si="34"/>
        <v>-1.2048192771084338E-2</v>
      </c>
    </row>
    <row r="126" spans="2:43" ht="15.75" customHeight="1" x14ac:dyDescent="0.2">
      <c r="Y126" s="94"/>
      <c r="AB126" s="72">
        <v>45666</v>
      </c>
      <c r="AC126" s="75" t="s">
        <v>73</v>
      </c>
      <c r="AD126" s="75"/>
      <c r="AE126" s="75" t="s">
        <v>92</v>
      </c>
      <c r="AF126" s="75" t="s">
        <v>80</v>
      </c>
      <c r="AG126" s="74">
        <v>230</v>
      </c>
      <c r="AH126" s="73"/>
      <c r="AI126" s="76">
        <v>0.5</v>
      </c>
      <c r="AJ126" s="76"/>
      <c r="AK126" s="74">
        <f>AG126/2</f>
        <v>115</v>
      </c>
      <c r="AL126" s="76">
        <f>AL125-AI126</f>
        <v>1.5</v>
      </c>
      <c r="AM126" s="76">
        <f>AM125-AI126</f>
        <v>1</v>
      </c>
      <c r="AN126" s="76">
        <f>AN125</f>
        <v>0.5</v>
      </c>
      <c r="AO126" s="74">
        <f>AO125+AK126</f>
        <v>125</v>
      </c>
      <c r="AP126" s="74">
        <f>AP125</f>
        <v>415</v>
      </c>
      <c r="AQ126" s="78">
        <f t="shared" si="34"/>
        <v>0.13253012048192772</v>
      </c>
    </row>
    <row r="127" spans="2:43" ht="15.75" customHeight="1" x14ac:dyDescent="0.2">
      <c r="Y127" s="94"/>
      <c r="AB127" s="79">
        <v>45667</v>
      </c>
      <c r="AC127" s="81" t="s">
        <v>75</v>
      </c>
      <c r="AD127" s="81"/>
      <c r="AE127" s="81" t="s">
        <v>93</v>
      </c>
      <c r="AF127" s="81" t="s">
        <v>80</v>
      </c>
      <c r="AG127" s="82">
        <v>230</v>
      </c>
      <c r="AH127" s="82">
        <v>230</v>
      </c>
      <c r="AI127" s="83">
        <v>1</v>
      </c>
      <c r="AJ127" s="83"/>
      <c r="AK127" s="80"/>
      <c r="AL127" s="83">
        <f>AL126+AI127</f>
        <v>2.5</v>
      </c>
      <c r="AM127" s="83">
        <f>AM126</f>
        <v>1</v>
      </c>
      <c r="AN127" s="83">
        <f>AN126+AI127</f>
        <v>1.5</v>
      </c>
      <c r="AO127" s="82">
        <v>0</v>
      </c>
      <c r="AP127" s="82">
        <f>AP126+(AH127-AO126)</f>
        <v>520</v>
      </c>
      <c r="AQ127" s="86">
        <f t="shared" si="34"/>
        <v>0.10576923076923077</v>
      </c>
    </row>
    <row r="128" spans="2:43" ht="15.75" customHeight="1" x14ac:dyDescent="0.2">
      <c r="Y128" s="94"/>
    </row>
    <row r="129" spans="25:43" ht="15.75" customHeight="1" x14ac:dyDescent="0.2">
      <c r="Y129" s="94"/>
    </row>
    <row r="130" spans="25:43" ht="12.75" x14ac:dyDescent="0.2">
      <c r="AB130" s="45" t="s">
        <v>74</v>
      </c>
      <c r="AL130" s="45" t="s">
        <v>94</v>
      </c>
    </row>
    <row r="131" spans="25:43" ht="15.75" customHeight="1" x14ac:dyDescent="0.2">
      <c r="Y131" s="54"/>
      <c r="AB131" s="70" t="s">
        <v>2</v>
      </c>
      <c r="AC131" s="71" t="s">
        <v>3</v>
      </c>
      <c r="AD131" s="71"/>
      <c r="AE131" s="71" t="s">
        <v>76</v>
      </c>
      <c r="AF131" s="71" t="s">
        <v>4</v>
      </c>
      <c r="AG131" s="71" t="s">
        <v>0</v>
      </c>
      <c r="AH131" s="71" t="s">
        <v>1</v>
      </c>
      <c r="AI131" s="71" t="s">
        <v>62</v>
      </c>
      <c r="AJ131" s="71"/>
      <c r="AK131" s="71" t="s">
        <v>77</v>
      </c>
      <c r="AL131" s="71" t="s">
        <v>84</v>
      </c>
      <c r="AM131" s="71" t="s">
        <v>83</v>
      </c>
      <c r="AN131" s="71" t="s">
        <v>7</v>
      </c>
      <c r="AO131" s="71" t="s">
        <v>81</v>
      </c>
      <c r="AP131" s="71" t="s">
        <v>79</v>
      </c>
      <c r="AQ131" s="71" t="s">
        <v>82</v>
      </c>
    </row>
    <row r="132" spans="25:43" ht="15.75" customHeight="1" x14ac:dyDescent="0.2">
      <c r="Y132" s="95"/>
      <c r="AB132" s="79"/>
      <c r="AC132" s="80" t="s">
        <v>75</v>
      </c>
      <c r="AD132" s="80"/>
      <c r="AE132" s="81" t="s">
        <v>70</v>
      </c>
      <c r="AF132" s="80" t="s">
        <v>78</v>
      </c>
      <c r="AG132" s="90">
        <v>232.37</v>
      </c>
      <c r="AH132" s="82">
        <v>1000</v>
      </c>
      <c r="AI132" s="87">
        <f t="shared" ref="AI132:AI137" si="35">AH132/AG132</f>
        <v>4.3034815165468867</v>
      </c>
      <c r="AJ132" s="87"/>
      <c r="AK132" s="90"/>
      <c r="AL132" s="87">
        <f>AI132</f>
        <v>4.3034815165468867</v>
      </c>
      <c r="AM132" s="87">
        <f>AL132/2</f>
        <v>2.1517407582734434</v>
      </c>
      <c r="AN132" s="89">
        <f>AL132/2</f>
        <v>2.1517407582734434</v>
      </c>
      <c r="AO132" s="90">
        <v>0</v>
      </c>
      <c r="AP132" s="92">
        <f>ABS(AO132-AH132)</f>
        <v>1000</v>
      </c>
      <c r="AQ132" s="86">
        <f>((AO132+(AI132*AG132)-AP132)/AP132)</f>
        <v>1.1368683772161603E-16</v>
      </c>
    </row>
    <row r="133" spans="25:43" ht="15.75" customHeight="1" x14ac:dyDescent="0.2">
      <c r="AB133" s="79"/>
      <c r="AC133" s="80" t="s">
        <v>75</v>
      </c>
      <c r="AD133" s="80"/>
      <c r="AE133" s="81" t="s">
        <v>70</v>
      </c>
      <c r="AF133" s="80" t="s">
        <v>80</v>
      </c>
      <c r="AG133" s="90">
        <v>205.6</v>
      </c>
      <c r="AH133" s="82">
        <v>500</v>
      </c>
      <c r="AI133" s="87">
        <f t="shared" si="35"/>
        <v>2.4319066147859925</v>
      </c>
      <c r="AJ133" s="87"/>
      <c r="AK133" s="90"/>
      <c r="AL133" s="87">
        <f>AI133+AL132</f>
        <v>6.7353881313328792</v>
      </c>
      <c r="AM133" s="87">
        <f>AM132+(AI133/2)</f>
        <v>3.3676940656664396</v>
      </c>
      <c r="AN133" s="87">
        <f>AN132+(AI133/2)</f>
        <v>3.3676940656664396</v>
      </c>
      <c r="AO133" s="90">
        <v>0</v>
      </c>
      <c r="AP133" s="90">
        <f>AP132+(AH133-AO132)</f>
        <v>1500</v>
      </c>
      <c r="AQ133" s="86">
        <f t="shared" ref="AQ133:AQ143" si="36">((AO133+(AL133*AG133)-AP133)/AP133)</f>
        <v>-7.6802800131973381E-2</v>
      </c>
    </row>
    <row r="134" spans="25:43" ht="15.75" customHeight="1" x14ac:dyDescent="0.2">
      <c r="AB134" s="79"/>
      <c r="AC134" s="80" t="s">
        <v>75</v>
      </c>
      <c r="AD134" s="80"/>
      <c r="AE134" s="81" t="s">
        <v>70</v>
      </c>
      <c r="AF134" s="80" t="s">
        <v>80</v>
      </c>
      <c r="AG134" s="90">
        <v>199.37</v>
      </c>
      <c r="AH134" s="82">
        <v>500</v>
      </c>
      <c r="AI134" s="87">
        <f t="shared" si="35"/>
        <v>2.5078998846366054</v>
      </c>
      <c r="AJ134" s="87"/>
      <c r="AK134" s="90"/>
      <c r="AL134" s="87">
        <f>AI134+AL133</f>
        <v>9.243288015969485</v>
      </c>
      <c r="AM134" s="87">
        <f>AM133+(AI134/2)</f>
        <v>4.6216440079847425</v>
      </c>
      <c r="AN134" s="87">
        <f>AN133+(AI134/2)</f>
        <v>4.6216440079847425</v>
      </c>
      <c r="AO134" s="90">
        <v>0</v>
      </c>
      <c r="AP134" s="90">
        <f>AP133+(AH134-AO133)</f>
        <v>2000</v>
      </c>
      <c r="AQ134" s="86">
        <f t="shared" si="36"/>
        <v>-7.858283412808191E-2</v>
      </c>
    </row>
    <row r="135" spans="25:43" ht="15.75" customHeight="1" x14ac:dyDescent="0.2">
      <c r="AB135" s="79"/>
      <c r="AC135" s="80" t="s">
        <v>75</v>
      </c>
      <c r="AD135" s="80"/>
      <c r="AE135" s="81" t="s">
        <v>70</v>
      </c>
      <c r="AF135" s="80" t="s">
        <v>80</v>
      </c>
      <c r="AG135" s="90">
        <v>196.54</v>
      </c>
      <c r="AH135" s="82">
        <v>500</v>
      </c>
      <c r="AI135" s="87">
        <f t="shared" si="35"/>
        <v>2.5440113971710594</v>
      </c>
      <c r="AJ135" s="87"/>
      <c r="AK135" s="90"/>
      <c r="AL135" s="87">
        <f>AI135+AL134</f>
        <v>11.787299413140545</v>
      </c>
      <c r="AM135" s="87">
        <f>AM134+(AI135/2)</f>
        <v>5.8936497065702724</v>
      </c>
      <c r="AN135" s="87">
        <f>AN134+(AI135/2)</f>
        <v>5.8936497065702724</v>
      </c>
      <c r="AO135" s="90">
        <v>0</v>
      </c>
      <c r="AP135" s="90">
        <f>AP134+(AH135-AO134)</f>
        <v>2500</v>
      </c>
      <c r="AQ135" s="86">
        <f t="shared" si="36"/>
        <v>-7.3329669336542974E-2</v>
      </c>
    </row>
    <row r="136" spans="25:43" ht="15.75" customHeight="1" x14ac:dyDescent="0.2">
      <c r="AB136" s="79"/>
      <c r="AC136" s="80" t="s">
        <v>75</v>
      </c>
      <c r="AD136" s="80"/>
      <c r="AE136" s="81" t="s">
        <v>70</v>
      </c>
      <c r="AF136" s="80" t="s">
        <v>80</v>
      </c>
      <c r="AG136" s="90">
        <v>184.88</v>
      </c>
      <c r="AH136" s="82">
        <v>50</v>
      </c>
      <c r="AI136" s="87">
        <f t="shared" si="35"/>
        <v>0.27044569450454348</v>
      </c>
      <c r="AJ136" s="87"/>
      <c r="AK136" s="90"/>
      <c r="AL136" s="87">
        <f>AI136+AL135</f>
        <v>12.057745107645088</v>
      </c>
      <c r="AM136" s="87">
        <f>AM135+(AI136/2)</f>
        <v>6.0288725538225441</v>
      </c>
      <c r="AN136" s="87">
        <f>AN135+(AI136/2)</f>
        <v>6.0288725538225441</v>
      </c>
      <c r="AO136" s="90">
        <v>0</v>
      </c>
      <c r="AP136" s="90">
        <f>AP135+(AH136-AO135)</f>
        <v>2550</v>
      </c>
      <c r="AQ136" s="86">
        <f t="shared" si="36"/>
        <v>-0.12578983705826521</v>
      </c>
    </row>
    <row r="137" spans="25:43" ht="15.75" customHeight="1" x14ac:dyDescent="0.2">
      <c r="AB137" s="79"/>
      <c r="AC137" s="80" t="s">
        <v>75</v>
      </c>
      <c r="AD137" s="80"/>
      <c r="AE137" s="81" t="s">
        <v>70</v>
      </c>
      <c r="AF137" s="80" t="s">
        <v>80</v>
      </c>
      <c r="AG137" s="90">
        <v>180.62</v>
      </c>
      <c r="AH137" s="82">
        <v>50</v>
      </c>
      <c r="AI137" s="87">
        <f t="shared" si="35"/>
        <v>0.27682427195216475</v>
      </c>
      <c r="AJ137" s="87"/>
      <c r="AK137" s="90"/>
      <c r="AL137" s="87">
        <f>AI137+AL136</f>
        <v>12.334569379597253</v>
      </c>
      <c r="AM137" s="87">
        <f>AM136+(AI137/2)</f>
        <v>6.1672846897986267</v>
      </c>
      <c r="AN137" s="87">
        <f>AN136+(AI137/2)</f>
        <v>6.1672846897986267</v>
      </c>
      <c r="AO137" s="90">
        <v>0</v>
      </c>
      <c r="AP137" s="90">
        <f>AP136+(AH137-AO136)</f>
        <v>2600</v>
      </c>
      <c r="AQ137" s="86">
        <f t="shared" si="36"/>
        <v>-0.14312695332967085</v>
      </c>
    </row>
    <row r="138" spans="25:43" ht="15.75" customHeight="1" x14ac:dyDescent="0.2">
      <c r="AB138" s="72"/>
      <c r="AC138" s="73" t="s">
        <v>73</v>
      </c>
      <c r="AD138" s="73"/>
      <c r="AE138" s="75" t="s">
        <v>27</v>
      </c>
      <c r="AF138" s="73" t="s">
        <v>10</v>
      </c>
      <c r="AG138" s="91">
        <v>208.59</v>
      </c>
      <c r="AH138" s="73"/>
      <c r="AI138" s="88">
        <v>0.13841000000000001</v>
      </c>
      <c r="AJ138" s="88"/>
      <c r="AK138" s="91">
        <f>AG138*AI138</f>
        <v>28.870941900000002</v>
      </c>
      <c r="AL138" s="88">
        <f>AL137-AI138</f>
        <v>12.196159379597253</v>
      </c>
      <c r="AM138" s="88">
        <f>AM137-AI138</f>
        <v>6.0288746897986263</v>
      </c>
      <c r="AN138" s="88">
        <f>AN137</f>
        <v>6.1672846897986267</v>
      </c>
      <c r="AO138" s="91">
        <f>AK138+AO132</f>
        <v>28.870941900000002</v>
      </c>
      <c r="AP138" s="91">
        <f>AP137</f>
        <v>2600</v>
      </c>
      <c r="AQ138" s="78">
        <f t="shared" si="36"/>
        <v>-1.0435451196080277E-2</v>
      </c>
    </row>
    <row r="139" spans="25:43" ht="15.75" customHeight="1" x14ac:dyDescent="0.2">
      <c r="AB139" s="79"/>
      <c r="AC139" s="73" t="s">
        <v>73</v>
      </c>
      <c r="AD139" s="73"/>
      <c r="AE139" s="75" t="s">
        <v>27</v>
      </c>
      <c r="AF139" s="73" t="s">
        <v>10</v>
      </c>
      <c r="AG139" s="91">
        <v>208.54</v>
      </c>
      <c r="AH139" s="73"/>
      <c r="AI139" s="88">
        <v>0.13522000000000001</v>
      </c>
      <c r="AJ139" s="88"/>
      <c r="AK139" s="91">
        <f>AG139*AI139</f>
        <v>28.198778799999999</v>
      </c>
      <c r="AL139" s="88">
        <f>AL138-AI139</f>
        <v>12.060939379597253</v>
      </c>
      <c r="AM139" s="88">
        <f>AM138-AI139</f>
        <v>5.8936546897986259</v>
      </c>
      <c r="AN139" s="88">
        <f>AN138</f>
        <v>6.1672846897986267</v>
      </c>
      <c r="AO139" s="91">
        <f>AK139+AO133</f>
        <v>28.198778799999999</v>
      </c>
      <c r="AP139" s="91">
        <f>AP138</f>
        <v>2600</v>
      </c>
      <c r="AQ139" s="86">
        <f t="shared" si="36"/>
        <v>-2.1774201145688038E-2</v>
      </c>
    </row>
    <row r="140" spans="25:43" ht="15.75" customHeight="1" x14ac:dyDescent="0.2">
      <c r="AB140" s="72"/>
      <c r="AC140" s="73" t="s">
        <v>73</v>
      </c>
      <c r="AD140" s="73"/>
      <c r="AE140" s="75" t="s">
        <v>95</v>
      </c>
      <c r="AF140" s="73" t="s">
        <v>80</v>
      </c>
      <c r="AG140" s="91">
        <v>28.25</v>
      </c>
      <c r="AH140" s="73"/>
      <c r="AI140" s="88">
        <f>AM139</f>
        <v>5.8936546897986259</v>
      </c>
      <c r="AJ140" s="88"/>
      <c r="AK140" s="91">
        <f>AG140*AI140</f>
        <v>166.49574498681119</v>
      </c>
      <c r="AL140" s="88">
        <f>AL139-AI140</f>
        <v>6.1672846897986267</v>
      </c>
      <c r="AM140" s="88">
        <f>AM139-AI140</f>
        <v>0</v>
      </c>
      <c r="AN140" s="88">
        <f>AN139</f>
        <v>6.1672846897986267</v>
      </c>
      <c r="AO140" s="91">
        <f>AO139+AK140</f>
        <v>194.6945237868112</v>
      </c>
      <c r="AP140" s="91">
        <f>AP139</f>
        <v>2600</v>
      </c>
      <c r="AQ140" s="78">
        <f t="shared" si="36"/>
        <v>-0.85810757066399135</v>
      </c>
    </row>
    <row r="141" spans="25:43" ht="15.75" customHeight="1" x14ac:dyDescent="0.2">
      <c r="AB141" s="79"/>
      <c r="AC141" s="80" t="s">
        <v>75</v>
      </c>
      <c r="AD141" s="80"/>
      <c r="AE141" s="81" t="s">
        <v>89</v>
      </c>
      <c r="AF141" s="80" t="s">
        <v>80</v>
      </c>
      <c r="AG141" s="90">
        <v>28.39</v>
      </c>
      <c r="AH141" s="82">
        <v>200</v>
      </c>
      <c r="AI141" s="87">
        <f>AH141/AG141</f>
        <v>7.0447340612891862</v>
      </c>
      <c r="AJ141" s="87"/>
      <c r="AK141" s="90"/>
      <c r="AL141" s="87">
        <f>AL140+AI141</f>
        <v>13.212018751087813</v>
      </c>
      <c r="AM141" s="87">
        <f>AM140+(AI141/2)</f>
        <v>3.5223670306445931</v>
      </c>
      <c r="AN141" s="87">
        <f>AN140+(AI141/2)</f>
        <v>9.6896517204432193</v>
      </c>
      <c r="AO141" s="90">
        <v>0</v>
      </c>
      <c r="AP141" s="90">
        <f>AP140+(AH141-AO140)</f>
        <v>2605.3054762131887</v>
      </c>
      <c r="AQ141" s="86">
        <f t="shared" si="36"/>
        <v>-0.85602870152156774</v>
      </c>
    </row>
    <row r="142" spans="25:43" ht="15.75" customHeight="1" x14ac:dyDescent="0.2">
      <c r="AB142" s="79"/>
      <c r="AC142" s="81" t="s">
        <v>75</v>
      </c>
      <c r="AD142" s="81"/>
      <c r="AE142" s="81" t="s">
        <v>96</v>
      </c>
      <c r="AF142" s="81" t="s">
        <v>80</v>
      </c>
      <c r="AG142" s="90">
        <v>27.28</v>
      </c>
      <c r="AH142" s="82">
        <v>200</v>
      </c>
      <c r="AI142" s="87">
        <f>AH142/AG142</f>
        <v>7.3313782991202343</v>
      </c>
      <c r="AJ142" s="87"/>
      <c r="AK142" s="90"/>
      <c r="AL142" s="87">
        <f>AL141+AI142</f>
        <v>20.543397050208046</v>
      </c>
      <c r="AM142" s="87">
        <f>AM141+(AI142/2)</f>
        <v>7.1880561802047103</v>
      </c>
      <c r="AN142" s="87">
        <f>AN141+(AI142/2)</f>
        <v>13.355340870003337</v>
      </c>
      <c r="AO142" s="90">
        <v>0</v>
      </c>
      <c r="AP142" s="90">
        <f>AP141+(AH142-AO141)</f>
        <v>2805.3054762131887</v>
      </c>
      <c r="AQ142" s="86">
        <f t="shared" si="36"/>
        <v>-0.80022714949169182</v>
      </c>
    </row>
    <row r="143" spans="25:43" ht="15.75" customHeight="1" x14ac:dyDescent="0.2">
      <c r="AB143" s="79"/>
      <c r="AC143" s="81" t="s">
        <v>75</v>
      </c>
      <c r="AD143" s="81"/>
      <c r="AE143" s="81" t="s">
        <v>97</v>
      </c>
      <c r="AF143" s="81" t="s">
        <v>80</v>
      </c>
      <c r="AG143" s="90">
        <v>27.38</v>
      </c>
      <c r="AH143" s="82">
        <v>200</v>
      </c>
      <c r="AI143" s="87">
        <f>AH143/AG143</f>
        <v>7.3046018991964941</v>
      </c>
      <c r="AJ143" s="87"/>
      <c r="AK143" s="90"/>
      <c r="AL143" s="87">
        <f>AL142+AI143</f>
        <v>27.847998949404541</v>
      </c>
      <c r="AM143" s="87">
        <f>AM142+(AI143/2)</f>
        <v>10.840357129802957</v>
      </c>
      <c r="AN143" s="87">
        <f>AN142+(AI143/2)</f>
        <v>17.007641819601584</v>
      </c>
      <c r="AO143" s="90">
        <v>0</v>
      </c>
      <c r="AP143" s="90">
        <f>AP142+(AH143-AO142)</f>
        <v>3005.3054762131887</v>
      </c>
      <c r="AQ143" s="86">
        <f t="shared" si="36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48 AA49 AN50 AO47 BE48 BE50 BE53 AK60 AE60 BE61 AA60:AC60 AG60:AI60 AD83:AD84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1" t="s">
        <v>104</v>
      </c>
      <c r="C3" s="71" t="s">
        <v>105</v>
      </c>
      <c r="D3" s="71" t="s">
        <v>106</v>
      </c>
      <c r="E3" s="71" t="s">
        <v>107</v>
      </c>
      <c r="F3" s="71" t="s">
        <v>117</v>
      </c>
      <c r="G3" s="71" t="s">
        <v>119</v>
      </c>
      <c r="H3" s="71" t="s">
        <v>110</v>
      </c>
      <c r="I3" s="71" t="s">
        <v>109</v>
      </c>
      <c r="J3" s="71" t="s">
        <v>111</v>
      </c>
      <c r="K3" s="71" t="s">
        <v>113</v>
      </c>
      <c r="L3" s="71" t="s">
        <v>29</v>
      </c>
      <c r="M3" s="71" t="s">
        <v>63</v>
      </c>
      <c r="N3" s="71" t="s">
        <v>72</v>
      </c>
      <c r="O3" s="71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1" t="s">
        <v>104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1" t="s">
        <v>104</v>
      </c>
      <c r="C11" s="71" t="s">
        <v>76</v>
      </c>
      <c r="D11" s="71" t="s">
        <v>107</v>
      </c>
      <c r="E11" s="71" t="s">
        <v>108</v>
      </c>
      <c r="F11" s="71" t="s">
        <v>119</v>
      </c>
      <c r="G11" s="71" t="s">
        <v>63</v>
      </c>
      <c r="H11" s="71" t="s">
        <v>72</v>
      </c>
      <c r="I11" s="71" t="s">
        <v>99</v>
      </c>
      <c r="J11" s="71" t="s">
        <v>112</v>
      </c>
      <c r="K11" s="71" t="s">
        <v>109</v>
      </c>
      <c r="L11" s="71" t="s">
        <v>79</v>
      </c>
      <c r="M11" s="71" t="s">
        <v>121</v>
      </c>
      <c r="N11" s="71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8" t="s">
        <v>34</v>
      </c>
      <c r="K12" s="33">
        <v>1200</v>
      </c>
      <c r="L12" s="98" t="s">
        <v>34</v>
      </c>
      <c r="M12" s="98" t="s">
        <v>34</v>
      </c>
      <c r="N12" s="98" t="s">
        <v>34</v>
      </c>
    </row>
    <row r="14" spans="2:15" x14ac:dyDescent="0.2">
      <c r="B14" s="45" t="s">
        <v>131</v>
      </c>
    </row>
    <row r="15" spans="2:15" x14ac:dyDescent="0.2">
      <c r="B15" s="71" t="s">
        <v>104</v>
      </c>
      <c r="C15" s="71" t="s">
        <v>105</v>
      </c>
      <c r="D15" s="71" t="s">
        <v>106</v>
      </c>
      <c r="E15" s="71" t="s">
        <v>107</v>
      </c>
      <c r="F15" s="71" t="s">
        <v>117</v>
      </c>
      <c r="G15" s="71" t="s">
        <v>119</v>
      </c>
      <c r="H15" s="71" t="s">
        <v>110</v>
      </c>
      <c r="I15" s="71" t="s">
        <v>109</v>
      </c>
      <c r="J15" s="71" t="s">
        <v>111</v>
      </c>
      <c r="K15" s="71" t="s">
        <v>113</v>
      </c>
      <c r="L15" s="71" t="s">
        <v>29</v>
      </c>
      <c r="M15" s="71" t="s">
        <v>63</v>
      </c>
      <c r="N15" s="71" t="s">
        <v>72</v>
      </c>
      <c r="O15" s="71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8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8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8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8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8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8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8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8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1" t="s">
        <v>107</v>
      </c>
      <c r="C33" s="71" t="s">
        <v>109</v>
      </c>
      <c r="D33" s="71" t="s">
        <v>79</v>
      </c>
      <c r="E33" s="71" t="s">
        <v>126</v>
      </c>
      <c r="F33" s="71" t="s">
        <v>127</v>
      </c>
      <c r="G33" s="71" t="s">
        <v>82</v>
      </c>
    </row>
    <row r="34" spans="2:7" x14ac:dyDescent="0.2">
      <c r="B34" s="45" t="s">
        <v>128</v>
      </c>
      <c r="C34" s="99">
        <f>I16+I21+I22+I27</f>
        <v>5800</v>
      </c>
      <c r="D34" s="98" t="s">
        <v>34</v>
      </c>
      <c r="E34" s="98" t="s">
        <v>34</v>
      </c>
      <c r="F34" s="98" t="s">
        <v>34</v>
      </c>
      <c r="G34" s="98" t="s">
        <v>34</v>
      </c>
    </row>
    <row r="35" spans="2:7" x14ac:dyDescent="0.2">
      <c r="B35" s="45" t="s">
        <v>129</v>
      </c>
      <c r="C35" s="99">
        <f>I18+I26+I28</f>
        <v>4100</v>
      </c>
      <c r="D35" s="98" t="s">
        <v>34</v>
      </c>
      <c r="E35" s="98" t="s">
        <v>34</v>
      </c>
      <c r="F35" s="98" t="s">
        <v>34</v>
      </c>
      <c r="G35" s="98" t="s">
        <v>34</v>
      </c>
    </row>
    <row r="36" spans="2:7" x14ac:dyDescent="0.2">
      <c r="B36" s="45" t="s">
        <v>130</v>
      </c>
      <c r="C36" s="99">
        <f>I17+I19+I23+I24+I29</f>
        <v>6900</v>
      </c>
      <c r="D36" s="98" t="s">
        <v>34</v>
      </c>
      <c r="E36" s="98" t="s">
        <v>34</v>
      </c>
      <c r="F36" s="98" t="s">
        <v>34</v>
      </c>
      <c r="G36" s="98" t="s">
        <v>34</v>
      </c>
    </row>
    <row r="37" spans="2:7" x14ac:dyDescent="0.2">
      <c r="B37" s="45" t="s">
        <v>115</v>
      </c>
      <c r="C37" s="99">
        <f>I4+I20+I25</f>
        <v>3600</v>
      </c>
      <c r="D37" s="98" t="s">
        <v>34</v>
      </c>
      <c r="E37" s="98" t="s">
        <v>34</v>
      </c>
      <c r="F37" s="98" t="s">
        <v>34</v>
      </c>
      <c r="G37" s="98" t="s">
        <v>34</v>
      </c>
    </row>
    <row r="39" spans="2:7" x14ac:dyDescent="0.2">
      <c r="B39" s="45" t="s">
        <v>174</v>
      </c>
    </row>
    <row r="40" spans="2:7" x14ac:dyDescent="0.2">
      <c r="B40" s="71" t="s">
        <v>107</v>
      </c>
      <c r="C40" s="71" t="s">
        <v>109</v>
      </c>
      <c r="D40" s="71" t="s">
        <v>79</v>
      </c>
      <c r="E40" s="71" t="s">
        <v>126</v>
      </c>
      <c r="F40" s="71" t="s">
        <v>127</v>
      </c>
      <c r="G40" s="71" t="s">
        <v>82</v>
      </c>
    </row>
    <row r="41" spans="2:7" x14ac:dyDescent="0.2">
      <c r="B41" s="45" t="s">
        <v>134</v>
      </c>
      <c r="C41" s="63">
        <f>I16+I27</f>
        <v>3500</v>
      </c>
      <c r="D41" s="98" t="s">
        <v>34</v>
      </c>
      <c r="E41" s="98" t="s">
        <v>34</v>
      </c>
      <c r="F41" s="98" t="s">
        <v>34</v>
      </c>
      <c r="G41" s="98" t="s">
        <v>34</v>
      </c>
    </row>
    <row r="42" spans="2:7" x14ac:dyDescent="0.2">
      <c r="B42" s="45" t="s">
        <v>154</v>
      </c>
      <c r="C42" s="63">
        <f>I22</f>
        <v>1300</v>
      </c>
      <c r="D42" s="98" t="s">
        <v>34</v>
      </c>
      <c r="E42" s="98" t="s">
        <v>34</v>
      </c>
      <c r="F42" s="98" t="s">
        <v>34</v>
      </c>
      <c r="G42" s="98" t="s">
        <v>34</v>
      </c>
    </row>
    <row r="43" spans="2:7" x14ac:dyDescent="0.2">
      <c r="B43" s="45" t="s">
        <v>137</v>
      </c>
      <c r="C43" s="63">
        <f>I19+I21</f>
        <v>1500</v>
      </c>
      <c r="D43" s="98" t="s">
        <v>34</v>
      </c>
      <c r="E43" s="98" t="s">
        <v>34</v>
      </c>
      <c r="F43" s="98" t="s">
        <v>34</v>
      </c>
      <c r="G43" s="98" t="s">
        <v>34</v>
      </c>
    </row>
    <row r="44" spans="2:7" x14ac:dyDescent="0.2">
      <c r="B44" s="45" t="s">
        <v>160</v>
      </c>
      <c r="C44" s="63">
        <f>I17+I24</f>
        <v>4600</v>
      </c>
      <c r="D44" s="98" t="s">
        <v>34</v>
      </c>
      <c r="E44" s="98" t="s">
        <v>34</v>
      </c>
      <c r="F44" s="98" t="s">
        <v>34</v>
      </c>
      <c r="G44" s="98" t="s">
        <v>34</v>
      </c>
    </row>
    <row r="45" spans="2:7" x14ac:dyDescent="0.2">
      <c r="B45" s="45" t="s">
        <v>136</v>
      </c>
      <c r="C45" s="63">
        <v>0</v>
      </c>
      <c r="D45" s="98" t="s">
        <v>34</v>
      </c>
      <c r="E45" s="98" t="s">
        <v>34</v>
      </c>
      <c r="F45" s="98" t="s">
        <v>34</v>
      </c>
      <c r="G45" s="98" t="s">
        <v>34</v>
      </c>
    </row>
    <row r="46" spans="2:7" x14ac:dyDescent="0.2">
      <c r="B46" s="45" t="s">
        <v>157</v>
      </c>
      <c r="C46" s="63">
        <f>I23+I29</f>
        <v>1800</v>
      </c>
      <c r="D46" s="98" t="s">
        <v>34</v>
      </c>
      <c r="E46" s="98" t="s">
        <v>34</v>
      </c>
      <c r="F46" s="98" t="s">
        <v>34</v>
      </c>
      <c r="G46" s="98" t="s">
        <v>34</v>
      </c>
    </row>
    <row r="47" spans="2:7" x14ac:dyDescent="0.2">
      <c r="B47" s="45" t="s">
        <v>166</v>
      </c>
      <c r="C47" s="63">
        <f>I26+I28</f>
        <v>2600</v>
      </c>
      <c r="D47" s="98" t="s">
        <v>34</v>
      </c>
      <c r="E47" s="98" t="s">
        <v>34</v>
      </c>
      <c r="F47" s="98" t="s">
        <v>34</v>
      </c>
      <c r="G47" s="98" t="s">
        <v>34</v>
      </c>
    </row>
    <row r="48" spans="2:7" x14ac:dyDescent="0.2">
      <c r="B48" s="45" t="s">
        <v>163</v>
      </c>
      <c r="C48" s="63">
        <f>I25</f>
        <v>1200</v>
      </c>
      <c r="D48" s="98" t="s">
        <v>34</v>
      </c>
      <c r="E48" s="98" t="s">
        <v>34</v>
      </c>
      <c r="F48" s="98" t="s">
        <v>34</v>
      </c>
      <c r="G48" s="98" t="s">
        <v>34</v>
      </c>
    </row>
    <row r="49" spans="2:7" x14ac:dyDescent="0.2">
      <c r="B49" s="45" t="s">
        <v>118</v>
      </c>
      <c r="C49" s="63">
        <f>I4+I18</f>
        <v>2700</v>
      </c>
      <c r="D49" s="98" t="s">
        <v>34</v>
      </c>
      <c r="E49" s="98" t="s">
        <v>34</v>
      </c>
      <c r="F49" s="98" t="s">
        <v>34</v>
      </c>
      <c r="G49" s="98" t="s">
        <v>34</v>
      </c>
    </row>
    <row r="50" spans="2:7" x14ac:dyDescent="0.2">
      <c r="B50" s="45" t="s">
        <v>116</v>
      </c>
      <c r="C50" s="63">
        <f>I20</f>
        <v>1200</v>
      </c>
      <c r="D50" s="98" t="s">
        <v>34</v>
      </c>
      <c r="E50" s="98" t="s">
        <v>34</v>
      </c>
      <c r="F50" s="98" t="s">
        <v>34</v>
      </c>
      <c r="G50" s="9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2025-12-27T18:46:04Z</dcterms:modified>
</cp:coreProperties>
</file>