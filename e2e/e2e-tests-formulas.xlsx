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evelopment\stock-portfolio-tracker\e2e\"/>
    </mc:Choice>
  </mc:AlternateContent>
  <xr:revisionPtr revIDLastSave="0" documentId="13_ncr:1_{88BA81BE-8E55-4356-9678-7E20716C8EB0}" xr6:coauthVersionLast="47" xr6:coauthVersionMax="47" xr10:uidLastSave="{00000000-0000-0000-0000-000000000000}"/>
  <bookViews>
    <workbookView xWindow="4500" yWindow="1980" windowWidth="46140" windowHeight="10380" firstSheet="8" activeTab="8" xr2:uid="{00000000-000D-0000-FFFF-FFFF00000000}"/>
  </bookViews>
  <sheets>
    <sheet name="AMD" sheetId="5" state="hidden" r:id="rId1"/>
    <sheet name="AMZN" sheetId="6" state="hidden" r:id="rId2"/>
    <sheet name="BA" sheetId="7" state="hidden" r:id="rId3"/>
    <sheet name="COST" sheetId="8" state="hidden" r:id="rId4"/>
    <sheet name="GOOG" sheetId="9" state="hidden" r:id="rId5"/>
    <sheet name="NVDA" sheetId="10" state="hidden" r:id="rId6"/>
    <sheet name="RDDT" sheetId="11" state="hidden" r:id="rId7"/>
    <sheet name="WMT" sheetId="12" state="hidden" r:id="rId8"/>
    <sheet name="Tests" sheetId="14" r:id="rId9"/>
    <sheet name="Sheet1" sheetId="15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2" i="14" l="1"/>
  <c r="Q32" i="14"/>
  <c r="R33" i="14"/>
  <c r="Q33" i="14"/>
  <c r="R34" i="14"/>
  <c r="Q34" i="14"/>
  <c r="G32" i="14"/>
  <c r="F32" i="14"/>
  <c r="E32" i="14"/>
  <c r="D32" i="14"/>
  <c r="C32" i="14"/>
  <c r="B32" i="14"/>
  <c r="R25" i="14"/>
  <c r="Q25" i="14"/>
  <c r="T25" i="14"/>
  <c r="T29" i="14" s="1"/>
  <c r="T33" i="14" s="1"/>
  <c r="Y31" i="14"/>
  <c r="X31" i="14"/>
  <c r="S31" i="14"/>
  <c r="W30" i="14"/>
  <c r="S30" i="14"/>
  <c r="W29" i="14"/>
  <c r="V28" i="14"/>
  <c r="V32" i="14" s="1"/>
  <c r="T28" i="14"/>
  <c r="R24" i="14"/>
  <c r="Q24" i="14"/>
  <c r="R23" i="14"/>
  <c r="Q23" i="14"/>
  <c r="T22" i="14"/>
  <c r="T20" i="14"/>
  <c r="T23" i="14" s="1"/>
  <c r="T30" i="14" s="1"/>
  <c r="V19" i="14"/>
  <c r="T19" i="14"/>
  <c r="AQ14" i="14"/>
  <c r="S14" i="14"/>
  <c r="R14" i="14"/>
  <c r="S13" i="14"/>
  <c r="V12" i="14"/>
  <c r="AC10" i="14" s="1"/>
  <c r="T12" i="14"/>
  <c r="AA10" i="14" s="1"/>
  <c r="V7" i="14"/>
  <c r="V10" i="14" s="1"/>
  <c r="V13" i="14" s="1"/>
  <c r="AI13" i="14" s="1"/>
  <c r="T7" i="14"/>
  <c r="AD7" i="14" s="1"/>
  <c r="AE7" i="14" s="1"/>
  <c r="AE11" i="14" s="1"/>
  <c r="V5" i="14"/>
  <c r="V8" i="14" s="1"/>
  <c r="T5" i="14"/>
  <c r="AA5" i="14" s="1"/>
  <c r="AA8" i="14" s="1"/>
  <c r="V4" i="14"/>
  <c r="AI4" i="14" s="1"/>
  <c r="T4" i="14"/>
  <c r="AG4" i="14" s="1"/>
  <c r="AQ7" i="14"/>
  <c r="AV7" i="14"/>
  <c r="W7" i="14"/>
  <c r="AH88" i="14"/>
  <c r="AG88" i="14"/>
  <c r="AI88" i="14" s="1"/>
  <c r="AB88" i="14"/>
  <c r="AA88" i="14"/>
  <c r="AC88" i="14" s="1"/>
  <c r="AM88" i="14" s="1"/>
  <c r="V88" i="14"/>
  <c r="AH84" i="14"/>
  <c r="AH85" i="14" s="1"/>
  <c r="AH86" i="14" s="1"/>
  <c r="AH87" i="14" s="1"/>
  <c r="AG84" i="14"/>
  <c r="AI84" i="14" s="1"/>
  <c r="AN84" i="14" s="1"/>
  <c r="AB84" i="14"/>
  <c r="AB85" i="14" s="1"/>
  <c r="AB86" i="14" s="1"/>
  <c r="AB87" i="14" s="1"/>
  <c r="AA84" i="14"/>
  <c r="AC84" i="14" s="1"/>
  <c r="V84" i="14"/>
  <c r="AA105" i="14"/>
  <c r="AB105" i="14" s="1"/>
  <c r="AE106" i="14"/>
  <c r="AD106" i="14"/>
  <c r="V106" i="14"/>
  <c r="AA106" i="14"/>
  <c r="AF106" i="14"/>
  <c r="AF102" i="14"/>
  <c r="AF103" i="14"/>
  <c r="AF105" i="14"/>
  <c r="AE105" i="14"/>
  <c r="V105" i="14"/>
  <c r="AA104" i="14"/>
  <c r="AB104" i="14" s="1"/>
  <c r="AA103" i="14"/>
  <c r="AB103" i="14" s="1"/>
  <c r="AA102" i="14"/>
  <c r="AB102" i="14" s="1"/>
  <c r="AF104" i="14"/>
  <c r="AE103" i="14"/>
  <c r="AE104" i="14"/>
  <c r="AE102" i="14"/>
  <c r="V104" i="14"/>
  <c r="V103" i="14"/>
  <c r="V102" i="14"/>
  <c r="AF101" i="14"/>
  <c r="AD101" i="14"/>
  <c r="AD100" i="14"/>
  <c r="V101" i="14"/>
  <c r="V100" i="14"/>
  <c r="C50" i="15"/>
  <c r="C49" i="15"/>
  <c r="C48" i="15"/>
  <c r="C47" i="15"/>
  <c r="C46" i="15"/>
  <c r="C44" i="15"/>
  <c r="C43" i="15"/>
  <c r="C42" i="15"/>
  <c r="C41" i="15"/>
  <c r="C37" i="15"/>
  <c r="C36" i="15"/>
  <c r="C35" i="15"/>
  <c r="C34" i="15"/>
  <c r="V80" i="14"/>
  <c r="AH80" i="14"/>
  <c r="AH81" i="14" s="1"/>
  <c r="AH82" i="14" s="1"/>
  <c r="AH83" i="14" s="1"/>
  <c r="AG80" i="14"/>
  <c r="AI80" i="14" s="1"/>
  <c r="AN80" i="14" s="1"/>
  <c r="AB80" i="14"/>
  <c r="AB81" i="14" s="1"/>
  <c r="AB82" i="14" s="1"/>
  <c r="AB83" i="14" s="1"/>
  <c r="AA80" i="14"/>
  <c r="AA81" i="14" s="1"/>
  <c r="AA82" i="14" s="1"/>
  <c r="AA83" i="14" s="1"/>
  <c r="AK137" i="14"/>
  <c r="AO137" i="14" s="1"/>
  <c r="AI135" i="14"/>
  <c r="AI134" i="14"/>
  <c r="AI133" i="14"/>
  <c r="AI132" i="14"/>
  <c r="AI131" i="14"/>
  <c r="AI141" i="14"/>
  <c r="AI140" i="14"/>
  <c r="AI139" i="14"/>
  <c r="AP130" i="14"/>
  <c r="AI130" i="14"/>
  <c r="AK124" i="14"/>
  <c r="AK122" i="14"/>
  <c r="AN116" i="14"/>
  <c r="AM116" i="14"/>
  <c r="AI117" i="14" s="1"/>
  <c r="AK117" i="14" s="1"/>
  <c r="AO117" i="14" s="1"/>
  <c r="AP116" i="14"/>
  <c r="AK121" i="14"/>
  <c r="AO121" i="14" s="1"/>
  <c r="AI120" i="14"/>
  <c r="AK119" i="14"/>
  <c r="AO119" i="14" s="1"/>
  <c r="AI118" i="14"/>
  <c r="AL118" i="14" s="1"/>
  <c r="AL119" i="14" s="1"/>
  <c r="AI116" i="14"/>
  <c r="AH73" i="14"/>
  <c r="AH74" i="14" s="1"/>
  <c r="AH75" i="14" s="1"/>
  <c r="AH76" i="14" s="1"/>
  <c r="AB73" i="14"/>
  <c r="AB74" i="14" s="1"/>
  <c r="AB75" i="14" s="1"/>
  <c r="AB76" i="14" s="1"/>
  <c r="AB66" i="14"/>
  <c r="AH68" i="14"/>
  <c r="AH64" i="14"/>
  <c r="AB64" i="14"/>
  <c r="AI59" i="14"/>
  <c r="AI57" i="14"/>
  <c r="AI58" i="14" s="1"/>
  <c r="AI60" i="14" s="1"/>
  <c r="AC59" i="14"/>
  <c r="AC57" i="14"/>
  <c r="AI53" i="14"/>
  <c r="AI49" i="14"/>
  <c r="AI52" i="14" s="1"/>
  <c r="AC53" i="14"/>
  <c r="AI46" i="14"/>
  <c r="AI48" i="14" s="1"/>
  <c r="AI51" i="14" s="1"/>
  <c r="AI44" i="14"/>
  <c r="AC47" i="14"/>
  <c r="AC49" i="14" s="1"/>
  <c r="AC52" i="14" s="1"/>
  <c r="AC46" i="14"/>
  <c r="AC48" i="14" s="1"/>
  <c r="AC51" i="14" s="1"/>
  <c r="AC44" i="14"/>
  <c r="BH59" i="14"/>
  <c r="AG59" i="14"/>
  <c r="AB59" i="14"/>
  <c r="AA59" i="14"/>
  <c r="AH59" i="14"/>
  <c r="V59" i="14"/>
  <c r="BJ58" i="14"/>
  <c r="BI58" i="14"/>
  <c r="BH58" i="14"/>
  <c r="BG58" i="14"/>
  <c r="BF58" i="14"/>
  <c r="BE58" i="14"/>
  <c r="BD58" i="14"/>
  <c r="BB58" i="14"/>
  <c r="BA58" i="14"/>
  <c r="AZ58" i="14"/>
  <c r="AY58" i="14"/>
  <c r="AX58" i="14"/>
  <c r="AW58" i="14"/>
  <c r="AV58" i="14"/>
  <c r="AU58" i="14"/>
  <c r="AT58" i="14"/>
  <c r="AS58" i="14"/>
  <c r="AR58" i="14"/>
  <c r="AQ58" i="14"/>
  <c r="AU59" i="14"/>
  <c r="AV59" i="14" s="1"/>
  <c r="AT59" i="14"/>
  <c r="AS59" i="14"/>
  <c r="AR59" i="14"/>
  <c r="AQ59" i="14"/>
  <c r="AH57" i="14"/>
  <c r="AH58" i="14" s="1"/>
  <c r="AH60" i="14" s="1"/>
  <c r="AG57" i="14"/>
  <c r="AG58" i="14" s="1"/>
  <c r="AG60" i="14" s="1"/>
  <c r="AB57" i="14"/>
  <c r="AB58" i="14" s="1"/>
  <c r="AB60" i="14" s="1"/>
  <c r="AA57" i="14"/>
  <c r="V57" i="14"/>
  <c r="AV51" i="14"/>
  <c r="AU51" i="14"/>
  <c r="AT51" i="14"/>
  <c r="AS51" i="14"/>
  <c r="AR51" i="14"/>
  <c r="AQ51" i="14"/>
  <c r="BH45" i="14"/>
  <c r="BH46" i="14" s="1"/>
  <c r="BH48" i="14" s="1"/>
  <c r="BH50" i="14" s="1"/>
  <c r="BH51" i="14" s="1"/>
  <c r="AU45" i="14"/>
  <c r="AU46" i="14" s="1"/>
  <c r="V51" i="14"/>
  <c r="V48" i="14"/>
  <c r="V46" i="14"/>
  <c r="V44" i="14"/>
  <c r="BF45" i="14"/>
  <c r="BE45" i="14"/>
  <c r="BB45" i="14"/>
  <c r="BA45" i="14"/>
  <c r="AZ45" i="14"/>
  <c r="AY45" i="14"/>
  <c r="AX45" i="14"/>
  <c r="AW45" i="14"/>
  <c r="BG45" i="14"/>
  <c r="AT45" i="14"/>
  <c r="AT46" i="14" s="1"/>
  <c r="AT48" i="14" s="1"/>
  <c r="AT50" i="14" s="1"/>
  <c r="AR45" i="14"/>
  <c r="AR46" i="14" s="1"/>
  <c r="AR48" i="14" s="1"/>
  <c r="AR50" i="14" s="1"/>
  <c r="AS45" i="14"/>
  <c r="AS46" i="14" s="1"/>
  <c r="AS48" i="14" s="1"/>
  <c r="AQ45" i="14"/>
  <c r="AQ46" i="14" s="1"/>
  <c r="AQ48" i="14" s="1"/>
  <c r="AG76" i="14"/>
  <c r="AA76" i="14"/>
  <c r="AG75" i="14"/>
  <c r="AA74" i="14"/>
  <c r="AG73" i="14"/>
  <c r="AA73" i="14"/>
  <c r="AG68" i="14"/>
  <c r="AA66" i="14"/>
  <c r="AG64" i="14"/>
  <c r="AA64" i="14"/>
  <c r="AH53" i="14"/>
  <c r="AG53" i="14"/>
  <c r="AB53" i="14"/>
  <c r="AA53" i="14"/>
  <c r="AH49" i="14"/>
  <c r="AG49" i="14"/>
  <c r="AB47" i="14"/>
  <c r="AA47" i="14"/>
  <c r="AA49" i="14" s="1"/>
  <c r="AH44" i="14"/>
  <c r="AG44" i="14"/>
  <c r="AB44" i="14"/>
  <c r="AA44" i="14"/>
  <c r="AA46" i="14" s="1"/>
  <c r="AA48" i="14" s="1"/>
  <c r="I7" i="12"/>
  <c r="G7" i="12"/>
  <c r="H7" i="12" s="1"/>
  <c r="E7" i="12"/>
  <c r="O6" i="12"/>
  <c r="J7" i="12" s="1"/>
  <c r="I6" i="12"/>
  <c r="G6" i="12"/>
  <c r="H6" i="12" s="1"/>
  <c r="E6" i="12"/>
  <c r="I5" i="12"/>
  <c r="H5" i="12"/>
  <c r="G5" i="12"/>
  <c r="E5" i="12"/>
  <c r="I4" i="12"/>
  <c r="G4" i="12"/>
  <c r="H4" i="12" s="1"/>
  <c r="E4" i="12"/>
  <c r="I3" i="12"/>
  <c r="G3" i="12"/>
  <c r="H3" i="12" s="1"/>
  <c r="E3" i="12"/>
  <c r="F3" i="12" s="1"/>
  <c r="F4" i="12" s="1"/>
  <c r="F5" i="12" s="1"/>
  <c r="F6" i="12" s="1"/>
  <c r="F7" i="12" s="1"/>
  <c r="O6" i="11"/>
  <c r="J3" i="11" s="1"/>
  <c r="J4" i="11"/>
  <c r="I4" i="11"/>
  <c r="G4" i="11"/>
  <c r="H4" i="11" s="1"/>
  <c r="E4" i="11"/>
  <c r="I3" i="11"/>
  <c r="G3" i="11"/>
  <c r="H3" i="11" s="1"/>
  <c r="E3" i="11"/>
  <c r="F3" i="11" s="1"/>
  <c r="F4" i="11" s="1"/>
  <c r="O6" i="10"/>
  <c r="J4" i="10"/>
  <c r="I4" i="10"/>
  <c r="G4" i="10"/>
  <c r="H4" i="10" s="1"/>
  <c r="E4" i="10"/>
  <c r="J3" i="10"/>
  <c r="I3" i="10"/>
  <c r="G3" i="10"/>
  <c r="H3" i="10" s="1"/>
  <c r="O8" i="10" s="1"/>
  <c r="O7" i="10" s="1"/>
  <c r="E3" i="10"/>
  <c r="F3" i="10" s="1"/>
  <c r="F4" i="10" s="1"/>
  <c r="I7" i="9"/>
  <c r="G7" i="9"/>
  <c r="H7" i="9" s="1"/>
  <c r="E7" i="9"/>
  <c r="O6" i="9"/>
  <c r="J7" i="9" s="1"/>
  <c r="J6" i="9"/>
  <c r="I6" i="9"/>
  <c r="G6" i="9"/>
  <c r="H6" i="9" s="1"/>
  <c r="E6" i="9"/>
  <c r="I5" i="9"/>
  <c r="G5" i="9"/>
  <c r="H5" i="9" s="1"/>
  <c r="E5" i="9"/>
  <c r="I4" i="9"/>
  <c r="G4" i="9"/>
  <c r="H4" i="9" s="1"/>
  <c r="E4" i="9"/>
  <c r="I3" i="9"/>
  <c r="H3" i="9"/>
  <c r="G3" i="9"/>
  <c r="E3" i="9"/>
  <c r="F3" i="9" s="1"/>
  <c r="F4" i="9" s="1"/>
  <c r="F5" i="9" s="1"/>
  <c r="F6" i="9" s="1"/>
  <c r="F7" i="9" s="1"/>
  <c r="O6" i="8"/>
  <c r="J3" i="8" s="1"/>
  <c r="J6" i="8"/>
  <c r="I6" i="8"/>
  <c r="G6" i="8"/>
  <c r="H6" i="8" s="1"/>
  <c r="E6" i="8"/>
  <c r="J5" i="8"/>
  <c r="I5" i="8"/>
  <c r="G5" i="8"/>
  <c r="H5" i="8" s="1"/>
  <c r="E5" i="8"/>
  <c r="J4" i="8"/>
  <c r="I4" i="8"/>
  <c r="H4" i="8"/>
  <c r="G4" i="8"/>
  <c r="F4" i="8"/>
  <c r="E4" i="8"/>
  <c r="I3" i="8"/>
  <c r="G3" i="8"/>
  <c r="H3" i="8" s="1"/>
  <c r="O8" i="8" s="1"/>
  <c r="O7" i="8" s="1"/>
  <c r="E3" i="8"/>
  <c r="F3" i="8" s="1"/>
  <c r="F5" i="8" s="1"/>
  <c r="F6" i="8" s="1"/>
  <c r="O8" i="7"/>
  <c r="O7" i="7" s="1"/>
  <c r="O9" i="7" s="1"/>
  <c r="O6" i="7"/>
  <c r="J3" i="7"/>
  <c r="I3" i="7"/>
  <c r="H3" i="7"/>
  <c r="J7" i="6"/>
  <c r="I7" i="6"/>
  <c r="G7" i="6"/>
  <c r="H7" i="6" s="1"/>
  <c r="E7" i="6"/>
  <c r="O6" i="6"/>
  <c r="J3" i="6" s="1"/>
  <c r="J6" i="6"/>
  <c r="I6" i="6"/>
  <c r="H6" i="6"/>
  <c r="G6" i="6"/>
  <c r="E6" i="6"/>
  <c r="J5" i="6"/>
  <c r="I5" i="6"/>
  <c r="H5" i="6"/>
  <c r="G5" i="6"/>
  <c r="E5" i="6"/>
  <c r="I4" i="6"/>
  <c r="G4" i="6"/>
  <c r="H4" i="6" s="1"/>
  <c r="E4" i="6"/>
  <c r="I3" i="6"/>
  <c r="G3" i="6"/>
  <c r="H3" i="6" s="1"/>
  <c r="E3" i="6"/>
  <c r="F3" i="6" s="1"/>
  <c r="F4" i="6" s="1"/>
  <c r="F5" i="6" s="1"/>
  <c r="F6" i="6" s="1"/>
  <c r="F7" i="6" s="1"/>
  <c r="O6" i="5"/>
  <c r="J4" i="5"/>
  <c r="I4" i="5"/>
  <c r="H4" i="5"/>
  <c r="G4" i="5"/>
  <c r="E4" i="5"/>
  <c r="J3" i="5"/>
  <c r="I3" i="5"/>
  <c r="G3" i="5"/>
  <c r="H3" i="5" s="1"/>
  <c r="O8" i="5" s="1"/>
  <c r="O7" i="5" s="1"/>
  <c r="E3" i="5"/>
  <c r="F3" i="5" s="1"/>
  <c r="F4" i="5" s="1"/>
  <c r="T34" i="14" l="1"/>
  <c r="T32" i="14"/>
  <c r="T26" i="14"/>
  <c r="R26" i="14"/>
  <c r="R27" i="14"/>
  <c r="R35" i="14" s="1"/>
  <c r="Q26" i="14"/>
  <c r="Q27" i="14"/>
  <c r="Q35" i="14" s="1"/>
  <c r="W28" i="14"/>
  <c r="U28" i="14"/>
  <c r="U32" i="14" s="1"/>
  <c r="AG28" i="14"/>
  <c r="AG32" i="14" s="1"/>
  <c r="AM28" i="14"/>
  <c r="AM32" i="14" s="1"/>
  <c r="U19" i="14"/>
  <c r="AH19" i="14" s="1"/>
  <c r="AH20" i="14" s="1"/>
  <c r="U25" i="14" s="1"/>
  <c r="W19" i="14"/>
  <c r="AA19" i="14"/>
  <c r="AD19" i="14" s="1"/>
  <c r="AG19" i="14"/>
  <c r="AJ19" i="14" s="1"/>
  <c r="AI19" i="14"/>
  <c r="AI20" i="14" s="1"/>
  <c r="AI22" i="14" s="1"/>
  <c r="V21" i="14"/>
  <c r="V24" i="14" s="1"/>
  <c r="V27" i="14" s="1"/>
  <c r="V35" i="14" s="1"/>
  <c r="AC19" i="14"/>
  <c r="AC20" i="14" s="1"/>
  <c r="AC22" i="14" s="1"/>
  <c r="AC25" i="14" s="1"/>
  <c r="AK19" i="14"/>
  <c r="AE19" i="14"/>
  <c r="T21" i="14"/>
  <c r="AN19" i="14"/>
  <c r="AN20" i="14" s="1"/>
  <c r="AN22" i="14" s="1"/>
  <c r="AM19" i="14"/>
  <c r="AP19" i="14" s="1"/>
  <c r="AQ19" i="14" s="1"/>
  <c r="U21" i="14"/>
  <c r="U24" i="14" s="1"/>
  <c r="U27" i="14" s="1"/>
  <c r="U35" i="14" s="1"/>
  <c r="AO19" i="14"/>
  <c r="AO20" i="14" s="1"/>
  <c r="AO22" i="14" s="1"/>
  <c r="AO25" i="14" s="1"/>
  <c r="AO28" i="14" s="1"/>
  <c r="AO32" i="14" s="1"/>
  <c r="AB19" i="14"/>
  <c r="V6" i="14"/>
  <c r="T6" i="14"/>
  <c r="W10" i="14"/>
  <c r="W13" i="14" s="1"/>
  <c r="W12" i="14"/>
  <c r="AC13" i="14"/>
  <c r="T8" i="14"/>
  <c r="T11" i="14" s="1"/>
  <c r="T14" i="14" s="1"/>
  <c r="U7" i="14"/>
  <c r="U10" i="14" s="1"/>
  <c r="U13" i="14" s="1"/>
  <c r="AG10" i="14"/>
  <c r="AM10" i="14"/>
  <c r="AI5" i="14"/>
  <c r="AI8" i="14" s="1"/>
  <c r="AO10" i="14"/>
  <c r="AI10" i="14"/>
  <c r="AJ10" i="14"/>
  <c r="AK10" i="14" s="1"/>
  <c r="AP10" i="14"/>
  <c r="AQ10" i="14" s="1"/>
  <c r="AD10" i="14"/>
  <c r="AE10" i="14" s="1"/>
  <c r="U12" i="14"/>
  <c r="AD11" i="14"/>
  <c r="U5" i="14"/>
  <c r="AI7" i="14"/>
  <c r="AI11" i="14" s="1"/>
  <c r="AJ7" i="14"/>
  <c r="AP4" i="14"/>
  <c r="T9" i="14"/>
  <c r="V11" i="14"/>
  <c r="V14" i="14" s="1"/>
  <c r="AG7" i="14"/>
  <c r="AG11" i="14" s="1"/>
  <c r="T10" i="14"/>
  <c r="AA7" i="14"/>
  <c r="AC7" i="14"/>
  <c r="AC11" i="14" s="1"/>
  <c r="AD4" i="14"/>
  <c r="AE4" i="14" s="1"/>
  <c r="AD5" i="14"/>
  <c r="AG5" i="14"/>
  <c r="AG8" i="14" s="1"/>
  <c r="AM4" i="14"/>
  <c r="AO4" i="14"/>
  <c r="AO5" i="14" s="1"/>
  <c r="AJ5" i="14"/>
  <c r="U4" i="14"/>
  <c r="U6" i="14" s="1"/>
  <c r="W4" i="14"/>
  <c r="AP5" i="14"/>
  <c r="AQ5" i="14" s="1"/>
  <c r="AM5" i="14"/>
  <c r="V9" i="14"/>
  <c r="AC4" i="14"/>
  <c r="AC5" i="14" s="1"/>
  <c r="AC8" i="14" s="1"/>
  <c r="AJ4" i="14"/>
  <c r="AK4" i="14" s="1"/>
  <c r="AA4" i="14"/>
  <c r="W5" i="14"/>
  <c r="AK88" i="14"/>
  <c r="AN88" i="14"/>
  <c r="AJ88" i="14"/>
  <c r="AD88" i="14"/>
  <c r="AM84" i="14"/>
  <c r="AD84" i="14"/>
  <c r="AE84" i="14"/>
  <c r="AE85" i="14" s="1"/>
  <c r="AE86" i="14" s="1"/>
  <c r="AE87" i="14" s="1"/>
  <c r="AE88" i="14" s="1"/>
  <c r="AA85" i="14"/>
  <c r="AA86" i="14" s="1"/>
  <c r="AA87" i="14" s="1"/>
  <c r="AC80" i="14"/>
  <c r="AC81" i="14" s="1"/>
  <c r="AJ84" i="14"/>
  <c r="AI81" i="14"/>
  <c r="AN81" i="14" s="1"/>
  <c r="AC85" i="14"/>
  <c r="AK84" i="14"/>
  <c r="AK85" i="14" s="1"/>
  <c r="AK86" i="14" s="1"/>
  <c r="AK87" i="14" s="1"/>
  <c r="AI85" i="14"/>
  <c r="AN85" i="14" s="1"/>
  <c r="AL120" i="14"/>
  <c r="AL121" i="14" s="1"/>
  <c r="AO122" i="14"/>
  <c r="AO123" i="14" s="1"/>
  <c r="AJ81" i="14"/>
  <c r="AI82" i="14"/>
  <c r="AN82" i="14" s="1"/>
  <c r="AJ80" i="14"/>
  <c r="AE80" i="14"/>
  <c r="AE81" i="14" s="1"/>
  <c r="AE82" i="14" s="1"/>
  <c r="AE83" i="14" s="1"/>
  <c r="AK80" i="14"/>
  <c r="AK81" i="14" s="1"/>
  <c r="AK82" i="14" s="1"/>
  <c r="AK83" i="14" s="1"/>
  <c r="AE59" i="14"/>
  <c r="AQ116" i="14"/>
  <c r="AP131" i="14"/>
  <c r="AP132" i="14" s="1"/>
  <c r="AP133" i="14" s="1"/>
  <c r="AP134" i="14" s="1"/>
  <c r="AP135" i="14" s="1"/>
  <c r="AP136" i="14" s="1"/>
  <c r="AP137" i="14" s="1"/>
  <c r="AQ130" i="14"/>
  <c r="AL130" i="14"/>
  <c r="AL131" i="14" s="1"/>
  <c r="AL132" i="14" s="1"/>
  <c r="AM118" i="14"/>
  <c r="AM119" i="14" s="1"/>
  <c r="AM120" i="14" s="1"/>
  <c r="AM121" i="14" s="1"/>
  <c r="AM122" i="14" s="1"/>
  <c r="AM123" i="14" s="1"/>
  <c r="AM124" i="14" s="1"/>
  <c r="AM125" i="14" s="1"/>
  <c r="AN118" i="14"/>
  <c r="AN119" i="14" s="1"/>
  <c r="AN120" i="14" s="1"/>
  <c r="AN121" i="14" s="1"/>
  <c r="AN122" i="14" s="1"/>
  <c r="AN123" i="14" s="1"/>
  <c r="AN124" i="14" s="1"/>
  <c r="AN125" i="14" s="1"/>
  <c r="AP117" i="14"/>
  <c r="AK59" i="14"/>
  <c r="AC58" i="14"/>
  <c r="AC60" i="14" s="1"/>
  <c r="AA58" i="14"/>
  <c r="AA60" i="14" s="1"/>
  <c r="AE57" i="14"/>
  <c r="AE58" i="14" s="1"/>
  <c r="AE60" i="14" s="1"/>
  <c r="AK57" i="14"/>
  <c r="AK58" i="14" s="1"/>
  <c r="AK60" i="14" s="1"/>
  <c r="AQ50" i="14"/>
  <c r="BD45" i="14"/>
  <c r="BI45" i="14" s="1"/>
  <c r="BJ45" i="14" s="1"/>
  <c r="AS50" i="14"/>
  <c r="AV45" i="14"/>
  <c r="AK76" i="14"/>
  <c r="AE74" i="14"/>
  <c r="AK75" i="14"/>
  <c r="AE76" i="14"/>
  <c r="AE64" i="14"/>
  <c r="AE73" i="14"/>
  <c r="AK64" i="14"/>
  <c r="AE66" i="14"/>
  <c r="AK68" i="14"/>
  <c r="AK73" i="14"/>
  <c r="AK53" i="14"/>
  <c r="AN51" i="14" s="1"/>
  <c r="AY51" i="14" s="1"/>
  <c r="AZ51" i="14" s="1"/>
  <c r="AE53" i="14"/>
  <c r="AL51" i="14" s="1"/>
  <c r="AK49" i="14"/>
  <c r="AK44" i="14"/>
  <c r="AN44" i="14" s="1"/>
  <c r="AN45" i="14" s="1"/>
  <c r="AN46" i="14" s="1"/>
  <c r="AE44" i="14"/>
  <c r="AL44" i="14" s="1"/>
  <c r="AE47" i="14"/>
  <c r="O8" i="12"/>
  <c r="O7" i="12" s="1"/>
  <c r="O8" i="9"/>
  <c r="O7" i="9" s="1"/>
  <c r="O8" i="11"/>
  <c r="O7" i="11" s="1"/>
  <c r="O8" i="6"/>
  <c r="O7" i="6" s="1"/>
  <c r="J3" i="9"/>
  <c r="J3" i="12"/>
  <c r="J4" i="6"/>
  <c r="J4" i="12"/>
  <c r="J4" i="9"/>
  <c r="J5" i="12"/>
  <c r="J5" i="9"/>
  <c r="J6" i="12"/>
  <c r="W32" i="14" l="1"/>
  <c r="V25" i="14"/>
  <c r="V29" i="14" s="1"/>
  <c r="V33" i="14" s="1"/>
  <c r="U29" i="14"/>
  <c r="U33" i="14" s="1"/>
  <c r="AN25" i="14"/>
  <c r="AI25" i="14"/>
  <c r="AI28" i="14" s="1"/>
  <c r="AU19" i="14"/>
  <c r="V31" i="14"/>
  <c r="AC28" i="14"/>
  <c r="AC32" i="14" s="1"/>
  <c r="U31" i="14"/>
  <c r="AP28" i="14"/>
  <c r="AP32" i="14" s="1"/>
  <c r="AJ28" i="14"/>
  <c r="AJ32" i="14" s="1"/>
  <c r="U22" i="14"/>
  <c r="AH22" i="14"/>
  <c r="AH7" i="14"/>
  <c r="AH11" i="14" s="1"/>
  <c r="U20" i="14"/>
  <c r="AB20" i="14" s="1"/>
  <c r="AB22" i="14" s="1"/>
  <c r="AM20" i="14"/>
  <c r="AG20" i="14"/>
  <c r="AA20" i="14"/>
  <c r="T24" i="14"/>
  <c r="T27" i="14" s="1"/>
  <c r="T35" i="14" s="1"/>
  <c r="AV22" i="14"/>
  <c r="AB7" i="14"/>
  <c r="AB11" i="14" s="1"/>
  <c r="W21" i="14"/>
  <c r="W24" i="14" s="1"/>
  <c r="W27" i="14" s="1"/>
  <c r="W35" i="14" s="1"/>
  <c r="AT19" i="14"/>
  <c r="AS19" i="14"/>
  <c r="AV20" i="14"/>
  <c r="AV19" i="14"/>
  <c r="W9" i="14"/>
  <c r="W6" i="14"/>
  <c r="AQ4" i="14"/>
  <c r="AA11" i="14"/>
  <c r="T13" i="14"/>
  <c r="U8" i="14"/>
  <c r="U11" i="14" s="1"/>
  <c r="AH13" i="14"/>
  <c r="AB13" i="14"/>
  <c r="W8" i="14"/>
  <c r="AO14" i="14"/>
  <c r="AI14" i="14"/>
  <c r="AC14" i="14"/>
  <c r="AM14" i="14"/>
  <c r="AA14" i="14"/>
  <c r="AG14" i="14"/>
  <c r="AD14" i="14"/>
  <c r="AE14" i="14" s="1"/>
  <c r="AM12" i="14"/>
  <c r="AJ12" i="14"/>
  <c r="AA12" i="14"/>
  <c r="AD12" i="14"/>
  <c r="AP12" i="14"/>
  <c r="AQ12" i="14" s="1"/>
  <c r="AG12" i="14"/>
  <c r="AK7" i="14"/>
  <c r="AK11" i="14" s="1"/>
  <c r="AJ11" i="14"/>
  <c r="AI12" i="14"/>
  <c r="AO12" i="14"/>
  <c r="AC12" i="14"/>
  <c r="AN10" i="14"/>
  <c r="AB10" i="14"/>
  <c r="AH10" i="14"/>
  <c r="AK5" i="14"/>
  <c r="AJ8" i="14"/>
  <c r="AK8" i="14" s="1"/>
  <c r="AB4" i="14"/>
  <c r="U9" i="14"/>
  <c r="AH4" i="14"/>
  <c r="AN4" i="14"/>
  <c r="AE5" i="14"/>
  <c r="AD8" i="14"/>
  <c r="AE8" i="14" s="1"/>
  <c r="AE12" i="14" s="1"/>
  <c r="AN59" i="14"/>
  <c r="AY59" i="14" s="1"/>
  <c r="BF59" i="14" s="1"/>
  <c r="BG59" i="14" s="1"/>
  <c r="AL59" i="14"/>
  <c r="AO59" i="14" s="1"/>
  <c r="AM85" i="14"/>
  <c r="AD85" i="14"/>
  <c r="AM81" i="14"/>
  <c r="AD81" i="14"/>
  <c r="AM80" i="14"/>
  <c r="AD80" i="14"/>
  <c r="AJ85" i="14"/>
  <c r="AI86" i="14"/>
  <c r="AN86" i="14" s="1"/>
  <c r="AC86" i="14"/>
  <c r="AC82" i="14"/>
  <c r="AJ82" i="14"/>
  <c r="AI83" i="14"/>
  <c r="AQ132" i="14"/>
  <c r="AL133" i="14"/>
  <c r="AQ131" i="14"/>
  <c r="AN130" i="14"/>
  <c r="AM130" i="14"/>
  <c r="AM131" i="14" s="1"/>
  <c r="AM132" i="14" s="1"/>
  <c r="AM133" i="14" s="1"/>
  <c r="AM134" i="14" s="1"/>
  <c r="AM135" i="14" s="1"/>
  <c r="AM136" i="14" s="1"/>
  <c r="AM137" i="14" s="1"/>
  <c r="AP118" i="14"/>
  <c r="AP119" i="14" s="1"/>
  <c r="AQ119" i="14" s="1"/>
  <c r="AL122" i="14"/>
  <c r="AL123" i="14" s="1"/>
  <c r="AL124" i="14" s="1"/>
  <c r="AL125" i="14" s="1"/>
  <c r="AO124" i="14"/>
  <c r="AQ117" i="14"/>
  <c r="AN57" i="14"/>
  <c r="AN58" i="14" s="1"/>
  <c r="AL57" i="14"/>
  <c r="AL58" i="14" s="1"/>
  <c r="AY46" i="14"/>
  <c r="BF46" i="14" s="1"/>
  <c r="BG46" i="14" s="1"/>
  <c r="AN48" i="14"/>
  <c r="AW51" i="14"/>
  <c r="AO51" i="14"/>
  <c r="BF51" i="14"/>
  <c r="BG51" i="14" s="1"/>
  <c r="AV46" i="14"/>
  <c r="AV48" i="14" s="1"/>
  <c r="AV50" i="14" s="1"/>
  <c r="AU48" i="14"/>
  <c r="AU50" i="14" s="1"/>
  <c r="AO44" i="14"/>
  <c r="AO45" i="14" s="1"/>
  <c r="AL45" i="14"/>
  <c r="AL46" i="14" s="1"/>
  <c r="AW46" i="14" s="1"/>
  <c r="AX46" i="14" s="1"/>
  <c r="AI32" i="14" l="1"/>
  <c r="AV25" i="14"/>
  <c r="AN28" i="14"/>
  <c r="AN32" i="14" s="1"/>
  <c r="AB25" i="14"/>
  <c r="AT25" i="14" s="1"/>
  <c r="AH25" i="14"/>
  <c r="X25" i="14"/>
  <c r="AS4" i="14"/>
  <c r="W31" i="14"/>
  <c r="T31" i="14"/>
  <c r="AV28" i="14"/>
  <c r="AQ28" i="14"/>
  <c r="AK28" i="14"/>
  <c r="AJ20" i="14"/>
  <c r="AG22" i="14"/>
  <c r="AP20" i="14"/>
  <c r="AM22" i="14"/>
  <c r="AD20" i="14"/>
  <c r="AA22" i="14"/>
  <c r="AA25" i="14" s="1"/>
  <c r="AT22" i="14"/>
  <c r="AB28" i="14"/>
  <c r="AB32" i="14" s="1"/>
  <c r="U23" i="14"/>
  <c r="U26" i="14" s="1"/>
  <c r="V20" i="14"/>
  <c r="X20" i="14" s="1"/>
  <c r="V22" i="14"/>
  <c r="AU20" i="14"/>
  <c r="AT20" i="14"/>
  <c r="AS20" i="14"/>
  <c r="W11" i="14"/>
  <c r="W14" i="14" s="1"/>
  <c r="U14" i="14"/>
  <c r="AH12" i="14"/>
  <c r="AU10" i="14" s="1"/>
  <c r="AN12" i="14"/>
  <c r="AV10" i="14" s="1"/>
  <c r="AJ13" i="14"/>
  <c r="AK13" i="14" s="1"/>
  <c r="AG13" i="14"/>
  <c r="AA13" i="14"/>
  <c r="AD13" i="14"/>
  <c r="AE13" i="14" s="1"/>
  <c r="AK12" i="14"/>
  <c r="AJ14" i="14"/>
  <c r="AK14" i="14" s="1"/>
  <c r="AN5" i="14"/>
  <c r="AV5" i="14" s="1"/>
  <c r="AV4" i="14"/>
  <c r="AH5" i="14"/>
  <c r="AU4" i="14"/>
  <c r="AZ59" i="14"/>
  <c r="AW59" i="14"/>
  <c r="BA59" i="14" s="1"/>
  <c r="BB59" i="14" s="1"/>
  <c r="AB5" i="14"/>
  <c r="AT4" i="14"/>
  <c r="AJ83" i="14"/>
  <c r="AN83" i="14"/>
  <c r="AM82" i="14"/>
  <c r="AD82" i="14"/>
  <c r="AM86" i="14"/>
  <c r="AD86" i="14"/>
  <c r="AI87" i="14"/>
  <c r="AJ86" i="14"/>
  <c r="AC87" i="14"/>
  <c r="AQ118" i="14"/>
  <c r="AO58" i="14"/>
  <c r="AC83" i="14"/>
  <c r="AQ133" i="14"/>
  <c r="AL134" i="14"/>
  <c r="AN131" i="14"/>
  <c r="AN132" i="14" s="1"/>
  <c r="AN133" i="14" s="1"/>
  <c r="AN134" i="14" s="1"/>
  <c r="AN135" i="14" s="1"/>
  <c r="AN136" i="14" s="1"/>
  <c r="AN137" i="14" s="1"/>
  <c r="AN138" i="14" s="1"/>
  <c r="AN139" i="14" s="1"/>
  <c r="AP120" i="14"/>
  <c r="AP121" i="14" s="1"/>
  <c r="AP122" i="14" s="1"/>
  <c r="AQ122" i="14" s="1"/>
  <c r="AO57" i="14"/>
  <c r="AZ46" i="14"/>
  <c r="AX51" i="14"/>
  <c r="BE51" i="14" s="1"/>
  <c r="BD51" i="14"/>
  <c r="BI51" i="14" s="1"/>
  <c r="BJ51" i="14" s="1"/>
  <c r="BA51" i="14"/>
  <c r="BB51" i="14" s="1"/>
  <c r="AN50" i="14"/>
  <c r="AY48" i="14"/>
  <c r="BD46" i="14"/>
  <c r="BI46" i="14" s="1"/>
  <c r="BJ46" i="14" s="1"/>
  <c r="AL48" i="14"/>
  <c r="AO46" i="14"/>
  <c r="AT32" i="14" l="1"/>
  <c r="AV32" i="14"/>
  <c r="AK32" i="14"/>
  <c r="AQ32" i="14"/>
  <c r="Y25" i="14"/>
  <c r="Y29" i="14" s="1"/>
  <c r="Y33" i="14" s="1"/>
  <c r="X29" i="14"/>
  <c r="X33" i="14" s="1"/>
  <c r="AU25" i="14"/>
  <c r="AH28" i="14"/>
  <c r="AH32" i="14" s="1"/>
  <c r="AM25" i="14"/>
  <c r="AG25" i="14"/>
  <c r="AJ25" i="14" s="1"/>
  <c r="AK25" i="14" s="1"/>
  <c r="AS25" i="14"/>
  <c r="AA28" i="14"/>
  <c r="U30" i="14"/>
  <c r="AT28" i="14"/>
  <c r="X22" i="14"/>
  <c r="V23" i="14"/>
  <c r="V26" i="14" s="1"/>
  <c r="AD22" i="14"/>
  <c r="AD25" i="14" s="1"/>
  <c r="AE25" i="14" s="1"/>
  <c r="AE20" i="14"/>
  <c r="AP22" i="14"/>
  <c r="AP25" i="14" s="1"/>
  <c r="AQ20" i="14"/>
  <c r="AJ22" i="14"/>
  <c r="AK20" i="14"/>
  <c r="AK22" i="14" s="1"/>
  <c r="AS22" i="14"/>
  <c r="AX59" i="14"/>
  <c r="BE59" i="14" s="1"/>
  <c r="BD59" i="14"/>
  <c r="BI59" i="14" s="1"/>
  <c r="BJ59" i="14" s="1"/>
  <c r="AN14" i="14"/>
  <c r="AV13" i="14" s="1"/>
  <c r="AB14" i="14"/>
  <c r="AT13" i="14" s="1"/>
  <c r="AH14" i="14"/>
  <c r="AU13" i="14" s="1"/>
  <c r="AH8" i="14"/>
  <c r="AU7" i="14" s="1"/>
  <c r="AU5" i="14"/>
  <c r="AB8" i="14"/>
  <c r="AB12" i="14" s="1"/>
  <c r="AT10" i="14" s="1"/>
  <c r="AS10" i="14" s="1"/>
  <c r="AT5" i="14"/>
  <c r="AS5" i="14"/>
  <c r="AM83" i="14"/>
  <c r="AD83" i="14"/>
  <c r="AM87" i="14"/>
  <c r="AD87" i="14"/>
  <c r="AJ87" i="14"/>
  <c r="AN87" i="14"/>
  <c r="AQ120" i="14"/>
  <c r="AQ134" i="14"/>
  <c r="AL135" i="14"/>
  <c r="AI138" i="14"/>
  <c r="AK138" i="14" s="1"/>
  <c r="AO138" i="14" s="1"/>
  <c r="AN140" i="14"/>
  <c r="AN141" i="14" s="1"/>
  <c r="AK136" i="14"/>
  <c r="AO136" i="14" s="1"/>
  <c r="AP123" i="14"/>
  <c r="AQ121" i="14"/>
  <c r="AW48" i="14"/>
  <c r="BA48" i="14" s="1"/>
  <c r="AO48" i="14"/>
  <c r="AL50" i="14"/>
  <c r="AO50" i="14" s="1"/>
  <c r="AZ48" i="14"/>
  <c r="AZ50" i="14" s="1"/>
  <c r="AY50" i="14"/>
  <c r="BF48" i="14"/>
  <c r="BA46" i="14"/>
  <c r="BB46" i="14" s="1"/>
  <c r="BE46" i="14"/>
  <c r="AU32" i="14" l="1"/>
  <c r="AS32" i="14" s="1"/>
  <c r="AD28" i="14"/>
  <c r="AA32" i="14"/>
  <c r="U34" i="14"/>
  <c r="AU28" i="14"/>
  <c r="AS28" i="14" s="1"/>
  <c r="AE22" i="14"/>
  <c r="AQ22" i="14"/>
  <c r="V30" i="14"/>
  <c r="V34" i="14" s="1"/>
  <c r="Y20" i="14"/>
  <c r="Y23" i="14" s="1"/>
  <c r="Y26" i="14" s="1"/>
  <c r="X23" i="14"/>
  <c r="X26" i="14" s="1"/>
  <c r="Y22" i="14"/>
  <c r="AS13" i="14"/>
  <c r="AT7" i="14"/>
  <c r="AS7" i="14" s="1"/>
  <c r="AQ135" i="14"/>
  <c r="AL136" i="14"/>
  <c r="AL137" i="14" s="1"/>
  <c r="AL138" i="14" s="1"/>
  <c r="AM138" i="14"/>
  <c r="AM139" i="14" s="1"/>
  <c r="AM140" i="14" s="1"/>
  <c r="AM141" i="14" s="1"/>
  <c r="AP138" i="14"/>
  <c r="AP139" i="14" s="1"/>
  <c r="AP140" i="14" s="1"/>
  <c r="AP141" i="14" s="1"/>
  <c r="AQ136" i="14"/>
  <c r="AP124" i="14"/>
  <c r="AP125" i="14" s="1"/>
  <c r="AQ125" i="14" s="1"/>
  <c r="AQ123" i="14"/>
  <c r="BG48" i="14"/>
  <c r="BG50" i="14" s="1"/>
  <c r="BF50" i="14"/>
  <c r="BB48" i="14"/>
  <c r="BB50" i="14" s="1"/>
  <c r="BA50" i="14"/>
  <c r="AX48" i="14"/>
  <c r="AW50" i="14"/>
  <c r="BD48" i="14"/>
  <c r="AE28" i="14" l="1"/>
  <c r="AE32" i="14" s="1"/>
  <c r="AD32" i="14"/>
  <c r="AQ25" i="14"/>
  <c r="Y30" i="14"/>
  <c r="X30" i="14"/>
  <c r="AQ137" i="14"/>
  <c r="AL139" i="14"/>
  <c r="AQ138" i="14"/>
  <c r="AQ124" i="14"/>
  <c r="BI48" i="14"/>
  <c r="BJ48" i="14" s="1"/>
  <c r="BD50" i="14"/>
  <c r="BI50" i="14" s="1"/>
  <c r="BJ50" i="14" s="1"/>
  <c r="BE48" i="14"/>
  <c r="BE50" i="14" s="1"/>
  <c r="AX50" i="14"/>
  <c r="X34" i="14" l="1"/>
  <c r="Y34" i="14"/>
  <c r="AQ139" i="14"/>
  <c r="AL140" i="14"/>
  <c r="AL141" i="14" s="1"/>
  <c r="AQ141" i="14" s="1"/>
  <c r="AQ140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Marin Sarbulescu</author>
  </authors>
  <commentList>
    <comment ref="AD3" authorId="0" shapeId="0" xr:uid="{A30694DC-9B13-42CC-9465-99083370F7D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E3" authorId="0" shapeId="0" xr:uid="{B31F480C-BDB1-4489-889F-2FCBA3A47F3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S7" authorId="0" shapeId="0" xr:uid="{3C30C841-0EFE-4AEA-A47F-9D7DA09CF2F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Application rounds this up to 8.33334, so that's what we have in the json file.</t>
        </r>
      </text>
    </comment>
    <comment ref="AD18" authorId="0" shapeId="0" xr:uid="{93DF1956-B28C-4516-942E-231A079AE222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E18" authorId="0" shapeId="0" xr:uid="{1B2D91E6-1CBA-40C3-B01C-5783A6FD1B98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G25" authorId="0" shapeId="0" xr:uid="{C622133A-33D2-453F-A385-322E4DF8372E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Check the reconstructed walletid has propagated back to BuyA 8% allocation walletid</t>
        </r>
      </text>
    </comment>
    <comment ref="AQ45" authorId="0" shapeId="0" xr:uid="{224BD052-98D0-4C17-B4D2-7018C2EAE52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R45" authorId="0" shapeId="0" xr:uid="{14D6FF73-E331-4406-8ED4-8C9A30A1BE2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S45" authorId="0" shapeId="0" xr:uid="{51233420-A700-4A19-AA61-F201D3B2EA4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T45" authorId="0" shapeId="0" xr:uid="{80FE23EF-61AC-4925-9527-F16CC5BDD39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U45" authorId="0" shapeId="0" xr:uid="{0122FB92-B45C-4B94-9C32-C5284CAF74D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V45" authorId="0" shapeId="0" xr:uid="{84CF1FFB-0178-46D3-8FFE-FB32D4974BAE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BD45" authorId="0" shapeId="0" xr:uid="{7B3FD6E7-658C-414F-A439-F26CEE0F3685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Realized_Swing_$ + Unrealized_Swing_$</t>
        </r>
      </text>
    </comment>
    <comment ref="BE45" authorId="0" shapeId="0" xr:uid="{9F44CE73-868F-4AD1-AED5-980DFA217E6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/ (SUM(Buy_Price_Each_Swing_Wallet * Sold_Shares_Each_Swing_Wallet) + SUM(Buy_Price_Each_Swing_Wallet * Remaining_Shares_Each_Swing_Wallet))</t>
        </r>
      </text>
    </comment>
    <comment ref="BF45" authorId="0" shapeId="0" xr:uid="{BDEAFC5A-6BB7-4F07-9DD1-9126523F786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Realized_Hold_$ + Unrealized_Hold_$</t>
        </r>
      </text>
    </comment>
    <comment ref="BG45" authorId="0" shapeId="0" xr:uid="{C4D074C9-A047-437F-B367-3F68568539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Combined_Hold_$ / (SUM(Buy_Price_Each_Hold_Wallet * Sold_Shares_Each_Hold_Wallet) + SUM(Buy_Price_Each_Hold_Wallet * Remaining_Shares_Each_Hold_Wallet))</t>
        </r>
      </text>
    </comment>
    <comment ref="BH45" authorId="0" shapeId="0" xr:uid="{44F6E4E3-EEED-4802-956A-284A28EABB1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SUM(All_Div + All_SLP)</t>
        </r>
      </text>
    </comment>
    <comment ref="BI45" authorId="0" shapeId="0" xr:uid="{D24CADF2-38C8-4DB0-AB61-E32D6C02295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+ Combined_Hold_$ + Income_$</t>
        </r>
      </text>
    </comment>
    <comment ref="BJ45" authorId="0" shapeId="0" xr:uid="{58D93A24-6793-4A32-A193-69682A035EE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Combined_Stock_$ / ((Cost_Basis_All_Sold_Swing_Shares + Cost_Basis_All_Sold_Hold_Shares) + (SUM(Buy_Price_Each_Wallet * Remaining_Shares_Each_Wallet)))</t>
        </r>
      </text>
    </comment>
    <comment ref="AW46" authorId="0" shapeId="0" xr:uid="{121B238F-8A41-4DBB-8A6E-4136EBFA6B16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X46" authorId="0" shapeId="0" xr:uid="{C2280D87-FABC-46BE-876A-8B9FB7BE736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Y46" authorId="0" shapeId="0" xr:uid="{E45F0710-D443-41E8-887A-171962AEFA2D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AZ46" authorId="0" shapeId="0" xr:uid="{242E3F54-257B-4BB3-87AE-884A93F5030F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A46" authorId="0" shapeId="0" xr:uid="{61FADD80-6DD5-404E-83EB-F9042BFF4D5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B46" authorId="0" shapeId="0" xr:uid="{E7D0B604-72AD-4247-96CB-6CD2EEE8671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Q59" authorId="0" shapeId="0" xr:uid="{894C285A-3C63-48E6-9023-2ED9339A1D8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R59" authorId="0" shapeId="0" xr:uid="{D2F5EB69-B0E0-4E68-AA34-54AA4123E88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S59" authorId="0" shapeId="0" xr:uid="{682C8ACF-8240-4B5E-AC87-6CB366F7409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T59" authorId="0" shapeId="0" xr:uid="{134F089E-4AA5-4956-B58F-EC83A2C26D8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U59" authorId="0" shapeId="0" xr:uid="{EA3D643E-398F-4BE3-8D20-BE09E81A9EC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V59" authorId="0" shapeId="0" xr:uid="{64253E94-3121-45F6-9753-241441AC308F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AW59" authorId="0" shapeId="0" xr:uid="{631734C9-8C88-4EFC-B6CE-58B8DB1091A0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X59" authorId="0" shapeId="0" xr:uid="{413211A1-1BDA-41F5-939D-47B50A26255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Y59" authorId="0" shapeId="0" xr:uid="{BAFF9A6D-F6A7-4999-AA04-E6F3D1E0BA1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AZ59" authorId="0" shapeId="0" xr:uid="{A7CB0B0C-1FB8-4F7D-9547-37CD05507E0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A59" authorId="0" shapeId="0" xr:uid="{B4726EC1-2D0F-44CE-9037-B0ADEAE7FC9B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B59" authorId="0" shapeId="0" xr:uid="{B498020F-F4F0-4C28-A01B-317648B63C1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D101" authorId="0" shapeId="0" xr:uid="{511CF01E-50B9-4F86-8C75-0FAA19660B40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5DD exists, but it's hidden because the last buy was less than 5 days ago.</t>
        </r>
      </text>
    </comment>
    <comment ref="AE104" authorId="0" shapeId="0" xr:uid="{BFE7F065-8945-491A-BD3E-0F82A88F23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This is the LBD displayed, because it's of the latest buy.</t>
        </r>
      </text>
    </comment>
    <comment ref="AE105" authorId="0" shapeId="0" xr:uid="{AFFF8F15-2E97-487B-8534-F21B0A8D004B}">
      <text>
        <r>
          <rPr>
            <b/>
            <sz val="9"/>
            <color indexed="81"/>
            <rFont val="Tahoma"/>
            <family val="2"/>
          </rPr>
          <t xml:space="preserve">Marin Sarbulescu
</t>
        </r>
        <r>
          <rPr>
            <sz val="9"/>
            <color indexed="81"/>
            <rFont val="Tahoma"/>
            <family val="2"/>
          </rPr>
          <t>LBD exists but it's not displayed because -1.96% drop from $51 doesn't meet 8% PDP threshold</t>
        </r>
      </text>
    </comment>
  </commentList>
</comments>
</file>

<file path=xl/sharedStrings.xml><?xml version="1.0" encoding="utf-8"?>
<sst xmlns="http://schemas.openxmlformats.org/spreadsheetml/2006/main" count="1045" uniqueCount="228">
  <si>
    <t>Price</t>
  </si>
  <si>
    <t>Inv</t>
  </si>
  <si>
    <t>Date</t>
  </si>
  <si>
    <t>Action</t>
  </si>
  <si>
    <t>Signal</t>
  </si>
  <si>
    <t>Shs/Txn</t>
  </si>
  <si>
    <t>Play Shs</t>
  </si>
  <si>
    <t>Hold Shs</t>
  </si>
  <si>
    <t>Hold Inv.</t>
  </si>
  <si>
    <t>LBD</t>
  </si>
  <si>
    <t>TP</t>
  </si>
  <si>
    <t>Bal. ($)</t>
  </si>
  <si>
    <t>Cash</t>
  </si>
  <si>
    <t>Buy 1</t>
  </si>
  <si>
    <t>5DD</t>
  </si>
  <si>
    <t>Play Txn Inv</t>
  </si>
  <si>
    <t>Buy 2</t>
  </si>
  <si>
    <t>Hold Txn Inv</t>
  </si>
  <si>
    <t>5DD &amp; LBD</t>
  </si>
  <si>
    <t>Play Inv. (Total)</t>
  </si>
  <si>
    <t>Hold Inv. (Total)</t>
  </si>
  <si>
    <t>Play Inv.</t>
  </si>
  <si>
    <t>Buy 3</t>
  </si>
  <si>
    <t>Buy 4</t>
  </si>
  <si>
    <t>Buy 5</t>
  </si>
  <si>
    <t>EOM</t>
  </si>
  <si>
    <t>Not a real txn, just a summary of everything on 3/7/2025</t>
  </si>
  <si>
    <t>Swing</t>
  </si>
  <si>
    <t>Hold</t>
  </si>
  <si>
    <t>SHR</t>
  </si>
  <si>
    <t>Buy Price</t>
  </si>
  <si>
    <t>wallet-add-transaction.spec.ts</t>
  </si>
  <si>
    <t>Add SplitBuyInitial</t>
  </si>
  <si>
    <t>Add SwingBuyCust</t>
  </si>
  <si>
    <t>-</t>
  </si>
  <si>
    <t>Add HoldBuyEOM</t>
  </si>
  <si>
    <t>Add AnotherSplitBuy</t>
  </si>
  <si>
    <t>wallet-delete-transaction.spec.ts</t>
  </si>
  <si>
    <t>SplitTransactionAdd</t>
  </si>
  <si>
    <t>SplitTransactionDelete</t>
  </si>
  <si>
    <t>SwingTransactionAdd</t>
  </si>
  <si>
    <t>SwingTransactionDelete</t>
  </si>
  <si>
    <t>HoldTransactionAdd</t>
  </si>
  <si>
    <t>HoldTransactionDelete</t>
  </si>
  <si>
    <t>wallet-same-price-transactions.spec.ts</t>
  </si>
  <si>
    <t>Add SwingTransactionB</t>
  </si>
  <si>
    <t>Add HoldTransactionC</t>
  </si>
  <si>
    <t>Add SplitTransactionA</t>
  </si>
  <si>
    <t>Add SplitTransactionD</t>
  </si>
  <si>
    <t>Add Dividend</t>
  </si>
  <si>
    <t>Amount</t>
  </si>
  <si>
    <t>Add SLP</t>
  </si>
  <si>
    <t>Realized P/L</t>
  </si>
  <si>
    <t>Unrealized P/L</t>
  </si>
  <si>
    <t>Swing $</t>
  </si>
  <si>
    <t>Hold $</t>
  </si>
  <si>
    <t>Stock $</t>
  </si>
  <si>
    <t>%</t>
  </si>
  <si>
    <t>Swing shs</t>
  </si>
  <si>
    <t>Hold shs</t>
  </si>
  <si>
    <t>Total shs</t>
  </si>
  <si>
    <t>Latest Price</t>
  </si>
  <si>
    <t>Qty</t>
  </si>
  <si>
    <t>PDP</t>
  </si>
  <si>
    <t>Shares Lft</t>
  </si>
  <si>
    <t>Combined P/L</t>
  </si>
  <si>
    <t>Income $</t>
  </si>
  <si>
    <t>wallet-add-split-transaction.spec.ts</t>
  </si>
  <si>
    <t>InitialBuy</t>
  </si>
  <si>
    <t>StockSplit</t>
  </si>
  <si>
    <t>Split</t>
  </si>
  <si>
    <t>PostSplitBuy</t>
  </si>
  <si>
    <t>STP</t>
  </si>
  <si>
    <t>Sell</t>
  </si>
  <si>
    <t>Transaction</t>
  </si>
  <si>
    <t>Buy</t>
  </si>
  <si>
    <t>Type</t>
  </si>
  <si>
    <t>Sell $</t>
  </si>
  <si>
    <t>Initial</t>
  </si>
  <si>
    <t>OOP</t>
  </si>
  <si>
    <t>Cust</t>
  </si>
  <si>
    <t>$ Balance</t>
  </si>
  <si>
    <t>ROIC</t>
  </si>
  <si>
    <t>Swing Shs</t>
  </si>
  <si>
    <t>All Shs</t>
  </si>
  <si>
    <t>SplitA</t>
  </si>
  <si>
    <t>SwingA</t>
  </si>
  <si>
    <t>SplitB</t>
  </si>
  <si>
    <t>HoldB</t>
  </si>
  <si>
    <t>SplitC</t>
  </si>
  <si>
    <t>SwingC</t>
  </si>
  <si>
    <t>HoldC</t>
  </si>
  <si>
    <t>SwingD</t>
  </si>
  <si>
    <t>HoldE</t>
  </si>
  <si>
    <t>After transaction</t>
  </si>
  <si>
    <t>SwingB</t>
  </si>
  <si>
    <t>SplitD</t>
  </si>
  <si>
    <t>SplitE</t>
  </si>
  <si>
    <t>wallet-stp-htp.spec.ts</t>
  </si>
  <si>
    <t>HTP</t>
  </si>
  <si>
    <t>%2STP</t>
  </si>
  <si>
    <t>%2HTP</t>
  </si>
  <si>
    <t>BuySplitInitial A</t>
  </si>
  <si>
    <t>portfolio-overview.spec.ts</t>
  </si>
  <si>
    <t>Ticker</t>
  </si>
  <si>
    <t>Name</t>
  </si>
  <si>
    <t>Security Type</t>
  </si>
  <si>
    <t>Region</t>
  </si>
  <si>
    <t>Market</t>
  </si>
  <si>
    <t>Max Risk</t>
  </si>
  <si>
    <t>Test Price</t>
  </si>
  <si>
    <t>Trend</t>
  </si>
  <si>
    <t>Comm</t>
  </si>
  <si>
    <t>Commission</t>
  </si>
  <si>
    <t>Stock</t>
  </si>
  <si>
    <t>US</t>
  </si>
  <si>
    <t>US Index</t>
  </si>
  <si>
    <t>Market Sector</t>
  </si>
  <si>
    <t>Opportunity</t>
  </si>
  <si>
    <t>Risk Profile</t>
  </si>
  <si>
    <t>Hare</t>
  </si>
  <si>
    <t>Tied-Up</t>
  </si>
  <si>
    <t>r-Inv</t>
  </si>
  <si>
    <t>1. Add new stock in PortfolioAddEditStockModal</t>
  </si>
  <si>
    <t>2. Check PortfolioTable if new stock exists, by Ticker</t>
  </si>
  <si>
    <t>3. Continue to check PortfolioTable the following values exist for the new stock. Make sure their visibility is toggled on first.</t>
  </si>
  <si>
    <t>Tied-up</t>
  </si>
  <si>
    <t>Market Value</t>
  </si>
  <si>
    <t>APAC</t>
  </si>
  <si>
    <t>EU</t>
  </si>
  <si>
    <t>Intl</t>
  </si>
  <si>
    <t>4+. Replicating the 1 to 3 steps, create the following stocks and check if their values exist</t>
  </si>
  <si>
    <t>E2EPortfolioOverviewRegionUS</t>
  </si>
  <si>
    <t>ETF</t>
  </si>
  <si>
    <t>APAC Index</t>
  </si>
  <si>
    <t>Tortoise</t>
  </si>
  <si>
    <t>Europe Index</t>
  </si>
  <si>
    <t>Crypto</t>
  </si>
  <si>
    <t>E2EPortfolioOverviewUS2</t>
  </si>
  <si>
    <t>E2E Portfolio Overview Intl2</t>
  </si>
  <si>
    <t>E2EPortfolioOverviewUS1</t>
  </si>
  <si>
    <t>E2E Portfolio Overview US1</t>
  </si>
  <si>
    <t>E2EPortfolioOverviewIntl2</t>
  </si>
  <si>
    <t>E2EPortfolioOverviewIntl1</t>
  </si>
  <si>
    <t>E2EPortfolioOverviewAPAC1</t>
  </si>
  <si>
    <t>E2EPortfolioOverviewEU1</t>
  </si>
  <si>
    <t>E2E Portfolio Overview APAC1</t>
  </si>
  <si>
    <t>E2E Portfolio Overview Intl1</t>
  </si>
  <si>
    <t>E2E Portfolio Overview EU1</t>
  </si>
  <si>
    <t>E2E Portfolio Overview US2</t>
  </si>
  <si>
    <t>E2EPortfolioOverviewAPAC2</t>
  </si>
  <si>
    <t>E2E Portfolio Overview APAC2</t>
  </si>
  <si>
    <t>E2EPortfolioOverviewAPAC3</t>
  </si>
  <si>
    <t>E2E Portfolio Overview APAC3</t>
  </si>
  <si>
    <t>China Index</t>
  </si>
  <si>
    <t>E2EPortfolioOverviewIntl3</t>
  </si>
  <si>
    <t>E2E Portfolio Overview Intl3</t>
  </si>
  <si>
    <t>International Index</t>
  </si>
  <si>
    <t>E2EPortfolioOverviewIntl4</t>
  </si>
  <si>
    <t>E2E Portfolio Overview Intl4</t>
  </si>
  <si>
    <t>Emerging Index</t>
  </si>
  <si>
    <t>E2EPortfolioOverviewUS3</t>
  </si>
  <si>
    <t>E2E Portfolio Overview US3</t>
  </si>
  <si>
    <t>Oil</t>
  </si>
  <si>
    <t>E2EPortfolioOverviewEU2</t>
  </si>
  <si>
    <t>E2E Portfolio Overview EU2</t>
  </si>
  <si>
    <t>Metals</t>
  </si>
  <si>
    <t>E2EPortfolioOverviewAPAC4</t>
  </si>
  <si>
    <t>E2E Portfolio Overview APAC4</t>
  </si>
  <si>
    <t>E2EPortfolioOverviewEU3</t>
  </si>
  <si>
    <t>E2E Portfolio Overview EU3</t>
  </si>
  <si>
    <t>E2EPortfolioOverviewIntl5</t>
  </si>
  <si>
    <t>E2E Portfolio Overview Intl5</t>
  </si>
  <si>
    <t>5. Check PortfolioOverview, Region table</t>
  </si>
  <si>
    <t>6. Check PortfolioOverview, Region table</t>
  </si>
  <si>
    <t>signals-5dd-lbd-validation.spec.ts</t>
  </si>
  <si>
    <t>E2E5DDLBD1</t>
  </si>
  <si>
    <t>Historical closes</t>
  </si>
  <si>
    <t>Close</t>
  </si>
  <si>
    <t>Signals</t>
  </si>
  <si>
    <t>5DD%</t>
  </si>
  <si>
    <t>L Buy</t>
  </si>
  <si>
    <t>5DD (%)</t>
  </si>
  <si>
    <t>LBD (%)</t>
  </si>
  <si>
    <t>10 d</t>
  </si>
  <si>
    <t>E2E5DDLBD2</t>
  </si>
  <si>
    <t>Transactions</t>
  </si>
  <si>
    <t>E2ESTPHTP</t>
  </si>
  <si>
    <t>E2ESTPHTPCOM</t>
  </si>
  <si>
    <t>EditBuyPrice</t>
  </si>
  <si>
    <t>ET</t>
  </si>
  <si>
    <t>PT +4%</t>
  </si>
  <si>
    <t>PT +8%</t>
  </si>
  <si>
    <t>PT +16%</t>
  </si>
  <si>
    <t>P/L</t>
  </si>
  <si>
    <t>P/L (%)</t>
  </si>
  <si>
    <t>Shares</t>
  </si>
  <si>
    <t>PT</t>
  </si>
  <si>
    <t>%PT</t>
  </si>
  <si>
    <t>Total Shs</t>
  </si>
  <si>
    <t>Buy A</t>
  </si>
  <si>
    <t>Buy C at diff price, just 2 PTs</t>
  </si>
  <si>
    <t>Input: Action</t>
  </si>
  <si>
    <t>Expected: Transactions table</t>
  </si>
  <si>
    <t>Asset settings</t>
  </si>
  <si>
    <t>Expected: +4% Wallets</t>
  </si>
  <si>
    <t>Expected: Overview</t>
  </si>
  <si>
    <t>Expected: +8% Wallets</t>
  </si>
  <si>
    <t>Expected: +16% Wallets</t>
  </si>
  <si>
    <t>Current Price</t>
  </si>
  <si>
    <t>Buy B</t>
  </si>
  <si>
    <t>Custom</t>
  </si>
  <si>
    <t>Edit txn A, update inv, price, alloc</t>
  </si>
  <si>
    <t>Delete txn A</t>
  </si>
  <si>
    <t>asset-buy-crud.spec.ts</t>
  </si>
  <si>
    <t>Entry Target</t>
  </si>
  <si>
    <t>BuyA</t>
  </si>
  <si>
    <t>BuyB</t>
  </si>
  <si>
    <t>BuyC</t>
  </si>
  <si>
    <t>asset-sell-crud.spec.ts</t>
  </si>
  <si>
    <t>SellA</t>
  </si>
  <si>
    <t>Profit Target</t>
  </si>
  <si>
    <t>Inv/Amt</t>
  </si>
  <si>
    <t>SellB</t>
  </si>
  <si>
    <t>Del</t>
  </si>
  <si>
    <t>Del SellB</t>
  </si>
  <si>
    <t>Edit SellB</t>
  </si>
  <si>
    <t>Edit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</si>
</sst>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&quot;$&quot;#,##0"/>
    <numFmt numFmtId="166" formatCode="0.00000"/>
    <numFmt numFmtId="167" formatCode="0.0000"/>
    <numFmt numFmtId="168" formatCode="0.0"/>
  </numFmts>
  <fonts count="29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trike/>
      <sz val="10"/>
      <color theme="1"/>
      <name val="Arial"/>
      <scheme val="minor"/>
    </font>
    <font>
      <sz val="10"/>
      <color rgb="FFFFFFFF"/>
      <name val="Arial"/>
    </font>
    <font>
      <strike/>
      <sz val="10"/>
      <color theme="1"/>
      <name val="Arial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/>
      <name val="Arial"/>
      <family val="2"/>
      <scheme val="minor"/>
    </font>
    <font>
      <sz val="10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name val="Consolas"/>
      <family val="3"/>
    </font>
    <font>
      <sz val="10"/>
      <color rgb="FF00B050"/>
      <name val="Arial"/>
      <family val="2"/>
      <scheme val="minor"/>
    </font>
    <font>
      <sz val="10"/>
      <color rgb="FFFFC000"/>
      <name val="Arial"/>
      <family val="2"/>
      <scheme val="minor"/>
    </font>
    <font>
      <strike/>
      <sz val="10"/>
      <color rgb="FF000000"/>
      <name val="Arial"/>
      <family val="2"/>
      <scheme val="minor"/>
    </font>
    <font>
      <strike/>
      <sz val="10"/>
      <color theme="1"/>
      <name val="Arial"/>
      <family val="2"/>
    </font>
    <font>
      <sz val="10"/>
      <color rgb="FF00B050"/>
      <name val="Arial"/>
      <family val="2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rgb="FF073763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2" fillId="0" borderId="0" applyFont="0" applyFill="0" applyBorder="0" applyAlignment="0" applyProtection="0"/>
    <xf numFmtId="44" fontId="12" fillId="0" borderId="0" applyFont="0" applyFill="0" applyBorder="0" applyAlignment="0" applyProtection="0"/>
  </cellStyleXfs>
  <cellXfs count="210">
    <xf numFmtId="0" fontId="0" fillId="0" borderId="0" xfId="0"/>
    <xf numFmtId="0" fontId="1" fillId="0" borderId="0" xfId="0" applyFont="1"/>
    <xf numFmtId="10" fontId="2" fillId="0" borderId="0" xfId="0" applyNumberFormat="1" applyFont="1"/>
    <xf numFmtId="164" fontId="2" fillId="0" borderId="0" xfId="0" applyNumberFormat="1" applyFont="1"/>
    <xf numFmtId="10" fontId="1" fillId="0" borderId="0" xfId="0" applyNumberFormat="1" applyFont="1"/>
    <xf numFmtId="165" fontId="1" fillId="0" borderId="0" xfId="0" applyNumberFormat="1" applyFont="1"/>
    <xf numFmtId="164" fontId="1" fillId="0" borderId="0" xfId="0" applyNumberFormat="1" applyFont="1"/>
    <xf numFmtId="165" fontId="2" fillId="0" borderId="0" xfId="0" applyNumberFormat="1" applyFont="1"/>
    <xf numFmtId="3" fontId="1" fillId="0" borderId="0" xfId="0" applyNumberFormat="1" applyFont="1"/>
    <xf numFmtId="4" fontId="1" fillId="0" borderId="0" xfId="0" applyNumberFormat="1" applyFont="1"/>
    <xf numFmtId="14" fontId="1" fillId="0" borderId="0" xfId="0" applyNumberFormat="1" applyFont="1"/>
    <xf numFmtId="2" fontId="1" fillId="0" borderId="0" xfId="0" applyNumberFormat="1" applyFont="1"/>
    <xf numFmtId="0" fontId="3" fillId="0" borderId="0" xfId="0" applyFont="1"/>
    <xf numFmtId="165" fontId="3" fillId="0" borderId="0" xfId="0" applyNumberFormat="1" applyFont="1" applyAlignment="1">
      <alignment horizontal="right"/>
    </xf>
    <xf numFmtId="0" fontId="4" fillId="0" borderId="0" xfId="0" applyFont="1"/>
    <xf numFmtId="164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2" fillId="0" borderId="0" xfId="0" applyFont="1"/>
    <xf numFmtId="14" fontId="5" fillId="0" borderId="0" xfId="0" applyNumberFormat="1" applyFont="1"/>
    <xf numFmtId="0" fontId="5" fillId="0" borderId="0" xfId="0" applyFont="1"/>
    <xf numFmtId="164" fontId="5" fillId="0" borderId="0" xfId="0" applyNumberFormat="1" applyFont="1"/>
    <xf numFmtId="4" fontId="5" fillId="0" borderId="0" xfId="0" applyNumberFormat="1" applyFont="1"/>
    <xf numFmtId="2" fontId="5" fillId="0" borderId="0" xfId="0" applyNumberFormat="1" applyFont="1"/>
    <xf numFmtId="165" fontId="5" fillId="0" borderId="0" xfId="0" applyNumberFormat="1" applyFont="1"/>
    <xf numFmtId="49" fontId="1" fillId="0" borderId="0" xfId="0" applyNumberFormat="1" applyFont="1"/>
    <xf numFmtId="0" fontId="6" fillId="2" borderId="0" xfId="0" applyFont="1" applyFill="1"/>
    <xf numFmtId="9" fontId="3" fillId="0" borderId="0" xfId="0" applyNumberFormat="1" applyFont="1" applyAlignment="1">
      <alignment horizontal="right"/>
    </xf>
    <xf numFmtId="166" fontId="3" fillId="0" borderId="0" xfId="0" applyNumberFormat="1" applyFont="1" applyAlignment="1">
      <alignment horizontal="right"/>
    </xf>
    <xf numFmtId="165" fontId="0" fillId="0" borderId="0" xfId="0" applyNumberFormat="1"/>
    <xf numFmtId="166" fontId="0" fillId="0" borderId="0" xfId="0" applyNumberFormat="1"/>
    <xf numFmtId="6" fontId="0" fillId="0" borderId="0" xfId="0" applyNumberFormat="1"/>
    <xf numFmtId="0" fontId="8" fillId="0" borderId="0" xfId="0" applyFont="1"/>
    <xf numFmtId="0" fontId="0" fillId="3" borderId="0" xfId="0" applyFill="1"/>
    <xf numFmtId="6" fontId="0" fillId="3" borderId="0" xfId="0" applyNumberFormat="1" applyFill="1"/>
    <xf numFmtId="9" fontId="3" fillId="3" borderId="0" xfId="0" applyNumberFormat="1" applyFont="1" applyFill="1" applyAlignment="1">
      <alignment horizontal="right"/>
    </xf>
    <xf numFmtId="165" fontId="0" fillId="3" borderId="0" xfId="0" applyNumberFormat="1" applyFill="1"/>
    <xf numFmtId="166" fontId="0" fillId="3" borderId="0" xfId="0" applyNumberFormat="1" applyFill="1"/>
    <xf numFmtId="8" fontId="0" fillId="3" borderId="0" xfId="0" applyNumberFormat="1" applyFill="1"/>
    <xf numFmtId="0" fontId="3" fillId="3" borderId="0" xfId="0" applyFont="1" applyFill="1"/>
    <xf numFmtId="165" fontId="3" fillId="3" borderId="0" xfId="0" applyNumberFormat="1" applyFont="1" applyFill="1" applyAlignment="1">
      <alignment horizontal="right"/>
    </xf>
    <xf numFmtId="166" fontId="3" fillId="3" borderId="0" xfId="0" applyNumberFormat="1" applyFont="1" applyFill="1" applyAlignment="1">
      <alignment horizontal="right"/>
    </xf>
    <xf numFmtId="167" fontId="0" fillId="0" borderId="0" xfId="0" applyNumberFormat="1"/>
    <xf numFmtId="0" fontId="11" fillId="0" borderId="0" xfId="0" applyFont="1"/>
    <xf numFmtId="0" fontId="10" fillId="0" borderId="0" xfId="0" applyFont="1"/>
    <xf numFmtId="0" fontId="11" fillId="3" borderId="0" xfId="0" applyFont="1" applyFill="1"/>
    <xf numFmtId="167" fontId="0" fillId="3" borderId="0" xfId="0" applyNumberFormat="1" applyFill="1"/>
    <xf numFmtId="165" fontId="0" fillId="0" borderId="0" xfId="0" quotePrefix="1" applyNumberFormat="1"/>
    <xf numFmtId="2" fontId="0" fillId="0" borderId="0" xfId="0" applyNumberFormat="1"/>
    <xf numFmtId="2" fontId="0" fillId="3" borderId="0" xfId="0" applyNumberFormat="1" applyFill="1"/>
    <xf numFmtId="8" fontId="0" fillId="0" borderId="0" xfId="0" applyNumberFormat="1"/>
    <xf numFmtId="9" fontId="0" fillId="0" borderId="0" xfId="1" applyFont="1"/>
    <xf numFmtId="10" fontId="0" fillId="0" borderId="0" xfId="1" applyNumberFormat="1" applyFont="1"/>
    <xf numFmtId="10" fontId="0" fillId="3" borderId="0" xfId="1" applyNumberFormat="1" applyFont="1" applyFill="1"/>
    <xf numFmtId="0" fontId="13" fillId="0" borderId="0" xfId="0" applyFont="1"/>
    <xf numFmtId="0" fontId="14" fillId="2" borderId="0" xfId="0" applyFont="1" applyFill="1"/>
    <xf numFmtId="2" fontId="3" fillId="0" borderId="0" xfId="0" applyNumberFormat="1" applyFont="1" applyAlignment="1">
      <alignment horizontal="right"/>
    </xf>
    <xf numFmtId="2" fontId="3" fillId="3" borderId="0" xfId="0" applyNumberFormat="1" applyFont="1" applyFill="1" applyAlignment="1">
      <alignment horizontal="right"/>
    </xf>
    <xf numFmtId="0" fontId="6" fillId="0" borderId="0" xfId="0" applyFont="1"/>
    <xf numFmtId="0" fontId="6" fillId="4" borderId="0" xfId="0" applyFont="1" applyFill="1"/>
    <xf numFmtId="10" fontId="0" fillId="0" borderId="0" xfId="1" applyNumberFormat="1" applyFont="1" applyFill="1"/>
    <xf numFmtId="164" fontId="0" fillId="0" borderId="0" xfId="0" applyNumberFormat="1"/>
    <xf numFmtId="10" fontId="11" fillId="0" borderId="0" xfId="1" applyNumberFormat="1" applyFont="1"/>
    <xf numFmtId="164" fontId="0" fillId="3" borderId="0" xfId="0" applyNumberFormat="1" applyFill="1"/>
    <xf numFmtId="0" fontId="8" fillId="5" borderId="0" xfId="0" applyFont="1" applyFill="1"/>
    <xf numFmtId="0" fontId="9" fillId="5" borderId="0" xfId="0" applyFont="1" applyFill="1"/>
    <xf numFmtId="9" fontId="0" fillId="0" borderId="0" xfId="0" applyNumberFormat="1"/>
    <xf numFmtId="0" fontId="0" fillId="0" borderId="0" xfId="0" applyAlignment="1">
      <alignment horizontal="right"/>
    </xf>
    <xf numFmtId="0" fontId="19" fillId="6" borderId="0" xfId="0" applyFont="1" applyFill="1" applyAlignment="1">
      <alignment horizontal="right"/>
    </xf>
    <xf numFmtId="0" fontId="19" fillId="6" borderId="0" xfId="0" applyFont="1" applyFill="1"/>
    <xf numFmtId="14" fontId="0" fillId="7" borderId="0" xfId="0" applyNumberFormat="1" applyFill="1" applyAlignment="1">
      <alignment vertical="top"/>
    </xf>
    <xf numFmtId="0" fontId="0" fillId="7" borderId="0" xfId="0" applyFill="1" applyAlignment="1">
      <alignment vertical="top"/>
    </xf>
    <xf numFmtId="6" fontId="0" fillId="7" borderId="0" xfId="0" applyNumberFormat="1" applyFill="1" applyAlignment="1">
      <alignment vertical="top"/>
    </xf>
    <xf numFmtId="0" fontId="11" fillId="7" borderId="0" xfId="0" applyFont="1" applyFill="1" applyAlignment="1">
      <alignment vertical="top"/>
    </xf>
    <xf numFmtId="168" fontId="0" fillId="7" borderId="0" xfId="0" applyNumberFormat="1" applyFill="1" applyAlignment="1">
      <alignment vertical="top"/>
    </xf>
    <xf numFmtId="0" fontId="19" fillId="0" borderId="0" xfId="0" applyFont="1"/>
    <xf numFmtId="10" fontId="0" fillId="7" borderId="0" xfId="1" applyNumberFormat="1" applyFont="1" applyFill="1" applyAlignment="1">
      <alignment vertical="top" wrapText="1"/>
    </xf>
    <xf numFmtId="14" fontId="0" fillId="8" borderId="0" xfId="0" applyNumberFormat="1" applyFill="1" applyAlignment="1">
      <alignment vertical="top"/>
    </xf>
    <xf numFmtId="0" fontId="0" fillId="8" borderId="0" xfId="0" applyFill="1" applyAlignment="1">
      <alignment vertical="top"/>
    </xf>
    <xf numFmtId="0" fontId="11" fillId="8" borderId="0" xfId="0" applyFont="1" applyFill="1" applyAlignment="1">
      <alignment vertical="top"/>
    </xf>
    <xf numFmtId="6" fontId="0" fillId="8" borderId="0" xfId="0" applyNumberFormat="1" applyFill="1" applyAlignment="1">
      <alignment vertical="top"/>
    </xf>
    <xf numFmtId="168" fontId="0" fillId="8" borderId="0" xfId="0" applyNumberFormat="1" applyFill="1" applyAlignment="1">
      <alignment vertical="top"/>
    </xf>
    <xf numFmtId="168" fontId="11" fillId="8" borderId="0" xfId="0" applyNumberFormat="1" applyFont="1" applyFill="1" applyAlignment="1">
      <alignment vertical="top"/>
    </xf>
    <xf numFmtId="6" fontId="20" fillId="8" borderId="0" xfId="0" applyNumberFormat="1" applyFont="1" applyFill="1" applyAlignment="1">
      <alignment vertical="top"/>
    </xf>
    <xf numFmtId="10" fontId="0" fillId="8" borderId="0" xfId="1" applyNumberFormat="1" applyFont="1" applyFill="1" applyAlignment="1">
      <alignment vertical="top" wrapText="1"/>
    </xf>
    <xf numFmtId="2" fontId="0" fillId="8" borderId="0" xfId="0" applyNumberFormat="1" applyFill="1" applyAlignment="1">
      <alignment vertical="top"/>
    </xf>
    <xf numFmtId="2" fontId="0" fillId="7" borderId="0" xfId="0" applyNumberFormat="1" applyFill="1" applyAlignment="1">
      <alignment vertical="top"/>
    </xf>
    <xf numFmtId="2" fontId="11" fillId="8" borderId="0" xfId="0" applyNumberFormat="1" applyFont="1" applyFill="1" applyAlignment="1">
      <alignment vertical="top"/>
    </xf>
    <xf numFmtId="8" fontId="0" fillId="8" borderId="0" xfId="0" applyNumberFormat="1" applyFill="1" applyAlignment="1">
      <alignment vertical="top"/>
    </xf>
    <xf numFmtId="8" fontId="0" fillId="7" borderId="0" xfId="0" applyNumberFormat="1" applyFill="1" applyAlignment="1">
      <alignment vertical="top"/>
    </xf>
    <xf numFmtId="8" fontId="20" fillId="8" borderId="0" xfId="0" applyNumberFormat="1" applyFont="1" applyFill="1" applyAlignment="1">
      <alignment vertical="top"/>
    </xf>
    <xf numFmtId="0" fontId="0" fillId="0" borderId="0" xfId="0" quotePrefix="1"/>
    <xf numFmtId="44" fontId="0" fillId="0" borderId="0" xfId="2" applyFont="1"/>
    <xf numFmtId="44" fontId="0" fillId="0" borderId="0" xfId="1" applyNumberFormat="1" applyFont="1"/>
    <xf numFmtId="0" fontId="8" fillId="9" borderId="0" xfId="0" applyFont="1" applyFill="1"/>
    <xf numFmtId="10" fontId="0" fillId="0" borderId="0" xfId="0" applyNumberFormat="1"/>
    <xf numFmtId="0" fontId="11" fillId="0" borderId="0" xfId="0" quotePrefix="1" applyFont="1"/>
    <xf numFmtId="164" fontId="0" fillId="0" borderId="0" xfId="2" applyNumberFormat="1" applyFont="1"/>
    <xf numFmtId="14" fontId="0" fillId="0" borderId="0" xfId="0" applyNumberFormat="1"/>
    <xf numFmtId="6" fontId="11" fillId="0" borderId="0" xfId="0" applyNumberFormat="1" applyFont="1"/>
    <xf numFmtId="10" fontId="11" fillId="0" borderId="0" xfId="1" applyNumberFormat="1" applyFont="1" applyAlignment="1">
      <alignment wrapText="1"/>
    </xf>
    <xf numFmtId="0" fontId="14" fillId="0" borderId="0" xfId="0" applyFont="1"/>
    <xf numFmtId="165" fontId="11" fillId="0" borderId="0" xfId="0" applyNumberFormat="1" applyFont="1"/>
    <xf numFmtId="10" fontId="11" fillId="0" borderId="0" xfId="1" applyNumberFormat="1" applyFont="1" applyFill="1"/>
    <xf numFmtId="166" fontId="11" fillId="0" borderId="0" xfId="0" applyNumberFormat="1" applyFont="1"/>
    <xf numFmtId="0" fontId="0" fillId="3" borderId="0" xfId="0" quotePrefix="1" applyFill="1"/>
    <xf numFmtId="10" fontId="21" fillId="3" borderId="0" xfId="1" applyNumberFormat="1" applyFont="1" applyFill="1"/>
    <xf numFmtId="10" fontId="21" fillId="3" borderId="0" xfId="1" applyNumberFormat="1" applyFont="1" applyFill="1" applyAlignment="1">
      <alignment wrapText="1"/>
    </xf>
    <xf numFmtId="10" fontId="20" fillId="0" borderId="0" xfId="1" applyNumberFormat="1" applyFont="1" applyFill="1"/>
    <xf numFmtId="0" fontId="9" fillId="0" borderId="0" xfId="0" applyFont="1"/>
    <xf numFmtId="0" fontId="20" fillId="0" borderId="0" xfId="0" applyFont="1"/>
    <xf numFmtId="0" fontId="22" fillId="0" borderId="0" xfId="0" quotePrefix="1" applyFont="1" applyAlignment="1">
      <alignment vertical="center"/>
    </xf>
    <xf numFmtId="0" fontId="20" fillId="0" borderId="0" xfId="0" quotePrefix="1" applyFont="1"/>
    <xf numFmtId="10" fontId="23" fillId="0" borderId="0" xfId="1" applyNumberFormat="1" applyFont="1" applyFill="1"/>
    <xf numFmtId="10" fontId="23" fillId="3" borderId="0" xfId="1" applyNumberFormat="1" applyFont="1" applyFill="1"/>
    <xf numFmtId="10" fontId="24" fillId="3" borderId="0" xfId="1" applyNumberFormat="1" applyFont="1" applyFill="1"/>
    <xf numFmtId="10" fontId="20" fillId="3" borderId="0" xfId="1" applyNumberFormat="1" applyFont="1" applyFill="1"/>
    <xf numFmtId="10" fontId="23" fillId="0" borderId="0" xfId="1" applyNumberFormat="1" applyFont="1"/>
    <xf numFmtId="8" fontId="23" fillId="0" borderId="0" xfId="0" applyNumberFormat="1" applyFont="1"/>
    <xf numFmtId="8" fontId="23" fillId="3" borderId="0" xfId="0" applyNumberFormat="1" applyFont="1" applyFill="1"/>
    <xf numFmtId="0" fontId="23" fillId="0" borderId="0" xfId="0" applyFont="1"/>
    <xf numFmtId="6" fontId="11" fillId="3" borderId="0" xfId="0" applyNumberFormat="1" applyFont="1" applyFill="1"/>
    <xf numFmtId="164" fontId="3" fillId="0" borderId="0" xfId="0" applyNumberFormat="1" applyFont="1" applyAlignment="1">
      <alignment horizontal="right"/>
    </xf>
    <xf numFmtId="164" fontId="3" fillId="0" borderId="0" xfId="2" applyNumberFormat="1" applyFont="1" applyAlignment="1">
      <alignment horizontal="right"/>
    </xf>
    <xf numFmtId="10" fontId="3" fillId="0" borderId="0" xfId="0" applyNumberFormat="1" applyFont="1" applyAlignment="1">
      <alignment horizontal="right"/>
    </xf>
    <xf numFmtId="10" fontId="0" fillId="3" borderId="0" xfId="0" applyNumberFormat="1" applyFill="1"/>
    <xf numFmtId="164" fontId="3" fillId="3" borderId="0" xfId="0" applyNumberFormat="1" applyFont="1" applyFill="1" applyAlignment="1">
      <alignment horizontal="right"/>
    </xf>
    <xf numFmtId="164" fontId="3" fillId="3" borderId="0" xfId="0" quotePrefix="1" applyNumberFormat="1" applyFont="1" applyFill="1" applyAlignment="1">
      <alignment horizontal="right"/>
    </xf>
    <xf numFmtId="164" fontId="3" fillId="3" borderId="0" xfId="2" applyNumberFormat="1" applyFont="1" applyFill="1" applyAlignment="1">
      <alignment horizontal="right"/>
    </xf>
    <xf numFmtId="10" fontId="3" fillId="3" borderId="0" xfId="0" applyNumberFormat="1" applyFont="1" applyFill="1" applyAlignment="1">
      <alignment horizontal="right"/>
    </xf>
    <xf numFmtId="49" fontId="10" fillId="0" borderId="0" xfId="0" applyNumberFormat="1" applyFont="1"/>
    <xf numFmtId="49" fontId="3" fillId="0" borderId="0" xfId="0" applyNumberFormat="1" applyFont="1"/>
    <xf numFmtId="49" fontId="10" fillId="3" borderId="0" xfId="0" applyNumberFormat="1" applyFont="1" applyFill="1"/>
    <xf numFmtId="10" fontId="11" fillId="0" borderId="0" xfId="0" applyNumberFormat="1" applyFont="1"/>
    <xf numFmtId="10" fontId="11" fillId="3" borderId="0" xfId="0" applyNumberFormat="1" applyFont="1" applyFill="1"/>
    <xf numFmtId="164" fontId="3" fillId="3" borderId="0" xfId="0" applyNumberFormat="1" applyFont="1" applyFill="1"/>
    <xf numFmtId="166" fontId="3" fillId="3" borderId="0" xfId="0" applyNumberFormat="1" applyFont="1" applyFill="1"/>
    <xf numFmtId="164" fontId="3" fillId="0" borderId="0" xfId="0" applyNumberFormat="1" applyFont="1"/>
    <xf numFmtId="166" fontId="3" fillId="0" borderId="0" xfId="0" applyNumberFormat="1" applyFont="1"/>
    <xf numFmtId="165" fontId="7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166" fontId="10" fillId="3" borderId="0" xfId="0" applyNumberFormat="1" applyFont="1" applyFill="1" applyAlignment="1">
      <alignment horizontal="right"/>
    </xf>
    <xf numFmtId="164" fontId="10" fillId="3" borderId="0" xfId="0" applyNumberFormat="1" applyFont="1" applyFill="1" applyAlignment="1">
      <alignment horizontal="right"/>
    </xf>
    <xf numFmtId="10" fontId="10" fillId="3" borderId="0" xfId="1" applyNumberFormat="1" applyFont="1" applyFill="1" applyAlignment="1">
      <alignment horizontal="right"/>
    </xf>
    <xf numFmtId="165" fontId="3" fillId="3" borderId="0" xfId="0" quotePrefix="1" applyNumberFormat="1" applyFont="1" applyFill="1" applyAlignment="1">
      <alignment horizontal="right"/>
    </xf>
    <xf numFmtId="166" fontId="11" fillId="3" borderId="0" xfId="0" applyNumberFormat="1" applyFont="1" applyFill="1"/>
    <xf numFmtId="0" fontId="25" fillId="0" borderId="0" xfId="0" applyFont="1"/>
    <xf numFmtId="8" fontId="25" fillId="0" borderId="0" xfId="0" applyNumberFormat="1" applyFont="1"/>
    <xf numFmtId="10" fontId="26" fillId="0" borderId="0" xfId="0" applyNumberFormat="1" applyFont="1" applyAlignment="1">
      <alignment horizontal="right"/>
    </xf>
    <xf numFmtId="10" fontId="25" fillId="0" borderId="0" xfId="0" applyNumberFormat="1" applyFont="1"/>
    <xf numFmtId="0" fontId="11" fillId="0" borderId="0" xfId="0" applyFont="1" applyAlignment="1">
      <alignment wrapText="1"/>
    </xf>
    <xf numFmtId="10" fontId="3" fillId="3" borderId="0" xfId="1" quotePrefix="1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center"/>
    </xf>
    <xf numFmtId="164" fontId="3" fillId="3" borderId="0" xfId="0" quotePrefix="1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quotePrefix="1" applyNumberFormat="1" applyFont="1" applyAlignment="1">
      <alignment horizontal="center"/>
    </xf>
    <xf numFmtId="10" fontId="27" fillId="3" borderId="0" xfId="0" applyNumberFormat="1" applyFont="1" applyFill="1" applyAlignment="1">
      <alignment horizontal="right"/>
    </xf>
    <xf numFmtId="164" fontId="3" fillId="0" borderId="0" xfId="2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right"/>
    </xf>
    <xf numFmtId="165" fontId="3" fillId="0" borderId="0" xfId="0" quotePrefix="1" applyNumberFormat="1" applyFont="1" applyAlignment="1">
      <alignment horizontal="right"/>
    </xf>
    <xf numFmtId="10" fontId="3" fillId="0" borderId="0" xfId="1" quotePrefix="1" applyNumberFormat="1" applyFont="1" applyAlignment="1">
      <alignment horizontal="center"/>
    </xf>
    <xf numFmtId="10" fontId="3" fillId="0" borderId="0" xfId="1" quotePrefix="1" applyNumberFormat="1" applyFont="1" applyFill="1" applyAlignment="1">
      <alignment horizontal="center"/>
    </xf>
    <xf numFmtId="164" fontId="26" fillId="0" borderId="0" xfId="0" applyNumberFormat="1" applyFont="1" applyAlignment="1">
      <alignment horizontal="right"/>
    </xf>
    <xf numFmtId="166" fontId="26" fillId="0" borderId="0" xfId="0" applyNumberFormat="1" applyFont="1" applyAlignment="1">
      <alignment horizontal="right"/>
    </xf>
    <xf numFmtId="164" fontId="26" fillId="0" borderId="0" xfId="2" applyNumberFormat="1" applyFont="1" applyAlignment="1">
      <alignment horizontal="right"/>
    </xf>
    <xf numFmtId="164" fontId="27" fillId="0" borderId="0" xfId="0" applyNumberFormat="1" applyFont="1" applyAlignment="1">
      <alignment horizontal="right"/>
    </xf>
    <xf numFmtId="0" fontId="25" fillId="3" borderId="0" xfId="0" applyFont="1" applyFill="1"/>
    <xf numFmtId="8" fontId="25" fillId="3" borderId="0" xfId="0" applyNumberFormat="1" applyFont="1" applyFill="1"/>
    <xf numFmtId="10" fontId="26" fillId="3" borderId="0" xfId="0" applyNumberFormat="1" applyFont="1" applyFill="1" applyAlignment="1">
      <alignment horizontal="right"/>
    </xf>
    <xf numFmtId="10" fontId="25" fillId="3" borderId="0" xfId="0" applyNumberFormat="1" applyFont="1" applyFill="1"/>
    <xf numFmtId="166" fontId="7" fillId="3" borderId="0" xfId="0" applyNumberFormat="1" applyFont="1" applyFill="1" applyAlignment="1">
      <alignment horizontal="right"/>
    </xf>
    <xf numFmtId="164" fontId="27" fillId="3" borderId="0" xfId="0" applyNumberFormat="1" applyFont="1" applyFill="1" applyAlignment="1">
      <alignment horizontal="right"/>
    </xf>
    <xf numFmtId="2" fontId="11" fillId="3" borderId="0" xfId="0" applyNumberFormat="1" applyFont="1" applyFill="1"/>
    <xf numFmtId="49" fontId="26" fillId="3" borderId="0" xfId="0" applyNumberFormat="1" applyFont="1" applyFill="1"/>
    <xf numFmtId="164" fontId="26" fillId="3" borderId="0" xfId="0" applyNumberFormat="1" applyFont="1" applyFill="1" applyAlignment="1">
      <alignment horizontal="right"/>
    </xf>
    <xf numFmtId="166" fontId="26" fillId="3" borderId="0" xfId="0" applyNumberFormat="1" applyFont="1" applyFill="1" applyAlignment="1">
      <alignment horizontal="right"/>
    </xf>
    <xf numFmtId="0" fontId="11" fillId="0" borderId="0" xfId="0" applyFont="1" applyFill="1"/>
    <xf numFmtId="8" fontId="0" fillId="0" borderId="0" xfId="0" applyNumberFormat="1" applyFill="1"/>
    <xf numFmtId="10" fontId="3" fillId="0" borderId="0" xfId="0" applyNumberFormat="1" applyFont="1" applyFill="1" applyAlignment="1">
      <alignment horizontal="right"/>
    </xf>
    <xf numFmtId="10" fontId="0" fillId="0" borderId="0" xfId="0" applyNumberFormat="1" applyFill="1"/>
    <xf numFmtId="0" fontId="0" fillId="0" borderId="0" xfId="0" applyFill="1"/>
    <xf numFmtId="0" fontId="10" fillId="0" borderId="0" xfId="0" applyFont="1" applyFill="1"/>
    <xf numFmtId="164" fontId="3" fillId="0" borderId="0" xfId="0" applyNumberFormat="1" applyFont="1" applyFill="1"/>
    <xf numFmtId="166" fontId="3" fillId="0" borderId="0" xfId="0" applyNumberFormat="1" applyFont="1" applyFill="1"/>
    <xf numFmtId="164" fontId="3" fillId="0" borderId="0" xfId="0" quotePrefix="1" applyNumberFormat="1" applyFont="1" applyFill="1" applyAlignment="1">
      <alignment horizontal="center"/>
    </xf>
    <xf numFmtId="0" fontId="3" fillId="0" borderId="0" xfId="0" applyFont="1" applyFill="1"/>
    <xf numFmtId="164" fontId="10" fillId="0" borderId="0" xfId="0" applyNumberFormat="1" applyFont="1" applyFill="1" applyAlignment="1">
      <alignment horizontal="right"/>
    </xf>
    <xf numFmtId="166" fontId="10" fillId="0" borderId="0" xfId="0" applyNumberFormat="1" applyFont="1" applyFill="1" applyAlignment="1">
      <alignment horizontal="right"/>
    </xf>
    <xf numFmtId="10" fontId="10" fillId="0" borderId="0" xfId="1" applyNumberFormat="1" applyFont="1" applyFill="1" applyAlignment="1">
      <alignment horizontal="right"/>
    </xf>
    <xf numFmtId="166" fontId="11" fillId="0" borderId="0" xfId="0" applyNumberFormat="1" applyFont="1" applyFill="1"/>
    <xf numFmtId="164" fontId="3" fillId="0" borderId="0" xfId="0" applyNumberFormat="1" applyFont="1" applyFill="1" applyAlignment="1">
      <alignment horizontal="center"/>
    </xf>
    <xf numFmtId="164" fontId="3" fillId="0" borderId="0" xfId="0" quotePrefix="1" applyNumberFormat="1" applyFont="1" applyFill="1" applyAlignment="1">
      <alignment horizontal="right"/>
    </xf>
    <xf numFmtId="165" fontId="3" fillId="0" borderId="0" xfId="0" quotePrefix="1" applyNumberFormat="1" applyFont="1" applyFill="1" applyAlignment="1">
      <alignment horizontal="right"/>
    </xf>
    <xf numFmtId="49" fontId="3" fillId="0" borderId="0" xfId="0" applyNumberFormat="1" applyFont="1" applyFill="1"/>
    <xf numFmtId="0" fontId="25" fillId="0" borderId="0" xfId="0" applyFont="1" applyFill="1"/>
    <xf numFmtId="8" fontId="25" fillId="0" borderId="0" xfId="0" applyNumberFormat="1" applyFont="1" applyFill="1"/>
    <xf numFmtId="10" fontId="26" fillId="0" borderId="0" xfId="0" applyNumberFormat="1" applyFont="1" applyFill="1" applyAlignment="1">
      <alignment horizontal="right"/>
    </xf>
    <xf numFmtId="10" fontId="25" fillId="0" borderId="0" xfId="0" applyNumberFormat="1" applyFont="1" applyFill="1"/>
    <xf numFmtId="164" fontId="3" fillId="0" borderId="0" xfId="0" applyNumberFormat="1" applyFont="1" applyFill="1" applyAlignment="1">
      <alignment horizontal="right"/>
    </xf>
    <xf numFmtId="166" fontId="3" fillId="0" borderId="0" xfId="0" applyNumberFormat="1" applyFont="1" applyFill="1" applyAlignment="1">
      <alignment horizontal="right"/>
    </xf>
    <xf numFmtId="166" fontId="7" fillId="0" borderId="0" xfId="0" applyNumberFormat="1" applyFont="1" applyFill="1" applyAlignment="1">
      <alignment horizontal="right"/>
    </xf>
    <xf numFmtId="166" fontId="0" fillId="0" borderId="0" xfId="0" applyNumberFormat="1" applyFill="1"/>
    <xf numFmtId="10" fontId="10" fillId="3" borderId="0" xfId="0" applyNumberFormat="1" applyFont="1" applyFill="1" applyAlignment="1">
      <alignment horizontal="right"/>
    </xf>
    <xf numFmtId="164" fontId="28" fillId="3" borderId="0" xfId="0" applyNumberFormat="1" applyFont="1" applyFill="1" applyAlignment="1">
      <alignment horizontal="right"/>
    </xf>
    <xf numFmtId="164" fontId="26" fillId="3" borderId="0" xfId="0" quotePrefix="1" applyNumberFormat="1" applyFont="1" applyFill="1" applyAlignment="1">
      <alignment horizontal="right"/>
    </xf>
    <xf numFmtId="10" fontId="26" fillId="3" borderId="0" xfId="1" quotePrefix="1" applyNumberFormat="1" applyFont="1" applyFill="1" applyAlignment="1">
      <alignment horizontal="right"/>
    </xf>
    <xf numFmtId="0" fontId="20" fillId="3" borderId="0" xfId="0" applyFont="1" applyFill="1"/>
    <xf numFmtId="0" fontId="20" fillId="0" borderId="0" xfId="0" applyFont="1" applyFill="1"/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6.710937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  <col min="27" max="27" width="6.85546875" customWidth="1"/>
  </cols>
  <sheetData>
    <row r="1" spans="1:27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  <c r="AA1" s="3"/>
    </row>
    <row r="2" spans="1:27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  <c r="AA2" s="6"/>
    </row>
    <row r="3" spans="1:27" ht="12.75" x14ac:dyDescent="0.2">
      <c r="A3" s="10">
        <v>45693</v>
      </c>
      <c r="B3" s="1" t="s">
        <v>13</v>
      </c>
      <c r="C3" s="1" t="s">
        <v>14</v>
      </c>
      <c r="D3" s="6">
        <v>111.2</v>
      </c>
      <c r="E3" s="9">
        <f t="shared" ref="E3:E4" si="0">$O$3/D3</f>
        <v>2.2482014388489207</v>
      </c>
      <c r="F3" s="9">
        <f>E3</f>
        <v>2.2482014388489207</v>
      </c>
      <c r="G3" s="11">
        <f t="shared" ref="G3:G4" si="1">$O$4/D3</f>
        <v>2.2482014388489207</v>
      </c>
      <c r="H3" s="5">
        <f t="shared" ref="H3:H4" si="2">D3*G3</f>
        <v>249.99999999999997</v>
      </c>
      <c r="I3" s="6">
        <f t="shared" ref="I3:I4" si="3">D3-(D3*$O$5)</f>
        <v>102.304</v>
      </c>
      <c r="J3" s="6">
        <f t="shared" ref="J3:J4" si="4">D3+(D3*$O$6)</f>
        <v>137.88800000000001</v>
      </c>
      <c r="K3" s="5"/>
      <c r="L3" s="5"/>
      <c r="M3" s="5"/>
      <c r="N3" s="20" t="s">
        <v>15</v>
      </c>
      <c r="O3" s="5">
        <v>250</v>
      </c>
      <c r="W3" s="6"/>
      <c r="X3" s="6"/>
      <c r="Y3" s="6"/>
      <c r="Z3" s="6"/>
      <c r="AA3" s="6"/>
    </row>
    <row r="4" spans="1:27" ht="12.75" x14ac:dyDescent="0.2">
      <c r="A4" s="10">
        <v>45693</v>
      </c>
      <c r="B4" s="1" t="s">
        <v>16</v>
      </c>
      <c r="C4" s="1" t="s">
        <v>14</v>
      </c>
      <c r="D4" s="6">
        <v>111.2</v>
      </c>
      <c r="E4" s="9">
        <f t="shared" si="0"/>
        <v>2.2482014388489207</v>
      </c>
      <c r="F4" s="9">
        <f>F3+E4</f>
        <v>4.4964028776978413</v>
      </c>
      <c r="G4" s="11">
        <f t="shared" si="1"/>
        <v>2.2482014388489207</v>
      </c>
      <c r="H4" s="5">
        <f t="shared" si="2"/>
        <v>249.99999999999997</v>
      </c>
      <c r="I4" s="6">
        <f t="shared" si="3"/>
        <v>102.304</v>
      </c>
      <c r="J4" s="6">
        <f t="shared" si="4"/>
        <v>137.88800000000001</v>
      </c>
      <c r="K4" s="6"/>
      <c r="L4" s="6"/>
      <c r="M4" s="6"/>
      <c r="N4" s="3" t="s">
        <v>17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499.99999999999994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499.99999999999994</v>
      </c>
      <c r="P8" s="4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  <c r="AA14" s="6"/>
    </row>
    <row r="15" spans="1:27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  <c r="AA15" s="6"/>
    </row>
    <row r="16" spans="1:27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  <c r="AA16" s="6"/>
    </row>
    <row r="17" spans="1:27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  <c r="AA18" s="5"/>
    </row>
    <row r="19" spans="1:27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  <c r="AA19" s="6"/>
    </row>
    <row r="20" spans="1:27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  <c r="AA20" s="6"/>
    </row>
    <row r="21" spans="1:27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  <c r="AA36" s="5"/>
    </row>
    <row r="37" spans="1:27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  <c r="AA38" s="6"/>
    </row>
    <row r="39" spans="1:27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  <c r="AA50" s="5"/>
    </row>
    <row r="51" spans="1:27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  <c r="AA52" s="6"/>
    </row>
    <row r="53" spans="1:27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  <c r="AA68" s="5"/>
    </row>
    <row r="69" spans="1:27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  <c r="AA70" s="6"/>
    </row>
    <row r="71" spans="1:27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  <c r="AA85" s="5"/>
    </row>
    <row r="86" spans="1:27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  <c r="AA87" s="6"/>
    </row>
    <row r="88" spans="1:27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  <c r="AA102" s="6"/>
    </row>
    <row r="103" spans="1:27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  <c r="AA104" s="6"/>
    </row>
    <row r="105" spans="1:27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  <c r="AA106" s="6"/>
    </row>
    <row r="107" spans="1:27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  <c r="AA108" s="6"/>
    </row>
    <row r="109" spans="1:27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  <c r="AA109" s="6"/>
    </row>
    <row r="110" spans="1:27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  <c r="AA110" s="6"/>
    </row>
    <row r="111" spans="1:27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  <c r="AA111" s="6"/>
    </row>
    <row r="112" spans="1:27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  <c r="AA112" s="6"/>
    </row>
    <row r="113" spans="2:27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  <c r="AA113" s="6"/>
    </row>
    <row r="114" spans="2:27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  <c r="AA114" s="6"/>
    </row>
    <row r="115" spans="2:27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  <c r="AA115" s="6"/>
    </row>
    <row r="116" spans="2:27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  <c r="AA116" s="6"/>
    </row>
    <row r="117" spans="2:27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  <c r="AA117" s="6"/>
    </row>
    <row r="118" spans="2:27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  <c r="AA118" s="6"/>
    </row>
    <row r="119" spans="2:27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  <c r="AA119" s="6"/>
    </row>
    <row r="120" spans="2:27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  <c r="AA120" s="6"/>
    </row>
    <row r="121" spans="2:27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  <c r="AA121" s="6"/>
    </row>
    <row r="122" spans="2:27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  <c r="AA122" s="6"/>
    </row>
    <row r="123" spans="2:27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  <c r="AA123" s="6"/>
    </row>
    <row r="124" spans="2:27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  <c r="AA124" s="6"/>
    </row>
    <row r="125" spans="2:27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  <c r="AA125" s="6"/>
    </row>
    <row r="126" spans="2:27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  <c r="AA126" s="6"/>
    </row>
    <row r="127" spans="2:27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  <c r="AA127" s="6"/>
    </row>
    <row r="128" spans="2:27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  <c r="AA128" s="6"/>
    </row>
    <row r="129" spans="2:27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  <c r="AA129" s="6"/>
    </row>
    <row r="130" spans="2:27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  <c r="AA130" s="6"/>
    </row>
    <row r="131" spans="2:27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  <c r="AA131" s="6"/>
    </row>
    <row r="132" spans="2:27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  <c r="AA132" s="6"/>
    </row>
    <row r="133" spans="2:27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  <c r="AA133" s="6"/>
    </row>
    <row r="134" spans="2:27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  <c r="AA134" s="6"/>
    </row>
    <row r="135" spans="2:27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  <c r="AA135" s="6"/>
    </row>
    <row r="136" spans="2:27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  <c r="AA136" s="6"/>
    </row>
    <row r="137" spans="2:27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  <c r="AA137" s="6"/>
    </row>
    <row r="138" spans="2:27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  <c r="AA138" s="6"/>
    </row>
    <row r="139" spans="2:27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  <c r="AA139" s="6"/>
    </row>
    <row r="140" spans="2:27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  <c r="AA140" s="6"/>
    </row>
    <row r="141" spans="2:27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  <c r="AA141" s="6"/>
    </row>
    <row r="142" spans="2:27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  <c r="AA142" s="6"/>
    </row>
    <row r="143" spans="2:27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  <c r="AA143" s="6"/>
    </row>
    <row r="144" spans="2:27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  <c r="AA144" s="6"/>
    </row>
    <row r="145" spans="2:27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  <c r="AA145" s="6"/>
    </row>
    <row r="146" spans="2:27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  <c r="AA146" s="6"/>
    </row>
    <row r="147" spans="2:27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  <c r="AA147" s="6"/>
    </row>
    <row r="148" spans="2:27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  <c r="AA148" s="6"/>
    </row>
    <row r="149" spans="2:27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  <c r="AA149" s="6"/>
    </row>
    <row r="150" spans="2:27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  <c r="AA150" s="6"/>
    </row>
    <row r="151" spans="2:27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  <c r="AA151" s="6"/>
    </row>
    <row r="152" spans="2:27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  <c r="AA152" s="6"/>
    </row>
    <row r="153" spans="2:27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  <c r="AA153" s="6"/>
    </row>
    <row r="154" spans="2:27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  <c r="AA154" s="6"/>
    </row>
    <row r="155" spans="2:27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  <c r="AA155" s="6"/>
    </row>
    <row r="156" spans="2:27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  <c r="AA156" s="6"/>
    </row>
    <row r="157" spans="2:27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  <c r="AA157" s="6"/>
    </row>
    <row r="158" spans="2:27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  <c r="AA158" s="6"/>
    </row>
    <row r="159" spans="2:27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  <c r="AA159" s="6"/>
    </row>
    <row r="160" spans="2:27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  <c r="AA160" s="6"/>
    </row>
    <row r="161" spans="2:27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  <c r="AA161" s="6"/>
    </row>
    <row r="162" spans="2:27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  <c r="AA162" s="6"/>
    </row>
    <row r="163" spans="2:27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  <c r="AA163" s="6"/>
    </row>
    <row r="164" spans="2:27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  <c r="AA164" s="6"/>
    </row>
    <row r="165" spans="2:27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  <c r="AA165" s="6"/>
    </row>
    <row r="166" spans="2:27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  <c r="AA166" s="6"/>
    </row>
    <row r="167" spans="2:27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  <c r="AA167" s="6"/>
    </row>
    <row r="168" spans="2:27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  <c r="AA168" s="6"/>
    </row>
    <row r="169" spans="2:27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  <c r="AA169" s="6"/>
    </row>
    <row r="170" spans="2:27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  <c r="AA170" s="6"/>
    </row>
    <row r="171" spans="2:27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  <c r="AA171" s="6"/>
    </row>
    <row r="172" spans="2:27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  <c r="AA172" s="6"/>
    </row>
    <row r="173" spans="2:27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  <c r="AA173" s="6"/>
    </row>
    <row r="174" spans="2:27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  <c r="AA174" s="6"/>
    </row>
    <row r="175" spans="2:27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  <c r="AA175" s="6"/>
    </row>
    <row r="176" spans="2:27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  <c r="AA176" s="6"/>
    </row>
    <row r="177" spans="2:27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  <c r="AA177" s="6"/>
    </row>
    <row r="178" spans="2:27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  <c r="AA178" s="6"/>
    </row>
    <row r="179" spans="2:27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  <c r="AA179" s="6"/>
    </row>
    <row r="180" spans="2:27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  <c r="AA180" s="6"/>
    </row>
    <row r="181" spans="2:27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  <c r="AA181" s="6"/>
    </row>
    <row r="182" spans="2:27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  <c r="AA182" s="6"/>
    </row>
    <row r="183" spans="2:27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  <c r="AA183" s="6"/>
    </row>
    <row r="184" spans="2:27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  <c r="AA184" s="6"/>
    </row>
    <row r="185" spans="2:27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  <c r="AA185" s="6"/>
    </row>
    <row r="186" spans="2:27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  <c r="AA186" s="6"/>
    </row>
    <row r="187" spans="2:27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  <c r="AA187" s="6"/>
    </row>
    <row r="188" spans="2:27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  <c r="AA188" s="6"/>
    </row>
    <row r="189" spans="2:27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  <c r="AA189" s="6"/>
    </row>
    <row r="190" spans="2:27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  <c r="AA190" s="6"/>
    </row>
    <row r="191" spans="2:27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  <c r="AA191" s="6"/>
    </row>
    <row r="192" spans="2:27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  <c r="AA192" s="6"/>
    </row>
    <row r="193" spans="2:27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  <c r="AA193" s="6"/>
    </row>
    <row r="194" spans="2:27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  <c r="AA194" s="6"/>
    </row>
    <row r="195" spans="2:27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  <c r="AA195" s="6"/>
    </row>
    <row r="196" spans="2:27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  <c r="AA196" s="6"/>
    </row>
    <row r="197" spans="2:27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  <c r="AA197" s="6"/>
    </row>
    <row r="198" spans="2:27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  <c r="AA198" s="6"/>
    </row>
    <row r="199" spans="2:27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  <c r="AA199" s="6"/>
    </row>
    <row r="200" spans="2:27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  <c r="AA200" s="6"/>
    </row>
    <row r="201" spans="2:27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  <c r="AA201" s="6"/>
    </row>
    <row r="202" spans="2:27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  <c r="AA202" s="6"/>
    </row>
    <row r="203" spans="2:27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  <c r="AA203" s="6"/>
    </row>
    <row r="204" spans="2:27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  <c r="AA204" s="6"/>
    </row>
    <row r="205" spans="2:27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  <c r="AA205" s="6"/>
    </row>
    <row r="206" spans="2:27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  <c r="AA206" s="6"/>
    </row>
    <row r="207" spans="2:27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  <c r="AA207" s="6"/>
    </row>
    <row r="208" spans="2:27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  <c r="AA208" s="6"/>
    </row>
    <row r="209" spans="2:27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  <c r="AA209" s="6"/>
    </row>
    <row r="210" spans="2:27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  <c r="AA210" s="6"/>
    </row>
    <row r="211" spans="2:27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  <c r="AA211" s="6"/>
    </row>
    <row r="212" spans="2:27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  <c r="AA212" s="6"/>
    </row>
    <row r="213" spans="2:27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  <c r="AA213" s="6"/>
    </row>
    <row r="214" spans="2:27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  <c r="AA214" s="6"/>
    </row>
    <row r="215" spans="2:27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  <c r="AA215" s="6"/>
    </row>
    <row r="216" spans="2:27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  <c r="AA216" s="6"/>
    </row>
    <row r="217" spans="2:27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  <c r="AA217" s="6"/>
    </row>
    <row r="218" spans="2:27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  <c r="AA218" s="6"/>
    </row>
    <row r="219" spans="2:27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  <c r="AA219" s="6"/>
    </row>
    <row r="220" spans="2:27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  <c r="AA220" s="6"/>
    </row>
    <row r="221" spans="2:27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  <c r="AA221" s="6"/>
    </row>
    <row r="222" spans="2:27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  <c r="AA222" s="6"/>
    </row>
    <row r="223" spans="2:27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  <c r="AA223" s="6"/>
    </row>
    <row r="224" spans="2:27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  <c r="AA224" s="6"/>
    </row>
    <row r="225" spans="2:27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  <c r="AA225" s="6"/>
    </row>
    <row r="226" spans="2:27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  <c r="AA226" s="6"/>
    </row>
    <row r="227" spans="2:27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  <c r="AA227" s="6"/>
    </row>
    <row r="228" spans="2:27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  <c r="AA228" s="6"/>
    </row>
    <row r="229" spans="2:27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  <c r="AA229" s="6"/>
    </row>
    <row r="230" spans="2:27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  <c r="AA230" s="6"/>
    </row>
    <row r="231" spans="2:27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  <c r="AA231" s="6"/>
    </row>
    <row r="232" spans="2:27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  <c r="AA232" s="6"/>
    </row>
    <row r="233" spans="2:27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  <c r="AA233" s="6"/>
    </row>
    <row r="234" spans="2:27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  <c r="AA234" s="6"/>
    </row>
    <row r="235" spans="2:27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  <c r="AA235" s="6"/>
    </row>
    <row r="236" spans="2:27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  <c r="AA236" s="6"/>
    </row>
    <row r="237" spans="2:27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  <c r="AA237" s="6"/>
    </row>
    <row r="238" spans="2:27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  <c r="AA238" s="6"/>
    </row>
    <row r="239" spans="2:27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  <c r="AA239" s="6"/>
    </row>
    <row r="240" spans="2:27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  <c r="AA240" s="6"/>
    </row>
    <row r="241" spans="2:27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  <c r="AA241" s="6"/>
    </row>
    <row r="242" spans="2:27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  <c r="AA242" s="6"/>
    </row>
    <row r="243" spans="2:27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  <c r="AA243" s="6"/>
    </row>
    <row r="244" spans="2:27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  <c r="AA244" s="6"/>
    </row>
    <row r="245" spans="2:27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  <c r="AA245" s="6"/>
    </row>
    <row r="246" spans="2:27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  <c r="AA246" s="6"/>
    </row>
    <row r="247" spans="2:27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  <c r="AA247" s="6"/>
    </row>
    <row r="248" spans="2:27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  <c r="AA248" s="6"/>
    </row>
    <row r="249" spans="2:27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  <c r="AA249" s="6"/>
    </row>
    <row r="250" spans="2:27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  <c r="AA250" s="6"/>
    </row>
    <row r="251" spans="2:27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  <c r="AA251" s="6"/>
    </row>
    <row r="252" spans="2:27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  <c r="AA252" s="6"/>
    </row>
    <row r="253" spans="2:27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  <c r="AA253" s="6"/>
    </row>
    <row r="254" spans="2:27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  <c r="AA254" s="6"/>
    </row>
    <row r="255" spans="2:27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  <c r="AA255" s="6"/>
    </row>
    <row r="256" spans="2:27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  <c r="AA256" s="6"/>
    </row>
    <row r="257" spans="2:27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  <c r="AA257" s="6"/>
    </row>
    <row r="258" spans="2:27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  <c r="AA258" s="6"/>
    </row>
    <row r="259" spans="2:27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  <c r="AA259" s="6"/>
    </row>
    <row r="260" spans="2:27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  <c r="AA260" s="6"/>
    </row>
    <row r="261" spans="2:27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  <c r="AA261" s="6"/>
    </row>
    <row r="262" spans="2:27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  <c r="AA262" s="6"/>
    </row>
    <row r="263" spans="2:27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  <c r="AA263" s="6"/>
    </row>
    <row r="264" spans="2:27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  <c r="AA264" s="6"/>
    </row>
    <row r="265" spans="2:27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  <c r="AA265" s="6"/>
    </row>
    <row r="266" spans="2:27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  <c r="AA266" s="6"/>
    </row>
    <row r="267" spans="2:27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  <c r="AA267" s="6"/>
    </row>
    <row r="268" spans="2:27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  <c r="AA268" s="6"/>
    </row>
    <row r="269" spans="2:27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  <c r="AA269" s="6"/>
    </row>
    <row r="270" spans="2:27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  <c r="AA270" s="6"/>
    </row>
    <row r="271" spans="2:27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  <c r="AA271" s="6"/>
    </row>
    <row r="272" spans="2:27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  <c r="AA272" s="6"/>
    </row>
    <row r="273" spans="2:27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  <c r="AA273" s="6"/>
    </row>
    <row r="274" spans="2:27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  <c r="AA274" s="6"/>
    </row>
    <row r="275" spans="2:27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  <c r="AA275" s="6"/>
    </row>
    <row r="276" spans="2:27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  <c r="AA276" s="6"/>
    </row>
    <row r="277" spans="2:27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  <c r="AA277" s="6"/>
    </row>
    <row r="278" spans="2:27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  <c r="AA278" s="6"/>
    </row>
    <row r="279" spans="2:27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  <c r="AA279" s="6"/>
    </row>
    <row r="280" spans="2:27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  <c r="AA280" s="6"/>
    </row>
    <row r="281" spans="2:27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  <c r="AA281" s="6"/>
    </row>
    <row r="282" spans="2:27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  <c r="AA282" s="6"/>
    </row>
    <row r="283" spans="2:27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  <c r="AA283" s="6"/>
    </row>
    <row r="284" spans="2:27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  <c r="AA284" s="6"/>
    </row>
    <row r="285" spans="2:27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  <c r="AA285" s="6"/>
    </row>
    <row r="286" spans="2:27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  <c r="AA286" s="6"/>
    </row>
    <row r="287" spans="2:27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  <c r="AA287" s="6"/>
    </row>
    <row r="288" spans="2:27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  <c r="AA288" s="6"/>
    </row>
    <row r="289" spans="2:27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  <c r="AA289" s="6"/>
    </row>
    <row r="290" spans="2:27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  <c r="AA290" s="6"/>
    </row>
    <row r="291" spans="2:27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  <c r="AA291" s="6"/>
    </row>
    <row r="292" spans="2:27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  <c r="AA292" s="6"/>
    </row>
    <row r="293" spans="2:27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  <c r="AA293" s="6"/>
    </row>
    <row r="294" spans="2:27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  <c r="AA294" s="6"/>
    </row>
    <row r="295" spans="2:27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  <c r="AA295" s="6"/>
    </row>
    <row r="296" spans="2:27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  <c r="AA296" s="6"/>
    </row>
    <row r="297" spans="2:27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  <c r="AA297" s="6"/>
    </row>
    <row r="298" spans="2:27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  <c r="AA298" s="6"/>
    </row>
    <row r="299" spans="2:27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  <c r="AA299" s="6"/>
    </row>
    <row r="300" spans="2:27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  <c r="AA300" s="6"/>
    </row>
    <row r="301" spans="2:27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  <c r="AA301" s="6"/>
    </row>
    <row r="302" spans="2:27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  <c r="AA302" s="6"/>
    </row>
    <row r="303" spans="2:27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  <c r="AA303" s="6"/>
    </row>
    <row r="304" spans="2:27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  <c r="AA304" s="6"/>
    </row>
    <row r="305" spans="2:27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  <c r="AA305" s="6"/>
    </row>
    <row r="306" spans="2:27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  <c r="AA306" s="6"/>
    </row>
    <row r="307" spans="2:27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  <c r="AA307" s="6"/>
    </row>
    <row r="308" spans="2:27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  <c r="AA308" s="6"/>
    </row>
    <row r="309" spans="2:27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  <c r="AA309" s="6"/>
    </row>
    <row r="310" spans="2:27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  <c r="AA310" s="6"/>
    </row>
    <row r="311" spans="2:27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  <c r="AA311" s="6"/>
    </row>
    <row r="312" spans="2:27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  <c r="AA312" s="6"/>
    </row>
    <row r="313" spans="2:27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  <c r="AA313" s="6"/>
    </row>
    <row r="314" spans="2:27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  <c r="AA314" s="6"/>
    </row>
    <row r="315" spans="2:27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  <c r="AA315" s="6"/>
    </row>
    <row r="316" spans="2:27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  <c r="AA316" s="6"/>
    </row>
    <row r="317" spans="2:27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  <c r="AA317" s="6"/>
    </row>
    <row r="318" spans="2:27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  <c r="AA318" s="6"/>
    </row>
    <row r="319" spans="2:27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  <c r="AA319" s="6"/>
    </row>
    <row r="320" spans="2:27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  <c r="AA320" s="6"/>
    </row>
    <row r="321" spans="2:27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  <c r="AA321" s="6"/>
    </row>
    <row r="322" spans="2:27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  <c r="AA322" s="6"/>
    </row>
    <row r="323" spans="2:27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  <c r="AA323" s="6"/>
    </row>
    <row r="324" spans="2:27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  <c r="AA324" s="6"/>
    </row>
    <row r="325" spans="2:27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  <c r="AA325" s="6"/>
    </row>
    <row r="326" spans="2:27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  <c r="AA326" s="6"/>
    </row>
    <row r="327" spans="2:27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  <c r="AA327" s="6"/>
    </row>
    <row r="328" spans="2:27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  <c r="AA328" s="6"/>
    </row>
    <row r="329" spans="2:27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  <c r="AA329" s="6"/>
    </row>
    <row r="330" spans="2:27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  <c r="AA330" s="6"/>
    </row>
    <row r="331" spans="2:27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  <c r="AA331" s="6"/>
    </row>
    <row r="332" spans="2:27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  <c r="AA332" s="6"/>
    </row>
    <row r="333" spans="2:27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  <c r="AA333" s="6"/>
    </row>
    <row r="334" spans="2:27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  <c r="AA334" s="6"/>
    </row>
    <row r="335" spans="2:27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  <c r="AA335" s="6"/>
    </row>
    <row r="336" spans="2:27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  <c r="AA336" s="6"/>
    </row>
    <row r="337" spans="2:27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  <c r="AA337" s="6"/>
    </row>
    <row r="338" spans="2:27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  <c r="AA338" s="6"/>
    </row>
    <row r="339" spans="2:27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  <c r="AA339" s="6"/>
    </row>
    <row r="340" spans="2:27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  <c r="AA340" s="6"/>
    </row>
    <row r="341" spans="2:27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  <c r="AA341" s="6"/>
    </row>
    <row r="342" spans="2:27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  <c r="AA342" s="6"/>
    </row>
    <row r="343" spans="2:27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  <c r="AA343" s="6"/>
    </row>
    <row r="344" spans="2:27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  <c r="AA344" s="6"/>
    </row>
    <row r="345" spans="2:27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  <c r="AA345" s="6"/>
    </row>
    <row r="346" spans="2:27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  <c r="AA346" s="6"/>
    </row>
    <row r="347" spans="2:27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  <c r="AA347" s="6"/>
    </row>
    <row r="348" spans="2:27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  <c r="AA348" s="6"/>
    </row>
    <row r="349" spans="2:27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  <c r="AA349" s="6"/>
    </row>
    <row r="350" spans="2:27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  <c r="AA350" s="6"/>
    </row>
    <row r="351" spans="2:27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  <c r="AA351" s="6"/>
    </row>
    <row r="352" spans="2:27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  <c r="AA352" s="6"/>
    </row>
    <row r="353" spans="2:27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  <c r="AA353" s="6"/>
    </row>
    <row r="354" spans="2:27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  <c r="AA354" s="6"/>
    </row>
    <row r="355" spans="2:27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  <c r="AA355" s="6"/>
    </row>
    <row r="356" spans="2:27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  <c r="AA356" s="6"/>
    </row>
    <row r="357" spans="2:27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  <c r="AA357" s="6"/>
    </row>
    <row r="358" spans="2:27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  <c r="AA358" s="6"/>
    </row>
    <row r="359" spans="2:27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  <c r="AA359" s="6"/>
    </row>
    <row r="360" spans="2:27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  <c r="AA360" s="6"/>
    </row>
    <row r="361" spans="2:27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  <c r="AA361" s="6"/>
    </row>
    <row r="362" spans="2:27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  <c r="AA362" s="6"/>
    </row>
    <row r="363" spans="2:27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  <c r="AA363" s="6"/>
    </row>
    <row r="364" spans="2:27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  <c r="AA364" s="6"/>
    </row>
    <row r="365" spans="2:27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  <c r="AA365" s="6"/>
    </row>
    <row r="366" spans="2:27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  <c r="AA366" s="6"/>
    </row>
    <row r="367" spans="2:27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  <c r="AA367" s="6"/>
    </row>
    <row r="368" spans="2:27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  <c r="AA368" s="6"/>
    </row>
    <row r="369" spans="2:27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  <c r="AA369" s="6"/>
    </row>
    <row r="370" spans="2:27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  <c r="AA370" s="6"/>
    </row>
    <row r="371" spans="2:27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  <c r="AA371" s="6"/>
    </row>
    <row r="372" spans="2:27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  <c r="AA372" s="6"/>
    </row>
    <row r="373" spans="2:27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  <c r="AA373" s="6"/>
    </row>
    <row r="374" spans="2:27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  <c r="AA374" s="6"/>
    </row>
    <row r="375" spans="2:27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  <c r="AA375" s="6"/>
    </row>
    <row r="376" spans="2:27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  <c r="AA376" s="6"/>
    </row>
    <row r="377" spans="2:27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  <c r="AA377" s="6"/>
    </row>
    <row r="378" spans="2:27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  <c r="AA378" s="6"/>
    </row>
    <row r="379" spans="2:27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  <c r="AA379" s="6"/>
    </row>
    <row r="380" spans="2:27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  <c r="AA380" s="6"/>
    </row>
    <row r="381" spans="2:27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  <c r="AA381" s="6"/>
    </row>
    <row r="382" spans="2:27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  <c r="AA382" s="6"/>
    </row>
    <row r="383" spans="2:27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  <c r="AA383" s="6"/>
    </row>
    <row r="384" spans="2:27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  <c r="AA384" s="6"/>
    </row>
    <row r="385" spans="2:27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  <c r="AA385" s="6"/>
    </row>
    <row r="386" spans="2:27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  <c r="AA386" s="6"/>
    </row>
    <row r="387" spans="2:27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  <c r="AA387" s="6"/>
    </row>
    <row r="388" spans="2:27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  <c r="AA388" s="6"/>
    </row>
    <row r="389" spans="2:27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  <c r="AA389" s="6"/>
    </row>
    <row r="390" spans="2:27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  <c r="AA390" s="6"/>
    </row>
    <row r="391" spans="2:27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  <c r="AA391" s="6"/>
    </row>
    <row r="392" spans="2:27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  <c r="AA392" s="6"/>
    </row>
    <row r="393" spans="2:27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  <c r="AA393" s="6"/>
    </row>
    <row r="394" spans="2:27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  <c r="AA394" s="6"/>
    </row>
    <row r="395" spans="2:27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  <c r="AA395" s="6"/>
    </row>
    <row r="396" spans="2:27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  <c r="AA396" s="6"/>
    </row>
    <row r="397" spans="2:27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  <c r="AA397" s="6"/>
    </row>
    <row r="398" spans="2:27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  <c r="AA398" s="6"/>
    </row>
    <row r="399" spans="2:27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  <c r="AA399" s="6"/>
    </row>
    <row r="400" spans="2:27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  <c r="AA400" s="6"/>
    </row>
    <row r="401" spans="2:27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  <c r="AA401" s="6"/>
    </row>
    <row r="402" spans="2:27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  <c r="AA402" s="6"/>
    </row>
    <row r="403" spans="2:27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  <c r="AA403" s="6"/>
    </row>
    <row r="404" spans="2:27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  <c r="AA404" s="6"/>
    </row>
    <row r="405" spans="2:27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  <c r="AA405" s="6"/>
    </row>
    <row r="406" spans="2:27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  <c r="AA406" s="6"/>
    </row>
    <row r="407" spans="2:27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  <c r="AA407" s="6"/>
    </row>
    <row r="408" spans="2:27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  <c r="AA408" s="6"/>
    </row>
    <row r="409" spans="2:27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  <c r="AA409" s="6"/>
    </row>
    <row r="410" spans="2:27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  <c r="AA410" s="6"/>
    </row>
    <row r="411" spans="2:27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  <c r="AA411" s="6"/>
    </row>
    <row r="412" spans="2:27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  <c r="AA412" s="6"/>
    </row>
    <row r="413" spans="2:27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  <c r="AA413" s="6"/>
    </row>
    <row r="414" spans="2:27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  <c r="AA414" s="6"/>
    </row>
    <row r="415" spans="2:27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  <c r="AA415" s="6"/>
    </row>
    <row r="416" spans="2:27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  <c r="AA416" s="6"/>
    </row>
    <row r="417" spans="2:27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  <c r="AA417" s="6"/>
    </row>
    <row r="418" spans="2:27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  <c r="AA418" s="6"/>
    </row>
    <row r="419" spans="2:27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  <c r="AA419" s="6"/>
    </row>
    <row r="420" spans="2:27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  <c r="AA420" s="6"/>
    </row>
    <row r="421" spans="2:27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  <c r="AA421" s="6"/>
    </row>
    <row r="422" spans="2:27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  <c r="AA422" s="6"/>
    </row>
    <row r="423" spans="2:27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  <c r="AA423" s="6"/>
    </row>
    <row r="424" spans="2:27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  <c r="AA424" s="6"/>
    </row>
    <row r="425" spans="2:27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  <c r="AA425" s="6"/>
    </row>
    <row r="426" spans="2:27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  <c r="AA426" s="6"/>
    </row>
    <row r="427" spans="2:27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  <c r="AA427" s="6"/>
    </row>
    <row r="428" spans="2:27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  <c r="AA428" s="6"/>
    </row>
    <row r="429" spans="2:27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  <c r="AA429" s="6"/>
    </row>
    <row r="430" spans="2:27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  <c r="AA430" s="6"/>
    </row>
    <row r="431" spans="2:27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  <c r="AA431" s="6"/>
    </row>
    <row r="432" spans="2:27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  <c r="AA432" s="6"/>
    </row>
    <row r="433" spans="2:27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  <c r="AA433" s="6"/>
    </row>
    <row r="434" spans="2:27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  <c r="AA434" s="6"/>
    </row>
    <row r="435" spans="2:27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  <c r="AA435" s="6"/>
    </row>
    <row r="436" spans="2:27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  <c r="AA436" s="6"/>
    </row>
    <row r="437" spans="2:27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  <c r="AA437" s="6"/>
    </row>
    <row r="438" spans="2:27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  <c r="AA438" s="6"/>
    </row>
    <row r="439" spans="2:27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  <c r="AA439" s="6"/>
    </row>
    <row r="440" spans="2:27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  <c r="AA440" s="6"/>
    </row>
    <row r="441" spans="2:27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  <c r="AA441" s="6"/>
    </row>
    <row r="442" spans="2:27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  <c r="AA442" s="6"/>
    </row>
    <row r="443" spans="2:27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  <c r="AA443" s="6"/>
    </row>
    <row r="444" spans="2:27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  <c r="AA444" s="6"/>
    </row>
    <row r="445" spans="2:27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  <c r="AA445" s="6"/>
    </row>
    <row r="446" spans="2:27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  <c r="AA446" s="6"/>
    </row>
    <row r="447" spans="2:27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  <c r="AA447" s="6"/>
    </row>
    <row r="448" spans="2:27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  <c r="AA448" s="6"/>
    </row>
    <row r="449" spans="2:27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  <c r="AA449" s="6"/>
    </row>
    <row r="450" spans="2:27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  <c r="AA450" s="6"/>
    </row>
    <row r="451" spans="2:27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  <c r="AA451" s="6"/>
    </row>
    <row r="452" spans="2:27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  <c r="AA452" s="6"/>
    </row>
    <row r="453" spans="2:27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  <c r="AA453" s="6"/>
    </row>
    <row r="454" spans="2:27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  <c r="AA454" s="6"/>
    </row>
    <row r="455" spans="2:27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  <c r="AA455" s="6"/>
    </row>
    <row r="456" spans="2:27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  <c r="AA456" s="6"/>
    </row>
    <row r="457" spans="2:27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  <c r="AA457" s="6"/>
    </row>
    <row r="458" spans="2:27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  <c r="AA458" s="6"/>
    </row>
    <row r="459" spans="2:27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  <c r="AA459" s="6"/>
    </row>
    <row r="460" spans="2:27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  <c r="AA460" s="6"/>
    </row>
    <row r="461" spans="2:27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  <c r="AA461" s="6"/>
    </row>
    <row r="462" spans="2:27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  <c r="AA462" s="6"/>
    </row>
    <row r="463" spans="2:27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  <c r="AA463" s="6"/>
    </row>
    <row r="464" spans="2:27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  <c r="AA464" s="6"/>
    </row>
    <row r="465" spans="2:27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  <c r="AA465" s="6"/>
    </row>
    <row r="466" spans="2:27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  <c r="AA466" s="6"/>
    </row>
    <row r="467" spans="2:27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  <c r="AA467" s="6"/>
    </row>
    <row r="468" spans="2:27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  <c r="AA468" s="6"/>
    </row>
    <row r="469" spans="2:27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  <c r="AA469" s="6"/>
    </row>
    <row r="470" spans="2:27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  <c r="AA470" s="6"/>
    </row>
    <row r="471" spans="2:27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  <c r="AA471" s="6"/>
    </row>
    <row r="472" spans="2:27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  <c r="AA472" s="6"/>
    </row>
    <row r="473" spans="2:27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  <c r="AA473" s="6"/>
    </row>
    <row r="474" spans="2:27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  <c r="AA474" s="6"/>
    </row>
    <row r="475" spans="2:27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  <c r="AA475" s="6"/>
    </row>
    <row r="476" spans="2:27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  <c r="AA476" s="6"/>
    </row>
    <row r="477" spans="2:27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  <c r="AA477" s="6"/>
    </row>
    <row r="478" spans="2:27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  <c r="AA478" s="6"/>
    </row>
    <row r="479" spans="2:27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  <c r="AA479" s="6"/>
    </row>
    <row r="480" spans="2:27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  <c r="AA480" s="6"/>
    </row>
    <row r="481" spans="2:27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  <c r="AA481" s="6"/>
    </row>
    <row r="482" spans="2:27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  <c r="AA482" s="6"/>
    </row>
    <row r="483" spans="2:27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  <c r="AA483" s="6"/>
    </row>
    <row r="484" spans="2:27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  <c r="AA484" s="6"/>
    </row>
    <row r="485" spans="2:27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  <c r="AA485" s="6"/>
    </row>
    <row r="486" spans="2:27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  <c r="AA486" s="6"/>
    </row>
    <row r="487" spans="2:27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  <c r="AA487" s="6"/>
    </row>
    <row r="488" spans="2:27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  <c r="AA488" s="6"/>
    </row>
    <row r="489" spans="2:27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  <c r="AA489" s="6"/>
    </row>
    <row r="490" spans="2:27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  <c r="AA490" s="6"/>
    </row>
    <row r="491" spans="2:27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  <c r="AA491" s="6"/>
    </row>
    <row r="492" spans="2:27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  <c r="AA492" s="6"/>
    </row>
    <row r="493" spans="2:27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  <c r="AA493" s="6"/>
    </row>
    <row r="494" spans="2:27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  <c r="AA494" s="6"/>
    </row>
    <row r="495" spans="2:27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  <c r="AA495" s="6"/>
    </row>
    <row r="496" spans="2:27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  <c r="AA496" s="6"/>
    </row>
    <row r="497" spans="2:27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  <c r="AA497" s="6"/>
    </row>
    <row r="498" spans="2:27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  <c r="AA498" s="6"/>
    </row>
    <row r="499" spans="2:27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  <c r="AA499" s="6"/>
    </row>
    <row r="500" spans="2:27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  <c r="AA500" s="6"/>
    </row>
    <row r="501" spans="2:27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  <c r="AA501" s="6"/>
    </row>
    <row r="502" spans="2:27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  <c r="AA502" s="6"/>
    </row>
    <row r="503" spans="2:27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  <c r="AA503" s="6"/>
    </row>
    <row r="504" spans="2:27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  <c r="AA504" s="6"/>
    </row>
    <row r="505" spans="2:27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  <c r="AA505" s="6"/>
    </row>
    <row r="506" spans="2:27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  <c r="AA506" s="6"/>
    </row>
    <row r="507" spans="2:27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  <c r="AA507" s="6"/>
    </row>
    <row r="508" spans="2:27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  <c r="AA508" s="6"/>
    </row>
    <row r="509" spans="2:27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  <c r="AA509" s="6"/>
    </row>
    <row r="510" spans="2:27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  <c r="AA510" s="6"/>
    </row>
    <row r="511" spans="2:27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  <c r="AA511" s="6"/>
    </row>
    <row r="512" spans="2:27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  <c r="AA512" s="6"/>
    </row>
    <row r="513" spans="2:27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  <c r="AA513" s="6"/>
    </row>
    <row r="514" spans="2:27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  <c r="AA514" s="6"/>
    </row>
    <row r="515" spans="2:27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  <c r="AA515" s="6"/>
    </row>
    <row r="516" spans="2:27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  <c r="AA516" s="6"/>
    </row>
    <row r="517" spans="2:27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  <c r="AA517" s="6"/>
    </row>
    <row r="518" spans="2:27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  <c r="AA518" s="6"/>
    </row>
    <row r="519" spans="2:27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  <c r="AA519" s="6"/>
    </row>
    <row r="520" spans="2:27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  <c r="AA520" s="6"/>
    </row>
    <row r="521" spans="2:27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  <c r="AA521" s="6"/>
    </row>
    <row r="522" spans="2:27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  <c r="AA522" s="6"/>
    </row>
    <row r="523" spans="2:27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  <c r="AA523" s="6"/>
    </row>
    <row r="524" spans="2:27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  <c r="AA524" s="6"/>
    </row>
    <row r="525" spans="2:27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  <c r="AA525" s="6"/>
    </row>
    <row r="526" spans="2:27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  <c r="AA526" s="6"/>
    </row>
    <row r="527" spans="2:27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  <c r="AA527" s="6"/>
    </row>
    <row r="528" spans="2:27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  <c r="AA528" s="6"/>
    </row>
    <row r="529" spans="2:27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  <c r="AA529" s="6"/>
    </row>
    <row r="530" spans="2:27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  <c r="AA530" s="6"/>
    </row>
    <row r="531" spans="2:27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  <c r="AA531" s="6"/>
    </row>
    <row r="532" spans="2:27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  <c r="AA532" s="6"/>
    </row>
    <row r="533" spans="2:27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  <c r="AA533" s="6"/>
    </row>
    <row r="534" spans="2:27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  <c r="AA534" s="6"/>
    </row>
    <row r="535" spans="2:27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  <c r="AA535" s="6"/>
    </row>
    <row r="536" spans="2:27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  <c r="AA536" s="6"/>
    </row>
    <row r="537" spans="2:27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  <c r="AA537" s="6"/>
    </row>
    <row r="538" spans="2:27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  <c r="AA538" s="6"/>
    </row>
    <row r="539" spans="2:27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  <c r="AA539" s="6"/>
    </row>
    <row r="540" spans="2:27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  <c r="AA540" s="6"/>
    </row>
    <row r="541" spans="2:27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  <c r="AA541" s="6"/>
    </row>
    <row r="542" spans="2:27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  <c r="AA542" s="6"/>
    </row>
    <row r="543" spans="2:27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  <c r="AA543" s="6"/>
    </row>
    <row r="544" spans="2:27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  <c r="AA544" s="6"/>
    </row>
    <row r="545" spans="2:27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  <c r="AA545" s="6"/>
    </row>
    <row r="546" spans="2:27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  <c r="AA546" s="6"/>
    </row>
    <row r="547" spans="2:27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  <c r="AA547" s="6"/>
    </row>
    <row r="548" spans="2:27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  <c r="AA548" s="6"/>
    </row>
    <row r="549" spans="2:27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  <c r="AA549" s="6"/>
    </row>
    <row r="550" spans="2:27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  <c r="AA550" s="6"/>
    </row>
    <row r="551" spans="2:27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  <c r="AA551" s="6"/>
    </row>
    <row r="552" spans="2:27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  <c r="AA552" s="6"/>
    </row>
    <row r="553" spans="2:27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  <c r="AA553" s="6"/>
    </row>
    <row r="554" spans="2:27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  <c r="AA554" s="6"/>
    </row>
    <row r="555" spans="2:27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  <c r="AA555" s="6"/>
    </row>
    <row r="556" spans="2:27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  <c r="AA556" s="6"/>
    </row>
    <row r="557" spans="2:27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  <c r="AA557" s="6"/>
    </row>
    <row r="558" spans="2:27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  <c r="AA558" s="6"/>
    </row>
    <row r="559" spans="2:27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  <c r="AA559" s="6"/>
    </row>
    <row r="560" spans="2:27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  <c r="AA560" s="6"/>
    </row>
    <row r="561" spans="2:27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  <c r="AA561" s="6"/>
    </row>
    <row r="562" spans="2:27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  <c r="AA562" s="6"/>
    </row>
    <row r="563" spans="2:27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  <c r="AA563" s="6"/>
    </row>
    <row r="564" spans="2:27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  <c r="AA564" s="6"/>
    </row>
    <row r="565" spans="2:27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  <c r="AA565" s="6"/>
    </row>
    <row r="566" spans="2:27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  <c r="AA566" s="6"/>
    </row>
    <row r="567" spans="2:27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  <c r="AA567" s="6"/>
    </row>
    <row r="568" spans="2:27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  <c r="AA568" s="6"/>
    </row>
    <row r="569" spans="2:27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  <c r="AA569" s="6"/>
    </row>
    <row r="570" spans="2:27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  <c r="AA570" s="6"/>
    </row>
    <row r="571" spans="2:27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  <c r="AA571" s="6"/>
    </row>
    <row r="572" spans="2:27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  <c r="AA572" s="6"/>
    </row>
    <row r="573" spans="2:27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  <c r="AA573" s="6"/>
    </row>
    <row r="574" spans="2:27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  <c r="AA574" s="6"/>
    </row>
    <row r="575" spans="2:27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  <c r="AA575" s="6"/>
    </row>
    <row r="576" spans="2:27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  <c r="AA576" s="6"/>
    </row>
    <row r="577" spans="2:27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  <c r="AA577" s="6"/>
    </row>
    <row r="578" spans="2:27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  <c r="AA578" s="6"/>
    </row>
    <row r="579" spans="2:27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  <c r="AA579" s="6"/>
    </row>
    <row r="580" spans="2:27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  <c r="AA580" s="6"/>
    </row>
    <row r="581" spans="2:27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  <c r="AA581" s="6"/>
    </row>
    <row r="582" spans="2:27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  <c r="AA582" s="6"/>
    </row>
    <row r="583" spans="2:27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  <c r="AA583" s="6"/>
    </row>
    <row r="584" spans="2:27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  <c r="AA584" s="6"/>
    </row>
    <row r="585" spans="2:27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  <c r="AA585" s="6"/>
    </row>
    <row r="586" spans="2:27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  <c r="AA586" s="6"/>
    </row>
    <row r="587" spans="2:27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  <c r="AA587" s="6"/>
    </row>
    <row r="588" spans="2:27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  <c r="AA588" s="6"/>
    </row>
    <row r="589" spans="2:27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  <c r="AA589" s="6"/>
    </row>
    <row r="590" spans="2:27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  <c r="AA590" s="6"/>
    </row>
    <row r="591" spans="2:27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  <c r="AA591" s="6"/>
    </row>
    <row r="592" spans="2:27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  <c r="AA592" s="6"/>
    </row>
    <row r="593" spans="2:27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  <c r="AA593" s="6"/>
    </row>
    <row r="594" spans="2:27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  <c r="AA594" s="6"/>
    </row>
    <row r="595" spans="2:27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  <c r="AA595" s="6"/>
    </row>
    <row r="596" spans="2:27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  <c r="AA596" s="6"/>
    </row>
    <row r="597" spans="2:27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  <c r="AA597" s="6"/>
    </row>
    <row r="598" spans="2:27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  <c r="AA598" s="6"/>
    </row>
    <row r="599" spans="2:27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  <c r="AA599" s="6"/>
    </row>
    <row r="600" spans="2:27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  <c r="AA600" s="6"/>
    </row>
    <row r="601" spans="2:27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  <c r="AA601" s="6"/>
    </row>
    <row r="602" spans="2:27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  <c r="AA602" s="6"/>
    </row>
    <row r="603" spans="2:27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  <c r="AA603" s="6"/>
    </row>
    <row r="604" spans="2:27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  <c r="AA604" s="6"/>
    </row>
    <row r="605" spans="2:27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  <c r="AA605" s="6"/>
    </row>
    <row r="606" spans="2:27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  <c r="AA606" s="6"/>
    </row>
    <row r="607" spans="2:27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  <c r="AA607" s="6"/>
    </row>
    <row r="608" spans="2:27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  <c r="AA608" s="6"/>
    </row>
    <row r="609" spans="2:27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  <c r="AA609" s="6"/>
    </row>
    <row r="610" spans="2:27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  <c r="AA610" s="6"/>
    </row>
    <row r="611" spans="2:27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  <c r="AA611" s="6"/>
    </row>
    <row r="612" spans="2:27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  <c r="AA612" s="6"/>
    </row>
    <row r="613" spans="2:27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  <c r="AA613" s="6"/>
    </row>
    <row r="614" spans="2:27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  <c r="AA614" s="6"/>
    </row>
    <row r="615" spans="2:27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  <c r="AA615" s="6"/>
    </row>
    <row r="616" spans="2:27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  <c r="AA616" s="6"/>
    </row>
    <row r="617" spans="2:27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  <c r="AA617" s="6"/>
    </row>
    <row r="618" spans="2:27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  <c r="AA618" s="6"/>
    </row>
    <row r="619" spans="2:27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  <c r="AA619" s="6"/>
    </row>
    <row r="620" spans="2:27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  <c r="AA620" s="6"/>
    </row>
    <row r="621" spans="2:27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  <c r="AA621" s="6"/>
    </row>
    <row r="622" spans="2:27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  <c r="AA622" s="6"/>
    </row>
    <row r="623" spans="2:27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  <c r="AA623" s="6"/>
    </row>
    <row r="624" spans="2:27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  <c r="AA624" s="6"/>
    </row>
    <row r="625" spans="2:27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  <c r="AA625" s="6"/>
    </row>
    <row r="626" spans="2:27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  <c r="AA626" s="6"/>
    </row>
    <row r="627" spans="2:27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  <c r="AA627" s="6"/>
    </row>
    <row r="628" spans="2:27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  <c r="AA628" s="6"/>
    </row>
    <row r="629" spans="2:27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  <c r="AA629" s="6"/>
    </row>
    <row r="630" spans="2:27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  <c r="AA630" s="6"/>
    </row>
    <row r="631" spans="2:27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  <c r="AA631" s="6"/>
    </row>
    <row r="632" spans="2:27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  <c r="AA632" s="6"/>
    </row>
    <row r="633" spans="2:27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  <c r="AA633" s="6"/>
    </row>
    <row r="634" spans="2:27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  <c r="AA634" s="6"/>
    </row>
    <row r="635" spans="2:27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  <c r="AA635" s="6"/>
    </row>
    <row r="636" spans="2:27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  <c r="AA636" s="6"/>
    </row>
    <row r="637" spans="2:27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  <c r="AA637" s="6"/>
    </row>
    <row r="638" spans="2:27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  <c r="AA638" s="6"/>
    </row>
    <row r="639" spans="2:27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  <c r="AA639" s="6"/>
    </row>
    <row r="640" spans="2:27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  <c r="AA640" s="6"/>
    </row>
    <row r="641" spans="2:27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  <c r="AA641" s="6"/>
    </row>
    <row r="642" spans="2:27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  <c r="AA642" s="6"/>
    </row>
    <row r="643" spans="2:27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  <c r="AA643" s="6"/>
    </row>
    <row r="644" spans="2:27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  <c r="AA644" s="6"/>
    </row>
    <row r="645" spans="2:27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  <c r="AA645" s="6"/>
    </row>
    <row r="646" spans="2:27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  <c r="AA646" s="6"/>
    </row>
    <row r="647" spans="2:27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  <c r="AA647" s="6"/>
    </row>
    <row r="648" spans="2:27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  <c r="AA648" s="6"/>
    </row>
    <row r="649" spans="2:27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  <c r="AA649" s="6"/>
    </row>
    <row r="650" spans="2:27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  <c r="AA650" s="6"/>
    </row>
    <row r="651" spans="2:27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  <c r="AA651" s="6"/>
    </row>
    <row r="652" spans="2:27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  <c r="AA652" s="6"/>
    </row>
    <row r="653" spans="2:27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  <c r="AA653" s="6"/>
    </row>
    <row r="654" spans="2:27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  <c r="AA654" s="6"/>
    </row>
    <row r="655" spans="2:27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  <c r="AA655" s="6"/>
    </row>
    <row r="656" spans="2:27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  <c r="AA656" s="6"/>
    </row>
    <row r="657" spans="2:27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  <c r="AA657" s="6"/>
    </row>
    <row r="658" spans="2:27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  <c r="AA658" s="6"/>
    </row>
    <row r="659" spans="2:27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  <c r="AA659" s="6"/>
    </row>
    <row r="660" spans="2:27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  <c r="AA660" s="6"/>
    </row>
    <row r="661" spans="2:27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  <c r="AA661" s="6"/>
    </row>
    <row r="662" spans="2:27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  <c r="AA662" s="6"/>
    </row>
    <row r="663" spans="2:27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  <c r="AA663" s="6"/>
    </row>
    <row r="664" spans="2:27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  <c r="AA664" s="6"/>
    </row>
    <row r="665" spans="2:27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  <c r="AA665" s="6"/>
    </row>
    <row r="666" spans="2:27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  <c r="AA666" s="6"/>
    </row>
    <row r="667" spans="2:27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  <c r="AA667" s="6"/>
    </row>
    <row r="668" spans="2:27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  <c r="AA668" s="6"/>
    </row>
    <row r="669" spans="2:27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  <c r="AA669" s="6"/>
    </row>
    <row r="670" spans="2:27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  <c r="AA670" s="6"/>
    </row>
    <row r="671" spans="2:27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  <c r="AA671" s="6"/>
    </row>
    <row r="672" spans="2:27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  <c r="AA672" s="6"/>
    </row>
    <row r="673" spans="2:27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  <c r="AA673" s="6"/>
    </row>
    <row r="674" spans="2:27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  <c r="AA674" s="6"/>
    </row>
    <row r="675" spans="2:27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  <c r="AA675" s="6"/>
    </row>
    <row r="676" spans="2:27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  <c r="AA676" s="6"/>
    </row>
    <row r="677" spans="2:27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  <c r="AA677" s="6"/>
    </row>
    <row r="678" spans="2:27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  <c r="AA678" s="6"/>
    </row>
    <row r="679" spans="2:27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  <c r="AA679" s="6"/>
    </row>
    <row r="680" spans="2:27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  <c r="AA680" s="6"/>
    </row>
    <row r="681" spans="2:27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  <c r="AA681" s="6"/>
    </row>
    <row r="682" spans="2:27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  <c r="AA682" s="6"/>
    </row>
    <row r="683" spans="2:27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  <c r="AA683" s="6"/>
    </row>
    <row r="684" spans="2:27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  <c r="AA684" s="6"/>
    </row>
    <row r="685" spans="2:27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  <c r="AA685" s="6"/>
    </row>
    <row r="686" spans="2:27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  <c r="AA686" s="6"/>
    </row>
    <row r="687" spans="2:27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  <c r="AA687" s="6"/>
    </row>
    <row r="688" spans="2:27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  <c r="AA688" s="6"/>
    </row>
    <row r="689" spans="2:27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  <c r="AA689" s="6"/>
    </row>
    <row r="690" spans="2:27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  <c r="AA690" s="6"/>
    </row>
    <row r="691" spans="2:27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  <c r="AA691" s="6"/>
    </row>
    <row r="692" spans="2:27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  <c r="AA692" s="6"/>
    </row>
    <row r="693" spans="2:27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  <c r="AA693" s="6"/>
    </row>
    <row r="694" spans="2:27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  <c r="AA694" s="6"/>
    </row>
    <row r="695" spans="2:27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  <c r="AA695" s="6"/>
    </row>
    <row r="696" spans="2:27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  <c r="AA696" s="6"/>
    </row>
    <row r="697" spans="2:27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  <c r="AA697" s="6"/>
    </row>
    <row r="698" spans="2:27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  <c r="AA698" s="6"/>
    </row>
    <row r="699" spans="2:27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  <c r="AA699" s="6"/>
    </row>
    <row r="700" spans="2:27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  <c r="AA700" s="6"/>
    </row>
    <row r="701" spans="2:27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  <c r="AA701" s="6"/>
    </row>
    <row r="702" spans="2:27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  <c r="AA702" s="6"/>
    </row>
    <row r="703" spans="2:27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  <c r="AA703" s="6"/>
    </row>
    <row r="704" spans="2:27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  <c r="AA704" s="6"/>
    </row>
    <row r="705" spans="2:27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  <c r="AA705" s="6"/>
    </row>
    <row r="706" spans="2:27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  <c r="AA706" s="6"/>
    </row>
    <row r="707" spans="2:27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  <c r="AA707" s="6"/>
    </row>
    <row r="708" spans="2:27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  <c r="AA708" s="6"/>
    </row>
    <row r="709" spans="2:27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  <c r="AA709" s="6"/>
    </row>
    <row r="710" spans="2:27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  <c r="AA710" s="6"/>
    </row>
    <row r="711" spans="2:27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  <c r="AA711" s="6"/>
    </row>
    <row r="712" spans="2:27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  <c r="AA712" s="6"/>
    </row>
    <row r="713" spans="2:27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  <c r="AA713" s="6"/>
    </row>
    <row r="714" spans="2:27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  <c r="AA714" s="6"/>
    </row>
    <row r="715" spans="2:27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  <c r="AA715" s="6"/>
    </row>
    <row r="716" spans="2:27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  <c r="AA716" s="6"/>
    </row>
    <row r="717" spans="2:27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  <c r="AA717" s="6"/>
    </row>
    <row r="718" spans="2:27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  <c r="AA718" s="6"/>
    </row>
    <row r="719" spans="2:27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  <c r="AA719" s="6"/>
    </row>
    <row r="720" spans="2:27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  <c r="AA720" s="6"/>
    </row>
    <row r="721" spans="2:27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  <c r="AA721" s="6"/>
    </row>
    <row r="722" spans="2:27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  <c r="AA722" s="6"/>
    </row>
    <row r="723" spans="2:27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  <c r="AA723" s="6"/>
    </row>
    <row r="724" spans="2:27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  <c r="AA724" s="6"/>
    </row>
    <row r="725" spans="2:27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  <c r="AA725" s="6"/>
    </row>
    <row r="726" spans="2:27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  <c r="AA726" s="6"/>
    </row>
    <row r="727" spans="2:27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  <c r="AA727" s="6"/>
    </row>
    <row r="728" spans="2:27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  <c r="AA728" s="6"/>
    </row>
    <row r="729" spans="2:27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  <c r="AA729" s="6"/>
    </row>
    <row r="730" spans="2:27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  <c r="AA730" s="6"/>
    </row>
    <row r="731" spans="2:27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  <c r="AA731" s="6"/>
    </row>
    <row r="732" spans="2:27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  <c r="AA732" s="6"/>
    </row>
    <row r="733" spans="2:27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  <c r="AA733" s="6"/>
    </row>
    <row r="734" spans="2:27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  <c r="AA734" s="6"/>
    </row>
    <row r="735" spans="2:27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  <c r="AA735" s="6"/>
    </row>
    <row r="736" spans="2:27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  <c r="AA736" s="6"/>
    </row>
    <row r="737" spans="2:27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  <c r="AA737" s="6"/>
    </row>
    <row r="738" spans="2:27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  <c r="AA738" s="6"/>
    </row>
    <row r="739" spans="2:27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  <c r="AA739" s="6"/>
    </row>
    <row r="740" spans="2:27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  <c r="AA740" s="6"/>
    </row>
    <row r="741" spans="2:27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  <c r="AA741" s="6"/>
    </row>
    <row r="742" spans="2:27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  <c r="AA742" s="6"/>
    </row>
    <row r="743" spans="2:27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  <c r="AA743" s="6"/>
    </row>
    <row r="744" spans="2:27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  <c r="AA744" s="6"/>
    </row>
    <row r="745" spans="2:27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  <c r="AA745" s="6"/>
    </row>
    <row r="746" spans="2:27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  <c r="AA746" s="6"/>
    </row>
    <row r="747" spans="2:27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  <c r="AA747" s="6"/>
    </row>
    <row r="748" spans="2:27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  <c r="AA748" s="6"/>
    </row>
    <row r="749" spans="2:27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  <c r="AA749" s="6"/>
    </row>
    <row r="750" spans="2:27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  <c r="AA750" s="6"/>
    </row>
    <row r="751" spans="2:27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  <c r="AA751" s="6"/>
    </row>
    <row r="752" spans="2:27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  <c r="AA752" s="6"/>
    </row>
    <row r="753" spans="2:27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  <c r="AA753" s="6"/>
    </row>
    <row r="754" spans="2:27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  <c r="AA754" s="6"/>
    </row>
    <row r="755" spans="2:27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  <c r="AA755" s="6"/>
    </row>
    <row r="756" spans="2:27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  <c r="AA756" s="6"/>
    </row>
    <row r="757" spans="2:27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  <c r="AA757" s="6"/>
    </row>
    <row r="758" spans="2:27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  <c r="AA758" s="6"/>
    </row>
    <row r="759" spans="2:27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  <c r="AA759" s="6"/>
    </row>
    <row r="760" spans="2:27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  <c r="AA760" s="6"/>
    </row>
    <row r="761" spans="2:27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  <c r="AA761" s="6"/>
    </row>
    <row r="762" spans="2:27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  <c r="AA762" s="6"/>
    </row>
    <row r="763" spans="2:27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  <c r="AA763" s="6"/>
    </row>
    <row r="764" spans="2:27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  <c r="AA764" s="6"/>
    </row>
    <row r="765" spans="2:27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  <c r="AA765" s="6"/>
    </row>
    <row r="766" spans="2:27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  <c r="AA766" s="6"/>
    </row>
    <row r="767" spans="2:27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  <c r="AA767" s="6"/>
    </row>
    <row r="768" spans="2:27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  <c r="AA768" s="6"/>
    </row>
    <row r="769" spans="2:27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  <c r="AA769" s="6"/>
    </row>
    <row r="770" spans="2:27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  <c r="AA770" s="6"/>
    </row>
    <row r="771" spans="2:27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  <c r="AA771" s="6"/>
    </row>
    <row r="772" spans="2:27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  <c r="AA772" s="6"/>
    </row>
    <row r="773" spans="2:27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  <c r="AA773" s="6"/>
    </row>
    <row r="774" spans="2:27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  <c r="AA774" s="6"/>
    </row>
    <row r="775" spans="2:27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  <c r="AA775" s="6"/>
    </row>
    <row r="776" spans="2:27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  <c r="AA776" s="6"/>
    </row>
    <row r="777" spans="2:27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  <c r="AA777" s="6"/>
    </row>
    <row r="778" spans="2:27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  <c r="AA778" s="6"/>
    </row>
    <row r="779" spans="2:27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  <c r="AA779" s="6"/>
    </row>
    <row r="780" spans="2:27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  <c r="AA780" s="6"/>
    </row>
    <row r="781" spans="2:27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  <c r="AA781" s="6"/>
    </row>
    <row r="782" spans="2:27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  <c r="AA782" s="6"/>
    </row>
    <row r="783" spans="2:27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  <c r="AA783" s="6"/>
    </row>
    <row r="784" spans="2:27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  <c r="AA784" s="6"/>
    </row>
    <row r="785" spans="2:27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  <c r="AA785" s="6"/>
    </row>
    <row r="786" spans="2:27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  <c r="AA786" s="6"/>
    </row>
    <row r="787" spans="2:27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  <c r="AA787" s="6"/>
    </row>
    <row r="788" spans="2:27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  <c r="AA788" s="6"/>
    </row>
    <row r="789" spans="2:27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  <c r="AA789" s="6"/>
    </row>
    <row r="790" spans="2:27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  <c r="AA790" s="6"/>
    </row>
    <row r="791" spans="2:27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  <c r="AA791" s="6"/>
    </row>
    <row r="792" spans="2:27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  <c r="AA792" s="6"/>
    </row>
    <row r="793" spans="2:27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  <c r="AA793" s="6"/>
    </row>
    <row r="794" spans="2:27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  <c r="AA794" s="6"/>
    </row>
    <row r="795" spans="2:27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  <c r="AA795" s="6"/>
    </row>
    <row r="796" spans="2:27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  <c r="AA796" s="6"/>
    </row>
    <row r="797" spans="2:27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  <c r="AA797" s="6"/>
    </row>
    <row r="798" spans="2:27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  <c r="AA798" s="6"/>
    </row>
    <row r="799" spans="2:27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  <c r="AA799" s="6"/>
    </row>
    <row r="800" spans="2:27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  <c r="AA800" s="6"/>
    </row>
    <row r="801" spans="2:27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  <c r="AA801" s="6"/>
    </row>
    <row r="802" spans="2:27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  <c r="AA802" s="6"/>
    </row>
    <row r="803" spans="2:27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  <c r="AA803" s="6"/>
    </row>
    <row r="804" spans="2:27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  <c r="AA804" s="6"/>
    </row>
    <row r="805" spans="2:27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  <c r="AA805" s="6"/>
    </row>
    <row r="806" spans="2:27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  <c r="AA806" s="6"/>
    </row>
    <row r="807" spans="2:27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  <c r="AA807" s="6"/>
    </row>
    <row r="808" spans="2:27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  <c r="AA808" s="6"/>
    </row>
    <row r="809" spans="2:27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  <c r="AA809" s="6"/>
    </row>
    <row r="810" spans="2:27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  <c r="AA810" s="6"/>
    </row>
    <row r="811" spans="2:27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  <c r="AA811" s="6"/>
    </row>
    <row r="812" spans="2:27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  <c r="AA812" s="6"/>
    </row>
    <row r="813" spans="2:27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  <c r="AA813" s="6"/>
    </row>
    <row r="814" spans="2:27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  <c r="AA814" s="6"/>
    </row>
    <row r="815" spans="2:27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  <c r="AA815" s="6"/>
    </row>
    <row r="816" spans="2:27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  <c r="AA816" s="6"/>
    </row>
    <row r="817" spans="2:27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  <c r="AA817" s="6"/>
    </row>
    <row r="818" spans="2:27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  <c r="AA818" s="6"/>
    </row>
    <row r="819" spans="2:27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  <c r="AA819" s="6"/>
    </row>
    <row r="820" spans="2:27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  <c r="AA820" s="6"/>
    </row>
    <row r="821" spans="2:27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  <c r="AA821" s="6"/>
    </row>
    <row r="822" spans="2:27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  <c r="AA822" s="6"/>
    </row>
    <row r="823" spans="2:27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  <c r="AA823" s="6"/>
    </row>
    <row r="824" spans="2:27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  <c r="AA824" s="6"/>
    </row>
    <row r="825" spans="2:27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  <c r="AA825" s="6"/>
    </row>
    <row r="826" spans="2:27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  <c r="AA826" s="6"/>
    </row>
    <row r="827" spans="2:27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  <c r="AA827" s="6"/>
    </row>
    <row r="828" spans="2:27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  <c r="AA828" s="6"/>
    </row>
    <row r="829" spans="2:27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  <c r="AA829" s="6"/>
    </row>
    <row r="830" spans="2:27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  <c r="AA830" s="6"/>
    </row>
    <row r="831" spans="2:27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  <c r="AA831" s="6"/>
    </row>
    <row r="832" spans="2:27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  <c r="AA832" s="6"/>
    </row>
    <row r="833" spans="2:27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  <c r="AA833" s="6"/>
    </row>
    <row r="834" spans="2:27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  <c r="AA834" s="6"/>
    </row>
    <row r="835" spans="2:27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  <c r="AA835" s="6"/>
    </row>
    <row r="836" spans="2:27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  <c r="AA836" s="6"/>
    </row>
    <row r="837" spans="2:27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  <c r="AA837" s="6"/>
    </row>
    <row r="838" spans="2:27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  <c r="AA838" s="6"/>
    </row>
    <row r="839" spans="2:27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  <c r="AA839" s="6"/>
    </row>
    <row r="840" spans="2:27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  <c r="AA840" s="6"/>
    </row>
    <row r="841" spans="2:27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  <c r="AA841" s="6"/>
    </row>
    <row r="842" spans="2:27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  <c r="AA842" s="6"/>
    </row>
    <row r="843" spans="2:27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  <c r="AA843" s="6"/>
    </row>
    <row r="844" spans="2:27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  <c r="AA844" s="6"/>
    </row>
    <row r="845" spans="2:27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  <c r="AA845" s="6"/>
    </row>
    <row r="846" spans="2:27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  <c r="AA846" s="6"/>
    </row>
    <row r="847" spans="2:27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  <c r="AA847" s="6"/>
    </row>
    <row r="848" spans="2:27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  <c r="AA848" s="6"/>
    </row>
    <row r="849" spans="2:27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  <c r="AA849" s="6"/>
    </row>
    <row r="850" spans="2:27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  <c r="AA850" s="6"/>
    </row>
    <row r="851" spans="2:27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  <c r="AA851" s="6"/>
    </row>
    <row r="852" spans="2:27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  <c r="AA852" s="6"/>
    </row>
    <row r="853" spans="2:27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  <c r="AA853" s="6"/>
    </row>
    <row r="854" spans="2:27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  <c r="AA854" s="6"/>
    </row>
    <row r="855" spans="2:27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  <c r="AA855" s="6"/>
    </row>
    <row r="856" spans="2:27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  <c r="AA856" s="6"/>
    </row>
    <row r="857" spans="2:27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  <c r="AA857" s="6"/>
    </row>
    <row r="858" spans="2:27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  <c r="AA858" s="6"/>
    </row>
    <row r="859" spans="2:27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  <c r="AA859" s="6"/>
    </row>
    <row r="860" spans="2:27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  <c r="AA860" s="6"/>
    </row>
    <row r="861" spans="2:27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  <c r="AA861" s="6"/>
    </row>
  </sheetData>
  <dataValidations count="1">
    <dataValidation type="list" allowBlank="1" showErrorMessage="1" sqref="C3:C4" xr:uid="{00000000-0002-0000-0400-000000000000}">
      <formula1>"5DD,EOM,LBD,TP"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45699</v>
      </c>
      <c r="B3" s="1" t="s">
        <v>13</v>
      </c>
      <c r="C3" s="1" t="s">
        <v>14</v>
      </c>
      <c r="D3" s="6">
        <v>232.37</v>
      </c>
      <c r="E3" s="9">
        <f t="shared" ref="E3:E7" si="0">$O$3/D3</f>
        <v>1.0758703791367217</v>
      </c>
      <c r="F3" s="9">
        <f>E3</f>
        <v>1.0758703791367217</v>
      </c>
      <c r="G3" s="11">
        <f t="shared" ref="G3:G7" si="1">$O$4/D3</f>
        <v>1.0758703791367217</v>
      </c>
      <c r="H3" s="5">
        <f t="shared" ref="H3:H7" si="2">D3*G3</f>
        <v>250.00000000000003</v>
      </c>
      <c r="I3" s="6">
        <f t="shared" ref="I3:I7" si="3">D3-(D3*$O$5)</f>
        <v>223.0752</v>
      </c>
      <c r="J3" s="6">
        <f t="shared" ref="J3:J7" si="4">D3+(D3*$O$6)</f>
        <v>260.25440000000003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>
        <v>45699</v>
      </c>
      <c r="B4" s="1" t="s">
        <v>16</v>
      </c>
      <c r="C4" s="1" t="s">
        <v>14</v>
      </c>
      <c r="D4" s="6">
        <v>232.37</v>
      </c>
      <c r="E4" s="9">
        <f t="shared" si="0"/>
        <v>1.0758703791367217</v>
      </c>
      <c r="F4" s="9">
        <f t="shared" ref="F4:F7" si="5">F3+E4</f>
        <v>2.1517407582734434</v>
      </c>
      <c r="G4" s="11">
        <f t="shared" si="1"/>
        <v>1.0758703791367217</v>
      </c>
      <c r="H4" s="5">
        <f t="shared" si="2"/>
        <v>250.00000000000003</v>
      </c>
      <c r="I4" s="6">
        <f t="shared" si="3"/>
        <v>223.0752</v>
      </c>
      <c r="J4" s="6">
        <f t="shared" si="4"/>
        <v>260.25440000000003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>
        <v>45720</v>
      </c>
      <c r="B5" s="1" t="s">
        <v>22</v>
      </c>
      <c r="C5" s="1" t="s">
        <v>14</v>
      </c>
      <c r="D5" s="6">
        <v>205.6</v>
      </c>
      <c r="E5" s="9">
        <f t="shared" si="0"/>
        <v>1.2159533073929962</v>
      </c>
      <c r="F5" s="9">
        <f t="shared" si="5"/>
        <v>3.3676940656664396</v>
      </c>
      <c r="G5" s="11">
        <f t="shared" si="1"/>
        <v>1.2159533073929962</v>
      </c>
      <c r="H5" s="5">
        <f t="shared" si="2"/>
        <v>250.00000000000003</v>
      </c>
      <c r="I5" s="6">
        <f t="shared" si="3"/>
        <v>197.376</v>
      </c>
      <c r="J5" s="6">
        <f t="shared" si="4"/>
        <v>230.27199999999999</v>
      </c>
      <c r="K5" s="6"/>
      <c r="L5" s="6"/>
      <c r="M5" s="6"/>
      <c r="N5" s="3" t="s">
        <v>18</v>
      </c>
      <c r="O5" s="4">
        <v>0.04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10">
        <v>45722</v>
      </c>
      <c r="B6" s="1" t="s">
        <v>23</v>
      </c>
      <c r="C6" s="1" t="s">
        <v>9</v>
      </c>
      <c r="D6" s="6">
        <v>199.37</v>
      </c>
      <c r="E6" s="9">
        <f t="shared" si="0"/>
        <v>1.2539499423183027</v>
      </c>
      <c r="F6" s="9">
        <f t="shared" si="5"/>
        <v>4.6216440079847425</v>
      </c>
      <c r="G6" s="11">
        <f t="shared" si="1"/>
        <v>1.2539499423183027</v>
      </c>
      <c r="H6" s="5">
        <f t="shared" si="2"/>
        <v>250.00000000000003</v>
      </c>
      <c r="I6" s="6">
        <f t="shared" si="3"/>
        <v>191.39520000000002</v>
      </c>
      <c r="J6" s="6">
        <f t="shared" si="4"/>
        <v>223.2944</v>
      </c>
      <c r="K6" s="6"/>
      <c r="L6" s="6"/>
      <c r="M6" s="6"/>
      <c r="N6" s="3" t="s">
        <v>10</v>
      </c>
      <c r="O6" s="4">
        <f>O5*3</f>
        <v>0.12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>
        <v>45727</v>
      </c>
      <c r="B7" s="1" t="s">
        <v>24</v>
      </c>
      <c r="C7" s="1" t="s">
        <v>25</v>
      </c>
      <c r="D7" s="6">
        <v>196.54</v>
      </c>
      <c r="E7" s="9">
        <f t="shared" si="0"/>
        <v>1.2720056985855297</v>
      </c>
      <c r="F7" s="9">
        <f t="shared" si="5"/>
        <v>5.8936497065702724</v>
      </c>
      <c r="G7" s="11">
        <f t="shared" si="1"/>
        <v>1.2720056985855297</v>
      </c>
      <c r="H7" s="5">
        <f t="shared" si="2"/>
        <v>250</v>
      </c>
      <c r="I7" s="6">
        <f t="shared" si="3"/>
        <v>188.67839999999998</v>
      </c>
      <c r="J7" s="6">
        <f t="shared" si="4"/>
        <v>220.12479999999999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1250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  <c r="Z108" s="6"/>
    </row>
    <row r="109" spans="1:26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8"/>
      <c r="J111" s="8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6"/>
      <c r="J112" s="6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  <row r="862" spans="2:26" ht="12.75" x14ac:dyDescent="0.2">
      <c r="B862" s="6"/>
      <c r="C862" s="6"/>
      <c r="D862" s="6"/>
      <c r="E862" s="9"/>
      <c r="F862" s="9"/>
      <c r="G862" s="11"/>
      <c r="H862" s="5"/>
      <c r="I862" s="8"/>
      <c r="J862" s="8"/>
      <c r="Z862" s="6"/>
    </row>
  </sheetData>
  <dataValidations count="1">
    <dataValidation type="list" allowBlank="1" showErrorMessage="1" sqref="C3:C7" xr:uid="{00000000-0002-0000-0500-000000000000}">
      <formula1>"5DD,EOM,LBD,TP"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861"/>
  <sheetViews>
    <sheetView workbookViewId="0"/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45723</v>
      </c>
      <c r="B3" s="1" t="s">
        <v>13</v>
      </c>
      <c r="C3" s="1" t="s">
        <v>14</v>
      </c>
      <c r="D3" s="6">
        <v>170.79</v>
      </c>
      <c r="E3" s="9">
        <v>15</v>
      </c>
      <c r="F3" s="9">
        <v>15</v>
      </c>
      <c r="G3" s="11">
        <v>15</v>
      </c>
      <c r="H3" s="5">
        <f>D3*G3</f>
        <v>2561.85</v>
      </c>
      <c r="I3" s="6">
        <f>D3-(D3*$O$5)</f>
        <v>161.39654999999999</v>
      </c>
      <c r="J3" s="6">
        <f>D3+(D3*$O$6)</f>
        <v>198.97035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/>
      <c r="D4" s="6"/>
      <c r="E4" s="9"/>
      <c r="F4" s="9"/>
      <c r="G4" s="11"/>
      <c r="H4" s="5"/>
      <c r="I4" s="6"/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5.5E-2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0.16500000000000001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2561.85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2561.85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>
        <f>SUM(O7:O8)</f>
        <v>5123.7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1" t="s">
        <v>26</v>
      </c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</row>
    <row r="109" spans="1:26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</sheetData>
  <dataValidations count="1">
    <dataValidation type="list" allowBlank="1" showErrorMessage="1" sqref="C3" xr:uid="{00000000-0002-0000-0600-000000000000}">
      <formula1>"5DD,EOM,LBD,TP"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28515625" customWidth="1"/>
    <col min="4" max="4" width="8.4257812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8.42578125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1055.76</v>
      </c>
      <c r="E3" s="9">
        <f t="shared" ref="E3:E6" si="0">$O$3/D3</f>
        <v>0.2367962415700538</v>
      </c>
      <c r="F3" s="9">
        <f t="shared" ref="F3:F4" si="1">E3</f>
        <v>0.2367962415700538</v>
      </c>
      <c r="G3" s="11">
        <f t="shared" ref="G3:G6" si="2">$O$4/D3</f>
        <v>0.2367962415700538</v>
      </c>
      <c r="H3" s="5">
        <f t="shared" ref="H3:H6" si="3">D3*G3</f>
        <v>250</v>
      </c>
      <c r="I3" s="6">
        <f t="shared" ref="I3:I6" si="4">D3-(D3*$O$5)</f>
        <v>1029.366</v>
      </c>
      <c r="J3" s="6">
        <f t="shared" ref="J3:J6" si="5">D3+(D3*$O$6)</f>
        <v>1134.942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1055.76</v>
      </c>
      <c r="E4" s="9">
        <f t="shared" si="0"/>
        <v>0.2367962415700538</v>
      </c>
      <c r="F4" s="9">
        <f t="shared" si="1"/>
        <v>0.2367962415700538</v>
      </c>
      <c r="G4" s="11">
        <f t="shared" si="2"/>
        <v>0.2367962415700538</v>
      </c>
      <c r="H4" s="5">
        <f t="shared" si="3"/>
        <v>250</v>
      </c>
      <c r="I4" s="6">
        <f t="shared" si="4"/>
        <v>1029.366</v>
      </c>
      <c r="J4" s="6">
        <f t="shared" si="5"/>
        <v>1134.942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45723</v>
      </c>
      <c r="B5" s="1" t="s">
        <v>22</v>
      </c>
      <c r="C5" s="1" t="s">
        <v>14</v>
      </c>
      <c r="D5" s="6">
        <v>968.81</v>
      </c>
      <c r="E5" s="9">
        <f t="shared" si="0"/>
        <v>0.25804853376823117</v>
      </c>
      <c r="F5" s="9">
        <f>F3+E5</f>
        <v>0.49484477533828497</v>
      </c>
      <c r="G5" s="11">
        <f t="shared" si="2"/>
        <v>0.25804853376823117</v>
      </c>
      <c r="H5" s="5">
        <f t="shared" si="3"/>
        <v>250.00000000000003</v>
      </c>
      <c r="I5" s="6">
        <f t="shared" si="4"/>
        <v>944.58974999999998</v>
      </c>
      <c r="J5" s="6">
        <f t="shared" si="5"/>
        <v>1041.47075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45727</v>
      </c>
      <c r="B6" s="1" t="s">
        <v>23</v>
      </c>
      <c r="C6" s="1" t="s">
        <v>14</v>
      </c>
      <c r="D6" s="6">
        <v>928</v>
      </c>
      <c r="E6" s="9">
        <f t="shared" si="0"/>
        <v>0.26939655172413796</v>
      </c>
      <c r="F6" s="9">
        <f>F5+E6</f>
        <v>0.76424132706242287</v>
      </c>
      <c r="G6" s="11">
        <f t="shared" si="2"/>
        <v>0.26939655172413796</v>
      </c>
      <c r="H6" s="5">
        <f t="shared" si="3"/>
        <v>250.00000000000003</v>
      </c>
      <c r="I6" s="6">
        <f t="shared" si="4"/>
        <v>904.8</v>
      </c>
      <c r="J6" s="6">
        <f t="shared" si="5"/>
        <v>997.6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21"/>
      <c r="B7" s="22"/>
      <c r="C7" s="22"/>
      <c r="D7" s="23"/>
      <c r="E7" s="24"/>
      <c r="F7" s="24"/>
      <c r="G7" s="25"/>
      <c r="H7" s="26"/>
      <c r="I7" s="23"/>
      <c r="J7" s="22"/>
      <c r="K7" s="6"/>
      <c r="L7" s="6"/>
      <c r="M7" s="6"/>
      <c r="N7" s="20" t="s">
        <v>19</v>
      </c>
      <c r="O7" s="5">
        <f>(O8/250)*O3</f>
        <v>1000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1000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</row>
    <row r="109" spans="1:25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8"/>
      <c r="J111" s="8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6"/>
      <c r="J112" s="6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  <row r="862" spans="2:10" ht="12.75" x14ac:dyDescent="0.2">
      <c r="B862" s="6"/>
      <c r="C862" s="6"/>
      <c r="D862" s="6"/>
      <c r="E862" s="9"/>
      <c r="F862" s="9"/>
      <c r="G862" s="11"/>
      <c r="H862" s="5"/>
      <c r="I862" s="8"/>
      <c r="J862" s="8"/>
    </row>
  </sheetData>
  <dataValidations count="1">
    <dataValidation type="list" allowBlank="1" showErrorMessage="1" sqref="C3:C6" xr:uid="{00000000-0002-0000-0700-000000000000}">
      <formula1>"5DD,EOM,LBD,TP"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45694</v>
      </c>
      <c r="B3" s="1" t="s">
        <v>13</v>
      </c>
      <c r="C3" s="1" t="s">
        <v>14</v>
      </c>
      <c r="D3" s="6">
        <v>192.41</v>
      </c>
      <c r="E3" s="9">
        <f t="shared" ref="E3:E7" si="0">$O$3/D3</f>
        <v>1.2993087677355648</v>
      </c>
      <c r="F3" s="9">
        <f>E3</f>
        <v>1.2993087677355648</v>
      </c>
      <c r="G3" s="11">
        <f t="shared" ref="G3:G7" si="1">$O$4/D3</f>
        <v>1.2993087677355648</v>
      </c>
      <c r="H3" s="5">
        <f t="shared" ref="H3:H7" si="2">D3*G3</f>
        <v>250.00000000000003</v>
      </c>
      <c r="I3" s="6">
        <f t="shared" ref="I3:I7" si="3">D3-(D3*$O$5)</f>
        <v>182.7895</v>
      </c>
      <c r="J3" s="6">
        <f t="shared" ref="J3:J7" si="4">D3+(D3*$O$6)</f>
        <v>221.2715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45694</v>
      </c>
      <c r="B4" s="1" t="s">
        <v>16</v>
      </c>
      <c r="C4" s="1" t="s">
        <v>14</v>
      </c>
      <c r="D4" s="6">
        <v>192.41</v>
      </c>
      <c r="E4" s="9">
        <f t="shared" si="0"/>
        <v>1.2993087677355648</v>
      </c>
      <c r="F4" s="9">
        <f t="shared" ref="F4:F7" si="5">F3+E4</f>
        <v>2.5986175354711296</v>
      </c>
      <c r="G4" s="11">
        <f t="shared" si="1"/>
        <v>1.2993087677355648</v>
      </c>
      <c r="H4" s="5">
        <f t="shared" si="2"/>
        <v>250.00000000000003</v>
      </c>
      <c r="I4" s="6">
        <f t="shared" si="3"/>
        <v>182.7895</v>
      </c>
      <c r="J4" s="6">
        <f t="shared" si="4"/>
        <v>221.2715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45695</v>
      </c>
      <c r="B5" s="1" t="s">
        <v>22</v>
      </c>
      <c r="C5" s="1" t="s">
        <v>25</v>
      </c>
      <c r="D5" s="6">
        <v>187.23</v>
      </c>
      <c r="E5" s="9">
        <f t="shared" si="0"/>
        <v>1.3352561021203868</v>
      </c>
      <c r="F5" s="9">
        <f t="shared" si="5"/>
        <v>3.9338736375915166</v>
      </c>
      <c r="G5" s="11">
        <f t="shared" si="1"/>
        <v>1.3352561021203868</v>
      </c>
      <c r="H5" s="5">
        <f t="shared" si="2"/>
        <v>250</v>
      </c>
      <c r="I5" s="6">
        <f t="shared" si="3"/>
        <v>177.86849999999998</v>
      </c>
      <c r="J5" s="6">
        <f t="shared" si="4"/>
        <v>215.31449999999998</v>
      </c>
      <c r="K5" s="6"/>
      <c r="L5" s="6"/>
      <c r="M5" s="6"/>
      <c r="N5" s="3" t="s">
        <v>18</v>
      </c>
      <c r="O5" s="4">
        <v>0.05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45695</v>
      </c>
      <c r="B6" s="1" t="s">
        <v>23</v>
      </c>
      <c r="C6" s="1" t="s">
        <v>25</v>
      </c>
      <c r="D6" s="6">
        <v>187.23</v>
      </c>
      <c r="E6" s="9">
        <f t="shared" si="0"/>
        <v>1.3352561021203868</v>
      </c>
      <c r="F6" s="9">
        <f t="shared" si="5"/>
        <v>5.2691297397119037</v>
      </c>
      <c r="G6" s="11">
        <f t="shared" si="1"/>
        <v>1.3352561021203868</v>
      </c>
      <c r="H6" s="5">
        <f t="shared" si="2"/>
        <v>250</v>
      </c>
      <c r="I6" s="6">
        <f t="shared" si="3"/>
        <v>177.86849999999998</v>
      </c>
      <c r="J6" s="6">
        <f t="shared" si="4"/>
        <v>215.31449999999998</v>
      </c>
      <c r="K6" s="6"/>
      <c r="L6" s="6"/>
      <c r="M6" s="6"/>
      <c r="N6" s="3" t="s">
        <v>10</v>
      </c>
      <c r="O6" s="4">
        <f>O5*3</f>
        <v>0.15000000000000002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45720</v>
      </c>
      <c r="B7" s="1" t="s">
        <v>24</v>
      </c>
      <c r="C7" s="1" t="s">
        <v>14</v>
      </c>
      <c r="D7" s="6">
        <v>174.12</v>
      </c>
      <c r="E7" s="9">
        <f t="shared" si="0"/>
        <v>1.4357914082242131</v>
      </c>
      <c r="F7" s="9">
        <f t="shared" si="5"/>
        <v>6.7049211479361173</v>
      </c>
      <c r="G7" s="11">
        <f t="shared" si="1"/>
        <v>1.4357914082242131</v>
      </c>
      <c r="H7" s="5">
        <f t="shared" si="2"/>
        <v>250</v>
      </c>
      <c r="I7" s="6">
        <f t="shared" si="3"/>
        <v>165.41400000000002</v>
      </c>
      <c r="J7" s="6">
        <f t="shared" si="4"/>
        <v>200.238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800-000000000000}">
      <formula1>"5DD,EOM,LBD,TP"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8554687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45685</v>
      </c>
      <c r="B3" s="1" t="s">
        <v>13</v>
      </c>
      <c r="C3" s="1" t="s">
        <v>14</v>
      </c>
      <c r="D3" s="6">
        <v>127.29</v>
      </c>
      <c r="E3" s="9">
        <f t="shared" ref="E3:E4" si="0">$O$3/D3</f>
        <v>1.9640191688270876</v>
      </c>
      <c r="F3" s="9">
        <f>E3</f>
        <v>1.9640191688270876</v>
      </c>
      <c r="G3" s="11">
        <f t="shared" ref="G3:G4" si="1">$O$4/D3</f>
        <v>1.9640191688270876</v>
      </c>
      <c r="H3" s="5">
        <f t="shared" ref="H3:H4" si="2">D3*G3</f>
        <v>250</v>
      </c>
      <c r="I3" s="6">
        <f t="shared" ref="I3:I4" si="3">D3-(D3*$O$5)</f>
        <v>117.74325</v>
      </c>
      <c r="J3" s="6">
        <f t="shared" ref="J3:J4" si="4">D3+(D3*$O$6)</f>
        <v>155.93025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45685</v>
      </c>
      <c r="B4" s="1" t="s">
        <v>16</v>
      </c>
      <c r="C4" s="1" t="s">
        <v>14</v>
      </c>
      <c r="D4" s="6">
        <v>127.29</v>
      </c>
      <c r="E4" s="9">
        <f t="shared" si="0"/>
        <v>1.9640191688270876</v>
      </c>
      <c r="F4" s="9">
        <f>F3+E4</f>
        <v>3.9280383376541752</v>
      </c>
      <c r="G4" s="11">
        <f t="shared" si="1"/>
        <v>1.9640191688270876</v>
      </c>
      <c r="H4" s="5">
        <f t="shared" si="2"/>
        <v>250</v>
      </c>
      <c r="I4" s="6">
        <f t="shared" si="3"/>
        <v>117.74325</v>
      </c>
      <c r="J4" s="6">
        <f t="shared" si="4"/>
        <v>155.93025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7.4999999999999997E-2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0.22499999999999998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900-000000000000}">
      <formula1>"5DD,EOM,LBD,TP"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45701</v>
      </c>
      <c r="B3" s="1" t="s">
        <v>13</v>
      </c>
      <c r="C3" s="1" t="s">
        <v>14</v>
      </c>
      <c r="D3" s="6">
        <v>199.45</v>
      </c>
      <c r="E3" s="9">
        <f t="shared" ref="E3:E4" si="0">$O$3/D3</f>
        <v>1.2534469791927803</v>
      </c>
      <c r="F3" s="9">
        <f>E3</f>
        <v>1.2534469791927803</v>
      </c>
      <c r="G3" s="11">
        <f t="shared" ref="G3:G4" si="1">$O$4/D3</f>
        <v>1.2534469791927803</v>
      </c>
      <c r="H3" s="5">
        <f t="shared" ref="H3:H4" si="2">D3*G3</f>
        <v>250</v>
      </c>
      <c r="I3" s="6">
        <f t="shared" ref="I3:I4" si="3">D3-(D3*$O$5)</f>
        <v>183.494</v>
      </c>
      <c r="J3" s="6">
        <f t="shared" ref="J3:J4" si="4">D3+(D3*$O$6)</f>
        <v>247.31799999999998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45701</v>
      </c>
      <c r="B4" s="1" t="s">
        <v>16</v>
      </c>
      <c r="C4" s="1" t="s">
        <v>14</v>
      </c>
      <c r="D4" s="6">
        <v>199.45</v>
      </c>
      <c r="E4" s="9">
        <f t="shared" si="0"/>
        <v>1.2534469791927803</v>
      </c>
      <c r="F4" s="9">
        <f>F3+E4</f>
        <v>2.5068939583855605</v>
      </c>
      <c r="G4" s="11">
        <f t="shared" si="1"/>
        <v>1.2534469791927803</v>
      </c>
      <c r="H4" s="5">
        <f t="shared" si="2"/>
        <v>250</v>
      </c>
      <c r="I4" s="6">
        <f t="shared" si="3"/>
        <v>183.494</v>
      </c>
      <c r="J4" s="6">
        <f t="shared" si="4"/>
        <v>247.31799999999998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A00-000000000000}">
      <formula1>"5DD,EOM,LBD,TP"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14062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102.05</v>
      </c>
      <c r="E3" s="9">
        <f t="shared" ref="E3:E7" si="0">$O$3/D3</f>
        <v>2.4497795198432142</v>
      </c>
      <c r="F3" s="9">
        <f>E3</f>
        <v>2.4497795198432142</v>
      </c>
      <c r="G3" s="11">
        <f t="shared" ref="G3:G7" si="1">$O$4/D3</f>
        <v>2.4497795198432142</v>
      </c>
      <c r="H3" s="5">
        <f t="shared" ref="H3:H7" si="2">D3*G3</f>
        <v>250</v>
      </c>
      <c r="I3" s="6">
        <f t="shared" ref="I3:I7" si="3">D3-(D3*$O$5)</f>
        <v>99.498750000000001</v>
      </c>
      <c r="J3" s="6">
        <f t="shared" ref="J3:J7" si="4">D3+(D3*$O$6)</f>
        <v>109.70375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102.05</v>
      </c>
      <c r="E4" s="9">
        <f t="shared" si="0"/>
        <v>2.4497795198432142</v>
      </c>
      <c r="F4" s="9">
        <f t="shared" ref="F4:F7" si="5">F3+E4</f>
        <v>4.8995590396864284</v>
      </c>
      <c r="G4" s="11">
        <f t="shared" si="1"/>
        <v>2.4497795198432142</v>
      </c>
      <c r="H4" s="5">
        <f t="shared" si="2"/>
        <v>250</v>
      </c>
      <c r="I4" s="6">
        <f t="shared" si="3"/>
        <v>99.498750000000001</v>
      </c>
      <c r="J4" s="6">
        <f t="shared" si="4"/>
        <v>109.70375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45708</v>
      </c>
      <c r="B5" s="1" t="s">
        <v>22</v>
      </c>
      <c r="C5" s="1" t="s">
        <v>14</v>
      </c>
      <c r="D5" s="6">
        <v>97.94</v>
      </c>
      <c r="E5" s="9">
        <f t="shared" si="0"/>
        <v>2.5525832142127833</v>
      </c>
      <c r="F5" s="9">
        <f t="shared" si="5"/>
        <v>7.4521422538992113</v>
      </c>
      <c r="G5" s="11">
        <f t="shared" si="1"/>
        <v>2.5525832142127833</v>
      </c>
      <c r="H5" s="5">
        <f t="shared" si="2"/>
        <v>250</v>
      </c>
      <c r="I5" s="6">
        <f t="shared" si="3"/>
        <v>95.491500000000002</v>
      </c>
      <c r="J5" s="6">
        <f t="shared" si="4"/>
        <v>105.2855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45723</v>
      </c>
      <c r="B6" s="1" t="s">
        <v>23</v>
      </c>
      <c r="C6" s="1" t="s">
        <v>9</v>
      </c>
      <c r="D6" s="6">
        <v>92.93</v>
      </c>
      <c r="E6" s="9">
        <f t="shared" si="0"/>
        <v>2.6901969224147204</v>
      </c>
      <c r="F6" s="9">
        <f t="shared" si="5"/>
        <v>10.142339176313932</v>
      </c>
      <c r="G6" s="11">
        <f t="shared" si="1"/>
        <v>2.6901969224147204</v>
      </c>
      <c r="H6" s="5">
        <f t="shared" si="2"/>
        <v>250</v>
      </c>
      <c r="I6" s="6">
        <f t="shared" si="3"/>
        <v>90.606750000000005</v>
      </c>
      <c r="J6" s="6">
        <f t="shared" si="4"/>
        <v>99.899750000000012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45727</v>
      </c>
      <c r="B7" s="1" t="s">
        <v>24</v>
      </c>
      <c r="C7" s="1" t="s">
        <v>9</v>
      </c>
      <c r="D7" s="6">
        <v>88.24</v>
      </c>
      <c r="E7" s="9">
        <f t="shared" si="0"/>
        <v>2.8331822302810519</v>
      </c>
      <c r="F7" s="9">
        <f t="shared" si="5"/>
        <v>12.975521406594984</v>
      </c>
      <c r="G7" s="11">
        <f t="shared" si="1"/>
        <v>2.8331822302810519</v>
      </c>
      <c r="H7" s="5">
        <f t="shared" si="2"/>
        <v>250</v>
      </c>
      <c r="I7" s="6">
        <f t="shared" si="3"/>
        <v>86.033999999999992</v>
      </c>
      <c r="J7" s="6">
        <f t="shared" si="4"/>
        <v>94.85799999999999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B00-000000000000}">
      <formula1>"5DD,EOM,LBD,TP"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J141"/>
  <sheetViews>
    <sheetView tabSelected="1" topLeftCell="A12" workbookViewId="0">
      <selection activeCell="D32" sqref="D32"/>
    </sheetView>
  </sheetViews>
  <sheetFormatPr defaultColWidth="12.5703125" defaultRowHeight="15.75" customHeight="1" x14ac:dyDescent="0.2"/>
  <cols>
    <col min="1" max="1" width="29.85546875" customWidth="1"/>
    <col min="2" max="2" width="12.5703125" customWidth="1"/>
    <col min="3" max="3" width="6.5703125" customWidth="1"/>
    <col min="4" max="4" width="7.7109375" bestFit="1" customWidth="1"/>
    <col min="5" max="5" width="7.85546875" bestFit="1" customWidth="1"/>
    <col min="6" max="6" width="9.28515625" bestFit="1" customWidth="1"/>
    <col min="7" max="7" width="6.5703125" bestFit="1" customWidth="1"/>
    <col min="8" max="9" width="6.5703125" customWidth="1"/>
    <col min="10" max="10" width="11.140625" customWidth="1"/>
    <col min="11" max="11" width="8.7109375" bestFit="1" customWidth="1"/>
    <col min="12" max="12" width="8.140625" bestFit="1" customWidth="1"/>
    <col min="13" max="13" width="7.7109375" bestFit="1" customWidth="1"/>
    <col min="14" max="14" width="8.28515625" bestFit="1" customWidth="1"/>
    <col min="15" max="15" width="8.7109375" bestFit="1" customWidth="1"/>
    <col min="16" max="16" width="6.42578125" customWidth="1"/>
    <col min="17" max="17" width="8.5703125" customWidth="1"/>
    <col min="18" max="18" width="6" customWidth="1"/>
    <col min="19" max="19" width="11.42578125" customWidth="1"/>
    <col min="20" max="20" width="7.42578125" customWidth="1"/>
    <col min="21" max="21" width="8.5703125" bestFit="1" customWidth="1"/>
    <col min="22" max="22" width="7.5703125" bestFit="1" customWidth="1"/>
    <col min="23" max="23" width="8" customWidth="1"/>
    <col min="24" max="24" width="7.5703125" bestFit="1" customWidth="1"/>
    <col min="25" max="25" width="7.85546875" bestFit="1" customWidth="1"/>
    <col min="26" max="26" width="4.85546875" customWidth="1"/>
    <col min="27" max="27" width="7.28515625" customWidth="1"/>
    <col min="28" max="28" width="8.42578125" customWidth="1"/>
    <col min="29" max="29" width="8.140625" customWidth="1"/>
    <col min="30" max="30" width="8.5703125" customWidth="1"/>
    <col min="31" max="31" width="7.7109375" customWidth="1"/>
    <col min="32" max="32" width="6.7109375" bestFit="1" customWidth="1"/>
    <col min="33" max="33" width="7.85546875" customWidth="1"/>
    <col min="34" max="34" width="9" customWidth="1"/>
    <col min="35" max="35" width="7.85546875" customWidth="1"/>
    <col min="36" max="36" width="9.140625" customWidth="1"/>
    <col min="37" max="37" width="7.85546875" customWidth="1"/>
    <col min="38" max="38" width="9.85546875" bestFit="1" customWidth="1"/>
    <col min="39" max="39" width="7.7109375" customWidth="1"/>
    <col min="40" max="40" width="8.5703125" bestFit="1" customWidth="1"/>
    <col min="41" max="41" width="8.140625" customWidth="1"/>
    <col min="42" max="42" width="9.7109375" bestFit="1" customWidth="1"/>
    <col min="43" max="43" width="7.5703125" customWidth="1"/>
    <col min="44" max="44" width="5.5703125" bestFit="1" customWidth="1"/>
    <col min="45" max="45" width="8.85546875" bestFit="1" customWidth="1"/>
    <col min="46" max="46" width="8.28515625" customWidth="1"/>
    <col min="47" max="47" width="7.42578125" bestFit="1" customWidth="1"/>
    <col min="48" max="48" width="8.7109375" bestFit="1" customWidth="1"/>
    <col min="49" max="49" width="14.5703125" bestFit="1" customWidth="1"/>
    <col min="50" max="50" width="8.28515625" bestFit="1" customWidth="1"/>
    <col min="51" max="51" width="8.140625" bestFit="1" customWidth="1"/>
    <col min="52" max="52" width="8.28515625" bestFit="1" customWidth="1"/>
    <col min="53" max="53" width="9.7109375" bestFit="1" customWidth="1"/>
    <col min="54" max="54" width="8.28515625" bestFit="1" customWidth="1"/>
    <col min="55" max="55" width="4.7109375" customWidth="1"/>
    <col min="56" max="56" width="14" bestFit="1" customWidth="1"/>
    <col min="57" max="57" width="8.28515625" bestFit="1" customWidth="1"/>
    <col min="58" max="58" width="8.140625" bestFit="1" customWidth="1"/>
    <col min="59" max="59" width="8.28515625" bestFit="1" customWidth="1"/>
    <col min="60" max="60" width="8.5703125" bestFit="1" customWidth="1"/>
    <col min="61" max="61" width="9.7109375" bestFit="1" customWidth="1"/>
    <col min="62" max="62" width="9.28515625" bestFit="1" customWidth="1"/>
  </cols>
  <sheetData>
    <row r="1" spans="1:48" ht="12.75" x14ac:dyDescent="0.2">
      <c r="A1" s="67" t="s">
        <v>214</v>
      </c>
    </row>
    <row r="2" spans="1:48" ht="12.75" x14ac:dyDescent="0.2">
      <c r="B2" s="45" t="s">
        <v>204</v>
      </c>
      <c r="C2" s="111"/>
      <c r="I2" s="45" t="s">
        <v>202</v>
      </c>
      <c r="Q2" s="45" t="s">
        <v>203</v>
      </c>
      <c r="S2" s="12"/>
      <c r="T2" s="12"/>
      <c r="U2" s="12"/>
      <c r="V2" s="12"/>
      <c r="W2" s="12"/>
      <c r="X2" s="12"/>
      <c r="Y2" s="12"/>
      <c r="Z2" s="12"/>
      <c r="AA2" s="132" t="s">
        <v>205</v>
      </c>
      <c r="AB2" s="46"/>
      <c r="AC2" s="46"/>
      <c r="AD2" s="46"/>
      <c r="AE2" s="46"/>
      <c r="AF2" s="46"/>
      <c r="AG2" s="132" t="s">
        <v>207</v>
      </c>
      <c r="AH2" s="46"/>
      <c r="AI2" s="46"/>
      <c r="AJ2" s="46"/>
      <c r="AK2" s="46"/>
      <c r="AL2" s="45"/>
      <c r="AM2" s="132" t="s">
        <v>208</v>
      </c>
      <c r="AN2" s="12"/>
      <c r="AO2" s="12"/>
      <c r="AP2" s="12"/>
      <c r="AQ2" s="12"/>
      <c r="AS2" s="132" t="s">
        <v>206</v>
      </c>
    </row>
    <row r="3" spans="1:48" ht="12.75" x14ac:dyDescent="0.2">
      <c r="B3" s="57" t="s">
        <v>209</v>
      </c>
      <c r="C3" s="28" t="s">
        <v>190</v>
      </c>
      <c r="D3" s="57" t="s">
        <v>191</v>
      </c>
      <c r="E3" s="28" t="s">
        <v>192</v>
      </c>
      <c r="F3" s="28" t="s">
        <v>193</v>
      </c>
      <c r="G3" s="57" t="s">
        <v>112</v>
      </c>
      <c r="H3" s="103"/>
      <c r="I3" s="28" t="s">
        <v>76</v>
      </c>
      <c r="J3" s="28" t="s">
        <v>4</v>
      </c>
      <c r="K3" s="57" t="s">
        <v>0</v>
      </c>
      <c r="L3" s="57" t="s">
        <v>1</v>
      </c>
      <c r="M3" s="28" t="s">
        <v>191</v>
      </c>
      <c r="N3" s="28" t="s">
        <v>192</v>
      </c>
      <c r="O3" s="28" t="s">
        <v>193</v>
      </c>
      <c r="Q3" s="28"/>
      <c r="R3" s="28" t="s">
        <v>76</v>
      </c>
      <c r="S3" s="28" t="s">
        <v>4</v>
      </c>
      <c r="T3" s="57" t="s">
        <v>0</v>
      </c>
      <c r="U3" s="28" t="s">
        <v>62</v>
      </c>
      <c r="V3" s="57" t="s">
        <v>222</v>
      </c>
      <c r="W3" s="57" t="s">
        <v>190</v>
      </c>
      <c r="X3" s="57" t="s">
        <v>194</v>
      </c>
      <c r="Y3" s="28" t="s">
        <v>195</v>
      </c>
      <c r="Z3" s="12"/>
      <c r="AA3" s="28" t="s">
        <v>0</v>
      </c>
      <c r="AB3" s="28" t="s">
        <v>196</v>
      </c>
      <c r="AC3" s="57" t="s">
        <v>1</v>
      </c>
      <c r="AD3" s="57" t="s">
        <v>197</v>
      </c>
      <c r="AE3" s="57" t="s">
        <v>198</v>
      </c>
      <c r="AF3" s="60"/>
      <c r="AG3" s="28" t="s">
        <v>0</v>
      </c>
      <c r="AH3" s="28" t="s">
        <v>196</v>
      </c>
      <c r="AI3" s="57" t="s">
        <v>1</v>
      </c>
      <c r="AJ3" s="57" t="s">
        <v>197</v>
      </c>
      <c r="AK3" s="57" t="s">
        <v>198</v>
      </c>
      <c r="AM3" s="28" t="s">
        <v>0</v>
      </c>
      <c r="AN3" s="28" t="s">
        <v>196</v>
      </c>
      <c r="AO3" s="57" t="s">
        <v>1</v>
      </c>
      <c r="AP3" s="57" t="s">
        <v>197</v>
      </c>
      <c r="AQ3" s="57" t="s">
        <v>198</v>
      </c>
      <c r="AS3" s="57" t="s">
        <v>199</v>
      </c>
      <c r="AT3" s="28" t="s">
        <v>191</v>
      </c>
      <c r="AU3" s="28" t="s">
        <v>192</v>
      </c>
      <c r="AV3" s="28" t="s">
        <v>193</v>
      </c>
    </row>
    <row r="4" spans="1:48" ht="12.75" x14ac:dyDescent="0.2">
      <c r="A4" s="45" t="s">
        <v>200</v>
      </c>
      <c r="B4" s="52">
        <v>100</v>
      </c>
      <c r="C4" s="54">
        <v>0.02</v>
      </c>
      <c r="D4" s="126">
        <v>0.04</v>
      </c>
      <c r="E4" s="97">
        <v>0.08</v>
      </c>
      <c r="F4" s="97">
        <v>0.16</v>
      </c>
      <c r="G4" s="97">
        <v>0.01</v>
      </c>
      <c r="H4" s="97"/>
      <c r="I4" s="135" t="s">
        <v>75</v>
      </c>
      <c r="J4" s="135" t="s">
        <v>78</v>
      </c>
      <c r="K4" s="52">
        <v>100</v>
      </c>
      <c r="L4" s="52">
        <v>200</v>
      </c>
      <c r="M4" s="126">
        <v>0.5</v>
      </c>
      <c r="N4" s="97">
        <v>0.3</v>
      </c>
      <c r="O4" s="97">
        <v>0.2</v>
      </c>
      <c r="Q4" s="45" t="s">
        <v>216</v>
      </c>
      <c r="R4" s="45" t="s">
        <v>75</v>
      </c>
      <c r="S4" s="133" t="s">
        <v>78</v>
      </c>
      <c r="T4" s="124">
        <f>K4</f>
        <v>100</v>
      </c>
      <c r="U4" s="30">
        <f>V4/T4</f>
        <v>2</v>
      </c>
      <c r="V4" s="124">
        <f>L4</f>
        <v>200</v>
      </c>
      <c r="W4" s="124">
        <f>T4 * (1 - ABS(C4))</f>
        <v>98</v>
      </c>
      <c r="X4" s="154" t="s">
        <v>34</v>
      </c>
      <c r="Y4" s="154" t="s">
        <v>34</v>
      </c>
      <c r="Z4" s="12"/>
      <c r="AA4" s="124">
        <f>T4</f>
        <v>100</v>
      </c>
      <c r="AB4" s="30">
        <f>U4*M4</f>
        <v>1</v>
      </c>
      <c r="AC4" s="125">
        <f>V4*M4</f>
        <v>100</v>
      </c>
      <c r="AD4" s="125">
        <f>T4 * (1 + D4) / (1 - G4)</f>
        <v>105.05050505050505</v>
      </c>
      <c r="AE4" s="126">
        <f>(B4 - AD4) / AD4</f>
        <v>-4.8076923076923087E-2</v>
      </c>
      <c r="AF4" s="30"/>
      <c r="AG4" s="124">
        <f>T4</f>
        <v>100</v>
      </c>
      <c r="AH4" s="30">
        <f>U4*N4</f>
        <v>0.6</v>
      </c>
      <c r="AI4" s="125">
        <f>V4*N4</f>
        <v>60</v>
      </c>
      <c r="AJ4" s="125">
        <f>T4 * (1 + E4) / (1 - G4)</f>
        <v>109.09090909090909</v>
      </c>
      <c r="AK4" s="126">
        <f>(B4 - AJ4) / AJ4</f>
        <v>-8.3333333333333356E-2</v>
      </c>
      <c r="AM4" s="124">
        <f>T4</f>
        <v>100</v>
      </c>
      <c r="AN4" s="30">
        <f>U4*O4</f>
        <v>0.4</v>
      </c>
      <c r="AO4" s="125">
        <f>V4*O4</f>
        <v>40</v>
      </c>
      <c r="AP4" s="125">
        <f>T4 * (1 + F4) / (1 - G4)</f>
        <v>117.17171717171716</v>
      </c>
      <c r="AQ4" s="126">
        <f>(B4 - AP4) / AP4</f>
        <v>-0.14655172413793097</v>
      </c>
      <c r="AS4" s="32">
        <f>AB4+AH4+AN4</f>
        <v>2</v>
      </c>
      <c r="AT4" s="32">
        <f>AB4</f>
        <v>1</v>
      </c>
      <c r="AU4" s="32">
        <f>AH4</f>
        <v>0.6</v>
      </c>
      <c r="AV4" s="32">
        <f>AN4</f>
        <v>0.4</v>
      </c>
    </row>
    <row r="5" spans="1:48" ht="12.75" x14ac:dyDescent="0.2">
      <c r="A5" s="47" t="s">
        <v>210</v>
      </c>
      <c r="B5" s="40">
        <v>100</v>
      </c>
      <c r="C5" s="55">
        <v>0.02</v>
      </c>
      <c r="D5" s="131">
        <v>0.04</v>
      </c>
      <c r="E5" s="127">
        <v>0.08</v>
      </c>
      <c r="F5" s="127">
        <v>0.16</v>
      </c>
      <c r="G5" s="127">
        <v>0.01</v>
      </c>
      <c r="H5" s="127"/>
      <c r="I5" s="136" t="s">
        <v>75</v>
      </c>
      <c r="J5" s="136" t="s">
        <v>211</v>
      </c>
      <c r="K5" s="40">
        <v>100</v>
      </c>
      <c r="L5" s="40">
        <v>300</v>
      </c>
      <c r="M5" s="131">
        <v>0.5</v>
      </c>
      <c r="N5" s="127">
        <v>0.25</v>
      </c>
      <c r="O5" s="127">
        <v>0.25</v>
      </c>
      <c r="P5" s="35"/>
      <c r="Q5" s="47" t="s">
        <v>217</v>
      </c>
      <c r="R5" s="47" t="s">
        <v>75</v>
      </c>
      <c r="S5" s="134" t="s">
        <v>211</v>
      </c>
      <c r="T5" s="128">
        <f>K5</f>
        <v>100</v>
      </c>
      <c r="U5" s="43">
        <f>V5/T5</f>
        <v>3</v>
      </c>
      <c r="V5" s="128">
        <f>L5</f>
        <v>300</v>
      </c>
      <c r="W5" s="128">
        <f>T5 * (1 - ABS(C5))</f>
        <v>98</v>
      </c>
      <c r="X5" s="155" t="s">
        <v>34</v>
      </c>
      <c r="Y5" s="155" t="s">
        <v>34</v>
      </c>
      <c r="Z5" s="41"/>
      <c r="AA5" s="128">
        <f>T5</f>
        <v>100</v>
      </c>
      <c r="AB5" s="43">
        <f>AB4+(U5*M5)</f>
        <v>2.5</v>
      </c>
      <c r="AC5" s="130">
        <f>AC4+(V5*M5)</f>
        <v>250</v>
      </c>
      <c r="AD5" s="130">
        <f>T5 * (1 + D5) / (1 - G5)</f>
        <v>105.05050505050505</v>
      </c>
      <c r="AE5" s="131">
        <f>(B5 - AD5) / AD5</f>
        <v>-4.8076923076923087E-2</v>
      </c>
      <c r="AF5" s="43"/>
      <c r="AG5" s="128">
        <f>T5</f>
        <v>100</v>
      </c>
      <c r="AH5" s="43">
        <f>AH4+(U5*N5)</f>
        <v>1.35</v>
      </c>
      <c r="AI5" s="130">
        <f>AI4+(V5*N5)</f>
        <v>135</v>
      </c>
      <c r="AJ5" s="130">
        <f>T5 * (1 + E5) / (1 - G5)</f>
        <v>109.09090909090909</v>
      </c>
      <c r="AK5" s="131">
        <f>(B5 - AJ5) / AJ5</f>
        <v>-8.3333333333333356E-2</v>
      </c>
      <c r="AL5" s="35"/>
      <c r="AM5" s="128">
        <f>T5</f>
        <v>100</v>
      </c>
      <c r="AN5" s="43">
        <f>AN4+(U5*O5)</f>
        <v>1.1499999999999999</v>
      </c>
      <c r="AO5" s="130">
        <f>AO4+(V5*O5)</f>
        <v>115</v>
      </c>
      <c r="AP5" s="130">
        <f>T5 * (1 + F5) / (1 - G5)</f>
        <v>117.17171717171716</v>
      </c>
      <c r="AQ5" s="131">
        <f>(B5 - AP5) / AP5</f>
        <v>-0.14655172413793097</v>
      </c>
      <c r="AR5" s="35"/>
      <c r="AS5" s="39">
        <f>AB5+AH5+AN5</f>
        <v>5</v>
      </c>
      <c r="AT5" s="39">
        <f>AB5</f>
        <v>2.5</v>
      </c>
      <c r="AU5" s="39">
        <f>AH5</f>
        <v>1.35</v>
      </c>
      <c r="AV5" s="39">
        <f>AN5</f>
        <v>1.1499999999999999</v>
      </c>
    </row>
    <row r="6" spans="1:48" ht="12.75" x14ac:dyDescent="0.2">
      <c r="A6" s="47"/>
      <c r="B6" s="40"/>
      <c r="C6" s="55"/>
      <c r="D6" s="131"/>
      <c r="E6" s="127"/>
      <c r="F6" s="127"/>
      <c r="G6" s="127"/>
      <c r="H6" s="127"/>
      <c r="I6" s="136"/>
      <c r="J6" s="136"/>
      <c r="K6" s="40"/>
      <c r="L6" s="40"/>
      <c r="M6" s="131"/>
      <c r="N6" s="127"/>
      <c r="O6" s="127"/>
      <c r="P6" s="35"/>
      <c r="Q6" s="47" t="s">
        <v>216</v>
      </c>
      <c r="R6" s="47" t="s">
        <v>75</v>
      </c>
      <c r="S6" s="134" t="s">
        <v>78</v>
      </c>
      <c r="T6" s="128">
        <f>T4</f>
        <v>100</v>
      </c>
      <c r="U6" s="43">
        <f>U4</f>
        <v>2</v>
      </c>
      <c r="V6" s="128">
        <f>V4</f>
        <v>200</v>
      </c>
      <c r="W6" s="128">
        <f>W4</f>
        <v>98</v>
      </c>
      <c r="X6" s="155"/>
      <c r="Y6" s="155"/>
      <c r="Z6" s="41"/>
      <c r="AA6" s="128"/>
      <c r="AB6" s="43"/>
      <c r="AC6" s="130"/>
      <c r="AD6" s="130"/>
      <c r="AE6" s="131"/>
      <c r="AF6" s="43"/>
      <c r="AG6" s="128"/>
      <c r="AH6" s="43"/>
      <c r="AI6" s="130"/>
      <c r="AJ6" s="130"/>
      <c r="AK6" s="131"/>
      <c r="AL6" s="35"/>
      <c r="AM6" s="128"/>
      <c r="AN6" s="43"/>
      <c r="AO6" s="130"/>
      <c r="AP6" s="130"/>
      <c r="AQ6" s="131"/>
      <c r="AR6" s="35"/>
      <c r="AS6" s="39"/>
      <c r="AT6" s="39"/>
      <c r="AU6" s="39"/>
      <c r="AV6" s="39"/>
    </row>
    <row r="7" spans="1:48" ht="12.75" x14ac:dyDescent="0.2">
      <c r="A7" s="45" t="s">
        <v>201</v>
      </c>
      <c r="B7" s="52">
        <v>120</v>
      </c>
      <c r="C7" s="54">
        <v>0.02</v>
      </c>
      <c r="D7" s="126">
        <v>0.04</v>
      </c>
      <c r="E7" s="97">
        <v>0.08</v>
      </c>
      <c r="F7" s="97">
        <v>0.16</v>
      </c>
      <c r="G7" s="97">
        <v>0.01</v>
      </c>
      <c r="H7" s="97"/>
      <c r="I7" s="135" t="s">
        <v>75</v>
      </c>
      <c r="J7" s="135" t="s">
        <v>215</v>
      </c>
      <c r="K7" s="52">
        <v>120</v>
      </c>
      <c r="L7" s="52">
        <v>400</v>
      </c>
      <c r="M7" s="126">
        <v>0.5</v>
      </c>
      <c r="N7" s="97">
        <v>0.5</v>
      </c>
      <c r="O7" s="97">
        <v>0</v>
      </c>
      <c r="Q7" s="45" t="s">
        <v>218</v>
      </c>
      <c r="R7" s="45" t="s">
        <v>75</v>
      </c>
      <c r="S7" s="132" t="s">
        <v>215</v>
      </c>
      <c r="T7" s="124">
        <f>K7</f>
        <v>120</v>
      </c>
      <c r="U7" s="30">
        <f>V7/T7</f>
        <v>3.3333333333333335</v>
      </c>
      <c r="V7" s="124">
        <f>L7</f>
        <v>400</v>
      </c>
      <c r="W7" s="124">
        <f>T7 * (1 - ABS(C7))</f>
        <v>117.6</v>
      </c>
      <c r="X7" s="154" t="s">
        <v>34</v>
      </c>
      <c r="Y7" s="154" t="s">
        <v>34</v>
      </c>
      <c r="Z7" s="12"/>
      <c r="AA7" s="124">
        <f>T7</f>
        <v>120</v>
      </c>
      <c r="AB7" s="30">
        <f>U7*M7</f>
        <v>1.6666666666666667</v>
      </c>
      <c r="AC7" s="125">
        <f>V7*M7</f>
        <v>200</v>
      </c>
      <c r="AD7" s="125">
        <f>T7 * (1 + D7) / (1 - G7)</f>
        <v>126.06060606060608</v>
      </c>
      <c r="AE7" s="126">
        <f>(B7 - AD7) / AD7</f>
        <v>-4.8076923076923198E-2</v>
      </c>
      <c r="AF7" s="30"/>
      <c r="AG7" s="124">
        <f>T7</f>
        <v>120</v>
      </c>
      <c r="AH7" s="30">
        <f>U7*M7</f>
        <v>1.6666666666666667</v>
      </c>
      <c r="AI7" s="125">
        <f>V7*M7</f>
        <v>200</v>
      </c>
      <c r="AJ7" s="125">
        <f>T7 * (1 + E7) / (1 - G7)</f>
        <v>130.90909090909093</v>
      </c>
      <c r="AK7" s="126">
        <f>(B7 - AJ7) / AJ7</f>
        <v>-8.3333333333333509E-2</v>
      </c>
      <c r="AM7" s="124">
        <v>100</v>
      </c>
      <c r="AN7" s="30">
        <v>1.1499999999999999</v>
      </c>
      <c r="AO7" s="125">
        <v>115</v>
      </c>
      <c r="AP7" s="125">
        <v>117.17171717171716</v>
      </c>
      <c r="AQ7" s="126">
        <f>(B7 - AP7) / AP7</f>
        <v>2.4137931034482842E-2</v>
      </c>
      <c r="AS7" s="32">
        <f>AT7+AU7+AV7</f>
        <v>8.3333333333333339</v>
      </c>
      <c r="AT7" s="32">
        <f>AB8+AB7</f>
        <v>4.166666666666667</v>
      </c>
      <c r="AU7" s="32">
        <f>AH7+AH8</f>
        <v>3.0166666666666666</v>
      </c>
      <c r="AV7" s="32">
        <f>AN7</f>
        <v>1.1499999999999999</v>
      </c>
    </row>
    <row r="8" spans="1:48" ht="12.75" x14ac:dyDescent="0.2">
      <c r="B8" s="52"/>
      <c r="C8" s="97"/>
      <c r="H8" s="97"/>
      <c r="I8" s="97"/>
      <c r="J8" s="97"/>
      <c r="K8" s="52"/>
      <c r="L8" s="52"/>
      <c r="M8" s="97"/>
      <c r="N8" s="97"/>
      <c r="O8" s="97"/>
      <c r="Q8" s="46" t="s">
        <v>217</v>
      </c>
      <c r="R8" s="46" t="s">
        <v>75</v>
      </c>
      <c r="S8" s="132" t="s">
        <v>211</v>
      </c>
      <c r="T8" s="124">
        <f>T5</f>
        <v>100</v>
      </c>
      <c r="U8" s="30">
        <f>U5</f>
        <v>3</v>
      </c>
      <c r="V8" s="124">
        <f>V5</f>
        <v>300</v>
      </c>
      <c r="W8" s="124">
        <f>W5</f>
        <v>98</v>
      </c>
      <c r="X8" s="154" t="s">
        <v>34</v>
      </c>
      <c r="Y8" s="154" t="s">
        <v>34</v>
      </c>
      <c r="Z8" s="12"/>
      <c r="AA8" s="124">
        <f>AA5</f>
        <v>100</v>
      </c>
      <c r="AB8" s="30">
        <f>AB5</f>
        <v>2.5</v>
      </c>
      <c r="AC8" s="125">
        <f>AC5</f>
        <v>250</v>
      </c>
      <c r="AD8" s="125">
        <f>AD5</f>
        <v>105.05050505050505</v>
      </c>
      <c r="AE8" s="126">
        <f>(B7 - AD8) / AD8</f>
        <v>0.1423076923076923</v>
      </c>
      <c r="AF8" s="30"/>
      <c r="AG8" s="63">
        <f>AG5</f>
        <v>100</v>
      </c>
      <c r="AH8" s="32">
        <f>AH5</f>
        <v>1.35</v>
      </c>
      <c r="AI8" s="63">
        <f>AI5</f>
        <v>135</v>
      </c>
      <c r="AJ8" s="63">
        <f>AJ5</f>
        <v>109.09090909090909</v>
      </c>
      <c r="AK8" s="54">
        <f>(B10 - AJ8) / AJ8</f>
        <v>9.9999999999999978E-2</v>
      </c>
      <c r="AM8" s="154" t="s">
        <v>34</v>
      </c>
      <c r="AN8" s="157" t="s">
        <v>34</v>
      </c>
      <c r="AO8" s="157" t="s">
        <v>34</v>
      </c>
      <c r="AP8" s="157" t="s">
        <v>34</v>
      </c>
      <c r="AQ8" s="157" t="s">
        <v>34</v>
      </c>
    </row>
    <row r="9" spans="1:48" ht="12.75" x14ac:dyDescent="0.2">
      <c r="B9" s="52"/>
      <c r="C9" s="97"/>
      <c r="D9" s="29"/>
      <c r="E9" s="50"/>
      <c r="G9" s="50"/>
      <c r="H9" s="50"/>
      <c r="I9" s="50"/>
      <c r="J9" s="50"/>
      <c r="K9" s="52"/>
      <c r="L9" s="52"/>
      <c r="M9" s="50"/>
      <c r="N9" s="50"/>
      <c r="O9" s="50"/>
      <c r="Q9" s="46" t="s">
        <v>216</v>
      </c>
      <c r="R9" s="46" t="s">
        <v>75</v>
      </c>
      <c r="S9" s="132" t="s">
        <v>78</v>
      </c>
      <c r="T9" s="124">
        <f>T4</f>
        <v>100</v>
      </c>
      <c r="U9" s="30">
        <f>U4</f>
        <v>2</v>
      </c>
      <c r="V9" s="124">
        <f>V4</f>
        <v>200</v>
      </c>
      <c r="W9" s="124">
        <f>W4</f>
        <v>98</v>
      </c>
      <c r="X9" s="154" t="s">
        <v>34</v>
      </c>
      <c r="Y9" s="154" t="s">
        <v>34</v>
      </c>
      <c r="Z9" s="12"/>
      <c r="AA9" s="63"/>
      <c r="AF9" s="30"/>
      <c r="AG9" s="13"/>
      <c r="AH9" s="13"/>
      <c r="AI9" s="13"/>
      <c r="AJ9" s="13"/>
      <c r="AK9" s="30"/>
      <c r="AM9" s="124"/>
      <c r="AN9" s="13"/>
      <c r="AO9" s="13"/>
      <c r="AP9" s="13"/>
      <c r="AQ9" s="30"/>
    </row>
    <row r="10" spans="1:48" ht="12.75" x14ac:dyDescent="0.2">
      <c r="A10" s="47" t="s">
        <v>212</v>
      </c>
      <c r="B10" s="40">
        <v>120</v>
      </c>
      <c r="C10" s="55">
        <v>0.02</v>
      </c>
      <c r="D10" s="131">
        <v>0.04</v>
      </c>
      <c r="E10" s="127">
        <v>0.08</v>
      </c>
      <c r="F10" s="127">
        <v>0.16</v>
      </c>
      <c r="G10" s="127">
        <v>0.01</v>
      </c>
      <c r="H10" s="35"/>
      <c r="I10" s="35" t="s">
        <v>75</v>
      </c>
      <c r="J10" s="35" t="s">
        <v>78</v>
      </c>
      <c r="K10" s="40">
        <v>130</v>
      </c>
      <c r="L10" s="40">
        <v>600</v>
      </c>
      <c r="M10" s="131">
        <v>0.4</v>
      </c>
      <c r="N10" s="127">
        <v>0.5</v>
      </c>
      <c r="O10" s="127">
        <v>0.1</v>
      </c>
      <c r="P10" s="35"/>
      <c r="Q10" s="41" t="s">
        <v>218</v>
      </c>
      <c r="R10" s="41" t="s">
        <v>75</v>
      </c>
      <c r="S10" s="41" t="s">
        <v>215</v>
      </c>
      <c r="T10" s="137">
        <f t="shared" ref="T10:V11" si="0">T7</f>
        <v>120</v>
      </c>
      <c r="U10" s="138">
        <f t="shared" si="0"/>
        <v>3.3333333333333335</v>
      </c>
      <c r="V10" s="137">
        <f t="shared" si="0"/>
        <v>400</v>
      </c>
      <c r="W10" s="137">
        <f>W7</f>
        <v>117.6</v>
      </c>
      <c r="X10" s="155" t="s">
        <v>34</v>
      </c>
      <c r="Y10" s="155" t="s">
        <v>34</v>
      </c>
      <c r="Z10" s="41"/>
      <c r="AA10" s="144">
        <f>T12</f>
        <v>130</v>
      </c>
      <c r="AB10" s="143">
        <f>U12*M10</f>
        <v>1.846153846153846</v>
      </c>
      <c r="AC10" s="144">
        <f>V12*M10</f>
        <v>240</v>
      </c>
      <c r="AD10" s="144">
        <f>T12 * (1 + D10) / (1 - G10)</f>
        <v>136.56565656565658</v>
      </c>
      <c r="AE10" s="145">
        <f>(B10 - AD10) / AD10</f>
        <v>-0.1213017751479291</v>
      </c>
      <c r="AF10" s="143"/>
      <c r="AG10" s="144">
        <f>T12</f>
        <v>130</v>
      </c>
      <c r="AH10" s="143">
        <f>U12*N10</f>
        <v>2.3076923076923075</v>
      </c>
      <c r="AI10" s="144">
        <f>V12*N10</f>
        <v>300</v>
      </c>
      <c r="AJ10" s="144">
        <f>T12 * (1 + E10) / (1 - G10)</f>
        <v>141.81818181818181</v>
      </c>
      <c r="AK10" s="145">
        <f>(B10 - AJ10) / AJ10</f>
        <v>-0.15384615384615383</v>
      </c>
      <c r="AL10" s="47"/>
      <c r="AM10" s="144">
        <f>T12</f>
        <v>130</v>
      </c>
      <c r="AN10" s="143">
        <f>U12*O10</f>
        <v>0.46153846153846151</v>
      </c>
      <c r="AO10" s="144">
        <f>V12*O10</f>
        <v>60</v>
      </c>
      <c r="AP10" s="144">
        <f>T12 * (1 + F10) / (1 - G10)</f>
        <v>152.3232323232323</v>
      </c>
      <c r="AQ10" s="131">
        <f>(B10 - AP10) / AP10</f>
        <v>-0.21220159151193624</v>
      </c>
      <c r="AR10" s="47"/>
      <c r="AS10" s="147">
        <f>AT10+AU10+AV10</f>
        <v>10.948717948717949</v>
      </c>
      <c r="AT10" s="147">
        <f>AB10+AB11+AB12</f>
        <v>5.0128205128205128</v>
      </c>
      <c r="AU10" s="147">
        <f>AH10+AH11+AH12</f>
        <v>4.7243589743589745</v>
      </c>
      <c r="AV10" s="147">
        <f>AN10+AN12</f>
        <v>1.2115384615384615</v>
      </c>
    </row>
    <row r="11" spans="1:48" ht="12.75" x14ac:dyDescent="0.2">
      <c r="A11" s="45"/>
      <c r="B11" s="52"/>
      <c r="C11" s="97"/>
      <c r="D11" s="126"/>
      <c r="E11" s="97"/>
      <c r="F11" s="97"/>
      <c r="G11" s="97"/>
      <c r="K11" s="52"/>
      <c r="L11" s="52"/>
      <c r="M11" s="126"/>
      <c r="N11" s="97"/>
      <c r="O11" s="97"/>
      <c r="Q11" s="41" t="s">
        <v>217</v>
      </c>
      <c r="R11" s="41" t="s">
        <v>75</v>
      </c>
      <c r="S11" s="41" t="s">
        <v>211</v>
      </c>
      <c r="T11" s="137">
        <f t="shared" si="0"/>
        <v>100</v>
      </c>
      <c r="U11" s="138">
        <f t="shared" si="0"/>
        <v>3</v>
      </c>
      <c r="V11" s="137">
        <f t="shared" si="0"/>
        <v>300</v>
      </c>
      <c r="W11" s="137">
        <f>W8</f>
        <v>98</v>
      </c>
      <c r="X11" s="155" t="s">
        <v>34</v>
      </c>
      <c r="Y11" s="155" t="s">
        <v>34</v>
      </c>
      <c r="Z11" s="41"/>
      <c r="AA11" s="144">
        <f>T10</f>
        <v>120</v>
      </c>
      <c r="AB11" s="143">
        <f>AB7</f>
        <v>1.6666666666666667</v>
      </c>
      <c r="AC11" s="144">
        <f>AC7</f>
        <v>200</v>
      </c>
      <c r="AD11" s="130">
        <f>AD7</f>
        <v>126.06060606060608</v>
      </c>
      <c r="AE11" s="131">
        <f>AE7</f>
        <v>-4.8076923076923198E-2</v>
      </c>
      <c r="AF11" s="143"/>
      <c r="AG11" s="144">
        <f>AG7</f>
        <v>120</v>
      </c>
      <c r="AH11" s="143">
        <f>AH7</f>
        <v>1.6666666666666667</v>
      </c>
      <c r="AI11" s="144">
        <f>AI7</f>
        <v>200</v>
      </c>
      <c r="AJ11" s="144">
        <f>AJ7</f>
        <v>130.90909090909093</v>
      </c>
      <c r="AK11" s="131">
        <f>AK7</f>
        <v>-8.3333333333333509E-2</v>
      </c>
      <c r="AL11" s="47"/>
      <c r="AM11" s="129" t="s">
        <v>34</v>
      </c>
      <c r="AN11" s="146" t="s">
        <v>34</v>
      </c>
      <c r="AO11" s="146" t="s">
        <v>34</v>
      </c>
      <c r="AP11" s="146" t="s">
        <v>34</v>
      </c>
      <c r="AQ11" s="146" t="s">
        <v>34</v>
      </c>
      <c r="AR11" s="47"/>
      <c r="AS11" s="47"/>
      <c r="AT11" s="147"/>
      <c r="AU11" s="147"/>
      <c r="AV11" s="147"/>
    </row>
    <row r="12" spans="1:48" ht="12.75" x14ac:dyDescent="0.2">
      <c r="A12" s="45"/>
      <c r="B12" s="52"/>
      <c r="C12" s="97"/>
      <c r="D12" s="126"/>
      <c r="E12" s="97"/>
      <c r="F12" s="97"/>
      <c r="G12" s="97"/>
      <c r="K12" s="52"/>
      <c r="L12" s="52"/>
      <c r="M12" s="126"/>
      <c r="N12" s="97"/>
      <c r="O12" s="97"/>
      <c r="Q12" s="41" t="s">
        <v>216</v>
      </c>
      <c r="R12" s="41" t="s">
        <v>75</v>
      </c>
      <c r="S12" s="41" t="s">
        <v>78</v>
      </c>
      <c r="T12" s="137">
        <f>K10</f>
        <v>130</v>
      </c>
      <c r="U12" s="138">
        <f>V12/T12</f>
        <v>4.615384615384615</v>
      </c>
      <c r="V12" s="137">
        <f>L10</f>
        <v>600</v>
      </c>
      <c r="W12" s="137">
        <f>T12 * (1 - ABS(C10))</f>
        <v>127.39999999999999</v>
      </c>
      <c r="X12" s="155" t="s">
        <v>34</v>
      </c>
      <c r="Y12" s="155" t="s">
        <v>34</v>
      </c>
      <c r="Z12" s="41"/>
      <c r="AA12" s="144">
        <f>T11</f>
        <v>100</v>
      </c>
      <c r="AB12" s="143">
        <f>AB8-AB4</f>
        <v>1.5</v>
      </c>
      <c r="AC12" s="144">
        <f>V11*M5</f>
        <v>150</v>
      </c>
      <c r="AD12" s="130">
        <f>T11 * (1 + D10) / (1 - G10)</f>
        <v>105.05050505050505</v>
      </c>
      <c r="AE12" s="131">
        <f>AE8</f>
        <v>0.1423076923076923</v>
      </c>
      <c r="AF12" s="143"/>
      <c r="AG12" s="144">
        <f>T11</f>
        <v>100</v>
      </c>
      <c r="AH12" s="143">
        <f>U11*N5</f>
        <v>0.75</v>
      </c>
      <c r="AI12" s="144">
        <f>V11*N5</f>
        <v>75</v>
      </c>
      <c r="AJ12" s="144">
        <f>T11 * (1 + E10) / (1 - G10)</f>
        <v>109.09090909090909</v>
      </c>
      <c r="AK12" s="55">
        <f>(B10 - AJ12) / AJ12</f>
        <v>9.9999999999999978E-2</v>
      </c>
      <c r="AL12" s="47"/>
      <c r="AM12" s="144">
        <f>T11</f>
        <v>100</v>
      </c>
      <c r="AN12" s="143">
        <f>U11*O5</f>
        <v>0.75</v>
      </c>
      <c r="AO12" s="144">
        <f>V11*O5</f>
        <v>75</v>
      </c>
      <c r="AP12" s="144">
        <f>T11 * (1 + F10) / (1 - G10)</f>
        <v>117.17171717171716</v>
      </c>
      <c r="AQ12" s="131">
        <f>(B10 - AP12) / AP12</f>
        <v>2.4137931034482842E-2</v>
      </c>
      <c r="AR12" s="47"/>
      <c r="AS12" s="47"/>
      <c r="AT12" s="147"/>
      <c r="AU12" s="147"/>
      <c r="AV12" s="147"/>
    </row>
    <row r="13" spans="1:48" ht="12.75" x14ac:dyDescent="0.2">
      <c r="A13" s="45" t="s">
        <v>213</v>
      </c>
      <c r="B13" s="52">
        <v>90</v>
      </c>
      <c r="C13" s="54">
        <v>0.02</v>
      </c>
      <c r="D13" s="126">
        <v>0.04</v>
      </c>
      <c r="E13" s="97">
        <v>0.08</v>
      </c>
      <c r="F13" s="97">
        <v>0.16</v>
      </c>
      <c r="G13" s="97">
        <v>0.01</v>
      </c>
      <c r="I13" s="148" t="s">
        <v>75</v>
      </c>
      <c r="J13" s="148" t="s">
        <v>78</v>
      </c>
      <c r="K13" s="149">
        <v>130</v>
      </c>
      <c r="L13" s="149">
        <v>600</v>
      </c>
      <c r="M13" s="150">
        <v>0.4</v>
      </c>
      <c r="N13" s="151">
        <v>0.5</v>
      </c>
      <c r="O13" s="151">
        <v>0.1</v>
      </c>
      <c r="Q13" s="12" t="s">
        <v>218</v>
      </c>
      <c r="R13" s="46" t="s">
        <v>75</v>
      </c>
      <c r="S13" s="12" t="str">
        <f t="shared" ref="S13:W14" si="1">S10</f>
        <v>Entry Target</v>
      </c>
      <c r="T13" s="139">
        <f t="shared" si="1"/>
        <v>120</v>
      </c>
      <c r="U13" s="140">
        <f t="shared" si="1"/>
        <v>3.3333333333333335</v>
      </c>
      <c r="V13" s="139">
        <f t="shared" si="1"/>
        <v>400</v>
      </c>
      <c r="W13" s="139">
        <f t="shared" si="1"/>
        <v>117.6</v>
      </c>
      <c r="X13" s="154" t="s">
        <v>34</v>
      </c>
      <c r="Y13" s="154" t="s">
        <v>34</v>
      </c>
      <c r="Z13" s="12"/>
      <c r="AA13" s="124">
        <f>T13</f>
        <v>120</v>
      </c>
      <c r="AB13" s="30">
        <f>U13*M7</f>
        <v>1.6666666666666667</v>
      </c>
      <c r="AC13" s="125">
        <f>V13*M7</f>
        <v>200</v>
      </c>
      <c r="AD13" s="125">
        <f>T13 * (1 + D13) / (1 - G13)</f>
        <v>126.06060606060608</v>
      </c>
      <c r="AE13" s="126">
        <f>(B13 - AD13) / AD13</f>
        <v>-0.2860576923076924</v>
      </c>
      <c r="AF13" s="142"/>
      <c r="AG13" s="124">
        <f>T13</f>
        <v>120</v>
      </c>
      <c r="AH13" s="30">
        <f>U13*N7</f>
        <v>1.6666666666666667</v>
      </c>
      <c r="AI13" s="125">
        <f>V13*N7</f>
        <v>200</v>
      </c>
      <c r="AJ13" s="125">
        <f>T13 * (1 + E13) / (1 - G13)</f>
        <v>130.90909090909093</v>
      </c>
      <c r="AK13" s="126">
        <f>(B13 - AJ13) / AJ13</f>
        <v>-0.31250000000000011</v>
      </c>
      <c r="AM13" s="154" t="s">
        <v>34</v>
      </c>
      <c r="AN13" s="157" t="s">
        <v>34</v>
      </c>
      <c r="AO13" s="157" t="s">
        <v>34</v>
      </c>
      <c r="AP13" s="157" t="s">
        <v>34</v>
      </c>
      <c r="AQ13" s="157" t="s">
        <v>34</v>
      </c>
      <c r="AS13" s="32">
        <f>AT13+AU13+AV13</f>
        <v>6.3333333333333339</v>
      </c>
      <c r="AT13" s="32">
        <f>AB13+AB14</f>
        <v>3.166666666666667</v>
      </c>
      <c r="AU13" s="32">
        <f>AH13+AH14</f>
        <v>2.416666666666667</v>
      </c>
      <c r="AV13" s="32">
        <f>AN14</f>
        <v>0.75</v>
      </c>
    </row>
    <row r="14" spans="1:48" ht="12.75" x14ac:dyDescent="0.2">
      <c r="A14" s="45"/>
      <c r="B14" s="33"/>
      <c r="C14" s="68"/>
      <c r="D14" s="126"/>
      <c r="E14" s="97"/>
      <c r="F14" s="97"/>
      <c r="G14" s="97"/>
      <c r="K14" s="33"/>
      <c r="L14" s="33"/>
      <c r="M14" s="126"/>
      <c r="N14" s="97"/>
      <c r="O14" s="97"/>
      <c r="Q14" s="12" t="s">
        <v>217</v>
      </c>
      <c r="R14" s="12" t="str">
        <f>R11</f>
        <v>Buy</v>
      </c>
      <c r="S14" s="12" t="str">
        <f t="shared" si="1"/>
        <v>Custom</v>
      </c>
      <c r="T14" s="139">
        <f t="shared" si="1"/>
        <v>100</v>
      </c>
      <c r="U14" s="140">
        <f t="shared" si="1"/>
        <v>3</v>
      </c>
      <c r="V14" s="139">
        <f t="shared" si="1"/>
        <v>300</v>
      </c>
      <c r="W14" s="139">
        <f t="shared" si="1"/>
        <v>98</v>
      </c>
      <c r="X14" s="154" t="s">
        <v>34</v>
      </c>
      <c r="Y14" s="154" t="s">
        <v>34</v>
      </c>
      <c r="Z14" s="12"/>
      <c r="AA14" s="124">
        <f>T14</f>
        <v>100</v>
      </c>
      <c r="AB14" s="30">
        <f>U14*M4</f>
        <v>1.5</v>
      </c>
      <c r="AC14" s="125">
        <f>V14*M4</f>
        <v>150</v>
      </c>
      <c r="AD14" s="125">
        <f>T14 * (1 + D13) / (1 - G13)</f>
        <v>105.05050505050505</v>
      </c>
      <c r="AE14" s="126">
        <f>(B13 - AD14) / AD14</f>
        <v>-0.14326923076923079</v>
      </c>
      <c r="AF14" s="142"/>
      <c r="AG14" s="63">
        <f>T14</f>
        <v>100</v>
      </c>
      <c r="AH14" s="32">
        <f>U14*N5</f>
        <v>0.75</v>
      </c>
      <c r="AI14" s="63">
        <f>V14*N5</f>
        <v>75</v>
      </c>
      <c r="AJ14" s="63">
        <f>AJ12</f>
        <v>109.09090909090909</v>
      </c>
      <c r="AK14" s="54">
        <f>(B13 - AJ14) / AJ14</f>
        <v>-0.17500000000000002</v>
      </c>
      <c r="AM14" s="124">
        <f>T14</f>
        <v>100</v>
      </c>
      <c r="AN14" s="30">
        <f>U14*O5</f>
        <v>0.75</v>
      </c>
      <c r="AO14" s="125">
        <f>V14*O5</f>
        <v>75</v>
      </c>
      <c r="AP14" s="125">
        <v>117.17171717171716</v>
      </c>
      <c r="AQ14" s="126">
        <f>(B13 - AP14) / AP14</f>
        <v>-0.23189655172413787</v>
      </c>
    </row>
    <row r="15" spans="1:48" ht="12.75" x14ac:dyDescent="0.2">
      <c r="A15" s="45"/>
      <c r="B15" s="33"/>
      <c r="C15" s="68"/>
      <c r="D15" s="126"/>
      <c r="E15" s="97"/>
      <c r="F15" s="97"/>
      <c r="G15" s="97"/>
      <c r="K15" s="33"/>
      <c r="L15" s="33"/>
      <c r="M15" s="126"/>
      <c r="N15" s="97"/>
      <c r="O15" s="97"/>
      <c r="Q15" s="12"/>
      <c r="R15" s="12"/>
      <c r="S15" s="12"/>
      <c r="T15" s="139"/>
      <c r="U15" s="140"/>
      <c r="V15" s="139"/>
      <c r="W15" s="139"/>
      <c r="X15" s="156"/>
      <c r="Y15" s="156"/>
      <c r="Z15" s="12"/>
      <c r="AA15" s="141"/>
      <c r="AB15" s="141"/>
      <c r="AC15" s="141"/>
      <c r="AD15" s="141"/>
      <c r="AE15" s="142"/>
      <c r="AF15" s="142"/>
      <c r="AG15" s="141"/>
      <c r="AH15" s="141"/>
      <c r="AI15" s="141"/>
      <c r="AJ15" s="141"/>
      <c r="AK15" s="142"/>
      <c r="AM15" s="141"/>
      <c r="AN15" s="141"/>
      <c r="AO15" s="141"/>
      <c r="AP15" s="141"/>
      <c r="AQ15" s="142"/>
    </row>
    <row r="16" spans="1:48" ht="12.75" x14ac:dyDescent="0.2">
      <c r="A16" s="67" t="s">
        <v>219</v>
      </c>
      <c r="B16" s="33"/>
      <c r="C16" s="68"/>
      <c r="D16" s="126"/>
      <c r="E16" s="97"/>
      <c r="F16" s="97"/>
      <c r="G16" s="97"/>
      <c r="K16" s="33"/>
      <c r="L16" s="33"/>
      <c r="M16" s="126"/>
      <c r="N16" s="97"/>
      <c r="O16" s="97"/>
      <c r="Q16" s="12"/>
      <c r="R16" s="12"/>
      <c r="S16" s="12"/>
      <c r="T16" s="139"/>
      <c r="U16" s="140"/>
      <c r="V16" s="139"/>
      <c r="W16" s="139"/>
      <c r="X16" s="12"/>
      <c r="Y16" s="12"/>
      <c r="Z16" s="12"/>
      <c r="AA16" s="141"/>
      <c r="AB16" s="141"/>
      <c r="AC16" s="141"/>
      <c r="AD16" s="141"/>
      <c r="AE16" s="142"/>
      <c r="AF16" s="142"/>
      <c r="AG16" s="141"/>
      <c r="AH16" s="141"/>
      <c r="AI16" s="141"/>
      <c r="AJ16" s="141"/>
      <c r="AK16" s="142"/>
      <c r="AM16" s="141"/>
      <c r="AN16" s="141"/>
      <c r="AO16" s="141"/>
      <c r="AP16" s="141"/>
      <c r="AQ16" s="142"/>
    </row>
    <row r="17" spans="1:48" ht="12.75" x14ac:dyDescent="0.2">
      <c r="B17" s="45" t="s">
        <v>204</v>
      </c>
      <c r="C17" s="111"/>
      <c r="I17" s="45" t="s">
        <v>202</v>
      </c>
      <c r="Q17" s="45" t="s">
        <v>203</v>
      </c>
      <c r="S17" s="12"/>
      <c r="T17" s="12"/>
      <c r="U17" s="12"/>
      <c r="V17" s="12"/>
      <c r="W17" s="12"/>
      <c r="X17" s="12"/>
      <c r="Y17" s="12"/>
      <c r="Z17" s="12"/>
      <c r="AA17" s="132" t="s">
        <v>205</v>
      </c>
      <c r="AB17" s="46"/>
      <c r="AC17" s="46"/>
      <c r="AD17" s="46"/>
      <c r="AE17" s="46"/>
      <c r="AF17" s="46"/>
      <c r="AG17" s="132" t="s">
        <v>207</v>
      </c>
      <c r="AH17" s="46"/>
      <c r="AI17" s="46"/>
      <c r="AJ17" s="46"/>
      <c r="AK17" s="46"/>
      <c r="AL17" s="45"/>
      <c r="AM17" s="132" t="s">
        <v>208</v>
      </c>
      <c r="AN17" s="12"/>
      <c r="AO17" s="12"/>
      <c r="AP17" s="12"/>
      <c r="AQ17" s="12"/>
      <c r="AS17" s="132" t="s">
        <v>206</v>
      </c>
    </row>
    <row r="18" spans="1:48" ht="12.75" x14ac:dyDescent="0.2">
      <c r="B18" s="57" t="s">
        <v>209</v>
      </c>
      <c r="C18" s="28" t="s">
        <v>190</v>
      </c>
      <c r="D18" s="57" t="s">
        <v>191</v>
      </c>
      <c r="E18" s="28" t="s">
        <v>192</v>
      </c>
      <c r="F18" s="28" t="s">
        <v>193</v>
      </c>
      <c r="G18" s="57" t="s">
        <v>112</v>
      </c>
      <c r="H18" s="103"/>
      <c r="I18" s="28" t="s">
        <v>76</v>
      </c>
      <c r="J18" s="28" t="s">
        <v>4</v>
      </c>
      <c r="K18" s="57" t="s">
        <v>0</v>
      </c>
      <c r="L18" s="57" t="s">
        <v>1</v>
      </c>
      <c r="M18" s="28" t="s">
        <v>191</v>
      </c>
      <c r="N18" s="28" t="s">
        <v>192</v>
      </c>
      <c r="O18" s="28" t="s">
        <v>193</v>
      </c>
      <c r="Q18" s="28"/>
      <c r="R18" s="28" t="s">
        <v>76</v>
      </c>
      <c r="S18" s="28" t="s">
        <v>4</v>
      </c>
      <c r="T18" s="57" t="s">
        <v>0</v>
      </c>
      <c r="U18" s="28" t="s">
        <v>62</v>
      </c>
      <c r="V18" s="57" t="s">
        <v>222</v>
      </c>
      <c r="W18" s="57" t="s">
        <v>190</v>
      </c>
      <c r="X18" s="57" t="s">
        <v>194</v>
      </c>
      <c r="Y18" s="28" t="s">
        <v>195</v>
      </c>
      <c r="Z18" s="12"/>
      <c r="AA18" s="28" t="s">
        <v>0</v>
      </c>
      <c r="AB18" s="28" t="s">
        <v>196</v>
      </c>
      <c r="AC18" s="57" t="s">
        <v>1</v>
      </c>
      <c r="AD18" s="57" t="s">
        <v>197</v>
      </c>
      <c r="AE18" s="57" t="s">
        <v>198</v>
      </c>
      <c r="AF18" s="60"/>
      <c r="AG18" s="28" t="s">
        <v>0</v>
      </c>
      <c r="AH18" s="28" t="s">
        <v>196</v>
      </c>
      <c r="AI18" s="57" t="s">
        <v>1</v>
      </c>
      <c r="AJ18" s="57" t="s">
        <v>197</v>
      </c>
      <c r="AK18" s="57" t="s">
        <v>198</v>
      </c>
      <c r="AM18" s="28" t="s">
        <v>0</v>
      </c>
      <c r="AN18" s="28" t="s">
        <v>196</v>
      </c>
      <c r="AO18" s="57" t="s">
        <v>1</v>
      </c>
      <c r="AP18" s="57" t="s">
        <v>197</v>
      </c>
      <c r="AQ18" s="57" t="s">
        <v>198</v>
      </c>
      <c r="AS18" s="57" t="s">
        <v>199</v>
      </c>
      <c r="AT18" s="28" t="s">
        <v>191</v>
      </c>
      <c r="AU18" s="28" t="s">
        <v>192</v>
      </c>
      <c r="AV18" s="28" t="s">
        <v>193</v>
      </c>
    </row>
    <row r="19" spans="1:48" ht="12.75" x14ac:dyDescent="0.2">
      <c r="A19" s="112" t="s">
        <v>216</v>
      </c>
      <c r="B19" s="52">
        <v>100</v>
      </c>
      <c r="C19" s="54">
        <v>0.02</v>
      </c>
      <c r="D19" s="126">
        <v>0.04</v>
      </c>
      <c r="E19" s="97">
        <v>0.08</v>
      </c>
      <c r="F19" s="97">
        <v>0.16</v>
      </c>
      <c r="G19" s="97">
        <v>0.01</v>
      </c>
      <c r="H19" s="97"/>
      <c r="I19" s="135" t="s">
        <v>75</v>
      </c>
      <c r="J19" s="135" t="s">
        <v>78</v>
      </c>
      <c r="K19" s="52">
        <v>100</v>
      </c>
      <c r="L19" s="52">
        <v>600</v>
      </c>
      <c r="M19" s="126">
        <v>0.5</v>
      </c>
      <c r="N19" s="97">
        <v>0.3</v>
      </c>
      <c r="O19" s="97">
        <v>0.2</v>
      </c>
      <c r="Q19" s="45" t="s">
        <v>216</v>
      </c>
      <c r="R19" s="45" t="s">
        <v>75</v>
      </c>
      <c r="S19" s="133" t="s">
        <v>78</v>
      </c>
      <c r="T19" s="124">
        <f>K19</f>
        <v>100</v>
      </c>
      <c r="U19" s="30">
        <f>V19/T19</f>
        <v>6</v>
      </c>
      <c r="V19" s="124">
        <f>L19</f>
        <v>600</v>
      </c>
      <c r="W19" s="124">
        <f>T19 * (1 - ABS(C19))</f>
        <v>98</v>
      </c>
      <c r="X19" s="154" t="s">
        <v>34</v>
      </c>
      <c r="Y19" s="154" t="s">
        <v>34</v>
      </c>
      <c r="Z19" s="12"/>
      <c r="AA19" s="124">
        <f>T19</f>
        <v>100</v>
      </c>
      <c r="AB19" s="30">
        <f>U19*M19</f>
        <v>3</v>
      </c>
      <c r="AC19" s="125">
        <f>V19*M19</f>
        <v>300</v>
      </c>
      <c r="AD19" s="125">
        <f>AA19 * (1 + D19) / (1 - G19)</f>
        <v>105.05050505050505</v>
      </c>
      <c r="AE19" s="126">
        <f>(B19 - AD19) / AD19</f>
        <v>-4.8076923076923087E-2</v>
      </c>
      <c r="AF19" s="30"/>
      <c r="AG19" s="124">
        <f>T19</f>
        <v>100</v>
      </c>
      <c r="AH19" s="30">
        <f>U19*N19</f>
        <v>1.7999999999999998</v>
      </c>
      <c r="AI19" s="125">
        <f>V19*N19</f>
        <v>180</v>
      </c>
      <c r="AJ19" s="125">
        <f>AG19 * (1 + E19) / (1 - G19)</f>
        <v>109.09090909090909</v>
      </c>
      <c r="AK19" s="126">
        <f>(B19 - AJ19) / AJ19</f>
        <v>-8.3333333333333356E-2</v>
      </c>
      <c r="AM19" s="124">
        <f>T19</f>
        <v>100</v>
      </c>
      <c r="AN19" s="30">
        <f>U19*O19</f>
        <v>1.2000000000000002</v>
      </c>
      <c r="AO19" s="125">
        <f>V19*O19</f>
        <v>120</v>
      </c>
      <c r="AP19" s="125">
        <f>AM19 * (1 + F19) / (1 - G19)</f>
        <v>117.17171717171716</v>
      </c>
      <c r="AQ19" s="126">
        <f>(B19 - AP19) / AP19</f>
        <v>-0.14655172413793097</v>
      </c>
      <c r="AS19" s="32">
        <f>AB19+AH19+AN19</f>
        <v>6</v>
      </c>
      <c r="AT19" s="32">
        <f>AB19</f>
        <v>3</v>
      </c>
      <c r="AU19" s="32">
        <f>AH19</f>
        <v>1.7999999999999998</v>
      </c>
      <c r="AV19" s="32">
        <f>AN19</f>
        <v>1.2000000000000002</v>
      </c>
    </row>
    <row r="20" spans="1:48" ht="12.75" x14ac:dyDescent="0.2">
      <c r="A20" s="208" t="s">
        <v>220</v>
      </c>
      <c r="B20" s="40">
        <v>110</v>
      </c>
      <c r="C20" s="55">
        <v>0.02</v>
      </c>
      <c r="D20" s="131">
        <v>0.04</v>
      </c>
      <c r="E20" s="127">
        <v>0.08</v>
      </c>
      <c r="F20" s="127">
        <v>0.16</v>
      </c>
      <c r="G20" s="127">
        <v>0.01</v>
      </c>
      <c r="H20" s="127"/>
      <c r="I20" s="136" t="s">
        <v>73</v>
      </c>
      <c r="J20" s="136" t="s">
        <v>221</v>
      </c>
      <c r="K20" s="40">
        <v>110</v>
      </c>
      <c r="L20" s="155" t="s">
        <v>34</v>
      </c>
      <c r="M20" s="131">
        <v>0.5</v>
      </c>
      <c r="N20" s="155" t="s">
        <v>34</v>
      </c>
      <c r="O20" s="155" t="s">
        <v>34</v>
      </c>
      <c r="P20" s="35"/>
      <c r="Q20" s="47" t="s">
        <v>220</v>
      </c>
      <c r="R20" s="47" t="s">
        <v>73</v>
      </c>
      <c r="S20" s="134" t="s">
        <v>221</v>
      </c>
      <c r="T20" s="128">
        <f>K20</f>
        <v>110</v>
      </c>
      <c r="U20" s="43">
        <f>AB19*M20</f>
        <v>1.5</v>
      </c>
      <c r="V20" s="128">
        <f>T20*U20-(T20*U20*G20)</f>
        <v>163.35</v>
      </c>
      <c r="W20" s="155" t="s">
        <v>34</v>
      </c>
      <c r="X20" s="129">
        <f>V20-(T19*U20)</f>
        <v>13.349999999999994</v>
      </c>
      <c r="Y20" s="153">
        <f>X20/(T19*U20)</f>
        <v>8.8999999999999968E-2</v>
      </c>
      <c r="Z20" s="41"/>
      <c r="AA20" s="128">
        <f>T21</f>
        <v>100</v>
      </c>
      <c r="AB20" s="43">
        <f>AB19-U20</f>
        <v>1.5</v>
      </c>
      <c r="AC20" s="130">
        <f>AC19*M20</f>
        <v>150</v>
      </c>
      <c r="AD20" s="130">
        <f>AA20 * (1 + D20) / (1 - G20)</f>
        <v>105.05050505050505</v>
      </c>
      <c r="AE20" s="158">
        <f>(B20 - AD20) / AD20</f>
        <v>4.7115384615384601E-2</v>
      </c>
      <c r="AF20" s="43"/>
      <c r="AG20" s="128">
        <f>T21</f>
        <v>100</v>
      </c>
      <c r="AH20" s="43">
        <f>AH19</f>
        <v>1.7999999999999998</v>
      </c>
      <c r="AI20" s="130">
        <f>AI19</f>
        <v>180</v>
      </c>
      <c r="AJ20" s="130">
        <f>AG20 * (1 + E20) / (1 - G20)</f>
        <v>109.09090909090909</v>
      </c>
      <c r="AK20" s="158">
        <f>(B20 - AJ20) / AJ20</f>
        <v>8.3333333333333089E-3</v>
      </c>
      <c r="AL20" s="35"/>
      <c r="AM20" s="128">
        <f>T21</f>
        <v>100</v>
      </c>
      <c r="AN20" s="43">
        <f>AN19</f>
        <v>1.2000000000000002</v>
      </c>
      <c r="AO20" s="130">
        <f>AO19</f>
        <v>120</v>
      </c>
      <c r="AP20" s="130">
        <f>AM20 * (1 + F20) / (1 - G20)</f>
        <v>117.17171717171716</v>
      </c>
      <c r="AQ20" s="131">
        <f>(B20 - AP20) / AP20</f>
        <v>-6.1206896551724066E-2</v>
      </c>
      <c r="AR20" s="35"/>
      <c r="AS20" s="39">
        <f>AB20+AH20+AN20</f>
        <v>4.5</v>
      </c>
      <c r="AT20" s="39">
        <f>AB20</f>
        <v>1.5</v>
      </c>
      <c r="AU20" s="39">
        <f>AH20</f>
        <v>1.7999999999999998</v>
      </c>
      <c r="AV20" s="39">
        <f>AN20</f>
        <v>1.2000000000000002</v>
      </c>
    </row>
    <row r="21" spans="1:48" ht="12.75" x14ac:dyDescent="0.2">
      <c r="A21" s="208"/>
      <c r="B21" s="40"/>
      <c r="C21" s="55"/>
      <c r="D21" s="131"/>
      <c r="E21" s="127"/>
      <c r="F21" s="127"/>
      <c r="G21" s="127"/>
      <c r="H21" s="127"/>
      <c r="I21" s="136"/>
      <c r="J21" s="136"/>
      <c r="K21" s="40"/>
      <c r="L21" s="40"/>
      <c r="M21" s="131"/>
      <c r="N21" s="127"/>
      <c r="O21" s="127"/>
      <c r="P21" s="35"/>
      <c r="Q21" s="47" t="s">
        <v>216</v>
      </c>
      <c r="R21" s="47" t="s">
        <v>75</v>
      </c>
      <c r="S21" s="134" t="s">
        <v>78</v>
      </c>
      <c r="T21" s="128">
        <f>T19</f>
        <v>100</v>
      </c>
      <c r="U21" s="43">
        <f>U19</f>
        <v>6</v>
      </c>
      <c r="V21" s="128">
        <f>V19</f>
        <v>600</v>
      </c>
      <c r="W21" s="128">
        <f>W19</f>
        <v>98</v>
      </c>
      <c r="X21" s="155" t="s">
        <v>34</v>
      </c>
      <c r="Y21" s="155" t="s">
        <v>34</v>
      </c>
      <c r="Z21" s="41"/>
      <c r="AA21" s="128"/>
      <c r="AB21" s="43"/>
      <c r="AC21" s="130"/>
      <c r="AD21" s="130"/>
      <c r="AE21" s="131"/>
      <c r="AF21" s="43"/>
      <c r="AG21" s="128"/>
      <c r="AH21" s="43"/>
      <c r="AI21" s="130"/>
      <c r="AJ21" s="130"/>
      <c r="AK21" s="131"/>
      <c r="AL21" s="35"/>
      <c r="AM21" s="128"/>
      <c r="AN21" s="43"/>
      <c r="AO21" s="130"/>
      <c r="AP21" s="130"/>
      <c r="AQ21" s="131"/>
      <c r="AR21" s="35"/>
      <c r="AS21" s="39"/>
      <c r="AT21" s="39"/>
      <c r="AU21" s="39"/>
      <c r="AV21" s="39"/>
    </row>
    <row r="22" spans="1:48" ht="12.75" x14ac:dyDescent="0.2">
      <c r="A22" s="112" t="s">
        <v>223</v>
      </c>
      <c r="B22" s="52">
        <v>90</v>
      </c>
      <c r="C22" s="54">
        <v>0.02</v>
      </c>
      <c r="D22" s="126">
        <v>0.04</v>
      </c>
      <c r="E22" s="97">
        <v>0.08</v>
      </c>
      <c r="F22" s="97">
        <v>0.16</v>
      </c>
      <c r="G22" s="97">
        <v>0.01</v>
      </c>
      <c r="H22" s="97"/>
      <c r="I22" s="135" t="s">
        <v>73</v>
      </c>
      <c r="J22" s="135" t="s">
        <v>221</v>
      </c>
      <c r="K22" s="52">
        <v>90</v>
      </c>
      <c r="L22" s="154" t="s">
        <v>34</v>
      </c>
      <c r="M22" s="154" t="s">
        <v>34</v>
      </c>
      <c r="N22" s="97">
        <v>1</v>
      </c>
      <c r="O22" s="154" t="s">
        <v>34</v>
      </c>
      <c r="Q22" s="45" t="s">
        <v>223</v>
      </c>
      <c r="R22" s="45" t="s">
        <v>73</v>
      </c>
      <c r="S22" s="132" t="s">
        <v>221</v>
      </c>
      <c r="T22" s="124">
        <f>K22</f>
        <v>90</v>
      </c>
      <c r="U22" s="30">
        <f>AH20*N22</f>
        <v>1.7999999999999998</v>
      </c>
      <c r="V22" s="124">
        <f>T22*U22-(T22*U22*G22)</f>
        <v>160.37999999999997</v>
      </c>
      <c r="W22" s="154" t="s">
        <v>34</v>
      </c>
      <c r="X22" s="154">
        <f>V22-(T21*U22)</f>
        <v>-19.620000000000005</v>
      </c>
      <c r="Y22" s="162">
        <f>X22/(T21*U22)</f>
        <v>-0.10900000000000004</v>
      </c>
      <c r="Z22" s="12"/>
      <c r="AA22" s="124">
        <f>AA20</f>
        <v>100</v>
      </c>
      <c r="AB22" s="30">
        <f>AB20</f>
        <v>1.5</v>
      </c>
      <c r="AC22" s="125">
        <f>AC20</f>
        <v>150</v>
      </c>
      <c r="AD22" s="125">
        <f>AD20</f>
        <v>105.05050505050505</v>
      </c>
      <c r="AE22" s="126">
        <f>(B22 - AD22) / AD22</f>
        <v>-0.14326923076923079</v>
      </c>
      <c r="AF22" s="30"/>
      <c r="AG22" s="164">
        <f>AG20</f>
        <v>100</v>
      </c>
      <c r="AH22" s="165">
        <f>AH20</f>
        <v>1.7999999999999998</v>
      </c>
      <c r="AI22" s="166">
        <f>AI20</f>
        <v>180</v>
      </c>
      <c r="AJ22" s="166">
        <f>AJ20</f>
        <v>109.09090909090909</v>
      </c>
      <c r="AK22" s="150">
        <f>AK20</f>
        <v>8.3333333333333089E-3</v>
      </c>
      <c r="AM22" s="124">
        <f>AM20</f>
        <v>100</v>
      </c>
      <c r="AN22" s="30">
        <f>AN20</f>
        <v>1.2000000000000002</v>
      </c>
      <c r="AO22" s="125">
        <f>AO20</f>
        <v>120</v>
      </c>
      <c r="AP22" s="125">
        <f>AP20</f>
        <v>117.17171717171716</v>
      </c>
      <c r="AQ22" s="126">
        <f>(B22 - AP22) / AP22</f>
        <v>-0.23189655172413787</v>
      </c>
      <c r="AS22" s="32">
        <f>AT22+AU22+AV22</f>
        <v>2.7</v>
      </c>
      <c r="AT22" s="32">
        <f>AB22</f>
        <v>1.5</v>
      </c>
      <c r="AU22" s="32">
        <v>0</v>
      </c>
      <c r="AV22" s="32">
        <f>AN22</f>
        <v>1.2000000000000002</v>
      </c>
    </row>
    <row r="23" spans="1:48" ht="12.75" x14ac:dyDescent="0.2">
      <c r="A23" s="112"/>
      <c r="B23" s="52"/>
      <c r="C23" s="97"/>
      <c r="H23" s="97"/>
      <c r="I23" s="97"/>
      <c r="J23" s="97"/>
      <c r="K23" s="52"/>
      <c r="L23" s="52"/>
      <c r="M23" s="97"/>
      <c r="N23" s="97"/>
      <c r="O23" s="97"/>
      <c r="Q23" s="46" t="str">
        <f>Q20</f>
        <v>SellA</v>
      </c>
      <c r="R23" s="46" t="str">
        <f>R20</f>
        <v>Sell</v>
      </c>
      <c r="S23" s="132" t="s">
        <v>221</v>
      </c>
      <c r="T23" s="124">
        <f t="shared" ref="T23:V23" si="2">T20</f>
        <v>110</v>
      </c>
      <c r="U23" s="30">
        <f t="shared" si="2"/>
        <v>1.5</v>
      </c>
      <c r="V23" s="124">
        <f t="shared" si="2"/>
        <v>163.35</v>
      </c>
      <c r="W23" s="154" t="s">
        <v>34</v>
      </c>
      <c r="X23" s="154">
        <f>X20</f>
        <v>13.349999999999994</v>
      </c>
      <c r="Y23" s="163">
        <f>Y20</f>
        <v>8.8999999999999968E-2</v>
      </c>
      <c r="Z23" s="12"/>
      <c r="AA23" s="124"/>
      <c r="AB23" s="30"/>
      <c r="AC23" s="159"/>
      <c r="AD23" s="159"/>
      <c r="AE23" s="126"/>
      <c r="AF23" s="30"/>
      <c r="AG23" s="63"/>
      <c r="AH23" s="32"/>
      <c r="AI23" s="63"/>
      <c r="AJ23" s="63"/>
      <c r="AK23" s="62"/>
      <c r="AM23" s="160"/>
      <c r="AN23" s="161"/>
      <c r="AO23" s="161"/>
      <c r="AP23" s="161"/>
      <c r="AQ23" s="161"/>
    </row>
    <row r="24" spans="1:48" ht="12.75" x14ac:dyDescent="0.2">
      <c r="A24" s="112"/>
      <c r="B24" s="52"/>
      <c r="C24" s="97"/>
      <c r="D24" s="29"/>
      <c r="E24" s="50"/>
      <c r="G24" s="50"/>
      <c r="H24" s="50"/>
      <c r="I24" s="50"/>
      <c r="J24" s="50"/>
      <c r="K24" s="52"/>
      <c r="L24" s="52"/>
      <c r="M24" s="50"/>
      <c r="N24" s="50"/>
      <c r="O24" s="50"/>
      <c r="Q24" s="46" t="str">
        <f>Q21</f>
        <v>BuyA</v>
      </c>
      <c r="R24" s="46" t="str">
        <f>R21</f>
        <v>Buy</v>
      </c>
      <c r="S24" s="132" t="s">
        <v>78</v>
      </c>
      <c r="T24" s="124">
        <f>T21</f>
        <v>100</v>
      </c>
      <c r="U24" s="30">
        <f>U21</f>
        <v>6</v>
      </c>
      <c r="V24" s="124">
        <f>V21</f>
        <v>600</v>
      </c>
      <c r="W24" s="167">
        <f>W21</f>
        <v>98</v>
      </c>
      <c r="X24" s="154" t="s">
        <v>34</v>
      </c>
      <c r="Y24" s="154" t="s">
        <v>34</v>
      </c>
      <c r="Z24" s="12"/>
      <c r="AA24" s="63"/>
      <c r="AF24" s="30"/>
      <c r="AG24" s="13"/>
      <c r="AH24" s="13"/>
      <c r="AI24" s="13"/>
      <c r="AJ24" s="13"/>
      <c r="AK24" s="30"/>
      <c r="AM24" s="124"/>
      <c r="AN24" s="13"/>
      <c r="AO24" s="13"/>
      <c r="AP24" s="13"/>
      <c r="AQ24" s="30"/>
    </row>
    <row r="25" spans="1:48" s="35" customFormat="1" ht="12.75" x14ac:dyDescent="0.2">
      <c r="A25" s="208" t="s">
        <v>226</v>
      </c>
      <c r="B25" s="40">
        <v>90</v>
      </c>
      <c r="C25" s="55">
        <v>0.02</v>
      </c>
      <c r="D25" s="131">
        <v>0.04</v>
      </c>
      <c r="E25" s="127">
        <v>0.08</v>
      </c>
      <c r="F25" s="127">
        <v>0.16</v>
      </c>
      <c r="G25" s="127">
        <v>0.01</v>
      </c>
      <c r="H25" s="51"/>
      <c r="I25" s="174" t="s">
        <v>227</v>
      </c>
      <c r="J25" s="174" t="s">
        <v>211</v>
      </c>
      <c r="K25" s="40">
        <v>95</v>
      </c>
      <c r="L25" s="155" t="s">
        <v>34</v>
      </c>
      <c r="M25" s="155" t="s">
        <v>34</v>
      </c>
      <c r="N25" s="127">
        <v>0.5</v>
      </c>
      <c r="O25" s="155" t="s">
        <v>34</v>
      </c>
      <c r="Q25" s="47" t="str">
        <f>Q22</f>
        <v>SellB</v>
      </c>
      <c r="R25" s="47" t="str">
        <f>R22</f>
        <v>Sell</v>
      </c>
      <c r="S25" s="134" t="s">
        <v>211</v>
      </c>
      <c r="T25" s="128">
        <f>K25</f>
        <v>95</v>
      </c>
      <c r="U25" s="43">
        <f>AH20*N25</f>
        <v>0.89999999999999991</v>
      </c>
      <c r="V25" s="128">
        <f>T25*U25-(T25*U25*G25)</f>
        <v>84.644999999999982</v>
      </c>
      <c r="W25" s="155" t="s">
        <v>34</v>
      </c>
      <c r="X25" s="129">
        <f>V25-(T24*U25)</f>
        <v>-5.355000000000004</v>
      </c>
      <c r="Y25" s="153">
        <f>X25/(T24*U25)</f>
        <v>-5.9500000000000053E-2</v>
      </c>
      <c r="Z25" s="41"/>
      <c r="AA25" s="128">
        <f>AA22</f>
        <v>100</v>
      </c>
      <c r="AB25" s="43">
        <f>AB22</f>
        <v>1.5</v>
      </c>
      <c r="AC25" s="130">
        <f>AC22</f>
        <v>150</v>
      </c>
      <c r="AD25" s="130">
        <f>AD22</f>
        <v>105.05050505050505</v>
      </c>
      <c r="AE25" s="204">
        <f>(B25 - AD25) / AD25</f>
        <v>-0.14326923076923079</v>
      </c>
      <c r="AF25" s="43"/>
      <c r="AG25" s="128">
        <f>AG22</f>
        <v>100</v>
      </c>
      <c r="AH25" s="43">
        <f>AH22*N25</f>
        <v>0.89999999999999991</v>
      </c>
      <c r="AI25" s="130">
        <f>AI22*N25</f>
        <v>90</v>
      </c>
      <c r="AJ25" s="130">
        <f>AG25 * (1 + E25) / (1 - G25)</f>
        <v>109.09090909090909</v>
      </c>
      <c r="AK25" s="204">
        <f>(B25 - AJ25) / AJ25</f>
        <v>-0.17500000000000002</v>
      </c>
      <c r="AM25" s="128">
        <f>AM22</f>
        <v>100</v>
      </c>
      <c r="AN25" s="43">
        <f>AN22</f>
        <v>1.2000000000000002</v>
      </c>
      <c r="AO25" s="130">
        <f>AO22</f>
        <v>120</v>
      </c>
      <c r="AP25" s="130">
        <f>AP22</f>
        <v>117.17171717171716</v>
      </c>
      <c r="AQ25" s="131">
        <f>AQ22</f>
        <v>-0.23189655172413787</v>
      </c>
      <c r="AS25" s="39">
        <f>AT25+AU25+AV25</f>
        <v>3.6</v>
      </c>
      <c r="AT25" s="39">
        <f>AB25</f>
        <v>1.5</v>
      </c>
      <c r="AU25" s="39">
        <f>AH25</f>
        <v>0.89999999999999991</v>
      </c>
      <c r="AV25" s="39">
        <f>AN25</f>
        <v>1.2000000000000002</v>
      </c>
    </row>
    <row r="26" spans="1:48" s="35" customFormat="1" ht="12.75" x14ac:dyDescent="0.2">
      <c r="A26" s="208"/>
      <c r="B26" s="40"/>
      <c r="C26" s="127"/>
      <c r="D26" s="37"/>
      <c r="E26" s="51"/>
      <c r="G26" s="51"/>
      <c r="H26" s="51"/>
      <c r="I26" s="51"/>
      <c r="J26" s="51"/>
      <c r="K26" s="40"/>
      <c r="L26" s="40"/>
      <c r="M26" s="51"/>
      <c r="N26" s="51"/>
      <c r="O26" s="51"/>
      <c r="Q26" s="47" t="str">
        <f>Q23</f>
        <v>SellA</v>
      </c>
      <c r="R26" s="47" t="str">
        <f>R23</f>
        <v>Sell</v>
      </c>
      <c r="S26" s="134" t="s">
        <v>221</v>
      </c>
      <c r="T26" s="128">
        <f>T23</f>
        <v>110</v>
      </c>
      <c r="U26" s="43">
        <f>U23</f>
        <v>1.5</v>
      </c>
      <c r="V26" s="128">
        <f>V23</f>
        <v>163.35</v>
      </c>
      <c r="W26" s="155" t="s">
        <v>34</v>
      </c>
      <c r="X26" s="129">
        <f>X23</f>
        <v>13.349999999999994</v>
      </c>
      <c r="Y26" s="153">
        <f>Y23</f>
        <v>8.8999999999999968E-2</v>
      </c>
      <c r="Z26" s="41"/>
      <c r="AA26" s="65"/>
      <c r="AF26" s="43"/>
      <c r="AG26" s="42"/>
      <c r="AH26" s="42"/>
      <c r="AI26" s="42"/>
      <c r="AJ26" s="42"/>
      <c r="AK26" s="43"/>
      <c r="AM26" s="128"/>
      <c r="AN26" s="42"/>
      <c r="AO26" s="42"/>
      <c r="AP26" s="42"/>
      <c r="AQ26" s="43"/>
    </row>
    <row r="27" spans="1:48" s="35" customFormat="1" ht="12.75" x14ac:dyDescent="0.2">
      <c r="A27" s="208"/>
      <c r="B27" s="40"/>
      <c r="C27" s="127"/>
      <c r="D27" s="37"/>
      <c r="E27" s="51"/>
      <c r="G27" s="51"/>
      <c r="H27" s="51"/>
      <c r="I27" s="51"/>
      <c r="J27" s="51"/>
      <c r="K27" s="40"/>
      <c r="L27" s="40"/>
      <c r="M27" s="51"/>
      <c r="N27" s="51"/>
      <c r="O27" s="51"/>
      <c r="Q27" s="47" t="str">
        <f>Q24</f>
        <v>BuyA</v>
      </c>
      <c r="R27" s="47" t="str">
        <f>R24</f>
        <v>Buy</v>
      </c>
      <c r="S27" s="134" t="s">
        <v>78</v>
      </c>
      <c r="T27" s="128">
        <f>T24</f>
        <v>100</v>
      </c>
      <c r="U27" s="43">
        <f>U24</f>
        <v>6</v>
      </c>
      <c r="V27" s="128">
        <f>V24</f>
        <v>600</v>
      </c>
      <c r="W27" s="173">
        <f>W24</f>
        <v>98</v>
      </c>
      <c r="X27" s="155" t="s">
        <v>34</v>
      </c>
      <c r="Y27" s="155" t="s">
        <v>34</v>
      </c>
      <c r="Z27" s="41"/>
      <c r="AA27" s="65"/>
      <c r="AF27" s="43"/>
      <c r="AG27" s="42"/>
      <c r="AH27" s="42"/>
      <c r="AI27" s="42"/>
      <c r="AJ27" s="42"/>
      <c r="AK27" s="43"/>
      <c r="AM27" s="128"/>
      <c r="AN27" s="42"/>
      <c r="AO27" s="42"/>
      <c r="AP27" s="42"/>
      <c r="AQ27" s="43"/>
    </row>
    <row r="28" spans="1:48" s="182" customFormat="1" ht="12.75" x14ac:dyDescent="0.2">
      <c r="A28" s="209" t="s">
        <v>217</v>
      </c>
      <c r="B28" s="179">
        <v>100</v>
      </c>
      <c r="C28" s="62">
        <v>0.02</v>
      </c>
      <c r="D28" s="180">
        <v>0.04</v>
      </c>
      <c r="E28" s="181">
        <v>0.08</v>
      </c>
      <c r="F28" s="181">
        <v>0.16</v>
      </c>
      <c r="G28" s="181">
        <v>0.01</v>
      </c>
      <c r="I28" s="178" t="s">
        <v>75</v>
      </c>
      <c r="J28" s="178" t="s">
        <v>215</v>
      </c>
      <c r="K28" s="179">
        <v>100</v>
      </c>
      <c r="L28" s="179">
        <v>400</v>
      </c>
      <c r="M28" s="180">
        <v>0.4</v>
      </c>
      <c r="N28" s="181">
        <v>0.4</v>
      </c>
      <c r="O28" s="181">
        <v>0.2</v>
      </c>
      <c r="Q28" s="183" t="s">
        <v>217</v>
      </c>
      <c r="R28" s="183" t="s">
        <v>75</v>
      </c>
      <c r="S28" s="183" t="s">
        <v>215</v>
      </c>
      <c r="T28" s="184">
        <f>K28</f>
        <v>100</v>
      </c>
      <c r="U28" s="185">
        <f>V28/T28</f>
        <v>4</v>
      </c>
      <c r="V28" s="184">
        <f>L28</f>
        <v>400</v>
      </c>
      <c r="W28" s="184">
        <f>T28 * (1 - ABS(C28))</f>
        <v>98</v>
      </c>
      <c r="X28" s="186" t="s">
        <v>34</v>
      </c>
      <c r="Y28" s="186" t="s">
        <v>34</v>
      </c>
      <c r="Z28" s="187"/>
      <c r="AA28" s="188">
        <f>AA22</f>
        <v>100</v>
      </c>
      <c r="AB28" s="189">
        <f>AB22+(U28*M28)</f>
        <v>3.1</v>
      </c>
      <c r="AC28" s="188">
        <f>AC22+(V28*M28)</f>
        <v>310</v>
      </c>
      <c r="AD28" s="188">
        <f>AA28 * (1 + D28) / (1 - G28)</f>
        <v>105.05050505050505</v>
      </c>
      <c r="AE28" s="190">
        <f>(B28 - AD28) / AD28</f>
        <v>-4.8076923076923087E-2</v>
      </c>
      <c r="AF28" s="189"/>
      <c r="AG28" s="188">
        <f>T28</f>
        <v>100</v>
      </c>
      <c r="AH28" s="189">
        <f>AH25+(U28*N28)</f>
        <v>2.5</v>
      </c>
      <c r="AI28" s="188">
        <f>AI25+(V28*M28)</f>
        <v>250</v>
      </c>
      <c r="AJ28" s="188">
        <f>AG28 * (1 + E28) / (1 - G28)</f>
        <v>109.09090909090909</v>
      </c>
      <c r="AK28" s="190">
        <f>(B28 - AJ28) / AJ28</f>
        <v>-8.3333333333333356E-2</v>
      </c>
      <c r="AL28" s="178"/>
      <c r="AM28" s="188">
        <f>T28</f>
        <v>100</v>
      </c>
      <c r="AN28" s="189">
        <f>AN25+(U28*O28)</f>
        <v>2</v>
      </c>
      <c r="AO28" s="188">
        <f>AO25+(V28*O28)</f>
        <v>200</v>
      </c>
      <c r="AP28" s="188">
        <f>AM28 * (1 + F28) / (1 - G28)</f>
        <v>117.17171717171716</v>
      </c>
      <c r="AQ28" s="180">
        <f>(B28 - AP28) / AP28</f>
        <v>-0.14655172413793097</v>
      </c>
      <c r="AR28" s="178"/>
      <c r="AS28" s="191">
        <f>AT28+AU28+AV28</f>
        <v>7.6</v>
      </c>
      <c r="AT28" s="191">
        <f>AB28</f>
        <v>3.1</v>
      </c>
      <c r="AU28" s="191">
        <f>AH28</f>
        <v>2.5</v>
      </c>
      <c r="AV28" s="191">
        <f>AN28</f>
        <v>2</v>
      </c>
    </row>
    <row r="29" spans="1:48" s="182" customFormat="1" ht="12.75" x14ac:dyDescent="0.2">
      <c r="A29" s="178"/>
      <c r="B29" s="179"/>
      <c r="C29" s="181"/>
      <c r="D29" s="180"/>
      <c r="E29" s="181"/>
      <c r="F29" s="181"/>
      <c r="G29" s="181"/>
      <c r="K29" s="179"/>
      <c r="L29" s="179"/>
      <c r="M29" s="180"/>
      <c r="N29" s="181"/>
      <c r="O29" s="181"/>
      <c r="Q29" s="183" t="s">
        <v>223</v>
      </c>
      <c r="R29" s="183" t="s">
        <v>73</v>
      </c>
      <c r="S29" s="183" t="s">
        <v>211</v>
      </c>
      <c r="T29" s="184">
        <f>T25</f>
        <v>95</v>
      </c>
      <c r="U29" s="185">
        <f>U25</f>
        <v>0.89999999999999991</v>
      </c>
      <c r="V29" s="184">
        <f>V25</f>
        <v>84.644999999999982</v>
      </c>
      <c r="W29" s="192" t="str">
        <f>W22</f>
        <v>-</v>
      </c>
      <c r="X29" s="186">
        <f>X25</f>
        <v>-5.355000000000004</v>
      </c>
      <c r="Y29" s="163">
        <f>Y25</f>
        <v>-5.9500000000000053E-2</v>
      </c>
      <c r="Z29" s="187"/>
      <c r="AA29" s="188"/>
      <c r="AB29" s="189"/>
      <c r="AC29" s="188"/>
      <c r="AD29" s="159"/>
      <c r="AE29" s="180"/>
      <c r="AF29" s="189"/>
      <c r="AG29" s="188"/>
      <c r="AH29" s="189"/>
      <c r="AI29" s="188"/>
      <c r="AJ29" s="188"/>
      <c r="AK29" s="180"/>
      <c r="AL29" s="178"/>
      <c r="AM29" s="193"/>
      <c r="AN29" s="194"/>
      <c r="AO29" s="194"/>
      <c r="AP29" s="194"/>
      <c r="AQ29" s="194"/>
      <c r="AR29" s="178"/>
      <c r="AS29" s="178"/>
      <c r="AT29" s="191"/>
      <c r="AU29" s="191"/>
      <c r="AV29" s="191"/>
    </row>
    <row r="30" spans="1:48" s="182" customFormat="1" ht="12.75" x14ac:dyDescent="0.2">
      <c r="A30" s="178"/>
      <c r="B30" s="179"/>
      <c r="C30" s="181"/>
      <c r="D30" s="180"/>
      <c r="E30" s="181"/>
      <c r="F30" s="181"/>
      <c r="G30" s="181"/>
      <c r="K30" s="179"/>
      <c r="L30" s="179"/>
      <c r="M30" s="180"/>
      <c r="N30" s="181"/>
      <c r="O30" s="181"/>
      <c r="Q30" s="183" t="s">
        <v>220</v>
      </c>
      <c r="R30" s="183" t="s">
        <v>73</v>
      </c>
      <c r="S30" s="195" t="str">
        <f>S23</f>
        <v>Profit Target</v>
      </c>
      <c r="T30" s="184">
        <f>T23</f>
        <v>110</v>
      </c>
      <c r="U30" s="185">
        <f>U23</f>
        <v>1.5</v>
      </c>
      <c r="V30" s="184">
        <f>V23</f>
        <v>163.35</v>
      </c>
      <c r="W30" s="192" t="str">
        <f>W23</f>
        <v>-</v>
      </c>
      <c r="X30" s="186">
        <f>X23</f>
        <v>13.349999999999994</v>
      </c>
      <c r="Y30" s="163">
        <f>Y23</f>
        <v>8.8999999999999968E-2</v>
      </c>
      <c r="Z30" s="187"/>
      <c r="AA30" s="188"/>
      <c r="AB30" s="189"/>
      <c r="AC30" s="188"/>
      <c r="AD30" s="159"/>
      <c r="AE30" s="180"/>
      <c r="AF30" s="189"/>
      <c r="AG30" s="188"/>
      <c r="AH30" s="189"/>
      <c r="AI30" s="188"/>
      <c r="AJ30" s="188"/>
      <c r="AK30" s="62"/>
      <c r="AL30" s="178"/>
      <c r="AM30" s="188"/>
      <c r="AN30" s="189"/>
      <c r="AO30" s="188"/>
      <c r="AP30" s="188"/>
      <c r="AQ30" s="180"/>
      <c r="AR30" s="178"/>
      <c r="AS30" s="178"/>
      <c r="AT30" s="191"/>
      <c r="AU30" s="191"/>
      <c r="AV30" s="191"/>
    </row>
    <row r="31" spans="1:48" s="182" customFormat="1" ht="12.75" x14ac:dyDescent="0.2">
      <c r="A31" s="178"/>
      <c r="B31" s="179"/>
      <c r="C31" s="62"/>
      <c r="D31" s="180"/>
      <c r="E31" s="181"/>
      <c r="F31" s="181"/>
      <c r="G31" s="181"/>
      <c r="I31" s="196"/>
      <c r="J31" s="196"/>
      <c r="K31" s="197"/>
      <c r="L31" s="197"/>
      <c r="M31" s="198"/>
      <c r="N31" s="199"/>
      <c r="O31" s="199"/>
      <c r="Q31" s="183" t="s">
        <v>216</v>
      </c>
      <c r="R31" s="183" t="s">
        <v>75</v>
      </c>
      <c r="S31" s="195" t="str">
        <f>S24</f>
        <v>Initial</v>
      </c>
      <c r="T31" s="184">
        <f>T24</f>
        <v>100</v>
      </c>
      <c r="U31" s="185">
        <f>U24</f>
        <v>6</v>
      </c>
      <c r="V31" s="184">
        <f>V24</f>
        <v>600</v>
      </c>
      <c r="W31" s="184">
        <f>W24</f>
        <v>98</v>
      </c>
      <c r="X31" s="186" t="str">
        <f>X24</f>
        <v>-</v>
      </c>
      <c r="Y31" s="186" t="str">
        <f>Y24</f>
        <v>-</v>
      </c>
      <c r="Z31" s="187"/>
      <c r="AA31" s="200"/>
      <c r="AB31" s="201"/>
      <c r="AC31" s="159"/>
      <c r="AD31" s="159"/>
      <c r="AE31" s="180"/>
      <c r="AF31" s="202"/>
      <c r="AG31" s="200"/>
      <c r="AH31" s="201"/>
      <c r="AI31" s="159"/>
      <c r="AJ31" s="159"/>
      <c r="AK31" s="180"/>
      <c r="AM31" s="193"/>
      <c r="AN31" s="194"/>
      <c r="AO31" s="194"/>
      <c r="AP31" s="194"/>
      <c r="AQ31" s="194"/>
      <c r="AS31" s="203"/>
      <c r="AT31" s="203"/>
      <c r="AU31" s="203"/>
      <c r="AV31" s="203"/>
    </row>
    <row r="32" spans="1:48" s="35" customFormat="1" ht="12.75" x14ac:dyDescent="0.2">
      <c r="A32" s="47" t="s">
        <v>225</v>
      </c>
      <c r="B32" s="40">
        <f>B28</f>
        <v>100</v>
      </c>
      <c r="C32" s="55">
        <f>C28</f>
        <v>0.02</v>
      </c>
      <c r="D32" s="131">
        <f>D28</f>
        <v>0.04</v>
      </c>
      <c r="E32" s="127">
        <f>E28</f>
        <v>0.08</v>
      </c>
      <c r="F32" s="127">
        <f>F28</f>
        <v>0.16</v>
      </c>
      <c r="G32" s="127">
        <f>G28</f>
        <v>0.01</v>
      </c>
      <c r="I32" s="47" t="s">
        <v>224</v>
      </c>
      <c r="J32" s="155" t="s">
        <v>34</v>
      </c>
      <c r="K32" s="155" t="s">
        <v>34</v>
      </c>
      <c r="L32" s="155" t="s">
        <v>34</v>
      </c>
      <c r="M32" s="155" t="s">
        <v>34</v>
      </c>
      <c r="N32" s="155" t="s">
        <v>34</v>
      </c>
      <c r="O32" s="155" t="s">
        <v>34</v>
      </c>
      <c r="Q32" s="47" t="str">
        <f>Q28</f>
        <v>BuyB</v>
      </c>
      <c r="R32" s="47" t="str">
        <f>R28</f>
        <v>Buy</v>
      </c>
      <c r="S32" s="134" t="s">
        <v>215</v>
      </c>
      <c r="T32" s="128">
        <f>T28</f>
        <v>100</v>
      </c>
      <c r="U32" s="43">
        <f>U28</f>
        <v>4</v>
      </c>
      <c r="V32" s="128">
        <f>V28</f>
        <v>400</v>
      </c>
      <c r="W32" s="205">
        <f>W28</f>
        <v>98</v>
      </c>
      <c r="X32" s="155" t="s">
        <v>34</v>
      </c>
      <c r="Y32" s="155" t="s">
        <v>34</v>
      </c>
      <c r="Z32" s="41"/>
      <c r="AA32" s="128">
        <f>AA28</f>
        <v>100</v>
      </c>
      <c r="AB32" s="43">
        <f>AB28</f>
        <v>3.1</v>
      </c>
      <c r="AC32" s="130">
        <f>AC28</f>
        <v>310</v>
      </c>
      <c r="AD32" s="130">
        <f>AD28</f>
        <v>105.05050505050505</v>
      </c>
      <c r="AE32" s="131">
        <f>AE28</f>
        <v>-4.8076923076923087E-2</v>
      </c>
      <c r="AF32" s="172"/>
      <c r="AG32" s="128">
        <f>AG28</f>
        <v>100</v>
      </c>
      <c r="AH32" s="43">
        <f>AH28+AH25</f>
        <v>3.4</v>
      </c>
      <c r="AI32" s="130">
        <f>AI28+AI25</f>
        <v>340</v>
      </c>
      <c r="AJ32" s="130">
        <f>AJ28</f>
        <v>109.09090909090909</v>
      </c>
      <c r="AK32" s="131">
        <f>AK28</f>
        <v>-8.3333333333333356E-2</v>
      </c>
      <c r="AM32" s="128">
        <f>AM28</f>
        <v>100</v>
      </c>
      <c r="AN32" s="43">
        <f>AN28</f>
        <v>2</v>
      </c>
      <c r="AO32" s="130">
        <f>AO28</f>
        <v>200</v>
      </c>
      <c r="AP32" s="130">
        <f>AP28</f>
        <v>117.17171717171716</v>
      </c>
      <c r="AQ32" s="131">
        <f>AQ28</f>
        <v>-0.14655172413793097</v>
      </c>
      <c r="AS32" s="39">
        <f>AT32+AU32+AV32</f>
        <v>8.5</v>
      </c>
      <c r="AT32" s="39">
        <f>AB32</f>
        <v>3.1</v>
      </c>
      <c r="AU32" s="39">
        <f>AH32</f>
        <v>3.4</v>
      </c>
      <c r="AV32" s="39">
        <f>AN32</f>
        <v>2</v>
      </c>
    </row>
    <row r="33" spans="1:62" s="35" customFormat="1" ht="12.75" x14ac:dyDescent="0.2">
      <c r="A33" s="47"/>
      <c r="B33" s="40"/>
      <c r="C33" s="55"/>
      <c r="D33" s="131"/>
      <c r="E33" s="127"/>
      <c r="F33" s="127"/>
      <c r="G33" s="127"/>
      <c r="I33" s="168"/>
      <c r="J33" s="168"/>
      <c r="K33" s="169"/>
      <c r="L33" s="169"/>
      <c r="M33" s="170"/>
      <c r="N33" s="171"/>
      <c r="O33" s="171"/>
      <c r="Q33" s="168" t="str">
        <f>Q29</f>
        <v>SellB</v>
      </c>
      <c r="R33" s="168" t="str">
        <f>R29</f>
        <v>Sell</v>
      </c>
      <c r="S33" s="175" t="s">
        <v>211</v>
      </c>
      <c r="T33" s="176">
        <f>T29</f>
        <v>95</v>
      </c>
      <c r="U33" s="177">
        <f>U29</f>
        <v>0.89999999999999991</v>
      </c>
      <c r="V33" s="176">
        <f>V29</f>
        <v>84.644999999999982</v>
      </c>
      <c r="W33" s="155" t="s">
        <v>34</v>
      </c>
      <c r="X33" s="206">
        <f>X29</f>
        <v>-5.355000000000004</v>
      </c>
      <c r="Y33" s="207">
        <f>Y29</f>
        <v>-5.9500000000000053E-2</v>
      </c>
      <c r="Z33" s="41"/>
      <c r="AA33" s="128"/>
      <c r="AB33" s="43"/>
      <c r="AC33" s="130"/>
      <c r="AD33" s="130"/>
      <c r="AE33" s="131"/>
      <c r="AF33" s="172"/>
      <c r="AG33" s="128"/>
      <c r="AH33" s="43"/>
      <c r="AI33" s="130"/>
      <c r="AJ33" s="130"/>
      <c r="AK33" s="131"/>
      <c r="AM33" s="129"/>
      <c r="AN33" s="146"/>
      <c r="AO33" s="146"/>
      <c r="AP33" s="146"/>
      <c r="AQ33" s="146"/>
      <c r="AS33" s="39"/>
      <c r="AT33" s="39"/>
      <c r="AU33" s="39"/>
      <c r="AV33" s="39"/>
    </row>
    <row r="34" spans="1:62" s="35" customFormat="1" ht="12.75" x14ac:dyDescent="0.2">
      <c r="A34" s="47"/>
      <c r="B34" s="40"/>
      <c r="C34" s="55"/>
      <c r="D34" s="131"/>
      <c r="E34" s="127"/>
      <c r="F34" s="127"/>
      <c r="G34" s="127"/>
      <c r="I34" s="168"/>
      <c r="J34" s="168"/>
      <c r="K34" s="169"/>
      <c r="L34" s="169"/>
      <c r="M34" s="170"/>
      <c r="N34" s="171"/>
      <c r="O34" s="171"/>
      <c r="Q34" s="47" t="str">
        <f>Q30</f>
        <v>SellA</v>
      </c>
      <c r="R34" s="47" t="str">
        <f>R30</f>
        <v>Sell</v>
      </c>
      <c r="S34" s="134" t="s">
        <v>221</v>
      </c>
      <c r="T34" s="128">
        <f>T30</f>
        <v>110</v>
      </c>
      <c r="U34" s="43">
        <f>U30</f>
        <v>1.5</v>
      </c>
      <c r="V34" s="128">
        <f>V30</f>
        <v>163.35</v>
      </c>
      <c r="W34" s="155" t="s">
        <v>34</v>
      </c>
      <c r="X34" s="129">
        <f>X30</f>
        <v>13.349999999999994</v>
      </c>
      <c r="Y34" s="153">
        <f>Y30</f>
        <v>8.8999999999999968E-2</v>
      </c>
      <c r="Z34" s="41"/>
      <c r="AA34" s="128"/>
      <c r="AB34" s="43"/>
      <c r="AC34" s="130"/>
      <c r="AD34" s="130"/>
      <c r="AE34" s="131"/>
      <c r="AF34" s="172"/>
      <c r="AG34" s="128"/>
      <c r="AH34" s="43"/>
      <c r="AI34" s="130"/>
      <c r="AJ34" s="130"/>
      <c r="AK34" s="131"/>
      <c r="AM34" s="129"/>
      <c r="AN34" s="146"/>
      <c r="AO34" s="146"/>
      <c r="AP34" s="146"/>
      <c r="AQ34" s="146"/>
      <c r="AS34" s="39"/>
      <c r="AT34" s="39"/>
      <c r="AU34" s="39"/>
      <c r="AV34" s="39"/>
    </row>
    <row r="35" spans="1:62" s="35" customFormat="1" ht="12.75" x14ac:dyDescent="0.2">
      <c r="A35" s="47"/>
      <c r="B35" s="40"/>
      <c r="C35" s="55"/>
      <c r="D35" s="131"/>
      <c r="E35" s="127"/>
      <c r="F35" s="127"/>
      <c r="G35" s="127"/>
      <c r="I35" s="168"/>
      <c r="J35" s="168"/>
      <c r="K35" s="169"/>
      <c r="L35" s="169"/>
      <c r="M35" s="170"/>
      <c r="N35" s="171"/>
      <c r="O35" s="171"/>
      <c r="Q35" s="47" t="str">
        <f>Q27</f>
        <v>BuyA</v>
      </c>
      <c r="R35" s="47" t="str">
        <f>R27</f>
        <v>Buy</v>
      </c>
      <c r="S35" s="134" t="s">
        <v>78</v>
      </c>
      <c r="T35" s="128">
        <f>T27</f>
        <v>100</v>
      </c>
      <c r="U35" s="43">
        <f>U27</f>
        <v>6</v>
      </c>
      <c r="V35" s="128">
        <f>V27</f>
        <v>600</v>
      </c>
      <c r="W35" s="205">
        <f>W27</f>
        <v>98</v>
      </c>
      <c r="X35" s="155" t="s">
        <v>34</v>
      </c>
      <c r="Y35" s="155" t="s">
        <v>34</v>
      </c>
      <c r="Z35" s="41"/>
      <c r="AA35" s="128"/>
      <c r="AB35" s="43"/>
      <c r="AC35" s="130"/>
      <c r="AD35" s="130"/>
      <c r="AE35" s="131"/>
      <c r="AF35" s="172"/>
      <c r="AG35" s="128"/>
      <c r="AH35" s="43"/>
      <c r="AI35" s="130"/>
      <c r="AJ35" s="130"/>
      <c r="AK35" s="131"/>
      <c r="AM35" s="129"/>
      <c r="AN35" s="146"/>
      <c r="AO35" s="146"/>
      <c r="AP35" s="146"/>
      <c r="AQ35" s="146"/>
      <c r="AS35" s="39"/>
      <c r="AT35" s="39"/>
      <c r="AU35" s="39"/>
      <c r="AV35" s="39"/>
    </row>
    <row r="36" spans="1:62" ht="12.75" x14ac:dyDescent="0.2">
      <c r="A36" s="152"/>
      <c r="B36" s="33"/>
      <c r="C36" s="68"/>
      <c r="D36" s="126"/>
      <c r="E36" s="97"/>
      <c r="F36" s="97"/>
      <c r="G36" s="97"/>
      <c r="K36" s="94"/>
      <c r="L36" s="94"/>
      <c r="M36" s="126"/>
      <c r="N36" s="97"/>
      <c r="O36" s="97"/>
      <c r="Q36" s="12"/>
      <c r="R36" s="12"/>
      <c r="S36" s="12"/>
      <c r="T36" s="139"/>
      <c r="U36" s="140"/>
      <c r="V36" s="139"/>
      <c r="W36" s="139"/>
      <c r="X36" s="12"/>
      <c r="Y36" s="12"/>
      <c r="Z36" s="12"/>
      <c r="AA36" s="141"/>
      <c r="AB36" s="141"/>
      <c r="AC36" s="141"/>
      <c r="AD36" s="141"/>
      <c r="AE36" s="142"/>
      <c r="AF36" s="142"/>
      <c r="AG36" s="141"/>
      <c r="AH36" s="141"/>
      <c r="AI36" s="141"/>
      <c r="AJ36" s="141"/>
      <c r="AK36" s="142"/>
      <c r="AM36" s="141"/>
      <c r="AN36" s="141"/>
      <c r="AO36" s="141"/>
      <c r="AP36" s="141"/>
      <c r="AQ36" s="142"/>
    </row>
    <row r="37" spans="1:62" ht="12.75" x14ac:dyDescent="0.2">
      <c r="A37" s="152"/>
      <c r="B37" s="33"/>
      <c r="C37" s="68"/>
      <c r="D37" s="126"/>
      <c r="E37" s="97"/>
      <c r="F37" s="97"/>
      <c r="G37" s="97"/>
      <c r="K37" s="94"/>
      <c r="L37" s="94"/>
      <c r="M37" s="126"/>
      <c r="N37" s="97"/>
      <c r="O37" s="97"/>
      <c r="Q37" s="12"/>
      <c r="R37" s="12"/>
      <c r="S37" s="12"/>
      <c r="T37" s="139"/>
      <c r="U37" s="140"/>
      <c r="V37" s="139"/>
      <c r="W37" s="139"/>
      <c r="X37" s="12"/>
      <c r="Y37" s="12"/>
      <c r="Z37" s="12"/>
      <c r="AA37" s="141"/>
      <c r="AB37" s="141"/>
      <c r="AC37" s="141"/>
      <c r="AD37" s="141"/>
      <c r="AE37" s="142"/>
      <c r="AF37" s="142"/>
      <c r="AG37" s="141"/>
      <c r="AH37" s="141"/>
      <c r="AI37" s="141"/>
      <c r="AJ37" s="141"/>
      <c r="AK37" s="142"/>
      <c r="AM37" s="141"/>
      <c r="AN37" s="141"/>
      <c r="AO37" s="141"/>
      <c r="AP37" s="141"/>
      <c r="AQ37" s="142"/>
    </row>
    <row r="38" spans="1:62" ht="12.75" x14ac:dyDescent="0.2">
      <c r="A38" s="152"/>
      <c r="B38" s="33"/>
      <c r="C38" s="68"/>
      <c r="D38" s="126"/>
      <c r="E38" s="97"/>
      <c r="F38" s="97"/>
      <c r="G38" s="97"/>
      <c r="K38" s="94"/>
      <c r="L38" s="94"/>
      <c r="M38" s="126"/>
      <c r="N38" s="97"/>
      <c r="O38" s="97"/>
      <c r="Q38" s="12"/>
      <c r="R38" s="12"/>
      <c r="S38" s="12"/>
      <c r="T38" s="139"/>
      <c r="U38" s="140"/>
      <c r="V38" s="139"/>
      <c r="W38" s="139"/>
      <c r="X38" s="12"/>
      <c r="Y38" s="12"/>
      <c r="Z38" s="12"/>
      <c r="AA38" s="141"/>
      <c r="AB38" s="141"/>
      <c r="AC38" s="141"/>
      <c r="AD38" s="141"/>
      <c r="AE38" s="142"/>
      <c r="AF38" s="142"/>
      <c r="AG38" s="141"/>
      <c r="AH38" s="141"/>
      <c r="AI38" s="141"/>
      <c r="AJ38" s="141"/>
      <c r="AK38" s="142"/>
      <c r="AM38" s="141"/>
      <c r="AN38" s="141"/>
      <c r="AO38" s="141"/>
      <c r="AP38" s="141"/>
      <c r="AQ38" s="142"/>
    </row>
    <row r="39" spans="1:62" ht="12.75" x14ac:dyDescent="0.2">
      <c r="A39" s="45"/>
      <c r="B39" s="33"/>
      <c r="C39" s="68"/>
      <c r="D39" s="126"/>
      <c r="E39" s="97"/>
      <c r="F39" s="97"/>
      <c r="G39" s="97"/>
      <c r="K39" s="33"/>
      <c r="L39" s="33"/>
      <c r="M39" s="126"/>
      <c r="N39" s="97"/>
      <c r="O39" s="97"/>
      <c r="Q39" s="12"/>
      <c r="R39" s="12"/>
      <c r="S39" s="12"/>
      <c r="T39" s="139"/>
      <c r="U39" s="140"/>
      <c r="V39" s="139"/>
      <c r="W39" s="139"/>
      <c r="X39" s="12"/>
      <c r="Y39" s="12"/>
      <c r="Z39" s="12"/>
      <c r="AA39" s="141"/>
      <c r="AB39" s="141"/>
      <c r="AC39" s="141"/>
      <c r="AD39" s="141"/>
      <c r="AE39" s="142"/>
      <c r="AF39" s="142"/>
      <c r="AG39" s="141"/>
      <c r="AH39" s="141"/>
      <c r="AI39" s="141"/>
      <c r="AJ39" s="141"/>
      <c r="AK39" s="142"/>
      <c r="AM39" s="141"/>
      <c r="AN39" s="141"/>
      <c r="AO39" s="141"/>
      <c r="AP39" s="141"/>
      <c r="AQ39" s="142"/>
    </row>
    <row r="40" spans="1:62" ht="12.75" x14ac:dyDescent="0.2"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3"/>
      <c r="AB40" s="13"/>
      <c r="AC40" s="13"/>
      <c r="AD40" s="13"/>
      <c r="AE40" s="30"/>
      <c r="AF40" s="30"/>
      <c r="AG40" s="13"/>
      <c r="AH40" s="13"/>
      <c r="AI40" s="13"/>
      <c r="AJ40" s="13"/>
      <c r="AK40" s="30"/>
      <c r="AM40" s="13"/>
      <c r="AN40" s="13"/>
      <c r="AO40" s="13"/>
      <c r="AP40" s="13"/>
      <c r="AQ40" s="30"/>
    </row>
    <row r="42" spans="1:62" ht="15.75" customHeight="1" x14ac:dyDescent="0.2">
      <c r="B42" s="66" t="s">
        <v>31</v>
      </c>
      <c r="C42" s="34"/>
      <c r="AA42" s="56" t="s">
        <v>27</v>
      </c>
      <c r="AB42" s="12"/>
      <c r="AC42" s="12"/>
      <c r="AD42" s="12"/>
      <c r="AE42" s="12"/>
      <c r="AF42" s="12"/>
      <c r="AG42" s="56" t="s">
        <v>28</v>
      </c>
      <c r="AH42" s="12"/>
      <c r="AI42" s="12"/>
      <c r="AJ42" s="12"/>
      <c r="AK42" s="12"/>
      <c r="AQ42" s="34" t="s">
        <v>52</v>
      </c>
      <c r="AW42" s="34" t="s">
        <v>53</v>
      </c>
      <c r="BD42" s="34" t="s">
        <v>65</v>
      </c>
    </row>
    <row r="43" spans="1:62" ht="15.75" customHeight="1" x14ac:dyDescent="0.2">
      <c r="B43" s="28" t="s">
        <v>61</v>
      </c>
      <c r="C43" s="28"/>
      <c r="D43" s="28" t="s">
        <v>29</v>
      </c>
      <c r="E43" s="57" t="s">
        <v>63</v>
      </c>
      <c r="F43" s="57" t="s">
        <v>72</v>
      </c>
      <c r="G43" s="57"/>
      <c r="H43" s="103"/>
      <c r="I43" s="103"/>
      <c r="J43" s="103"/>
      <c r="K43" s="103"/>
      <c r="L43" s="103"/>
      <c r="M43" s="103"/>
      <c r="N43" s="103"/>
      <c r="O43" s="103"/>
      <c r="Q43" s="28" t="s">
        <v>3</v>
      </c>
      <c r="R43" s="28"/>
      <c r="S43" s="57" t="s">
        <v>50</v>
      </c>
      <c r="T43" s="57" t="s">
        <v>70</v>
      </c>
      <c r="U43" s="28" t="s">
        <v>1</v>
      </c>
      <c r="V43" s="57" t="s">
        <v>62</v>
      </c>
      <c r="W43" s="57" t="s">
        <v>9</v>
      </c>
      <c r="X43" s="57"/>
      <c r="AA43" s="28" t="s">
        <v>30</v>
      </c>
      <c r="AB43" s="28" t="s">
        <v>1</v>
      </c>
      <c r="AC43" s="57" t="s">
        <v>10</v>
      </c>
      <c r="AD43" s="57"/>
      <c r="AE43" s="57" t="s">
        <v>64</v>
      </c>
      <c r="AF43" s="60"/>
      <c r="AG43" s="28" t="s">
        <v>30</v>
      </c>
      <c r="AH43" s="28" t="s">
        <v>1</v>
      </c>
      <c r="AI43" s="57" t="s">
        <v>10</v>
      </c>
      <c r="AJ43" s="57"/>
      <c r="AK43" s="57" t="s">
        <v>64</v>
      </c>
      <c r="AL43" s="28" t="s">
        <v>58</v>
      </c>
      <c r="AM43" s="28"/>
      <c r="AN43" s="28" t="s">
        <v>59</v>
      </c>
      <c r="AO43" s="28" t="s">
        <v>60</v>
      </c>
      <c r="AQ43" s="61" t="s">
        <v>54</v>
      </c>
      <c r="AR43" s="61" t="s">
        <v>57</v>
      </c>
      <c r="AS43" s="61" t="s">
        <v>55</v>
      </c>
      <c r="AT43" s="61" t="s">
        <v>57</v>
      </c>
      <c r="AU43" s="61" t="s">
        <v>56</v>
      </c>
      <c r="AV43" s="61" t="s">
        <v>57</v>
      </c>
      <c r="AW43" s="28" t="s">
        <v>54</v>
      </c>
      <c r="AX43" s="28" t="s">
        <v>57</v>
      </c>
      <c r="AY43" s="28" t="s">
        <v>55</v>
      </c>
      <c r="AZ43" s="28" t="s">
        <v>57</v>
      </c>
      <c r="BA43" s="28" t="s">
        <v>56</v>
      </c>
      <c r="BB43" s="28" t="s">
        <v>57</v>
      </c>
      <c r="BC43" s="60"/>
      <c r="BD43" s="61" t="s">
        <v>54</v>
      </c>
      <c r="BE43" s="61" t="s">
        <v>57</v>
      </c>
      <c r="BF43" s="61" t="s">
        <v>55</v>
      </c>
      <c r="BG43" s="61" t="s">
        <v>57</v>
      </c>
      <c r="BH43" s="61" t="s">
        <v>66</v>
      </c>
      <c r="BI43" s="61" t="s">
        <v>56</v>
      </c>
      <c r="BJ43" s="61" t="s">
        <v>57</v>
      </c>
    </row>
    <row r="44" spans="1:62" ht="15.75" customHeight="1" x14ac:dyDescent="0.2">
      <c r="B44" s="33">
        <v>100</v>
      </c>
      <c r="C44" s="33"/>
      <c r="D44" s="29">
        <v>0.7</v>
      </c>
      <c r="E44" s="50">
        <v>5</v>
      </c>
      <c r="F44">
        <v>10</v>
      </c>
      <c r="Q44" s="12" t="s">
        <v>32</v>
      </c>
      <c r="R44" s="12"/>
      <c r="S44" s="13"/>
      <c r="T44" s="13"/>
      <c r="U44" s="13">
        <v>200</v>
      </c>
      <c r="V44" s="58" t="e">
        <f>U44/#REF!</f>
        <v>#REF!</v>
      </c>
      <c r="W44" s="58"/>
      <c r="X44" s="58"/>
      <c r="AA44" s="31" t="e">
        <f>#REF!</f>
        <v>#REF!</v>
      </c>
      <c r="AB44" s="31">
        <f>U44*D44</f>
        <v>140</v>
      </c>
      <c r="AC44" s="63" t="e">
        <f>(#REF!+(#REF!*(F44/100)))/(1-#REF!/100)</f>
        <v>#REF!</v>
      </c>
      <c r="AD44" s="63"/>
      <c r="AE44" s="32" t="e">
        <f>AB44/AA44</f>
        <v>#REF!</v>
      </c>
      <c r="AF44" s="32"/>
      <c r="AG44" s="31" t="e">
        <f>#REF!</f>
        <v>#REF!</v>
      </c>
      <c r="AH44" s="31">
        <f>U44*(1-D44)</f>
        <v>60.000000000000007</v>
      </c>
      <c r="AI44" s="63" t="e">
        <f>(#REF!+(#REF!*(F44/100)))/(1-#REF!/100)</f>
        <v>#REF!</v>
      </c>
      <c r="AJ44" s="63"/>
      <c r="AK44" s="32" t="e">
        <f>AH44/AG44</f>
        <v>#REF!</v>
      </c>
      <c r="AL44" s="32" t="e">
        <f>AE44</f>
        <v>#REF!</v>
      </c>
      <c r="AM44" s="32"/>
      <c r="AN44" s="32" t="e">
        <f>AK44</f>
        <v>#REF!</v>
      </c>
      <c r="AO44" s="32" t="e">
        <f>AL44+AN44</f>
        <v>#REF!</v>
      </c>
      <c r="AQ44" s="52">
        <v>0</v>
      </c>
      <c r="AR44" s="50">
        <v>0</v>
      </c>
      <c r="AS44" s="52">
        <v>0</v>
      </c>
      <c r="AT44" s="50">
        <v>0</v>
      </c>
      <c r="AU44" s="52">
        <v>0</v>
      </c>
      <c r="AV44" s="54">
        <v>0</v>
      </c>
      <c r="AW44" s="52">
        <v>0</v>
      </c>
      <c r="AX44" s="50">
        <v>0</v>
      </c>
      <c r="AY44" s="52">
        <v>0</v>
      </c>
      <c r="AZ44" s="50">
        <v>0</v>
      </c>
      <c r="BA44" s="52">
        <v>0</v>
      </c>
      <c r="BB44" s="50">
        <v>0</v>
      </c>
      <c r="BC44" s="50"/>
      <c r="BD44" s="52">
        <v>0</v>
      </c>
      <c r="BE44" s="50">
        <v>0</v>
      </c>
      <c r="BF44" s="52">
        <v>0</v>
      </c>
      <c r="BG44" s="50">
        <v>0</v>
      </c>
      <c r="BH44" s="52">
        <v>0</v>
      </c>
      <c r="BI44" s="52">
        <v>0</v>
      </c>
      <c r="BJ44" s="50">
        <v>0</v>
      </c>
    </row>
    <row r="45" spans="1:62" ht="15.75" customHeight="1" x14ac:dyDescent="0.2">
      <c r="B45" s="36">
        <v>100</v>
      </c>
      <c r="C45" s="36"/>
      <c r="D45" s="37">
        <v>0.7</v>
      </c>
      <c r="E45" s="51">
        <v>5</v>
      </c>
      <c r="F45" s="35">
        <v>10</v>
      </c>
      <c r="G45" s="35"/>
      <c r="Q45" s="41" t="s">
        <v>51</v>
      </c>
      <c r="R45" s="41"/>
      <c r="S45" s="42">
        <v>20</v>
      </c>
      <c r="T45" s="42"/>
      <c r="U45" s="42"/>
      <c r="V45" s="59"/>
      <c r="W45" s="59"/>
      <c r="X45" s="59"/>
      <c r="AA45" s="38"/>
      <c r="AB45" s="38"/>
      <c r="AC45" s="65"/>
      <c r="AD45" s="65"/>
      <c r="AE45" s="39"/>
      <c r="AF45" s="32"/>
      <c r="AG45" s="38"/>
      <c r="AH45" s="38"/>
      <c r="AI45" s="38"/>
      <c r="AJ45" s="38"/>
      <c r="AK45" s="39"/>
      <c r="AL45" s="39" t="e">
        <f t="shared" ref="AL45:AO45" si="3">AL44</f>
        <v>#REF!</v>
      </c>
      <c r="AM45" s="39"/>
      <c r="AN45" s="39" t="e">
        <f t="shared" si="3"/>
        <v>#REF!</v>
      </c>
      <c r="AO45" s="39" t="e">
        <f t="shared" si="3"/>
        <v>#REF!</v>
      </c>
      <c r="AQ45" s="40">
        <f>AQ44</f>
        <v>0</v>
      </c>
      <c r="AR45" s="51">
        <f t="shared" ref="AR45:AT45" si="4">AR44</f>
        <v>0</v>
      </c>
      <c r="AS45" s="40">
        <f t="shared" si="4"/>
        <v>0</v>
      </c>
      <c r="AT45" s="51">
        <f t="shared" si="4"/>
        <v>0</v>
      </c>
      <c r="AU45" s="40">
        <f>AU44</f>
        <v>0</v>
      </c>
      <c r="AV45" s="55">
        <f>AU45/U44</f>
        <v>0</v>
      </c>
      <c r="AW45" s="40">
        <f>AW44</f>
        <v>0</v>
      </c>
      <c r="AX45" s="51">
        <f t="shared" ref="AX45" si="5">AX44</f>
        <v>0</v>
      </c>
      <c r="AY45" s="40">
        <f t="shared" ref="AY45" si="6">AY44</f>
        <v>0</v>
      </c>
      <c r="AZ45" s="51">
        <f t="shared" ref="AZ45" si="7">AZ44</f>
        <v>0</v>
      </c>
      <c r="BA45" s="40">
        <f>BA44</f>
        <v>0</v>
      </c>
      <c r="BB45" s="51">
        <f t="shared" ref="BB45" si="8">BB44</f>
        <v>0</v>
      </c>
      <c r="BC45" s="50"/>
      <c r="BD45" s="40">
        <f>AQ45+AW45</f>
        <v>0</v>
      </c>
      <c r="BE45" s="51">
        <f t="shared" ref="BE45" si="9">BE44</f>
        <v>0</v>
      </c>
      <c r="BF45" s="40">
        <f t="shared" ref="BF45" si="10">BF44</f>
        <v>0</v>
      </c>
      <c r="BG45" s="51">
        <f t="shared" ref="BG45" si="11">BG44</f>
        <v>0</v>
      </c>
      <c r="BH45" s="65">
        <f>S45</f>
        <v>20</v>
      </c>
      <c r="BI45" s="65">
        <f>BD45+BF45+BH45</f>
        <v>20</v>
      </c>
      <c r="BJ45" s="55">
        <f>BI45/(AB44+AH44)</f>
        <v>0.1</v>
      </c>
    </row>
    <row r="46" spans="1:62" ht="15.75" customHeight="1" x14ac:dyDescent="0.2">
      <c r="B46" s="33">
        <v>300</v>
      </c>
      <c r="C46" s="33"/>
      <c r="D46" s="29">
        <v>0.7</v>
      </c>
      <c r="E46" s="50">
        <v>5</v>
      </c>
      <c r="F46">
        <v>10</v>
      </c>
      <c r="Q46" t="s">
        <v>33</v>
      </c>
      <c r="S46" s="33"/>
      <c r="T46" s="33"/>
      <c r="U46" s="33">
        <v>400</v>
      </c>
      <c r="V46" s="50" t="e">
        <f>U46/#REF!</f>
        <v>#REF!</v>
      </c>
      <c r="W46" s="50"/>
      <c r="X46" s="50"/>
      <c r="AA46" s="31" t="e">
        <f>AA44</f>
        <v>#REF!</v>
      </c>
      <c r="AB46" s="31">
        <v>140</v>
      </c>
      <c r="AC46" s="63" t="e">
        <f>(#REF!+(#REF!*(F44/100)))/(1-#REF!/100)</f>
        <v>#REF!</v>
      </c>
      <c r="AD46" s="63"/>
      <c r="AE46" s="32">
        <v>1.4</v>
      </c>
      <c r="AF46" s="32"/>
      <c r="AG46" s="31">
        <v>100</v>
      </c>
      <c r="AH46" s="31">
        <v>60.000000000000007</v>
      </c>
      <c r="AI46" s="63" t="e">
        <f>(#REF!+(#REF!*(F44/100)))/(1-#REF!/100)</f>
        <v>#REF!</v>
      </c>
      <c r="AJ46" s="63"/>
      <c r="AK46" s="32">
        <v>0.60000000000000009</v>
      </c>
      <c r="AL46" s="32" t="e">
        <f>AL45+AE47</f>
        <v>#REF!</v>
      </c>
      <c r="AM46" s="32"/>
      <c r="AN46" s="32" t="e">
        <f>AN45</f>
        <v>#REF!</v>
      </c>
      <c r="AO46" s="32" t="e">
        <f>AL46+AN46</f>
        <v>#REF!</v>
      </c>
      <c r="AQ46" s="52">
        <f>AQ45</f>
        <v>0</v>
      </c>
      <c r="AR46" s="50">
        <f>AR45</f>
        <v>0</v>
      </c>
      <c r="AS46" s="52">
        <f>AS45</f>
        <v>0</v>
      </c>
      <c r="AT46" s="50">
        <f>AT45</f>
        <v>0</v>
      </c>
      <c r="AU46" s="52">
        <f>AU45</f>
        <v>0</v>
      </c>
      <c r="AV46" s="64">
        <f>AU46 / (U44+U46)</f>
        <v>0</v>
      </c>
      <c r="AW46" s="52" t="e">
        <f>(B46*AL46)-(AB46+AB47)</f>
        <v>#REF!</v>
      </c>
      <c r="AX46" s="54" t="e">
        <f>AW46/(AB46+AB47)</f>
        <v>#REF!</v>
      </c>
      <c r="AY46" s="52" t="e">
        <f>(AN46*B46)-AH46</f>
        <v>#REF!</v>
      </c>
      <c r="AZ46" s="53" t="e">
        <f>AY46/(AG46*AK46)</f>
        <v>#REF!</v>
      </c>
      <c r="BA46" s="52" t="e">
        <f>AW46+AY46</f>
        <v>#REF!</v>
      </c>
      <c r="BB46" s="62" t="e">
        <f>BA46/(AB46+AB47+AH46)</f>
        <v>#REF!</v>
      </c>
      <c r="BC46" s="62"/>
      <c r="BD46" s="52" t="e">
        <f>AQ46+AW46</f>
        <v>#REF!</v>
      </c>
      <c r="BE46" s="54" t="e">
        <f>AX46</f>
        <v>#REF!</v>
      </c>
      <c r="BF46" s="52" t="e">
        <f>AS46+AY46</f>
        <v>#REF!</v>
      </c>
      <c r="BG46" s="53" t="e">
        <f>BF46/AH46</f>
        <v>#REF!</v>
      </c>
      <c r="BH46" s="63">
        <f>BH45</f>
        <v>20</v>
      </c>
      <c r="BI46" s="52" t="e">
        <f>BD46+BF46+BH46</f>
        <v>#REF!</v>
      </c>
      <c r="BJ46" s="54" t="e">
        <f>BI46/(AB46+AB47+AH46)</f>
        <v>#REF!</v>
      </c>
    </row>
    <row r="47" spans="1:62" ht="15.75" customHeight="1" x14ac:dyDescent="0.2">
      <c r="E47" s="50"/>
      <c r="V47" s="50"/>
      <c r="W47" s="50"/>
      <c r="X47" s="50"/>
      <c r="AA47" s="31" t="e">
        <f>#REF!</f>
        <v>#REF!</v>
      </c>
      <c r="AB47" s="31">
        <f>U46</f>
        <v>400</v>
      </c>
      <c r="AC47" s="63" t="e">
        <f>(#REF!+(#REF!*(F46/100)))/(1-#REF!/100)</f>
        <v>#REF!</v>
      </c>
      <c r="AD47" s="63"/>
      <c r="AE47" s="32" t="e">
        <f>AB47/AA47</f>
        <v>#REF!</v>
      </c>
      <c r="AF47" s="32"/>
      <c r="AG47" s="49" t="s">
        <v>34</v>
      </c>
      <c r="AH47" s="49" t="s">
        <v>34</v>
      </c>
      <c r="AI47" s="49" t="s">
        <v>34</v>
      </c>
      <c r="AJ47" s="49"/>
      <c r="AK47" s="49" t="s">
        <v>34</v>
      </c>
      <c r="AR47" s="50"/>
      <c r="AT47" s="50"/>
      <c r="AV47" s="54"/>
      <c r="AW47" s="31"/>
      <c r="AX47" s="54"/>
      <c r="AZ47" s="50"/>
      <c r="BB47" s="50"/>
      <c r="BC47" s="50"/>
      <c r="BE47" s="50"/>
      <c r="BG47" s="50"/>
      <c r="BH47" s="63"/>
      <c r="BJ47" s="50"/>
    </row>
    <row r="48" spans="1:62" ht="15.75" customHeight="1" x14ac:dyDescent="0.2">
      <c r="B48" s="36">
        <v>910</v>
      </c>
      <c r="C48" s="36"/>
      <c r="D48" s="37">
        <v>0.7</v>
      </c>
      <c r="E48" s="51">
        <v>5</v>
      </c>
      <c r="F48" s="35">
        <v>10</v>
      </c>
      <c r="G48" s="35"/>
      <c r="Q48" s="35" t="s">
        <v>35</v>
      </c>
      <c r="R48" s="35"/>
      <c r="S48" s="36"/>
      <c r="T48" s="36"/>
      <c r="U48" s="36">
        <v>350</v>
      </c>
      <c r="V48" s="51" t="e">
        <f>U48/#REF!</f>
        <v>#REF!</v>
      </c>
      <c r="W48" s="51"/>
      <c r="X48" s="51"/>
      <c r="AA48" s="38" t="e">
        <f>AA46</f>
        <v>#REF!</v>
      </c>
      <c r="AB48" s="38">
        <v>140</v>
      </c>
      <c r="AC48" s="65" t="e">
        <f>AC46</f>
        <v>#REF!</v>
      </c>
      <c r="AD48" s="65"/>
      <c r="AE48" s="39">
        <v>1.4</v>
      </c>
      <c r="AF48" s="32"/>
      <c r="AG48" s="38">
        <v>100</v>
      </c>
      <c r="AH48" s="38">
        <v>60.000000000000007</v>
      </c>
      <c r="AI48" s="65" t="e">
        <f>AI46</f>
        <v>#REF!</v>
      </c>
      <c r="AJ48" s="65"/>
      <c r="AK48" s="39">
        <v>0.60000000000000009</v>
      </c>
      <c r="AL48" s="39" t="e">
        <f>AL46</f>
        <v>#REF!</v>
      </c>
      <c r="AM48" s="39"/>
      <c r="AN48" s="39" t="e">
        <f>AN46+AK49</f>
        <v>#REF!</v>
      </c>
      <c r="AO48" s="39" t="e">
        <f>AL48+AN48</f>
        <v>#REF!</v>
      </c>
      <c r="AQ48" s="40">
        <f t="shared" ref="AQ48:AV48" si="12">AQ46</f>
        <v>0</v>
      </c>
      <c r="AR48" s="51">
        <f t="shared" si="12"/>
        <v>0</v>
      </c>
      <c r="AS48" s="40">
        <f t="shared" si="12"/>
        <v>0</v>
      </c>
      <c r="AT48" s="51">
        <f t="shared" si="12"/>
        <v>0</v>
      </c>
      <c r="AU48" s="40">
        <f t="shared" si="12"/>
        <v>0</v>
      </c>
      <c r="AV48" s="55">
        <f t="shared" si="12"/>
        <v>0</v>
      </c>
      <c r="AW48" s="40" t="e">
        <f>(B48*AL48)-(AB48+AB49)</f>
        <v>#REF!</v>
      </c>
      <c r="AX48" s="55" t="e">
        <f>AW48/(AB48+AB49)</f>
        <v>#REF!</v>
      </c>
      <c r="AY48" s="40" t="e">
        <f>(AN48*B48)-(AH48+AH49)</f>
        <v>#REF!</v>
      </c>
      <c r="AZ48" s="55" t="e">
        <f>AY48/(AH48+AH49)</f>
        <v>#REF!</v>
      </c>
      <c r="BA48" s="40" t="e">
        <f>AW48+AY48</f>
        <v>#REF!</v>
      </c>
      <c r="BB48" s="55" t="e">
        <f>BA48/(AB48+AB49+AH48+AH49)</f>
        <v>#REF!</v>
      </c>
      <c r="BC48" s="50"/>
      <c r="BD48" s="40" t="e">
        <f>AQ48+AW48</f>
        <v>#REF!</v>
      </c>
      <c r="BE48" s="55" t="e">
        <f>AX48</f>
        <v>#REF!</v>
      </c>
      <c r="BF48" s="40" t="e">
        <f>AS48+AY48</f>
        <v>#REF!</v>
      </c>
      <c r="BG48" s="55" t="e">
        <f>BF48/(AH48+AH49)</f>
        <v>#REF!</v>
      </c>
      <c r="BH48" s="65">
        <f>BH46</f>
        <v>20</v>
      </c>
      <c r="BI48" s="40" t="e">
        <f>BD48+BF48+BH48</f>
        <v>#REF!</v>
      </c>
      <c r="BJ48" s="55" t="e">
        <f>BI48/(AB48+AB49+AH48+AH49)</f>
        <v>#REF!</v>
      </c>
    </row>
    <row r="49" spans="2:62" ht="15.75" customHeight="1" x14ac:dyDescent="0.2">
      <c r="B49" s="35"/>
      <c r="C49" s="35"/>
      <c r="D49" s="35"/>
      <c r="E49" s="51"/>
      <c r="F49" s="35"/>
      <c r="G49" s="35"/>
      <c r="Q49" s="35"/>
      <c r="R49" s="35"/>
      <c r="S49" s="35"/>
      <c r="T49" s="35"/>
      <c r="U49" s="35"/>
      <c r="V49" s="51"/>
      <c r="W49" s="51"/>
      <c r="X49" s="51"/>
      <c r="AA49" s="38" t="e">
        <f>AA47</f>
        <v>#REF!</v>
      </c>
      <c r="AB49" s="38">
        <v>400</v>
      </c>
      <c r="AC49" s="65" t="e">
        <f>AC47</f>
        <v>#REF!</v>
      </c>
      <c r="AD49" s="65"/>
      <c r="AE49" s="39">
        <v>1.6</v>
      </c>
      <c r="AF49" s="32"/>
      <c r="AG49" s="36" t="e">
        <f>#REF!</f>
        <v>#REF!</v>
      </c>
      <c r="AH49" s="36">
        <f>U48</f>
        <v>350</v>
      </c>
      <c r="AI49" s="65" t="e">
        <f>(#REF!+(#REF!*(F48/100)))/(1-#REF!/100)</f>
        <v>#REF!</v>
      </c>
      <c r="AJ49" s="65"/>
      <c r="AK49" s="39" t="e">
        <f>AH49/AG49</f>
        <v>#REF!</v>
      </c>
      <c r="AR49" s="50"/>
      <c r="AT49" s="50"/>
      <c r="AV49" s="50"/>
      <c r="AX49" s="50"/>
      <c r="AZ49" s="50"/>
      <c r="BB49" s="50"/>
      <c r="BC49" s="50"/>
      <c r="BE49" s="50"/>
      <c r="BG49" s="50"/>
      <c r="BH49" s="63"/>
      <c r="BJ49" s="50"/>
    </row>
    <row r="50" spans="2:62" ht="15.75" customHeight="1" x14ac:dyDescent="0.2">
      <c r="B50" s="33">
        <v>910</v>
      </c>
      <c r="C50" s="33"/>
      <c r="D50" s="29">
        <v>0.7</v>
      </c>
      <c r="E50" s="50">
        <v>5</v>
      </c>
      <c r="F50">
        <v>10</v>
      </c>
      <c r="Q50" t="s">
        <v>49</v>
      </c>
      <c r="S50" s="33">
        <v>10</v>
      </c>
      <c r="T50" s="33"/>
      <c r="V50" s="50"/>
      <c r="W50" s="50"/>
      <c r="X50" s="50"/>
      <c r="AA50" s="31"/>
      <c r="AB50" s="31"/>
      <c r="AC50" s="31"/>
      <c r="AD50" s="31"/>
      <c r="AE50" s="31"/>
      <c r="AF50" s="31"/>
      <c r="AG50" s="33"/>
      <c r="AH50" s="33"/>
      <c r="AI50" s="31"/>
      <c r="AJ50" s="31"/>
      <c r="AK50" s="32"/>
      <c r="AL50" s="32" t="e">
        <f>AL48</f>
        <v>#REF!</v>
      </c>
      <c r="AM50" s="32"/>
      <c r="AN50" s="32" t="e">
        <f>AN48+AK51</f>
        <v>#REF!</v>
      </c>
      <c r="AO50" s="32" t="e">
        <f>AL50+AN50</f>
        <v>#REF!</v>
      </c>
      <c r="AQ50" s="52">
        <f t="shared" ref="AQ50:AV51" si="13">AQ48</f>
        <v>0</v>
      </c>
      <c r="AR50" s="50">
        <f t="shared" si="13"/>
        <v>0</v>
      </c>
      <c r="AS50" s="52">
        <f t="shared" si="13"/>
        <v>0</v>
      </c>
      <c r="AT50" s="50">
        <f t="shared" si="13"/>
        <v>0</v>
      </c>
      <c r="AU50" s="52">
        <f t="shared" si="13"/>
        <v>0</v>
      </c>
      <c r="AV50" s="62">
        <f t="shared" si="13"/>
        <v>0</v>
      </c>
      <c r="AW50" s="52" t="e">
        <f t="shared" ref="AW50:BB50" si="14">AW48</f>
        <v>#REF!</v>
      </c>
      <c r="AX50" s="62" t="e">
        <f t="shared" si="14"/>
        <v>#REF!</v>
      </c>
      <c r="AY50" s="52" t="e">
        <f t="shared" si="14"/>
        <v>#REF!</v>
      </c>
      <c r="AZ50" s="62" t="e">
        <f t="shared" si="14"/>
        <v>#REF!</v>
      </c>
      <c r="BA50" s="52" t="e">
        <f t="shared" si="14"/>
        <v>#REF!</v>
      </c>
      <c r="BB50" s="62" t="e">
        <f t="shared" si="14"/>
        <v>#REF!</v>
      </c>
      <c r="BC50" s="50"/>
      <c r="BD50" s="52" t="e">
        <f>BD48</f>
        <v>#REF!</v>
      </c>
      <c r="BE50" s="62" t="e">
        <f>BE48</f>
        <v>#REF!</v>
      </c>
      <c r="BF50" s="52" t="e">
        <f>BF48</f>
        <v>#REF!</v>
      </c>
      <c r="BG50" s="62" t="e">
        <f>BG48</f>
        <v>#REF!</v>
      </c>
      <c r="BH50" s="63">
        <f>BH48+S50</f>
        <v>30</v>
      </c>
      <c r="BI50" s="52" t="e">
        <f>BD50+BF50+BH50</f>
        <v>#REF!</v>
      </c>
      <c r="BJ50" s="62" t="e">
        <f>BI50/(AB48+AB49+AH48+AH49)</f>
        <v>#REF!</v>
      </c>
    </row>
    <row r="51" spans="2:62" ht="15.75" customHeight="1" x14ac:dyDescent="0.2">
      <c r="B51" s="36">
        <v>510</v>
      </c>
      <c r="C51" s="36"/>
      <c r="D51" s="37">
        <v>0.7</v>
      </c>
      <c r="E51" s="51">
        <v>5</v>
      </c>
      <c r="F51" s="35">
        <v>10</v>
      </c>
      <c r="G51" s="35"/>
      <c r="Q51" s="35" t="s">
        <v>36</v>
      </c>
      <c r="R51" s="35"/>
      <c r="S51" s="40"/>
      <c r="T51" s="40"/>
      <c r="U51" s="36">
        <v>100</v>
      </c>
      <c r="V51" s="51" t="e">
        <f>U51/#REF!</f>
        <v>#REF!</v>
      </c>
      <c r="W51" s="51"/>
      <c r="X51" s="51"/>
      <c r="AA51" s="38">
        <v>100</v>
      </c>
      <c r="AB51" s="38">
        <v>140</v>
      </c>
      <c r="AC51" s="38" t="e">
        <f>AC48</f>
        <v>#REF!</v>
      </c>
      <c r="AD51" s="38"/>
      <c r="AE51" s="39">
        <v>1.4</v>
      </c>
      <c r="AF51" s="32"/>
      <c r="AG51" s="38">
        <v>100</v>
      </c>
      <c r="AH51" s="38">
        <v>60.000000000000007</v>
      </c>
      <c r="AI51" s="38" t="e">
        <f>AI48</f>
        <v>#REF!</v>
      </c>
      <c r="AJ51" s="38"/>
      <c r="AK51" s="39">
        <v>0.60000000000000009</v>
      </c>
      <c r="AL51" s="39" t="e">
        <f>AE51+AE52+AE53</f>
        <v>#REF!</v>
      </c>
      <c r="AM51" s="39"/>
      <c r="AN51" s="39" t="e">
        <f>AK51+AK52+AK53</f>
        <v>#REF!</v>
      </c>
      <c r="AO51" s="39" t="e">
        <f>AL51+AN51</f>
        <v>#REF!</v>
      </c>
      <c r="AQ51" s="40">
        <f t="shared" si="13"/>
        <v>0</v>
      </c>
      <c r="AR51" s="51">
        <f t="shared" si="13"/>
        <v>0</v>
      </c>
      <c r="AS51" s="40">
        <f t="shared" si="13"/>
        <v>0</v>
      </c>
      <c r="AT51" s="51">
        <f t="shared" si="13"/>
        <v>0</v>
      </c>
      <c r="AU51" s="40">
        <f t="shared" si="13"/>
        <v>0</v>
      </c>
      <c r="AV51" s="55">
        <f t="shared" si="13"/>
        <v>0</v>
      </c>
      <c r="AW51" s="40" t="e">
        <f>(B51*AL51)-(AB51+AB52+AB53)</f>
        <v>#REF!</v>
      </c>
      <c r="AX51" s="55" t="e">
        <f>AW51/(AB51+AB52+AB53)</f>
        <v>#REF!</v>
      </c>
      <c r="AY51" s="40" t="e">
        <f>(AN51*B51)-(AH51+AH52+AH53)</f>
        <v>#REF!</v>
      </c>
      <c r="AZ51" s="55" t="e">
        <f>AY51/(AH51+AH52+AH53)</f>
        <v>#REF!</v>
      </c>
      <c r="BA51" s="40" t="e">
        <f>AW51+AY51</f>
        <v>#REF!</v>
      </c>
      <c r="BB51" s="55" t="e">
        <f>BA51/(AB51+AB52+AB53+AH51+AH52+AH53)</f>
        <v>#REF!</v>
      </c>
      <c r="BC51" s="50"/>
      <c r="BD51" s="40" t="e">
        <f>AQ51+AW51</f>
        <v>#REF!</v>
      </c>
      <c r="BE51" s="55" t="e">
        <f>AX51</f>
        <v>#REF!</v>
      </c>
      <c r="BF51" s="40" t="e">
        <f>AS51+AY51</f>
        <v>#REF!</v>
      </c>
      <c r="BG51" s="55" t="e">
        <f>BF51/(AH51+AH52+AH53)</f>
        <v>#REF!</v>
      </c>
      <c r="BH51" s="65">
        <f>BH50</f>
        <v>30</v>
      </c>
      <c r="BI51" s="40" t="e">
        <f>BD51+BF51+BH51</f>
        <v>#REF!</v>
      </c>
      <c r="BJ51" s="55" t="e">
        <f>BI51/(AB51+AB52+AB53+AH51+AH52+AH53)</f>
        <v>#REF!</v>
      </c>
    </row>
    <row r="52" spans="2:62" ht="15.75" customHeight="1" x14ac:dyDescent="0.2">
      <c r="B52" s="35"/>
      <c r="C52" s="35"/>
      <c r="D52" s="35"/>
      <c r="E52" s="51"/>
      <c r="F52" s="35"/>
      <c r="G52" s="35"/>
      <c r="Q52" s="35"/>
      <c r="R52" s="35"/>
      <c r="S52" s="35"/>
      <c r="T52" s="35"/>
      <c r="U52" s="35"/>
      <c r="V52" s="51"/>
      <c r="W52" s="51"/>
      <c r="X52" s="51"/>
      <c r="AA52" s="38">
        <v>250</v>
      </c>
      <c r="AB52" s="38">
        <v>400</v>
      </c>
      <c r="AC52" s="38" t="e">
        <f>AC49</f>
        <v>#REF!</v>
      </c>
      <c r="AD52" s="38"/>
      <c r="AE52" s="39">
        <v>1.6</v>
      </c>
      <c r="AF52" s="32"/>
      <c r="AG52" s="36">
        <v>900</v>
      </c>
      <c r="AH52" s="36">
        <v>350</v>
      </c>
      <c r="AI52" s="38" t="e">
        <f>AI49</f>
        <v>#REF!</v>
      </c>
      <c r="AJ52" s="38"/>
      <c r="AK52" s="39">
        <v>0.3888888888888889</v>
      </c>
      <c r="AL52" s="35"/>
      <c r="AM52" s="35"/>
      <c r="AN52" s="35"/>
      <c r="AO52" s="35"/>
      <c r="AQ52" s="35"/>
      <c r="AR52" s="51"/>
      <c r="AS52" s="35"/>
      <c r="AT52" s="51"/>
      <c r="AU52" s="35"/>
      <c r="AV52" s="51"/>
      <c r="AW52" s="35"/>
      <c r="AX52" s="51"/>
      <c r="AY52" s="35"/>
      <c r="AZ52" s="51"/>
      <c r="BA52" s="35"/>
      <c r="BB52" s="51"/>
      <c r="BC52" s="50"/>
      <c r="BD52" s="35"/>
      <c r="BE52" s="51"/>
      <c r="BF52" s="35"/>
      <c r="BG52" s="51"/>
      <c r="BH52" s="35"/>
      <c r="BI52" s="35"/>
      <c r="BJ52" s="51"/>
    </row>
    <row r="53" spans="2:62" ht="15.75" customHeight="1" x14ac:dyDescent="0.2">
      <c r="B53" s="35"/>
      <c r="C53" s="35"/>
      <c r="D53" s="35"/>
      <c r="E53" s="51"/>
      <c r="F53" s="35"/>
      <c r="G53" s="35"/>
      <c r="Q53" s="35"/>
      <c r="R53" s="35"/>
      <c r="S53" s="35"/>
      <c r="T53" s="35"/>
      <c r="U53" s="35"/>
      <c r="V53" s="51"/>
      <c r="W53" s="51"/>
      <c r="X53" s="51"/>
      <c r="AA53" s="40" t="e">
        <f>#REF!</f>
        <v>#REF!</v>
      </c>
      <c r="AB53" s="36">
        <f>U51*D51</f>
        <v>70</v>
      </c>
      <c r="AC53" s="65" t="e">
        <f>(#REF!+(#REF!*(F51/100)))/(1-#REF!/100)</f>
        <v>#REF!</v>
      </c>
      <c r="AD53" s="65"/>
      <c r="AE53" s="39" t="e">
        <f>AB53/AA53</f>
        <v>#REF!</v>
      </c>
      <c r="AF53" s="31"/>
      <c r="AG53" s="40" t="e">
        <f>#REF!</f>
        <v>#REF!</v>
      </c>
      <c r="AH53" s="36">
        <f>U51*(1-D51)</f>
        <v>30.000000000000004</v>
      </c>
      <c r="AI53" s="65" t="e">
        <f>(#REF!+(#REF!*(F51/100)))/(1-#REF!/100)</f>
        <v>#REF!</v>
      </c>
      <c r="AJ53" s="65"/>
      <c r="AK53" s="39" t="e">
        <f>AH53/AG53</f>
        <v>#REF!</v>
      </c>
      <c r="AL53" s="35"/>
      <c r="AM53" s="35"/>
      <c r="AN53" s="35"/>
      <c r="AO53" s="35"/>
      <c r="AQ53" s="35"/>
      <c r="AR53" s="51"/>
      <c r="AS53" s="35"/>
      <c r="AT53" s="51"/>
      <c r="AU53" s="35"/>
      <c r="AV53" s="51"/>
      <c r="AW53" s="35"/>
      <c r="AX53" s="51"/>
      <c r="AY53" s="35"/>
      <c r="AZ53" s="51"/>
      <c r="BA53" s="35"/>
      <c r="BB53" s="51"/>
      <c r="BC53" s="50"/>
      <c r="BD53" s="35"/>
      <c r="BE53" s="51"/>
      <c r="BF53" s="35"/>
      <c r="BG53" s="51"/>
      <c r="BH53" s="35"/>
      <c r="BI53" s="35"/>
      <c r="BJ53" s="51"/>
    </row>
    <row r="54" spans="2:62" ht="15.75" customHeight="1" x14ac:dyDescent="0.2">
      <c r="E54" s="50"/>
      <c r="V54" s="50"/>
      <c r="W54" s="50"/>
      <c r="X54" s="50"/>
      <c r="AA54" s="52"/>
      <c r="AB54" s="33"/>
      <c r="AC54" s="33"/>
      <c r="AD54" s="33"/>
      <c r="AE54" s="32"/>
      <c r="AF54" s="31"/>
      <c r="AG54" s="52"/>
      <c r="AH54" s="33"/>
      <c r="AI54" s="33"/>
      <c r="AJ54" s="33"/>
      <c r="AK54" s="32"/>
      <c r="AR54" s="50"/>
      <c r="AT54" s="50"/>
      <c r="AV54" s="50"/>
      <c r="AX54" s="50"/>
      <c r="AZ54" s="50"/>
      <c r="BB54" s="50"/>
      <c r="BC54" s="50"/>
      <c r="BE54" s="50"/>
      <c r="BG54" s="50"/>
      <c r="BJ54" s="50"/>
    </row>
    <row r="55" spans="2:62" ht="15.75" customHeight="1" x14ac:dyDescent="0.2">
      <c r="B55" s="66" t="s">
        <v>67</v>
      </c>
      <c r="C55" s="34"/>
      <c r="AA55" s="56" t="s">
        <v>27</v>
      </c>
      <c r="AB55" s="12"/>
      <c r="AC55" s="12"/>
      <c r="AD55" s="12"/>
      <c r="AE55" s="12"/>
      <c r="AF55" s="12"/>
      <c r="AG55" s="56" t="s">
        <v>28</v>
      </c>
      <c r="AH55" s="12"/>
      <c r="AI55" s="12"/>
      <c r="AJ55" s="12"/>
      <c r="AK55" s="12"/>
      <c r="AQ55" s="34" t="s">
        <v>52</v>
      </c>
      <c r="AW55" s="34" t="s">
        <v>53</v>
      </c>
      <c r="BD55" s="34" t="s">
        <v>65</v>
      </c>
    </row>
    <row r="56" spans="2:62" ht="15.75" customHeight="1" x14ac:dyDescent="0.2">
      <c r="B56" s="28" t="s">
        <v>61</v>
      </c>
      <c r="C56" s="28"/>
      <c r="D56" s="28" t="s">
        <v>29</v>
      </c>
      <c r="E56" s="57" t="s">
        <v>63</v>
      </c>
      <c r="F56" s="57" t="s">
        <v>72</v>
      </c>
      <c r="G56" s="57"/>
      <c r="H56" s="103"/>
      <c r="I56" s="103"/>
      <c r="J56" s="103"/>
      <c r="K56" s="103"/>
      <c r="L56" s="103"/>
      <c r="M56" s="103"/>
      <c r="N56" s="103"/>
      <c r="O56" s="103"/>
      <c r="Q56" s="28" t="s">
        <v>3</v>
      </c>
      <c r="R56" s="28"/>
      <c r="S56" s="57" t="s">
        <v>50</v>
      </c>
      <c r="T56" s="57" t="s">
        <v>70</v>
      </c>
      <c r="U56" s="28" t="s">
        <v>1</v>
      </c>
      <c r="V56" s="57" t="s">
        <v>62</v>
      </c>
      <c r="W56" s="57" t="s">
        <v>9</v>
      </c>
      <c r="X56" s="57"/>
      <c r="AA56" s="28" t="s">
        <v>30</v>
      </c>
      <c r="AB56" s="28" t="s">
        <v>1</v>
      </c>
      <c r="AC56" s="57" t="s">
        <v>10</v>
      </c>
      <c r="AD56" s="57"/>
      <c r="AE56" s="57" t="s">
        <v>64</v>
      </c>
      <c r="AF56" s="60"/>
      <c r="AG56" s="28" t="s">
        <v>30</v>
      </c>
      <c r="AH56" s="28" t="s">
        <v>1</v>
      </c>
      <c r="AI56" s="57" t="s">
        <v>10</v>
      </c>
      <c r="AJ56" s="57"/>
      <c r="AK56" s="57" t="s">
        <v>64</v>
      </c>
      <c r="AL56" s="28" t="s">
        <v>58</v>
      </c>
      <c r="AM56" s="28"/>
      <c r="AN56" s="28" t="s">
        <v>59</v>
      </c>
      <c r="AO56" s="28" t="s">
        <v>60</v>
      </c>
      <c r="AQ56" s="61" t="s">
        <v>54</v>
      </c>
      <c r="AR56" s="61" t="s">
        <v>57</v>
      </c>
      <c r="AS56" s="61" t="s">
        <v>55</v>
      </c>
      <c r="AT56" s="61" t="s">
        <v>57</v>
      </c>
      <c r="AU56" s="61" t="s">
        <v>56</v>
      </c>
      <c r="AV56" s="61" t="s">
        <v>57</v>
      </c>
      <c r="AW56" s="28" t="s">
        <v>54</v>
      </c>
      <c r="AX56" s="28" t="s">
        <v>57</v>
      </c>
      <c r="AY56" s="28" t="s">
        <v>55</v>
      </c>
      <c r="AZ56" s="28" t="s">
        <v>57</v>
      </c>
      <c r="BA56" s="28" t="s">
        <v>56</v>
      </c>
      <c r="BB56" s="28" t="s">
        <v>57</v>
      </c>
      <c r="BC56" s="60"/>
      <c r="BD56" s="61" t="s">
        <v>54</v>
      </c>
      <c r="BE56" s="61" t="s">
        <v>57</v>
      </c>
      <c r="BF56" s="61" t="s">
        <v>55</v>
      </c>
      <c r="BG56" s="61" t="s">
        <v>57</v>
      </c>
      <c r="BH56" s="61" t="s">
        <v>66</v>
      </c>
      <c r="BI56" s="61" t="s">
        <v>56</v>
      </c>
      <c r="BJ56" s="61" t="s">
        <v>57</v>
      </c>
    </row>
    <row r="57" spans="2:62" ht="15.75" customHeight="1" x14ac:dyDescent="0.2">
      <c r="B57" s="33">
        <v>200</v>
      </c>
      <c r="C57" s="33"/>
      <c r="D57" s="29">
        <v>0.6</v>
      </c>
      <c r="E57" s="50">
        <v>5</v>
      </c>
      <c r="F57">
        <v>10</v>
      </c>
      <c r="Q57" s="12" t="s">
        <v>68</v>
      </c>
      <c r="R57" s="12"/>
      <c r="S57" s="13"/>
      <c r="T57" s="13"/>
      <c r="U57" s="13">
        <v>400</v>
      </c>
      <c r="V57" s="58" t="e">
        <f>U57/#REF!</f>
        <v>#REF!</v>
      </c>
      <c r="W57" s="58"/>
      <c r="X57" s="58"/>
      <c r="AA57" s="31" t="e">
        <f>#REF!</f>
        <v>#REF!</v>
      </c>
      <c r="AB57" s="31">
        <f>U57*D57</f>
        <v>240</v>
      </c>
      <c r="AC57" s="63" t="e">
        <f>(#REF!+(#REF!*(F57/100)))/(1-#REF!/100)</f>
        <v>#REF!</v>
      </c>
      <c r="AD57" s="63"/>
      <c r="AE57" s="32" t="e">
        <f>AB57/AA57</f>
        <v>#REF!</v>
      </c>
      <c r="AF57" s="32"/>
      <c r="AG57" s="31" t="e">
        <f>#REF!</f>
        <v>#REF!</v>
      </c>
      <c r="AH57" s="31">
        <f>U57*(1-D57)</f>
        <v>160</v>
      </c>
      <c r="AI57" s="63" t="e">
        <f>(#REF!+(#REF!*(F57/100)))/(1-#REF!/100)</f>
        <v>#REF!</v>
      </c>
      <c r="AJ57" s="63"/>
      <c r="AK57" s="32" t="e">
        <f>AH57/AG57</f>
        <v>#REF!</v>
      </c>
      <c r="AL57" s="32" t="e">
        <f>AE57</f>
        <v>#REF!</v>
      </c>
      <c r="AM57" s="32"/>
      <c r="AN57" s="32" t="e">
        <f>AK57</f>
        <v>#REF!</v>
      </c>
      <c r="AO57" s="32" t="e">
        <f>AL57+AN57</f>
        <v>#REF!</v>
      </c>
      <c r="AQ57" s="52">
        <v>0</v>
      </c>
      <c r="AR57" s="50">
        <v>0</v>
      </c>
      <c r="AS57" s="52">
        <v>0</v>
      </c>
      <c r="AT57" s="50">
        <v>0</v>
      </c>
      <c r="AU57" s="52">
        <v>0</v>
      </c>
      <c r="AV57" s="54">
        <v>0</v>
      </c>
      <c r="AW57" s="52">
        <v>0</v>
      </c>
      <c r="AX57" s="50">
        <v>0</v>
      </c>
      <c r="AY57" s="52">
        <v>0</v>
      </c>
      <c r="AZ57" s="50">
        <v>0</v>
      </c>
      <c r="BA57" s="52">
        <v>0</v>
      </c>
      <c r="BB57" s="50">
        <v>0</v>
      </c>
      <c r="BC57" s="50"/>
      <c r="BD57" s="52">
        <v>0</v>
      </c>
      <c r="BE57" s="50">
        <v>0</v>
      </c>
      <c r="BF57" s="52">
        <v>0</v>
      </c>
      <c r="BG57" s="50">
        <v>0</v>
      </c>
      <c r="BH57" s="52">
        <v>0</v>
      </c>
      <c r="BI57" s="52">
        <v>0</v>
      </c>
      <c r="BJ57" s="50">
        <v>0</v>
      </c>
    </row>
    <row r="58" spans="2:62" ht="15.75" customHeight="1" x14ac:dyDescent="0.2">
      <c r="B58" s="36">
        <v>100</v>
      </c>
      <c r="C58" s="36"/>
      <c r="D58" s="37">
        <v>0.6</v>
      </c>
      <c r="E58" s="51">
        <v>5</v>
      </c>
      <c r="F58" s="35">
        <v>10</v>
      </c>
      <c r="G58" s="35"/>
      <c r="Q58" s="41" t="s">
        <v>69</v>
      </c>
      <c r="R58" s="41"/>
      <c r="S58" s="35"/>
      <c r="T58" s="59">
        <v>2</v>
      </c>
      <c r="U58" s="42"/>
      <c r="V58" s="59"/>
      <c r="W58" s="59"/>
      <c r="X58" s="59"/>
      <c r="AA58" s="38" t="e">
        <f>AA57/T58</f>
        <v>#REF!</v>
      </c>
      <c r="AB58" s="38">
        <f>AB57</f>
        <v>240</v>
      </c>
      <c r="AC58" s="65" t="e">
        <f>AC57/T58</f>
        <v>#REF!</v>
      </c>
      <c r="AD58" s="65"/>
      <c r="AE58" s="39" t="e">
        <f>AE57*T58</f>
        <v>#REF!</v>
      </c>
      <c r="AF58" s="32"/>
      <c r="AG58" s="38" t="e">
        <f>AG57/T58</f>
        <v>#REF!</v>
      </c>
      <c r="AH58" s="38">
        <f>AH57</f>
        <v>160</v>
      </c>
      <c r="AI58" s="65" t="e">
        <f>AI57/T58</f>
        <v>#REF!</v>
      </c>
      <c r="AJ58" s="65"/>
      <c r="AK58" s="39" t="e">
        <f>AK57*T58</f>
        <v>#REF!</v>
      </c>
      <c r="AL58" s="39" t="e">
        <f>AL57*T58</f>
        <v>#REF!</v>
      </c>
      <c r="AM58" s="39"/>
      <c r="AN58" s="39" t="e">
        <f>AN57*T58</f>
        <v>#REF!</v>
      </c>
      <c r="AO58" s="39" t="e">
        <f>AL58+AN58</f>
        <v>#REF!</v>
      </c>
      <c r="AQ58" s="40">
        <f t="shared" ref="AQ58:AV58" si="15">AQ57</f>
        <v>0</v>
      </c>
      <c r="AR58" s="51">
        <f t="shared" si="15"/>
        <v>0</v>
      </c>
      <c r="AS58" s="40">
        <f t="shared" si="15"/>
        <v>0</v>
      </c>
      <c r="AT58" s="51">
        <f t="shared" si="15"/>
        <v>0</v>
      </c>
      <c r="AU58" s="40">
        <f t="shared" si="15"/>
        <v>0</v>
      </c>
      <c r="AV58" s="55">
        <f t="shared" si="15"/>
        <v>0</v>
      </c>
      <c r="AW58" s="40">
        <f t="shared" ref="AW58:BB58" si="16">AW57</f>
        <v>0</v>
      </c>
      <c r="AX58" s="51">
        <f t="shared" si="16"/>
        <v>0</v>
      </c>
      <c r="AY58" s="40">
        <f t="shared" si="16"/>
        <v>0</v>
      </c>
      <c r="AZ58" s="51">
        <f t="shared" si="16"/>
        <v>0</v>
      </c>
      <c r="BA58" s="40">
        <f t="shared" si="16"/>
        <v>0</v>
      </c>
      <c r="BB58" s="51">
        <f t="shared" si="16"/>
        <v>0</v>
      </c>
      <c r="BC58" s="50"/>
      <c r="BD58" s="40">
        <f t="shared" ref="BD58:BJ58" si="17">BD57</f>
        <v>0</v>
      </c>
      <c r="BE58" s="51">
        <f t="shared" si="17"/>
        <v>0</v>
      </c>
      <c r="BF58" s="40">
        <f t="shared" si="17"/>
        <v>0</v>
      </c>
      <c r="BG58" s="51">
        <f t="shared" si="17"/>
        <v>0</v>
      </c>
      <c r="BH58" s="40">
        <f t="shared" si="17"/>
        <v>0</v>
      </c>
      <c r="BI58" s="40">
        <f t="shared" si="17"/>
        <v>0</v>
      </c>
      <c r="BJ58" s="51">
        <f t="shared" si="17"/>
        <v>0</v>
      </c>
    </row>
    <row r="59" spans="2:62" ht="15.75" customHeight="1" x14ac:dyDescent="0.2">
      <c r="B59" s="33">
        <v>100</v>
      </c>
      <c r="C59" s="33"/>
      <c r="D59" s="29">
        <v>0.6</v>
      </c>
      <c r="E59" s="50">
        <v>5</v>
      </c>
      <c r="F59">
        <v>10</v>
      </c>
      <c r="Q59" s="12" t="s">
        <v>71</v>
      </c>
      <c r="R59" s="12"/>
      <c r="S59" s="13"/>
      <c r="T59" s="13"/>
      <c r="U59" s="13">
        <v>300</v>
      </c>
      <c r="V59" s="58" t="e">
        <f>U59/#REF!</f>
        <v>#REF!</v>
      </c>
      <c r="W59" s="58"/>
      <c r="X59" s="58"/>
      <c r="AA59" s="31" t="e">
        <f>#REF!</f>
        <v>#REF!</v>
      </c>
      <c r="AB59" s="31">
        <f>U59*D59</f>
        <v>180</v>
      </c>
      <c r="AC59" s="63" t="e">
        <f>(#REF!+(#REF!*(F59/100)))/(1-#REF!/100)</f>
        <v>#REF!</v>
      </c>
      <c r="AD59" s="63"/>
      <c r="AE59" s="32" t="e">
        <f>AB59/AA59</f>
        <v>#REF!</v>
      </c>
      <c r="AF59" s="32"/>
      <c r="AG59" s="31" t="e">
        <f>#REF!</f>
        <v>#REF!</v>
      </c>
      <c r="AH59" s="31">
        <f>U59*(1-D59)</f>
        <v>120</v>
      </c>
      <c r="AI59" s="63" t="e">
        <f>(#REF!+(#REF!*(F59/100)))/(1-#REF!/100)</f>
        <v>#REF!</v>
      </c>
      <c r="AJ59" s="63"/>
      <c r="AK59" s="32" t="e">
        <f>AH59/AG59</f>
        <v>#REF!</v>
      </c>
      <c r="AL59" s="32" t="e">
        <f>AE59+AE60</f>
        <v>#REF!</v>
      </c>
      <c r="AM59" s="32"/>
      <c r="AN59" s="32" t="e">
        <f>AK59+AK60</f>
        <v>#REF!</v>
      </c>
      <c r="AO59" s="32" t="e">
        <f>AL59+AN59</f>
        <v>#REF!</v>
      </c>
      <c r="AQ59" s="52">
        <f>AQ57</f>
        <v>0</v>
      </c>
      <c r="AR59" s="50">
        <f t="shared" ref="AR59:AT59" si="18">AR57</f>
        <v>0</v>
      </c>
      <c r="AS59" s="52">
        <f t="shared" si="18"/>
        <v>0</v>
      </c>
      <c r="AT59" s="50">
        <f t="shared" si="18"/>
        <v>0</v>
      </c>
      <c r="AU59" s="52">
        <f>AU57</f>
        <v>0</v>
      </c>
      <c r="AV59" s="62">
        <f>AU59/U57</f>
        <v>0</v>
      </c>
      <c r="AW59" s="63" t="e">
        <f>(B59*AL59)-(AB59+AB60)</f>
        <v>#REF!</v>
      </c>
      <c r="AX59" s="62" t="e">
        <f>AW59/(AB59+AB60)</f>
        <v>#REF!</v>
      </c>
      <c r="AY59" s="63" t="e">
        <f>(AN59*B59)-(AH59+AH60)</f>
        <v>#REF!</v>
      </c>
      <c r="AZ59" s="62" t="e">
        <f>AY59/(AH59+AH60)</f>
        <v>#REF!</v>
      </c>
      <c r="BA59" s="63" t="e">
        <f>AW59+AY59</f>
        <v>#REF!</v>
      </c>
      <c r="BB59" s="62" t="e">
        <f>BA59/(AB59+AB60+AH59+AH60)</f>
        <v>#REF!</v>
      </c>
      <c r="BC59" s="50"/>
      <c r="BD59" s="63" t="e">
        <f>AQ59+AW59</f>
        <v>#REF!</v>
      </c>
      <c r="BE59" s="62" t="e">
        <f>AX59</f>
        <v>#REF!</v>
      </c>
      <c r="BF59" s="63" t="e">
        <f>AS59+AY59</f>
        <v>#REF!</v>
      </c>
      <c r="BG59" s="62" t="e">
        <f>BF59/(AH59+AH60)</f>
        <v>#REF!</v>
      </c>
      <c r="BH59" s="63">
        <f>BH57</f>
        <v>0</v>
      </c>
      <c r="BI59" s="63" t="e">
        <f>BD59+BF59+BH59</f>
        <v>#REF!</v>
      </c>
      <c r="BJ59" s="62" t="e">
        <f>BI59/(AB59+AB60+AH59+AH60)</f>
        <v>#REF!</v>
      </c>
    </row>
    <row r="60" spans="2:62" ht="15.75" customHeight="1" x14ac:dyDescent="0.2">
      <c r="B60" s="33"/>
      <c r="C60" s="33"/>
      <c r="D60" s="29"/>
      <c r="E60" s="50"/>
      <c r="Q60" s="12"/>
      <c r="R60" s="12"/>
      <c r="S60" s="13"/>
      <c r="T60" s="13"/>
      <c r="U60" s="13"/>
      <c r="V60" s="58"/>
      <c r="W60" s="58"/>
      <c r="X60" s="58"/>
      <c r="AA60" s="31" t="e">
        <f>AA58</f>
        <v>#REF!</v>
      </c>
      <c r="AB60" s="31">
        <f>AB58</f>
        <v>240</v>
      </c>
      <c r="AC60" s="63" t="e">
        <f>AC58</f>
        <v>#REF!</v>
      </c>
      <c r="AD60" s="63"/>
      <c r="AE60" s="32" t="e">
        <f>AE58</f>
        <v>#REF!</v>
      </c>
      <c r="AF60" s="32"/>
      <c r="AG60" s="31" t="e">
        <f>AG58</f>
        <v>#REF!</v>
      </c>
      <c r="AH60" s="31">
        <f>AH58</f>
        <v>160</v>
      </c>
      <c r="AI60" s="63" t="e">
        <f>AI58</f>
        <v>#REF!</v>
      </c>
      <c r="AJ60" s="63"/>
      <c r="AK60" s="32" t="e">
        <f>AK58</f>
        <v>#REF!</v>
      </c>
      <c r="AL60" s="32"/>
      <c r="AM60" s="32"/>
      <c r="AN60" s="32"/>
      <c r="AO60" s="32"/>
      <c r="AQ60" s="52"/>
      <c r="AR60" s="50"/>
      <c r="AS60" s="52"/>
      <c r="AT60" s="50"/>
      <c r="AU60" s="52"/>
      <c r="AV60" s="62"/>
      <c r="AW60" s="52"/>
      <c r="AX60" s="50"/>
      <c r="AY60" s="52"/>
      <c r="AZ60" s="50"/>
      <c r="BA60" s="52"/>
      <c r="BB60" s="50"/>
      <c r="BC60" s="50"/>
      <c r="BD60" s="52"/>
      <c r="BE60" s="50"/>
      <c r="BF60" s="52"/>
      <c r="BG60" s="50"/>
      <c r="BH60" s="63"/>
      <c r="BI60" s="63"/>
      <c r="BJ60" s="62"/>
    </row>
    <row r="61" spans="2:62" ht="15.75" customHeight="1" x14ac:dyDescent="0.2">
      <c r="B61" s="33"/>
      <c r="C61" s="33"/>
      <c r="D61" s="29"/>
      <c r="E61" s="50"/>
      <c r="Q61" s="12"/>
      <c r="R61" s="12"/>
      <c r="S61" s="13"/>
      <c r="T61" s="13"/>
      <c r="U61" s="13"/>
      <c r="V61" s="58"/>
      <c r="W61" s="58"/>
      <c r="X61" s="58"/>
      <c r="AA61" s="31"/>
      <c r="AB61" s="31"/>
      <c r="AC61" s="63"/>
      <c r="AD61" s="63"/>
      <c r="AE61" s="32"/>
      <c r="AF61" s="32"/>
      <c r="AG61" s="31"/>
      <c r="AH61" s="31"/>
      <c r="AI61" s="63"/>
      <c r="AJ61" s="63"/>
      <c r="AK61" s="32"/>
      <c r="AL61" s="32"/>
      <c r="AM61" s="32"/>
      <c r="AN61" s="32"/>
      <c r="AO61" s="32"/>
      <c r="AQ61" s="52"/>
      <c r="AR61" s="50"/>
      <c r="AS61" s="52"/>
      <c r="AT61" s="50"/>
      <c r="AU61" s="52"/>
      <c r="AV61" s="62"/>
      <c r="AW61" s="52"/>
      <c r="AX61" s="50"/>
      <c r="AY61" s="52"/>
      <c r="AZ61" s="50"/>
      <c r="BA61" s="52"/>
      <c r="BB61" s="50"/>
      <c r="BC61" s="50"/>
      <c r="BD61" s="52"/>
      <c r="BE61" s="50"/>
      <c r="BF61" s="52"/>
      <c r="BG61" s="50"/>
      <c r="BH61" s="63"/>
      <c r="BI61" s="63"/>
      <c r="BJ61" s="62"/>
    </row>
    <row r="62" spans="2:62" ht="15.75" customHeight="1" x14ac:dyDescent="0.2">
      <c r="B62" s="67" t="s">
        <v>37</v>
      </c>
      <c r="C62" s="111"/>
      <c r="S62" s="12"/>
      <c r="T62" s="12"/>
      <c r="U62" s="12"/>
      <c r="V62" s="12"/>
      <c r="W62" s="12"/>
      <c r="X62" s="12"/>
      <c r="Y62" s="12"/>
      <c r="Z62" s="12"/>
      <c r="AA62" s="56" t="s">
        <v>27</v>
      </c>
      <c r="AB62" s="12"/>
      <c r="AC62" s="12"/>
      <c r="AD62" s="12"/>
      <c r="AE62" s="12"/>
      <c r="AF62" s="12"/>
      <c r="AG62" s="56" t="s">
        <v>28</v>
      </c>
      <c r="AH62" s="12"/>
      <c r="AI62" s="12"/>
      <c r="AJ62" s="12"/>
      <c r="AK62" s="12"/>
      <c r="AR62" s="33"/>
      <c r="AW62" s="63"/>
    </row>
    <row r="63" spans="2:62" ht="15.75" customHeight="1" x14ac:dyDescent="0.2">
      <c r="B63" s="28" t="s">
        <v>61</v>
      </c>
      <c r="C63" s="28"/>
      <c r="D63" s="28" t="s">
        <v>29</v>
      </c>
      <c r="E63" s="57" t="s">
        <v>63</v>
      </c>
      <c r="F63" s="57" t="s">
        <v>72</v>
      </c>
      <c r="G63" s="57"/>
      <c r="H63" s="103"/>
      <c r="I63" s="103"/>
      <c r="J63" s="103"/>
      <c r="K63" s="103"/>
      <c r="L63" s="103"/>
      <c r="M63" s="103"/>
      <c r="N63" s="103"/>
      <c r="O63" s="103"/>
      <c r="Q63" s="28" t="s">
        <v>3</v>
      </c>
      <c r="R63" s="28"/>
      <c r="S63" s="57" t="s">
        <v>50</v>
      </c>
      <c r="T63" s="57" t="s">
        <v>70</v>
      </c>
      <c r="U63" s="28" t="s">
        <v>1</v>
      </c>
      <c r="V63" s="57" t="s">
        <v>62</v>
      </c>
      <c r="W63" s="57" t="s">
        <v>9</v>
      </c>
      <c r="X63" s="57"/>
      <c r="Y63" s="60"/>
      <c r="Z63" s="12"/>
      <c r="AA63" s="28" t="s">
        <v>30</v>
      </c>
      <c r="AB63" s="28" t="s">
        <v>1</v>
      </c>
      <c r="AC63" s="57" t="s">
        <v>10</v>
      </c>
      <c r="AD63" s="57"/>
      <c r="AE63" s="57" t="s">
        <v>64</v>
      </c>
      <c r="AF63" s="60"/>
      <c r="AG63" s="28" t="s">
        <v>30</v>
      </c>
      <c r="AH63" s="28" t="s">
        <v>1</v>
      </c>
      <c r="AI63" s="57" t="s">
        <v>10</v>
      </c>
      <c r="AJ63" s="57"/>
      <c r="AK63" s="57" t="s">
        <v>64</v>
      </c>
      <c r="AR63" s="33"/>
    </row>
    <row r="64" spans="2:62" ht="15.75" customHeight="1" x14ac:dyDescent="0.2">
      <c r="B64" s="33">
        <v>100</v>
      </c>
      <c r="C64" s="33"/>
      <c r="D64" s="29">
        <v>0.6</v>
      </c>
      <c r="E64" s="50">
        <v>5</v>
      </c>
      <c r="F64">
        <v>10</v>
      </c>
      <c r="Q64" t="s">
        <v>38</v>
      </c>
      <c r="S64" s="33"/>
      <c r="T64" s="33"/>
      <c r="U64" s="33">
        <v>200</v>
      </c>
      <c r="V64" s="33"/>
      <c r="W64" s="33"/>
      <c r="X64" s="33"/>
      <c r="Y64" s="68"/>
      <c r="AA64" s="33" t="e">
        <f>#REF!</f>
        <v>#REF!</v>
      </c>
      <c r="AB64" s="33">
        <f>U64*D64</f>
        <v>120</v>
      </c>
      <c r="AC64" s="33"/>
      <c r="AD64" s="33"/>
      <c r="AE64" s="44" t="e">
        <f>AB64/AA64</f>
        <v>#REF!</v>
      </c>
      <c r="AF64" s="44"/>
      <c r="AG64" s="33" t="e">
        <f>#REF!</f>
        <v>#REF!</v>
      </c>
      <c r="AH64" s="31">
        <f>U64*(1-D64)</f>
        <v>80</v>
      </c>
      <c r="AI64" s="33"/>
      <c r="AJ64" s="33"/>
      <c r="AK64" s="32" t="e">
        <f>AH64/AG64</f>
        <v>#REF!</v>
      </c>
    </row>
    <row r="65" spans="2:42" ht="15.75" customHeight="1" x14ac:dyDescent="0.2">
      <c r="B65" s="36">
        <v>100</v>
      </c>
      <c r="C65" s="36"/>
      <c r="D65" s="37">
        <v>0.6</v>
      </c>
      <c r="E65" s="51">
        <v>5</v>
      </c>
      <c r="F65" s="35">
        <v>10</v>
      </c>
      <c r="G65" s="35"/>
      <c r="Q65" s="35" t="s">
        <v>39</v>
      </c>
      <c r="R65" s="35"/>
      <c r="S65" s="35"/>
      <c r="T65" s="35"/>
      <c r="U65" s="35"/>
      <c r="V65" s="35"/>
      <c r="W65" s="35"/>
      <c r="X65" s="35"/>
      <c r="AA65" s="38" t="s">
        <v>34</v>
      </c>
      <c r="AB65" s="38" t="s">
        <v>34</v>
      </c>
      <c r="AC65" s="38"/>
      <c r="AD65" s="38"/>
      <c r="AE65" s="38" t="s">
        <v>34</v>
      </c>
      <c r="AF65" s="31"/>
      <c r="AG65" s="38" t="s">
        <v>34</v>
      </c>
      <c r="AH65" s="38" t="s">
        <v>34</v>
      </c>
      <c r="AI65" s="38"/>
      <c r="AJ65" s="38"/>
      <c r="AK65" s="38" t="s">
        <v>34</v>
      </c>
    </row>
    <row r="66" spans="2:42" ht="15.75" customHeight="1" x14ac:dyDescent="0.2">
      <c r="B66" s="33">
        <v>100</v>
      </c>
      <c r="C66" s="33"/>
      <c r="D66" s="29">
        <v>0.6</v>
      </c>
      <c r="E66" s="50">
        <v>5</v>
      </c>
      <c r="F66">
        <v>10</v>
      </c>
      <c r="Q66" t="s">
        <v>40</v>
      </c>
      <c r="S66" s="33"/>
      <c r="T66" s="33"/>
      <c r="U66" s="33">
        <v>500</v>
      </c>
      <c r="V66" s="33"/>
      <c r="W66" s="33"/>
      <c r="X66" s="33"/>
      <c r="Y66" s="68"/>
      <c r="AA66" s="33" t="e">
        <f>#REF!</f>
        <v>#REF!</v>
      </c>
      <c r="AB66" s="33">
        <f>U66</f>
        <v>500</v>
      </c>
      <c r="AC66" s="33"/>
      <c r="AD66" s="33"/>
      <c r="AE66" s="44" t="e">
        <f>AB66/AA66</f>
        <v>#REF!</v>
      </c>
      <c r="AF66" s="44"/>
      <c r="AG66" s="31" t="s">
        <v>34</v>
      </c>
      <c r="AH66" s="31" t="s">
        <v>34</v>
      </c>
      <c r="AI66" s="33"/>
      <c r="AJ66" s="33"/>
      <c r="AK66" s="31" t="s">
        <v>34</v>
      </c>
    </row>
    <row r="67" spans="2:42" ht="15.75" customHeight="1" x14ac:dyDescent="0.2">
      <c r="B67" s="36">
        <v>100</v>
      </c>
      <c r="C67" s="36"/>
      <c r="D67" s="37">
        <v>0.6</v>
      </c>
      <c r="E67" s="51">
        <v>5</v>
      </c>
      <c r="F67" s="35">
        <v>10</v>
      </c>
      <c r="G67" s="35"/>
      <c r="Q67" s="35" t="s">
        <v>41</v>
      </c>
      <c r="R67" s="35"/>
      <c r="S67" s="35"/>
      <c r="T67" s="35"/>
      <c r="U67" s="35"/>
      <c r="V67" s="35"/>
      <c r="W67" s="35"/>
      <c r="X67" s="35"/>
      <c r="AA67" s="38" t="s">
        <v>34</v>
      </c>
      <c r="AB67" s="38" t="s">
        <v>34</v>
      </c>
      <c r="AC67" s="38"/>
      <c r="AD67" s="38"/>
      <c r="AE67" s="38" t="s">
        <v>34</v>
      </c>
      <c r="AF67" s="31"/>
      <c r="AG67" s="38" t="s">
        <v>34</v>
      </c>
      <c r="AH67" s="38" t="s">
        <v>34</v>
      </c>
      <c r="AI67" s="38"/>
      <c r="AJ67" s="38"/>
      <c r="AK67" s="38" t="s">
        <v>34</v>
      </c>
    </row>
    <row r="68" spans="2:42" ht="15.75" customHeight="1" x14ac:dyDescent="0.2">
      <c r="B68" s="33">
        <v>100</v>
      </c>
      <c r="C68" s="33"/>
      <c r="D68" s="29">
        <v>0.6</v>
      </c>
      <c r="E68" s="50">
        <v>5</v>
      </c>
      <c r="F68">
        <v>10</v>
      </c>
      <c r="Q68" t="s">
        <v>42</v>
      </c>
      <c r="S68" s="33"/>
      <c r="T68" s="33"/>
      <c r="U68" s="33">
        <v>350</v>
      </c>
      <c r="V68" s="33"/>
      <c r="W68" s="33"/>
      <c r="X68" s="33"/>
      <c r="Y68" s="68"/>
      <c r="AA68" s="31" t="s">
        <v>34</v>
      </c>
      <c r="AB68" s="31" t="s">
        <v>34</v>
      </c>
      <c r="AC68" s="31"/>
      <c r="AD68" s="31"/>
      <c r="AE68" s="31" t="s">
        <v>34</v>
      </c>
      <c r="AF68" s="31"/>
      <c r="AG68" s="33" t="e">
        <f>#REF!</f>
        <v>#REF!</v>
      </c>
      <c r="AH68" s="31">
        <f>U68*(1-D68)</f>
        <v>140</v>
      </c>
      <c r="AI68" s="31"/>
      <c r="AJ68" s="31"/>
      <c r="AK68" s="32" t="e">
        <f>AH68/AG68</f>
        <v>#REF!</v>
      </c>
    </row>
    <row r="69" spans="2:42" ht="15.75" customHeight="1" x14ac:dyDescent="0.2">
      <c r="B69" s="36">
        <v>100</v>
      </c>
      <c r="C69" s="36"/>
      <c r="D69" s="37">
        <v>0.6</v>
      </c>
      <c r="E69" s="51">
        <v>5</v>
      </c>
      <c r="F69" s="35">
        <v>10</v>
      </c>
      <c r="G69" s="35"/>
      <c r="Q69" s="35" t="s">
        <v>43</v>
      </c>
      <c r="R69" s="35"/>
      <c r="S69" s="35"/>
      <c r="T69" s="35"/>
      <c r="U69" s="35"/>
      <c r="V69" s="35"/>
      <c r="W69" s="35"/>
      <c r="X69" s="35"/>
      <c r="AA69" s="38" t="s">
        <v>34</v>
      </c>
      <c r="AB69" s="38" t="s">
        <v>34</v>
      </c>
      <c r="AC69" s="38"/>
      <c r="AD69" s="38"/>
      <c r="AE69" s="38" t="s">
        <v>34</v>
      </c>
      <c r="AF69" s="31"/>
      <c r="AG69" s="38" t="s">
        <v>34</v>
      </c>
      <c r="AH69" s="38" t="s">
        <v>34</v>
      </c>
      <c r="AI69" s="38"/>
      <c r="AJ69" s="38"/>
      <c r="AK69" s="38" t="s">
        <v>34</v>
      </c>
    </row>
    <row r="71" spans="2:42" ht="15.75" customHeight="1" x14ac:dyDescent="0.2">
      <c r="B71" s="66" t="s">
        <v>44</v>
      </c>
      <c r="C71" s="34"/>
      <c r="AA71" s="56" t="s">
        <v>27</v>
      </c>
      <c r="AB71" s="12"/>
      <c r="AC71" s="12"/>
      <c r="AD71" s="12"/>
      <c r="AE71" s="12"/>
      <c r="AF71" s="12"/>
      <c r="AG71" s="56" t="s">
        <v>28</v>
      </c>
      <c r="AI71" s="12"/>
      <c r="AJ71" s="12"/>
    </row>
    <row r="72" spans="2:42" ht="15.75" customHeight="1" x14ac:dyDescent="0.2">
      <c r="B72" s="28" t="s">
        <v>61</v>
      </c>
      <c r="C72" s="28"/>
      <c r="D72" s="28" t="s">
        <v>29</v>
      </c>
      <c r="E72" s="57" t="s">
        <v>63</v>
      </c>
      <c r="F72" s="57" t="s">
        <v>72</v>
      </c>
      <c r="G72" s="57"/>
      <c r="H72" s="103"/>
      <c r="I72" s="103"/>
      <c r="J72" s="103"/>
      <c r="K72" s="103"/>
      <c r="L72" s="103"/>
      <c r="M72" s="103"/>
      <c r="N72" s="103"/>
      <c r="O72" s="103"/>
      <c r="Q72" s="28" t="s">
        <v>3</v>
      </c>
      <c r="R72" s="28"/>
      <c r="S72" s="57" t="s">
        <v>50</v>
      </c>
      <c r="T72" s="57" t="s">
        <v>70</v>
      </c>
      <c r="U72" s="28" t="s">
        <v>1</v>
      </c>
      <c r="V72" s="57" t="s">
        <v>62</v>
      </c>
      <c r="W72" s="57" t="s">
        <v>9</v>
      </c>
      <c r="X72" s="57"/>
      <c r="Y72" s="60"/>
      <c r="Z72" s="12"/>
      <c r="AA72" s="28" t="s">
        <v>30</v>
      </c>
      <c r="AB72" s="28" t="s">
        <v>1</v>
      </c>
      <c r="AC72" s="57" t="s">
        <v>10</v>
      </c>
      <c r="AD72" s="57"/>
      <c r="AE72" s="57" t="s">
        <v>64</v>
      </c>
      <c r="AF72" s="60"/>
      <c r="AG72" s="28" t="s">
        <v>30</v>
      </c>
      <c r="AH72" s="28" t="s">
        <v>1</v>
      </c>
      <c r="AI72" s="57" t="s">
        <v>10</v>
      </c>
      <c r="AJ72" s="57"/>
      <c r="AK72" s="57" t="s">
        <v>64</v>
      </c>
    </row>
    <row r="73" spans="2:42" ht="15.75" customHeight="1" x14ac:dyDescent="0.2">
      <c r="B73" s="33">
        <v>100</v>
      </c>
      <c r="C73" s="33"/>
      <c r="D73" s="29">
        <v>0.3</v>
      </c>
      <c r="E73" s="50">
        <v>5</v>
      </c>
      <c r="F73">
        <v>10</v>
      </c>
      <c r="Q73" s="45" t="s">
        <v>47</v>
      </c>
      <c r="R73" s="45"/>
      <c r="S73" s="33"/>
      <c r="T73" s="33"/>
      <c r="U73" s="33">
        <v>200</v>
      </c>
      <c r="V73" s="33"/>
      <c r="W73" s="33"/>
      <c r="X73" s="33"/>
      <c r="Y73" s="68"/>
      <c r="AA73" s="33" t="e">
        <f>#REF!</f>
        <v>#REF!</v>
      </c>
      <c r="AB73" s="33">
        <f>U73*D73</f>
        <v>60</v>
      </c>
      <c r="AC73" s="33"/>
      <c r="AD73" s="33"/>
      <c r="AE73" s="44" t="e">
        <f>AB73/AA73</f>
        <v>#REF!</v>
      </c>
      <c r="AF73" s="44"/>
      <c r="AG73" s="33" t="e">
        <f>#REF!</f>
        <v>#REF!</v>
      </c>
      <c r="AH73" s="31">
        <f>U73*(1-D73)</f>
        <v>140</v>
      </c>
      <c r="AI73" s="33"/>
      <c r="AJ73" s="33"/>
      <c r="AK73" s="32" t="e">
        <f>AH73/AG73</f>
        <v>#REF!</v>
      </c>
    </row>
    <row r="74" spans="2:42" ht="15.75" customHeight="1" x14ac:dyDescent="0.2">
      <c r="B74" s="36">
        <v>100</v>
      </c>
      <c r="C74" s="36"/>
      <c r="D74" s="37">
        <v>0.3</v>
      </c>
      <c r="E74" s="51">
        <v>5</v>
      </c>
      <c r="F74" s="35">
        <v>10</v>
      </c>
      <c r="G74" s="35"/>
      <c r="Q74" s="47" t="s">
        <v>45</v>
      </c>
      <c r="R74" s="47"/>
      <c r="S74" s="36"/>
      <c r="T74" s="36"/>
      <c r="U74" s="36">
        <v>300</v>
      </c>
      <c r="V74" s="36"/>
      <c r="W74" s="36"/>
      <c r="X74" s="36"/>
      <c r="Y74" s="68"/>
      <c r="AA74" s="36" t="e">
        <f>#REF!</f>
        <v>#REF!</v>
      </c>
      <c r="AB74" s="36">
        <f>U74+AB73</f>
        <v>360</v>
      </c>
      <c r="AC74" s="36"/>
      <c r="AD74" s="36"/>
      <c r="AE74" s="48" t="e">
        <f>AB74/AA74</f>
        <v>#REF!</v>
      </c>
      <c r="AF74" s="44"/>
      <c r="AG74" s="36">
        <v>100</v>
      </c>
      <c r="AH74" s="38">
        <f>AH73</f>
        <v>140</v>
      </c>
      <c r="AI74" s="36"/>
      <c r="AJ74" s="36"/>
      <c r="AK74" s="39">
        <v>1.4</v>
      </c>
    </row>
    <row r="75" spans="2:42" ht="15.75" customHeight="1" x14ac:dyDescent="0.2">
      <c r="B75" s="33">
        <v>100</v>
      </c>
      <c r="C75" s="33"/>
      <c r="D75" s="29">
        <v>0.3</v>
      </c>
      <c r="E75" s="50">
        <v>5</v>
      </c>
      <c r="F75">
        <v>10</v>
      </c>
      <c r="Q75" s="45" t="s">
        <v>46</v>
      </c>
      <c r="R75" s="45"/>
      <c r="S75" s="33"/>
      <c r="T75" s="33"/>
      <c r="U75" s="33">
        <v>400</v>
      </c>
      <c r="V75" s="33"/>
      <c r="W75" s="33"/>
      <c r="X75" s="33"/>
      <c r="AA75" s="33">
        <v>100</v>
      </c>
      <c r="AB75" s="33">
        <f>AB74</f>
        <v>360</v>
      </c>
      <c r="AC75" s="33"/>
      <c r="AD75" s="33"/>
      <c r="AE75" s="44">
        <v>3.6</v>
      </c>
      <c r="AF75" s="44"/>
      <c r="AG75" s="33" t="e">
        <f>#REF!</f>
        <v>#REF!</v>
      </c>
      <c r="AH75" s="33">
        <f>U75+AH74</f>
        <v>540</v>
      </c>
      <c r="AI75" s="33"/>
      <c r="AJ75" s="33"/>
      <c r="AK75" s="32" t="e">
        <f>AH75/AG75</f>
        <v>#REF!</v>
      </c>
    </row>
    <row r="76" spans="2:42" ht="15.75" customHeight="1" x14ac:dyDescent="0.2">
      <c r="B76" s="36">
        <v>100</v>
      </c>
      <c r="C76" s="36"/>
      <c r="D76" s="37">
        <v>0.3</v>
      </c>
      <c r="E76" s="51">
        <v>5</v>
      </c>
      <c r="F76" s="35">
        <v>10</v>
      </c>
      <c r="G76" s="35"/>
      <c r="Q76" s="47" t="s">
        <v>48</v>
      </c>
      <c r="R76" s="47"/>
      <c r="S76" s="36"/>
      <c r="T76" s="36"/>
      <c r="U76" s="36">
        <v>500</v>
      </c>
      <c r="V76" s="36"/>
      <c r="W76" s="36"/>
      <c r="X76" s="36"/>
      <c r="Y76" s="68"/>
      <c r="AA76" s="36" t="e">
        <f>#REF!</f>
        <v>#REF!</v>
      </c>
      <c r="AB76" s="36">
        <f>AB75+(U76*D76)</f>
        <v>510</v>
      </c>
      <c r="AC76" s="36"/>
      <c r="AD76" s="36"/>
      <c r="AE76" s="48" t="e">
        <f>AB76/AA76</f>
        <v>#REF!</v>
      </c>
      <c r="AF76" s="44"/>
      <c r="AG76" s="36" t="e">
        <f>#REF!</f>
        <v>#REF!</v>
      </c>
      <c r="AH76" s="36">
        <f>AH75+(U76*(1-D76))</f>
        <v>890</v>
      </c>
      <c r="AI76" s="36"/>
      <c r="AJ76" s="36"/>
      <c r="AK76" s="39" t="e">
        <f>AH76/AG76</f>
        <v>#REF!</v>
      </c>
    </row>
    <row r="78" spans="2:42" ht="15.75" customHeight="1" x14ac:dyDescent="0.2">
      <c r="B78" s="66" t="s">
        <v>98</v>
      </c>
      <c r="C78" s="34"/>
      <c r="AA78" s="56" t="s">
        <v>27</v>
      </c>
      <c r="AB78" s="12"/>
      <c r="AC78" s="12"/>
      <c r="AD78" s="12"/>
      <c r="AE78" s="12"/>
      <c r="AF78" s="12"/>
      <c r="AG78" s="56" t="s">
        <v>28</v>
      </c>
      <c r="AI78" s="12"/>
      <c r="AJ78" s="12"/>
      <c r="AM78" s="34" t="s">
        <v>179</v>
      </c>
    </row>
    <row r="79" spans="2:42" ht="15.75" customHeight="1" x14ac:dyDescent="0.2">
      <c r="B79" s="28" t="s">
        <v>61</v>
      </c>
      <c r="C79" s="28"/>
      <c r="D79" s="28" t="s">
        <v>29</v>
      </c>
      <c r="E79" s="57" t="s">
        <v>63</v>
      </c>
      <c r="F79" s="57" t="s">
        <v>72</v>
      </c>
      <c r="G79" s="57" t="s">
        <v>99</v>
      </c>
      <c r="H79" s="103"/>
      <c r="I79" s="103"/>
      <c r="J79" s="103"/>
      <c r="K79" s="103"/>
      <c r="L79" s="103"/>
      <c r="M79" s="103"/>
      <c r="N79" s="103"/>
      <c r="O79" s="103"/>
      <c r="Q79" s="28" t="s">
        <v>3</v>
      </c>
      <c r="R79" s="28"/>
      <c r="S79" s="57" t="s">
        <v>50</v>
      </c>
      <c r="T79" s="57" t="s">
        <v>70</v>
      </c>
      <c r="U79" s="28" t="s">
        <v>1</v>
      </c>
      <c r="V79" s="57" t="s">
        <v>62</v>
      </c>
      <c r="W79" s="57" t="s">
        <v>9</v>
      </c>
      <c r="X79" s="57"/>
      <c r="Y79" s="60"/>
      <c r="Z79" s="12"/>
      <c r="AA79" s="28" t="s">
        <v>30</v>
      </c>
      <c r="AB79" s="28" t="s">
        <v>1</v>
      </c>
      <c r="AC79" s="57" t="s">
        <v>72</v>
      </c>
      <c r="AD79" s="57" t="s">
        <v>100</v>
      </c>
      <c r="AE79" s="57" t="s">
        <v>64</v>
      </c>
      <c r="AF79" s="60"/>
      <c r="AG79" s="28" t="s">
        <v>30</v>
      </c>
      <c r="AH79" s="28" t="s">
        <v>1</v>
      </c>
      <c r="AI79" s="57" t="s">
        <v>99</v>
      </c>
      <c r="AJ79" s="57" t="s">
        <v>101</v>
      </c>
      <c r="AK79" s="57" t="s">
        <v>64</v>
      </c>
      <c r="AM79" s="28" t="s">
        <v>100</v>
      </c>
      <c r="AN79" s="57" t="s">
        <v>101</v>
      </c>
      <c r="AO79" s="103"/>
      <c r="AP79" s="103"/>
    </row>
    <row r="80" spans="2:42" ht="15.75" customHeight="1" x14ac:dyDescent="0.2">
      <c r="B80" s="33">
        <v>100</v>
      </c>
      <c r="C80" s="33" t="s">
        <v>187</v>
      </c>
      <c r="D80" s="29">
        <v>0.5</v>
      </c>
      <c r="E80" s="50">
        <v>5</v>
      </c>
      <c r="F80">
        <v>10</v>
      </c>
      <c r="G80">
        <v>20</v>
      </c>
      <c r="Q80" s="45" t="s">
        <v>102</v>
      </c>
      <c r="R80" s="45"/>
      <c r="S80" s="33"/>
      <c r="T80" s="33"/>
      <c r="U80" s="33">
        <v>200</v>
      </c>
      <c r="V80" s="50" t="e">
        <f>U80/#REF!</f>
        <v>#REF!</v>
      </c>
      <c r="W80" s="33"/>
      <c r="X80" s="33"/>
      <c r="Y80" s="68"/>
      <c r="AA80" s="33" t="e">
        <f>#REF!</f>
        <v>#REF!</v>
      </c>
      <c r="AB80" s="33">
        <f>U80*D80</f>
        <v>100</v>
      </c>
      <c r="AC80" s="52" t="e">
        <f>AA80*(1+F80/100)/(1-#REF!/100)</f>
        <v>#REF!</v>
      </c>
      <c r="AD80" s="97" t="e">
        <f t="shared" ref="AD80:AD88" si="19">(B80-AC80)/AC80</f>
        <v>#REF!</v>
      </c>
      <c r="AE80" s="44" t="e">
        <f>AB80/AA80</f>
        <v>#REF!</v>
      </c>
      <c r="AF80" s="44"/>
      <c r="AG80" s="33" t="e">
        <f>#REF!</f>
        <v>#REF!</v>
      </c>
      <c r="AH80" s="31">
        <f>U80*(1-D80)</f>
        <v>100</v>
      </c>
      <c r="AI80" s="52" t="e">
        <f>AG80*(1+G80/100)/(1-#REF!/100)</f>
        <v>#REF!</v>
      </c>
      <c r="AJ80" s="54" t="e">
        <f t="shared" ref="AJ80:AJ88" si="20">(B80-AI80)/AI80</f>
        <v>#REF!</v>
      </c>
      <c r="AK80" s="32" t="e">
        <f>AH80/AG80</f>
        <v>#REF!</v>
      </c>
      <c r="AM80" s="54" t="e">
        <f t="shared" ref="AM80:AM88" si="21">(B80-AC80)/AC80</f>
        <v>#REF!</v>
      </c>
      <c r="AN80" s="54" t="e">
        <f t="shared" ref="AN80:AN88" si="22">(B80-AI80)/AI80</f>
        <v>#REF!</v>
      </c>
    </row>
    <row r="81" spans="2:40" ht="15.75" customHeight="1" x14ac:dyDescent="0.2">
      <c r="B81" s="36">
        <v>109</v>
      </c>
      <c r="C81" s="36" t="s">
        <v>187</v>
      </c>
      <c r="D81" s="37">
        <v>0.5</v>
      </c>
      <c r="E81" s="51">
        <v>5</v>
      </c>
      <c r="F81" s="35">
        <v>10</v>
      </c>
      <c r="G81" s="35">
        <v>20</v>
      </c>
      <c r="Q81" s="47"/>
      <c r="R81" s="47"/>
      <c r="S81" s="36"/>
      <c r="T81" s="36"/>
      <c r="U81" s="36"/>
      <c r="V81" s="51"/>
      <c r="W81" s="36"/>
      <c r="X81" s="36"/>
      <c r="Y81" s="68"/>
      <c r="AA81" s="36" t="e">
        <f t="shared" ref="AA81:AC83" si="23">AA80</f>
        <v>#REF!</v>
      </c>
      <c r="AB81" s="36">
        <f t="shared" si="23"/>
        <v>100</v>
      </c>
      <c r="AC81" s="40" t="e">
        <f t="shared" si="23"/>
        <v>#REF!</v>
      </c>
      <c r="AD81" s="118" t="e">
        <f t="shared" si="19"/>
        <v>#REF!</v>
      </c>
      <c r="AE81" s="48" t="e">
        <f>AE80</f>
        <v>#REF!</v>
      </c>
      <c r="AF81" s="44"/>
      <c r="AG81" s="36">
        <v>100</v>
      </c>
      <c r="AH81" s="38">
        <f t="shared" ref="AH81:AI83" si="24">AH80</f>
        <v>100</v>
      </c>
      <c r="AI81" s="40" t="e">
        <f t="shared" si="24"/>
        <v>#REF!</v>
      </c>
      <c r="AJ81" s="55" t="e">
        <f t="shared" si="20"/>
        <v>#REF!</v>
      </c>
      <c r="AK81" s="39" t="e">
        <f>AK80</f>
        <v>#REF!</v>
      </c>
      <c r="AM81" s="117" t="e">
        <f t="shared" si="21"/>
        <v>#REF!</v>
      </c>
      <c r="AN81" s="55" t="e">
        <f t="shared" si="22"/>
        <v>#REF!</v>
      </c>
    </row>
    <row r="82" spans="2:40" ht="15.75" customHeight="1" x14ac:dyDescent="0.2">
      <c r="B82" s="33">
        <v>115</v>
      </c>
      <c r="C82" s="33" t="s">
        <v>187</v>
      </c>
      <c r="D82" s="29">
        <v>0.5</v>
      </c>
      <c r="E82" s="50">
        <v>5</v>
      </c>
      <c r="F82">
        <v>10</v>
      </c>
      <c r="G82">
        <v>20</v>
      </c>
      <c r="Q82" s="45"/>
      <c r="R82" s="45"/>
      <c r="S82" s="33"/>
      <c r="T82" s="33"/>
      <c r="U82" s="33"/>
      <c r="V82" s="50"/>
      <c r="W82" s="33"/>
      <c r="X82" s="33"/>
      <c r="AA82" s="33" t="e">
        <f t="shared" si="23"/>
        <v>#REF!</v>
      </c>
      <c r="AB82" s="33">
        <f t="shared" si="23"/>
        <v>100</v>
      </c>
      <c r="AC82" s="120" t="e">
        <f t="shared" si="23"/>
        <v>#REF!</v>
      </c>
      <c r="AD82" s="115" t="e">
        <f t="shared" si="19"/>
        <v>#REF!</v>
      </c>
      <c r="AE82" s="44" t="e">
        <f>AE81</f>
        <v>#REF!</v>
      </c>
      <c r="AF82" s="44"/>
      <c r="AG82" s="33">
        <v>100</v>
      </c>
      <c r="AH82" s="31">
        <f t="shared" si="24"/>
        <v>100</v>
      </c>
      <c r="AI82" s="52" t="e">
        <f t="shared" si="24"/>
        <v>#REF!</v>
      </c>
      <c r="AJ82" s="62" t="e">
        <f t="shared" si="20"/>
        <v>#REF!</v>
      </c>
      <c r="AK82" s="32" t="e">
        <f>AK81</f>
        <v>#REF!</v>
      </c>
      <c r="AM82" s="119" t="e">
        <f t="shared" si="21"/>
        <v>#REF!</v>
      </c>
      <c r="AN82" s="54" t="e">
        <f t="shared" si="22"/>
        <v>#REF!</v>
      </c>
    </row>
    <row r="83" spans="2:40" ht="15.75" customHeight="1" x14ac:dyDescent="0.2">
      <c r="B83" s="36">
        <v>122</v>
      </c>
      <c r="C83" s="36" t="s">
        <v>187</v>
      </c>
      <c r="D83" s="37">
        <v>0.5</v>
      </c>
      <c r="E83" s="51">
        <v>5</v>
      </c>
      <c r="F83" s="35">
        <v>10</v>
      </c>
      <c r="G83" s="35">
        <v>20</v>
      </c>
      <c r="Q83" s="47"/>
      <c r="R83" s="47"/>
      <c r="S83" s="36"/>
      <c r="T83" s="36"/>
      <c r="U83" s="36"/>
      <c r="V83" s="51"/>
      <c r="W83" s="36"/>
      <c r="X83" s="36"/>
      <c r="Y83" s="68"/>
      <c r="AA83" s="36" t="e">
        <f t="shared" si="23"/>
        <v>#REF!</v>
      </c>
      <c r="AB83" s="36">
        <f t="shared" si="23"/>
        <v>100</v>
      </c>
      <c r="AC83" s="121" t="e">
        <f t="shared" si="23"/>
        <v>#REF!</v>
      </c>
      <c r="AD83" s="116" t="e">
        <f t="shared" si="19"/>
        <v>#REF!</v>
      </c>
      <c r="AE83" s="48" t="e">
        <f>AE82</f>
        <v>#REF!</v>
      </c>
      <c r="AF83" s="44"/>
      <c r="AG83" s="36">
        <v>100</v>
      </c>
      <c r="AH83" s="38">
        <f t="shared" si="24"/>
        <v>100</v>
      </c>
      <c r="AI83" s="121" t="e">
        <f t="shared" si="24"/>
        <v>#REF!</v>
      </c>
      <c r="AJ83" s="116" t="e">
        <f t="shared" si="20"/>
        <v>#REF!</v>
      </c>
      <c r="AK83" s="39" t="e">
        <f>AK82</f>
        <v>#REF!</v>
      </c>
      <c r="AM83" s="116" t="e">
        <f t="shared" si="21"/>
        <v>#REF!</v>
      </c>
      <c r="AN83" s="116" t="e">
        <f t="shared" si="22"/>
        <v>#REF!</v>
      </c>
    </row>
    <row r="84" spans="2:40" ht="15.75" customHeight="1" x14ac:dyDescent="0.2">
      <c r="B84" s="33">
        <v>100</v>
      </c>
      <c r="C84" s="33" t="s">
        <v>188</v>
      </c>
      <c r="D84" s="29">
        <v>0.5</v>
      </c>
      <c r="E84" s="50">
        <v>5</v>
      </c>
      <c r="F84">
        <v>10</v>
      </c>
      <c r="G84">
        <v>20</v>
      </c>
      <c r="Q84" s="45" t="s">
        <v>102</v>
      </c>
      <c r="R84" s="45"/>
      <c r="S84" s="33"/>
      <c r="T84" s="33"/>
      <c r="U84" s="33">
        <v>200</v>
      </c>
      <c r="V84" s="50" t="e">
        <f>U84/#REF!</f>
        <v>#REF!</v>
      </c>
      <c r="W84" s="33"/>
      <c r="X84" s="33"/>
      <c r="Y84" s="68"/>
      <c r="AA84" s="33" t="e">
        <f>#REF!</f>
        <v>#REF!</v>
      </c>
      <c r="AB84" s="33">
        <f>U84*D84</f>
        <v>100</v>
      </c>
      <c r="AC84" s="52" t="e">
        <f>AA84*(1+F84/100)/(1-#REF!/100)</f>
        <v>#REF!</v>
      </c>
      <c r="AD84" s="97" t="e">
        <f t="shared" si="19"/>
        <v>#REF!</v>
      </c>
      <c r="AE84" s="44" t="e">
        <f>AB84/AA84</f>
        <v>#REF!</v>
      </c>
      <c r="AF84" s="44"/>
      <c r="AG84" s="33" t="e">
        <f>#REF!</f>
        <v>#REF!</v>
      </c>
      <c r="AH84" s="31">
        <f>U84*(1-D84)</f>
        <v>100</v>
      </c>
      <c r="AI84" s="52" t="e">
        <f>AG84*(1+G84/100)/(1-#REF!/100)</f>
        <v>#REF!</v>
      </c>
      <c r="AJ84" s="54" t="e">
        <f t="shared" si="20"/>
        <v>#REF!</v>
      </c>
      <c r="AK84" s="32" t="e">
        <f>AH84/AG84</f>
        <v>#REF!</v>
      </c>
      <c r="AM84" s="54" t="e">
        <f t="shared" si="21"/>
        <v>#REF!</v>
      </c>
      <c r="AN84" s="54" t="e">
        <f t="shared" si="22"/>
        <v>#REF!</v>
      </c>
    </row>
    <row r="85" spans="2:40" ht="15.75" customHeight="1" x14ac:dyDescent="0.2">
      <c r="B85" s="36">
        <v>109</v>
      </c>
      <c r="C85" s="36" t="s">
        <v>188</v>
      </c>
      <c r="D85" s="37">
        <v>0.5</v>
      </c>
      <c r="E85" s="51">
        <v>5</v>
      </c>
      <c r="F85" s="35">
        <v>10</v>
      </c>
      <c r="G85" s="35">
        <v>20</v>
      </c>
      <c r="Q85" s="47"/>
      <c r="R85" s="47"/>
      <c r="S85" s="36"/>
      <c r="T85" s="36"/>
      <c r="U85" s="36"/>
      <c r="V85" s="51"/>
      <c r="W85" s="36"/>
      <c r="X85" s="36"/>
      <c r="Y85" s="68"/>
      <c r="AA85" s="36" t="e">
        <f t="shared" ref="AA85:AC85" si="25">AA84</f>
        <v>#REF!</v>
      </c>
      <c r="AB85" s="36">
        <f t="shared" si="25"/>
        <v>100</v>
      </c>
      <c r="AC85" s="40" t="e">
        <f t="shared" si="25"/>
        <v>#REF!</v>
      </c>
      <c r="AD85" s="55" t="e">
        <f t="shared" si="19"/>
        <v>#REF!</v>
      </c>
      <c r="AE85" s="48" t="e">
        <f>AE84</f>
        <v>#REF!</v>
      </c>
      <c r="AF85" s="44"/>
      <c r="AG85" s="36">
        <v>100</v>
      </c>
      <c r="AH85" s="38">
        <f t="shared" ref="AH85:AI85" si="26">AH84</f>
        <v>100</v>
      </c>
      <c r="AI85" s="40" t="e">
        <f t="shared" si="26"/>
        <v>#REF!</v>
      </c>
      <c r="AJ85" s="55" t="e">
        <f t="shared" si="20"/>
        <v>#REF!</v>
      </c>
      <c r="AK85" s="39" t="e">
        <f>AK84</f>
        <v>#REF!</v>
      </c>
      <c r="AM85" s="55" t="e">
        <f t="shared" si="21"/>
        <v>#REF!</v>
      </c>
      <c r="AN85" s="55" t="e">
        <f t="shared" si="22"/>
        <v>#REF!</v>
      </c>
    </row>
    <row r="86" spans="2:40" ht="15.75" customHeight="1" x14ac:dyDescent="0.2">
      <c r="B86" s="33">
        <v>115</v>
      </c>
      <c r="C86" s="33" t="s">
        <v>188</v>
      </c>
      <c r="D86" s="29">
        <v>0.5</v>
      </c>
      <c r="E86" s="50">
        <v>5</v>
      </c>
      <c r="F86">
        <v>10</v>
      </c>
      <c r="G86">
        <v>20</v>
      </c>
      <c r="Q86" s="45"/>
      <c r="R86" s="45"/>
      <c r="S86" s="33"/>
      <c r="T86" s="33"/>
      <c r="U86" s="33"/>
      <c r="V86" s="50"/>
      <c r="W86" s="33"/>
      <c r="X86" s="33"/>
      <c r="Y86" s="68"/>
      <c r="AA86" s="33" t="e">
        <f t="shared" ref="AA86:AC86" si="27">AA85</f>
        <v>#REF!</v>
      </c>
      <c r="AB86" s="33">
        <f t="shared" si="27"/>
        <v>100</v>
      </c>
      <c r="AC86" s="120" t="e">
        <f t="shared" si="27"/>
        <v>#REF!</v>
      </c>
      <c r="AD86" s="115" t="e">
        <f t="shared" si="19"/>
        <v>#REF!</v>
      </c>
      <c r="AE86" s="44" t="e">
        <f>AE85</f>
        <v>#REF!</v>
      </c>
      <c r="AF86" s="44"/>
      <c r="AG86" s="33">
        <v>100</v>
      </c>
      <c r="AH86" s="31">
        <f t="shared" ref="AH86:AI86" si="28">AH85</f>
        <v>100</v>
      </c>
      <c r="AI86" s="52" t="e">
        <f t="shared" si="28"/>
        <v>#REF!</v>
      </c>
      <c r="AJ86" s="62" t="e">
        <f t="shared" si="20"/>
        <v>#REF!</v>
      </c>
      <c r="AK86" s="32" t="e">
        <f>AK85</f>
        <v>#REF!</v>
      </c>
      <c r="AM86" s="119" t="e">
        <f t="shared" si="21"/>
        <v>#REF!</v>
      </c>
      <c r="AN86" s="54" t="e">
        <f t="shared" si="22"/>
        <v>#REF!</v>
      </c>
    </row>
    <row r="87" spans="2:40" ht="15.75" customHeight="1" x14ac:dyDescent="0.2">
      <c r="B87" s="36">
        <v>122</v>
      </c>
      <c r="C87" s="123" t="s">
        <v>188</v>
      </c>
      <c r="D87" s="37">
        <v>0.5</v>
      </c>
      <c r="E87" s="51">
        <v>5</v>
      </c>
      <c r="F87" s="35">
        <v>10</v>
      </c>
      <c r="G87" s="35">
        <v>20</v>
      </c>
      <c r="Q87" s="47"/>
      <c r="R87" s="47"/>
      <c r="S87" s="36"/>
      <c r="T87" s="36"/>
      <c r="U87" s="36"/>
      <c r="V87" s="51"/>
      <c r="W87" s="36"/>
      <c r="X87" s="36"/>
      <c r="Y87" s="68"/>
      <c r="AA87" s="36" t="e">
        <f t="shared" ref="AA87:AC87" si="29">AA86</f>
        <v>#REF!</v>
      </c>
      <c r="AB87" s="36">
        <f t="shared" si="29"/>
        <v>100</v>
      </c>
      <c r="AC87" s="121" t="e">
        <f t="shared" si="29"/>
        <v>#REF!</v>
      </c>
      <c r="AD87" s="116" t="e">
        <f t="shared" si="19"/>
        <v>#REF!</v>
      </c>
      <c r="AE87" s="48" t="e">
        <f>AE86</f>
        <v>#REF!</v>
      </c>
      <c r="AF87" s="44"/>
      <c r="AG87" s="36">
        <v>100</v>
      </c>
      <c r="AH87" s="38">
        <f t="shared" ref="AH87:AI87" si="30">AH86</f>
        <v>100</v>
      </c>
      <c r="AI87" s="121" t="e">
        <f t="shared" si="30"/>
        <v>#REF!</v>
      </c>
      <c r="AJ87" s="116" t="e">
        <f t="shared" si="20"/>
        <v>#REF!</v>
      </c>
      <c r="AK87" s="39" t="e">
        <f>AK86</f>
        <v>#REF!</v>
      </c>
      <c r="AM87" s="116" t="e">
        <f t="shared" si="21"/>
        <v>#REF!</v>
      </c>
      <c r="AN87" s="116" t="e">
        <f t="shared" si="22"/>
        <v>#REF!</v>
      </c>
    </row>
    <row r="88" spans="2:40" ht="15.75" customHeight="1" x14ac:dyDescent="0.2">
      <c r="B88" s="33">
        <v>122</v>
      </c>
      <c r="C88" s="33" t="s">
        <v>188</v>
      </c>
      <c r="D88" s="29">
        <v>0.5</v>
      </c>
      <c r="E88" s="50">
        <v>5</v>
      </c>
      <c r="F88">
        <v>10</v>
      </c>
      <c r="G88">
        <v>20</v>
      </c>
      <c r="Q88" s="45" t="s">
        <v>189</v>
      </c>
      <c r="R88" s="45"/>
      <c r="S88" s="33"/>
      <c r="T88" s="33"/>
      <c r="U88" s="33">
        <v>200</v>
      </c>
      <c r="V88" s="50" t="e">
        <f>U88/#REF!</f>
        <v>#REF!</v>
      </c>
      <c r="W88" s="33"/>
      <c r="X88" s="33"/>
      <c r="Y88" s="68"/>
      <c r="AA88" s="33" t="e">
        <f>#REF!</f>
        <v>#REF!</v>
      </c>
      <c r="AB88" s="33">
        <f>U88*D88</f>
        <v>100</v>
      </c>
      <c r="AC88" s="120" t="e">
        <f>AA88*(1+F88/100)/(1-#REF!/100)</f>
        <v>#REF!</v>
      </c>
      <c r="AD88" s="115" t="e">
        <f t="shared" si="19"/>
        <v>#REF!</v>
      </c>
      <c r="AE88" s="44" t="e">
        <f>AE87</f>
        <v>#REF!</v>
      </c>
      <c r="AF88" s="44"/>
      <c r="AG88" s="33" t="e">
        <f>#REF!</f>
        <v>#REF!</v>
      </c>
      <c r="AH88" s="31">
        <f>U88*(1-D88)</f>
        <v>100</v>
      </c>
      <c r="AI88" s="52" t="e">
        <f>AG88*(1+G88/100)/(1-#REF!/100)</f>
        <v>#REF!</v>
      </c>
      <c r="AJ88" s="54" t="e">
        <f t="shared" si="20"/>
        <v>#REF!</v>
      </c>
      <c r="AK88" s="32" t="e">
        <f>AH88/AG88</f>
        <v>#REF!</v>
      </c>
      <c r="AM88" s="119" t="e">
        <f t="shared" si="21"/>
        <v>#REF!</v>
      </c>
      <c r="AN88" s="54" t="e">
        <f t="shared" si="22"/>
        <v>#REF!</v>
      </c>
    </row>
    <row r="89" spans="2:40" ht="15.75" customHeight="1" x14ac:dyDescent="0.2">
      <c r="B89" s="33"/>
      <c r="C89" s="33"/>
      <c r="D89" s="29"/>
      <c r="E89" s="50"/>
      <c r="Q89" s="45"/>
      <c r="R89" s="45"/>
      <c r="S89" s="33"/>
      <c r="T89" s="33"/>
      <c r="U89" s="33"/>
      <c r="V89" s="50"/>
      <c r="W89" s="33"/>
      <c r="X89" s="33"/>
      <c r="Y89" s="68"/>
      <c r="AA89" s="33"/>
      <c r="AB89" s="33"/>
      <c r="AC89" s="52"/>
      <c r="AD89" s="62"/>
      <c r="AE89" s="44"/>
      <c r="AF89" s="44"/>
      <c r="AG89" s="33"/>
      <c r="AH89" s="31"/>
      <c r="AI89" s="33"/>
      <c r="AJ89" s="62"/>
      <c r="AK89" s="32"/>
    </row>
    <row r="90" spans="2:40" ht="15.75" customHeight="1" x14ac:dyDescent="0.2">
      <c r="AA90" s="112"/>
      <c r="AB90" s="112"/>
      <c r="AC90" s="112"/>
      <c r="AD90" s="112"/>
      <c r="AE90" s="112"/>
      <c r="AF90" s="112"/>
      <c r="AG90" s="112"/>
      <c r="AH90" s="112"/>
      <c r="AI90" s="112"/>
      <c r="AJ90" s="112"/>
      <c r="AK90" s="112"/>
      <c r="AL90" s="112"/>
    </row>
    <row r="91" spans="2:40" ht="15.75" customHeight="1" x14ac:dyDescent="0.2">
      <c r="B91" s="96" t="s">
        <v>103</v>
      </c>
      <c r="C91" s="34"/>
      <c r="AA91" s="112"/>
      <c r="AB91" s="112"/>
      <c r="AC91" s="113"/>
      <c r="AD91" s="112"/>
      <c r="AE91" s="112"/>
      <c r="AF91" s="112"/>
      <c r="AG91" s="112"/>
      <c r="AH91" s="112"/>
      <c r="AI91" s="112"/>
      <c r="AJ91" s="112"/>
      <c r="AK91" s="112"/>
      <c r="AL91" s="112"/>
    </row>
    <row r="92" spans="2:40" ht="15.75" customHeight="1" x14ac:dyDescent="0.2">
      <c r="B92" s="28" t="s">
        <v>61</v>
      </c>
      <c r="C92" s="28"/>
      <c r="D92" s="28" t="s">
        <v>29</v>
      </c>
      <c r="E92" s="57" t="s">
        <v>63</v>
      </c>
      <c r="F92" s="57" t="s">
        <v>72</v>
      </c>
      <c r="G92" s="57" t="s">
        <v>99</v>
      </c>
      <c r="H92" s="103"/>
      <c r="I92" s="103"/>
      <c r="J92" s="103"/>
      <c r="K92" s="103"/>
      <c r="L92" s="103"/>
      <c r="M92" s="103"/>
      <c r="N92" s="103"/>
      <c r="O92" s="103"/>
      <c r="AA92" s="112"/>
      <c r="AB92" s="112"/>
      <c r="AC92" s="114"/>
      <c r="AD92" s="112"/>
      <c r="AE92" s="112"/>
      <c r="AF92" s="112"/>
      <c r="AG92" s="112"/>
      <c r="AH92" s="112"/>
      <c r="AI92" s="112"/>
      <c r="AJ92" s="112"/>
      <c r="AK92" s="112"/>
      <c r="AL92" s="112"/>
    </row>
    <row r="93" spans="2:40" ht="15.75" customHeight="1" x14ac:dyDescent="0.2">
      <c r="B93" s="33">
        <v>100</v>
      </c>
      <c r="C93" s="33"/>
      <c r="D93" s="29">
        <v>0.5</v>
      </c>
      <c r="E93" s="50">
        <v>5</v>
      </c>
      <c r="F93">
        <v>10</v>
      </c>
      <c r="G93">
        <v>20</v>
      </c>
      <c r="AA93" s="112"/>
      <c r="AB93" s="112"/>
      <c r="AC93" s="112"/>
      <c r="AD93" s="112"/>
      <c r="AE93" s="112"/>
      <c r="AF93" s="112"/>
      <c r="AG93" s="112"/>
      <c r="AH93" s="112"/>
      <c r="AI93" s="112"/>
      <c r="AJ93" s="112"/>
      <c r="AK93" s="112"/>
      <c r="AL93" s="112"/>
    </row>
    <row r="94" spans="2:40" ht="15.75" customHeight="1" x14ac:dyDescent="0.2">
      <c r="B94" s="36">
        <v>109</v>
      </c>
      <c r="C94" s="36"/>
      <c r="D94" s="37">
        <v>0.5</v>
      </c>
      <c r="E94" s="51">
        <v>5</v>
      </c>
      <c r="F94" s="35">
        <v>10</v>
      </c>
      <c r="G94" s="35">
        <v>20</v>
      </c>
      <c r="AA94" s="112"/>
      <c r="AB94" s="112"/>
      <c r="AC94" s="112"/>
      <c r="AD94" s="112"/>
      <c r="AE94" s="112"/>
      <c r="AF94" s="112"/>
      <c r="AG94" s="112"/>
      <c r="AH94" s="112"/>
      <c r="AI94" s="112"/>
      <c r="AJ94" s="112"/>
      <c r="AK94" s="112"/>
      <c r="AL94" s="112"/>
    </row>
    <row r="95" spans="2:40" ht="15.75" customHeight="1" x14ac:dyDescent="0.2">
      <c r="B95" s="33">
        <v>115</v>
      </c>
      <c r="C95" s="33"/>
      <c r="D95" s="29">
        <v>0.5</v>
      </c>
      <c r="E95" s="50">
        <v>5</v>
      </c>
      <c r="F95">
        <v>10</v>
      </c>
      <c r="G95">
        <v>20</v>
      </c>
      <c r="AA95" s="112"/>
      <c r="AB95" s="112"/>
      <c r="AC95" s="112"/>
      <c r="AD95" s="112"/>
      <c r="AE95" s="112"/>
      <c r="AF95" s="112"/>
      <c r="AG95" s="112"/>
      <c r="AH95" s="112"/>
      <c r="AI95" s="112"/>
      <c r="AJ95" s="112"/>
      <c r="AK95" s="112"/>
      <c r="AL95" s="112"/>
    </row>
    <row r="96" spans="2:40" ht="15.75" customHeight="1" x14ac:dyDescent="0.2">
      <c r="B96" s="36">
        <v>122</v>
      </c>
      <c r="C96" s="36"/>
      <c r="D96" s="37">
        <v>0.5</v>
      </c>
      <c r="E96" s="51">
        <v>5</v>
      </c>
      <c r="F96" s="35">
        <v>10</v>
      </c>
      <c r="G96" s="35">
        <v>20</v>
      </c>
      <c r="AA96" s="112"/>
      <c r="AB96" s="112"/>
      <c r="AC96" s="112"/>
      <c r="AD96" s="112"/>
      <c r="AE96" s="112"/>
      <c r="AF96" s="112"/>
      <c r="AG96" s="112"/>
      <c r="AH96" s="112"/>
      <c r="AI96" s="112"/>
      <c r="AJ96" s="112"/>
      <c r="AK96" s="112"/>
      <c r="AL96" s="112"/>
    </row>
    <row r="97" spans="2:38" ht="15.75" customHeight="1" x14ac:dyDescent="0.2">
      <c r="AL97" s="122"/>
    </row>
    <row r="98" spans="2:38" ht="15.75" customHeight="1" x14ac:dyDescent="0.2">
      <c r="B98" s="66" t="s">
        <v>175</v>
      </c>
      <c r="C98" s="34"/>
      <c r="AA98" s="56" t="s">
        <v>186</v>
      </c>
      <c r="AB98" s="12"/>
      <c r="AC98" s="12"/>
      <c r="AD98" s="34" t="s">
        <v>179</v>
      </c>
      <c r="AG98" s="46"/>
      <c r="AH98" s="45"/>
      <c r="AI98" s="46"/>
      <c r="AJ98" s="46"/>
      <c r="AK98" s="45"/>
    </row>
    <row r="99" spans="2:38" ht="15.75" customHeight="1" x14ac:dyDescent="0.2">
      <c r="B99" s="28" t="s">
        <v>110</v>
      </c>
      <c r="C99" s="28" t="s">
        <v>114</v>
      </c>
      <c r="D99" s="28" t="s">
        <v>29</v>
      </c>
      <c r="E99" s="57" t="s">
        <v>63</v>
      </c>
      <c r="F99" s="57" t="s">
        <v>72</v>
      </c>
      <c r="G99" s="57" t="s">
        <v>99</v>
      </c>
      <c r="H99" s="103"/>
      <c r="I99" s="103"/>
      <c r="J99" s="103"/>
      <c r="K99" s="103"/>
      <c r="L99" s="103"/>
      <c r="M99" s="103"/>
      <c r="N99" s="103"/>
      <c r="O99" s="103"/>
      <c r="Q99" s="28" t="s">
        <v>3</v>
      </c>
      <c r="R99" s="28"/>
      <c r="S99" s="28"/>
      <c r="T99" s="57" t="s">
        <v>70</v>
      </c>
      <c r="U99" s="28" t="s">
        <v>1</v>
      </c>
      <c r="V99" s="57" t="s">
        <v>62</v>
      </c>
      <c r="W99" s="103"/>
      <c r="X99" s="103"/>
      <c r="AA99" s="57" t="s">
        <v>0</v>
      </c>
      <c r="AB99" s="57" t="s">
        <v>9</v>
      </c>
      <c r="AC99" s="103"/>
      <c r="AD99" s="57" t="s">
        <v>182</v>
      </c>
      <c r="AE99" s="57" t="s">
        <v>183</v>
      </c>
      <c r="AF99" s="57" t="s">
        <v>181</v>
      </c>
      <c r="AG99" s="103"/>
      <c r="AH99" s="103"/>
      <c r="AI99" s="103"/>
      <c r="AJ99" s="103"/>
      <c r="AK99" s="103"/>
    </row>
    <row r="100" spans="2:38" ht="15.75" customHeight="1" x14ac:dyDescent="0.2">
      <c r="B100" s="33">
        <v>100</v>
      </c>
      <c r="C100" s="101" t="s">
        <v>176</v>
      </c>
      <c r="D100" s="29">
        <v>0.5</v>
      </c>
      <c r="E100" s="50">
        <v>5</v>
      </c>
      <c r="F100">
        <v>10</v>
      </c>
      <c r="G100">
        <v>20</v>
      </c>
      <c r="Q100" s="45" t="s">
        <v>75</v>
      </c>
      <c r="R100" s="45"/>
      <c r="S100" s="33"/>
      <c r="T100" s="33"/>
      <c r="U100" s="33">
        <v>500</v>
      </c>
      <c r="V100" s="50" t="e">
        <f>U100/#REF!</f>
        <v>#REF!</v>
      </c>
      <c r="W100" s="52"/>
      <c r="X100" s="52"/>
      <c r="AA100" s="33"/>
      <c r="AB100" s="33"/>
      <c r="AC100" s="33"/>
      <c r="AD100" s="102" t="e">
        <f>IF(
      OR(
        (B100*(1+#REF!/100)/C107-1)*100 &lt;= -E100,
        (B100*(1+#REF!/100)/C108-1)*100 &lt;= -E100,
        (B100*(1+#REF!/100)/C109-1)*100 &lt;= -E100,
        (B100*(1+#REF!/100)/C110-1)*100 &lt;= -E100,
        (B100*(1+#REF!/100)/C111-1)*100 &lt;= -E100
      ),
      MIN(
        IF((B100*(1+#REF!/100)/C107-1)*100 &lt;= -E100, (B100*(1+#REF!/100)/C107-1)*100, 0),
        IF((B100*(1+#REF!/100)/C108-1)*100 &lt;= -E100, (B100*(1+#REF!/100)/C108-1)*100, 0),
        IF((B100*(1+#REF!/100)/C109-1)*100 &lt;= -E100, (B100*(1+#REF!/100)/C109-1)*100, 0),
        IF((B100*(1+#REF!/100)/C110-1)*100 &lt;= -E100, (B100*(1+#REF!/100)/C110-1)*100, 0),
        IF((B100*(1+#REF!/100)/C111-1)*100 &lt;= -E100, (B100*(1+#REF!/100)/C111-1)*100, 0)
      )/100,
      ""
    )</f>
        <v>#REF!</v>
      </c>
      <c r="AE100" s="93" t="s">
        <v>34</v>
      </c>
      <c r="AF100" t="s">
        <v>184</v>
      </c>
      <c r="AG100" s="101"/>
      <c r="AH100" s="104"/>
      <c r="AI100" s="101"/>
      <c r="AJ100" s="105"/>
      <c r="AK100" s="106"/>
    </row>
    <row r="101" spans="2:38" ht="15.75" customHeight="1" x14ac:dyDescent="0.2">
      <c r="B101" s="36"/>
      <c r="C101" s="36"/>
      <c r="D101" s="37"/>
      <c r="E101" s="51"/>
      <c r="F101" s="35"/>
      <c r="G101" s="35"/>
      <c r="Q101" s="47" t="s">
        <v>75</v>
      </c>
      <c r="R101" s="47"/>
      <c r="S101" s="36"/>
      <c r="T101" s="36"/>
      <c r="U101" s="36">
        <v>200</v>
      </c>
      <c r="V101" s="51" t="e">
        <f>U101/#REF!</f>
        <v>#REF!</v>
      </c>
      <c r="W101" s="52"/>
      <c r="X101" s="52"/>
      <c r="AA101" s="36"/>
      <c r="AB101" s="36"/>
      <c r="AC101" s="33"/>
      <c r="AD101" s="109" t="e">
        <f>IF(
      OR(
        (B100*(1+#REF!/100)/C107-1)*100 &lt;= -E100,
        (B100*(1+#REF!/100)/C108-1)*100 &lt;= -E100,
        (B100*(1+#REF!/100)/C109-1)*100 &lt;= -E100,
        (B100*(1+#REF!/100)/C110-1)*100 &lt;= -E100,
        (B100*(1+#REF!/100)/C111-1)*100 &lt;= -E100
      ),
      MIN(
        IF((B100*(1+#REF!/100)/C107-1)*100 &lt;= -E100, (B100*(1+#REF!/100)/C107-1)*100, 0),
        IF((B100*(1+#REF!/100)/C108-1)*100 &lt;= -E100, (B100*(1+#REF!/100)/C108-1)*100, 0),
        IF((B100*(1+#REF!/100)/C109-1)*100 &lt;= -E100, (B100*(1+#REF!/100)/C109-1)*100, 0),
        IF((B100*(1+#REF!/100)/C110-1)*100 &lt;= -E100, (B100*(1+#REF!/100)/C110-1)*100, 0),
        IF((B100*(1+#REF!/100)/C111-1)*100 &lt;= -E100, (B100*(1+#REF!/100)/C111-1)*100, 0)
      )/100,
      ""
    )</f>
        <v>#REF!</v>
      </c>
      <c r="AE101" s="107" t="s">
        <v>34</v>
      </c>
      <c r="AF101" s="35" t="e">
        <f>#REF!</f>
        <v>#REF!</v>
      </c>
      <c r="AG101" s="101"/>
      <c r="AH101" s="104"/>
      <c r="AI101" s="101"/>
      <c r="AJ101" s="105"/>
      <c r="AK101" s="106"/>
    </row>
    <row r="102" spans="2:38" ht="15.75" customHeight="1" x14ac:dyDescent="0.2">
      <c r="B102" s="33">
        <v>50</v>
      </c>
      <c r="C102" s="101" t="s">
        <v>185</v>
      </c>
      <c r="D102" s="29">
        <v>0.5</v>
      </c>
      <c r="E102" s="50">
        <v>8</v>
      </c>
      <c r="F102">
        <v>10</v>
      </c>
      <c r="G102">
        <v>20</v>
      </c>
      <c r="Q102" s="45" t="s">
        <v>75</v>
      </c>
      <c r="R102" s="45"/>
      <c r="S102" s="33"/>
      <c r="T102" s="33"/>
      <c r="U102" s="33">
        <v>600</v>
      </c>
      <c r="V102" s="50" t="e">
        <f>U102/#REF!</f>
        <v>#REF!</v>
      </c>
      <c r="W102" s="52"/>
      <c r="X102" s="52"/>
      <c r="AA102" s="33" t="e">
        <f>#REF!</f>
        <v>#REF!</v>
      </c>
      <c r="AB102" s="52" t="e">
        <f>AA102 * (1 - $E$102%)</f>
        <v>#REF!</v>
      </c>
      <c r="AC102" s="33"/>
      <c r="AE102" s="54" t="e">
        <f>($B$102 -#REF!) /#REF!</f>
        <v>#REF!</v>
      </c>
      <c r="AF102" t="e">
        <f>#REF!</f>
        <v>#REF!</v>
      </c>
      <c r="AG102" s="101"/>
      <c r="AH102" s="104"/>
      <c r="AI102" s="101"/>
      <c r="AJ102" s="105"/>
      <c r="AK102" s="106"/>
    </row>
    <row r="103" spans="2:38" ht="15.75" customHeight="1" x14ac:dyDescent="0.2">
      <c r="B103" s="36"/>
      <c r="C103" s="36"/>
      <c r="D103" s="37"/>
      <c r="E103" s="51"/>
      <c r="F103" s="35"/>
      <c r="G103" s="35"/>
      <c r="Q103" s="47" t="s">
        <v>75</v>
      </c>
      <c r="R103" s="47"/>
      <c r="S103" s="36"/>
      <c r="T103" s="36"/>
      <c r="U103" s="36">
        <v>520</v>
      </c>
      <c r="V103" s="51" t="e">
        <f>U103/#REF!</f>
        <v>#REF!</v>
      </c>
      <c r="W103" s="52"/>
      <c r="X103" s="52"/>
      <c r="AA103" s="36" t="e">
        <f>#REF!</f>
        <v>#REF!</v>
      </c>
      <c r="AB103" s="40" t="e">
        <f t="shared" ref="AB103:AB104" si="31">AA103 * (1 - $E$102%)</f>
        <v>#REF!</v>
      </c>
      <c r="AC103" s="33"/>
      <c r="AD103" s="35"/>
      <c r="AE103" s="55" t="e">
        <f>($B$102 -#REF!) /#REF!</f>
        <v>#REF!</v>
      </c>
      <c r="AF103" s="35" t="e">
        <f>#REF!</f>
        <v>#REF!</v>
      </c>
      <c r="AG103" s="101"/>
      <c r="AH103" s="104"/>
      <c r="AI103" s="101"/>
      <c r="AJ103" s="105"/>
      <c r="AK103" s="106"/>
    </row>
    <row r="104" spans="2:38" ht="15.75" customHeight="1" x14ac:dyDescent="0.2">
      <c r="B104" s="33"/>
      <c r="C104" s="33"/>
      <c r="D104" s="29"/>
      <c r="E104" s="50"/>
      <c r="Q104" t="s">
        <v>75</v>
      </c>
      <c r="U104" s="33">
        <v>700</v>
      </c>
      <c r="V104" s="50" t="e">
        <f>U104/#REF!</f>
        <v>#REF!</v>
      </c>
      <c r="W104" s="52"/>
      <c r="X104" s="52"/>
      <c r="AA104" s="33" t="e">
        <f>#REF!</f>
        <v>#REF!</v>
      </c>
      <c r="AB104" s="52" t="e">
        <f t="shared" si="31"/>
        <v>#REF!</v>
      </c>
      <c r="AE104" s="54" t="e">
        <f>($B$102 -#REF!) /#REF!</f>
        <v>#REF!</v>
      </c>
      <c r="AF104" t="e">
        <f>#REF!</f>
        <v>#REF!</v>
      </c>
      <c r="AG104" s="45"/>
      <c r="AH104" s="45"/>
      <c r="AI104" s="45"/>
      <c r="AJ104" s="45"/>
      <c r="AK104" s="45"/>
    </row>
    <row r="105" spans="2:38" ht="15.75" customHeight="1" x14ac:dyDescent="0.2">
      <c r="B105" s="101" t="s">
        <v>177</v>
      </c>
      <c r="C105" s="33"/>
      <c r="D105" s="29"/>
      <c r="E105" s="50"/>
      <c r="Q105" s="47" t="s">
        <v>75</v>
      </c>
      <c r="R105" s="47"/>
      <c r="S105" s="35"/>
      <c r="T105" s="35"/>
      <c r="U105" s="36">
        <v>255</v>
      </c>
      <c r="V105" s="51" t="e">
        <f>U105/#REF!</f>
        <v>#REF!</v>
      </c>
      <c r="AA105" s="36" t="e">
        <f>#REF!</f>
        <v>#REF!</v>
      </c>
      <c r="AB105" s="40" t="e">
        <f>(AA105 * (1 - $E$102%)) / (1 +#REF! %)</f>
        <v>#REF!</v>
      </c>
      <c r="AD105" s="35"/>
      <c r="AE105" s="108" t="e">
        <f>($B$102 -#REF!) /#REF!</f>
        <v>#REF!</v>
      </c>
      <c r="AF105" s="35" t="e">
        <f>#REF!</f>
        <v>#REF!</v>
      </c>
    </row>
    <row r="106" spans="2:38" ht="15.75" customHeight="1" x14ac:dyDescent="0.2">
      <c r="B106" s="57" t="s">
        <v>2</v>
      </c>
      <c r="C106" s="57" t="s">
        <v>178</v>
      </c>
      <c r="D106" s="57" t="s">
        <v>180</v>
      </c>
      <c r="Q106" s="45" t="s">
        <v>75</v>
      </c>
      <c r="R106" s="45"/>
      <c r="U106" s="33">
        <v>1100</v>
      </c>
      <c r="V106" s="50" t="e">
        <f>U106/#REF!</f>
        <v>#REF!</v>
      </c>
      <c r="AA106" s="33" t="e">
        <f>#REF!</f>
        <v>#REF!</v>
      </c>
      <c r="AD106" s="102" t="e">
        <f>IF(
      OR(
        (B100*(1+#REF!/100)/C107-1)*100 &lt;= -E100,
        (B100*(1+#REF!/100)/C108-1)*100 &lt;= -E100,
        (B100*(1+#REF!/100)/C109-1)*100 &lt;= -E100,
        (B100*(1+#REF!/100)/C110-1)*100 &lt;= -E100,
        (B100*(1+#REF!/100)/C111-1)*100 &lt;= -E100
      ),
      MIN(
        IF((B100*(1+#REF!/100)/C107-1)*100 &lt;= -E100, (B100*(1+#REF!/100)/C107-1)*100, 0),
        IF((B100*(1+#REF!/100)/C108-1)*100 &lt;= -E100, (B100*(1+#REF!/100)/C108-1)*100, 0),
        IF((B100*(1+#REF!/100)/C109-1)*100 &lt;= -E100, (B100*(1+#REF!/100)/C109-1)*100, 0),
        IF((B100*(1+#REF!/100)/C110-1)*100 &lt;= -E100, (B100*(1+#REF!/100)/C110-1)*100, 0),
        IF((B100*(1+#REF!/100)/C111-1)*100 &lt;= -E100, (B100*(1+#REF!/100)/C111-1)*100, 0)
      )/100,
      ""
    )</f>
        <v>#REF!</v>
      </c>
      <c r="AE106" s="110" t="e">
        <f>($B$100 -#REF!) /#REF!</f>
        <v>#REF!</v>
      </c>
      <c r="AF106" t="e">
        <f>#REF!</f>
        <v>#REF!</v>
      </c>
    </row>
    <row r="107" spans="2:38" ht="15.75" customHeight="1" x14ac:dyDescent="0.2">
      <c r="B107" s="100">
        <v>45924</v>
      </c>
      <c r="C107" s="99">
        <v>106</v>
      </c>
    </row>
    <row r="108" spans="2:38" ht="15.75" customHeight="1" x14ac:dyDescent="0.2">
      <c r="B108" s="100">
        <v>45923</v>
      </c>
      <c r="C108" s="99">
        <v>105</v>
      </c>
    </row>
    <row r="109" spans="2:38" ht="15.75" customHeight="1" x14ac:dyDescent="0.2">
      <c r="B109" s="100">
        <v>45922</v>
      </c>
      <c r="C109" s="99">
        <v>108</v>
      </c>
    </row>
    <row r="110" spans="2:38" ht="15.75" customHeight="1" x14ac:dyDescent="0.2">
      <c r="B110" s="100">
        <v>45921</v>
      </c>
      <c r="C110" s="99">
        <v>107</v>
      </c>
    </row>
    <row r="111" spans="2:38" ht="15.75" customHeight="1" x14ac:dyDescent="0.2">
      <c r="B111" s="100">
        <v>45920</v>
      </c>
      <c r="C111" s="99">
        <v>104</v>
      </c>
      <c r="P111" s="45"/>
      <c r="AB111" s="69"/>
    </row>
    <row r="112" spans="2:38" ht="15.75" customHeight="1" x14ac:dyDescent="0.2">
      <c r="P112" s="45"/>
    </row>
    <row r="113" spans="16:43" ht="15.75" customHeight="1" x14ac:dyDescent="0.2">
      <c r="P113" s="45"/>
    </row>
    <row r="114" spans="16:43" ht="15.75" customHeight="1" x14ac:dyDescent="0.2">
      <c r="P114" s="93"/>
      <c r="AB114" s="45" t="s">
        <v>74</v>
      </c>
      <c r="AL114" s="45" t="s">
        <v>94</v>
      </c>
    </row>
    <row r="115" spans="16:43" ht="15.75" customHeight="1" x14ac:dyDescent="0.2">
      <c r="AB115" s="70" t="s">
        <v>2</v>
      </c>
      <c r="AC115" s="71" t="s">
        <v>3</v>
      </c>
      <c r="AD115" s="71"/>
      <c r="AE115" s="71" t="s">
        <v>76</v>
      </c>
      <c r="AF115" s="71" t="s">
        <v>4</v>
      </c>
      <c r="AG115" s="71" t="s">
        <v>0</v>
      </c>
      <c r="AH115" s="71" t="s">
        <v>1</v>
      </c>
      <c r="AI115" s="71" t="s">
        <v>62</v>
      </c>
      <c r="AJ115" s="71"/>
      <c r="AK115" s="71" t="s">
        <v>77</v>
      </c>
      <c r="AL115" s="71" t="s">
        <v>84</v>
      </c>
      <c r="AM115" s="71" t="s">
        <v>83</v>
      </c>
      <c r="AN115" s="71" t="s">
        <v>7</v>
      </c>
      <c r="AO115" s="71" t="s">
        <v>81</v>
      </c>
      <c r="AP115" s="71" t="s">
        <v>79</v>
      </c>
      <c r="AQ115" s="71" t="s">
        <v>82</v>
      </c>
    </row>
    <row r="116" spans="16:43" ht="15.75" customHeight="1" x14ac:dyDescent="0.2">
      <c r="AB116" s="79">
        <v>45658</v>
      </c>
      <c r="AC116" s="80" t="s">
        <v>75</v>
      </c>
      <c r="AD116" s="80"/>
      <c r="AE116" s="81" t="s">
        <v>85</v>
      </c>
      <c r="AF116" s="80" t="s">
        <v>78</v>
      </c>
      <c r="AG116" s="82">
        <v>200</v>
      </c>
      <c r="AH116" s="82">
        <v>200</v>
      </c>
      <c r="AI116" s="83">
        <f>AH116/AG116</f>
        <v>1</v>
      </c>
      <c r="AJ116" s="83"/>
      <c r="AK116" s="80"/>
      <c r="AL116" s="83">
        <v>1</v>
      </c>
      <c r="AM116" s="83">
        <f>AL116/2</f>
        <v>0.5</v>
      </c>
      <c r="AN116" s="84">
        <f>AL116/2</f>
        <v>0.5</v>
      </c>
      <c r="AO116" s="82">
        <v>0</v>
      </c>
      <c r="AP116" s="85">
        <f>ABS(AO116-AH116)</f>
        <v>200</v>
      </c>
      <c r="AQ116" s="86">
        <f>((AO116+(AI116*AG116)-AP116)/AP116)</f>
        <v>0</v>
      </c>
    </row>
    <row r="117" spans="16:43" ht="15.75" customHeight="1" x14ac:dyDescent="0.2">
      <c r="AB117" s="72">
        <v>45659</v>
      </c>
      <c r="AC117" s="73" t="s">
        <v>73</v>
      </c>
      <c r="AD117" s="73"/>
      <c r="AE117" s="75" t="s">
        <v>86</v>
      </c>
      <c r="AF117" s="73" t="s">
        <v>10</v>
      </c>
      <c r="AG117" s="74">
        <v>220</v>
      </c>
      <c r="AH117" s="73"/>
      <c r="AI117" s="76">
        <f>AM116</f>
        <v>0.5</v>
      </c>
      <c r="AJ117" s="76"/>
      <c r="AK117" s="74">
        <f>AG117*AI117</f>
        <v>110</v>
      </c>
      <c r="AL117" s="76">
        <v>0.5</v>
      </c>
      <c r="AM117" s="76">
        <v>0</v>
      </c>
      <c r="AN117" s="76">
        <v>0.5</v>
      </c>
      <c r="AO117" s="74">
        <f>AK117+AO116</f>
        <v>110</v>
      </c>
      <c r="AP117" s="74">
        <f>AP116</f>
        <v>200</v>
      </c>
      <c r="AQ117" s="78">
        <f t="shared" ref="AQ117:AQ125" si="32">((AO117+(AL117*AG117)-AP117)/AP117)</f>
        <v>0.1</v>
      </c>
    </row>
    <row r="118" spans="16:43" ht="15.75" customHeight="1" x14ac:dyDescent="0.2">
      <c r="AB118" s="79">
        <v>45660</v>
      </c>
      <c r="AC118" s="80" t="s">
        <v>75</v>
      </c>
      <c r="AD118" s="80"/>
      <c r="AE118" s="81" t="s">
        <v>87</v>
      </c>
      <c r="AF118" s="80" t="s">
        <v>80</v>
      </c>
      <c r="AG118" s="82">
        <v>220</v>
      </c>
      <c r="AH118" s="82">
        <v>220</v>
      </c>
      <c r="AI118" s="83">
        <f>AH118/AG118</f>
        <v>1</v>
      </c>
      <c r="AJ118" s="83"/>
      <c r="AK118" s="80"/>
      <c r="AL118" s="83">
        <f>AI118+AL117</f>
        <v>1.5</v>
      </c>
      <c r="AM118" s="83">
        <f>AM117+(AI118/2)</f>
        <v>0.5</v>
      </c>
      <c r="AN118" s="83">
        <f>AN117+(AI118/2)</f>
        <v>1</v>
      </c>
      <c r="AO118" s="82">
        <v>0</v>
      </c>
      <c r="AP118" s="82">
        <f>AP117+(AH118-AO117)</f>
        <v>310</v>
      </c>
      <c r="AQ118" s="86">
        <f t="shared" si="32"/>
        <v>6.4516129032258063E-2</v>
      </c>
    </row>
    <row r="119" spans="16:43" ht="15.75" customHeight="1" x14ac:dyDescent="0.2">
      <c r="AB119" s="72">
        <v>45661</v>
      </c>
      <c r="AC119" s="73" t="s">
        <v>73</v>
      </c>
      <c r="AD119" s="73"/>
      <c r="AE119" s="75" t="s">
        <v>88</v>
      </c>
      <c r="AF119" s="73" t="s">
        <v>80</v>
      </c>
      <c r="AG119" s="74">
        <v>190</v>
      </c>
      <c r="AH119" s="73"/>
      <c r="AI119" s="76">
        <v>0.5</v>
      </c>
      <c r="AJ119" s="76"/>
      <c r="AK119" s="74">
        <f>AG119*AI119</f>
        <v>95</v>
      </c>
      <c r="AL119" s="76">
        <f>AL118-AI119</f>
        <v>1</v>
      </c>
      <c r="AM119" s="76">
        <f>AM118</f>
        <v>0.5</v>
      </c>
      <c r="AN119" s="76">
        <f>AN118-AI119</f>
        <v>0.5</v>
      </c>
      <c r="AO119" s="74">
        <f>AO118+AK119</f>
        <v>95</v>
      </c>
      <c r="AP119" s="74">
        <f>AP118</f>
        <v>310</v>
      </c>
      <c r="AQ119" s="78">
        <f t="shared" si="32"/>
        <v>-8.0645161290322578E-2</v>
      </c>
    </row>
    <row r="120" spans="16:43" ht="15.75" customHeight="1" x14ac:dyDescent="0.2">
      <c r="AB120" s="79">
        <v>45662</v>
      </c>
      <c r="AC120" s="80" t="s">
        <v>75</v>
      </c>
      <c r="AD120" s="80"/>
      <c r="AE120" s="81" t="s">
        <v>89</v>
      </c>
      <c r="AF120" s="80" t="s">
        <v>80</v>
      </c>
      <c r="AG120" s="82">
        <v>200</v>
      </c>
      <c r="AH120" s="82">
        <v>200</v>
      </c>
      <c r="AI120" s="83">
        <f>AH120/AG120</f>
        <v>1</v>
      </c>
      <c r="AJ120" s="83"/>
      <c r="AK120" s="80"/>
      <c r="AL120" s="83">
        <f>AL119+AI120</f>
        <v>2</v>
      </c>
      <c r="AM120" s="83">
        <f>AM119+(AI120/2)</f>
        <v>1</v>
      </c>
      <c r="AN120" s="83">
        <f>AN119+(AI120/2)</f>
        <v>1</v>
      </c>
      <c r="AO120" s="82">
        <v>0</v>
      </c>
      <c r="AP120" s="82">
        <f>AP119+(AH120-AO119)</f>
        <v>415</v>
      </c>
      <c r="AQ120" s="86">
        <f t="shared" si="32"/>
        <v>-3.614457831325301E-2</v>
      </c>
    </row>
    <row r="121" spans="16:43" ht="15.75" customHeight="1" x14ac:dyDescent="0.2">
      <c r="AB121" s="72">
        <v>45663</v>
      </c>
      <c r="AC121" s="73" t="s">
        <v>73</v>
      </c>
      <c r="AD121" s="73"/>
      <c r="AE121" s="75" t="s">
        <v>90</v>
      </c>
      <c r="AF121" s="73" t="s">
        <v>80</v>
      </c>
      <c r="AG121" s="74">
        <v>210</v>
      </c>
      <c r="AH121" s="73"/>
      <c r="AI121" s="76">
        <v>0.5</v>
      </c>
      <c r="AJ121" s="76"/>
      <c r="AK121" s="74">
        <f>AG121*AI121</f>
        <v>105</v>
      </c>
      <c r="AL121" s="76">
        <f>AL120-AI121</f>
        <v>1.5</v>
      </c>
      <c r="AM121" s="76">
        <f>AM120-AI121</f>
        <v>0.5</v>
      </c>
      <c r="AN121" s="76">
        <f>AN120</f>
        <v>1</v>
      </c>
      <c r="AO121" s="74">
        <f>AO120+AK121</f>
        <v>105</v>
      </c>
      <c r="AP121" s="74">
        <f>AP120</f>
        <v>415</v>
      </c>
      <c r="AQ121" s="78">
        <f t="shared" si="32"/>
        <v>1.2048192771084338E-2</v>
      </c>
    </row>
    <row r="122" spans="16:43" ht="15.75" customHeight="1" x14ac:dyDescent="0.2">
      <c r="AB122" s="72">
        <v>45664</v>
      </c>
      <c r="AC122" s="73" t="s">
        <v>73</v>
      </c>
      <c r="AD122" s="73"/>
      <c r="AE122" s="75" t="s">
        <v>91</v>
      </c>
      <c r="AF122" s="73" t="s">
        <v>80</v>
      </c>
      <c r="AG122" s="74">
        <v>210</v>
      </c>
      <c r="AH122" s="73"/>
      <c r="AI122" s="76">
        <v>0.5</v>
      </c>
      <c r="AJ122" s="76"/>
      <c r="AK122" s="74">
        <f>AG122/2</f>
        <v>105</v>
      </c>
      <c r="AL122" s="76">
        <f>AL121-AI122</f>
        <v>1</v>
      </c>
      <c r="AM122" s="76">
        <f>AM121</f>
        <v>0.5</v>
      </c>
      <c r="AN122" s="76">
        <f>AN121-AI122</f>
        <v>0.5</v>
      </c>
      <c r="AO122" s="74">
        <f>AK122+AO121</f>
        <v>210</v>
      </c>
      <c r="AP122" s="74">
        <f>AP121</f>
        <v>415</v>
      </c>
      <c r="AQ122" s="78">
        <f t="shared" si="32"/>
        <v>1.2048192771084338E-2</v>
      </c>
    </row>
    <row r="123" spans="16:43" ht="15.75" customHeight="1" x14ac:dyDescent="0.2">
      <c r="Y123" s="93"/>
      <c r="AB123" s="79">
        <v>45665</v>
      </c>
      <c r="AC123" s="81" t="s">
        <v>75</v>
      </c>
      <c r="AD123" s="81"/>
      <c r="AE123" s="81" t="s">
        <v>92</v>
      </c>
      <c r="AF123" s="81" t="s">
        <v>80</v>
      </c>
      <c r="AG123" s="82">
        <v>200</v>
      </c>
      <c r="AH123" s="82">
        <v>200</v>
      </c>
      <c r="AI123" s="83">
        <v>1</v>
      </c>
      <c r="AJ123" s="83"/>
      <c r="AK123" s="80"/>
      <c r="AL123" s="83">
        <f>AL122+AI123</f>
        <v>2</v>
      </c>
      <c r="AM123" s="83">
        <f>AI123+AM122</f>
        <v>1.5</v>
      </c>
      <c r="AN123" s="84">
        <f>AN122</f>
        <v>0.5</v>
      </c>
      <c r="AO123" s="82">
        <f>AO122-AH123</f>
        <v>10</v>
      </c>
      <c r="AP123" s="82">
        <f>AP121</f>
        <v>415</v>
      </c>
      <c r="AQ123" s="86">
        <f t="shared" si="32"/>
        <v>-1.2048192771084338E-2</v>
      </c>
    </row>
    <row r="124" spans="16:43" ht="15.75" customHeight="1" x14ac:dyDescent="0.2">
      <c r="Y124" s="94"/>
      <c r="AB124" s="72">
        <v>45666</v>
      </c>
      <c r="AC124" s="75" t="s">
        <v>73</v>
      </c>
      <c r="AD124" s="75"/>
      <c r="AE124" s="75" t="s">
        <v>92</v>
      </c>
      <c r="AF124" s="75" t="s">
        <v>80</v>
      </c>
      <c r="AG124" s="74">
        <v>230</v>
      </c>
      <c r="AH124" s="73"/>
      <c r="AI124" s="76">
        <v>0.5</v>
      </c>
      <c r="AJ124" s="76"/>
      <c r="AK124" s="74">
        <f>AG124/2</f>
        <v>115</v>
      </c>
      <c r="AL124" s="76">
        <f>AL123-AI124</f>
        <v>1.5</v>
      </c>
      <c r="AM124" s="76">
        <f>AM123-AI124</f>
        <v>1</v>
      </c>
      <c r="AN124" s="76">
        <f>AN123</f>
        <v>0.5</v>
      </c>
      <c r="AO124" s="74">
        <f>AO123+AK124</f>
        <v>125</v>
      </c>
      <c r="AP124" s="74">
        <f>AP123</f>
        <v>415</v>
      </c>
      <c r="AQ124" s="78">
        <f t="shared" si="32"/>
        <v>0.13253012048192772</v>
      </c>
    </row>
    <row r="125" spans="16:43" ht="15.75" customHeight="1" x14ac:dyDescent="0.2">
      <c r="Y125" s="94"/>
      <c r="AB125" s="79">
        <v>45667</v>
      </c>
      <c r="AC125" s="81" t="s">
        <v>75</v>
      </c>
      <c r="AD125" s="81"/>
      <c r="AE125" s="81" t="s">
        <v>93</v>
      </c>
      <c r="AF125" s="81" t="s">
        <v>80</v>
      </c>
      <c r="AG125" s="82">
        <v>230</v>
      </c>
      <c r="AH125" s="82">
        <v>230</v>
      </c>
      <c r="AI125" s="83">
        <v>1</v>
      </c>
      <c r="AJ125" s="83"/>
      <c r="AK125" s="80"/>
      <c r="AL125" s="83">
        <f>AL124+AI125</f>
        <v>2.5</v>
      </c>
      <c r="AM125" s="83">
        <f>AM124</f>
        <v>1</v>
      </c>
      <c r="AN125" s="83">
        <f>AN124+AI125</f>
        <v>1.5</v>
      </c>
      <c r="AO125" s="82">
        <v>0</v>
      </c>
      <c r="AP125" s="82">
        <f>AP124+(AH125-AO124)</f>
        <v>520</v>
      </c>
      <c r="AQ125" s="86">
        <f t="shared" si="32"/>
        <v>0.10576923076923077</v>
      </c>
    </row>
    <row r="126" spans="16:43" ht="15.75" customHeight="1" x14ac:dyDescent="0.2">
      <c r="Y126" s="94"/>
    </row>
    <row r="127" spans="16:43" ht="15.75" customHeight="1" x14ac:dyDescent="0.2">
      <c r="Y127" s="94"/>
    </row>
    <row r="128" spans="16:43" ht="12.75" x14ac:dyDescent="0.2">
      <c r="AB128" s="45" t="s">
        <v>74</v>
      </c>
      <c r="AL128" s="45" t="s">
        <v>94</v>
      </c>
    </row>
    <row r="129" spans="25:43" ht="15.75" customHeight="1" x14ac:dyDescent="0.2">
      <c r="Y129" s="54"/>
      <c r="AB129" s="70" t="s">
        <v>2</v>
      </c>
      <c r="AC129" s="71" t="s">
        <v>3</v>
      </c>
      <c r="AD129" s="71"/>
      <c r="AE129" s="71" t="s">
        <v>76</v>
      </c>
      <c r="AF129" s="71" t="s">
        <v>4</v>
      </c>
      <c r="AG129" s="71" t="s">
        <v>0</v>
      </c>
      <c r="AH129" s="71" t="s">
        <v>1</v>
      </c>
      <c r="AI129" s="71" t="s">
        <v>62</v>
      </c>
      <c r="AJ129" s="71"/>
      <c r="AK129" s="71" t="s">
        <v>77</v>
      </c>
      <c r="AL129" s="71" t="s">
        <v>84</v>
      </c>
      <c r="AM129" s="71" t="s">
        <v>83</v>
      </c>
      <c r="AN129" s="71" t="s">
        <v>7</v>
      </c>
      <c r="AO129" s="71" t="s">
        <v>81</v>
      </c>
      <c r="AP129" s="71" t="s">
        <v>79</v>
      </c>
      <c r="AQ129" s="71" t="s">
        <v>82</v>
      </c>
    </row>
    <row r="130" spans="25:43" ht="15.75" customHeight="1" x14ac:dyDescent="0.2">
      <c r="Y130" s="95"/>
      <c r="AB130" s="79"/>
      <c r="AC130" s="80" t="s">
        <v>75</v>
      </c>
      <c r="AD130" s="80"/>
      <c r="AE130" s="81" t="s">
        <v>70</v>
      </c>
      <c r="AF130" s="80" t="s">
        <v>78</v>
      </c>
      <c r="AG130" s="90">
        <v>232.37</v>
      </c>
      <c r="AH130" s="82">
        <v>1000</v>
      </c>
      <c r="AI130" s="87">
        <f t="shared" ref="AI130:AI135" si="33">AH130/AG130</f>
        <v>4.3034815165468867</v>
      </c>
      <c r="AJ130" s="87"/>
      <c r="AK130" s="90"/>
      <c r="AL130" s="87">
        <f>AI130</f>
        <v>4.3034815165468867</v>
      </c>
      <c r="AM130" s="87">
        <f>AL130/2</f>
        <v>2.1517407582734434</v>
      </c>
      <c r="AN130" s="89">
        <f>AL130/2</f>
        <v>2.1517407582734434</v>
      </c>
      <c r="AO130" s="90">
        <v>0</v>
      </c>
      <c r="AP130" s="92">
        <f>ABS(AO130-AH130)</f>
        <v>1000</v>
      </c>
      <c r="AQ130" s="86">
        <f>((AO130+(AI130*AG130)-AP130)/AP130)</f>
        <v>1.1368683772161603E-16</v>
      </c>
    </row>
    <row r="131" spans="25:43" ht="15.75" customHeight="1" x14ac:dyDescent="0.2">
      <c r="AB131" s="79"/>
      <c r="AC131" s="80" t="s">
        <v>75</v>
      </c>
      <c r="AD131" s="80"/>
      <c r="AE131" s="81" t="s">
        <v>70</v>
      </c>
      <c r="AF131" s="80" t="s">
        <v>80</v>
      </c>
      <c r="AG131" s="90">
        <v>205.6</v>
      </c>
      <c r="AH131" s="82">
        <v>500</v>
      </c>
      <c r="AI131" s="87">
        <f t="shared" si="33"/>
        <v>2.4319066147859925</v>
      </c>
      <c r="AJ131" s="87"/>
      <c r="AK131" s="90"/>
      <c r="AL131" s="87">
        <f>AI131+AL130</f>
        <v>6.7353881313328792</v>
      </c>
      <c r="AM131" s="87">
        <f>AM130+(AI131/2)</f>
        <v>3.3676940656664396</v>
      </c>
      <c r="AN131" s="87">
        <f>AN130+(AI131/2)</f>
        <v>3.3676940656664396</v>
      </c>
      <c r="AO131" s="90">
        <v>0</v>
      </c>
      <c r="AP131" s="90">
        <f>AP130+(AH131-AO130)</f>
        <v>1500</v>
      </c>
      <c r="AQ131" s="86">
        <f t="shared" ref="AQ131:AQ141" si="34">((AO131+(AL131*AG131)-AP131)/AP131)</f>
        <v>-7.6802800131973381E-2</v>
      </c>
    </row>
    <row r="132" spans="25:43" ht="15.75" customHeight="1" x14ac:dyDescent="0.2">
      <c r="AB132" s="79"/>
      <c r="AC132" s="80" t="s">
        <v>75</v>
      </c>
      <c r="AD132" s="80"/>
      <c r="AE132" s="81" t="s">
        <v>70</v>
      </c>
      <c r="AF132" s="80" t="s">
        <v>80</v>
      </c>
      <c r="AG132" s="90">
        <v>199.37</v>
      </c>
      <c r="AH132" s="82">
        <v>500</v>
      </c>
      <c r="AI132" s="87">
        <f t="shared" si="33"/>
        <v>2.5078998846366054</v>
      </c>
      <c r="AJ132" s="87"/>
      <c r="AK132" s="90"/>
      <c r="AL132" s="87">
        <f>AI132+AL131</f>
        <v>9.243288015969485</v>
      </c>
      <c r="AM132" s="87">
        <f>AM131+(AI132/2)</f>
        <v>4.6216440079847425</v>
      </c>
      <c r="AN132" s="87">
        <f>AN131+(AI132/2)</f>
        <v>4.6216440079847425</v>
      </c>
      <c r="AO132" s="90">
        <v>0</v>
      </c>
      <c r="AP132" s="90">
        <f>AP131+(AH132-AO131)</f>
        <v>2000</v>
      </c>
      <c r="AQ132" s="86">
        <f t="shared" si="34"/>
        <v>-7.858283412808191E-2</v>
      </c>
    </row>
    <row r="133" spans="25:43" ht="15.75" customHeight="1" x14ac:dyDescent="0.2">
      <c r="AB133" s="79"/>
      <c r="AC133" s="80" t="s">
        <v>75</v>
      </c>
      <c r="AD133" s="80"/>
      <c r="AE133" s="81" t="s">
        <v>70</v>
      </c>
      <c r="AF133" s="80" t="s">
        <v>80</v>
      </c>
      <c r="AG133" s="90">
        <v>196.54</v>
      </c>
      <c r="AH133" s="82">
        <v>500</v>
      </c>
      <c r="AI133" s="87">
        <f t="shared" si="33"/>
        <v>2.5440113971710594</v>
      </c>
      <c r="AJ133" s="87"/>
      <c r="AK133" s="90"/>
      <c r="AL133" s="87">
        <f>AI133+AL132</f>
        <v>11.787299413140545</v>
      </c>
      <c r="AM133" s="87">
        <f>AM132+(AI133/2)</f>
        <v>5.8936497065702724</v>
      </c>
      <c r="AN133" s="87">
        <f>AN132+(AI133/2)</f>
        <v>5.8936497065702724</v>
      </c>
      <c r="AO133" s="90">
        <v>0</v>
      </c>
      <c r="AP133" s="90">
        <f>AP132+(AH133-AO132)</f>
        <v>2500</v>
      </c>
      <c r="AQ133" s="86">
        <f t="shared" si="34"/>
        <v>-7.3329669336542974E-2</v>
      </c>
    </row>
    <row r="134" spans="25:43" ht="15.75" customHeight="1" x14ac:dyDescent="0.2">
      <c r="AB134" s="79"/>
      <c r="AC134" s="80" t="s">
        <v>75</v>
      </c>
      <c r="AD134" s="80"/>
      <c r="AE134" s="81" t="s">
        <v>70</v>
      </c>
      <c r="AF134" s="80" t="s">
        <v>80</v>
      </c>
      <c r="AG134" s="90">
        <v>184.88</v>
      </c>
      <c r="AH134" s="82">
        <v>50</v>
      </c>
      <c r="AI134" s="87">
        <f t="shared" si="33"/>
        <v>0.27044569450454348</v>
      </c>
      <c r="AJ134" s="87"/>
      <c r="AK134" s="90"/>
      <c r="AL134" s="87">
        <f>AI134+AL133</f>
        <v>12.057745107645088</v>
      </c>
      <c r="AM134" s="87">
        <f>AM133+(AI134/2)</f>
        <v>6.0288725538225441</v>
      </c>
      <c r="AN134" s="87">
        <f>AN133+(AI134/2)</f>
        <v>6.0288725538225441</v>
      </c>
      <c r="AO134" s="90">
        <v>0</v>
      </c>
      <c r="AP134" s="90">
        <f>AP133+(AH134-AO133)</f>
        <v>2550</v>
      </c>
      <c r="AQ134" s="86">
        <f t="shared" si="34"/>
        <v>-0.12578983705826521</v>
      </c>
    </row>
    <row r="135" spans="25:43" ht="15.75" customHeight="1" x14ac:dyDescent="0.2">
      <c r="AB135" s="79"/>
      <c r="AC135" s="80" t="s">
        <v>75</v>
      </c>
      <c r="AD135" s="80"/>
      <c r="AE135" s="81" t="s">
        <v>70</v>
      </c>
      <c r="AF135" s="80" t="s">
        <v>80</v>
      </c>
      <c r="AG135" s="90">
        <v>180.62</v>
      </c>
      <c r="AH135" s="82">
        <v>50</v>
      </c>
      <c r="AI135" s="87">
        <f t="shared" si="33"/>
        <v>0.27682427195216475</v>
      </c>
      <c r="AJ135" s="87"/>
      <c r="AK135" s="90"/>
      <c r="AL135" s="87">
        <f>AI135+AL134</f>
        <v>12.334569379597253</v>
      </c>
      <c r="AM135" s="87">
        <f>AM134+(AI135/2)</f>
        <v>6.1672846897986267</v>
      </c>
      <c r="AN135" s="87">
        <f>AN134+(AI135/2)</f>
        <v>6.1672846897986267</v>
      </c>
      <c r="AO135" s="90">
        <v>0</v>
      </c>
      <c r="AP135" s="90">
        <f>AP134+(AH135-AO134)</f>
        <v>2600</v>
      </c>
      <c r="AQ135" s="86">
        <f t="shared" si="34"/>
        <v>-0.14312695332967085</v>
      </c>
    </row>
    <row r="136" spans="25:43" ht="15.75" customHeight="1" x14ac:dyDescent="0.2">
      <c r="AB136" s="72"/>
      <c r="AC136" s="73" t="s">
        <v>73</v>
      </c>
      <c r="AD136" s="73"/>
      <c r="AE136" s="75" t="s">
        <v>27</v>
      </c>
      <c r="AF136" s="73" t="s">
        <v>10</v>
      </c>
      <c r="AG136" s="91">
        <v>208.59</v>
      </c>
      <c r="AH136" s="73"/>
      <c r="AI136" s="88">
        <v>0.13841000000000001</v>
      </c>
      <c r="AJ136" s="88"/>
      <c r="AK136" s="91">
        <f>AG136*AI136</f>
        <v>28.870941900000002</v>
      </c>
      <c r="AL136" s="88">
        <f>AL135-AI136</f>
        <v>12.196159379597253</v>
      </c>
      <c r="AM136" s="88">
        <f>AM135-AI136</f>
        <v>6.0288746897986263</v>
      </c>
      <c r="AN136" s="88">
        <f>AN135</f>
        <v>6.1672846897986267</v>
      </c>
      <c r="AO136" s="91">
        <f>AK136+AO130</f>
        <v>28.870941900000002</v>
      </c>
      <c r="AP136" s="91">
        <f>AP135</f>
        <v>2600</v>
      </c>
      <c r="AQ136" s="78">
        <f t="shared" si="34"/>
        <v>-1.0435451196080277E-2</v>
      </c>
    </row>
    <row r="137" spans="25:43" ht="15.75" customHeight="1" x14ac:dyDescent="0.2">
      <c r="AB137" s="79"/>
      <c r="AC137" s="73" t="s">
        <v>73</v>
      </c>
      <c r="AD137" s="73"/>
      <c r="AE137" s="75" t="s">
        <v>27</v>
      </c>
      <c r="AF137" s="73" t="s">
        <v>10</v>
      </c>
      <c r="AG137" s="91">
        <v>208.54</v>
      </c>
      <c r="AH137" s="73"/>
      <c r="AI137" s="88">
        <v>0.13522000000000001</v>
      </c>
      <c r="AJ137" s="88"/>
      <c r="AK137" s="91">
        <f>AG137*AI137</f>
        <v>28.198778799999999</v>
      </c>
      <c r="AL137" s="88">
        <f>AL136-AI137</f>
        <v>12.060939379597253</v>
      </c>
      <c r="AM137" s="88">
        <f>AM136-AI137</f>
        <v>5.8936546897986259</v>
      </c>
      <c r="AN137" s="88">
        <f>AN136</f>
        <v>6.1672846897986267</v>
      </c>
      <c r="AO137" s="91">
        <f>AK137+AO131</f>
        <v>28.198778799999999</v>
      </c>
      <c r="AP137" s="91">
        <f>AP136</f>
        <v>2600</v>
      </c>
      <c r="AQ137" s="86">
        <f t="shared" si="34"/>
        <v>-2.1774201145688038E-2</v>
      </c>
    </row>
    <row r="138" spans="25:43" ht="15.75" customHeight="1" x14ac:dyDescent="0.2">
      <c r="AB138" s="72"/>
      <c r="AC138" s="73" t="s">
        <v>73</v>
      </c>
      <c r="AD138" s="73"/>
      <c r="AE138" s="75" t="s">
        <v>95</v>
      </c>
      <c r="AF138" s="73" t="s">
        <v>80</v>
      </c>
      <c r="AG138" s="91">
        <v>28.25</v>
      </c>
      <c r="AH138" s="73"/>
      <c r="AI138" s="88">
        <f>AM137</f>
        <v>5.8936546897986259</v>
      </c>
      <c r="AJ138" s="88"/>
      <c r="AK138" s="91">
        <f>AG138*AI138</f>
        <v>166.49574498681119</v>
      </c>
      <c r="AL138" s="88">
        <f>AL137-AI138</f>
        <v>6.1672846897986267</v>
      </c>
      <c r="AM138" s="88">
        <f>AM137-AI138</f>
        <v>0</v>
      </c>
      <c r="AN138" s="88">
        <f>AN137</f>
        <v>6.1672846897986267</v>
      </c>
      <c r="AO138" s="91">
        <f>AO137+AK138</f>
        <v>194.6945237868112</v>
      </c>
      <c r="AP138" s="91">
        <f>AP137</f>
        <v>2600</v>
      </c>
      <c r="AQ138" s="78">
        <f t="shared" si="34"/>
        <v>-0.85810757066399135</v>
      </c>
    </row>
    <row r="139" spans="25:43" ht="15.75" customHeight="1" x14ac:dyDescent="0.2">
      <c r="AB139" s="79"/>
      <c r="AC139" s="80" t="s">
        <v>75</v>
      </c>
      <c r="AD139" s="80"/>
      <c r="AE139" s="81" t="s">
        <v>89</v>
      </c>
      <c r="AF139" s="80" t="s">
        <v>80</v>
      </c>
      <c r="AG139" s="90">
        <v>28.39</v>
      </c>
      <c r="AH139" s="82">
        <v>200</v>
      </c>
      <c r="AI139" s="87">
        <f>AH139/AG139</f>
        <v>7.0447340612891862</v>
      </c>
      <c r="AJ139" s="87"/>
      <c r="AK139" s="90"/>
      <c r="AL139" s="87">
        <f>AL138+AI139</f>
        <v>13.212018751087813</v>
      </c>
      <c r="AM139" s="87">
        <f>AM138+(AI139/2)</f>
        <v>3.5223670306445931</v>
      </c>
      <c r="AN139" s="87">
        <f>AN138+(AI139/2)</f>
        <v>9.6896517204432193</v>
      </c>
      <c r="AO139" s="90">
        <v>0</v>
      </c>
      <c r="AP139" s="90">
        <f>AP138+(AH139-AO138)</f>
        <v>2605.3054762131887</v>
      </c>
      <c r="AQ139" s="86">
        <f t="shared" si="34"/>
        <v>-0.85602870152156774</v>
      </c>
    </row>
    <row r="140" spans="25:43" ht="15.75" customHeight="1" x14ac:dyDescent="0.2">
      <c r="AB140" s="79"/>
      <c r="AC140" s="81" t="s">
        <v>75</v>
      </c>
      <c r="AD140" s="81"/>
      <c r="AE140" s="81" t="s">
        <v>96</v>
      </c>
      <c r="AF140" s="81" t="s">
        <v>80</v>
      </c>
      <c r="AG140" s="90">
        <v>27.28</v>
      </c>
      <c r="AH140" s="82">
        <v>200</v>
      </c>
      <c r="AI140" s="87">
        <f>AH140/AG140</f>
        <v>7.3313782991202343</v>
      </c>
      <c r="AJ140" s="87"/>
      <c r="AK140" s="90"/>
      <c r="AL140" s="87">
        <f>AL139+AI140</f>
        <v>20.543397050208046</v>
      </c>
      <c r="AM140" s="87">
        <f>AM139+(AI140/2)</f>
        <v>7.1880561802047103</v>
      </c>
      <c r="AN140" s="87">
        <f>AN139+(AI140/2)</f>
        <v>13.355340870003337</v>
      </c>
      <c r="AO140" s="90">
        <v>0</v>
      </c>
      <c r="AP140" s="90">
        <f>AP139+(AH140-AO139)</f>
        <v>2805.3054762131887</v>
      </c>
      <c r="AQ140" s="86">
        <f t="shared" si="34"/>
        <v>-0.80022714949169182</v>
      </c>
    </row>
    <row r="141" spans="25:43" ht="15.75" customHeight="1" x14ac:dyDescent="0.2">
      <c r="AB141" s="79"/>
      <c r="AC141" s="81" t="s">
        <v>75</v>
      </c>
      <c r="AD141" s="81"/>
      <c r="AE141" s="81" t="s">
        <v>97</v>
      </c>
      <c r="AF141" s="81" t="s">
        <v>80</v>
      </c>
      <c r="AG141" s="90">
        <v>27.38</v>
      </c>
      <c r="AH141" s="82">
        <v>200</v>
      </c>
      <c r="AI141" s="87">
        <f>AH141/AG141</f>
        <v>7.3046018991964941</v>
      </c>
      <c r="AJ141" s="87"/>
      <c r="AK141" s="90"/>
      <c r="AL141" s="87">
        <f>AL140+AI141</f>
        <v>27.847998949404541</v>
      </c>
      <c r="AM141" s="87">
        <f>AM140+(AI141/2)</f>
        <v>10.840357129802957</v>
      </c>
      <c r="AN141" s="87">
        <f>AN140+(AI141/2)</f>
        <v>17.007641819601584</v>
      </c>
      <c r="AO141" s="90">
        <v>0</v>
      </c>
      <c r="AP141" s="90">
        <f>AP140+(AH141-AO140)</f>
        <v>3005.3054762131887</v>
      </c>
      <c r="AQ141" s="86">
        <f t="shared" si="34"/>
        <v>-0.74628928164884878</v>
      </c>
    </row>
  </sheetData>
  <pageMargins left="0.7" right="0.7" top="0.75" bottom="0.75" header="0.3" footer="0.3"/>
  <pageSetup orientation="portrait" horizontalDpi="300" verticalDpi="300" r:id="rId1"/>
  <ignoredErrors>
    <ignoredError sqref="AL46 AA47 AN48 AO45 BE46 BE48 BE51 AK58 AE58 BE59 AA58:AC58 AG58:AI58 AD81:AD82" formula="1"/>
  </ignoredError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87240-63E6-4AF7-81AA-62B1973154A2}">
  <dimension ref="B2:O50"/>
  <sheetViews>
    <sheetView topLeftCell="A40" workbookViewId="0">
      <selection activeCell="B47" sqref="B47"/>
    </sheetView>
  </sheetViews>
  <sheetFormatPr defaultRowHeight="12.75" x14ac:dyDescent="0.2"/>
  <cols>
    <col min="2" max="2" width="30.140625" customWidth="1"/>
    <col min="3" max="3" width="33.28515625" customWidth="1"/>
    <col min="4" max="4" width="12.42578125" bestFit="1" customWidth="1"/>
    <col min="5" max="5" width="10.5703125" bestFit="1" customWidth="1"/>
    <col min="6" max="6" width="16" bestFit="1" customWidth="1"/>
    <col min="7" max="7" width="10.42578125" bestFit="1" customWidth="1"/>
    <col min="8" max="8" width="9.42578125" bestFit="1" customWidth="1"/>
    <col min="9" max="9" width="8.85546875" bestFit="1" customWidth="1"/>
    <col min="10" max="10" width="6.42578125" bestFit="1" customWidth="1"/>
    <col min="11" max="11" width="11.28515625" bestFit="1" customWidth="1"/>
    <col min="12" max="13" width="4.85546875" bestFit="1" customWidth="1"/>
    <col min="14" max="15" width="4.5703125" bestFit="1" customWidth="1"/>
  </cols>
  <sheetData>
    <row r="2" spans="2:15" x14ac:dyDescent="0.2">
      <c r="B2" s="45" t="s">
        <v>123</v>
      </c>
    </row>
    <row r="3" spans="2:15" x14ac:dyDescent="0.2">
      <c r="B3" s="71" t="s">
        <v>104</v>
      </c>
      <c r="C3" s="71" t="s">
        <v>105</v>
      </c>
      <c r="D3" s="71" t="s">
        <v>106</v>
      </c>
      <c r="E3" s="71" t="s">
        <v>107</v>
      </c>
      <c r="F3" s="71" t="s">
        <v>117</v>
      </c>
      <c r="G3" s="71" t="s">
        <v>119</v>
      </c>
      <c r="H3" s="71" t="s">
        <v>110</v>
      </c>
      <c r="I3" s="71" t="s">
        <v>109</v>
      </c>
      <c r="J3" s="71" t="s">
        <v>111</v>
      </c>
      <c r="K3" s="71" t="s">
        <v>113</v>
      </c>
      <c r="L3" s="71" t="s">
        <v>29</v>
      </c>
      <c r="M3" s="71" t="s">
        <v>63</v>
      </c>
      <c r="N3" s="71" t="s">
        <v>72</v>
      </c>
      <c r="O3" s="71" t="s">
        <v>99</v>
      </c>
    </row>
    <row r="4" spans="2:15" x14ac:dyDescent="0.2">
      <c r="B4" s="45" t="s">
        <v>140</v>
      </c>
      <c r="C4" s="45" t="s">
        <v>141</v>
      </c>
      <c r="D4" s="45" t="s">
        <v>114</v>
      </c>
      <c r="E4" s="45" t="s">
        <v>115</v>
      </c>
      <c r="F4" s="45" t="s">
        <v>118</v>
      </c>
      <c r="G4" s="45" t="s">
        <v>120</v>
      </c>
      <c r="I4">
        <v>1200</v>
      </c>
      <c r="J4" s="45"/>
      <c r="L4">
        <v>50</v>
      </c>
      <c r="M4">
        <v>5</v>
      </c>
      <c r="N4">
        <v>10</v>
      </c>
      <c r="O4">
        <v>20</v>
      </c>
    </row>
    <row r="6" spans="2:15" x14ac:dyDescent="0.2">
      <c r="B6" s="45" t="s">
        <v>124</v>
      </c>
    </row>
    <row r="7" spans="2:15" x14ac:dyDescent="0.2">
      <c r="B7" s="71" t="s">
        <v>104</v>
      </c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</row>
    <row r="8" spans="2:15" x14ac:dyDescent="0.2">
      <c r="B8" s="45" t="s">
        <v>132</v>
      </c>
    </row>
    <row r="10" spans="2:15" x14ac:dyDescent="0.2">
      <c r="B10" s="45" t="s">
        <v>125</v>
      </c>
    </row>
    <row r="11" spans="2:15" x14ac:dyDescent="0.2">
      <c r="B11" s="71" t="s">
        <v>104</v>
      </c>
      <c r="C11" s="71" t="s">
        <v>76</v>
      </c>
      <c r="D11" s="71" t="s">
        <v>107</v>
      </c>
      <c r="E11" s="71" t="s">
        <v>108</v>
      </c>
      <c r="F11" s="71" t="s">
        <v>119</v>
      </c>
      <c r="G11" s="71" t="s">
        <v>63</v>
      </c>
      <c r="H11" s="71" t="s">
        <v>72</v>
      </c>
      <c r="I11" s="71" t="s">
        <v>99</v>
      </c>
      <c r="J11" s="71" t="s">
        <v>112</v>
      </c>
      <c r="K11" s="71" t="s">
        <v>109</v>
      </c>
      <c r="L11" s="71" t="s">
        <v>79</v>
      </c>
      <c r="M11" s="71" t="s">
        <v>121</v>
      </c>
      <c r="N11" s="71" t="s">
        <v>122</v>
      </c>
    </row>
    <row r="12" spans="2:15" x14ac:dyDescent="0.2">
      <c r="B12" s="45" t="s">
        <v>132</v>
      </c>
      <c r="C12" s="45" t="s">
        <v>114</v>
      </c>
      <c r="D12" s="45" t="s">
        <v>115</v>
      </c>
      <c r="E12" s="45" t="s">
        <v>118</v>
      </c>
      <c r="F12" s="45" t="s">
        <v>120</v>
      </c>
      <c r="G12">
        <v>5</v>
      </c>
      <c r="H12">
        <v>10</v>
      </c>
      <c r="I12">
        <v>20</v>
      </c>
      <c r="J12" s="98" t="s">
        <v>34</v>
      </c>
      <c r="K12" s="33">
        <v>1200</v>
      </c>
      <c r="L12" s="98" t="s">
        <v>34</v>
      </c>
      <c r="M12" s="98" t="s">
        <v>34</v>
      </c>
      <c r="N12" s="98" t="s">
        <v>34</v>
      </c>
    </row>
    <row r="14" spans="2:15" x14ac:dyDescent="0.2">
      <c r="B14" s="45" t="s">
        <v>131</v>
      </c>
    </row>
    <row r="15" spans="2:15" x14ac:dyDescent="0.2">
      <c r="B15" s="71" t="s">
        <v>104</v>
      </c>
      <c r="C15" s="71" t="s">
        <v>105</v>
      </c>
      <c r="D15" s="71" t="s">
        <v>106</v>
      </c>
      <c r="E15" s="71" t="s">
        <v>107</v>
      </c>
      <c r="F15" s="71" t="s">
        <v>117</v>
      </c>
      <c r="G15" s="71" t="s">
        <v>119</v>
      </c>
      <c r="H15" s="71" t="s">
        <v>110</v>
      </c>
      <c r="I15" s="71" t="s">
        <v>109</v>
      </c>
      <c r="J15" s="71" t="s">
        <v>111</v>
      </c>
      <c r="K15" s="71" t="s">
        <v>113</v>
      </c>
      <c r="L15" s="71" t="s">
        <v>29</v>
      </c>
      <c r="M15" s="71" t="s">
        <v>63</v>
      </c>
      <c r="N15" s="71" t="s">
        <v>72</v>
      </c>
      <c r="O15" s="71" t="s">
        <v>99</v>
      </c>
    </row>
    <row r="16" spans="2:15" x14ac:dyDescent="0.2">
      <c r="B16" s="45" t="s">
        <v>144</v>
      </c>
      <c r="C16" s="45" t="s">
        <v>146</v>
      </c>
      <c r="D16" s="45" t="s">
        <v>133</v>
      </c>
      <c r="E16" s="45" t="s">
        <v>128</v>
      </c>
      <c r="F16" s="45" t="s">
        <v>134</v>
      </c>
      <c r="G16" s="45" t="s">
        <v>135</v>
      </c>
      <c r="I16">
        <v>2000</v>
      </c>
      <c r="J16" s="98"/>
      <c r="K16">
        <v>0.1</v>
      </c>
      <c r="L16">
        <v>50</v>
      </c>
      <c r="M16">
        <v>5</v>
      </c>
      <c r="N16">
        <v>10</v>
      </c>
      <c r="O16">
        <v>20</v>
      </c>
    </row>
    <row r="17" spans="2:15" x14ac:dyDescent="0.2">
      <c r="B17" s="45" t="s">
        <v>143</v>
      </c>
      <c r="C17" s="45" t="s">
        <v>147</v>
      </c>
      <c r="D17" s="45" t="s">
        <v>133</v>
      </c>
      <c r="E17" s="45" t="s">
        <v>130</v>
      </c>
      <c r="F17" s="45" t="s">
        <v>160</v>
      </c>
      <c r="G17" s="45" t="s">
        <v>135</v>
      </c>
      <c r="I17">
        <v>3000</v>
      </c>
      <c r="J17" s="98"/>
      <c r="K17">
        <v>0.2</v>
      </c>
      <c r="L17">
        <v>50</v>
      </c>
      <c r="M17">
        <v>5</v>
      </c>
      <c r="N17">
        <v>10</v>
      </c>
      <c r="O17">
        <v>20</v>
      </c>
    </row>
    <row r="18" spans="2:15" x14ac:dyDescent="0.2">
      <c r="B18" s="45" t="s">
        <v>145</v>
      </c>
      <c r="C18" s="45" t="s">
        <v>148</v>
      </c>
      <c r="D18" s="45" t="s">
        <v>114</v>
      </c>
      <c r="E18" s="45" t="s">
        <v>129</v>
      </c>
      <c r="F18" s="45" t="s">
        <v>118</v>
      </c>
      <c r="G18" s="45" t="s">
        <v>120</v>
      </c>
      <c r="I18">
        <v>1500</v>
      </c>
      <c r="J18" s="98"/>
      <c r="L18">
        <v>50</v>
      </c>
      <c r="M18">
        <v>5</v>
      </c>
      <c r="N18">
        <v>10</v>
      </c>
      <c r="O18">
        <v>20</v>
      </c>
    </row>
    <row r="19" spans="2:15" x14ac:dyDescent="0.2">
      <c r="B19" s="45" t="s">
        <v>142</v>
      </c>
      <c r="C19" s="45" t="s">
        <v>139</v>
      </c>
      <c r="D19" s="45" t="s">
        <v>137</v>
      </c>
      <c r="E19" s="45" t="s">
        <v>130</v>
      </c>
      <c r="F19" s="45" t="s">
        <v>137</v>
      </c>
      <c r="G19" s="45" t="s">
        <v>120</v>
      </c>
      <c r="I19">
        <v>500</v>
      </c>
      <c r="J19" s="45"/>
      <c r="K19">
        <v>0.85</v>
      </c>
      <c r="L19">
        <v>50</v>
      </c>
      <c r="M19">
        <v>5</v>
      </c>
      <c r="N19">
        <v>10</v>
      </c>
      <c r="O19">
        <v>20</v>
      </c>
    </row>
    <row r="20" spans="2:15" x14ac:dyDescent="0.2">
      <c r="B20" s="45" t="s">
        <v>138</v>
      </c>
      <c r="C20" s="45" t="s">
        <v>149</v>
      </c>
      <c r="D20" s="45" t="s">
        <v>133</v>
      </c>
      <c r="E20" s="45" t="s">
        <v>115</v>
      </c>
      <c r="F20" s="45" t="s">
        <v>116</v>
      </c>
      <c r="G20" s="45" t="s">
        <v>135</v>
      </c>
      <c r="I20">
        <v>1200</v>
      </c>
      <c r="J20" s="45"/>
      <c r="K20">
        <v>0.5</v>
      </c>
      <c r="L20">
        <v>50</v>
      </c>
      <c r="M20">
        <v>5</v>
      </c>
      <c r="N20">
        <v>10</v>
      </c>
      <c r="O20">
        <v>20</v>
      </c>
    </row>
    <row r="21" spans="2:15" x14ac:dyDescent="0.2">
      <c r="B21" s="45" t="s">
        <v>150</v>
      </c>
      <c r="C21" s="45" t="s">
        <v>151</v>
      </c>
      <c r="D21" s="45" t="s">
        <v>137</v>
      </c>
      <c r="E21" s="45" t="s">
        <v>128</v>
      </c>
      <c r="F21" s="45" t="s">
        <v>137</v>
      </c>
      <c r="G21" s="45" t="s">
        <v>120</v>
      </c>
      <c r="I21">
        <v>1000</v>
      </c>
      <c r="J21" s="98"/>
      <c r="K21">
        <v>0.2</v>
      </c>
      <c r="L21">
        <v>50</v>
      </c>
      <c r="M21">
        <v>5</v>
      </c>
      <c r="N21">
        <v>10</v>
      </c>
      <c r="O21">
        <v>20</v>
      </c>
    </row>
    <row r="22" spans="2:15" x14ac:dyDescent="0.2">
      <c r="B22" s="45" t="s">
        <v>152</v>
      </c>
      <c r="C22" s="45" t="s">
        <v>153</v>
      </c>
      <c r="D22" s="45" t="s">
        <v>133</v>
      </c>
      <c r="E22" s="45" t="s">
        <v>128</v>
      </c>
      <c r="F22" s="45" t="s">
        <v>154</v>
      </c>
      <c r="G22" s="45" t="s">
        <v>135</v>
      </c>
      <c r="I22">
        <v>1300</v>
      </c>
      <c r="J22" s="98"/>
      <c r="K22">
        <v>0.5</v>
      </c>
      <c r="L22">
        <v>50</v>
      </c>
      <c r="M22">
        <v>5</v>
      </c>
      <c r="N22">
        <v>10</v>
      </c>
      <c r="O22">
        <v>20</v>
      </c>
    </row>
    <row r="23" spans="2:15" x14ac:dyDescent="0.2">
      <c r="B23" s="45" t="s">
        <v>155</v>
      </c>
      <c r="C23" s="45" t="s">
        <v>156</v>
      </c>
      <c r="D23" s="45" t="s">
        <v>133</v>
      </c>
      <c r="E23" s="45" t="s">
        <v>130</v>
      </c>
      <c r="F23" s="45" t="s">
        <v>157</v>
      </c>
      <c r="G23" s="45" t="s">
        <v>120</v>
      </c>
      <c r="I23">
        <v>1000</v>
      </c>
      <c r="J23" s="45"/>
      <c r="K23">
        <v>0.5</v>
      </c>
      <c r="L23">
        <v>50</v>
      </c>
      <c r="M23">
        <v>5</v>
      </c>
      <c r="N23">
        <v>10</v>
      </c>
      <c r="O23">
        <v>20</v>
      </c>
    </row>
    <row r="24" spans="2:15" x14ac:dyDescent="0.2">
      <c r="B24" s="45" t="s">
        <v>158</v>
      </c>
      <c r="C24" s="45" t="s">
        <v>159</v>
      </c>
      <c r="D24" s="45" t="s">
        <v>114</v>
      </c>
      <c r="E24" s="45" t="s">
        <v>130</v>
      </c>
      <c r="F24" s="45" t="s">
        <v>160</v>
      </c>
      <c r="G24" s="45" t="s">
        <v>120</v>
      </c>
      <c r="I24">
        <v>1600</v>
      </c>
      <c r="J24" s="45"/>
      <c r="L24">
        <v>50</v>
      </c>
      <c r="M24">
        <v>5</v>
      </c>
      <c r="N24">
        <v>10</v>
      </c>
      <c r="O24">
        <v>20</v>
      </c>
    </row>
    <row r="25" spans="2:15" x14ac:dyDescent="0.2">
      <c r="B25" s="45" t="s">
        <v>161</v>
      </c>
      <c r="C25" s="45" t="s">
        <v>162</v>
      </c>
      <c r="D25" s="45" t="s">
        <v>114</v>
      </c>
      <c r="E25" s="45" t="s">
        <v>115</v>
      </c>
      <c r="F25" s="45" t="s">
        <v>163</v>
      </c>
      <c r="G25" s="45" t="s">
        <v>135</v>
      </c>
      <c r="I25">
        <v>1200</v>
      </c>
      <c r="J25" s="45"/>
      <c r="L25">
        <v>50</v>
      </c>
      <c r="M25">
        <v>5</v>
      </c>
      <c r="N25">
        <v>10</v>
      </c>
      <c r="O25">
        <v>20</v>
      </c>
    </row>
    <row r="26" spans="2:15" x14ac:dyDescent="0.2">
      <c r="B26" s="45" t="s">
        <v>164</v>
      </c>
      <c r="C26" s="45" t="s">
        <v>165</v>
      </c>
      <c r="D26" s="45" t="s">
        <v>133</v>
      </c>
      <c r="E26" s="45" t="s">
        <v>129</v>
      </c>
      <c r="F26" s="45" t="s">
        <v>166</v>
      </c>
      <c r="G26" s="45" t="s">
        <v>120</v>
      </c>
      <c r="I26">
        <v>1500</v>
      </c>
      <c r="J26" s="98"/>
      <c r="K26">
        <v>0.1</v>
      </c>
      <c r="L26">
        <v>50</v>
      </c>
      <c r="M26">
        <v>5</v>
      </c>
      <c r="N26">
        <v>10</v>
      </c>
      <c r="O26">
        <v>20</v>
      </c>
    </row>
    <row r="27" spans="2:15" x14ac:dyDescent="0.2">
      <c r="B27" s="45" t="s">
        <v>167</v>
      </c>
      <c r="C27" s="45" t="s">
        <v>168</v>
      </c>
      <c r="D27" s="45" t="s">
        <v>114</v>
      </c>
      <c r="E27" s="45" t="s">
        <v>128</v>
      </c>
      <c r="F27" s="45" t="s">
        <v>134</v>
      </c>
      <c r="G27" s="45" t="s">
        <v>120</v>
      </c>
      <c r="I27">
        <v>1500</v>
      </c>
      <c r="J27" s="98"/>
      <c r="L27">
        <v>50</v>
      </c>
      <c r="M27">
        <v>5</v>
      </c>
      <c r="N27">
        <v>10</v>
      </c>
      <c r="O27">
        <v>20</v>
      </c>
    </row>
    <row r="28" spans="2:15" x14ac:dyDescent="0.2">
      <c r="B28" s="45" t="s">
        <v>169</v>
      </c>
      <c r="C28" s="45" t="s">
        <v>170</v>
      </c>
      <c r="D28" s="45" t="s">
        <v>114</v>
      </c>
      <c r="E28" s="45" t="s">
        <v>129</v>
      </c>
      <c r="F28" s="45" t="s">
        <v>166</v>
      </c>
      <c r="G28" s="45" t="s">
        <v>120</v>
      </c>
      <c r="I28">
        <v>1100</v>
      </c>
      <c r="J28" s="98"/>
      <c r="L28">
        <v>50</v>
      </c>
      <c r="M28">
        <v>5</v>
      </c>
      <c r="N28">
        <v>10</v>
      </c>
      <c r="O28">
        <v>20</v>
      </c>
    </row>
    <row r="29" spans="2:15" x14ac:dyDescent="0.2">
      <c r="B29" s="45" t="s">
        <v>171</v>
      </c>
      <c r="C29" s="45" t="s">
        <v>172</v>
      </c>
      <c r="D29" s="45" t="s">
        <v>133</v>
      </c>
      <c r="E29" s="45" t="s">
        <v>130</v>
      </c>
      <c r="F29" s="45" t="s">
        <v>157</v>
      </c>
      <c r="G29" s="45" t="s">
        <v>135</v>
      </c>
      <c r="I29">
        <v>800</v>
      </c>
      <c r="J29" s="45"/>
      <c r="K29">
        <v>0.25</v>
      </c>
      <c r="L29">
        <v>50</v>
      </c>
      <c r="M29">
        <v>5</v>
      </c>
      <c r="N29">
        <v>10</v>
      </c>
      <c r="O29">
        <v>20</v>
      </c>
    </row>
    <row r="30" spans="2:15" x14ac:dyDescent="0.2">
      <c r="B30" s="45"/>
      <c r="C30" s="45"/>
      <c r="D30" s="45"/>
      <c r="E30" s="45"/>
      <c r="F30" s="45"/>
      <c r="G30" s="45"/>
      <c r="J30" s="45"/>
    </row>
    <row r="31" spans="2:15" x14ac:dyDescent="0.2">
      <c r="B31" s="45"/>
      <c r="C31" s="45"/>
      <c r="D31" s="45"/>
      <c r="E31" s="45"/>
      <c r="F31" s="45"/>
      <c r="G31" s="45"/>
      <c r="J31" s="45"/>
    </row>
    <row r="32" spans="2:15" x14ac:dyDescent="0.2">
      <c r="B32" s="45" t="s">
        <v>173</v>
      </c>
    </row>
    <row r="33" spans="2:7" x14ac:dyDescent="0.2">
      <c r="B33" s="71" t="s">
        <v>107</v>
      </c>
      <c r="C33" s="71" t="s">
        <v>109</v>
      </c>
      <c r="D33" s="71" t="s">
        <v>79</v>
      </c>
      <c r="E33" s="71" t="s">
        <v>126</v>
      </c>
      <c r="F33" s="71" t="s">
        <v>127</v>
      </c>
      <c r="G33" s="71" t="s">
        <v>82</v>
      </c>
    </row>
    <row r="34" spans="2:7" x14ac:dyDescent="0.2">
      <c r="B34" s="45" t="s">
        <v>128</v>
      </c>
      <c r="C34" s="99">
        <f>I16+I21+I22+I27</f>
        <v>5800</v>
      </c>
      <c r="D34" s="98" t="s">
        <v>34</v>
      </c>
      <c r="E34" s="98" t="s">
        <v>34</v>
      </c>
      <c r="F34" s="98" t="s">
        <v>34</v>
      </c>
      <c r="G34" s="98" t="s">
        <v>34</v>
      </c>
    </row>
    <row r="35" spans="2:7" x14ac:dyDescent="0.2">
      <c r="B35" s="45" t="s">
        <v>129</v>
      </c>
      <c r="C35" s="99">
        <f>I18+I26+I28</f>
        <v>4100</v>
      </c>
      <c r="D35" s="98" t="s">
        <v>34</v>
      </c>
      <c r="E35" s="98" t="s">
        <v>34</v>
      </c>
      <c r="F35" s="98" t="s">
        <v>34</v>
      </c>
      <c r="G35" s="98" t="s">
        <v>34</v>
      </c>
    </row>
    <row r="36" spans="2:7" x14ac:dyDescent="0.2">
      <c r="B36" s="45" t="s">
        <v>130</v>
      </c>
      <c r="C36" s="99">
        <f>I17+I19+I23+I24+I29</f>
        <v>6900</v>
      </c>
      <c r="D36" s="98" t="s">
        <v>34</v>
      </c>
      <c r="E36" s="98" t="s">
        <v>34</v>
      </c>
      <c r="F36" s="98" t="s">
        <v>34</v>
      </c>
      <c r="G36" s="98" t="s">
        <v>34</v>
      </c>
    </row>
    <row r="37" spans="2:7" x14ac:dyDescent="0.2">
      <c r="B37" s="45" t="s">
        <v>115</v>
      </c>
      <c r="C37" s="99">
        <f>I4+I20+I25</f>
        <v>3600</v>
      </c>
      <c r="D37" s="98" t="s">
        <v>34</v>
      </c>
      <c r="E37" s="98" t="s">
        <v>34</v>
      </c>
      <c r="F37" s="98" t="s">
        <v>34</v>
      </c>
      <c r="G37" s="98" t="s">
        <v>34</v>
      </c>
    </row>
    <row r="39" spans="2:7" x14ac:dyDescent="0.2">
      <c r="B39" s="45" t="s">
        <v>174</v>
      </c>
    </row>
    <row r="40" spans="2:7" x14ac:dyDescent="0.2">
      <c r="B40" s="71" t="s">
        <v>107</v>
      </c>
      <c r="C40" s="71" t="s">
        <v>109</v>
      </c>
      <c r="D40" s="71" t="s">
        <v>79</v>
      </c>
      <c r="E40" s="71" t="s">
        <v>126</v>
      </c>
      <c r="F40" s="71" t="s">
        <v>127</v>
      </c>
      <c r="G40" s="71" t="s">
        <v>82</v>
      </c>
    </row>
    <row r="41" spans="2:7" x14ac:dyDescent="0.2">
      <c r="B41" s="45" t="s">
        <v>134</v>
      </c>
      <c r="C41" s="63">
        <f>I16+I27</f>
        <v>3500</v>
      </c>
      <c r="D41" s="98" t="s">
        <v>34</v>
      </c>
      <c r="E41" s="98" t="s">
        <v>34</v>
      </c>
      <c r="F41" s="98" t="s">
        <v>34</v>
      </c>
      <c r="G41" s="98" t="s">
        <v>34</v>
      </c>
    </row>
    <row r="42" spans="2:7" x14ac:dyDescent="0.2">
      <c r="B42" s="45" t="s">
        <v>154</v>
      </c>
      <c r="C42" s="63">
        <f>I22</f>
        <v>1300</v>
      </c>
      <c r="D42" s="98" t="s">
        <v>34</v>
      </c>
      <c r="E42" s="98" t="s">
        <v>34</v>
      </c>
      <c r="F42" s="98" t="s">
        <v>34</v>
      </c>
      <c r="G42" s="98" t="s">
        <v>34</v>
      </c>
    </row>
    <row r="43" spans="2:7" x14ac:dyDescent="0.2">
      <c r="B43" s="45" t="s">
        <v>137</v>
      </c>
      <c r="C43" s="63">
        <f>I19+I21</f>
        <v>1500</v>
      </c>
      <c r="D43" s="98" t="s">
        <v>34</v>
      </c>
      <c r="E43" s="98" t="s">
        <v>34</v>
      </c>
      <c r="F43" s="98" t="s">
        <v>34</v>
      </c>
      <c r="G43" s="98" t="s">
        <v>34</v>
      </c>
    </row>
    <row r="44" spans="2:7" x14ac:dyDescent="0.2">
      <c r="B44" s="45" t="s">
        <v>160</v>
      </c>
      <c r="C44" s="63">
        <f>I17+I24</f>
        <v>4600</v>
      </c>
      <c r="D44" s="98" t="s">
        <v>34</v>
      </c>
      <c r="E44" s="98" t="s">
        <v>34</v>
      </c>
      <c r="F44" s="98" t="s">
        <v>34</v>
      </c>
      <c r="G44" s="98" t="s">
        <v>34</v>
      </c>
    </row>
    <row r="45" spans="2:7" x14ac:dyDescent="0.2">
      <c r="B45" s="45" t="s">
        <v>136</v>
      </c>
      <c r="C45" s="63">
        <v>0</v>
      </c>
      <c r="D45" s="98" t="s">
        <v>34</v>
      </c>
      <c r="E45" s="98" t="s">
        <v>34</v>
      </c>
      <c r="F45" s="98" t="s">
        <v>34</v>
      </c>
      <c r="G45" s="98" t="s">
        <v>34</v>
      </c>
    </row>
    <row r="46" spans="2:7" x14ac:dyDescent="0.2">
      <c r="B46" s="45" t="s">
        <v>157</v>
      </c>
      <c r="C46" s="63">
        <f>I23+I29</f>
        <v>1800</v>
      </c>
      <c r="D46" s="98" t="s">
        <v>34</v>
      </c>
      <c r="E46" s="98" t="s">
        <v>34</v>
      </c>
      <c r="F46" s="98" t="s">
        <v>34</v>
      </c>
      <c r="G46" s="98" t="s">
        <v>34</v>
      </c>
    </row>
    <row r="47" spans="2:7" x14ac:dyDescent="0.2">
      <c r="B47" s="45" t="s">
        <v>166</v>
      </c>
      <c r="C47" s="63">
        <f>I26+I28</f>
        <v>2600</v>
      </c>
      <c r="D47" s="98" t="s">
        <v>34</v>
      </c>
      <c r="E47" s="98" t="s">
        <v>34</v>
      </c>
      <c r="F47" s="98" t="s">
        <v>34</v>
      </c>
      <c r="G47" s="98" t="s">
        <v>34</v>
      </c>
    </row>
    <row r="48" spans="2:7" x14ac:dyDescent="0.2">
      <c r="B48" s="45" t="s">
        <v>163</v>
      </c>
      <c r="C48" s="63">
        <f>I25</f>
        <v>1200</v>
      </c>
      <c r="D48" s="98" t="s">
        <v>34</v>
      </c>
      <c r="E48" s="98" t="s">
        <v>34</v>
      </c>
      <c r="F48" s="98" t="s">
        <v>34</v>
      </c>
      <c r="G48" s="98" t="s">
        <v>34</v>
      </c>
    </row>
    <row r="49" spans="2:7" x14ac:dyDescent="0.2">
      <c r="B49" s="45" t="s">
        <v>118</v>
      </c>
      <c r="C49" s="63">
        <f>I4+I18</f>
        <v>2700</v>
      </c>
      <c r="D49" s="98" t="s">
        <v>34</v>
      </c>
      <c r="E49" s="98" t="s">
        <v>34</v>
      </c>
      <c r="F49" s="98" t="s">
        <v>34</v>
      </c>
      <c r="G49" s="98" t="s">
        <v>34</v>
      </c>
    </row>
    <row r="50" spans="2:7" x14ac:dyDescent="0.2">
      <c r="B50" s="45" t="s">
        <v>116</v>
      </c>
      <c r="C50" s="63">
        <f>I20</f>
        <v>1200</v>
      </c>
      <c r="D50" s="98" t="s">
        <v>34</v>
      </c>
      <c r="E50" s="98" t="s">
        <v>34</v>
      </c>
      <c r="F50" s="98" t="s">
        <v>34</v>
      </c>
      <c r="G50" s="98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AMD</vt:lpstr>
      <vt:lpstr>AMZN</vt:lpstr>
      <vt:lpstr>BA</vt:lpstr>
      <vt:lpstr>COST</vt:lpstr>
      <vt:lpstr>GOOG</vt:lpstr>
      <vt:lpstr>NVDA</vt:lpstr>
      <vt:lpstr>RDDT</vt:lpstr>
      <vt:lpstr>WMT</vt:lpstr>
      <vt:lpstr>Tests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Marin Sarbulescu</cp:lastModifiedBy>
  <dcterms:modified xsi:type="dcterms:W3CDTF">2025-12-29T21:23:29Z</dcterms:modified>
</cp:coreProperties>
</file>