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589A5F62-1896-48F5-863F-96E3DAE172F8}" xr6:coauthVersionLast="47" xr6:coauthVersionMax="47" xr10:uidLastSave="{00000000-0000-0000-0000-000000000000}"/>
  <bookViews>
    <workbookView xWindow="7965" yWindow="255" windowWidth="46140" windowHeight="10215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1" i="14" l="1"/>
  <c r="T31" i="14"/>
  <c r="S31" i="14"/>
  <c r="R31" i="14"/>
  <c r="Q31" i="14"/>
  <c r="W30" i="14"/>
  <c r="Y30" i="14"/>
  <c r="X30" i="14"/>
  <c r="V30" i="14"/>
  <c r="U30" i="14"/>
  <c r="T30" i="14"/>
  <c r="S30" i="14"/>
  <c r="R30" i="14"/>
  <c r="Q30" i="14"/>
  <c r="Y29" i="14"/>
  <c r="X29" i="14"/>
  <c r="W29" i="14"/>
  <c r="V29" i="14"/>
  <c r="U29" i="14"/>
  <c r="T29" i="14"/>
  <c r="S29" i="14"/>
  <c r="R29" i="14"/>
  <c r="Q29" i="14"/>
  <c r="AO25" i="14"/>
  <c r="AN25" i="14"/>
  <c r="AV25" i="14"/>
  <c r="AS25" i="14" s="1"/>
  <c r="AU25" i="14"/>
  <c r="AT25" i="14"/>
  <c r="AQ25" i="14"/>
  <c r="AP25" i="14"/>
  <c r="AK25" i="14"/>
  <c r="AJ25" i="14"/>
  <c r="AI25" i="14"/>
  <c r="AM25" i="14"/>
  <c r="AH25" i="14"/>
  <c r="AG25" i="14"/>
  <c r="AE25" i="14"/>
  <c r="AD25" i="14"/>
  <c r="AC25" i="14"/>
  <c r="AB25" i="14"/>
  <c r="AA25" i="14"/>
  <c r="Y28" i="14"/>
  <c r="X28" i="14"/>
  <c r="W28" i="14"/>
  <c r="V28" i="14"/>
  <c r="U28" i="14"/>
  <c r="T28" i="14"/>
  <c r="S28" i="14"/>
  <c r="W27" i="14"/>
  <c r="Y27" i="14"/>
  <c r="X27" i="14"/>
  <c r="V27" i="14"/>
  <c r="U27" i="14"/>
  <c r="T27" i="14"/>
  <c r="S27" i="14"/>
  <c r="Y26" i="14"/>
  <c r="X26" i="14"/>
  <c r="W26" i="14"/>
  <c r="V26" i="14"/>
  <c r="U26" i="14"/>
  <c r="T26" i="14"/>
  <c r="W25" i="14"/>
  <c r="U25" i="14"/>
  <c r="V25" i="14"/>
  <c r="T25" i="14"/>
  <c r="AT22" i="14"/>
  <c r="AP22" i="14"/>
  <c r="AO22" i="14"/>
  <c r="AN22" i="14"/>
  <c r="AM22" i="14"/>
  <c r="AK22" i="14"/>
  <c r="AJ22" i="14"/>
  <c r="AI22" i="14"/>
  <c r="AH22" i="14"/>
  <c r="AG22" i="14"/>
  <c r="AD22" i="14"/>
  <c r="AC22" i="14"/>
  <c r="AB22" i="14"/>
  <c r="AA22" i="14"/>
  <c r="W24" i="14"/>
  <c r="V24" i="14"/>
  <c r="U24" i="14"/>
  <c r="T24" i="14"/>
  <c r="R24" i="14"/>
  <c r="Q24" i="14"/>
  <c r="Y23" i="14"/>
  <c r="X23" i="14"/>
  <c r="V23" i="14"/>
  <c r="U23" i="14"/>
  <c r="T23" i="14"/>
  <c r="R23" i="14"/>
  <c r="Q23" i="14"/>
  <c r="Y22" i="14"/>
  <c r="X22" i="14"/>
  <c r="V22" i="14"/>
  <c r="U22" i="14"/>
  <c r="U20" i="14"/>
  <c r="AP20" i="14"/>
  <c r="AP19" i="14"/>
  <c r="AQ20" i="14"/>
  <c r="AO20" i="14"/>
  <c r="AN20" i="14"/>
  <c r="AM20" i="14"/>
  <c r="AD20" i="14"/>
  <c r="AJ20" i="14"/>
  <c r="AD19" i="14"/>
  <c r="AJ19" i="14"/>
  <c r="AK20" i="14"/>
  <c r="AI20" i="14"/>
  <c r="AH20" i="14"/>
  <c r="AG20" i="14"/>
  <c r="AC20" i="14"/>
  <c r="AB20" i="14"/>
  <c r="AA20" i="14"/>
  <c r="V20" i="14"/>
  <c r="X20" i="14" s="1"/>
  <c r="Y20" i="14" s="1"/>
  <c r="AV22" i="14"/>
  <c r="AQ22" i="14"/>
  <c r="T22" i="14"/>
  <c r="T20" i="14"/>
  <c r="V19" i="14"/>
  <c r="T19" i="14"/>
  <c r="AQ19" i="14" s="1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86" i="14"/>
  <c r="AG86" i="14"/>
  <c r="AI86" i="14" s="1"/>
  <c r="AB86" i="14"/>
  <c r="AA86" i="14"/>
  <c r="AC86" i="14" s="1"/>
  <c r="AM86" i="14" s="1"/>
  <c r="V86" i="14"/>
  <c r="AH82" i="14"/>
  <c r="AH83" i="14" s="1"/>
  <c r="AH84" i="14" s="1"/>
  <c r="AH85" i="14" s="1"/>
  <c r="AG82" i="14"/>
  <c r="AI82" i="14" s="1"/>
  <c r="AN82" i="14" s="1"/>
  <c r="AB82" i="14"/>
  <c r="AB83" i="14" s="1"/>
  <c r="AB84" i="14" s="1"/>
  <c r="AB85" i="14" s="1"/>
  <c r="AA82" i="14"/>
  <c r="AC82" i="14" s="1"/>
  <c r="V82" i="14"/>
  <c r="AA103" i="14"/>
  <c r="AB103" i="14" s="1"/>
  <c r="AE104" i="14"/>
  <c r="AD104" i="14"/>
  <c r="V104" i="14"/>
  <c r="AA104" i="14"/>
  <c r="AF104" i="14"/>
  <c r="AF100" i="14"/>
  <c r="AF101" i="14"/>
  <c r="AF103" i="14"/>
  <c r="AE103" i="14"/>
  <c r="V103" i="14"/>
  <c r="AA102" i="14"/>
  <c r="AB102" i="14" s="1"/>
  <c r="AA101" i="14"/>
  <c r="AB101" i="14" s="1"/>
  <c r="AA100" i="14"/>
  <c r="AB100" i="14" s="1"/>
  <c r="AF102" i="14"/>
  <c r="AE101" i="14"/>
  <c r="AE102" i="14"/>
  <c r="AE100" i="14"/>
  <c r="V102" i="14"/>
  <c r="V101" i="14"/>
  <c r="V100" i="14"/>
  <c r="AF99" i="14"/>
  <c r="AD99" i="14"/>
  <c r="AD98" i="14"/>
  <c r="V99" i="14"/>
  <c r="V98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78" i="14"/>
  <c r="AH78" i="14"/>
  <c r="AH79" i="14" s="1"/>
  <c r="AH80" i="14" s="1"/>
  <c r="AH81" i="14" s="1"/>
  <c r="AG78" i="14"/>
  <c r="AI78" i="14" s="1"/>
  <c r="AN78" i="14" s="1"/>
  <c r="AB78" i="14"/>
  <c r="AB79" i="14" s="1"/>
  <c r="AB80" i="14" s="1"/>
  <c r="AB81" i="14" s="1"/>
  <c r="AA78" i="14"/>
  <c r="AA79" i="14" s="1"/>
  <c r="AA80" i="14" s="1"/>
  <c r="AA81" i="14" s="1"/>
  <c r="AK135" i="14"/>
  <c r="AO135" i="14" s="1"/>
  <c r="AI133" i="14"/>
  <c r="AI132" i="14"/>
  <c r="AI131" i="14"/>
  <c r="AI130" i="14"/>
  <c r="AI129" i="14"/>
  <c r="AI139" i="14"/>
  <c r="AI138" i="14"/>
  <c r="AI137" i="14"/>
  <c r="AP128" i="14"/>
  <c r="AI128" i="14"/>
  <c r="AK122" i="14"/>
  <c r="AK120" i="14"/>
  <c r="AN114" i="14"/>
  <c r="AM114" i="14"/>
  <c r="AI115" i="14" s="1"/>
  <c r="AK115" i="14" s="1"/>
  <c r="AO115" i="14" s="1"/>
  <c r="AP114" i="14"/>
  <c r="AK119" i="14"/>
  <c r="AO119" i="14" s="1"/>
  <c r="AI118" i="14"/>
  <c r="AK117" i="14"/>
  <c r="AO117" i="14" s="1"/>
  <c r="AI116" i="14"/>
  <c r="AL116" i="14" s="1"/>
  <c r="AL117" i="14" s="1"/>
  <c r="AI114" i="14"/>
  <c r="AH71" i="14"/>
  <c r="AH72" i="14" s="1"/>
  <c r="AH73" i="14" s="1"/>
  <c r="AH74" i="14" s="1"/>
  <c r="AB71" i="14"/>
  <c r="AB72" i="14" s="1"/>
  <c r="AB73" i="14" s="1"/>
  <c r="AB74" i="14" s="1"/>
  <c r="AB64" i="14"/>
  <c r="AH66" i="14"/>
  <c r="AH62" i="14"/>
  <c r="AB62" i="14"/>
  <c r="AI57" i="14"/>
  <c r="AI55" i="14"/>
  <c r="AI56" i="14" s="1"/>
  <c r="AI58" i="14" s="1"/>
  <c r="AC57" i="14"/>
  <c r="AC55" i="14"/>
  <c r="AI51" i="14"/>
  <c r="AI47" i="14"/>
  <c r="AI50" i="14" s="1"/>
  <c r="AC51" i="14"/>
  <c r="AI44" i="14"/>
  <c r="AI46" i="14" s="1"/>
  <c r="AI49" i="14" s="1"/>
  <c r="AI42" i="14"/>
  <c r="AC45" i="14"/>
  <c r="AC47" i="14" s="1"/>
  <c r="AC50" i="14" s="1"/>
  <c r="AC44" i="14"/>
  <c r="AC46" i="14" s="1"/>
  <c r="AC49" i="14" s="1"/>
  <c r="AC42" i="14"/>
  <c r="BH57" i="14"/>
  <c r="AG57" i="14"/>
  <c r="AB57" i="14"/>
  <c r="AA57" i="14"/>
  <c r="AH57" i="14"/>
  <c r="V57" i="14"/>
  <c r="BJ56" i="14"/>
  <c r="BI56" i="14"/>
  <c r="BH56" i="14"/>
  <c r="BG56" i="14"/>
  <c r="BF56" i="14"/>
  <c r="BE56" i="14"/>
  <c r="BD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U57" i="14"/>
  <c r="AV57" i="14" s="1"/>
  <c r="AT57" i="14"/>
  <c r="AS57" i="14"/>
  <c r="AR57" i="14"/>
  <c r="AQ57" i="14"/>
  <c r="AH55" i="14"/>
  <c r="AH56" i="14" s="1"/>
  <c r="AH58" i="14" s="1"/>
  <c r="AG55" i="14"/>
  <c r="AG56" i="14" s="1"/>
  <c r="AG58" i="14" s="1"/>
  <c r="AB55" i="14"/>
  <c r="AB56" i="14" s="1"/>
  <c r="AB58" i="14" s="1"/>
  <c r="AA55" i="14"/>
  <c r="V55" i="14"/>
  <c r="AV49" i="14"/>
  <c r="AU49" i="14"/>
  <c r="AT49" i="14"/>
  <c r="AS49" i="14"/>
  <c r="AR49" i="14"/>
  <c r="AQ49" i="14"/>
  <c r="BH43" i="14"/>
  <c r="BH44" i="14" s="1"/>
  <c r="BH46" i="14" s="1"/>
  <c r="BH48" i="14" s="1"/>
  <c r="BH49" i="14" s="1"/>
  <c r="AU43" i="14"/>
  <c r="AU44" i="14" s="1"/>
  <c r="V49" i="14"/>
  <c r="V46" i="14"/>
  <c r="V44" i="14"/>
  <c r="V42" i="14"/>
  <c r="BF43" i="14"/>
  <c r="BE43" i="14"/>
  <c r="BB43" i="14"/>
  <c r="BA43" i="14"/>
  <c r="AZ43" i="14"/>
  <c r="AY43" i="14"/>
  <c r="AX43" i="14"/>
  <c r="AW43" i="14"/>
  <c r="BG43" i="14"/>
  <c r="AT43" i="14"/>
  <c r="AT44" i="14" s="1"/>
  <c r="AT46" i="14" s="1"/>
  <c r="AT48" i="14" s="1"/>
  <c r="AR43" i="14"/>
  <c r="AR44" i="14" s="1"/>
  <c r="AR46" i="14" s="1"/>
  <c r="AR48" i="14" s="1"/>
  <c r="AS43" i="14"/>
  <c r="AS44" i="14" s="1"/>
  <c r="AS46" i="14" s="1"/>
  <c r="AQ43" i="14"/>
  <c r="AQ44" i="14" s="1"/>
  <c r="AQ46" i="14" s="1"/>
  <c r="AG74" i="14"/>
  <c r="AA74" i="14"/>
  <c r="AG73" i="14"/>
  <c r="AA72" i="14"/>
  <c r="AG71" i="14"/>
  <c r="AA71" i="14"/>
  <c r="AG66" i="14"/>
  <c r="AA64" i="14"/>
  <c r="AG62" i="14"/>
  <c r="AA62" i="14"/>
  <c r="AH51" i="14"/>
  <c r="AG51" i="14"/>
  <c r="AB51" i="14"/>
  <c r="AA51" i="14"/>
  <c r="AH47" i="14"/>
  <c r="AG47" i="14"/>
  <c r="AB45" i="14"/>
  <c r="AA45" i="14"/>
  <c r="AA47" i="14" s="1"/>
  <c r="AH42" i="14"/>
  <c r="AG42" i="14"/>
  <c r="AB42" i="14"/>
  <c r="AA42" i="14"/>
  <c r="AA44" i="14" s="1"/>
  <c r="AA46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U19" i="14" l="1"/>
  <c r="AH19" i="14" s="1"/>
  <c r="AU19" i="14"/>
  <c r="AE22" i="14"/>
  <c r="W19" i="14"/>
  <c r="AA19" i="14"/>
  <c r="AG19" i="14"/>
  <c r="AI19" i="14"/>
  <c r="V21" i="14"/>
  <c r="AC19" i="14"/>
  <c r="AK19" i="14"/>
  <c r="AE19" i="14"/>
  <c r="T21" i="14"/>
  <c r="AN19" i="14"/>
  <c r="AM19" i="14"/>
  <c r="U21" i="14"/>
  <c r="AO19" i="14"/>
  <c r="AB19" i="14"/>
  <c r="V6" i="14"/>
  <c r="T6" i="14"/>
  <c r="W10" i="14"/>
  <c r="W13" i="14" s="1"/>
  <c r="W12" i="14"/>
  <c r="AC13" i="14"/>
  <c r="T8" i="14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B7" i="14"/>
  <c r="AB11" i="14" s="1"/>
  <c r="AJ7" i="14"/>
  <c r="AP4" i="14"/>
  <c r="T9" i="14"/>
  <c r="T11" i="14"/>
  <c r="T14" i="14" s="1"/>
  <c r="V11" i="14"/>
  <c r="V14" i="14" s="1"/>
  <c r="AG7" i="14"/>
  <c r="AG11" i="14" s="1"/>
  <c r="AH7" i="14"/>
  <c r="AH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86" i="14"/>
  <c r="AN86" i="14"/>
  <c r="AJ86" i="14"/>
  <c r="AD86" i="14"/>
  <c r="AM82" i="14"/>
  <c r="AD82" i="14"/>
  <c r="AE82" i="14"/>
  <c r="AE83" i="14" s="1"/>
  <c r="AE84" i="14" s="1"/>
  <c r="AE85" i="14" s="1"/>
  <c r="AE86" i="14" s="1"/>
  <c r="AA83" i="14"/>
  <c r="AA84" i="14" s="1"/>
  <c r="AA85" i="14" s="1"/>
  <c r="AC78" i="14"/>
  <c r="AC79" i="14" s="1"/>
  <c r="AJ82" i="14"/>
  <c r="AI79" i="14"/>
  <c r="AN79" i="14" s="1"/>
  <c r="AC83" i="14"/>
  <c r="AK82" i="14"/>
  <c r="AK83" i="14" s="1"/>
  <c r="AK84" i="14" s="1"/>
  <c r="AK85" i="14" s="1"/>
  <c r="AI83" i="14"/>
  <c r="AN83" i="14" s="1"/>
  <c r="AL118" i="14"/>
  <c r="AL119" i="14" s="1"/>
  <c r="AO120" i="14"/>
  <c r="AO121" i="14" s="1"/>
  <c r="AJ79" i="14"/>
  <c r="AI80" i="14"/>
  <c r="AN80" i="14" s="1"/>
  <c r="AJ78" i="14"/>
  <c r="AE78" i="14"/>
  <c r="AE79" i="14" s="1"/>
  <c r="AE80" i="14" s="1"/>
  <c r="AE81" i="14" s="1"/>
  <c r="AK78" i="14"/>
  <c r="AK79" i="14" s="1"/>
  <c r="AK80" i="14" s="1"/>
  <c r="AK81" i="14" s="1"/>
  <c r="AE57" i="14"/>
  <c r="AQ114" i="14"/>
  <c r="AP129" i="14"/>
  <c r="AP130" i="14" s="1"/>
  <c r="AP131" i="14" s="1"/>
  <c r="AP132" i="14" s="1"/>
  <c r="AP133" i="14" s="1"/>
  <c r="AP134" i="14" s="1"/>
  <c r="AP135" i="14" s="1"/>
  <c r="AQ128" i="14"/>
  <c r="AL128" i="14"/>
  <c r="AL129" i="14" s="1"/>
  <c r="AL130" i="14" s="1"/>
  <c r="AM116" i="14"/>
  <c r="AM117" i="14" s="1"/>
  <c r="AM118" i="14" s="1"/>
  <c r="AM119" i="14" s="1"/>
  <c r="AM120" i="14" s="1"/>
  <c r="AM121" i="14" s="1"/>
  <c r="AM122" i="14" s="1"/>
  <c r="AM123" i="14" s="1"/>
  <c r="AN116" i="14"/>
  <c r="AN117" i="14" s="1"/>
  <c r="AN118" i="14" s="1"/>
  <c r="AN119" i="14" s="1"/>
  <c r="AN120" i="14" s="1"/>
  <c r="AN121" i="14" s="1"/>
  <c r="AN122" i="14" s="1"/>
  <c r="AN123" i="14" s="1"/>
  <c r="AP115" i="14"/>
  <c r="AK57" i="14"/>
  <c r="AC56" i="14"/>
  <c r="AC58" i="14" s="1"/>
  <c r="AA56" i="14"/>
  <c r="AA58" i="14" s="1"/>
  <c r="AE55" i="14"/>
  <c r="AE56" i="14" s="1"/>
  <c r="AE58" i="14" s="1"/>
  <c r="AK55" i="14"/>
  <c r="AK56" i="14" s="1"/>
  <c r="AK58" i="14" s="1"/>
  <c r="AQ48" i="14"/>
  <c r="BD43" i="14"/>
  <c r="BI43" i="14" s="1"/>
  <c r="BJ43" i="14" s="1"/>
  <c r="AS48" i="14"/>
  <c r="AV43" i="14"/>
  <c r="AK74" i="14"/>
  <c r="AE72" i="14"/>
  <c r="AK73" i="14"/>
  <c r="AE74" i="14"/>
  <c r="AE62" i="14"/>
  <c r="AE71" i="14"/>
  <c r="AK62" i="14"/>
  <c r="AE64" i="14"/>
  <c r="AK66" i="14"/>
  <c r="AK71" i="14"/>
  <c r="AK51" i="14"/>
  <c r="AN49" i="14" s="1"/>
  <c r="AY49" i="14" s="1"/>
  <c r="AZ49" i="14" s="1"/>
  <c r="AE51" i="14"/>
  <c r="AL49" i="14" s="1"/>
  <c r="AK47" i="14"/>
  <c r="AK42" i="14"/>
  <c r="AN42" i="14" s="1"/>
  <c r="AN43" i="14" s="1"/>
  <c r="AN44" i="14" s="1"/>
  <c r="AE42" i="14"/>
  <c r="AL42" i="14" s="1"/>
  <c r="AE45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E20" i="14" l="1"/>
  <c r="W21" i="14"/>
  <c r="AT19" i="14"/>
  <c r="AS19" i="14"/>
  <c r="AV20" i="14"/>
  <c r="AV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S4" i="14"/>
  <c r="AN57" i="14"/>
  <c r="AY57" i="14" s="1"/>
  <c r="BF57" i="14" s="1"/>
  <c r="BG57" i="14" s="1"/>
  <c r="AL57" i="14"/>
  <c r="AO57" i="14" s="1"/>
  <c r="AM83" i="14"/>
  <c r="AD83" i="14"/>
  <c r="AM79" i="14"/>
  <c r="AD79" i="14"/>
  <c r="AM78" i="14"/>
  <c r="AD78" i="14"/>
  <c r="AJ83" i="14"/>
  <c r="AI84" i="14"/>
  <c r="AN84" i="14" s="1"/>
  <c r="AC84" i="14"/>
  <c r="AC80" i="14"/>
  <c r="AJ80" i="14"/>
  <c r="AI81" i="14"/>
  <c r="AQ130" i="14"/>
  <c r="AL131" i="14"/>
  <c r="AQ129" i="14"/>
  <c r="AN128" i="14"/>
  <c r="AM128" i="14"/>
  <c r="AM129" i="14" s="1"/>
  <c r="AM130" i="14" s="1"/>
  <c r="AM131" i="14" s="1"/>
  <c r="AM132" i="14" s="1"/>
  <c r="AM133" i="14" s="1"/>
  <c r="AM134" i="14" s="1"/>
  <c r="AM135" i="14" s="1"/>
  <c r="AP116" i="14"/>
  <c r="AP117" i="14" s="1"/>
  <c r="AQ117" i="14" s="1"/>
  <c r="AL120" i="14"/>
  <c r="AL121" i="14" s="1"/>
  <c r="AL122" i="14" s="1"/>
  <c r="AL123" i="14" s="1"/>
  <c r="AO122" i="14"/>
  <c r="AQ115" i="14"/>
  <c r="AN55" i="14"/>
  <c r="AN56" i="14" s="1"/>
  <c r="AL55" i="14"/>
  <c r="AL56" i="14" s="1"/>
  <c r="AY44" i="14"/>
  <c r="BF44" i="14" s="1"/>
  <c r="BG44" i="14" s="1"/>
  <c r="AN46" i="14"/>
  <c r="AW49" i="14"/>
  <c r="AO49" i="14"/>
  <c r="BF49" i="14"/>
  <c r="BG49" i="14" s="1"/>
  <c r="AV44" i="14"/>
  <c r="AV46" i="14" s="1"/>
  <c r="AV48" i="14" s="1"/>
  <c r="AU46" i="14"/>
  <c r="AU48" i="14" s="1"/>
  <c r="AO42" i="14"/>
  <c r="AO43" i="14" s="1"/>
  <c r="AL43" i="14"/>
  <c r="AL44" i="14" s="1"/>
  <c r="AW44" i="14" s="1"/>
  <c r="AX44" i="14" s="1"/>
  <c r="AU20" i="14" l="1"/>
  <c r="AT20" i="14"/>
  <c r="AS20" i="14"/>
  <c r="W11" i="14"/>
  <c r="W14" i="14" s="1"/>
  <c r="U14" i="14"/>
  <c r="AH12" i="14"/>
  <c r="AN12" i="14"/>
  <c r="AJ13" i="14"/>
  <c r="AK13" i="14" s="1"/>
  <c r="AG13" i="14"/>
  <c r="AA13" i="14"/>
  <c r="AD13" i="14"/>
  <c r="AE13" i="14" s="1"/>
  <c r="AK12" i="14"/>
  <c r="AJ14" i="14"/>
  <c r="AK14" i="14" s="1"/>
  <c r="AU10" i="14"/>
  <c r="AV10" i="14"/>
  <c r="AN5" i="14"/>
  <c r="AV5" i="14" s="1"/>
  <c r="AV4" i="14"/>
  <c r="AH5" i="14"/>
  <c r="AU4" i="14"/>
  <c r="AZ57" i="14"/>
  <c r="AW57" i="14"/>
  <c r="BA57" i="14" s="1"/>
  <c r="BB57" i="14" s="1"/>
  <c r="AB5" i="14"/>
  <c r="AT4" i="14"/>
  <c r="AJ81" i="14"/>
  <c r="AN81" i="14"/>
  <c r="AM80" i="14"/>
  <c r="AD80" i="14"/>
  <c r="AM84" i="14"/>
  <c r="AD84" i="14"/>
  <c r="AI85" i="14"/>
  <c r="AJ84" i="14"/>
  <c r="AC85" i="14"/>
  <c r="AQ116" i="14"/>
  <c r="AO56" i="14"/>
  <c r="AC81" i="14"/>
  <c r="AQ131" i="14"/>
  <c r="AL132" i="14"/>
  <c r="AN129" i="14"/>
  <c r="AN130" i="14" s="1"/>
  <c r="AN131" i="14" s="1"/>
  <c r="AN132" i="14" s="1"/>
  <c r="AN133" i="14" s="1"/>
  <c r="AN134" i="14" s="1"/>
  <c r="AN135" i="14" s="1"/>
  <c r="AN136" i="14" s="1"/>
  <c r="AN137" i="14" s="1"/>
  <c r="AP118" i="14"/>
  <c r="AP119" i="14" s="1"/>
  <c r="AP120" i="14" s="1"/>
  <c r="AQ120" i="14" s="1"/>
  <c r="AO55" i="14"/>
  <c r="AZ44" i="14"/>
  <c r="AX49" i="14"/>
  <c r="BE49" i="14" s="1"/>
  <c r="BD49" i="14"/>
  <c r="BI49" i="14" s="1"/>
  <c r="BJ49" i="14" s="1"/>
  <c r="BA49" i="14"/>
  <c r="BB49" i="14" s="1"/>
  <c r="AN48" i="14"/>
  <c r="AY46" i="14"/>
  <c r="BD44" i="14"/>
  <c r="BI44" i="14" s="1"/>
  <c r="BJ44" i="14" s="1"/>
  <c r="AL46" i="14"/>
  <c r="AO44" i="14"/>
  <c r="AS22" i="14" l="1"/>
  <c r="AX57" i="14"/>
  <c r="BE57" i="14" s="1"/>
  <c r="BD57" i="14"/>
  <c r="BI57" i="14" s="1"/>
  <c r="BJ57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81" i="14"/>
  <c r="AD81" i="14"/>
  <c r="AM85" i="14"/>
  <c r="AD85" i="14"/>
  <c r="AJ85" i="14"/>
  <c r="AN85" i="14"/>
  <c r="AQ118" i="14"/>
  <c r="AQ132" i="14"/>
  <c r="AL133" i="14"/>
  <c r="AI136" i="14"/>
  <c r="AK136" i="14" s="1"/>
  <c r="AO136" i="14" s="1"/>
  <c r="AN138" i="14"/>
  <c r="AN139" i="14" s="1"/>
  <c r="AK134" i="14"/>
  <c r="AO134" i="14" s="1"/>
  <c r="AP121" i="14"/>
  <c r="AQ119" i="14"/>
  <c r="AW46" i="14"/>
  <c r="BA46" i="14" s="1"/>
  <c r="AO46" i="14"/>
  <c r="AL48" i="14"/>
  <c r="AO48" i="14" s="1"/>
  <c r="AZ46" i="14"/>
  <c r="AZ48" i="14" s="1"/>
  <c r="AY48" i="14"/>
  <c r="BF46" i="14"/>
  <c r="BA44" i="14"/>
  <c r="BB44" i="14" s="1"/>
  <c r="BE44" i="14"/>
  <c r="AS13" i="14" l="1"/>
  <c r="AT7" i="14"/>
  <c r="AS7" i="14" s="1"/>
  <c r="AQ133" i="14"/>
  <c r="AL134" i="14"/>
  <c r="AL135" i="14" s="1"/>
  <c r="AM136" i="14"/>
  <c r="AM137" i="14" s="1"/>
  <c r="AM138" i="14" s="1"/>
  <c r="AM139" i="14" s="1"/>
  <c r="AL136" i="14"/>
  <c r="AP136" i="14"/>
  <c r="AP137" i="14" s="1"/>
  <c r="AP138" i="14" s="1"/>
  <c r="AP139" i="14" s="1"/>
  <c r="AQ134" i="14"/>
  <c r="AP122" i="14"/>
  <c r="AP123" i="14" s="1"/>
  <c r="AQ123" i="14" s="1"/>
  <c r="AQ121" i="14"/>
  <c r="BG46" i="14"/>
  <c r="BG48" i="14" s="1"/>
  <c r="BF48" i="14"/>
  <c r="BB46" i="14"/>
  <c r="BB48" i="14" s="1"/>
  <c r="BA48" i="14"/>
  <c r="AX46" i="14"/>
  <c r="AW48" i="14"/>
  <c r="BD46" i="14"/>
  <c r="AQ135" i="14" l="1"/>
  <c r="AL137" i="14"/>
  <c r="AQ136" i="14"/>
  <c r="AQ122" i="14"/>
  <c r="BI46" i="14"/>
  <c r="BJ46" i="14" s="1"/>
  <c r="BD48" i="14"/>
  <c r="BI48" i="14" s="1"/>
  <c r="BJ48" i="14" s="1"/>
  <c r="BE46" i="14"/>
  <c r="BE48" i="14" s="1"/>
  <c r="AX48" i="14"/>
  <c r="AQ137" i="14" l="1"/>
  <c r="AL138" i="14"/>
  <c r="AL139" i="14" s="1"/>
  <c r="AQ139" i="14" s="1"/>
  <c r="AQ138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Q43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43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43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43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43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43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43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43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43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43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43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43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43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44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44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44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44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44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44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57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57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57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57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57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57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57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57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57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57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57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57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99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02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03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<sst xmlns="http://schemas.openxmlformats.org/spreadsheetml/2006/main" count="1018" uniqueCount="225">
  <si>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</si>
  <si>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</si>
  <si>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</si>
  <si>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</si>
  <si>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</si>
  <si>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</si>
  <si>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</si>
  <si>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</si>
  <si>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</si>
  <si>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</si>
  <si>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</si>
  <si>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</si>
  <si>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</si>
  <si>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</si>
  <si>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</si>
  <si>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</si>
  <si>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</si>
  <si>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</si>
  <si>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</si>
  <si>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</si>
  <si>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</si>
  <si>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</si>
  <si>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</si>
  <si>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</si>
  <si>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</si>
  <si>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</si>
  <si>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</si>
  <si>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</si>
  <si>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</si>
  <si>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</si>
  <si>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</si>
  <si>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</si>
  <si>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</si>
  <si>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</si>
  <si>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</si>
  <si>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</si>
  <si>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</si>
  <si>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</si>
  <si>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</si>
  <si>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</si>
  <si>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</si>
  <si>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</si>
  <si>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</si>
  <si>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</si>
  <si>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</si>
  <si>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</si>
  <si>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</si>
  <si>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</si>
  <si>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</si>
  <si>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</si>
  <si>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</si>
  <si>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</si>
  <si>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</si>
  <si>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</si>
  <si>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</si>
  <si>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</si>
  <si>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</si>
  <si>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</si>
  <si>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</si>
  <si>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</si>
  <si>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</si>
  <si>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</si>
  <si>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</si>
  <si>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</si>
  <si>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</si>
  <si>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</si>
  <si>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</si>
  <si>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</si>
  <si>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</si>
  <si>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</si>
  <si>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</si>
  <si>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</si>
  <si>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</si>
  <si>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</si>
  <si>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</si>
  <si>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</si>
  <si>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</si>
  <si>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</si>
  <si>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</si>
  <si>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</si>
  <si>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</si>
  <si>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</si>
  <si>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</si>
  <si>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</si>
  <si>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</si>
  <si>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</si>
  <si>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</si>
  <si>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</si>
  <si>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</si>
  <si>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</si>
  <si>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</si>
  <si>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</si>
  <si>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</si>
  <si>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</si>
  <si>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</si>
  <si>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</si>
  <si>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</si>
  <si>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</si>
  <si>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</si>
  <si>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</si>
  <si>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</si>
  <si>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</si>
  <si>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</si>
  <si>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</si>
  <si>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</si>
  <si>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</si>
  <si>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</si>
  <si>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</si>
  <si>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</si>
  <si>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</si>
  <si>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</si>
  <si>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</si>
  <si>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</si>
  <si>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</si>
  <si>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</si>
  <si>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</si>
  <si>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</si>
  <si>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</si>
  <si>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</si>
  <si>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</si>
  <si>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</si>
  <si>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</si>
  <si>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</si>
  <si>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</si>
  <si>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</si>
  <si>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</si>
  <si>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</si>
  <si>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</si>
  <si>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</si>
  <si>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</si>
  <si>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</si>
  <si>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</si>
  <si>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</si>
  <si>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</si>
  <si>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</si>
  <si>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</si>
  <si>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</si>
  <si>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</si>
  <si>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</si>
  <si>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</si>
  <si>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</si>
  <si>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</si>
  <si>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</si>
  <si>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</si>
  <si>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</si>
  <si>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</si>
  <si>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</si>
  <si>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</si>
  <si>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</si>
  <si>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</si>
  <si>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</si>
  <si>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</si>
  <si>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</si>
  <si>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</si>
  <si>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</si>
  <si>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</si>
  <si>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</si>
  <si>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</si>
  <si>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</si>
  <si>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</si>
  <si>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</si>
  <si>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</si>
  <si>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</si>
  <si>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</si>
  <si>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</si>
  <si>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</si>
  <si>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</si>
  <si>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</si>
  <si>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</si>
  <si>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</si>
  <si>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</si>
  <si>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</si>
  <si>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</si>
  <si>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</si>
  <si>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</si>
  <si>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</si>
  <si>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</si>
  <si>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</si>
  <si>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</si>
  <si>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</si>
  <si>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</si>
  <si>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</si>
  <si>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</si>
  <si>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</si>
  <si>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</si>
  <si>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</si>
  <si>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</si>
  <si>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</si>
  <si>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</si>
  <si>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</si>
  <si>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</si>
  <si>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</si>
  <si>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</si>
  <si>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</si>
  <si>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</si>
  <si>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</si>
  <si>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</si>
  <si>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</si>
  <si>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</si>
  <si>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</si>
  <si>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</si>
  <si>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</si>
  <si>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</si>
  <si>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</si>
  <si>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</si>
  <si>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</si>
  <si>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</si>
  <si>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</si>
  <si>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</si>
  <si>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</si>
  <si>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</si>
  <si>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</si>
  <si>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</si>
  <si>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</si>
  <si>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</si>
  <si>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</si>
  <si>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</si>
  <si>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</si>
  <si>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</si>
  <si>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</si>
  <si>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</si>
  <si>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</si>
  <si>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</si>
  <si>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</si>
  <si>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Edit SellA, update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</si>
</sst>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2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03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8" fillId="5" borderId="0" xfId="0" applyFon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0" fontId="0" fillId="0" borderId="0" xfId="0" applyFill="1"/>
    <xf numFmtId="8" fontId="0" fillId="0" borderId="0" xfId="0" applyNumberFormat="1" applyFill="1"/>
    <xf numFmtId="10" fontId="0" fillId="0" borderId="0" xfId="0" applyNumberFormat="1" applyFill="1"/>
    <xf numFmtId="0" fontId="10" fillId="0" borderId="0" xfId="0" applyFont="1" applyFill="1"/>
    <xf numFmtId="49" fontId="10" fillId="0" borderId="0" xfId="0" applyNumberFormat="1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164" fontId="3" fillId="0" borderId="0" xfId="0" applyNumberFormat="1" applyFont="1" applyFill="1" applyAlignment="1">
      <alignment horizontal="center"/>
    </xf>
    <xf numFmtId="164" fontId="3" fillId="0" borderId="0" xfId="0" quotePrefix="1" applyNumberFormat="1" applyFont="1" applyFill="1" applyAlignment="1">
      <alignment horizontal="center"/>
    </xf>
    <xf numFmtId="0" fontId="3" fillId="0" borderId="0" xfId="0" applyFont="1" applyFill="1"/>
    <xf numFmtId="164" fontId="3" fillId="0" borderId="0" xfId="2" applyNumberFormat="1" applyFont="1" applyFill="1" applyAlignment="1">
      <alignment horizontal="right"/>
    </xf>
    <xf numFmtId="10" fontId="3" fillId="0" borderId="0" xfId="0" applyNumberFormat="1" applyFont="1" applyFill="1" applyAlignment="1">
      <alignment horizontal="right"/>
    </xf>
    <xf numFmtId="164" fontId="0" fillId="0" borderId="0" xfId="0" applyNumberFormat="1" applyFill="1"/>
    <xf numFmtId="166" fontId="0" fillId="0" borderId="0" xfId="0" applyNumberFormat="1" applyFill="1"/>
    <xf numFmtId="164" fontId="3" fillId="0" borderId="0" xfId="0" quotePrefix="1" applyNumberFormat="1" applyFont="1" applyFill="1" applyAlignment="1">
      <alignment horizontal="right"/>
    </xf>
    <xf numFmtId="165" fontId="3" fillId="0" borderId="0" xfId="0" quotePrefix="1" applyNumberFormat="1" applyFont="1" applyFill="1" applyAlignment="1">
      <alignment horizontal="right"/>
    </xf>
    <xf numFmtId="9" fontId="3" fillId="0" borderId="0" xfId="0" applyNumberFormat="1" applyFont="1" applyFill="1" applyAlignment="1">
      <alignment horizontal="right"/>
    </xf>
    <xf numFmtId="2" fontId="0" fillId="0" borderId="0" xfId="0" applyNumberFormat="1" applyFill="1"/>
    <xf numFmtId="165" fontId="3" fillId="0" borderId="0" xfId="0" applyNumberFormat="1" applyFont="1" applyFill="1" applyAlignment="1">
      <alignment horizontal="right"/>
    </xf>
    <xf numFmtId="0" fontId="11" fillId="0" borderId="0" xfId="0" applyFont="1" applyFill="1"/>
    <xf numFmtId="164" fontId="3" fillId="0" borderId="0" xfId="0" applyNumberFormat="1" applyFont="1" applyFill="1"/>
    <xf numFmtId="166" fontId="3" fillId="0" borderId="0" xfId="0" applyNumberFormat="1" applyFont="1" applyFill="1"/>
    <xf numFmtId="166" fontId="7" fillId="0" borderId="0" xfId="0" applyNumberFormat="1" applyFont="1" applyFill="1" applyAlignment="1">
      <alignment horizontal="right"/>
    </xf>
    <xf numFmtId="6" fontId="0" fillId="0" borderId="0" xfId="0" applyNumberFormat="1" applyFill="1"/>
    <xf numFmtId="9" fontId="0" fillId="0" borderId="0" xfId="0" applyNumberFormat="1" applyFill="1"/>
    <xf numFmtId="0" fontId="11" fillId="0" borderId="0" xfId="0" applyFont="1" applyFill="1" applyAlignment="1">
      <alignment wrapText="1"/>
    </xf>
    <xf numFmtId="165" fontId="7" fillId="0" borderId="0" xfId="0" applyNumberFormat="1" applyFont="1" applyFill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Fill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0" fontId="10" fillId="3" borderId="0" xfId="0" applyFont="1" applyFill="1"/>
    <xf numFmtId="166" fontId="7" fillId="3" borderId="0" xfId="0" applyNumberFormat="1" applyFont="1" applyFill="1" applyAlignment="1">
      <alignment horizontal="right"/>
    </xf>
    <xf numFmtId="10" fontId="3" fillId="3" borderId="0" xfId="1" quotePrefix="1" applyNumberFormat="1" applyFont="1" applyFill="1" applyAlignment="1">
      <alignment horizontal="center"/>
    </xf>
    <xf numFmtId="49" fontId="3" fillId="3" borderId="0" xfId="0" applyNumberFormat="1" applyFont="1" applyFill="1"/>
    <xf numFmtId="44" fontId="0" fillId="0" borderId="0" xfId="2" applyFont="1" applyFill="1"/>
    <xf numFmtId="10" fontId="3" fillId="0" borderId="0" xfId="0" applyNumberFormat="1" applyFont="1" applyFill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39"/>
  <sheetViews>
    <sheetView tabSelected="1" topLeftCell="A15" workbookViewId="0">
      <selection activeCell="V31" sqref="V31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3" width="7.7109375" bestFit="1" customWidth="1"/>
    <col min="14" max="14" width="8.28515625" bestFit="1" customWidth="1"/>
    <col min="15" max="15" width="8.7109375" bestFit="1" customWidth="1"/>
    <col min="16" max="16" width="6.42578125" customWidth="1"/>
    <col min="17" max="17" width="8.5703125" customWidth="1"/>
    <col min="18" max="18" width="6" customWidth="1"/>
    <col min="19" max="19" width="11.42578125" customWidth="1"/>
    <col min="20" max="20" width="7.42578125" customWidth="1"/>
    <col min="21" max="21" width="8.5703125" bestFit="1" customWidth="1"/>
    <col min="22" max="22" width="7.5703125" bestFit="1" customWidth="1"/>
    <col min="23" max="23" width="8" customWidth="1"/>
    <col min="24" max="24" width="7.1406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7" t="s">
        <v>214</v>
      </c>
    </row>
    <row r="2" spans="1:48" ht="12.75" x14ac:dyDescent="0.2">
      <c r="B2" s="45" t="s">
        <v>204</v>
      </c>
      <c r="C2" s="111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2" t="s">
        <v>205</v>
      </c>
      <c r="AB2" s="46"/>
      <c r="AC2" s="46"/>
      <c r="AD2" s="46"/>
      <c r="AE2" s="46"/>
      <c r="AF2" s="46"/>
      <c r="AG2" s="132" t="s">
        <v>207</v>
      </c>
      <c r="AH2" s="46"/>
      <c r="AI2" s="46"/>
      <c r="AJ2" s="46"/>
      <c r="AK2" s="46"/>
      <c r="AL2" s="45"/>
      <c r="AM2" s="132" t="s">
        <v>208</v>
      </c>
      <c r="AN2" s="12"/>
      <c r="AO2" s="12"/>
      <c r="AP2" s="12"/>
      <c r="AQ2" s="12"/>
      <c r="AS2" s="132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3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6">
        <v>0.04</v>
      </c>
      <c r="E4" s="97">
        <v>0.08</v>
      </c>
      <c r="F4" s="97">
        <v>0.16</v>
      </c>
      <c r="G4" s="97">
        <v>0.01</v>
      </c>
      <c r="H4" s="97"/>
      <c r="I4" s="135" t="s">
        <v>75</v>
      </c>
      <c r="J4" s="135" t="s">
        <v>78</v>
      </c>
      <c r="K4" s="52">
        <v>100</v>
      </c>
      <c r="L4" s="52">
        <v>200</v>
      </c>
      <c r="M4" s="126">
        <v>0.5</v>
      </c>
      <c r="N4" s="97">
        <v>0.3</v>
      </c>
      <c r="O4" s="97">
        <v>0.2</v>
      </c>
      <c r="Q4" s="45" t="s">
        <v>216</v>
      </c>
      <c r="R4" s="45" t="s">
        <v>75</v>
      </c>
      <c r="S4" s="133" t="s">
        <v>78</v>
      </c>
      <c r="T4" s="124">
        <f>K4</f>
        <v>100</v>
      </c>
      <c r="U4" s="30">
        <f>V4/T4</f>
        <v>2</v>
      </c>
      <c r="V4" s="124">
        <f>L4</f>
        <v>200</v>
      </c>
      <c r="W4" s="124">
        <f>T4 * (1 - ABS(C4))</f>
        <v>98</v>
      </c>
      <c r="X4" s="154" t="s">
        <v>34</v>
      </c>
      <c r="Y4" s="154" t="s">
        <v>34</v>
      </c>
      <c r="Z4" s="12"/>
      <c r="AA4" s="124">
        <f>T4</f>
        <v>100</v>
      </c>
      <c r="AB4" s="30">
        <f>U4*M4</f>
        <v>1</v>
      </c>
      <c r="AC4" s="125">
        <f>V4*M4</f>
        <v>100</v>
      </c>
      <c r="AD4" s="125">
        <f>T4 * (1 + D4) / (1 - G4)</f>
        <v>105.05050505050505</v>
      </c>
      <c r="AE4" s="126">
        <f>(B4 - AD4) / AD4</f>
        <v>-4.8076923076923087E-2</v>
      </c>
      <c r="AF4" s="30"/>
      <c r="AG4" s="124">
        <f>T4</f>
        <v>100</v>
      </c>
      <c r="AH4" s="30">
        <f>U4*N4</f>
        <v>0.6</v>
      </c>
      <c r="AI4" s="125">
        <f>V4*N4</f>
        <v>60</v>
      </c>
      <c r="AJ4" s="125">
        <f>T4 * (1 + E4) / (1 - G4)</f>
        <v>109.09090909090909</v>
      </c>
      <c r="AK4" s="126">
        <f>(B4 - AJ4) / AJ4</f>
        <v>-8.3333333333333356E-2</v>
      </c>
      <c r="AM4" s="124">
        <f>T4</f>
        <v>100</v>
      </c>
      <c r="AN4" s="30">
        <f>U4*O4</f>
        <v>0.4</v>
      </c>
      <c r="AO4" s="125">
        <f>V4*O4</f>
        <v>40</v>
      </c>
      <c r="AP4" s="125">
        <f>T4 * (1 + F4) / (1 - G4)</f>
        <v>117.17171717171716</v>
      </c>
      <c r="AQ4" s="126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1">
        <v>0.04</v>
      </c>
      <c r="E5" s="127">
        <v>0.08</v>
      </c>
      <c r="F5" s="127">
        <v>0.16</v>
      </c>
      <c r="G5" s="127">
        <v>0.01</v>
      </c>
      <c r="H5" s="127"/>
      <c r="I5" s="136" t="s">
        <v>75</v>
      </c>
      <c r="J5" s="136" t="s">
        <v>211</v>
      </c>
      <c r="K5" s="40">
        <v>100</v>
      </c>
      <c r="L5" s="40">
        <v>300</v>
      </c>
      <c r="M5" s="131">
        <v>0.5</v>
      </c>
      <c r="N5" s="127">
        <v>0.25</v>
      </c>
      <c r="O5" s="127">
        <v>0.25</v>
      </c>
      <c r="P5" s="35"/>
      <c r="Q5" s="47" t="s">
        <v>217</v>
      </c>
      <c r="R5" s="47" t="s">
        <v>75</v>
      </c>
      <c r="S5" s="134" t="s">
        <v>211</v>
      </c>
      <c r="T5" s="128">
        <f>K5</f>
        <v>100</v>
      </c>
      <c r="U5" s="43">
        <f>V5/T5</f>
        <v>3</v>
      </c>
      <c r="V5" s="128">
        <f>L5</f>
        <v>300</v>
      </c>
      <c r="W5" s="128">
        <f>T5 * (1 - ABS(C5))</f>
        <v>98</v>
      </c>
      <c r="X5" s="155" t="s">
        <v>34</v>
      </c>
      <c r="Y5" s="155" t="s">
        <v>34</v>
      </c>
      <c r="Z5" s="41"/>
      <c r="AA5" s="128">
        <f>T5</f>
        <v>100</v>
      </c>
      <c r="AB5" s="43">
        <f>AB4+(U5*M5)</f>
        <v>2.5</v>
      </c>
      <c r="AC5" s="130">
        <f>AC4+(V5*M5)</f>
        <v>250</v>
      </c>
      <c r="AD5" s="130">
        <f>T5 * (1 + D5) / (1 - G5)</f>
        <v>105.05050505050505</v>
      </c>
      <c r="AE5" s="131">
        <f>(B5 - AD5) / AD5</f>
        <v>-4.8076923076923087E-2</v>
      </c>
      <c r="AF5" s="43"/>
      <c r="AG5" s="128">
        <f>T5</f>
        <v>100</v>
      </c>
      <c r="AH5" s="43">
        <f>AH4+(U5*N5)</f>
        <v>1.35</v>
      </c>
      <c r="AI5" s="130">
        <f>AI4+(V5*N5)</f>
        <v>135</v>
      </c>
      <c r="AJ5" s="130">
        <f>T5 * (1 + E5) / (1 - G5)</f>
        <v>109.09090909090909</v>
      </c>
      <c r="AK5" s="131">
        <f>(B5 - AJ5) / AJ5</f>
        <v>-8.3333333333333356E-2</v>
      </c>
      <c r="AL5" s="35"/>
      <c r="AM5" s="128">
        <f>T5</f>
        <v>100</v>
      </c>
      <c r="AN5" s="43">
        <f>AN4+(U5*O5)</f>
        <v>1.1499999999999999</v>
      </c>
      <c r="AO5" s="130">
        <f>AO4+(V5*O5)</f>
        <v>115</v>
      </c>
      <c r="AP5" s="130">
        <f>T5 * (1 + F5) / (1 - G5)</f>
        <v>117.17171717171716</v>
      </c>
      <c r="AQ5" s="131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1"/>
      <c r="E6" s="127"/>
      <c r="F6" s="127"/>
      <c r="G6" s="127"/>
      <c r="H6" s="127"/>
      <c r="I6" s="136"/>
      <c r="J6" s="136"/>
      <c r="K6" s="40"/>
      <c r="L6" s="40"/>
      <c r="M6" s="131"/>
      <c r="N6" s="127"/>
      <c r="O6" s="127"/>
      <c r="P6" s="35"/>
      <c r="Q6" s="47" t="s">
        <v>216</v>
      </c>
      <c r="R6" s="47" t="s">
        <v>75</v>
      </c>
      <c r="S6" s="134" t="s">
        <v>78</v>
      </c>
      <c r="T6" s="128">
        <f>T4</f>
        <v>100</v>
      </c>
      <c r="U6" s="43">
        <f>U4</f>
        <v>2</v>
      </c>
      <c r="V6" s="128">
        <f>V4</f>
        <v>200</v>
      </c>
      <c r="W6" s="128">
        <f>W4</f>
        <v>98</v>
      </c>
      <c r="X6" s="155"/>
      <c r="Y6" s="155"/>
      <c r="Z6" s="41"/>
      <c r="AA6" s="128"/>
      <c r="AB6" s="43"/>
      <c r="AC6" s="130"/>
      <c r="AD6" s="130"/>
      <c r="AE6" s="131"/>
      <c r="AF6" s="43"/>
      <c r="AG6" s="128"/>
      <c r="AH6" s="43"/>
      <c r="AI6" s="130"/>
      <c r="AJ6" s="130"/>
      <c r="AK6" s="131"/>
      <c r="AL6" s="35"/>
      <c r="AM6" s="128"/>
      <c r="AN6" s="43"/>
      <c r="AO6" s="130"/>
      <c r="AP6" s="130"/>
      <c r="AQ6" s="131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6">
        <v>0.04</v>
      </c>
      <c r="E7" s="97">
        <v>0.08</v>
      </c>
      <c r="F7" s="97">
        <v>0.16</v>
      </c>
      <c r="G7" s="97">
        <v>0.01</v>
      </c>
      <c r="H7" s="97"/>
      <c r="I7" s="135" t="s">
        <v>75</v>
      </c>
      <c r="J7" s="135" t="s">
        <v>215</v>
      </c>
      <c r="K7" s="52">
        <v>120</v>
      </c>
      <c r="L7" s="52">
        <v>400</v>
      </c>
      <c r="M7" s="126">
        <v>0.5</v>
      </c>
      <c r="N7" s="97">
        <v>0.5</v>
      </c>
      <c r="O7" s="97">
        <v>0</v>
      </c>
      <c r="Q7" s="45" t="s">
        <v>218</v>
      </c>
      <c r="R7" s="45" t="s">
        <v>75</v>
      </c>
      <c r="S7" s="132" t="s">
        <v>215</v>
      </c>
      <c r="T7" s="124">
        <f>K7</f>
        <v>120</v>
      </c>
      <c r="U7" s="30">
        <f>V7/T7</f>
        <v>3.3333333333333335</v>
      </c>
      <c r="V7" s="124">
        <f>L7</f>
        <v>400</v>
      </c>
      <c r="W7" s="124">
        <f>T7 * (1 - ABS(C7))</f>
        <v>117.6</v>
      </c>
      <c r="X7" s="154" t="s">
        <v>34</v>
      </c>
      <c r="Y7" s="154" t="s">
        <v>34</v>
      </c>
      <c r="Z7" s="12"/>
      <c r="AA7" s="124">
        <f>T7</f>
        <v>120</v>
      </c>
      <c r="AB7" s="30">
        <f>U7*M7</f>
        <v>1.6666666666666667</v>
      </c>
      <c r="AC7" s="125">
        <f>V7*M7</f>
        <v>200</v>
      </c>
      <c r="AD7" s="125">
        <f>T7 * (1 + D7) / (1 - G7)</f>
        <v>126.06060606060608</v>
      </c>
      <c r="AE7" s="126">
        <f>(B7 - AD7) / AD7</f>
        <v>-4.8076923076923198E-2</v>
      </c>
      <c r="AF7" s="30"/>
      <c r="AG7" s="124">
        <f>T7</f>
        <v>120</v>
      </c>
      <c r="AH7" s="30">
        <f>U7*M7</f>
        <v>1.6666666666666667</v>
      </c>
      <c r="AI7" s="125">
        <f>V7*M7</f>
        <v>200</v>
      </c>
      <c r="AJ7" s="125">
        <f>T7 * (1 + E7) / (1 - G7)</f>
        <v>130.90909090909093</v>
      </c>
      <c r="AK7" s="126">
        <f>(B7 - AJ7) / AJ7</f>
        <v>-8.3333333333333509E-2</v>
      </c>
      <c r="AM7" s="124">
        <v>100</v>
      </c>
      <c r="AN7" s="30">
        <v>1.1499999999999999</v>
      </c>
      <c r="AO7" s="125">
        <v>115</v>
      </c>
      <c r="AP7" s="125">
        <v>117.17171717171716</v>
      </c>
      <c r="AQ7" s="126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7"/>
      <c r="H8" s="97"/>
      <c r="I8" s="97"/>
      <c r="J8" s="97"/>
      <c r="K8" s="52"/>
      <c r="L8" s="52"/>
      <c r="M8" s="97"/>
      <c r="N8" s="97"/>
      <c r="O8" s="97"/>
      <c r="Q8" s="46" t="s">
        <v>217</v>
      </c>
      <c r="R8" s="46" t="s">
        <v>75</v>
      </c>
      <c r="S8" s="132" t="s">
        <v>211</v>
      </c>
      <c r="T8" s="124">
        <f>T5</f>
        <v>100</v>
      </c>
      <c r="U8" s="30">
        <f>U5</f>
        <v>3</v>
      </c>
      <c r="V8" s="124">
        <f>V5</f>
        <v>300</v>
      </c>
      <c r="W8" s="124">
        <f>W5</f>
        <v>98</v>
      </c>
      <c r="X8" s="154" t="s">
        <v>34</v>
      </c>
      <c r="Y8" s="154" t="s">
        <v>34</v>
      </c>
      <c r="Z8" s="12"/>
      <c r="AA8" s="124">
        <f>AA5</f>
        <v>100</v>
      </c>
      <c r="AB8" s="30">
        <f>AB5</f>
        <v>2.5</v>
      </c>
      <c r="AC8" s="125">
        <f>AC5</f>
        <v>250</v>
      </c>
      <c r="AD8" s="125">
        <f>AD5</f>
        <v>105.05050505050505</v>
      </c>
      <c r="AE8" s="126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4" t="s">
        <v>34</v>
      </c>
      <c r="AN8" s="158" t="s">
        <v>34</v>
      </c>
      <c r="AO8" s="158" t="s">
        <v>34</v>
      </c>
      <c r="AP8" s="158" t="s">
        <v>34</v>
      </c>
      <c r="AQ8" s="158" t="s">
        <v>34</v>
      </c>
    </row>
    <row r="9" spans="1:48" ht="12.75" x14ac:dyDescent="0.2">
      <c r="B9" s="52"/>
      <c r="C9" s="97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2" t="s">
        <v>78</v>
      </c>
      <c r="T9" s="124">
        <f>T4</f>
        <v>100</v>
      </c>
      <c r="U9" s="30">
        <f>U4</f>
        <v>2</v>
      </c>
      <c r="V9" s="124">
        <f>V4</f>
        <v>200</v>
      </c>
      <c r="W9" s="124">
        <f>W4</f>
        <v>98</v>
      </c>
      <c r="X9" s="154" t="s">
        <v>34</v>
      </c>
      <c r="Y9" s="154" t="s">
        <v>34</v>
      </c>
      <c r="Z9" s="12"/>
      <c r="AA9" s="63"/>
      <c r="AF9" s="30"/>
      <c r="AG9" s="13"/>
      <c r="AH9" s="13"/>
      <c r="AI9" s="13"/>
      <c r="AJ9" s="13"/>
      <c r="AK9" s="30"/>
      <c r="AM9" s="124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1">
        <v>0.04</v>
      </c>
      <c r="E10" s="127">
        <v>0.08</v>
      </c>
      <c r="F10" s="127">
        <v>0.16</v>
      </c>
      <c r="G10" s="127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1">
        <v>0.4</v>
      </c>
      <c r="N10" s="127">
        <v>0.5</v>
      </c>
      <c r="O10" s="127">
        <v>0.1</v>
      </c>
      <c r="P10" s="35"/>
      <c r="Q10" s="41" t="s">
        <v>218</v>
      </c>
      <c r="R10" s="41" t="s">
        <v>75</v>
      </c>
      <c r="S10" s="41" t="s">
        <v>215</v>
      </c>
      <c r="T10" s="137">
        <f t="shared" ref="T10:V11" si="0">T7</f>
        <v>120</v>
      </c>
      <c r="U10" s="138">
        <f t="shared" si="0"/>
        <v>3.3333333333333335</v>
      </c>
      <c r="V10" s="137">
        <f t="shared" si="0"/>
        <v>400</v>
      </c>
      <c r="W10" s="137">
        <f>W7</f>
        <v>117.6</v>
      </c>
      <c r="X10" s="155" t="s">
        <v>34</v>
      </c>
      <c r="Y10" s="155" t="s">
        <v>34</v>
      </c>
      <c r="Z10" s="41"/>
      <c r="AA10" s="144">
        <f>T12</f>
        <v>130</v>
      </c>
      <c r="AB10" s="143">
        <f>U12*M10</f>
        <v>1.846153846153846</v>
      </c>
      <c r="AC10" s="144">
        <f>V12*M10</f>
        <v>240</v>
      </c>
      <c r="AD10" s="144">
        <f>T12 * (1 + D10) / (1 - G10)</f>
        <v>136.56565656565658</v>
      </c>
      <c r="AE10" s="145">
        <f>(B10 - AD10) / AD10</f>
        <v>-0.1213017751479291</v>
      </c>
      <c r="AF10" s="143"/>
      <c r="AG10" s="144">
        <f>T12</f>
        <v>130</v>
      </c>
      <c r="AH10" s="143">
        <f>U12*N10</f>
        <v>2.3076923076923075</v>
      </c>
      <c r="AI10" s="144">
        <f>V12*N10</f>
        <v>300</v>
      </c>
      <c r="AJ10" s="144">
        <f>T12 * (1 + E10) / (1 - G10)</f>
        <v>141.81818181818181</v>
      </c>
      <c r="AK10" s="145">
        <f>(B10 - AJ10) / AJ10</f>
        <v>-0.15384615384615383</v>
      </c>
      <c r="AL10" s="47"/>
      <c r="AM10" s="144">
        <f>T12</f>
        <v>130</v>
      </c>
      <c r="AN10" s="143">
        <f>U12*O10</f>
        <v>0.46153846153846151</v>
      </c>
      <c r="AO10" s="144">
        <f>V12*O10</f>
        <v>60</v>
      </c>
      <c r="AP10" s="144">
        <f>T12 * (1 + F10) / (1 - G10)</f>
        <v>152.3232323232323</v>
      </c>
      <c r="AQ10" s="131">
        <f>(B10 - AP10) / AP10</f>
        <v>-0.21220159151193624</v>
      </c>
      <c r="AR10" s="47"/>
      <c r="AS10" s="147">
        <f>AT10+AU10+AV10</f>
        <v>10.948717948717949</v>
      </c>
      <c r="AT10" s="147">
        <f>AB10+AB11+AB12</f>
        <v>5.0128205128205128</v>
      </c>
      <c r="AU10" s="147">
        <f>AH10+AH11+AH12</f>
        <v>4.7243589743589745</v>
      </c>
      <c r="AV10" s="147">
        <f>AN10+AN12</f>
        <v>1.2115384615384615</v>
      </c>
    </row>
    <row r="11" spans="1:48" ht="12.75" x14ac:dyDescent="0.2">
      <c r="A11" s="45"/>
      <c r="B11" s="52"/>
      <c r="C11" s="97"/>
      <c r="D11" s="126"/>
      <c r="E11" s="97"/>
      <c r="F11" s="97"/>
      <c r="G11" s="97"/>
      <c r="K11" s="52"/>
      <c r="L11" s="52"/>
      <c r="M11" s="126"/>
      <c r="N11" s="97"/>
      <c r="O11" s="97"/>
      <c r="Q11" s="41" t="s">
        <v>217</v>
      </c>
      <c r="R11" s="41" t="s">
        <v>75</v>
      </c>
      <c r="S11" s="41" t="s">
        <v>211</v>
      </c>
      <c r="T11" s="137">
        <f t="shared" si="0"/>
        <v>100</v>
      </c>
      <c r="U11" s="138">
        <f t="shared" si="0"/>
        <v>3</v>
      </c>
      <c r="V11" s="137">
        <f t="shared" si="0"/>
        <v>300</v>
      </c>
      <c r="W11" s="137">
        <f>W8</f>
        <v>98</v>
      </c>
      <c r="X11" s="155" t="s">
        <v>34</v>
      </c>
      <c r="Y11" s="155" t="s">
        <v>34</v>
      </c>
      <c r="Z11" s="41"/>
      <c r="AA11" s="144">
        <f>T10</f>
        <v>120</v>
      </c>
      <c r="AB11" s="143">
        <f>AB7</f>
        <v>1.6666666666666667</v>
      </c>
      <c r="AC11" s="144">
        <f>AC7</f>
        <v>200</v>
      </c>
      <c r="AD11" s="130">
        <f>AD7</f>
        <v>126.06060606060608</v>
      </c>
      <c r="AE11" s="131">
        <f>AE7</f>
        <v>-4.8076923076923198E-2</v>
      </c>
      <c r="AF11" s="143"/>
      <c r="AG11" s="144">
        <f>AG7</f>
        <v>120</v>
      </c>
      <c r="AH11" s="143">
        <f>AH7</f>
        <v>1.6666666666666667</v>
      </c>
      <c r="AI11" s="144">
        <f>AI7</f>
        <v>200</v>
      </c>
      <c r="AJ11" s="144">
        <f>AJ7</f>
        <v>130.90909090909093</v>
      </c>
      <c r="AK11" s="131">
        <f>AK7</f>
        <v>-8.3333333333333509E-2</v>
      </c>
      <c r="AL11" s="47"/>
      <c r="AM11" s="129" t="s">
        <v>34</v>
      </c>
      <c r="AN11" s="146" t="s">
        <v>34</v>
      </c>
      <c r="AO11" s="146" t="s">
        <v>34</v>
      </c>
      <c r="AP11" s="146" t="s">
        <v>34</v>
      </c>
      <c r="AQ11" s="146" t="s">
        <v>34</v>
      </c>
      <c r="AR11" s="47"/>
      <c r="AS11" s="47"/>
      <c r="AT11" s="147"/>
      <c r="AU11" s="147"/>
      <c r="AV11" s="147"/>
    </row>
    <row r="12" spans="1:48" ht="12.75" x14ac:dyDescent="0.2">
      <c r="A12" s="45"/>
      <c r="B12" s="52"/>
      <c r="C12" s="97"/>
      <c r="D12" s="126"/>
      <c r="E12" s="97"/>
      <c r="F12" s="97"/>
      <c r="G12" s="97"/>
      <c r="K12" s="52"/>
      <c r="L12" s="52"/>
      <c r="M12" s="126"/>
      <c r="N12" s="97"/>
      <c r="O12" s="97"/>
      <c r="Q12" s="41" t="s">
        <v>216</v>
      </c>
      <c r="R12" s="41" t="s">
        <v>75</v>
      </c>
      <c r="S12" s="41" t="s">
        <v>78</v>
      </c>
      <c r="T12" s="137">
        <f>K10</f>
        <v>130</v>
      </c>
      <c r="U12" s="138">
        <f>V12/T12</f>
        <v>4.615384615384615</v>
      </c>
      <c r="V12" s="137">
        <f>L10</f>
        <v>600</v>
      </c>
      <c r="W12" s="137">
        <f>T12 * (1 - ABS(C10))</f>
        <v>127.39999999999999</v>
      </c>
      <c r="X12" s="155" t="s">
        <v>34</v>
      </c>
      <c r="Y12" s="155" t="s">
        <v>34</v>
      </c>
      <c r="Z12" s="41"/>
      <c r="AA12" s="144">
        <f>T11</f>
        <v>100</v>
      </c>
      <c r="AB12" s="143">
        <f>AB8-AB4</f>
        <v>1.5</v>
      </c>
      <c r="AC12" s="144">
        <f>V11*M5</f>
        <v>150</v>
      </c>
      <c r="AD12" s="130">
        <f>T11 * (1 + D10) / (1 - G10)</f>
        <v>105.05050505050505</v>
      </c>
      <c r="AE12" s="131">
        <f>AE8</f>
        <v>0.1423076923076923</v>
      </c>
      <c r="AF12" s="143"/>
      <c r="AG12" s="144">
        <f>T11</f>
        <v>100</v>
      </c>
      <c r="AH12" s="143">
        <f>U11*N5</f>
        <v>0.75</v>
      </c>
      <c r="AI12" s="144">
        <f>V11*N5</f>
        <v>75</v>
      </c>
      <c r="AJ12" s="144">
        <f>T11 * (1 + E10) / (1 - G10)</f>
        <v>109.09090909090909</v>
      </c>
      <c r="AK12" s="55">
        <f>(B10 - AJ12) / AJ12</f>
        <v>9.9999999999999978E-2</v>
      </c>
      <c r="AL12" s="47"/>
      <c r="AM12" s="144">
        <f>T11</f>
        <v>100</v>
      </c>
      <c r="AN12" s="143">
        <f>U11*O5</f>
        <v>0.75</v>
      </c>
      <c r="AO12" s="144">
        <f>V11*O5</f>
        <v>75</v>
      </c>
      <c r="AP12" s="144">
        <f>T11 * (1 + F10) / (1 - G10)</f>
        <v>117.17171717171716</v>
      </c>
      <c r="AQ12" s="131">
        <f>(B10 - AP12) / AP12</f>
        <v>2.4137931034482842E-2</v>
      </c>
      <c r="AR12" s="47"/>
      <c r="AS12" s="47"/>
      <c r="AT12" s="147"/>
      <c r="AU12" s="147"/>
      <c r="AV12" s="147"/>
    </row>
    <row r="13" spans="1:48" ht="12.75" x14ac:dyDescent="0.2">
      <c r="A13" s="45" t="s">
        <v>213</v>
      </c>
      <c r="B13" s="52">
        <v>90</v>
      </c>
      <c r="C13" s="54">
        <v>0.02</v>
      </c>
      <c r="D13" s="126">
        <v>0.04</v>
      </c>
      <c r="E13" s="97">
        <v>0.08</v>
      </c>
      <c r="F13" s="97">
        <v>0.16</v>
      </c>
      <c r="G13" s="97">
        <v>0.01</v>
      </c>
      <c r="I13" s="148" t="s">
        <v>75</v>
      </c>
      <c r="J13" s="148" t="s">
        <v>78</v>
      </c>
      <c r="K13" s="149">
        <v>130</v>
      </c>
      <c r="L13" s="149">
        <v>600</v>
      </c>
      <c r="M13" s="150">
        <v>0.4</v>
      </c>
      <c r="N13" s="151">
        <v>0.5</v>
      </c>
      <c r="O13" s="151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9">
        <f t="shared" si="1"/>
        <v>120</v>
      </c>
      <c r="U13" s="140">
        <f t="shared" si="1"/>
        <v>3.3333333333333335</v>
      </c>
      <c r="V13" s="139">
        <f t="shared" si="1"/>
        <v>400</v>
      </c>
      <c r="W13" s="139">
        <f t="shared" si="1"/>
        <v>117.6</v>
      </c>
      <c r="X13" s="154" t="s">
        <v>34</v>
      </c>
      <c r="Y13" s="154" t="s">
        <v>34</v>
      </c>
      <c r="Z13" s="12"/>
      <c r="AA13" s="124">
        <f>T13</f>
        <v>120</v>
      </c>
      <c r="AB13" s="30">
        <f>U13*M7</f>
        <v>1.6666666666666667</v>
      </c>
      <c r="AC13" s="125">
        <f>V13*M7</f>
        <v>200</v>
      </c>
      <c r="AD13" s="125">
        <f>T13 * (1 + D13) / (1 - G13)</f>
        <v>126.06060606060608</v>
      </c>
      <c r="AE13" s="126">
        <f>(B13 - AD13) / AD13</f>
        <v>-0.2860576923076924</v>
      </c>
      <c r="AF13" s="142"/>
      <c r="AG13" s="124">
        <f>T13</f>
        <v>120</v>
      </c>
      <c r="AH13" s="30">
        <f>U13*N7</f>
        <v>1.6666666666666667</v>
      </c>
      <c r="AI13" s="125">
        <f>V13*N7</f>
        <v>200</v>
      </c>
      <c r="AJ13" s="125">
        <f>T13 * (1 + E13) / (1 - G13)</f>
        <v>130.90909090909093</v>
      </c>
      <c r="AK13" s="126">
        <f>(B13 - AJ13) / AJ13</f>
        <v>-0.31250000000000011</v>
      </c>
      <c r="AM13" s="154" t="s">
        <v>34</v>
      </c>
      <c r="AN13" s="158" t="s">
        <v>34</v>
      </c>
      <c r="AO13" s="158" t="s">
        <v>34</v>
      </c>
      <c r="AP13" s="158" t="s">
        <v>34</v>
      </c>
      <c r="AQ13" s="158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8"/>
      <c r="D14" s="126"/>
      <c r="E14" s="97"/>
      <c r="F14" s="97"/>
      <c r="G14" s="97"/>
      <c r="K14" s="33"/>
      <c r="L14" s="33"/>
      <c r="M14" s="126"/>
      <c r="N14" s="97"/>
      <c r="O14" s="97"/>
      <c r="Q14" s="12" t="s">
        <v>217</v>
      </c>
      <c r="R14" s="12" t="str">
        <f>R11</f>
        <v>Buy</v>
      </c>
      <c r="S14" s="12" t="str">
        <f t="shared" si="1"/>
        <v>Custom</v>
      </c>
      <c r="T14" s="139">
        <f t="shared" si="1"/>
        <v>100</v>
      </c>
      <c r="U14" s="140">
        <f t="shared" si="1"/>
        <v>3</v>
      </c>
      <c r="V14" s="139">
        <f t="shared" si="1"/>
        <v>300</v>
      </c>
      <c r="W14" s="139">
        <f t="shared" si="1"/>
        <v>98</v>
      </c>
      <c r="X14" s="154" t="s">
        <v>34</v>
      </c>
      <c r="Y14" s="154" t="s">
        <v>34</v>
      </c>
      <c r="Z14" s="12"/>
      <c r="AA14" s="124">
        <f>T14</f>
        <v>100</v>
      </c>
      <c r="AB14" s="30">
        <f>U14*M4</f>
        <v>1.5</v>
      </c>
      <c r="AC14" s="125">
        <f>V14*M4</f>
        <v>150</v>
      </c>
      <c r="AD14" s="125">
        <f>T14 * (1 + D13) / (1 - G13)</f>
        <v>105.05050505050505</v>
      </c>
      <c r="AE14" s="126">
        <f>(B13 - AD14) / AD14</f>
        <v>-0.14326923076923079</v>
      </c>
      <c r="AF14" s="142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4">
        <f>T14</f>
        <v>100</v>
      </c>
      <c r="AN14" s="30">
        <f>U14*O5</f>
        <v>0.75</v>
      </c>
      <c r="AO14" s="125">
        <f>V14*O5</f>
        <v>75</v>
      </c>
      <c r="AP14" s="125">
        <v>117.17171717171716</v>
      </c>
      <c r="AQ14" s="126">
        <f>(B13 - AP14) / AP14</f>
        <v>-0.23189655172413787</v>
      </c>
    </row>
    <row r="15" spans="1:48" ht="12.75" x14ac:dyDescent="0.2">
      <c r="A15" s="45"/>
      <c r="B15" s="33"/>
      <c r="C15" s="68"/>
      <c r="D15" s="126"/>
      <c r="E15" s="97"/>
      <c r="F15" s="97"/>
      <c r="G15" s="97"/>
      <c r="K15" s="33"/>
      <c r="L15" s="33"/>
      <c r="M15" s="126"/>
      <c r="N15" s="97"/>
      <c r="O15" s="97"/>
      <c r="Q15" s="12"/>
      <c r="R15" s="12"/>
      <c r="S15" s="12"/>
      <c r="T15" s="139"/>
      <c r="U15" s="140"/>
      <c r="V15" s="139"/>
      <c r="W15" s="139"/>
      <c r="X15" s="157"/>
      <c r="Y15" s="157"/>
      <c r="Z15" s="12"/>
      <c r="AA15" s="141"/>
      <c r="AB15" s="141"/>
      <c r="AC15" s="141"/>
      <c r="AD15" s="141"/>
      <c r="AE15" s="142"/>
      <c r="AF15" s="142"/>
      <c r="AG15" s="141"/>
      <c r="AH15" s="141"/>
      <c r="AI15" s="141"/>
      <c r="AJ15" s="141"/>
      <c r="AK15" s="142"/>
      <c r="AM15" s="141"/>
      <c r="AN15" s="141"/>
      <c r="AO15" s="141"/>
      <c r="AP15" s="141"/>
      <c r="AQ15" s="142"/>
    </row>
    <row r="16" spans="1:48" ht="12.75" x14ac:dyDescent="0.2">
      <c r="A16" s="67" t="s">
        <v>219</v>
      </c>
      <c r="B16" s="33"/>
      <c r="C16" s="68"/>
      <c r="D16" s="126"/>
      <c r="E16" s="97"/>
      <c r="F16" s="97"/>
      <c r="G16" s="97"/>
      <c r="K16" s="33"/>
      <c r="L16" s="33"/>
      <c r="M16" s="126"/>
      <c r="N16" s="97"/>
      <c r="O16" s="97"/>
      <c r="Q16" s="12"/>
      <c r="R16" s="12"/>
      <c r="S16" s="12"/>
      <c r="T16" s="139"/>
      <c r="U16" s="140"/>
      <c r="V16" s="139"/>
      <c r="W16" s="139"/>
      <c r="X16" s="12"/>
      <c r="Y16" s="12"/>
      <c r="Z16" s="12"/>
      <c r="AA16" s="141"/>
      <c r="AB16" s="141"/>
      <c r="AC16" s="141"/>
      <c r="AD16" s="141"/>
      <c r="AE16" s="142"/>
      <c r="AF16" s="142"/>
      <c r="AG16" s="141"/>
      <c r="AH16" s="141"/>
      <c r="AI16" s="141"/>
      <c r="AJ16" s="141"/>
      <c r="AK16" s="142"/>
      <c r="AM16" s="141"/>
      <c r="AN16" s="141"/>
      <c r="AO16" s="141"/>
      <c r="AP16" s="141"/>
      <c r="AQ16" s="142"/>
    </row>
    <row r="17" spans="1:48" ht="12.75" x14ac:dyDescent="0.2">
      <c r="B17" s="45" t="s">
        <v>204</v>
      </c>
      <c r="C17" s="111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2" t="s">
        <v>205</v>
      </c>
      <c r="AB17" s="46"/>
      <c r="AC17" s="46"/>
      <c r="AD17" s="46"/>
      <c r="AE17" s="46"/>
      <c r="AF17" s="46"/>
      <c r="AG17" s="132" t="s">
        <v>207</v>
      </c>
      <c r="AH17" s="46"/>
      <c r="AI17" s="46"/>
      <c r="AJ17" s="46"/>
      <c r="AK17" s="46"/>
      <c r="AL17" s="45"/>
      <c r="AM17" s="132" t="s">
        <v>208</v>
      </c>
      <c r="AN17" s="12"/>
      <c r="AO17" s="12"/>
      <c r="AP17" s="12"/>
      <c r="AQ17" s="12"/>
      <c r="AS17" s="132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3"/>
      <c r="I18" s="28" t="s">
        <v>76</v>
      </c>
      <c r="J18" s="28" t="s">
        <v>4</v>
      </c>
      <c r="K18" s="57" t="s">
        <v>0</v>
      </c>
      <c r="L18" s="57" t="s">
        <v>1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45" t="s">
        <v>216</v>
      </c>
      <c r="B19" s="52">
        <v>100</v>
      </c>
      <c r="C19" s="54">
        <v>0.02</v>
      </c>
      <c r="D19" s="126">
        <v>0.04</v>
      </c>
      <c r="E19" s="97">
        <v>0.08</v>
      </c>
      <c r="F19" s="97">
        <v>0.16</v>
      </c>
      <c r="G19" s="97">
        <v>0.01</v>
      </c>
      <c r="H19" s="97"/>
      <c r="I19" s="135" t="s">
        <v>75</v>
      </c>
      <c r="J19" s="135" t="s">
        <v>78</v>
      </c>
      <c r="K19" s="52">
        <v>100</v>
      </c>
      <c r="L19" s="52">
        <v>600</v>
      </c>
      <c r="M19" s="126">
        <v>0.5</v>
      </c>
      <c r="N19" s="97">
        <v>0.3</v>
      </c>
      <c r="O19" s="97">
        <v>0.2</v>
      </c>
      <c r="Q19" s="45" t="s">
        <v>216</v>
      </c>
      <c r="R19" s="45" t="s">
        <v>75</v>
      </c>
      <c r="S19" s="133" t="s">
        <v>78</v>
      </c>
      <c r="T19" s="124">
        <f>K19</f>
        <v>100</v>
      </c>
      <c r="U19" s="30">
        <f>V19/T19</f>
        <v>6</v>
      </c>
      <c r="V19" s="124">
        <f>L19</f>
        <v>600</v>
      </c>
      <c r="W19" s="124">
        <f>T19 * (1 - ABS(C19))</f>
        <v>98</v>
      </c>
      <c r="X19" s="154" t="s">
        <v>34</v>
      </c>
      <c r="Y19" s="154" t="s">
        <v>34</v>
      </c>
      <c r="Z19" s="12"/>
      <c r="AA19" s="124">
        <f>T19</f>
        <v>100</v>
      </c>
      <c r="AB19" s="30">
        <f>U19*M19</f>
        <v>3</v>
      </c>
      <c r="AC19" s="125">
        <f>V19*M19</f>
        <v>300</v>
      </c>
      <c r="AD19" s="125">
        <f>AA19 * (1 + D19) / (1 - G19)</f>
        <v>105.05050505050505</v>
      </c>
      <c r="AE19" s="126">
        <f>(B19 - AD19) / AD19</f>
        <v>-4.8076923076923087E-2</v>
      </c>
      <c r="AF19" s="30"/>
      <c r="AG19" s="124">
        <f>T19</f>
        <v>100</v>
      </c>
      <c r="AH19" s="30">
        <f>U19*N19</f>
        <v>1.7999999999999998</v>
      </c>
      <c r="AI19" s="125">
        <f>V19*N19</f>
        <v>180</v>
      </c>
      <c r="AJ19" s="125">
        <f>AG19 * (1 + E19) / (1 - G19)</f>
        <v>109.09090909090909</v>
      </c>
      <c r="AK19" s="126">
        <f>(B19 - AJ19) / AJ19</f>
        <v>-8.3333333333333356E-2</v>
      </c>
      <c r="AM19" s="124">
        <f>T19</f>
        <v>100</v>
      </c>
      <c r="AN19" s="30">
        <f>U19*O19</f>
        <v>1.2000000000000002</v>
      </c>
      <c r="AO19" s="125">
        <f>V19*O19</f>
        <v>120</v>
      </c>
      <c r="AP19" s="125">
        <f>AM19 * (1 + F19) / (1 - G19)</f>
        <v>117.17171717171716</v>
      </c>
      <c r="AQ19" s="126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47" t="s">
        <v>220</v>
      </c>
      <c r="B20" s="40">
        <v>110</v>
      </c>
      <c r="C20" s="55">
        <v>0.02</v>
      </c>
      <c r="D20" s="131">
        <v>0.04</v>
      </c>
      <c r="E20" s="127">
        <v>0.08</v>
      </c>
      <c r="F20" s="127">
        <v>0.16</v>
      </c>
      <c r="G20" s="127">
        <v>0.01</v>
      </c>
      <c r="H20" s="127"/>
      <c r="I20" s="136" t="s">
        <v>73</v>
      </c>
      <c r="J20" s="136" t="s">
        <v>221</v>
      </c>
      <c r="K20" s="40">
        <v>110</v>
      </c>
      <c r="L20" s="155" t="s">
        <v>34</v>
      </c>
      <c r="M20" s="131">
        <v>0.5</v>
      </c>
      <c r="N20" s="155" t="s">
        <v>34</v>
      </c>
      <c r="O20" s="155" t="s">
        <v>34</v>
      </c>
      <c r="P20" s="35"/>
      <c r="Q20" s="47" t="s">
        <v>220</v>
      </c>
      <c r="R20" s="47" t="s">
        <v>73</v>
      </c>
      <c r="S20" s="134" t="s">
        <v>221</v>
      </c>
      <c r="T20" s="128">
        <f>K20</f>
        <v>110</v>
      </c>
      <c r="U20" s="43">
        <f>AB19*M20</f>
        <v>1.5</v>
      </c>
      <c r="V20" s="128">
        <f>T20*U20-(T20*U20*G20)</f>
        <v>163.35</v>
      </c>
      <c r="W20" s="155" t="s">
        <v>34</v>
      </c>
      <c r="X20" s="129">
        <f>V20-(T19*U20)</f>
        <v>13.349999999999994</v>
      </c>
      <c r="Y20" s="153">
        <f>X20/(T19*U20)</f>
        <v>8.8999999999999968E-2</v>
      </c>
      <c r="Z20" s="41"/>
      <c r="AA20" s="128">
        <f>T21</f>
        <v>100</v>
      </c>
      <c r="AB20" s="43">
        <f>AB19-U20</f>
        <v>1.5</v>
      </c>
      <c r="AC20" s="130">
        <f>AC19*M20</f>
        <v>150</v>
      </c>
      <c r="AD20" s="130">
        <f>AA20 * (1 + D20) / (1 - G20)</f>
        <v>105.05050505050505</v>
      </c>
      <c r="AE20" s="159">
        <f>(B20 - AD20) / AD20</f>
        <v>4.7115384615384601E-2</v>
      </c>
      <c r="AF20" s="43"/>
      <c r="AG20" s="128">
        <f>T21</f>
        <v>100</v>
      </c>
      <c r="AH20" s="43">
        <f>AH19</f>
        <v>1.7999999999999998</v>
      </c>
      <c r="AI20" s="130">
        <f>AI19</f>
        <v>180</v>
      </c>
      <c r="AJ20" s="130">
        <f>AG20 * (1 + E20) / (1 - G20)</f>
        <v>109.09090909090909</v>
      </c>
      <c r="AK20" s="159">
        <f>(B20 - AJ20) / AJ20</f>
        <v>8.3333333333333089E-3</v>
      </c>
      <c r="AL20" s="35"/>
      <c r="AM20" s="128">
        <f>T21</f>
        <v>100</v>
      </c>
      <c r="AN20" s="43">
        <f>AN19</f>
        <v>1.2000000000000002</v>
      </c>
      <c r="AO20" s="130">
        <f>AO19</f>
        <v>120</v>
      </c>
      <c r="AP20" s="130">
        <f>AM20 * (1 + F20) / (1 - G20)</f>
        <v>117.17171717171716</v>
      </c>
      <c r="AQ20" s="131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47"/>
      <c r="B21" s="40"/>
      <c r="C21" s="55"/>
      <c r="D21" s="131"/>
      <c r="E21" s="127"/>
      <c r="F21" s="127"/>
      <c r="G21" s="127"/>
      <c r="H21" s="127"/>
      <c r="I21" s="136"/>
      <c r="J21" s="136"/>
      <c r="K21" s="40"/>
      <c r="L21" s="40"/>
      <c r="M21" s="131"/>
      <c r="N21" s="127"/>
      <c r="O21" s="127"/>
      <c r="P21" s="35"/>
      <c r="Q21" s="47" t="s">
        <v>216</v>
      </c>
      <c r="R21" s="47" t="s">
        <v>75</v>
      </c>
      <c r="S21" s="134" t="s">
        <v>78</v>
      </c>
      <c r="T21" s="128">
        <f>T19</f>
        <v>100</v>
      </c>
      <c r="U21" s="43">
        <f>U19</f>
        <v>6</v>
      </c>
      <c r="V21" s="128">
        <f>V19</f>
        <v>600</v>
      </c>
      <c r="W21" s="128">
        <f>W19</f>
        <v>98</v>
      </c>
      <c r="X21" s="129"/>
      <c r="Y21" s="129"/>
      <c r="Z21" s="41"/>
      <c r="AA21" s="128"/>
      <c r="AB21" s="43"/>
      <c r="AC21" s="130"/>
      <c r="AD21" s="130"/>
      <c r="AE21" s="131"/>
      <c r="AF21" s="43"/>
      <c r="AG21" s="128"/>
      <c r="AH21" s="43"/>
      <c r="AI21" s="130"/>
      <c r="AJ21" s="130"/>
      <c r="AK21" s="131"/>
      <c r="AL21" s="35"/>
      <c r="AM21" s="128"/>
      <c r="AN21" s="43"/>
      <c r="AO21" s="130"/>
      <c r="AP21" s="130"/>
      <c r="AQ21" s="131"/>
      <c r="AR21" s="35"/>
      <c r="AS21" s="39"/>
      <c r="AT21" s="39"/>
      <c r="AU21" s="39"/>
      <c r="AV21" s="39"/>
    </row>
    <row r="22" spans="1:48" ht="12.75" x14ac:dyDescent="0.2">
      <c r="A22" s="45" t="s">
        <v>223</v>
      </c>
      <c r="B22" s="52">
        <v>90</v>
      </c>
      <c r="C22" s="54">
        <v>0.02</v>
      </c>
      <c r="D22" s="126">
        <v>0.04</v>
      </c>
      <c r="E22" s="97">
        <v>0.08</v>
      </c>
      <c r="F22" s="97">
        <v>0.16</v>
      </c>
      <c r="G22" s="97">
        <v>0.01</v>
      </c>
      <c r="H22" s="97"/>
      <c r="I22" s="135" t="s">
        <v>73</v>
      </c>
      <c r="J22" s="135" t="s">
        <v>211</v>
      </c>
      <c r="K22" s="52">
        <v>90</v>
      </c>
      <c r="L22" s="154" t="s">
        <v>34</v>
      </c>
      <c r="M22" s="154" t="s">
        <v>34</v>
      </c>
      <c r="N22" s="97">
        <v>1</v>
      </c>
      <c r="O22" s="154" t="s">
        <v>34</v>
      </c>
      <c r="Q22" s="45" t="s">
        <v>223</v>
      </c>
      <c r="R22" s="45" t="s">
        <v>73</v>
      </c>
      <c r="S22" s="132" t="s">
        <v>211</v>
      </c>
      <c r="T22" s="124">
        <f>K22</f>
        <v>90</v>
      </c>
      <c r="U22" s="30">
        <f>AH20*N22</f>
        <v>1.7999999999999998</v>
      </c>
      <c r="V22" s="124">
        <f>T22*U22-(T22*U22*G22)</f>
        <v>160.37999999999997</v>
      </c>
      <c r="W22" s="154" t="s">
        <v>34</v>
      </c>
      <c r="X22" s="154">
        <f>V22-(T21*U22)</f>
        <v>-19.620000000000005</v>
      </c>
      <c r="Y22" s="187">
        <f>X22/(T21*U22)</f>
        <v>-0.10900000000000004</v>
      </c>
      <c r="Z22" s="12"/>
      <c r="AA22" s="124">
        <f>AA20</f>
        <v>100</v>
      </c>
      <c r="AB22" s="30">
        <f>AB20</f>
        <v>1.5</v>
      </c>
      <c r="AC22" s="125">
        <f>AC20</f>
        <v>150</v>
      </c>
      <c r="AD22" s="125">
        <f>AD20</f>
        <v>105.05050505050505</v>
      </c>
      <c r="AE22" s="126">
        <f>(B22 - AD22) / AD22</f>
        <v>-0.14326923076923079</v>
      </c>
      <c r="AF22" s="30"/>
      <c r="AG22" s="189">
        <f>AG20</f>
        <v>100</v>
      </c>
      <c r="AH22" s="190">
        <f>AH20</f>
        <v>1.7999999999999998</v>
      </c>
      <c r="AI22" s="191">
        <f>AI20</f>
        <v>180</v>
      </c>
      <c r="AJ22" s="191">
        <f>AJ20</f>
        <v>109.09090909090909</v>
      </c>
      <c r="AK22" s="150">
        <f>AK20</f>
        <v>8.3333333333333089E-3</v>
      </c>
      <c r="AM22" s="124">
        <f>AM20</f>
        <v>100</v>
      </c>
      <c r="AN22" s="30">
        <f>AN20</f>
        <v>1.2000000000000002</v>
      </c>
      <c r="AO22" s="125">
        <f>AO20</f>
        <v>120</v>
      </c>
      <c r="AP22" s="125">
        <f>AP20</f>
        <v>117.17171717171716</v>
      </c>
      <c r="AQ22" s="126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A23" s="160"/>
      <c r="B23" s="161"/>
      <c r="C23" s="162"/>
      <c r="D23" s="160"/>
      <c r="E23" s="160"/>
      <c r="F23" s="160"/>
      <c r="G23" s="160"/>
      <c r="H23" s="162"/>
      <c r="I23" s="162"/>
      <c r="J23" s="162"/>
      <c r="K23" s="161"/>
      <c r="L23" s="161"/>
      <c r="M23" s="162"/>
      <c r="N23" s="162"/>
      <c r="O23" s="162"/>
      <c r="P23" s="160"/>
      <c r="Q23" s="163" t="str">
        <f>Q20</f>
        <v>SellA</v>
      </c>
      <c r="R23" s="163" t="str">
        <f>R20</f>
        <v>Sell</v>
      </c>
      <c r="S23" s="164" t="s">
        <v>221</v>
      </c>
      <c r="T23" s="165">
        <f>T20</f>
        <v>110</v>
      </c>
      <c r="U23" s="166">
        <f>U20</f>
        <v>1.5</v>
      </c>
      <c r="V23" s="165">
        <f>V20</f>
        <v>163.35</v>
      </c>
      <c r="W23" s="154" t="s">
        <v>34</v>
      </c>
      <c r="X23" s="168">
        <f>X20</f>
        <v>13.349999999999994</v>
      </c>
      <c r="Y23" s="188">
        <f>Y20</f>
        <v>8.8999999999999968E-2</v>
      </c>
      <c r="Z23" s="169"/>
      <c r="AA23" s="165"/>
      <c r="AB23" s="166"/>
      <c r="AC23" s="170"/>
      <c r="AD23" s="170"/>
      <c r="AE23" s="171"/>
      <c r="AF23" s="166"/>
      <c r="AG23" s="172"/>
      <c r="AH23" s="173"/>
      <c r="AI23" s="172"/>
      <c r="AJ23" s="172"/>
      <c r="AK23" s="62"/>
      <c r="AL23" s="160"/>
      <c r="AM23" s="174"/>
      <c r="AN23" s="175"/>
      <c r="AO23" s="175"/>
      <c r="AP23" s="175"/>
      <c r="AQ23" s="175"/>
      <c r="AR23" s="160"/>
      <c r="AS23" s="160"/>
      <c r="AT23" s="160"/>
      <c r="AU23" s="160"/>
      <c r="AV23" s="160"/>
    </row>
    <row r="24" spans="1:48" ht="12.75" x14ac:dyDescent="0.2">
      <c r="A24" s="160"/>
      <c r="B24" s="161"/>
      <c r="C24" s="162"/>
      <c r="D24" s="176"/>
      <c r="E24" s="177"/>
      <c r="F24" s="160"/>
      <c r="G24" s="177"/>
      <c r="H24" s="177"/>
      <c r="I24" s="177"/>
      <c r="J24" s="177"/>
      <c r="K24" s="161"/>
      <c r="L24" s="161"/>
      <c r="M24" s="177"/>
      <c r="N24" s="177"/>
      <c r="O24" s="177"/>
      <c r="P24" s="160"/>
      <c r="Q24" s="163" t="str">
        <f>Q21</f>
        <v>BuyA</v>
      </c>
      <c r="R24" s="163" t="str">
        <f>R21</f>
        <v>Buy</v>
      </c>
      <c r="S24" s="164" t="s">
        <v>78</v>
      </c>
      <c r="T24" s="165">
        <f>T21</f>
        <v>100</v>
      </c>
      <c r="U24" s="166">
        <f>U21</f>
        <v>6</v>
      </c>
      <c r="V24" s="165">
        <f>V21</f>
        <v>600</v>
      </c>
      <c r="W24" s="192">
        <f>W21</f>
        <v>98</v>
      </c>
      <c r="X24" s="154" t="s">
        <v>34</v>
      </c>
      <c r="Y24" s="154" t="s">
        <v>34</v>
      </c>
      <c r="Z24" s="169"/>
      <c r="AA24" s="172"/>
      <c r="AB24" s="160"/>
      <c r="AC24" s="160"/>
      <c r="AD24" s="160"/>
      <c r="AE24" s="160"/>
      <c r="AF24" s="166"/>
      <c r="AG24" s="178"/>
      <c r="AH24" s="178"/>
      <c r="AI24" s="178"/>
      <c r="AJ24" s="178"/>
      <c r="AK24" s="166"/>
      <c r="AL24" s="160"/>
      <c r="AM24" s="165"/>
      <c r="AN24" s="178"/>
      <c r="AO24" s="178"/>
      <c r="AP24" s="178"/>
      <c r="AQ24" s="166"/>
      <c r="AR24" s="160"/>
      <c r="AS24" s="160"/>
      <c r="AT24" s="160"/>
      <c r="AU24" s="160"/>
      <c r="AV24" s="160"/>
    </row>
    <row r="25" spans="1:48" ht="12.75" x14ac:dyDescent="0.2">
      <c r="A25" s="47" t="s">
        <v>217</v>
      </c>
      <c r="B25" s="40">
        <v>100</v>
      </c>
      <c r="C25" s="55">
        <v>0.02</v>
      </c>
      <c r="D25" s="131">
        <v>0.04</v>
      </c>
      <c r="E25" s="127">
        <v>0.08</v>
      </c>
      <c r="F25" s="127">
        <v>0.16</v>
      </c>
      <c r="G25" s="127">
        <v>0.01</v>
      </c>
      <c r="H25" s="35"/>
      <c r="I25" s="47" t="s">
        <v>75</v>
      </c>
      <c r="J25" s="47" t="s">
        <v>215</v>
      </c>
      <c r="K25" s="40">
        <v>100</v>
      </c>
      <c r="L25" s="40">
        <v>400</v>
      </c>
      <c r="M25" s="131">
        <v>0.4</v>
      </c>
      <c r="N25" s="127">
        <v>0.4</v>
      </c>
      <c r="O25" s="127">
        <v>0.2</v>
      </c>
      <c r="P25" s="35"/>
      <c r="Q25" s="197" t="s">
        <v>217</v>
      </c>
      <c r="R25" s="197" t="s">
        <v>75</v>
      </c>
      <c r="S25" s="197" t="s">
        <v>215</v>
      </c>
      <c r="T25" s="137">
        <f>K25</f>
        <v>100</v>
      </c>
      <c r="U25" s="138">
        <f>V25/T25</f>
        <v>4</v>
      </c>
      <c r="V25" s="137">
        <f>L25</f>
        <v>400</v>
      </c>
      <c r="W25" s="137">
        <f>T25 * (1 - ABS(C25))</f>
        <v>98</v>
      </c>
      <c r="X25" s="155" t="s">
        <v>34</v>
      </c>
      <c r="Y25" s="155" t="s">
        <v>34</v>
      </c>
      <c r="Z25" s="41"/>
      <c r="AA25" s="144">
        <f>AA22</f>
        <v>100</v>
      </c>
      <c r="AB25" s="143">
        <f>AB22+(U25*M25)</f>
        <v>3.1</v>
      </c>
      <c r="AC25" s="144">
        <f>AC22+(V25*M25)</f>
        <v>310</v>
      </c>
      <c r="AD25" s="144">
        <f>AA25 * (1 + D25) / (1 - G25)</f>
        <v>105.05050505050505</v>
      </c>
      <c r="AE25" s="145">
        <f>(B25 - AD25) / AD25</f>
        <v>-4.8076923076923087E-2</v>
      </c>
      <c r="AF25" s="143"/>
      <c r="AG25" s="144">
        <f>T25</f>
        <v>100</v>
      </c>
      <c r="AH25" s="143">
        <f>U25*N25</f>
        <v>1.6</v>
      </c>
      <c r="AI25" s="144">
        <f>V25*M25</f>
        <v>160</v>
      </c>
      <c r="AJ25" s="144">
        <f>AG25 * (1 + E25) / (1 - G25)</f>
        <v>109.09090909090909</v>
      </c>
      <c r="AK25" s="145">
        <f>(B25 - AJ25) / AJ25</f>
        <v>-8.3333333333333356E-2</v>
      </c>
      <c r="AL25" s="47"/>
      <c r="AM25" s="144">
        <f>T25</f>
        <v>100</v>
      </c>
      <c r="AN25" s="143">
        <f>AN22+(U25*O25)</f>
        <v>2</v>
      </c>
      <c r="AO25" s="144">
        <f>AO22+(V25*O25)</f>
        <v>200</v>
      </c>
      <c r="AP25" s="144">
        <f>AM25 * (1 + F25) / (1 - G25)</f>
        <v>117.17171717171716</v>
      </c>
      <c r="AQ25" s="131">
        <f>(B25 - AP25) / AP25</f>
        <v>-0.14655172413793097</v>
      </c>
      <c r="AR25" s="47"/>
      <c r="AS25" s="147">
        <f>AT25+AU25+AV25</f>
        <v>6.7</v>
      </c>
      <c r="AT25" s="147">
        <f>AB25</f>
        <v>3.1</v>
      </c>
      <c r="AU25" s="147">
        <f>AH25</f>
        <v>1.6</v>
      </c>
      <c r="AV25" s="147">
        <f>AN25</f>
        <v>2</v>
      </c>
    </row>
    <row r="26" spans="1:48" ht="12.75" x14ac:dyDescent="0.2">
      <c r="A26" s="47"/>
      <c r="B26" s="40"/>
      <c r="C26" s="127"/>
      <c r="D26" s="131"/>
      <c r="E26" s="127"/>
      <c r="F26" s="127"/>
      <c r="G26" s="127"/>
      <c r="H26" s="35"/>
      <c r="I26" s="35"/>
      <c r="J26" s="35"/>
      <c r="K26" s="40"/>
      <c r="L26" s="40"/>
      <c r="M26" s="131"/>
      <c r="N26" s="127"/>
      <c r="O26" s="127"/>
      <c r="P26" s="35"/>
      <c r="Q26" s="197" t="s">
        <v>223</v>
      </c>
      <c r="R26" s="197" t="s">
        <v>73</v>
      </c>
      <c r="S26" s="197" t="s">
        <v>211</v>
      </c>
      <c r="T26" s="137">
        <f>T22</f>
        <v>90</v>
      </c>
      <c r="U26" s="138">
        <f>U22</f>
        <v>1.7999999999999998</v>
      </c>
      <c r="V26" s="137">
        <f>V22</f>
        <v>160.37999999999997</v>
      </c>
      <c r="W26" s="156" t="str">
        <f>W22</f>
        <v>-</v>
      </c>
      <c r="X26" s="155">
        <f>X22</f>
        <v>-19.620000000000005</v>
      </c>
      <c r="Y26" s="199">
        <f>Y22</f>
        <v>-0.10900000000000004</v>
      </c>
      <c r="Z26" s="41"/>
      <c r="AA26" s="144"/>
      <c r="AB26" s="143"/>
      <c r="AC26" s="144"/>
      <c r="AD26" s="130"/>
      <c r="AE26" s="131"/>
      <c r="AF26" s="143"/>
      <c r="AG26" s="144"/>
      <c r="AH26" s="143"/>
      <c r="AI26" s="144"/>
      <c r="AJ26" s="144"/>
      <c r="AK26" s="131"/>
      <c r="AL26" s="47"/>
      <c r="AM26" s="129"/>
      <c r="AN26" s="146"/>
      <c r="AO26" s="146"/>
      <c r="AP26" s="146"/>
      <c r="AQ26" s="146"/>
      <c r="AR26" s="47"/>
      <c r="AS26" s="47"/>
      <c r="AT26" s="147"/>
      <c r="AU26" s="147"/>
      <c r="AV26" s="147"/>
    </row>
    <row r="27" spans="1:48" ht="12.75" x14ac:dyDescent="0.2">
      <c r="A27" s="47"/>
      <c r="B27" s="40"/>
      <c r="C27" s="127"/>
      <c r="D27" s="131"/>
      <c r="E27" s="127"/>
      <c r="F27" s="127"/>
      <c r="G27" s="127"/>
      <c r="H27" s="35"/>
      <c r="I27" s="35"/>
      <c r="J27" s="35"/>
      <c r="K27" s="40"/>
      <c r="L27" s="40"/>
      <c r="M27" s="131"/>
      <c r="N27" s="127"/>
      <c r="O27" s="127"/>
      <c r="P27" s="35"/>
      <c r="Q27" s="197" t="s">
        <v>220</v>
      </c>
      <c r="R27" s="197" t="s">
        <v>73</v>
      </c>
      <c r="S27" s="200" t="str">
        <f>S23</f>
        <v>Profit Target</v>
      </c>
      <c r="T27" s="137">
        <f>T23</f>
        <v>110</v>
      </c>
      <c r="U27" s="138">
        <f>U23</f>
        <v>1.5</v>
      </c>
      <c r="V27" s="137">
        <f>V23</f>
        <v>163.35</v>
      </c>
      <c r="W27" s="156" t="str">
        <f>W23</f>
        <v>-</v>
      </c>
      <c r="X27" s="155">
        <f>X23</f>
        <v>13.349999999999994</v>
      </c>
      <c r="Y27" s="199">
        <f>Y23</f>
        <v>8.8999999999999968E-2</v>
      </c>
      <c r="Z27" s="41"/>
      <c r="AA27" s="144"/>
      <c r="AB27" s="143"/>
      <c r="AC27" s="144"/>
      <c r="AD27" s="130"/>
      <c r="AE27" s="131"/>
      <c r="AF27" s="143"/>
      <c r="AG27" s="144"/>
      <c r="AH27" s="143"/>
      <c r="AI27" s="144"/>
      <c r="AJ27" s="144"/>
      <c r="AK27" s="55"/>
      <c r="AL27" s="47"/>
      <c r="AM27" s="144"/>
      <c r="AN27" s="143"/>
      <c r="AO27" s="144"/>
      <c r="AP27" s="144"/>
      <c r="AQ27" s="131"/>
      <c r="AR27" s="47"/>
      <c r="AS27" s="47"/>
      <c r="AT27" s="147"/>
      <c r="AU27" s="147"/>
      <c r="AV27" s="147"/>
    </row>
    <row r="28" spans="1:48" ht="12.75" x14ac:dyDescent="0.2">
      <c r="A28" s="47"/>
      <c r="B28" s="40"/>
      <c r="C28" s="55"/>
      <c r="D28" s="131"/>
      <c r="E28" s="127"/>
      <c r="F28" s="127"/>
      <c r="G28" s="127"/>
      <c r="H28" s="35"/>
      <c r="I28" s="193"/>
      <c r="J28" s="193"/>
      <c r="K28" s="194"/>
      <c r="L28" s="194"/>
      <c r="M28" s="195"/>
      <c r="N28" s="196"/>
      <c r="O28" s="196"/>
      <c r="P28" s="35"/>
      <c r="Q28" s="197" t="s">
        <v>216</v>
      </c>
      <c r="R28" s="197" t="s">
        <v>75</v>
      </c>
      <c r="S28" s="200" t="str">
        <f>S24</f>
        <v>Initial</v>
      </c>
      <c r="T28" s="137">
        <f>T24</f>
        <v>100</v>
      </c>
      <c r="U28" s="138">
        <f>U24</f>
        <v>6</v>
      </c>
      <c r="V28" s="137">
        <f>V24</f>
        <v>600</v>
      </c>
      <c r="W28" s="137">
        <f>W24</f>
        <v>98</v>
      </c>
      <c r="X28" s="155" t="str">
        <f>X24</f>
        <v>-</v>
      </c>
      <c r="Y28" s="155" t="str">
        <f>Y24</f>
        <v>-</v>
      </c>
      <c r="Z28" s="41"/>
      <c r="AA28" s="128"/>
      <c r="AB28" s="43"/>
      <c r="AC28" s="130"/>
      <c r="AD28" s="130"/>
      <c r="AE28" s="131"/>
      <c r="AF28" s="198"/>
      <c r="AG28" s="128"/>
      <c r="AH28" s="43"/>
      <c r="AI28" s="130"/>
      <c r="AJ28" s="130"/>
      <c r="AK28" s="131"/>
      <c r="AL28" s="35"/>
      <c r="AM28" s="129"/>
      <c r="AN28" s="146"/>
      <c r="AO28" s="146"/>
      <c r="AP28" s="146"/>
      <c r="AQ28" s="146"/>
      <c r="AR28" s="35"/>
      <c r="AS28" s="39"/>
      <c r="AT28" s="39"/>
      <c r="AU28" s="39"/>
      <c r="AV28" s="39"/>
    </row>
    <row r="29" spans="1:48" ht="12.75" x14ac:dyDescent="0.2">
      <c r="A29" s="179" t="s">
        <v>224</v>
      </c>
      <c r="B29" s="161">
        <v>100</v>
      </c>
      <c r="C29" s="62">
        <v>0.02</v>
      </c>
      <c r="D29" s="171">
        <v>0.04</v>
      </c>
      <c r="E29" s="162">
        <v>0.08</v>
      </c>
      <c r="F29" s="162">
        <v>0.16</v>
      </c>
      <c r="G29" s="162">
        <v>0.01</v>
      </c>
      <c r="H29" s="160"/>
      <c r="I29" s="179" t="s">
        <v>73</v>
      </c>
      <c r="J29" s="179" t="s">
        <v>221</v>
      </c>
      <c r="K29" s="201">
        <v>110</v>
      </c>
      <c r="L29" s="154" t="s">
        <v>34</v>
      </c>
      <c r="M29" s="126">
        <v>0.25</v>
      </c>
      <c r="N29" s="154" t="s">
        <v>34</v>
      </c>
      <c r="O29" s="154" t="s">
        <v>34</v>
      </c>
      <c r="P29" s="160"/>
      <c r="Q29" s="169" t="str">
        <f>Q25</f>
        <v>BuyB</v>
      </c>
      <c r="R29" s="169" t="str">
        <f>R25</f>
        <v>Buy</v>
      </c>
      <c r="S29" s="169" t="str">
        <f>S25</f>
        <v>Entry Target</v>
      </c>
      <c r="T29" s="180">
        <f>T25</f>
        <v>100</v>
      </c>
      <c r="U29" s="181">
        <f>U25</f>
        <v>4</v>
      </c>
      <c r="V29" s="180">
        <f>V25</f>
        <v>400</v>
      </c>
      <c r="W29" s="167">
        <f>W25</f>
        <v>98</v>
      </c>
      <c r="X29" s="168" t="str">
        <f>X25</f>
        <v>-</v>
      </c>
      <c r="Y29" s="168" t="str">
        <f>Y25</f>
        <v>-</v>
      </c>
      <c r="Z29" s="169"/>
      <c r="AA29" s="165"/>
      <c r="AB29" s="166"/>
      <c r="AC29" s="170"/>
      <c r="AD29" s="170"/>
      <c r="AE29" s="171"/>
      <c r="AF29" s="182"/>
      <c r="AG29" s="172"/>
      <c r="AH29" s="173"/>
      <c r="AI29" s="172"/>
      <c r="AJ29" s="172"/>
      <c r="AK29" s="62"/>
      <c r="AL29" s="160"/>
      <c r="AM29" s="165"/>
      <c r="AN29" s="166"/>
      <c r="AO29" s="170"/>
      <c r="AP29" s="170"/>
      <c r="AQ29" s="171"/>
      <c r="AR29" s="160"/>
      <c r="AS29" s="160"/>
      <c r="AT29" s="160"/>
      <c r="AU29" s="160"/>
      <c r="AV29" s="160"/>
    </row>
    <row r="30" spans="1:48" ht="12.75" x14ac:dyDescent="0.2">
      <c r="A30" s="185"/>
      <c r="B30" s="183"/>
      <c r="C30" s="184"/>
      <c r="D30" s="171"/>
      <c r="E30" s="162"/>
      <c r="F30" s="162"/>
      <c r="G30" s="162"/>
      <c r="H30" s="160"/>
      <c r="I30" s="160"/>
      <c r="J30" s="160"/>
      <c r="K30" s="201"/>
      <c r="L30" s="201"/>
      <c r="M30" s="171"/>
      <c r="N30" s="162"/>
      <c r="O30" s="162"/>
      <c r="P30" s="160"/>
      <c r="Q30" s="169" t="str">
        <f>Q26</f>
        <v>SellB</v>
      </c>
      <c r="R30" s="169" t="str">
        <f>R26</f>
        <v>Sell</v>
      </c>
      <c r="S30" s="169" t="str">
        <f>S26</f>
        <v>Custom</v>
      </c>
      <c r="T30" s="180">
        <f>T26</f>
        <v>90</v>
      </c>
      <c r="U30" s="181">
        <f>U26</f>
        <v>1.7999999999999998</v>
      </c>
      <c r="V30" s="180">
        <f>V26</f>
        <v>160.37999999999997</v>
      </c>
      <c r="W30" s="168" t="str">
        <f>W26</f>
        <v>-</v>
      </c>
      <c r="X30" s="180">
        <f>X26</f>
        <v>-19.620000000000005</v>
      </c>
      <c r="Y30" s="202">
        <f>Y26</f>
        <v>-0.10900000000000004</v>
      </c>
      <c r="Z30" s="169"/>
      <c r="AA30" s="186"/>
      <c r="AB30" s="186"/>
      <c r="AC30" s="186"/>
      <c r="AD30" s="186"/>
      <c r="AE30" s="182"/>
      <c r="AF30" s="182"/>
      <c r="AG30" s="186"/>
      <c r="AH30" s="186"/>
      <c r="AI30" s="186"/>
      <c r="AJ30" s="186"/>
      <c r="AK30" s="182"/>
      <c r="AL30" s="160"/>
      <c r="AM30" s="186"/>
      <c r="AN30" s="186"/>
      <c r="AO30" s="186"/>
      <c r="AP30" s="186"/>
      <c r="AQ30" s="182"/>
      <c r="AR30" s="160"/>
      <c r="AS30" s="160"/>
      <c r="AT30" s="160"/>
      <c r="AU30" s="160"/>
      <c r="AV30" s="160"/>
    </row>
    <row r="31" spans="1:48" ht="12.75" x14ac:dyDescent="0.2">
      <c r="A31" s="152"/>
      <c r="B31" s="33"/>
      <c r="C31" s="68"/>
      <c r="D31" s="126"/>
      <c r="E31" s="97"/>
      <c r="F31" s="97"/>
      <c r="G31" s="97"/>
      <c r="K31" s="94"/>
      <c r="L31" s="94"/>
      <c r="M31" s="126"/>
      <c r="N31" s="97"/>
      <c r="O31" s="97"/>
      <c r="Q31" s="12" t="str">
        <f>Q27</f>
        <v>SellA</v>
      </c>
      <c r="R31" s="12" t="str">
        <f>R27</f>
        <v>Sell</v>
      </c>
      <c r="S31" s="133" t="str">
        <f>S27</f>
        <v>Profit Target</v>
      </c>
      <c r="T31" s="139">
        <f>T27</f>
        <v>110</v>
      </c>
      <c r="U31" s="140">
        <v>0.75</v>
      </c>
      <c r="V31" s="139">
        <f>T31*U31-(T31*U31*G29)</f>
        <v>81.674999999999997</v>
      </c>
      <c r="W31" s="139"/>
      <c r="X31" s="12"/>
      <c r="Y31" s="12"/>
      <c r="Z31" s="12"/>
      <c r="AA31" s="141"/>
      <c r="AB31" s="141"/>
      <c r="AC31" s="141"/>
      <c r="AD31" s="141"/>
      <c r="AE31" s="142"/>
      <c r="AF31" s="142"/>
      <c r="AG31" s="141"/>
      <c r="AH31" s="141"/>
      <c r="AI31" s="141"/>
      <c r="AJ31" s="141"/>
      <c r="AK31" s="142"/>
      <c r="AM31" s="141"/>
      <c r="AN31" s="141"/>
      <c r="AO31" s="141"/>
      <c r="AP31" s="141"/>
      <c r="AQ31" s="142"/>
    </row>
    <row r="32" spans="1:48" ht="12.75" x14ac:dyDescent="0.2">
      <c r="A32" s="152"/>
      <c r="B32" s="33"/>
      <c r="C32" s="68"/>
      <c r="D32" s="126"/>
      <c r="E32" s="97"/>
      <c r="F32" s="97"/>
      <c r="G32" s="97"/>
      <c r="K32" s="94"/>
      <c r="L32" s="94"/>
      <c r="M32" s="126"/>
      <c r="N32" s="97"/>
      <c r="O32" s="97"/>
      <c r="Q32" s="12"/>
      <c r="R32" s="12"/>
      <c r="S32" s="12"/>
      <c r="T32" s="139"/>
      <c r="U32" s="140"/>
      <c r="V32" s="139"/>
      <c r="W32" s="139"/>
      <c r="X32" s="12"/>
      <c r="Y32" s="12"/>
      <c r="Z32" s="12"/>
      <c r="AA32" s="141"/>
      <c r="AB32" s="141"/>
      <c r="AC32" s="141"/>
      <c r="AD32" s="141"/>
      <c r="AE32" s="142"/>
      <c r="AF32" s="142"/>
      <c r="AG32" s="141"/>
      <c r="AH32" s="141"/>
      <c r="AI32" s="141"/>
      <c r="AJ32" s="141"/>
      <c r="AK32" s="142"/>
      <c r="AM32" s="141"/>
      <c r="AN32" s="141"/>
      <c r="AO32" s="141"/>
      <c r="AP32" s="141"/>
      <c r="AQ32" s="142"/>
    </row>
    <row r="33" spans="1:62" ht="12.75" x14ac:dyDescent="0.2">
      <c r="A33" s="152"/>
      <c r="B33" s="33"/>
      <c r="C33" s="68"/>
      <c r="D33" s="126"/>
      <c r="E33" s="97"/>
      <c r="F33" s="97"/>
      <c r="G33" s="97"/>
      <c r="K33" s="94"/>
      <c r="L33" s="94"/>
      <c r="M33" s="126"/>
      <c r="N33" s="97"/>
      <c r="O33" s="97"/>
      <c r="Q33" s="12"/>
      <c r="R33" s="12"/>
      <c r="S33" s="12"/>
      <c r="T33" s="139"/>
      <c r="U33" s="140"/>
      <c r="V33" s="139"/>
      <c r="W33" s="139"/>
      <c r="X33" s="12"/>
      <c r="Y33" s="12"/>
      <c r="Z33" s="12"/>
      <c r="AA33" s="141"/>
      <c r="AB33" s="141"/>
      <c r="AC33" s="141"/>
      <c r="AD33" s="141"/>
      <c r="AE33" s="142"/>
      <c r="AF33" s="142"/>
      <c r="AG33" s="141"/>
      <c r="AH33" s="141"/>
      <c r="AI33" s="141"/>
      <c r="AJ33" s="141"/>
      <c r="AK33" s="142"/>
      <c r="AM33" s="141"/>
      <c r="AN33" s="141"/>
      <c r="AO33" s="141"/>
      <c r="AP33" s="141"/>
      <c r="AQ33" s="142"/>
    </row>
    <row r="34" spans="1:62" ht="12.75" x14ac:dyDescent="0.2">
      <c r="A34" s="152"/>
      <c r="B34" s="33"/>
      <c r="C34" s="68"/>
      <c r="D34" s="126"/>
      <c r="E34" s="97"/>
      <c r="F34" s="97"/>
      <c r="G34" s="97"/>
      <c r="K34" s="94"/>
      <c r="L34" s="94"/>
      <c r="M34" s="126"/>
      <c r="N34" s="97"/>
      <c r="O34" s="97"/>
      <c r="Q34" s="12"/>
      <c r="R34" s="12"/>
      <c r="S34" s="12"/>
      <c r="T34" s="139"/>
      <c r="U34" s="140"/>
      <c r="V34" s="139"/>
      <c r="W34" s="139"/>
      <c r="X34" s="12"/>
      <c r="Y34" s="12"/>
      <c r="Z34" s="12"/>
      <c r="AA34" s="141"/>
      <c r="AB34" s="141"/>
      <c r="AC34" s="141"/>
      <c r="AD34" s="141"/>
      <c r="AE34" s="142"/>
      <c r="AF34" s="142"/>
      <c r="AG34" s="141"/>
      <c r="AH34" s="141"/>
      <c r="AI34" s="141"/>
      <c r="AJ34" s="141"/>
      <c r="AK34" s="142"/>
      <c r="AM34" s="141"/>
      <c r="AN34" s="141"/>
      <c r="AO34" s="141"/>
      <c r="AP34" s="141"/>
      <c r="AQ34" s="142"/>
    </row>
    <row r="35" spans="1:62" ht="12.75" x14ac:dyDescent="0.2">
      <c r="A35" s="152"/>
      <c r="B35" s="33"/>
      <c r="C35" s="68"/>
      <c r="D35" s="126"/>
      <c r="E35" s="97"/>
      <c r="F35" s="97"/>
      <c r="G35" s="97"/>
      <c r="K35" s="94"/>
      <c r="L35" s="94"/>
      <c r="M35" s="126"/>
      <c r="N35" s="97"/>
      <c r="O35" s="97"/>
      <c r="Q35" s="12"/>
      <c r="R35" s="12"/>
      <c r="S35" s="12"/>
      <c r="T35" s="139"/>
      <c r="U35" s="140"/>
      <c r="V35" s="139"/>
      <c r="W35" s="139"/>
      <c r="X35" s="12"/>
      <c r="Y35" s="12"/>
      <c r="Z35" s="12"/>
      <c r="AA35" s="141"/>
      <c r="AB35" s="141"/>
      <c r="AC35" s="141"/>
      <c r="AD35" s="141"/>
      <c r="AE35" s="142"/>
      <c r="AF35" s="142"/>
      <c r="AG35" s="141"/>
      <c r="AH35" s="141"/>
      <c r="AI35" s="141"/>
      <c r="AJ35" s="141"/>
      <c r="AK35" s="142"/>
      <c r="AM35" s="141"/>
      <c r="AN35" s="141"/>
      <c r="AO35" s="141"/>
      <c r="AP35" s="141"/>
      <c r="AQ35" s="142"/>
    </row>
    <row r="36" spans="1:62" ht="12.75" x14ac:dyDescent="0.2">
      <c r="A36" s="152"/>
      <c r="B36" s="33"/>
      <c r="C36" s="68"/>
      <c r="D36" s="126"/>
      <c r="E36" s="97"/>
      <c r="F36" s="97"/>
      <c r="G36" s="97"/>
      <c r="K36" s="94"/>
      <c r="L36" s="94"/>
      <c r="M36" s="126"/>
      <c r="N36" s="97"/>
      <c r="O36" s="97"/>
      <c r="Q36" s="12"/>
      <c r="R36" s="12"/>
      <c r="S36" s="12"/>
      <c r="T36" s="139"/>
      <c r="U36" s="140"/>
      <c r="V36" s="139"/>
      <c r="W36" s="139"/>
      <c r="X36" s="12"/>
      <c r="Y36" s="12"/>
      <c r="Z36" s="12"/>
      <c r="AA36" s="141"/>
      <c r="AB36" s="141"/>
      <c r="AC36" s="141"/>
      <c r="AD36" s="141"/>
      <c r="AE36" s="142"/>
      <c r="AF36" s="142"/>
      <c r="AG36" s="141"/>
      <c r="AH36" s="141"/>
      <c r="AI36" s="141"/>
      <c r="AJ36" s="141"/>
      <c r="AK36" s="142"/>
      <c r="AM36" s="141"/>
      <c r="AN36" s="141"/>
      <c r="AO36" s="141"/>
      <c r="AP36" s="141"/>
      <c r="AQ36" s="142"/>
    </row>
    <row r="37" spans="1:62" ht="12.75" x14ac:dyDescent="0.2">
      <c r="A37" s="45"/>
      <c r="B37" s="33"/>
      <c r="C37" s="68"/>
      <c r="D37" s="126"/>
      <c r="E37" s="97"/>
      <c r="F37" s="97"/>
      <c r="G37" s="97"/>
      <c r="K37" s="33"/>
      <c r="L37" s="33"/>
      <c r="M37" s="126"/>
      <c r="N37" s="97"/>
      <c r="O37" s="97"/>
      <c r="Q37" s="12"/>
      <c r="R37" s="12"/>
      <c r="S37" s="12"/>
      <c r="T37" s="139"/>
      <c r="U37" s="140"/>
      <c r="V37" s="139"/>
      <c r="W37" s="139"/>
      <c r="X37" s="12"/>
      <c r="Y37" s="12"/>
      <c r="Z37" s="12"/>
      <c r="AA37" s="141"/>
      <c r="AB37" s="141"/>
      <c r="AC37" s="141"/>
      <c r="AD37" s="141"/>
      <c r="AE37" s="142"/>
      <c r="AF37" s="142"/>
      <c r="AG37" s="141"/>
      <c r="AH37" s="141"/>
      <c r="AI37" s="141"/>
      <c r="AJ37" s="141"/>
      <c r="AK37" s="142"/>
      <c r="AM37" s="141"/>
      <c r="AN37" s="141"/>
      <c r="AO37" s="141"/>
      <c r="AP37" s="141"/>
      <c r="AQ37" s="142"/>
    </row>
    <row r="38" spans="1:62" ht="12.75" x14ac:dyDescent="0.2"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3"/>
      <c r="AB38" s="13"/>
      <c r="AC38" s="13"/>
      <c r="AD38" s="13"/>
      <c r="AE38" s="30"/>
      <c r="AF38" s="30"/>
      <c r="AG38" s="13"/>
      <c r="AH38" s="13"/>
      <c r="AI38" s="13"/>
      <c r="AJ38" s="13"/>
      <c r="AK38" s="30"/>
      <c r="AM38" s="13"/>
      <c r="AN38" s="13"/>
      <c r="AO38" s="13"/>
      <c r="AP38" s="13"/>
      <c r="AQ38" s="30"/>
    </row>
    <row r="40" spans="1:62" ht="15.75" customHeight="1" x14ac:dyDescent="0.2">
      <c r="B40" s="66" t="s">
        <v>31</v>
      </c>
      <c r="C40" s="34"/>
      <c r="AA40" s="56" t="s">
        <v>27</v>
      </c>
      <c r="AB40" s="12"/>
      <c r="AC40" s="12"/>
      <c r="AD40" s="12"/>
      <c r="AE40" s="12"/>
      <c r="AF40" s="12"/>
      <c r="AG40" s="56" t="s">
        <v>28</v>
      </c>
      <c r="AH40" s="12"/>
      <c r="AI40" s="12"/>
      <c r="AJ40" s="12"/>
      <c r="AK40" s="12"/>
      <c r="AQ40" s="34" t="s">
        <v>52</v>
      </c>
      <c r="AW40" s="34" t="s">
        <v>53</v>
      </c>
      <c r="BD40" s="34" t="s">
        <v>65</v>
      </c>
    </row>
    <row r="41" spans="1:62" ht="15.75" customHeight="1" x14ac:dyDescent="0.2">
      <c r="B41" s="28" t="s">
        <v>61</v>
      </c>
      <c r="C41" s="28"/>
      <c r="D41" s="28" t="s">
        <v>29</v>
      </c>
      <c r="E41" s="57" t="s">
        <v>63</v>
      </c>
      <c r="F41" s="57" t="s">
        <v>72</v>
      </c>
      <c r="G41" s="57"/>
      <c r="H41" s="103"/>
      <c r="I41" s="103"/>
      <c r="J41" s="103"/>
      <c r="K41" s="103"/>
      <c r="L41" s="103"/>
      <c r="M41" s="103"/>
      <c r="N41" s="103"/>
      <c r="O41" s="103"/>
      <c r="Q41" s="28" t="s">
        <v>3</v>
      </c>
      <c r="R41" s="28"/>
      <c r="S41" s="57" t="s">
        <v>50</v>
      </c>
      <c r="T41" s="57" t="s">
        <v>70</v>
      </c>
      <c r="U41" s="28" t="s">
        <v>1</v>
      </c>
      <c r="V41" s="57" t="s">
        <v>62</v>
      </c>
      <c r="W41" s="57" t="s">
        <v>9</v>
      </c>
      <c r="X41" s="57"/>
      <c r="AA41" s="28" t="s">
        <v>30</v>
      </c>
      <c r="AB41" s="28" t="s">
        <v>1</v>
      </c>
      <c r="AC41" s="57" t="s">
        <v>10</v>
      </c>
      <c r="AD41" s="57"/>
      <c r="AE41" s="57" t="s">
        <v>64</v>
      </c>
      <c r="AF41" s="60"/>
      <c r="AG41" s="28" t="s">
        <v>30</v>
      </c>
      <c r="AH41" s="28" t="s">
        <v>1</v>
      </c>
      <c r="AI41" s="57" t="s">
        <v>10</v>
      </c>
      <c r="AJ41" s="57"/>
      <c r="AK41" s="57" t="s">
        <v>64</v>
      </c>
      <c r="AL41" s="28" t="s">
        <v>58</v>
      </c>
      <c r="AM41" s="28"/>
      <c r="AN41" s="28" t="s">
        <v>59</v>
      </c>
      <c r="AO41" s="28" t="s">
        <v>60</v>
      </c>
      <c r="AQ41" s="61" t="s">
        <v>54</v>
      </c>
      <c r="AR41" s="61" t="s">
        <v>57</v>
      </c>
      <c r="AS41" s="61" t="s">
        <v>55</v>
      </c>
      <c r="AT41" s="61" t="s">
        <v>57</v>
      </c>
      <c r="AU41" s="61" t="s">
        <v>56</v>
      </c>
      <c r="AV41" s="61" t="s">
        <v>57</v>
      </c>
      <c r="AW41" s="28" t="s">
        <v>54</v>
      </c>
      <c r="AX41" s="28" t="s">
        <v>57</v>
      </c>
      <c r="AY41" s="28" t="s">
        <v>55</v>
      </c>
      <c r="AZ41" s="28" t="s">
        <v>57</v>
      </c>
      <c r="BA41" s="28" t="s">
        <v>56</v>
      </c>
      <c r="BB41" s="28" t="s">
        <v>57</v>
      </c>
      <c r="BC41" s="60"/>
      <c r="BD41" s="61" t="s">
        <v>54</v>
      </c>
      <c r="BE41" s="61" t="s">
        <v>57</v>
      </c>
      <c r="BF41" s="61" t="s">
        <v>55</v>
      </c>
      <c r="BG41" s="61" t="s">
        <v>57</v>
      </c>
      <c r="BH41" s="61" t="s">
        <v>66</v>
      </c>
      <c r="BI41" s="61" t="s">
        <v>56</v>
      </c>
      <c r="BJ41" s="61" t="s">
        <v>57</v>
      </c>
    </row>
    <row r="42" spans="1:62" ht="15.75" customHeight="1" x14ac:dyDescent="0.2">
      <c r="B42" s="33">
        <v>100</v>
      </c>
      <c r="C42" s="33"/>
      <c r="D42" s="29">
        <v>0.7</v>
      </c>
      <c r="E42" s="50">
        <v>5</v>
      </c>
      <c r="F42">
        <v>10</v>
      </c>
      <c r="Q42" s="12" t="s">
        <v>32</v>
      </c>
      <c r="R42" s="12"/>
      <c r="S42" s="13"/>
      <c r="T42" s="13"/>
      <c r="U42" s="13">
        <v>200</v>
      </c>
      <c r="V42" s="58" t="e">
        <f>U42/#REF!</f>
        <v>#REF!</v>
      </c>
      <c r="W42" s="58"/>
      <c r="X42" s="58"/>
      <c r="AA42" s="31" t="e">
        <f>#REF!</f>
        <v>#REF!</v>
      </c>
      <c r="AB42" s="31">
        <f>U42*D42</f>
        <v>140</v>
      </c>
      <c r="AC42" s="63" t="e">
        <f>(#REF!+(#REF!*(F42/100)))/(1-#REF!/100)</f>
        <v>#REF!</v>
      </c>
      <c r="AD42" s="63"/>
      <c r="AE42" s="32" t="e">
        <f>AB42/AA42</f>
        <v>#REF!</v>
      </c>
      <c r="AF42" s="32"/>
      <c r="AG42" s="31" t="e">
        <f>#REF!</f>
        <v>#REF!</v>
      </c>
      <c r="AH42" s="31">
        <f>U42*(1-D42)</f>
        <v>60.000000000000007</v>
      </c>
      <c r="AI42" s="63" t="e">
        <f>(#REF!+(#REF!*(F42/100)))/(1-#REF!/100)</f>
        <v>#REF!</v>
      </c>
      <c r="AJ42" s="63"/>
      <c r="AK42" s="32" t="e">
        <f>AH42/AG42</f>
        <v>#REF!</v>
      </c>
      <c r="AL42" s="32" t="e">
        <f>AE42</f>
        <v>#REF!</v>
      </c>
      <c r="AM42" s="32"/>
      <c r="AN42" s="32" t="e">
        <f>AK42</f>
        <v>#REF!</v>
      </c>
      <c r="AO42" s="32" t="e">
        <f>AL42+AN42</f>
        <v>#REF!</v>
      </c>
      <c r="AQ42" s="52">
        <v>0</v>
      </c>
      <c r="AR42" s="50">
        <v>0</v>
      </c>
      <c r="AS42" s="52">
        <v>0</v>
      </c>
      <c r="AT42" s="50">
        <v>0</v>
      </c>
      <c r="AU42" s="52">
        <v>0</v>
      </c>
      <c r="AV42" s="54">
        <v>0</v>
      </c>
      <c r="AW42" s="52">
        <v>0</v>
      </c>
      <c r="AX42" s="50">
        <v>0</v>
      </c>
      <c r="AY42" s="52">
        <v>0</v>
      </c>
      <c r="AZ42" s="50">
        <v>0</v>
      </c>
      <c r="BA42" s="52">
        <v>0</v>
      </c>
      <c r="BB42" s="50">
        <v>0</v>
      </c>
      <c r="BC42" s="50"/>
      <c r="BD42" s="52">
        <v>0</v>
      </c>
      <c r="BE42" s="50">
        <v>0</v>
      </c>
      <c r="BF42" s="52">
        <v>0</v>
      </c>
      <c r="BG42" s="50">
        <v>0</v>
      </c>
      <c r="BH42" s="52">
        <v>0</v>
      </c>
      <c r="BI42" s="52">
        <v>0</v>
      </c>
      <c r="BJ42" s="50">
        <v>0</v>
      </c>
    </row>
    <row r="43" spans="1:62" ht="15.75" customHeight="1" x14ac:dyDescent="0.2">
      <c r="B43" s="36">
        <v>100</v>
      </c>
      <c r="C43" s="36"/>
      <c r="D43" s="37">
        <v>0.7</v>
      </c>
      <c r="E43" s="51">
        <v>5</v>
      </c>
      <c r="F43" s="35">
        <v>10</v>
      </c>
      <c r="G43" s="35"/>
      <c r="Q43" s="41" t="s">
        <v>51</v>
      </c>
      <c r="R43" s="41"/>
      <c r="S43" s="42">
        <v>20</v>
      </c>
      <c r="T43" s="42"/>
      <c r="U43" s="42"/>
      <c r="V43" s="59"/>
      <c r="W43" s="59"/>
      <c r="X43" s="59"/>
      <c r="AA43" s="38"/>
      <c r="AB43" s="38"/>
      <c r="AC43" s="65"/>
      <c r="AD43" s="65"/>
      <c r="AE43" s="39"/>
      <c r="AF43" s="32"/>
      <c r="AG43" s="38"/>
      <c r="AH43" s="38"/>
      <c r="AI43" s="38"/>
      <c r="AJ43" s="38"/>
      <c r="AK43" s="39"/>
      <c r="AL43" s="39" t="e">
        <f t="shared" ref="AL43:AO43" si="2">AL42</f>
        <v>#REF!</v>
      </c>
      <c r="AM43" s="39"/>
      <c r="AN43" s="39" t="e">
        <f t="shared" si="2"/>
        <v>#REF!</v>
      </c>
      <c r="AO43" s="39" t="e">
        <f t="shared" si="2"/>
        <v>#REF!</v>
      </c>
      <c r="AQ43" s="40">
        <f>AQ42</f>
        <v>0</v>
      </c>
      <c r="AR43" s="51">
        <f t="shared" ref="AR43:AT43" si="3">AR42</f>
        <v>0</v>
      </c>
      <c r="AS43" s="40">
        <f t="shared" si="3"/>
        <v>0</v>
      </c>
      <c r="AT43" s="51">
        <f t="shared" si="3"/>
        <v>0</v>
      </c>
      <c r="AU43" s="40">
        <f>AU42</f>
        <v>0</v>
      </c>
      <c r="AV43" s="55">
        <f>AU43/U42</f>
        <v>0</v>
      </c>
      <c r="AW43" s="40">
        <f>AW42</f>
        <v>0</v>
      </c>
      <c r="AX43" s="51">
        <f t="shared" ref="AX43" si="4">AX42</f>
        <v>0</v>
      </c>
      <c r="AY43" s="40">
        <f t="shared" ref="AY43" si="5">AY42</f>
        <v>0</v>
      </c>
      <c r="AZ43" s="51">
        <f t="shared" ref="AZ43" si="6">AZ42</f>
        <v>0</v>
      </c>
      <c r="BA43" s="40">
        <f>BA42</f>
        <v>0</v>
      </c>
      <c r="BB43" s="51">
        <f t="shared" ref="BB43" si="7">BB42</f>
        <v>0</v>
      </c>
      <c r="BC43" s="50"/>
      <c r="BD43" s="40">
        <f>AQ43+AW43</f>
        <v>0</v>
      </c>
      <c r="BE43" s="51">
        <f t="shared" ref="BE43" si="8">BE42</f>
        <v>0</v>
      </c>
      <c r="BF43" s="40">
        <f t="shared" ref="BF43" si="9">BF42</f>
        <v>0</v>
      </c>
      <c r="BG43" s="51">
        <f t="shared" ref="BG43" si="10">BG42</f>
        <v>0</v>
      </c>
      <c r="BH43" s="65">
        <f>S43</f>
        <v>20</v>
      </c>
      <c r="BI43" s="65">
        <f>BD43+BF43+BH43</f>
        <v>20</v>
      </c>
      <c r="BJ43" s="55">
        <f>BI43/(AB42+AH42)</f>
        <v>0.1</v>
      </c>
    </row>
    <row r="44" spans="1:62" ht="15.75" customHeight="1" x14ac:dyDescent="0.2">
      <c r="B44" s="33">
        <v>300</v>
      </c>
      <c r="C44" s="33"/>
      <c r="D44" s="29">
        <v>0.7</v>
      </c>
      <c r="E44" s="50">
        <v>5</v>
      </c>
      <c r="F44">
        <v>10</v>
      </c>
      <c r="Q44" t="s">
        <v>33</v>
      </c>
      <c r="S44" s="33"/>
      <c r="T44" s="33"/>
      <c r="U44" s="33">
        <v>400</v>
      </c>
      <c r="V44" s="50" t="e">
        <f>U44/#REF!</f>
        <v>#REF!</v>
      </c>
      <c r="W44" s="50"/>
      <c r="X44" s="50"/>
      <c r="AA44" s="31" t="e">
        <f>AA42</f>
        <v>#REF!</v>
      </c>
      <c r="AB44" s="31">
        <v>140</v>
      </c>
      <c r="AC44" s="63" t="e">
        <f>(#REF!+(#REF!*(F42/100)))/(1-#REF!/100)</f>
        <v>#REF!</v>
      </c>
      <c r="AD44" s="63"/>
      <c r="AE44" s="32">
        <v>1.4</v>
      </c>
      <c r="AF44" s="32"/>
      <c r="AG44" s="31">
        <v>100</v>
      </c>
      <c r="AH44" s="31">
        <v>60.000000000000007</v>
      </c>
      <c r="AI44" s="63" t="e">
        <f>(#REF!+(#REF!*(F42/100)))/(1-#REF!/100)</f>
        <v>#REF!</v>
      </c>
      <c r="AJ44" s="63"/>
      <c r="AK44" s="32">
        <v>0.60000000000000009</v>
      </c>
      <c r="AL44" s="32" t="e">
        <f>AL43+AE45</f>
        <v>#REF!</v>
      </c>
      <c r="AM44" s="32"/>
      <c r="AN44" s="32" t="e">
        <f>AN43</f>
        <v>#REF!</v>
      </c>
      <c r="AO44" s="32" t="e">
        <f>AL44+AN44</f>
        <v>#REF!</v>
      </c>
      <c r="AQ44" s="52">
        <f>AQ43</f>
        <v>0</v>
      </c>
      <c r="AR44" s="50">
        <f>AR43</f>
        <v>0</v>
      </c>
      <c r="AS44" s="52">
        <f>AS43</f>
        <v>0</v>
      </c>
      <c r="AT44" s="50">
        <f>AT43</f>
        <v>0</v>
      </c>
      <c r="AU44" s="52">
        <f>AU43</f>
        <v>0</v>
      </c>
      <c r="AV44" s="64">
        <f>AU44 / (U42+U44)</f>
        <v>0</v>
      </c>
      <c r="AW44" s="52" t="e">
        <f>(B44*AL44)-(AB44+AB45)</f>
        <v>#REF!</v>
      </c>
      <c r="AX44" s="54" t="e">
        <f>AW44/(AB44+AB45)</f>
        <v>#REF!</v>
      </c>
      <c r="AY44" s="52" t="e">
        <f>(AN44*B44)-AH44</f>
        <v>#REF!</v>
      </c>
      <c r="AZ44" s="53" t="e">
        <f>AY44/(AG44*AK44)</f>
        <v>#REF!</v>
      </c>
      <c r="BA44" s="52" t="e">
        <f>AW44+AY44</f>
        <v>#REF!</v>
      </c>
      <c r="BB44" s="62" t="e">
        <f>BA44/(AB44+AB45+AH44)</f>
        <v>#REF!</v>
      </c>
      <c r="BC44" s="62"/>
      <c r="BD44" s="52" t="e">
        <f>AQ44+AW44</f>
        <v>#REF!</v>
      </c>
      <c r="BE44" s="54" t="e">
        <f>AX44</f>
        <v>#REF!</v>
      </c>
      <c r="BF44" s="52" t="e">
        <f>AS44+AY44</f>
        <v>#REF!</v>
      </c>
      <c r="BG44" s="53" t="e">
        <f>BF44/AH44</f>
        <v>#REF!</v>
      </c>
      <c r="BH44" s="63">
        <f>BH43</f>
        <v>20</v>
      </c>
      <c r="BI44" s="52" t="e">
        <f>BD44+BF44+BH44</f>
        <v>#REF!</v>
      </c>
      <c r="BJ44" s="54" t="e">
        <f>BI44/(AB44+AB45+AH44)</f>
        <v>#REF!</v>
      </c>
    </row>
    <row r="45" spans="1:62" ht="15.75" customHeight="1" x14ac:dyDescent="0.2">
      <c r="E45" s="50"/>
      <c r="V45" s="50"/>
      <c r="W45" s="50"/>
      <c r="X45" s="50"/>
      <c r="AA45" s="31" t="e">
        <f>#REF!</f>
        <v>#REF!</v>
      </c>
      <c r="AB45" s="31">
        <f>U44</f>
        <v>400</v>
      </c>
      <c r="AC45" s="63" t="e">
        <f>(#REF!+(#REF!*(F44/100)))/(1-#REF!/100)</f>
        <v>#REF!</v>
      </c>
      <c r="AD45" s="63"/>
      <c r="AE45" s="32" t="e">
        <f>AB45/AA45</f>
        <v>#REF!</v>
      </c>
      <c r="AF45" s="32"/>
      <c r="AG45" s="49" t="s">
        <v>34</v>
      </c>
      <c r="AH45" s="49" t="s">
        <v>34</v>
      </c>
      <c r="AI45" s="49" t="s">
        <v>34</v>
      </c>
      <c r="AJ45" s="49"/>
      <c r="AK45" s="49" t="s">
        <v>34</v>
      </c>
      <c r="AR45" s="50"/>
      <c r="AT45" s="50"/>
      <c r="AV45" s="54"/>
      <c r="AW45" s="31"/>
      <c r="AX45" s="54"/>
      <c r="AZ45" s="50"/>
      <c r="BB45" s="50"/>
      <c r="BC45" s="50"/>
      <c r="BE45" s="50"/>
      <c r="BG45" s="50"/>
      <c r="BH45" s="63"/>
      <c r="BJ45" s="50"/>
    </row>
    <row r="46" spans="1:62" ht="15.75" customHeight="1" x14ac:dyDescent="0.2">
      <c r="B46" s="36">
        <v>910</v>
      </c>
      <c r="C46" s="36"/>
      <c r="D46" s="37">
        <v>0.7</v>
      </c>
      <c r="E46" s="51">
        <v>5</v>
      </c>
      <c r="F46" s="35">
        <v>10</v>
      </c>
      <c r="G46" s="35"/>
      <c r="Q46" s="35" t="s">
        <v>35</v>
      </c>
      <c r="R46" s="35"/>
      <c r="S46" s="36"/>
      <c r="T46" s="36"/>
      <c r="U46" s="36">
        <v>350</v>
      </c>
      <c r="V46" s="51" t="e">
        <f>U46/#REF!</f>
        <v>#REF!</v>
      </c>
      <c r="W46" s="51"/>
      <c r="X46" s="51"/>
      <c r="AA46" s="38" t="e">
        <f>AA44</f>
        <v>#REF!</v>
      </c>
      <c r="AB46" s="38">
        <v>140</v>
      </c>
      <c r="AC46" s="65" t="e">
        <f>AC44</f>
        <v>#REF!</v>
      </c>
      <c r="AD46" s="65"/>
      <c r="AE46" s="39">
        <v>1.4</v>
      </c>
      <c r="AF46" s="32"/>
      <c r="AG46" s="38">
        <v>100</v>
      </c>
      <c r="AH46" s="38">
        <v>60.000000000000007</v>
      </c>
      <c r="AI46" s="65" t="e">
        <f>AI44</f>
        <v>#REF!</v>
      </c>
      <c r="AJ46" s="65"/>
      <c r="AK46" s="39">
        <v>0.60000000000000009</v>
      </c>
      <c r="AL46" s="39" t="e">
        <f>AL44</f>
        <v>#REF!</v>
      </c>
      <c r="AM46" s="39"/>
      <c r="AN46" s="39" t="e">
        <f>AN44+AK47</f>
        <v>#REF!</v>
      </c>
      <c r="AO46" s="39" t="e">
        <f>AL46+AN46</f>
        <v>#REF!</v>
      </c>
      <c r="AQ46" s="40">
        <f t="shared" ref="AQ46:AV46" si="11">AQ44</f>
        <v>0</v>
      </c>
      <c r="AR46" s="51">
        <f t="shared" si="11"/>
        <v>0</v>
      </c>
      <c r="AS46" s="40">
        <f t="shared" si="11"/>
        <v>0</v>
      </c>
      <c r="AT46" s="51">
        <f t="shared" si="11"/>
        <v>0</v>
      </c>
      <c r="AU46" s="40">
        <f t="shared" si="11"/>
        <v>0</v>
      </c>
      <c r="AV46" s="55">
        <f t="shared" si="11"/>
        <v>0</v>
      </c>
      <c r="AW46" s="40" t="e">
        <f>(B46*AL46)-(AB46+AB47)</f>
        <v>#REF!</v>
      </c>
      <c r="AX46" s="55" t="e">
        <f>AW46/(AB46+AB47)</f>
        <v>#REF!</v>
      </c>
      <c r="AY46" s="40" t="e">
        <f>(AN46*B46)-(AH46+AH47)</f>
        <v>#REF!</v>
      </c>
      <c r="AZ46" s="55" t="e">
        <f>AY46/(AH46+AH47)</f>
        <v>#REF!</v>
      </c>
      <c r="BA46" s="40" t="e">
        <f>AW46+AY46</f>
        <v>#REF!</v>
      </c>
      <c r="BB46" s="55" t="e">
        <f>BA46/(AB46+AB47+AH46+AH47)</f>
        <v>#REF!</v>
      </c>
      <c r="BC46" s="50"/>
      <c r="BD46" s="40" t="e">
        <f>AQ46+AW46</f>
        <v>#REF!</v>
      </c>
      <c r="BE46" s="55" t="e">
        <f>AX46</f>
        <v>#REF!</v>
      </c>
      <c r="BF46" s="40" t="e">
        <f>AS46+AY46</f>
        <v>#REF!</v>
      </c>
      <c r="BG46" s="55" t="e">
        <f>BF46/(AH46+AH47)</f>
        <v>#REF!</v>
      </c>
      <c r="BH46" s="65">
        <f>BH44</f>
        <v>20</v>
      </c>
      <c r="BI46" s="40" t="e">
        <f>BD46+BF46+BH46</f>
        <v>#REF!</v>
      </c>
      <c r="BJ46" s="55" t="e">
        <f>BI46/(AB46+AB47+AH46+AH47)</f>
        <v>#REF!</v>
      </c>
    </row>
    <row r="47" spans="1:62" ht="15.75" customHeight="1" x14ac:dyDescent="0.2">
      <c r="B47" s="35"/>
      <c r="C47" s="35"/>
      <c r="D47" s="35"/>
      <c r="E47" s="51"/>
      <c r="F47" s="35"/>
      <c r="G47" s="35"/>
      <c r="Q47" s="35"/>
      <c r="R47" s="35"/>
      <c r="S47" s="35"/>
      <c r="T47" s="35"/>
      <c r="U47" s="35"/>
      <c r="V47" s="51"/>
      <c r="W47" s="51"/>
      <c r="X47" s="51"/>
      <c r="AA47" s="38" t="e">
        <f>AA45</f>
        <v>#REF!</v>
      </c>
      <c r="AB47" s="38">
        <v>400</v>
      </c>
      <c r="AC47" s="65" t="e">
        <f>AC45</f>
        <v>#REF!</v>
      </c>
      <c r="AD47" s="65"/>
      <c r="AE47" s="39">
        <v>1.6</v>
      </c>
      <c r="AF47" s="32"/>
      <c r="AG47" s="36" t="e">
        <f>#REF!</f>
        <v>#REF!</v>
      </c>
      <c r="AH47" s="36">
        <f>U46</f>
        <v>350</v>
      </c>
      <c r="AI47" s="65" t="e">
        <f>(#REF!+(#REF!*(F46/100)))/(1-#REF!/100)</f>
        <v>#REF!</v>
      </c>
      <c r="AJ47" s="65"/>
      <c r="AK47" s="39" t="e">
        <f>AH47/AG47</f>
        <v>#REF!</v>
      </c>
      <c r="AR47" s="50"/>
      <c r="AT47" s="50"/>
      <c r="AV47" s="50"/>
      <c r="AX47" s="50"/>
      <c r="AZ47" s="50"/>
      <c r="BB47" s="50"/>
      <c r="BC47" s="50"/>
      <c r="BE47" s="50"/>
      <c r="BG47" s="50"/>
      <c r="BH47" s="63"/>
      <c r="BJ47" s="50"/>
    </row>
    <row r="48" spans="1:62" ht="15.75" customHeight="1" x14ac:dyDescent="0.2">
      <c r="B48" s="33">
        <v>910</v>
      </c>
      <c r="C48" s="33"/>
      <c r="D48" s="29">
        <v>0.7</v>
      </c>
      <c r="E48" s="50">
        <v>5</v>
      </c>
      <c r="F48">
        <v>10</v>
      </c>
      <c r="Q48" t="s">
        <v>49</v>
      </c>
      <c r="S48" s="33">
        <v>10</v>
      </c>
      <c r="T48" s="33"/>
      <c r="V48" s="50"/>
      <c r="W48" s="50"/>
      <c r="X48" s="50"/>
      <c r="AA48" s="31"/>
      <c r="AB48" s="31"/>
      <c r="AC48" s="31"/>
      <c r="AD48" s="31"/>
      <c r="AE48" s="31"/>
      <c r="AF48" s="31"/>
      <c r="AG48" s="33"/>
      <c r="AH48" s="33"/>
      <c r="AI48" s="31"/>
      <c r="AJ48" s="31"/>
      <c r="AK48" s="32"/>
      <c r="AL48" s="32" t="e">
        <f>AL46</f>
        <v>#REF!</v>
      </c>
      <c r="AM48" s="32"/>
      <c r="AN48" s="32" t="e">
        <f>AN46+AK49</f>
        <v>#REF!</v>
      </c>
      <c r="AO48" s="32" t="e">
        <f>AL48+AN48</f>
        <v>#REF!</v>
      </c>
      <c r="AQ48" s="52">
        <f t="shared" ref="AQ48:AV49" si="12">AQ46</f>
        <v>0</v>
      </c>
      <c r="AR48" s="50">
        <f t="shared" si="12"/>
        <v>0</v>
      </c>
      <c r="AS48" s="52">
        <f t="shared" si="12"/>
        <v>0</v>
      </c>
      <c r="AT48" s="50">
        <f t="shared" si="12"/>
        <v>0</v>
      </c>
      <c r="AU48" s="52">
        <f t="shared" si="12"/>
        <v>0</v>
      </c>
      <c r="AV48" s="62">
        <f t="shared" si="12"/>
        <v>0</v>
      </c>
      <c r="AW48" s="52" t="e">
        <f t="shared" ref="AW48:BB48" si="13">AW46</f>
        <v>#REF!</v>
      </c>
      <c r="AX48" s="62" t="e">
        <f t="shared" si="13"/>
        <v>#REF!</v>
      </c>
      <c r="AY48" s="52" t="e">
        <f t="shared" si="13"/>
        <v>#REF!</v>
      </c>
      <c r="AZ48" s="62" t="e">
        <f t="shared" si="13"/>
        <v>#REF!</v>
      </c>
      <c r="BA48" s="52" t="e">
        <f t="shared" si="13"/>
        <v>#REF!</v>
      </c>
      <c r="BB48" s="62" t="e">
        <f t="shared" si="13"/>
        <v>#REF!</v>
      </c>
      <c r="BC48" s="50"/>
      <c r="BD48" s="52" t="e">
        <f>BD46</f>
        <v>#REF!</v>
      </c>
      <c r="BE48" s="62" t="e">
        <f>BE46</f>
        <v>#REF!</v>
      </c>
      <c r="BF48" s="52" t="e">
        <f>BF46</f>
        <v>#REF!</v>
      </c>
      <c r="BG48" s="62" t="e">
        <f>BG46</f>
        <v>#REF!</v>
      </c>
      <c r="BH48" s="63">
        <f>BH46+S48</f>
        <v>30</v>
      </c>
      <c r="BI48" s="52" t="e">
        <f>BD48+BF48+BH48</f>
        <v>#REF!</v>
      </c>
      <c r="BJ48" s="62" t="e">
        <f>BI48/(AB46+AB47+AH46+AH47)</f>
        <v>#REF!</v>
      </c>
    </row>
    <row r="49" spans="2:62" ht="15.75" customHeight="1" x14ac:dyDescent="0.2">
      <c r="B49" s="36">
        <v>510</v>
      </c>
      <c r="C49" s="36"/>
      <c r="D49" s="37">
        <v>0.7</v>
      </c>
      <c r="E49" s="51">
        <v>5</v>
      </c>
      <c r="F49" s="35">
        <v>10</v>
      </c>
      <c r="G49" s="35"/>
      <c r="Q49" s="35" t="s">
        <v>36</v>
      </c>
      <c r="R49" s="35"/>
      <c r="S49" s="40"/>
      <c r="T49" s="40"/>
      <c r="U49" s="36">
        <v>100</v>
      </c>
      <c r="V49" s="51" t="e">
        <f>U49/#REF!</f>
        <v>#REF!</v>
      </c>
      <c r="W49" s="51"/>
      <c r="X49" s="51"/>
      <c r="AA49" s="38">
        <v>100</v>
      </c>
      <c r="AB49" s="38">
        <v>140</v>
      </c>
      <c r="AC49" s="38" t="e">
        <f>AC46</f>
        <v>#REF!</v>
      </c>
      <c r="AD49" s="38"/>
      <c r="AE49" s="39">
        <v>1.4</v>
      </c>
      <c r="AF49" s="32"/>
      <c r="AG49" s="38">
        <v>100</v>
      </c>
      <c r="AH49" s="38">
        <v>60.000000000000007</v>
      </c>
      <c r="AI49" s="38" t="e">
        <f>AI46</f>
        <v>#REF!</v>
      </c>
      <c r="AJ49" s="38"/>
      <c r="AK49" s="39">
        <v>0.60000000000000009</v>
      </c>
      <c r="AL49" s="39" t="e">
        <f>AE49+AE50+AE51</f>
        <v>#REF!</v>
      </c>
      <c r="AM49" s="39"/>
      <c r="AN49" s="39" t="e">
        <f>AK49+AK50+AK51</f>
        <v>#REF!</v>
      </c>
      <c r="AO49" s="39" t="e">
        <f>AL49+AN49</f>
        <v>#REF!</v>
      </c>
      <c r="AQ49" s="40">
        <f t="shared" si="12"/>
        <v>0</v>
      </c>
      <c r="AR49" s="51">
        <f t="shared" si="12"/>
        <v>0</v>
      </c>
      <c r="AS49" s="40">
        <f t="shared" si="12"/>
        <v>0</v>
      </c>
      <c r="AT49" s="51">
        <f t="shared" si="12"/>
        <v>0</v>
      </c>
      <c r="AU49" s="40">
        <f t="shared" si="12"/>
        <v>0</v>
      </c>
      <c r="AV49" s="55">
        <f t="shared" si="12"/>
        <v>0</v>
      </c>
      <c r="AW49" s="40" t="e">
        <f>(B49*AL49)-(AB49+AB50+AB51)</f>
        <v>#REF!</v>
      </c>
      <c r="AX49" s="55" t="e">
        <f>AW49/(AB49+AB50+AB51)</f>
        <v>#REF!</v>
      </c>
      <c r="AY49" s="40" t="e">
        <f>(AN49*B49)-(AH49+AH50+AH51)</f>
        <v>#REF!</v>
      </c>
      <c r="AZ49" s="55" t="e">
        <f>AY49/(AH49+AH50+AH51)</f>
        <v>#REF!</v>
      </c>
      <c r="BA49" s="40" t="e">
        <f>AW49+AY49</f>
        <v>#REF!</v>
      </c>
      <c r="BB49" s="55" t="e">
        <f>BA49/(AB49+AB50+AB51+AH49+AH50+AH51)</f>
        <v>#REF!</v>
      </c>
      <c r="BC49" s="50"/>
      <c r="BD49" s="40" t="e">
        <f>AQ49+AW49</f>
        <v>#REF!</v>
      </c>
      <c r="BE49" s="55" t="e">
        <f>AX49</f>
        <v>#REF!</v>
      </c>
      <c r="BF49" s="40" t="e">
        <f>AS49+AY49</f>
        <v>#REF!</v>
      </c>
      <c r="BG49" s="55" t="e">
        <f>BF49/(AH49+AH50+AH51)</f>
        <v>#REF!</v>
      </c>
      <c r="BH49" s="65">
        <f>BH48</f>
        <v>30</v>
      </c>
      <c r="BI49" s="40" t="e">
        <f>BD49+BF49+BH49</f>
        <v>#REF!</v>
      </c>
      <c r="BJ49" s="55" t="e">
        <f>BI49/(AB49+AB50+AB51+AH49+AH50+AH51)</f>
        <v>#REF!</v>
      </c>
    </row>
    <row r="50" spans="2:62" ht="15.75" customHeight="1" x14ac:dyDescent="0.2">
      <c r="B50" s="35"/>
      <c r="C50" s="35"/>
      <c r="D50" s="35"/>
      <c r="E50" s="51"/>
      <c r="F50" s="35"/>
      <c r="G50" s="35"/>
      <c r="Q50" s="35"/>
      <c r="R50" s="35"/>
      <c r="S50" s="35"/>
      <c r="T50" s="35"/>
      <c r="U50" s="35"/>
      <c r="V50" s="51"/>
      <c r="W50" s="51"/>
      <c r="X50" s="51"/>
      <c r="AA50" s="38">
        <v>250</v>
      </c>
      <c r="AB50" s="38">
        <v>400</v>
      </c>
      <c r="AC50" s="38" t="e">
        <f>AC47</f>
        <v>#REF!</v>
      </c>
      <c r="AD50" s="38"/>
      <c r="AE50" s="39">
        <v>1.6</v>
      </c>
      <c r="AF50" s="32"/>
      <c r="AG50" s="36">
        <v>900</v>
      </c>
      <c r="AH50" s="36">
        <v>350</v>
      </c>
      <c r="AI50" s="38" t="e">
        <f>AI47</f>
        <v>#REF!</v>
      </c>
      <c r="AJ50" s="38"/>
      <c r="AK50" s="39">
        <v>0.3888888888888889</v>
      </c>
      <c r="AL50" s="35"/>
      <c r="AM50" s="35"/>
      <c r="AN50" s="35"/>
      <c r="AO50" s="35"/>
      <c r="AQ50" s="35"/>
      <c r="AR50" s="51"/>
      <c r="AS50" s="35"/>
      <c r="AT50" s="51"/>
      <c r="AU50" s="35"/>
      <c r="AV50" s="51"/>
      <c r="AW50" s="35"/>
      <c r="AX50" s="51"/>
      <c r="AY50" s="35"/>
      <c r="AZ50" s="51"/>
      <c r="BA50" s="35"/>
      <c r="BB50" s="51"/>
      <c r="BC50" s="50"/>
      <c r="BD50" s="35"/>
      <c r="BE50" s="51"/>
      <c r="BF50" s="35"/>
      <c r="BG50" s="51"/>
      <c r="BH50" s="35"/>
      <c r="BI50" s="35"/>
      <c r="BJ50" s="51"/>
    </row>
    <row r="51" spans="2:62" ht="15.75" customHeight="1" x14ac:dyDescent="0.2">
      <c r="B51" s="35"/>
      <c r="C51" s="35"/>
      <c r="D51" s="35"/>
      <c r="E51" s="51"/>
      <c r="F51" s="35"/>
      <c r="G51" s="35"/>
      <c r="Q51" s="35"/>
      <c r="R51" s="35"/>
      <c r="S51" s="35"/>
      <c r="T51" s="35"/>
      <c r="U51" s="35"/>
      <c r="V51" s="51"/>
      <c r="W51" s="51"/>
      <c r="X51" s="51"/>
      <c r="AA51" s="40" t="e">
        <f>#REF!</f>
        <v>#REF!</v>
      </c>
      <c r="AB51" s="36">
        <f>U49*D49</f>
        <v>70</v>
      </c>
      <c r="AC51" s="65" t="e">
        <f>(#REF!+(#REF!*(F49/100)))/(1-#REF!/100)</f>
        <v>#REF!</v>
      </c>
      <c r="AD51" s="65"/>
      <c r="AE51" s="39" t="e">
        <f>AB51/AA51</f>
        <v>#REF!</v>
      </c>
      <c r="AF51" s="31"/>
      <c r="AG51" s="40" t="e">
        <f>#REF!</f>
        <v>#REF!</v>
      </c>
      <c r="AH51" s="36">
        <f>U49*(1-D49)</f>
        <v>30.000000000000004</v>
      </c>
      <c r="AI51" s="65" t="e">
        <f>(#REF!+(#REF!*(F49/100)))/(1-#REF!/100)</f>
        <v>#REF!</v>
      </c>
      <c r="AJ51" s="65"/>
      <c r="AK51" s="39" t="e">
        <f>AH51/AG51</f>
        <v>#REF!</v>
      </c>
      <c r="AL51" s="35"/>
      <c r="AM51" s="35"/>
      <c r="AN51" s="35"/>
      <c r="AO51" s="35"/>
      <c r="AQ51" s="35"/>
      <c r="AR51" s="51"/>
      <c r="AS51" s="35"/>
      <c r="AT51" s="51"/>
      <c r="AU51" s="35"/>
      <c r="AV51" s="51"/>
      <c r="AW51" s="35"/>
      <c r="AX51" s="51"/>
      <c r="AY51" s="35"/>
      <c r="AZ51" s="51"/>
      <c r="BA51" s="35"/>
      <c r="BB51" s="51"/>
      <c r="BC51" s="50"/>
      <c r="BD51" s="35"/>
      <c r="BE51" s="51"/>
      <c r="BF51" s="35"/>
      <c r="BG51" s="51"/>
      <c r="BH51" s="35"/>
      <c r="BI51" s="35"/>
      <c r="BJ51" s="51"/>
    </row>
    <row r="52" spans="2:62" ht="15.75" customHeight="1" x14ac:dyDescent="0.2">
      <c r="E52" s="50"/>
      <c r="V52" s="50"/>
      <c r="W52" s="50"/>
      <c r="X52" s="50"/>
      <c r="AA52" s="52"/>
      <c r="AB52" s="33"/>
      <c r="AC52" s="33"/>
      <c r="AD52" s="33"/>
      <c r="AE52" s="32"/>
      <c r="AF52" s="31"/>
      <c r="AG52" s="52"/>
      <c r="AH52" s="33"/>
      <c r="AI52" s="33"/>
      <c r="AJ52" s="33"/>
      <c r="AK52" s="32"/>
      <c r="AR52" s="50"/>
      <c r="AT52" s="50"/>
      <c r="AV52" s="50"/>
      <c r="AX52" s="50"/>
      <c r="AZ52" s="50"/>
      <c r="BB52" s="50"/>
      <c r="BC52" s="50"/>
      <c r="BE52" s="50"/>
      <c r="BG52" s="50"/>
      <c r="BJ52" s="50"/>
    </row>
    <row r="53" spans="2:62" ht="15.75" customHeight="1" x14ac:dyDescent="0.2">
      <c r="B53" s="66" t="s">
        <v>67</v>
      </c>
      <c r="C53" s="34"/>
      <c r="AA53" s="56" t="s">
        <v>27</v>
      </c>
      <c r="AB53" s="12"/>
      <c r="AC53" s="12"/>
      <c r="AD53" s="12"/>
      <c r="AE53" s="12"/>
      <c r="AF53" s="12"/>
      <c r="AG53" s="56" t="s">
        <v>28</v>
      </c>
      <c r="AH53" s="12"/>
      <c r="AI53" s="12"/>
      <c r="AJ53" s="12"/>
      <c r="AK53" s="12"/>
      <c r="AQ53" s="34" t="s">
        <v>52</v>
      </c>
      <c r="AW53" s="34" t="s">
        <v>53</v>
      </c>
      <c r="BD53" s="34" t="s">
        <v>65</v>
      </c>
    </row>
    <row r="54" spans="2:62" ht="15.75" customHeight="1" x14ac:dyDescent="0.2">
      <c r="B54" s="28" t="s">
        <v>61</v>
      </c>
      <c r="C54" s="28"/>
      <c r="D54" s="28" t="s">
        <v>29</v>
      </c>
      <c r="E54" s="57" t="s">
        <v>63</v>
      </c>
      <c r="F54" s="57" t="s">
        <v>72</v>
      </c>
      <c r="G54" s="57"/>
      <c r="H54" s="103"/>
      <c r="I54" s="103"/>
      <c r="J54" s="103"/>
      <c r="K54" s="103"/>
      <c r="L54" s="103"/>
      <c r="M54" s="103"/>
      <c r="N54" s="103"/>
      <c r="O54" s="103"/>
      <c r="Q54" s="28" t="s">
        <v>3</v>
      </c>
      <c r="R54" s="28"/>
      <c r="S54" s="57" t="s">
        <v>50</v>
      </c>
      <c r="T54" s="57" t="s">
        <v>70</v>
      </c>
      <c r="U54" s="28" t="s">
        <v>1</v>
      </c>
      <c r="V54" s="57" t="s">
        <v>62</v>
      </c>
      <c r="W54" s="57" t="s">
        <v>9</v>
      </c>
      <c r="X54" s="57"/>
      <c r="AA54" s="28" t="s">
        <v>30</v>
      </c>
      <c r="AB54" s="28" t="s">
        <v>1</v>
      </c>
      <c r="AC54" s="57" t="s">
        <v>10</v>
      </c>
      <c r="AD54" s="57"/>
      <c r="AE54" s="57" t="s">
        <v>64</v>
      </c>
      <c r="AF54" s="60"/>
      <c r="AG54" s="28" t="s">
        <v>30</v>
      </c>
      <c r="AH54" s="28" t="s">
        <v>1</v>
      </c>
      <c r="AI54" s="57" t="s">
        <v>10</v>
      </c>
      <c r="AJ54" s="57"/>
      <c r="AK54" s="57" t="s">
        <v>64</v>
      </c>
      <c r="AL54" s="28" t="s">
        <v>58</v>
      </c>
      <c r="AM54" s="28"/>
      <c r="AN54" s="28" t="s">
        <v>59</v>
      </c>
      <c r="AO54" s="28" t="s">
        <v>60</v>
      </c>
      <c r="AQ54" s="61" t="s">
        <v>54</v>
      </c>
      <c r="AR54" s="61" t="s">
        <v>57</v>
      </c>
      <c r="AS54" s="61" t="s">
        <v>55</v>
      </c>
      <c r="AT54" s="61" t="s">
        <v>57</v>
      </c>
      <c r="AU54" s="61" t="s">
        <v>56</v>
      </c>
      <c r="AV54" s="61" t="s">
        <v>57</v>
      </c>
      <c r="AW54" s="28" t="s">
        <v>54</v>
      </c>
      <c r="AX54" s="28" t="s">
        <v>57</v>
      </c>
      <c r="AY54" s="28" t="s">
        <v>55</v>
      </c>
      <c r="AZ54" s="28" t="s">
        <v>57</v>
      </c>
      <c r="BA54" s="28" t="s">
        <v>56</v>
      </c>
      <c r="BB54" s="28" t="s">
        <v>57</v>
      </c>
      <c r="BC54" s="60"/>
      <c r="BD54" s="61" t="s">
        <v>54</v>
      </c>
      <c r="BE54" s="61" t="s">
        <v>57</v>
      </c>
      <c r="BF54" s="61" t="s">
        <v>55</v>
      </c>
      <c r="BG54" s="61" t="s">
        <v>57</v>
      </c>
      <c r="BH54" s="61" t="s">
        <v>66</v>
      </c>
      <c r="BI54" s="61" t="s">
        <v>56</v>
      </c>
      <c r="BJ54" s="61" t="s">
        <v>57</v>
      </c>
    </row>
    <row r="55" spans="2:62" ht="15.75" customHeight="1" x14ac:dyDescent="0.2">
      <c r="B55" s="33">
        <v>200</v>
      </c>
      <c r="C55" s="33"/>
      <c r="D55" s="29">
        <v>0.6</v>
      </c>
      <c r="E55" s="50">
        <v>5</v>
      </c>
      <c r="F55">
        <v>10</v>
      </c>
      <c r="Q55" s="12" t="s">
        <v>68</v>
      </c>
      <c r="R55" s="12"/>
      <c r="S55" s="13"/>
      <c r="T55" s="13"/>
      <c r="U55" s="13">
        <v>400</v>
      </c>
      <c r="V55" s="58" t="e">
        <f>U55/#REF!</f>
        <v>#REF!</v>
      </c>
      <c r="W55" s="58"/>
      <c r="X55" s="58"/>
      <c r="AA55" s="31" t="e">
        <f>#REF!</f>
        <v>#REF!</v>
      </c>
      <c r="AB55" s="31">
        <f>U55*D55</f>
        <v>240</v>
      </c>
      <c r="AC55" s="63" t="e">
        <f>(#REF!+(#REF!*(F55/100)))/(1-#REF!/100)</f>
        <v>#REF!</v>
      </c>
      <c r="AD55" s="63"/>
      <c r="AE55" s="32" t="e">
        <f>AB55/AA55</f>
        <v>#REF!</v>
      </c>
      <c r="AF55" s="32"/>
      <c r="AG55" s="31" t="e">
        <f>#REF!</f>
        <v>#REF!</v>
      </c>
      <c r="AH55" s="31">
        <f>U55*(1-D55)</f>
        <v>160</v>
      </c>
      <c r="AI55" s="63" t="e">
        <f>(#REF!+(#REF!*(F55/100)))/(1-#REF!/100)</f>
        <v>#REF!</v>
      </c>
      <c r="AJ55" s="63"/>
      <c r="AK55" s="32" t="e">
        <f>AH55/AG55</f>
        <v>#REF!</v>
      </c>
      <c r="AL55" s="32" t="e">
        <f>AE55</f>
        <v>#REF!</v>
      </c>
      <c r="AM55" s="32"/>
      <c r="AN55" s="32" t="e">
        <f>AK55</f>
        <v>#REF!</v>
      </c>
      <c r="AO55" s="32" t="e">
        <f>AL55+AN55</f>
        <v>#REF!</v>
      </c>
      <c r="AQ55" s="52">
        <v>0</v>
      </c>
      <c r="AR55" s="50">
        <v>0</v>
      </c>
      <c r="AS55" s="52">
        <v>0</v>
      </c>
      <c r="AT55" s="50">
        <v>0</v>
      </c>
      <c r="AU55" s="52">
        <v>0</v>
      </c>
      <c r="AV55" s="54">
        <v>0</v>
      </c>
      <c r="AW55" s="52">
        <v>0</v>
      </c>
      <c r="AX55" s="50">
        <v>0</v>
      </c>
      <c r="AY55" s="52">
        <v>0</v>
      </c>
      <c r="AZ55" s="50">
        <v>0</v>
      </c>
      <c r="BA55" s="52">
        <v>0</v>
      </c>
      <c r="BB55" s="50">
        <v>0</v>
      </c>
      <c r="BC55" s="50"/>
      <c r="BD55" s="52">
        <v>0</v>
      </c>
      <c r="BE55" s="50">
        <v>0</v>
      </c>
      <c r="BF55" s="52">
        <v>0</v>
      </c>
      <c r="BG55" s="50">
        <v>0</v>
      </c>
      <c r="BH55" s="52">
        <v>0</v>
      </c>
      <c r="BI55" s="52">
        <v>0</v>
      </c>
      <c r="BJ55" s="50">
        <v>0</v>
      </c>
    </row>
    <row r="56" spans="2:62" ht="15.75" customHeight="1" x14ac:dyDescent="0.2">
      <c r="B56" s="36">
        <v>100</v>
      </c>
      <c r="C56" s="36"/>
      <c r="D56" s="37">
        <v>0.6</v>
      </c>
      <c r="E56" s="51">
        <v>5</v>
      </c>
      <c r="F56" s="35">
        <v>10</v>
      </c>
      <c r="G56" s="35"/>
      <c r="Q56" s="41" t="s">
        <v>69</v>
      </c>
      <c r="R56" s="41"/>
      <c r="S56" s="35"/>
      <c r="T56" s="59">
        <v>2</v>
      </c>
      <c r="U56" s="42"/>
      <c r="V56" s="59"/>
      <c r="W56" s="59"/>
      <c r="X56" s="59"/>
      <c r="AA56" s="38" t="e">
        <f>AA55/T56</f>
        <v>#REF!</v>
      </c>
      <c r="AB56" s="38">
        <f>AB55</f>
        <v>240</v>
      </c>
      <c r="AC56" s="65" t="e">
        <f>AC55/T56</f>
        <v>#REF!</v>
      </c>
      <c r="AD56" s="65"/>
      <c r="AE56" s="39" t="e">
        <f>AE55*T56</f>
        <v>#REF!</v>
      </c>
      <c r="AF56" s="32"/>
      <c r="AG56" s="38" t="e">
        <f>AG55/T56</f>
        <v>#REF!</v>
      </c>
      <c r="AH56" s="38">
        <f>AH55</f>
        <v>160</v>
      </c>
      <c r="AI56" s="65" t="e">
        <f>AI55/T56</f>
        <v>#REF!</v>
      </c>
      <c r="AJ56" s="65"/>
      <c r="AK56" s="39" t="e">
        <f>AK55*T56</f>
        <v>#REF!</v>
      </c>
      <c r="AL56" s="39" t="e">
        <f>AL55*T56</f>
        <v>#REF!</v>
      </c>
      <c r="AM56" s="39"/>
      <c r="AN56" s="39" t="e">
        <f>AN55*T56</f>
        <v>#REF!</v>
      </c>
      <c r="AO56" s="39" t="e">
        <f>AL56+AN56</f>
        <v>#REF!</v>
      </c>
      <c r="AQ56" s="40">
        <f t="shared" ref="AQ56:AV56" si="14">AQ55</f>
        <v>0</v>
      </c>
      <c r="AR56" s="51">
        <f t="shared" si="14"/>
        <v>0</v>
      </c>
      <c r="AS56" s="40">
        <f t="shared" si="14"/>
        <v>0</v>
      </c>
      <c r="AT56" s="51">
        <f t="shared" si="14"/>
        <v>0</v>
      </c>
      <c r="AU56" s="40">
        <f t="shared" si="14"/>
        <v>0</v>
      </c>
      <c r="AV56" s="55">
        <f t="shared" si="14"/>
        <v>0</v>
      </c>
      <c r="AW56" s="40">
        <f t="shared" ref="AW56:BB56" si="15">AW55</f>
        <v>0</v>
      </c>
      <c r="AX56" s="51">
        <f t="shared" si="15"/>
        <v>0</v>
      </c>
      <c r="AY56" s="40">
        <f t="shared" si="15"/>
        <v>0</v>
      </c>
      <c r="AZ56" s="51">
        <f t="shared" si="15"/>
        <v>0</v>
      </c>
      <c r="BA56" s="40">
        <f t="shared" si="15"/>
        <v>0</v>
      </c>
      <c r="BB56" s="51">
        <f t="shared" si="15"/>
        <v>0</v>
      </c>
      <c r="BC56" s="50"/>
      <c r="BD56" s="40">
        <f t="shared" ref="BD56:BJ56" si="16">BD55</f>
        <v>0</v>
      </c>
      <c r="BE56" s="51">
        <f t="shared" si="16"/>
        <v>0</v>
      </c>
      <c r="BF56" s="40">
        <f t="shared" si="16"/>
        <v>0</v>
      </c>
      <c r="BG56" s="51">
        <f t="shared" si="16"/>
        <v>0</v>
      </c>
      <c r="BH56" s="40">
        <f t="shared" si="16"/>
        <v>0</v>
      </c>
      <c r="BI56" s="40">
        <f t="shared" si="16"/>
        <v>0</v>
      </c>
      <c r="BJ56" s="51">
        <f t="shared" si="16"/>
        <v>0</v>
      </c>
    </row>
    <row r="57" spans="2:62" ht="15.75" customHeight="1" x14ac:dyDescent="0.2">
      <c r="B57" s="33">
        <v>100</v>
      </c>
      <c r="C57" s="33"/>
      <c r="D57" s="29">
        <v>0.6</v>
      </c>
      <c r="E57" s="50">
        <v>5</v>
      </c>
      <c r="F57">
        <v>10</v>
      </c>
      <c r="Q57" s="12" t="s">
        <v>71</v>
      </c>
      <c r="R57" s="12"/>
      <c r="S57" s="13"/>
      <c r="T57" s="13"/>
      <c r="U57" s="13">
        <v>300</v>
      </c>
      <c r="V57" s="58" t="e">
        <f>U57/#REF!</f>
        <v>#REF!</v>
      </c>
      <c r="W57" s="58"/>
      <c r="X57" s="58"/>
      <c r="AA57" s="31" t="e">
        <f>#REF!</f>
        <v>#REF!</v>
      </c>
      <c r="AB57" s="31">
        <f>U57*D57</f>
        <v>180</v>
      </c>
      <c r="AC57" s="63" t="e">
        <f>(#REF!+(#REF!*(F57/100)))/(1-#REF!/100)</f>
        <v>#REF!</v>
      </c>
      <c r="AD57" s="63"/>
      <c r="AE57" s="32" t="e">
        <f>AB57/AA57</f>
        <v>#REF!</v>
      </c>
      <c r="AF57" s="32"/>
      <c r="AG57" s="31" t="e">
        <f>#REF!</f>
        <v>#REF!</v>
      </c>
      <c r="AH57" s="31">
        <f>U57*(1-D57)</f>
        <v>120</v>
      </c>
      <c r="AI57" s="63" t="e">
        <f>(#REF!+(#REF!*(F57/100)))/(1-#REF!/100)</f>
        <v>#REF!</v>
      </c>
      <c r="AJ57" s="63"/>
      <c r="AK57" s="32" t="e">
        <f>AH57/AG57</f>
        <v>#REF!</v>
      </c>
      <c r="AL57" s="32" t="e">
        <f>AE57+AE58</f>
        <v>#REF!</v>
      </c>
      <c r="AM57" s="32"/>
      <c r="AN57" s="32" t="e">
        <f>AK57+AK58</f>
        <v>#REF!</v>
      </c>
      <c r="AO57" s="32" t="e">
        <f>AL57+AN57</f>
        <v>#REF!</v>
      </c>
      <c r="AQ57" s="52">
        <f>AQ55</f>
        <v>0</v>
      </c>
      <c r="AR57" s="50">
        <f t="shared" ref="AR57:AT57" si="17">AR55</f>
        <v>0</v>
      </c>
      <c r="AS57" s="52">
        <f t="shared" si="17"/>
        <v>0</v>
      </c>
      <c r="AT57" s="50">
        <f t="shared" si="17"/>
        <v>0</v>
      </c>
      <c r="AU57" s="52">
        <f>AU55</f>
        <v>0</v>
      </c>
      <c r="AV57" s="62">
        <f>AU57/U55</f>
        <v>0</v>
      </c>
      <c r="AW57" s="63" t="e">
        <f>(B57*AL57)-(AB57+AB58)</f>
        <v>#REF!</v>
      </c>
      <c r="AX57" s="62" t="e">
        <f>AW57/(AB57+AB58)</f>
        <v>#REF!</v>
      </c>
      <c r="AY57" s="63" t="e">
        <f>(AN57*B57)-(AH57+AH58)</f>
        <v>#REF!</v>
      </c>
      <c r="AZ57" s="62" t="e">
        <f>AY57/(AH57+AH58)</f>
        <v>#REF!</v>
      </c>
      <c r="BA57" s="63" t="e">
        <f>AW57+AY57</f>
        <v>#REF!</v>
      </c>
      <c r="BB57" s="62" t="e">
        <f>BA57/(AB57+AB58+AH57+AH58)</f>
        <v>#REF!</v>
      </c>
      <c r="BC57" s="50"/>
      <c r="BD57" s="63" t="e">
        <f>AQ57+AW57</f>
        <v>#REF!</v>
      </c>
      <c r="BE57" s="62" t="e">
        <f>AX57</f>
        <v>#REF!</v>
      </c>
      <c r="BF57" s="63" t="e">
        <f>AS57+AY57</f>
        <v>#REF!</v>
      </c>
      <c r="BG57" s="62" t="e">
        <f>BF57/(AH57+AH58)</f>
        <v>#REF!</v>
      </c>
      <c r="BH57" s="63">
        <f>BH55</f>
        <v>0</v>
      </c>
      <c r="BI57" s="63" t="e">
        <f>BD57+BF57+BH57</f>
        <v>#REF!</v>
      </c>
      <c r="BJ57" s="62" t="e">
        <f>BI57/(AB57+AB58+AH57+AH58)</f>
        <v>#REF!</v>
      </c>
    </row>
    <row r="58" spans="2:62" ht="15.75" customHeight="1" x14ac:dyDescent="0.2">
      <c r="B58" s="33"/>
      <c r="C58" s="33"/>
      <c r="D58" s="29"/>
      <c r="E58" s="50"/>
      <c r="Q58" s="12"/>
      <c r="R58" s="12"/>
      <c r="S58" s="13"/>
      <c r="T58" s="13"/>
      <c r="U58" s="13"/>
      <c r="V58" s="58"/>
      <c r="W58" s="58"/>
      <c r="X58" s="58"/>
      <c r="AA58" s="31" t="e">
        <f>AA56</f>
        <v>#REF!</v>
      </c>
      <c r="AB58" s="31">
        <f>AB56</f>
        <v>240</v>
      </c>
      <c r="AC58" s="63" t="e">
        <f>AC56</f>
        <v>#REF!</v>
      </c>
      <c r="AD58" s="63"/>
      <c r="AE58" s="32" t="e">
        <f>AE56</f>
        <v>#REF!</v>
      </c>
      <c r="AF58" s="32"/>
      <c r="AG58" s="31" t="e">
        <f>AG56</f>
        <v>#REF!</v>
      </c>
      <c r="AH58" s="31">
        <f>AH56</f>
        <v>160</v>
      </c>
      <c r="AI58" s="63" t="e">
        <f>AI56</f>
        <v>#REF!</v>
      </c>
      <c r="AJ58" s="63"/>
      <c r="AK58" s="32" t="e">
        <f>AK56</f>
        <v>#REF!</v>
      </c>
      <c r="AL58" s="32"/>
      <c r="AM58" s="32"/>
      <c r="AN58" s="32"/>
      <c r="AO58" s="32"/>
      <c r="AQ58" s="52"/>
      <c r="AR58" s="50"/>
      <c r="AS58" s="52"/>
      <c r="AT58" s="50"/>
      <c r="AU58" s="52"/>
      <c r="AV58" s="62"/>
      <c r="AW58" s="52"/>
      <c r="AX58" s="50"/>
      <c r="AY58" s="52"/>
      <c r="AZ58" s="50"/>
      <c r="BA58" s="52"/>
      <c r="BB58" s="50"/>
      <c r="BC58" s="50"/>
      <c r="BD58" s="52"/>
      <c r="BE58" s="50"/>
      <c r="BF58" s="52"/>
      <c r="BG58" s="50"/>
      <c r="BH58" s="63"/>
      <c r="BI58" s="63"/>
      <c r="BJ58" s="62"/>
    </row>
    <row r="59" spans="2:62" ht="15.75" customHeight="1" x14ac:dyDescent="0.2">
      <c r="B59" s="33"/>
      <c r="C59" s="33"/>
      <c r="D59" s="29"/>
      <c r="E59" s="50"/>
      <c r="Q59" s="12"/>
      <c r="R59" s="12"/>
      <c r="S59" s="13"/>
      <c r="T59" s="13"/>
      <c r="U59" s="13"/>
      <c r="V59" s="58"/>
      <c r="W59" s="58"/>
      <c r="X59" s="58"/>
      <c r="AA59" s="31"/>
      <c r="AB59" s="31"/>
      <c r="AC59" s="63"/>
      <c r="AD59" s="63"/>
      <c r="AE59" s="32"/>
      <c r="AF59" s="32"/>
      <c r="AG59" s="31"/>
      <c r="AH59" s="31"/>
      <c r="AI59" s="63"/>
      <c r="AJ59" s="63"/>
      <c r="AK59" s="32"/>
      <c r="AL59" s="32"/>
      <c r="AM59" s="32"/>
      <c r="AN59" s="32"/>
      <c r="AO59" s="32"/>
      <c r="AQ59" s="52"/>
      <c r="AR59" s="50"/>
      <c r="AS59" s="52"/>
      <c r="AT59" s="50"/>
      <c r="AU59" s="52"/>
      <c r="AV59" s="62"/>
      <c r="AW59" s="52"/>
      <c r="AX59" s="50"/>
      <c r="AY59" s="52"/>
      <c r="AZ59" s="50"/>
      <c r="BA59" s="52"/>
      <c r="BB59" s="50"/>
      <c r="BC59" s="50"/>
      <c r="BD59" s="52"/>
      <c r="BE59" s="50"/>
      <c r="BF59" s="52"/>
      <c r="BG59" s="50"/>
      <c r="BH59" s="63"/>
      <c r="BI59" s="63"/>
      <c r="BJ59" s="62"/>
    </row>
    <row r="60" spans="2:62" ht="15.75" customHeight="1" x14ac:dyDescent="0.2">
      <c r="B60" s="67" t="s">
        <v>37</v>
      </c>
      <c r="C60" s="111"/>
      <c r="S60" s="12"/>
      <c r="T60" s="12"/>
      <c r="U60" s="12"/>
      <c r="V60" s="12"/>
      <c r="W60" s="12"/>
      <c r="X60" s="12"/>
      <c r="Y60" s="12"/>
      <c r="Z60" s="12"/>
      <c r="AA60" s="56" t="s">
        <v>27</v>
      </c>
      <c r="AB60" s="12"/>
      <c r="AC60" s="12"/>
      <c r="AD60" s="12"/>
      <c r="AE60" s="12"/>
      <c r="AF60" s="12"/>
      <c r="AG60" s="56" t="s">
        <v>28</v>
      </c>
      <c r="AH60" s="12"/>
      <c r="AI60" s="12"/>
      <c r="AJ60" s="12"/>
      <c r="AK60" s="12"/>
      <c r="AR60" s="33"/>
      <c r="AW60" s="63"/>
    </row>
    <row r="61" spans="2:62" ht="15.75" customHeight="1" x14ac:dyDescent="0.2">
      <c r="B61" s="28" t="s">
        <v>61</v>
      </c>
      <c r="C61" s="28"/>
      <c r="D61" s="28" t="s">
        <v>29</v>
      </c>
      <c r="E61" s="57" t="s">
        <v>63</v>
      </c>
      <c r="F61" s="57" t="s">
        <v>72</v>
      </c>
      <c r="G61" s="57"/>
      <c r="H61" s="103"/>
      <c r="I61" s="103"/>
      <c r="J61" s="103"/>
      <c r="K61" s="103"/>
      <c r="L61" s="103"/>
      <c r="M61" s="103"/>
      <c r="N61" s="103"/>
      <c r="O61" s="103"/>
      <c r="Q61" s="28" t="s">
        <v>3</v>
      </c>
      <c r="R61" s="28"/>
      <c r="S61" s="57" t="s">
        <v>50</v>
      </c>
      <c r="T61" s="57" t="s">
        <v>70</v>
      </c>
      <c r="U61" s="28" t="s">
        <v>1</v>
      </c>
      <c r="V61" s="57" t="s">
        <v>62</v>
      </c>
      <c r="W61" s="57" t="s">
        <v>9</v>
      </c>
      <c r="X61" s="57"/>
      <c r="Y61" s="60"/>
      <c r="Z61" s="12"/>
      <c r="AA61" s="28" t="s">
        <v>30</v>
      </c>
      <c r="AB61" s="28" t="s">
        <v>1</v>
      </c>
      <c r="AC61" s="57" t="s">
        <v>10</v>
      </c>
      <c r="AD61" s="57"/>
      <c r="AE61" s="57" t="s">
        <v>64</v>
      </c>
      <c r="AF61" s="60"/>
      <c r="AG61" s="28" t="s">
        <v>30</v>
      </c>
      <c r="AH61" s="28" t="s">
        <v>1</v>
      </c>
      <c r="AI61" s="57" t="s">
        <v>10</v>
      </c>
      <c r="AJ61" s="57"/>
      <c r="AK61" s="57" t="s">
        <v>64</v>
      </c>
      <c r="AR61" s="33"/>
    </row>
    <row r="62" spans="2:62" ht="15.75" customHeight="1" x14ac:dyDescent="0.2">
      <c r="B62" s="33">
        <v>100</v>
      </c>
      <c r="C62" s="33"/>
      <c r="D62" s="29">
        <v>0.6</v>
      </c>
      <c r="E62" s="50">
        <v>5</v>
      </c>
      <c r="F62">
        <v>10</v>
      </c>
      <c r="Q62" t="s">
        <v>38</v>
      </c>
      <c r="S62" s="33"/>
      <c r="T62" s="33"/>
      <c r="U62" s="33">
        <v>200</v>
      </c>
      <c r="V62" s="33"/>
      <c r="W62" s="33"/>
      <c r="X62" s="33"/>
      <c r="Y62" s="68"/>
      <c r="AA62" s="33" t="e">
        <f>#REF!</f>
        <v>#REF!</v>
      </c>
      <c r="AB62" s="33">
        <f>U62*D62</f>
        <v>120</v>
      </c>
      <c r="AC62" s="33"/>
      <c r="AD62" s="33"/>
      <c r="AE62" s="44" t="e">
        <f>AB62/AA62</f>
        <v>#REF!</v>
      </c>
      <c r="AF62" s="44"/>
      <c r="AG62" s="33" t="e">
        <f>#REF!</f>
        <v>#REF!</v>
      </c>
      <c r="AH62" s="31">
        <f>U62*(1-D62)</f>
        <v>80</v>
      </c>
      <c r="AI62" s="33"/>
      <c r="AJ62" s="33"/>
      <c r="AK62" s="32" t="e">
        <f>AH62/AG62</f>
        <v>#REF!</v>
      </c>
    </row>
    <row r="63" spans="2:62" ht="15.75" customHeight="1" x14ac:dyDescent="0.2">
      <c r="B63" s="36">
        <v>100</v>
      </c>
      <c r="C63" s="36"/>
      <c r="D63" s="37">
        <v>0.6</v>
      </c>
      <c r="E63" s="51">
        <v>5</v>
      </c>
      <c r="F63" s="35">
        <v>10</v>
      </c>
      <c r="G63" s="35"/>
      <c r="Q63" s="35" t="s">
        <v>39</v>
      </c>
      <c r="R63" s="35"/>
      <c r="S63" s="35"/>
      <c r="T63" s="35"/>
      <c r="U63" s="35"/>
      <c r="V63" s="35"/>
      <c r="W63" s="35"/>
      <c r="X63" s="35"/>
      <c r="AA63" s="38" t="s">
        <v>34</v>
      </c>
      <c r="AB63" s="38" t="s">
        <v>34</v>
      </c>
      <c r="AC63" s="38"/>
      <c r="AD63" s="38"/>
      <c r="AE63" s="38" t="s">
        <v>34</v>
      </c>
      <c r="AF63" s="31"/>
      <c r="AG63" s="38" t="s">
        <v>34</v>
      </c>
      <c r="AH63" s="38" t="s">
        <v>34</v>
      </c>
      <c r="AI63" s="38"/>
      <c r="AJ63" s="38"/>
      <c r="AK63" s="38" t="s">
        <v>34</v>
      </c>
    </row>
    <row r="64" spans="2:62" ht="15.75" customHeight="1" x14ac:dyDescent="0.2">
      <c r="B64" s="33">
        <v>100</v>
      </c>
      <c r="C64" s="33"/>
      <c r="D64" s="29">
        <v>0.6</v>
      </c>
      <c r="E64" s="50">
        <v>5</v>
      </c>
      <c r="F64">
        <v>10</v>
      </c>
      <c r="Q64" t="s">
        <v>40</v>
      </c>
      <c r="S64" s="33"/>
      <c r="T64" s="33"/>
      <c r="U64" s="33">
        <v>500</v>
      </c>
      <c r="V64" s="33"/>
      <c r="W64" s="33"/>
      <c r="X64" s="33"/>
      <c r="Y64" s="68"/>
      <c r="AA64" s="33" t="e">
        <f>#REF!</f>
        <v>#REF!</v>
      </c>
      <c r="AB64" s="33">
        <f>U64</f>
        <v>500</v>
      </c>
      <c r="AC64" s="33"/>
      <c r="AD64" s="33"/>
      <c r="AE64" s="44" t="e">
        <f>AB64/AA64</f>
        <v>#REF!</v>
      </c>
      <c r="AF64" s="44"/>
      <c r="AG64" s="31" t="s">
        <v>34</v>
      </c>
      <c r="AH64" s="31" t="s">
        <v>34</v>
      </c>
      <c r="AI64" s="33"/>
      <c r="AJ64" s="33"/>
      <c r="AK64" s="31" t="s">
        <v>34</v>
      </c>
    </row>
    <row r="65" spans="2:42" ht="15.75" customHeight="1" x14ac:dyDescent="0.2">
      <c r="B65" s="36">
        <v>100</v>
      </c>
      <c r="C65" s="36"/>
      <c r="D65" s="37">
        <v>0.6</v>
      </c>
      <c r="E65" s="51">
        <v>5</v>
      </c>
      <c r="F65" s="35">
        <v>10</v>
      </c>
      <c r="G65" s="35"/>
      <c r="Q65" s="35" t="s">
        <v>41</v>
      </c>
      <c r="R65" s="35"/>
      <c r="S65" s="35"/>
      <c r="T65" s="35"/>
      <c r="U65" s="35"/>
      <c r="V65" s="35"/>
      <c r="W65" s="35"/>
      <c r="X65" s="35"/>
      <c r="AA65" s="38" t="s">
        <v>34</v>
      </c>
      <c r="AB65" s="38" t="s">
        <v>34</v>
      </c>
      <c r="AC65" s="38"/>
      <c r="AD65" s="38"/>
      <c r="AE65" s="38" t="s">
        <v>34</v>
      </c>
      <c r="AF65" s="31"/>
      <c r="AG65" s="38" t="s">
        <v>34</v>
      </c>
      <c r="AH65" s="38" t="s">
        <v>34</v>
      </c>
      <c r="AI65" s="38"/>
      <c r="AJ65" s="38"/>
      <c r="AK65" s="38" t="s">
        <v>34</v>
      </c>
    </row>
    <row r="66" spans="2:42" ht="15.75" customHeight="1" x14ac:dyDescent="0.2">
      <c r="B66" s="33">
        <v>100</v>
      </c>
      <c r="C66" s="33"/>
      <c r="D66" s="29">
        <v>0.6</v>
      </c>
      <c r="E66" s="50">
        <v>5</v>
      </c>
      <c r="F66">
        <v>10</v>
      </c>
      <c r="Q66" t="s">
        <v>42</v>
      </c>
      <c r="S66" s="33"/>
      <c r="T66" s="33"/>
      <c r="U66" s="33">
        <v>350</v>
      </c>
      <c r="V66" s="33"/>
      <c r="W66" s="33"/>
      <c r="X66" s="33"/>
      <c r="Y66" s="68"/>
      <c r="AA66" s="31" t="s">
        <v>34</v>
      </c>
      <c r="AB66" s="31" t="s">
        <v>34</v>
      </c>
      <c r="AC66" s="31"/>
      <c r="AD66" s="31"/>
      <c r="AE66" s="31" t="s">
        <v>34</v>
      </c>
      <c r="AF66" s="31"/>
      <c r="AG66" s="33" t="e">
        <f>#REF!</f>
        <v>#REF!</v>
      </c>
      <c r="AH66" s="31">
        <f>U66*(1-D66)</f>
        <v>140</v>
      </c>
      <c r="AI66" s="31"/>
      <c r="AJ66" s="31"/>
      <c r="AK66" s="32" t="e">
        <f>AH66/AG66</f>
        <v>#REF!</v>
      </c>
    </row>
    <row r="67" spans="2:42" ht="15.75" customHeight="1" x14ac:dyDescent="0.2">
      <c r="B67" s="36">
        <v>100</v>
      </c>
      <c r="C67" s="36"/>
      <c r="D67" s="37">
        <v>0.6</v>
      </c>
      <c r="E67" s="51">
        <v>5</v>
      </c>
      <c r="F67" s="35">
        <v>10</v>
      </c>
      <c r="G67" s="35"/>
      <c r="Q67" s="35" t="s">
        <v>43</v>
      </c>
      <c r="R67" s="35"/>
      <c r="S67" s="35"/>
      <c r="T67" s="35"/>
      <c r="U67" s="35"/>
      <c r="V67" s="35"/>
      <c r="W67" s="35"/>
      <c r="X67" s="35"/>
      <c r="AA67" s="38" t="s">
        <v>34</v>
      </c>
      <c r="AB67" s="38" t="s">
        <v>34</v>
      </c>
      <c r="AC67" s="38"/>
      <c r="AD67" s="38"/>
      <c r="AE67" s="38" t="s">
        <v>34</v>
      </c>
      <c r="AF67" s="31"/>
      <c r="AG67" s="38" t="s">
        <v>34</v>
      </c>
      <c r="AH67" s="38" t="s">
        <v>34</v>
      </c>
      <c r="AI67" s="38"/>
      <c r="AJ67" s="38"/>
      <c r="AK67" s="38" t="s">
        <v>34</v>
      </c>
    </row>
    <row r="69" spans="2:42" ht="15.75" customHeight="1" x14ac:dyDescent="0.2">
      <c r="B69" s="66" t="s">
        <v>44</v>
      </c>
      <c r="C69" s="34"/>
      <c r="AA69" s="56" t="s">
        <v>27</v>
      </c>
      <c r="AB69" s="12"/>
      <c r="AC69" s="12"/>
      <c r="AD69" s="12"/>
      <c r="AE69" s="12"/>
      <c r="AF69" s="12"/>
      <c r="AG69" s="56" t="s">
        <v>28</v>
      </c>
      <c r="AI69" s="12"/>
      <c r="AJ69" s="12"/>
    </row>
    <row r="70" spans="2:42" ht="15.75" customHeight="1" x14ac:dyDescent="0.2">
      <c r="B70" s="28" t="s">
        <v>61</v>
      </c>
      <c r="C70" s="28"/>
      <c r="D70" s="28" t="s">
        <v>29</v>
      </c>
      <c r="E70" s="57" t="s">
        <v>63</v>
      </c>
      <c r="F70" s="57" t="s">
        <v>72</v>
      </c>
      <c r="G70" s="57"/>
      <c r="H70" s="103"/>
      <c r="I70" s="103"/>
      <c r="J70" s="103"/>
      <c r="K70" s="103"/>
      <c r="L70" s="103"/>
      <c r="M70" s="103"/>
      <c r="N70" s="103"/>
      <c r="O70" s="103"/>
      <c r="Q70" s="28" t="s">
        <v>3</v>
      </c>
      <c r="R70" s="28"/>
      <c r="S70" s="57" t="s">
        <v>50</v>
      </c>
      <c r="T70" s="57" t="s">
        <v>70</v>
      </c>
      <c r="U70" s="28" t="s">
        <v>1</v>
      </c>
      <c r="V70" s="57" t="s">
        <v>62</v>
      </c>
      <c r="W70" s="57" t="s">
        <v>9</v>
      </c>
      <c r="X70" s="57"/>
      <c r="Y70" s="60"/>
      <c r="Z70" s="12"/>
      <c r="AA70" s="28" t="s">
        <v>30</v>
      </c>
      <c r="AB70" s="28" t="s">
        <v>1</v>
      </c>
      <c r="AC70" s="57" t="s">
        <v>10</v>
      </c>
      <c r="AD70" s="57"/>
      <c r="AE70" s="57" t="s">
        <v>64</v>
      </c>
      <c r="AF70" s="60"/>
      <c r="AG70" s="28" t="s">
        <v>30</v>
      </c>
      <c r="AH70" s="28" t="s">
        <v>1</v>
      </c>
      <c r="AI70" s="57" t="s">
        <v>10</v>
      </c>
      <c r="AJ70" s="57"/>
      <c r="AK70" s="57" t="s">
        <v>64</v>
      </c>
    </row>
    <row r="71" spans="2:42" ht="15.75" customHeight="1" x14ac:dyDescent="0.2">
      <c r="B71" s="33">
        <v>100</v>
      </c>
      <c r="C71" s="33"/>
      <c r="D71" s="29">
        <v>0.3</v>
      </c>
      <c r="E71" s="50">
        <v>5</v>
      </c>
      <c r="F71">
        <v>10</v>
      </c>
      <c r="Q71" s="45" t="s">
        <v>47</v>
      </c>
      <c r="R71" s="45"/>
      <c r="S71" s="33"/>
      <c r="T71" s="33"/>
      <c r="U71" s="33">
        <v>200</v>
      </c>
      <c r="V71" s="33"/>
      <c r="W71" s="33"/>
      <c r="X71" s="33"/>
      <c r="Y71" s="68"/>
      <c r="AA71" s="33" t="e">
        <f>#REF!</f>
        <v>#REF!</v>
      </c>
      <c r="AB71" s="33">
        <f>U71*D71</f>
        <v>60</v>
      </c>
      <c r="AC71" s="33"/>
      <c r="AD71" s="33"/>
      <c r="AE71" s="44" t="e">
        <f>AB71/AA71</f>
        <v>#REF!</v>
      </c>
      <c r="AF71" s="44"/>
      <c r="AG71" s="33" t="e">
        <f>#REF!</f>
        <v>#REF!</v>
      </c>
      <c r="AH71" s="31">
        <f>U71*(1-D71)</f>
        <v>140</v>
      </c>
      <c r="AI71" s="33"/>
      <c r="AJ71" s="33"/>
      <c r="AK71" s="32" t="e">
        <f>AH71/AG71</f>
        <v>#REF!</v>
      </c>
    </row>
    <row r="72" spans="2:42" ht="15.75" customHeight="1" x14ac:dyDescent="0.2">
      <c r="B72" s="36">
        <v>100</v>
      </c>
      <c r="C72" s="36"/>
      <c r="D72" s="37">
        <v>0.3</v>
      </c>
      <c r="E72" s="51">
        <v>5</v>
      </c>
      <c r="F72" s="35">
        <v>10</v>
      </c>
      <c r="G72" s="35"/>
      <c r="Q72" s="47" t="s">
        <v>45</v>
      </c>
      <c r="R72" s="47"/>
      <c r="S72" s="36"/>
      <c r="T72" s="36"/>
      <c r="U72" s="36">
        <v>300</v>
      </c>
      <c r="V72" s="36"/>
      <c r="W72" s="36"/>
      <c r="X72" s="36"/>
      <c r="Y72" s="68"/>
      <c r="AA72" s="36" t="e">
        <f>#REF!</f>
        <v>#REF!</v>
      </c>
      <c r="AB72" s="36">
        <f>U72+AB71</f>
        <v>360</v>
      </c>
      <c r="AC72" s="36"/>
      <c r="AD72" s="36"/>
      <c r="AE72" s="48" t="e">
        <f>AB72/AA72</f>
        <v>#REF!</v>
      </c>
      <c r="AF72" s="44"/>
      <c r="AG72" s="36">
        <v>100</v>
      </c>
      <c r="AH72" s="38">
        <f>AH71</f>
        <v>140</v>
      </c>
      <c r="AI72" s="36"/>
      <c r="AJ72" s="36"/>
      <c r="AK72" s="39">
        <v>1.4</v>
      </c>
    </row>
    <row r="73" spans="2:42" ht="15.75" customHeight="1" x14ac:dyDescent="0.2">
      <c r="B73" s="33">
        <v>100</v>
      </c>
      <c r="C73" s="33"/>
      <c r="D73" s="29">
        <v>0.3</v>
      </c>
      <c r="E73" s="50">
        <v>5</v>
      </c>
      <c r="F73">
        <v>10</v>
      </c>
      <c r="Q73" s="45" t="s">
        <v>46</v>
      </c>
      <c r="R73" s="45"/>
      <c r="S73" s="33"/>
      <c r="T73" s="33"/>
      <c r="U73" s="33">
        <v>400</v>
      </c>
      <c r="V73" s="33"/>
      <c r="W73" s="33"/>
      <c r="X73" s="33"/>
      <c r="AA73" s="33">
        <v>100</v>
      </c>
      <c r="AB73" s="33">
        <f>AB72</f>
        <v>360</v>
      </c>
      <c r="AC73" s="33"/>
      <c r="AD73" s="33"/>
      <c r="AE73" s="44">
        <v>3.6</v>
      </c>
      <c r="AF73" s="44"/>
      <c r="AG73" s="33" t="e">
        <f>#REF!</f>
        <v>#REF!</v>
      </c>
      <c r="AH73" s="33">
        <f>U73+AH72</f>
        <v>540</v>
      </c>
      <c r="AI73" s="33"/>
      <c r="AJ73" s="33"/>
      <c r="AK73" s="32" t="e">
        <f>AH73/AG73</f>
        <v>#REF!</v>
      </c>
    </row>
    <row r="74" spans="2:42" ht="15.75" customHeight="1" x14ac:dyDescent="0.2">
      <c r="B74" s="36">
        <v>100</v>
      </c>
      <c r="C74" s="36"/>
      <c r="D74" s="37">
        <v>0.3</v>
      </c>
      <c r="E74" s="51">
        <v>5</v>
      </c>
      <c r="F74" s="35">
        <v>10</v>
      </c>
      <c r="G74" s="35"/>
      <c r="Q74" s="47" t="s">
        <v>48</v>
      </c>
      <c r="R74" s="47"/>
      <c r="S74" s="36"/>
      <c r="T74" s="36"/>
      <c r="U74" s="36">
        <v>500</v>
      </c>
      <c r="V74" s="36"/>
      <c r="W74" s="36"/>
      <c r="X74" s="36"/>
      <c r="Y74" s="68"/>
      <c r="AA74" s="36" t="e">
        <f>#REF!</f>
        <v>#REF!</v>
      </c>
      <c r="AB74" s="36">
        <f>AB73+(U74*D74)</f>
        <v>510</v>
      </c>
      <c r="AC74" s="36"/>
      <c r="AD74" s="36"/>
      <c r="AE74" s="48" t="e">
        <f>AB74/AA74</f>
        <v>#REF!</v>
      </c>
      <c r="AF74" s="44"/>
      <c r="AG74" s="36" t="e">
        <f>#REF!</f>
        <v>#REF!</v>
      </c>
      <c r="AH74" s="36">
        <f>AH73+(U74*(1-D74))</f>
        <v>890</v>
      </c>
      <c r="AI74" s="36"/>
      <c r="AJ74" s="36"/>
      <c r="AK74" s="39" t="e">
        <f>AH74/AG74</f>
        <v>#REF!</v>
      </c>
    </row>
    <row r="76" spans="2:42" ht="15.75" customHeight="1" x14ac:dyDescent="0.2">
      <c r="B76" s="66" t="s">
        <v>98</v>
      </c>
      <c r="C76" s="34"/>
      <c r="AA76" s="56" t="s">
        <v>27</v>
      </c>
      <c r="AB76" s="12"/>
      <c r="AC76" s="12"/>
      <c r="AD76" s="12"/>
      <c r="AE76" s="12"/>
      <c r="AF76" s="12"/>
      <c r="AG76" s="56" t="s">
        <v>28</v>
      </c>
      <c r="AI76" s="12"/>
      <c r="AJ76" s="12"/>
      <c r="AM76" s="34" t="s">
        <v>179</v>
      </c>
    </row>
    <row r="77" spans="2:42" ht="15.75" customHeight="1" x14ac:dyDescent="0.2">
      <c r="B77" s="28" t="s">
        <v>61</v>
      </c>
      <c r="C77" s="28"/>
      <c r="D77" s="28" t="s">
        <v>29</v>
      </c>
      <c r="E77" s="57" t="s">
        <v>63</v>
      </c>
      <c r="F77" s="57" t="s">
        <v>72</v>
      </c>
      <c r="G77" s="57" t="s">
        <v>99</v>
      </c>
      <c r="H77" s="103"/>
      <c r="I77" s="103"/>
      <c r="J77" s="103"/>
      <c r="K77" s="103"/>
      <c r="L77" s="103"/>
      <c r="M77" s="103"/>
      <c r="N77" s="103"/>
      <c r="O77" s="103"/>
      <c r="Q77" s="28" t="s">
        <v>3</v>
      </c>
      <c r="R77" s="28"/>
      <c r="S77" s="57" t="s">
        <v>50</v>
      </c>
      <c r="T77" s="57" t="s">
        <v>70</v>
      </c>
      <c r="U77" s="28" t="s">
        <v>1</v>
      </c>
      <c r="V77" s="57" t="s">
        <v>62</v>
      </c>
      <c r="W77" s="57" t="s">
        <v>9</v>
      </c>
      <c r="X77" s="57"/>
      <c r="Y77" s="60"/>
      <c r="Z77" s="12"/>
      <c r="AA77" s="28" t="s">
        <v>30</v>
      </c>
      <c r="AB77" s="28" t="s">
        <v>1</v>
      </c>
      <c r="AC77" s="57" t="s">
        <v>72</v>
      </c>
      <c r="AD77" s="57" t="s">
        <v>100</v>
      </c>
      <c r="AE77" s="57" t="s">
        <v>64</v>
      </c>
      <c r="AF77" s="60"/>
      <c r="AG77" s="28" t="s">
        <v>30</v>
      </c>
      <c r="AH77" s="28" t="s">
        <v>1</v>
      </c>
      <c r="AI77" s="57" t="s">
        <v>99</v>
      </c>
      <c r="AJ77" s="57" t="s">
        <v>101</v>
      </c>
      <c r="AK77" s="57" t="s">
        <v>64</v>
      </c>
      <c r="AM77" s="28" t="s">
        <v>100</v>
      </c>
      <c r="AN77" s="57" t="s">
        <v>101</v>
      </c>
      <c r="AO77" s="103"/>
      <c r="AP77" s="103"/>
    </row>
    <row r="78" spans="2:42" ht="15.75" customHeight="1" x14ac:dyDescent="0.2">
      <c r="B78" s="33">
        <v>100</v>
      </c>
      <c r="C78" s="33" t="s">
        <v>187</v>
      </c>
      <c r="D78" s="29">
        <v>0.5</v>
      </c>
      <c r="E78" s="50">
        <v>5</v>
      </c>
      <c r="F78">
        <v>10</v>
      </c>
      <c r="G78">
        <v>20</v>
      </c>
      <c r="Q78" s="45" t="s">
        <v>102</v>
      </c>
      <c r="R78" s="45"/>
      <c r="S78" s="33"/>
      <c r="T78" s="33"/>
      <c r="U78" s="33">
        <v>200</v>
      </c>
      <c r="V78" s="50" t="e">
        <f>U78/#REF!</f>
        <v>#REF!</v>
      </c>
      <c r="W78" s="33"/>
      <c r="X78" s="33"/>
      <c r="Y78" s="68"/>
      <c r="AA78" s="33" t="e">
        <f>#REF!</f>
        <v>#REF!</v>
      </c>
      <c r="AB78" s="33">
        <f>U78*D78</f>
        <v>100</v>
      </c>
      <c r="AC78" s="52" t="e">
        <f>AA78*(1+F78/100)/(1-#REF!/100)</f>
        <v>#REF!</v>
      </c>
      <c r="AD78" s="97" t="e">
        <f t="shared" ref="AD78:AD86" si="18">(B78-AC78)/AC78</f>
        <v>#REF!</v>
      </c>
      <c r="AE78" s="44" t="e">
        <f>AB78/AA78</f>
        <v>#REF!</v>
      </c>
      <c r="AF78" s="44"/>
      <c r="AG78" s="33" t="e">
        <f>#REF!</f>
        <v>#REF!</v>
      </c>
      <c r="AH78" s="31">
        <f>U78*(1-D78)</f>
        <v>100</v>
      </c>
      <c r="AI78" s="52" t="e">
        <f>AG78*(1+G78/100)/(1-#REF!/100)</f>
        <v>#REF!</v>
      </c>
      <c r="AJ78" s="54" t="e">
        <f t="shared" ref="AJ78:AJ86" si="19">(B78-AI78)/AI78</f>
        <v>#REF!</v>
      </c>
      <c r="AK78" s="32" t="e">
        <f>AH78/AG78</f>
        <v>#REF!</v>
      </c>
      <c r="AM78" s="54" t="e">
        <f t="shared" ref="AM78:AM86" si="20">(B78-AC78)/AC78</f>
        <v>#REF!</v>
      </c>
      <c r="AN78" s="54" t="e">
        <f t="shared" ref="AN78:AN86" si="21">(B78-AI78)/AI78</f>
        <v>#REF!</v>
      </c>
    </row>
    <row r="79" spans="2:42" ht="15.75" customHeight="1" x14ac:dyDescent="0.2">
      <c r="B79" s="36">
        <v>109</v>
      </c>
      <c r="C79" s="36" t="s">
        <v>187</v>
      </c>
      <c r="D79" s="37">
        <v>0.5</v>
      </c>
      <c r="E79" s="51">
        <v>5</v>
      </c>
      <c r="F79" s="35">
        <v>10</v>
      </c>
      <c r="G79" s="35">
        <v>20</v>
      </c>
      <c r="Q79" s="47"/>
      <c r="R79" s="47"/>
      <c r="S79" s="36"/>
      <c r="T79" s="36"/>
      <c r="U79" s="36"/>
      <c r="V79" s="51"/>
      <c r="W79" s="36"/>
      <c r="X79" s="36"/>
      <c r="Y79" s="68"/>
      <c r="AA79" s="36" t="e">
        <f t="shared" ref="AA79:AC81" si="22">AA78</f>
        <v>#REF!</v>
      </c>
      <c r="AB79" s="36">
        <f t="shared" si="22"/>
        <v>100</v>
      </c>
      <c r="AC79" s="40" t="e">
        <f t="shared" si="22"/>
        <v>#REF!</v>
      </c>
      <c r="AD79" s="118" t="e">
        <f t="shared" si="18"/>
        <v>#REF!</v>
      </c>
      <c r="AE79" s="48" t="e">
        <f>AE78</f>
        <v>#REF!</v>
      </c>
      <c r="AF79" s="44"/>
      <c r="AG79" s="36">
        <v>100</v>
      </c>
      <c r="AH79" s="38">
        <f t="shared" ref="AH79:AI81" si="23">AH78</f>
        <v>100</v>
      </c>
      <c r="AI79" s="40" t="e">
        <f t="shared" si="23"/>
        <v>#REF!</v>
      </c>
      <c r="AJ79" s="55" t="e">
        <f t="shared" si="19"/>
        <v>#REF!</v>
      </c>
      <c r="AK79" s="39" t="e">
        <f>AK78</f>
        <v>#REF!</v>
      </c>
      <c r="AM79" s="117" t="e">
        <f t="shared" si="20"/>
        <v>#REF!</v>
      </c>
      <c r="AN79" s="55" t="e">
        <f t="shared" si="21"/>
        <v>#REF!</v>
      </c>
    </row>
    <row r="80" spans="2:42" ht="15.75" customHeight="1" x14ac:dyDescent="0.2">
      <c r="B80" s="33">
        <v>115</v>
      </c>
      <c r="C80" s="33" t="s">
        <v>187</v>
      </c>
      <c r="D80" s="29">
        <v>0.5</v>
      </c>
      <c r="E80" s="50">
        <v>5</v>
      </c>
      <c r="F80">
        <v>10</v>
      </c>
      <c r="G80">
        <v>20</v>
      </c>
      <c r="Q80" s="45"/>
      <c r="R80" s="45"/>
      <c r="S80" s="33"/>
      <c r="T80" s="33"/>
      <c r="U80" s="33"/>
      <c r="V80" s="50"/>
      <c r="W80" s="33"/>
      <c r="X80" s="33"/>
      <c r="AA80" s="33" t="e">
        <f t="shared" si="22"/>
        <v>#REF!</v>
      </c>
      <c r="AB80" s="33">
        <f t="shared" si="22"/>
        <v>100</v>
      </c>
      <c r="AC80" s="120" t="e">
        <f t="shared" si="22"/>
        <v>#REF!</v>
      </c>
      <c r="AD80" s="115" t="e">
        <f t="shared" si="18"/>
        <v>#REF!</v>
      </c>
      <c r="AE80" s="44" t="e">
        <f>AE79</f>
        <v>#REF!</v>
      </c>
      <c r="AF80" s="44"/>
      <c r="AG80" s="33">
        <v>100</v>
      </c>
      <c r="AH80" s="31">
        <f t="shared" si="23"/>
        <v>100</v>
      </c>
      <c r="AI80" s="52" t="e">
        <f t="shared" si="23"/>
        <v>#REF!</v>
      </c>
      <c r="AJ80" s="62" t="e">
        <f t="shared" si="19"/>
        <v>#REF!</v>
      </c>
      <c r="AK80" s="32" t="e">
        <f>AK79</f>
        <v>#REF!</v>
      </c>
      <c r="AM80" s="119" t="e">
        <f t="shared" si="20"/>
        <v>#REF!</v>
      </c>
      <c r="AN80" s="54" t="e">
        <f t="shared" si="21"/>
        <v>#REF!</v>
      </c>
    </row>
    <row r="81" spans="2:40" ht="15.75" customHeight="1" x14ac:dyDescent="0.2">
      <c r="B81" s="36">
        <v>122</v>
      </c>
      <c r="C81" s="36" t="s">
        <v>187</v>
      </c>
      <c r="D81" s="37">
        <v>0.5</v>
      </c>
      <c r="E81" s="51">
        <v>5</v>
      </c>
      <c r="F81" s="35">
        <v>10</v>
      </c>
      <c r="G81" s="35">
        <v>20</v>
      </c>
      <c r="Q81" s="47"/>
      <c r="R81" s="47"/>
      <c r="S81" s="36"/>
      <c r="T81" s="36"/>
      <c r="U81" s="36"/>
      <c r="V81" s="51"/>
      <c r="W81" s="36"/>
      <c r="X81" s="36"/>
      <c r="Y81" s="68"/>
      <c r="AA81" s="36" t="e">
        <f t="shared" si="22"/>
        <v>#REF!</v>
      </c>
      <c r="AB81" s="36">
        <f t="shared" si="22"/>
        <v>100</v>
      </c>
      <c r="AC81" s="121" t="e">
        <f t="shared" si="22"/>
        <v>#REF!</v>
      </c>
      <c r="AD81" s="116" t="e">
        <f t="shared" si="18"/>
        <v>#REF!</v>
      </c>
      <c r="AE81" s="48" t="e">
        <f>AE80</f>
        <v>#REF!</v>
      </c>
      <c r="AF81" s="44"/>
      <c r="AG81" s="36">
        <v>100</v>
      </c>
      <c r="AH81" s="38">
        <f t="shared" si="23"/>
        <v>100</v>
      </c>
      <c r="AI81" s="121" t="e">
        <f t="shared" si="23"/>
        <v>#REF!</v>
      </c>
      <c r="AJ81" s="116" t="e">
        <f t="shared" si="19"/>
        <v>#REF!</v>
      </c>
      <c r="AK81" s="39" t="e">
        <f>AK80</f>
        <v>#REF!</v>
      </c>
      <c r="AM81" s="116" t="e">
        <f t="shared" si="20"/>
        <v>#REF!</v>
      </c>
      <c r="AN81" s="116" t="e">
        <f t="shared" si="21"/>
        <v>#REF!</v>
      </c>
    </row>
    <row r="82" spans="2:40" ht="15.75" customHeight="1" x14ac:dyDescent="0.2">
      <c r="B82" s="33">
        <v>100</v>
      </c>
      <c r="C82" s="33" t="s">
        <v>188</v>
      </c>
      <c r="D82" s="29">
        <v>0.5</v>
      </c>
      <c r="E82" s="50">
        <v>5</v>
      </c>
      <c r="F82">
        <v>10</v>
      </c>
      <c r="G82">
        <v>20</v>
      </c>
      <c r="Q82" s="45" t="s">
        <v>102</v>
      </c>
      <c r="R82" s="45"/>
      <c r="S82" s="33"/>
      <c r="T82" s="33"/>
      <c r="U82" s="33">
        <v>200</v>
      </c>
      <c r="V82" s="50" t="e">
        <f>U82/#REF!</f>
        <v>#REF!</v>
      </c>
      <c r="W82" s="33"/>
      <c r="X82" s="33"/>
      <c r="Y82" s="68"/>
      <c r="AA82" s="33" t="e">
        <f>#REF!</f>
        <v>#REF!</v>
      </c>
      <c r="AB82" s="33">
        <f>U82*D82</f>
        <v>100</v>
      </c>
      <c r="AC82" s="52" t="e">
        <f>AA82*(1+F82/100)/(1-#REF!/100)</f>
        <v>#REF!</v>
      </c>
      <c r="AD82" s="97" t="e">
        <f t="shared" si="18"/>
        <v>#REF!</v>
      </c>
      <c r="AE82" s="44" t="e">
        <f>AB82/AA82</f>
        <v>#REF!</v>
      </c>
      <c r="AF82" s="44"/>
      <c r="AG82" s="33" t="e">
        <f>#REF!</f>
        <v>#REF!</v>
      </c>
      <c r="AH82" s="31">
        <f>U82*(1-D82)</f>
        <v>100</v>
      </c>
      <c r="AI82" s="52" t="e">
        <f>AG82*(1+G82/100)/(1-#REF!/100)</f>
        <v>#REF!</v>
      </c>
      <c r="AJ82" s="54" t="e">
        <f t="shared" si="19"/>
        <v>#REF!</v>
      </c>
      <c r="AK82" s="32" t="e">
        <f>AH82/AG82</f>
        <v>#REF!</v>
      </c>
      <c r="AM82" s="54" t="e">
        <f t="shared" si="20"/>
        <v>#REF!</v>
      </c>
      <c r="AN82" s="54" t="e">
        <f t="shared" si="21"/>
        <v>#REF!</v>
      </c>
    </row>
    <row r="83" spans="2:40" ht="15.75" customHeight="1" x14ac:dyDescent="0.2">
      <c r="B83" s="36">
        <v>109</v>
      </c>
      <c r="C83" s="36" t="s">
        <v>188</v>
      </c>
      <c r="D83" s="37">
        <v>0.5</v>
      </c>
      <c r="E83" s="51">
        <v>5</v>
      </c>
      <c r="F83" s="35">
        <v>10</v>
      </c>
      <c r="G83" s="35">
        <v>20</v>
      </c>
      <c r="Q83" s="47"/>
      <c r="R83" s="47"/>
      <c r="S83" s="36"/>
      <c r="T83" s="36"/>
      <c r="U83" s="36"/>
      <c r="V83" s="51"/>
      <c r="W83" s="36"/>
      <c r="X83" s="36"/>
      <c r="Y83" s="68"/>
      <c r="AA83" s="36" t="e">
        <f t="shared" ref="AA83:AC83" si="24">AA82</f>
        <v>#REF!</v>
      </c>
      <c r="AB83" s="36">
        <f t="shared" si="24"/>
        <v>100</v>
      </c>
      <c r="AC83" s="40" t="e">
        <f t="shared" si="24"/>
        <v>#REF!</v>
      </c>
      <c r="AD83" s="55" t="e">
        <f t="shared" si="18"/>
        <v>#REF!</v>
      </c>
      <c r="AE83" s="48" t="e">
        <f>AE82</f>
        <v>#REF!</v>
      </c>
      <c r="AF83" s="44"/>
      <c r="AG83" s="36">
        <v>100</v>
      </c>
      <c r="AH83" s="38">
        <f t="shared" ref="AH83:AI83" si="25">AH82</f>
        <v>100</v>
      </c>
      <c r="AI83" s="40" t="e">
        <f t="shared" si="25"/>
        <v>#REF!</v>
      </c>
      <c r="AJ83" s="55" t="e">
        <f t="shared" si="19"/>
        <v>#REF!</v>
      </c>
      <c r="AK83" s="39" t="e">
        <f>AK82</f>
        <v>#REF!</v>
      </c>
      <c r="AM83" s="55" t="e">
        <f t="shared" si="20"/>
        <v>#REF!</v>
      </c>
      <c r="AN83" s="55" t="e">
        <f t="shared" si="21"/>
        <v>#REF!</v>
      </c>
    </row>
    <row r="84" spans="2:40" ht="15.75" customHeight="1" x14ac:dyDescent="0.2">
      <c r="B84" s="33">
        <v>115</v>
      </c>
      <c r="C84" s="33" t="s">
        <v>188</v>
      </c>
      <c r="D84" s="29">
        <v>0.5</v>
      </c>
      <c r="E84" s="50">
        <v>5</v>
      </c>
      <c r="F84">
        <v>10</v>
      </c>
      <c r="G84">
        <v>20</v>
      </c>
      <c r="Q84" s="45"/>
      <c r="R84" s="45"/>
      <c r="S84" s="33"/>
      <c r="T84" s="33"/>
      <c r="U84" s="33"/>
      <c r="V84" s="50"/>
      <c r="W84" s="33"/>
      <c r="X84" s="33"/>
      <c r="Y84" s="68"/>
      <c r="AA84" s="33" t="e">
        <f t="shared" ref="AA84:AC84" si="26">AA83</f>
        <v>#REF!</v>
      </c>
      <c r="AB84" s="33">
        <f t="shared" si="26"/>
        <v>100</v>
      </c>
      <c r="AC84" s="120" t="e">
        <f t="shared" si="26"/>
        <v>#REF!</v>
      </c>
      <c r="AD84" s="115" t="e">
        <f t="shared" si="18"/>
        <v>#REF!</v>
      </c>
      <c r="AE84" s="44" t="e">
        <f>AE83</f>
        <v>#REF!</v>
      </c>
      <c r="AF84" s="44"/>
      <c r="AG84" s="33">
        <v>100</v>
      </c>
      <c r="AH84" s="31">
        <f t="shared" ref="AH84:AI84" si="27">AH83</f>
        <v>100</v>
      </c>
      <c r="AI84" s="52" t="e">
        <f t="shared" si="27"/>
        <v>#REF!</v>
      </c>
      <c r="AJ84" s="62" t="e">
        <f t="shared" si="19"/>
        <v>#REF!</v>
      </c>
      <c r="AK84" s="32" t="e">
        <f>AK83</f>
        <v>#REF!</v>
      </c>
      <c r="AM84" s="119" t="e">
        <f t="shared" si="20"/>
        <v>#REF!</v>
      </c>
      <c r="AN84" s="54" t="e">
        <f t="shared" si="21"/>
        <v>#REF!</v>
      </c>
    </row>
    <row r="85" spans="2:40" ht="15.75" customHeight="1" x14ac:dyDescent="0.2">
      <c r="B85" s="36">
        <v>122</v>
      </c>
      <c r="C85" s="123" t="s">
        <v>188</v>
      </c>
      <c r="D85" s="37">
        <v>0.5</v>
      </c>
      <c r="E85" s="51">
        <v>5</v>
      </c>
      <c r="F85" s="35">
        <v>10</v>
      </c>
      <c r="G85" s="35">
        <v>20</v>
      </c>
      <c r="Q85" s="47"/>
      <c r="R85" s="47"/>
      <c r="S85" s="36"/>
      <c r="T85" s="36"/>
      <c r="U85" s="36"/>
      <c r="V85" s="51"/>
      <c r="W85" s="36"/>
      <c r="X85" s="36"/>
      <c r="Y85" s="68"/>
      <c r="AA85" s="36" t="e">
        <f t="shared" ref="AA85:AC85" si="28">AA84</f>
        <v>#REF!</v>
      </c>
      <c r="AB85" s="36">
        <f t="shared" si="28"/>
        <v>100</v>
      </c>
      <c r="AC85" s="121" t="e">
        <f t="shared" si="28"/>
        <v>#REF!</v>
      </c>
      <c r="AD85" s="116" t="e">
        <f t="shared" si="18"/>
        <v>#REF!</v>
      </c>
      <c r="AE85" s="48" t="e">
        <f>AE84</f>
        <v>#REF!</v>
      </c>
      <c r="AF85" s="44"/>
      <c r="AG85" s="36">
        <v>100</v>
      </c>
      <c r="AH85" s="38">
        <f t="shared" ref="AH85:AI85" si="29">AH84</f>
        <v>100</v>
      </c>
      <c r="AI85" s="121" t="e">
        <f t="shared" si="29"/>
        <v>#REF!</v>
      </c>
      <c r="AJ85" s="116" t="e">
        <f t="shared" si="19"/>
        <v>#REF!</v>
      </c>
      <c r="AK85" s="39" t="e">
        <f>AK84</f>
        <v>#REF!</v>
      </c>
      <c r="AM85" s="116" t="e">
        <f t="shared" si="20"/>
        <v>#REF!</v>
      </c>
      <c r="AN85" s="116" t="e">
        <f t="shared" si="21"/>
        <v>#REF!</v>
      </c>
    </row>
    <row r="86" spans="2:40" ht="15.75" customHeight="1" x14ac:dyDescent="0.2">
      <c r="B86" s="33">
        <v>122</v>
      </c>
      <c r="C86" s="33" t="s">
        <v>188</v>
      </c>
      <c r="D86" s="29">
        <v>0.5</v>
      </c>
      <c r="E86" s="50">
        <v>5</v>
      </c>
      <c r="F86">
        <v>10</v>
      </c>
      <c r="G86">
        <v>20</v>
      </c>
      <c r="Q86" s="45" t="s">
        <v>189</v>
      </c>
      <c r="R86" s="45"/>
      <c r="S86" s="33"/>
      <c r="T86" s="33"/>
      <c r="U86" s="33">
        <v>200</v>
      </c>
      <c r="V86" s="50" t="e">
        <f>U86/#REF!</f>
        <v>#REF!</v>
      </c>
      <c r="W86" s="33"/>
      <c r="X86" s="33"/>
      <c r="Y86" s="68"/>
      <c r="AA86" s="33" t="e">
        <f>#REF!</f>
        <v>#REF!</v>
      </c>
      <c r="AB86" s="33">
        <f>U86*D86</f>
        <v>100</v>
      </c>
      <c r="AC86" s="120" t="e">
        <f>AA86*(1+F86/100)/(1-#REF!/100)</f>
        <v>#REF!</v>
      </c>
      <c r="AD86" s="115" t="e">
        <f t="shared" si="18"/>
        <v>#REF!</v>
      </c>
      <c r="AE86" s="44" t="e">
        <f>AE85</f>
        <v>#REF!</v>
      </c>
      <c r="AF86" s="44"/>
      <c r="AG86" s="33" t="e">
        <f>#REF!</f>
        <v>#REF!</v>
      </c>
      <c r="AH86" s="31">
        <f>U86*(1-D86)</f>
        <v>100</v>
      </c>
      <c r="AI86" s="52" t="e">
        <f>AG86*(1+G86/100)/(1-#REF!/100)</f>
        <v>#REF!</v>
      </c>
      <c r="AJ86" s="54" t="e">
        <f t="shared" si="19"/>
        <v>#REF!</v>
      </c>
      <c r="AK86" s="32" t="e">
        <f>AH86/AG86</f>
        <v>#REF!</v>
      </c>
      <c r="AM86" s="119" t="e">
        <f t="shared" si="20"/>
        <v>#REF!</v>
      </c>
      <c r="AN86" s="54" t="e">
        <f t="shared" si="21"/>
        <v>#REF!</v>
      </c>
    </row>
    <row r="87" spans="2:40" ht="15.75" customHeight="1" x14ac:dyDescent="0.2">
      <c r="B87" s="33"/>
      <c r="C87" s="33"/>
      <c r="D87" s="29"/>
      <c r="E87" s="50"/>
      <c r="Q87" s="45"/>
      <c r="R87" s="45"/>
      <c r="S87" s="33"/>
      <c r="T87" s="33"/>
      <c r="U87" s="33"/>
      <c r="V87" s="50"/>
      <c r="W87" s="33"/>
      <c r="X87" s="33"/>
      <c r="Y87" s="68"/>
      <c r="AA87" s="33"/>
      <c r="AB87" s="33"/>
      <c r="AC87" s="52"/>
      <c r="AD87" s="62"/>
      <c r="AE87" s="44"/>
      <c r="AF87" s="44"/>
      <c r="AG87" s="33"/>
      <c r="AH87" s="31"/>
      <c r="AI87" s="33"/>
      <c r="AJ87" s="62"/>
      <c r="AK87" s="32"/>
    </row>
    <row r="88" spans="2:40" ht="15.75" customHeight="1" x14ac:dyDescent="0.2">
      <c r="AA88" s="112"/>
      <c r="AB88" s="112"/>
      <c r="AC88" s="112"/>
      <c r="AD88" s="112"/>
      <c r="AE88" s="112"/>
      <c r="AF88" s="112"/>
      <c r="AG88" s="112"/>
      <c r="AH88" s="112"/>
      <c r="AI88" s="112"/>
      <c r="AJ88" s="112"/>
      <c r="AK88" s="112"/>
      <c r="AL88" s="112"/>
    </row>
    <row r="89" spans="2:40" ht="15.75" customHeight="1" x14ac:dyDescent="0.2">
      <c r="B89" s="96" t="s">
        <v>103</v>
      </c>
      <c r="C89" s="34"/>
      <c r="AA89" s="112"/>
      <c r="AB89" s="112"/>
      <c r="AC89" s="113"/>
      <c r="AD89" s="112"/>
      <c r="AE89" s="112"/>
      <c r="AF89" s="112"/>
      <c r="AG89" s="112"/>
      <c r="AH89" s="112"/>
      <c r="AI89" s="112"/>
      <c r="AJ89" s="112"/>
      <c r="AK89" s="112"/>
      <c r="AL89" s="112"/>
    </row>
    <row r="90" spans="2:40" ht="15.75" customHeight="1" x14ac:dyDescent="0.2">
      <c r="B90" s="28" t="s">
        <v>61</v>
      </c>
      <c r="C90" s="28"/>
      <c r="D90" s="28" t="s">
        <v>29</v>
      </c>
      <c r="E90" s="57" t="s">
        <v>63</v>
      </c>
      <c r="F90" s="57" t="s">
        <v>72</v>
      </c>
      <c r="G90" s="57" t="s">
        <v>99</v>
      </c>
      <c r="H90" s="103"/>
      <c r="I90" s="103"/>
      <c r="J90" s="103"/>
      <c r="K90" s="103"/>
      <c r="L90" s="103"/>
      <c r="M90" s="103"/>
      <c r="N90" s="103"/>
      <c r="O90" s="103"/>
      <c r="AA90" s="112"/>
      <c r="AB90" s="112"/>
      <c r="AC90" s="114"/>
      <c r="AD90" s="112"/>
      <c r="AE90" s="112"/>
      <c r="AF90" s="112"/>
      <c r="AG90" s="112"/>
      <c r="AH90" s="112"/>
      <c r="AI90" s="112"/>
      <c r="AJ90" s="112"/>
      <c r="AK90" s="112"/>
      <c r="AL90" s="112"/>
    </row>
    <row r="91" spans="2:40" ht="15.75" customHeight="1" x14ac:dyDescent="0.2">
      <c r="B91" s="33">
        <v>100</v>
      </c>
      <c r="C91" s="33"/>
      <c r="D91" s="29">
        <v>0.5</v>
      </c>
      <c r="E91" s="50">
        <v>5</v>
      </c>
      <c r="F91">
        <v>10</v>
      </c>
      <c r="G91">
        <v>20</v>
      </c>
      <c r="AA91" s="112"/>
      <c r="AB91" s="112"/>
      <c r="AC91" s="112"/>
      <c r="AD91" s="112"/>
      <c r="AE91" s="112"/>
      <c r="AF91" s="112"/>
      <c r="AG91" s="112"/>
      <c r="AH91" s="112"/>
      <c r="AI91" s="112"/>
      <c r="AJ91" s="112"/>
      <c r="AK91" s="112"/>
      <c r="AL91" s="112"/>
    </row>
    <row r="92" spans="2:40" ht="15.75" customHeight="1" x14ac:dyDescent="0.2">
      <c r="B92" s="36">
        <v>109</v>
      </c>
      <c r="C92" s="36"/>
      <c r="D92" s="37">
        <v>0.5</v>
      </c>
      <c r="E92" s="51">
        <v>5</v>
      </c>
      <c r="F92" s="35">
        <v>10</v>
      </c>
      <c r="G92" s="35">
        <v>20</v>
      </c>
      <c r="AA92" s="112"/>
      <c r="AB92" s="112"/>
      <c r="AC92" s="112"/>
      <c r="AD92" s="112"/>
      <c r="AE92" s="112"/>
      <c r="AF92" s="112"/>
      <c r="AG92" s="112"/>
      <c r="AH92" s="112"/>
      <c r="AI92" s="112"/>
      <c r="AJ92" s="112"/>
      <c r="AK92" s="112"/>
      <c r="AL92" s="112"/>
    </row>
    <row r="93" spans="2:40" ht="15.75" customHeight="1" x14ac:dyDescent="0.2">
      <c r="B93" s="33">
        <v>115</v>
      </c>
      <c r="C93" s="33"/>
      <c r="D93" s="29">
        <v>0.5</v>
      </c>
      <c r="E93" s="50">
        <v>5</v>
      </c>
      <c r="F93">
        <v>10</v>
      </c>
      <c r="G93">
        <v>20</v>
      </c>
      <c r="AA93" s="112"/>
      <c r="AB93" s="112"/>
      <c r="AC93" s="112"/>
      <c r="AD93" s="112"/>
      <c r="AE93" s="112"/>
      <c r="AF93" s="112"/>
      <c r="AG93" s="112"/>
      <c r="AH93" s="112"/>
      <c r="AI93" s="112"/>
      <c r="AJ93" s="112"/>
      <c r="AK93" s="112"/>
      <c r="AL93" s="112"/>
    </row>
    <row r="94" spans="2:40" ht="15.75" customHeight="1" x14ac:dyDescent="0.2">
      <c r="B94" s="36">
        <v>122</v>
      </c>
      <c r="C94" s="36"/>
      <c r="D94" s="37">
        <v>0.5</v>
      </c>
      <c r="E94" s="51">
        <v>5</v>
      </c>
      <c r="F94" s="35">
        <v>10</v>
      </c>
      <c r="G94" s="35">
        <v>20</v>
      </c>
      <c r="AA94" s="112"/>
      <c r="AB94" s="112"/>
      <c r="AC94" s="112"/>
      <c r="AD94" s="112"/>
      <c r="AE94" s="112"/>
      <c r="AF94" s="112"/>
      <c r="AG94" s="112"/>
      <c r="AH94" s="112"/>
      <c r="AI94" s="112"/>
      <c r="AJ94" s="112"/>
      <c r="AK94" s="112"/>
      <c r="AL94" s="112"/>
    </row>
    <row r="95" spans="2:40" ht="15.75" customHeight="1" x14ac:dyDescent="0.2">
      <c r="AL95" s="122"/>
    </row>
    <row r="96" spans="2:40" ht="15.75" customHeight="1" x14ac:dyDescent="0.2">
      <c r="B96" s="66" t="s">
        <v>175</v>
      </c>
      <c r="C96" s="34"/>
      <c r="AA96" s="56" t="s">
        <v>186</v>
      </c>
      <c r="AB96" s="12"/>
      <c r="AC96" s="12"/>
      <c r="AD96" s="34" t="s">
        <v>179</v>
      </c>
      <c r="AG96" s="46"/>
      <c r="AH96" s="45"/>
      <c r="AI96" s="46"/>
      <c r="AJ96" s="46"/>
      <c r="AK96" s="45"/>
    </row>
    <row r="97" spans="2:38" ht="15.75" customHeight="1" x14ac:dyDescent="0.2">
      <c r="B97" s="28" t="s">
        <v>110</v>
      </c>
      <c r="C97" s="28" t="s">
        <v>114</v>
      </c>
      <c r="D97" s="28" t="s">
        <v>29</v>
      </c>
      <c r="E97" s="57" t="s">
        <v>63</v>
      </c>
      <c r="F97" s="57" t="s">
        <v>72</v>
      </c>
      <c r="G97" s="57" t="s">
        <v>99</v>
      </c>
      <c r="H97" s="103"/>
      <c r="I97" s="103"/>
      <c r="J97" s="103"/>
      <c r="K97" s="103"/>
      <c r="L97" s="103"/>
      <c r="M97" s="103"/>
      <c r="N97" s="103"/>
      <c r="O97" s="103"/>
      <c r="Q97" s="28" t="s">
        <v>3</v>
      </c>
      <c r="R97" s="28"/>
      <c r="S97" s="28"/>
      <c r="T97" s="57" t="s">
        <v>70</v>
      </c>
      <c r="U97" s="28" t="s">
        <v>1</v>
      </c>
      <c r="V97" s="57" t="s">
        <v>62</v>
      </c>
      <c r="W97" s="103"/>
      <c r="X97" s="103"/>
      <c r="AA97" s="57" t="s">
        <v>0</v>
      </c>
      <c r="AB97" s="57" t="s">
        <v>9</v>
      </c>
      <c r="AC97" s="103"/>
      <c r="AD97" s="57" t="s">
        <v>182</v>
      </c>
      <c r="AE97" s="57" t="s">
        <v>183</v>
      </c>
      <c r="AF97" s="57" t="s">
        <v>181</v>
      </c>
      <c r="AG97" s="103"/>
      <c r="AH97" s="103"/>
      <c r="AI97" s="103"/>
      <c r="AJ97" s="103"/>
      <c r="AK97" s="103"/>
    </row>
    <row r="98" spans="2:38" ht="15.75" customHeight="1" x14ac:dyDescent="0.2">
      <c r="B98" s="33">
        <v>100</v>
      </c>
      <c r="C98" s="101" t="s">
        <v>176</v>
      </c>
      <c r="D98" s="29">
        <v>0.5</v>
      </c>
      <c r="E98" s="50">
        <v>5</v>
      </c>
      <c r="F98">
        <v>10</v>
      </c>
      <c r="G98">
        <v>20</v>
      </c>
      <c r="Q98" s="45" t="s">
        <v>75</v>
      </c>
      <c r="R98" s="45"/>
      <c r="S98" s="33"/>
      <c r="T98" s="33"/>
      <c r="U98" s="33">
        <v>500</v>
      </c>
      <c r="V98" s="50" t="e">
        <f>U98/#REF!</f>
        <v>#REF!</v>
      </c>
      <c r="W98" s="52"/>
      <c r="X98" s="52"/>
      <c r="AA98" s="33"/>
      <c r="AB98" s="33"/>
      <c r="AC98" s="33"/>
      <c r="AD98" s="102" t="e">
        <f>IF(
      OR(
        (B98*(1+#REF!/100)/C105-1)*100 &lt;= -E98,
        (B98*(1+#REF!/100)/C106-1)*100 &lt;= -E98,
        (B98*(1+#REF!/100)/C107-1)*100 &lt;= -E98,
        (B98*(1+#REF!/100)/C108-1)*100 &lt;= -E98,
        (B98*(1+#REF!/100)/C109-1)*100 &lt;= -E98
      ),
      MIN(
        IF((B98*(1+#REF!/100)/C105-1)*100 &lt;= -E98, (B98*(1+#REF!/100)/C105-1)*100, 0),
        IF((B98*(1+#REF!/100)/C106-1)*100 &lt;= -E98, (B98*(1+#REF!/100)/C106-1)*100, 0),
        IF((B98*(1+#REF!/100)/C107-1)*100 &lt;= -E98, (B98*(1+#REF!/100)/C107-1)*100, 0),
        IF((B98*(1+#REF!/100)/C108-1)*100 &lt;= -E98, (B98*(1+#REF!/100)/C108-1)*100, 0),
        IF((B98*(1+#REF!/100)/C109-1)*100 &lt;= -E98, (B98*(1+#REF!/100)/C109-1)*100, 0)
      )/100,
      ""
    )</f>
        <v>#REF!</v>
      </c>
      <c r="AE98" s="93" t="s">
        <v>34</v>
      </c>
      <c r="AF98" t="s">
        <v>184</v>
      </c>
      <c r="AG98" s="101"/>
      <c r="AH98" s="104"/>
      <c r="AI98" s="101"/>
      <c r="AJ98" s="105"/>
      <c r="AK98" s="106"/>
    </row>
    <row r="99" spans="2:38" ht="15.75" customHeight="1" x14ac:dyDescent="0.2">
      <c r="B99" s="36"/>
      <c r="C99" s="36"/>
      <c r="D99" s="37"/>
      <c r="E99" s="51"/>
      <c r="F99" s="35"/>
      <c r="G99" s="35"/>
      <c r="Q99" s="47" t="s">
        <v>75</v>
      </c>
      <c r="R99" s="47"/>
      <c r="S99" s="36"/>
      <c r="T99" s="36"/>
      <c r="U99" s="36">
        <v>200</v>
      </c>
      <c r="V99" s="51" t="e">
        <f>U99/#REF!</f>
        <v>#REF!</v>
      </c>
      <c r="W99" s="52"/>
      <c r="X99" s="52"/>
      <c r="AA99" s="36"/>
      <c r="AB99" s="36"/>
      <c r="AC99" s="33"/>
      <c r="AD99" s="109" t="e">
        <f>IF(
      OR(
        (B98*(1+#REF!/100)/C105-1)*100 &lt;= -E98,
        (B98*(1+#REF!/100)/C106-1)*100 &lt;= -E98,
        (B98*(1+#REF!/100)/C107-1)*100 &lt;= -E98,
        (B98*(1+#REF!/100)/C108-1)*100 &lt;= -E98,
        (B98*(1+#REF!/100)/C109-1)*100 &lt;= -E98
      ),
      MIN(
        IF((B98*(1+#REF!/100)/C105-1)*100 &lt;= -E98, (B98*(1+#REF!/100)/C105-1)*100, 0),
        IF((B98*(1+#REF!/100)/C106-1)*100 &lt;= -E98, (B98*(1+#REF!/100)/C106-1)*100, 0),
        IF((B98*(1+#REF!/100)/C107-1)*100 &lt;= -E98, (B98*(1+#REF!/100)/C107-1)*100, 0),
        IF((B98*(1+#REF!/100)/C108-1)*100 &lt;= -E98, (B98*(1+#REF!/100)/C108-1)*100, 0),
        IF((B98*(1+#REF!/100)/C109-1)*100 &lt;= -E98, (B98*(1+#REF!/100)/C109-1)*100, 0)
      )/100,
      ""
    )</f>
        <v>#REF!</v>
      </c>
      <c r="AE99" s="107" t="s">
        <v>34</v>
      </c>
      <c r="AF99" s="35" t="e">
        <f>#REF!</f>
        <v>#REF!</v>
      </c>
      <c r="AG99" s="101"/>
      <c r="AH99" s="104"/>
      <c r="AI99" s="101"/>
      <c r="AJ99" s="105"/>
      <c r="AK99" s="106"/>
    </row>
    <row r="100" spans="2:38" ht="15.75" customHeight="1" x14ac:dyDescent="0.2">
      <c r="B100" s="33">
        <v>50</v>
      </c>
      <c r="C100" s="101" t="s">
        <v>185</v>
      </c>
      <c r="D100" s="29">
        <v>0.5</v>
      </c>
      <c r="E100" s="50">
        <v>8</v>
      </c>
      <c r="F100">
        <v>10</v>
      </c>
      <c r="G100">
        <v>20</v>
      </c>
      <c r="Q100" s="45" t="s">
        <v>75</v>
      </c>
      <c r="R100" s="45"/>
      <c r="S100" s="33"/>
      <c r="T100" s="33"/>
      <c r="U100" s="33">
        <v>600</v>
      </c>
      <c r="V100" s="50" t="e">
        <f>U100/#REF!</f>
        <v>#REF!</v>
      </c>
      <c r="W100" s="52"/>
      <c r="X100" s="52"/>
      <c r="AA100" s="33" t="e">
        <f>#REF!</f>
        <v>#REF!</v>
      </c>
      <c r="AB100" s="52" t="e">
        <f>AA100 * (1 - $E$100%)</f>
        <v>#REF!</v>
      </c>
      <c r="AC100" s="33"/>
      <c r="AE100" s="54" t="e">
        <f>($B$100 -#REF!) /#REF!</f>
        <v>#REF!</v>
      </c>
      <c r="AF100" t="e">
        <f>#REF!</f>
        <v>#REF!</v>
      </c>
      <c r="AG100" s="101"/>
      <c r="AH100" s="104"/>
      <c r="AI100" s="101"/>
      <c r="AJ100" s="105"/>
      <c r="AK100" s="106"/>
    </row>
    <row r="101" spans="2:38" ht="15.75" customHeight="1" x14ac:dyDescent="0.2">
      <c r="B101" s="36"/>
      <c r="C101" s="36"/>
      <c r="D101" s="37"/>
      <c r="E101" s="51"/>
      <c r="F101" s="35"/>
      <c r="G101" s="35"/>
      <c r="Q101" s="47" t="s">
        <v>75</v>
      </c>
      <c r="R101" s="47"/>
      <c r="S101" s="36"/>
      <c r="T101" s="36"/>
      <c r="U101" s="36">
        <v>520</v>
      </c>
      <c r="V101" s="51" t="e">
        <f>U101/#REF!</f>
        <v>#REF!</v>
      </c>
      <c r="W101" s="52"/>
      <c r="X101" s="52"/>
      <c r="AA101" s="36" t="e">
        <f>#REF!</f>
        <v>#REF!</v>
      </c>
      <c r="AB101" s="40" t="e">
        <f t="shared" ref="AB101:AB102" si="30">AA101 * (1 - $E$100%)</f>
        <v>#REF!</v>
      </c>
      <c r="AC101" s="33"/>
      <c r="AD101" s="35"/>
      <c r="AE101" s="55" t="e">
        <f>($B$100 -#REF!) /#REF!</f>
        <v>#REF!</v>
      </c>
      <c r="AF101" s="35" t="e">
        <f>#REF!</f>
        <v>#REF!</v>
      </c>
      <c r="AG101" s="101"/>
      <c r="AH101" s="104"/>
      <c r="AI101" s="101"/>
      <c r="AJ101" s="105"/>
      <c r="AK101" s="106"/>
    </row>
    <row r="102" spans="2:38" ht="15.75" customHeight="1" x14ac:dyDescent="0.2">
      <c r="B102" s="33"/>
      <c r="C102" s="33"/>
      <c r="D102" s="29"/>
      <c r="E102" s="50"/>
      <c r="Q102" t="s">
        <v>75</v>
      </c>
      <c r="U102" s="33">
        <v>700</v>
      </c>
      <c r="V102" s="50" t="e">
        <f>U102/#REF!</f>
        <v>#REF!</v>
      </c>
      <c r="W102" s="52"/>
      <c r="X102" s="52"/>
      <c r="AA102" s="33" t="e">
        <f>#REF!</f>
        <v>#REF!</v>
      </c>
      <c r="AB102" s="52" t="e">
        <f t="shared" si="30"/>
        <v>#REF!</v>
      </c>
      <c r="AE102" s="54" t="e">
        <f>($B$100 -#REF!) /#REF!</f>
        <v>#REF!</v>
      </c>
      <c r="AF102" t="e">
        <f>#REF!</f>
        <v>#REF!</v>
      </c>
      <c r="AG102" s="45"/>
      <c r="AH102" s="45"/>
      <c r="AI102" s="45"/>
      <c r="AJ102" s="45"/>
      <c r="AK102" s="45"/>
    </row>
    <row r="103" spans="2:38" ht="15.75" customHeight="1" x14ac:dyDescent="0.2">
      <c r="B103" s="101" t="s">
        <v>177</v>
      </c>
      <c r="C103" s="33"/>
      <c r="D103" s="29"/>
      <c r="E103" s="50"/>
      <c r="Q103" s="47" t="s">
        <v>75</v>
      </c>
      <c r="R103" s="47"/>
      <c r="S103" s="35"/>
      <c r="T103" s="35"/>
      <c r="U103" s="36">
        <v>255</v>
      </c>
      <c r="V103" s="51" t="e">
        <f>U103/#REF!</f>
        <v>#REF!</v>
      </c>
      <c r="AA103" s="36" t="e">
        <f>#REF!</f>
        <v>#REF!</v>
      </c>
      <c r="AB103" s="40" t="e">
        <f>(AA103 * (1 - $E$100%)) / (1 +#REF! %)</f>
        <v>#REF!</v>
      </c>
      <c r="AD103" s="35"/>
      <c r="AE103" s="108" t="e">
        <f>($B$100 -#REF!) /#REF!</f>
        <v>#REF!</v>
      </c>
      <c r="AF103" s="35" t="e">
        <f>#REF!</f>
        <v>#REF!</v>
      </c>
    </row>
    <row r="104" spans="2:38" ht="15.75" customHeight="1" x14ac:dyDescent="0.2">
      <c r="B104" s="57" t="s">
        <v>2</v>
      </c>
      <c r="C104" s="57" t="s">
        <v>178</v>
      </c>
      <c r="D104" s="57" t="s">
        <v>180</v>
      </c>
      <c r="Q104" s="45" t="s">
        <v>75</v>
      </c>
      <c r="R104" s="45"/>
      <c r="U104" s="33">
        <v>1100</v>
      </c>
      <c r="V104" s="50" t="e">
        <f>U104/#REF!</f>
        <v>#REF!</v>
      </c>
      <c r="AA104" s="33" t="e">
        <f>#REF!</f>
        <v>#REF!</v>
      </c>
      <c r="AD104" s="102" t="e">
        <f>IF(
      OR(
        (B98*(1+#REF!/100)/C105-1)*100 &lt;= -E98,
        (B98*(1+#REF!/100)/C106-1)*100 &lt;= -E98,
        (B98*(1+#REF!/100)/C107-1)*100 &lt;= -E98,
        (B98*(1+#REF!/100)/C108-1)*100 &lt;= -E98,
        (B98*(1+#REF!/100)/C109-1)*100 &lt;= -E98
      ),
      MIN(
        IF((B98*(1+#REF!/100)/C105-1)*100 &lt;= -E98, (B98*(1+#REF!/100)/C105-1)*100, 0),
        IF((B98*(1+#REF!/100)/C106-1)*100 &lt;= -E98, (B98*(1+#REF!/100)/C106-1)*100, 0),
        IF((B98*(1+#REF!/100)/C107-1)*100 &lt;= -E98, (B98*(1+#REF!/100)/C107-1)*100, 0),
        IF((B98*(1+#REF!/100)/C108-1)*100 &lt;= -E98, (B98*(1+#REF!/100)/C108-1)*100, 0),
        IF((B98*(1+#REF!/100)/C109-1)*100 &lt;= -E98, (B98*(1+#REF!/100)/C109-1)*100, 0)
      )/100,
      ""
    )</f>
        <v>#REF!</v>
      </c>
      <c r="AE104" s="110" t="e">
        <f>($B$98 -#REF!) /#REF!</f>
        <v>#REF!</v>
      </c>
      <c r="AF104" t="e">
        <f>#REF!</f>
        <v>#REF!</v>
      </c>
    </row>
    <row r="105" spans="2:38" ht="15.75" customHeight="1" x14ac:dyDescent="0.2">
      <c r="B105" s="100">
        <v>45924</v>
      </c>
      <c r="C105" s="99">
        <v>106</v>
      </c>
    </row>
    <row r="106" spans="2:38" ht="15.75" customHeight="1" x14ac:dyDescent="0.2">
      <c r="B106" s="100">
        <v>45923</v>
      </c>
      <c r="C106" s="99">
        <v>105</v>
      </c>
    </row>
    <row r="107" spans="2:38" ht="15.75" customHeight="1" x14ac:dyDescent="0.2">
      <c r="B107" s="100">
        <v>45922</v>
      </c>
      <c r="C107" s="99">
        <v>108</v>
      </c>
    </row>
    <row r="108" spans="2:38" ht="15.75" customHeight="1" x14ac:dyDescent="0.2">
      <c r="B108" s="100">
        <v>45921</v>
      </c>
      <c r="C108" s="99">
        <v>107</v>
      </c>
    </row>
    <row r="109" spans="2:38" ht="15.75" customHeight="1" x14ac:dyDescent="0.2">
      <c r="B109" s="100">
        <v>45920</v>
      </c>
      <c r="C109" s="99">
        <v>104</v>
      </c>
      <c r="P109" s="45"/>
      <c r="AB109" s="69"/>
    </row>
    <row r="110" spans="2:38" ht="15.75" customHeight="1" x14ac:dyDescent="0.2">
      <c r="P110" s="45"/>
    </row>
    <row r="111" spans="2:38" ht="15.75" customHeight="1" x14ac:dyDescent="0.2">
      <c r="P111" s="45"/>
    </row>
    <row r="112" spans="2:38" ht="15.75" customHeight="1" x14ac:dyDescent="0.2">
      <c r="P112" s="93"/>
      <c r="AB112" s="45" t="s">
        <v>74</v>
      </c>
      <c r="AL112" s="45" t="s">
        <v>94</v>
      </c>
    </row>
    <row r="113" spans="25:43" ht="15.75" customHeight="1" x14ac:dyDescent="0.2">
      <c r="AB113" s="70" t="s">
        <v>2</v>
      </c>
      <c r="AC113" s="71" t="s">
        <v>3</v>
      </c>
      <c r="AD113" s="71"/>
      <c r="AE113" s="71" t="s">
        <v>76</v>
      </c>
      <c r="AF113" s="71" t="s">
        <v>4</v>
      </c>
      <c r="AG113" s="71" t="s">
        <v>0</v>
      </c>
      <c r="AH113" s="71" t="s">
        <v>1</v>
      </c>
      <c r="AI113" s="71" t="s">
        <v>62</v>
      </c>
      <c r="AJ113" s="71"/>
      <c r="AK113" s="71" t="s">
        <v>77</v>
      </c>
      <c r="AL113" s="71" t="s">
        <v>84</v>
      </c>
      <c r="AM113" s="71" t="s">
        <v>83</v>
      </c>
      <c r="AN113" s="71" t="s">
        <v>7</v>
      </c>
      <c r="AO113" s="71" t="s">
        <v>81</v>
      </c>
      <c r="AP113" s="71" t="s">
        <v>79</v>
      </c>
      <c r="AQ113" s="71" t="s">
        <v>82</v>
      </c>
    </row>
    <row r="114" spans="25:43" ht="15.75" customHeight="1" x14ac:dyDescent="0.2">
      <c r="AB114" s="79">
        <v>45658</v>
      </c>
      <c r="AC114" s="80" t="s">
        <v>75</v>
      </c>
      <c r="AD114" s="80"/>
      <c r="AE114" s="81" t="s">
        <v>85</v>
      </c>
      <c r="AF114" s="80" t="s">
        <v>78</v>
      </c>
      <c r="AG114" s="82">
        <v>200</v>
      </c>
      <c r="AH114" s="82">
        <v>200</v>
      </c>
      <c r="AI114" s="83">
        <f>AH114/AG114</f>
        <v>1</v>
      </c>
      <c r="AJ114" s="83"/>
      <c r="AK114" s="80"/>
      <c r="AL114" s="83">
        <v>1</v>
      </c>
      <c r="AM114" s="83">
        <f>AL114/2</f>
        <v>0.5</v>
      </c>
      <c r="AN114" s="84">
        <f>AL114/2</f>
        <v>0.5</v>
      </c>
      <c r="AO114" s="82">
        <v>0</v>
      </c>
      <c r="AP114" s="85">
        <f>ABS(AO114-AH114)</f>
        <v>200</v>
      </c>
      <c r="AQ114" s="86">
        <f>((AO114+(AI114*AG114)-AP114)/AP114)</f>
        <v>0</v>
      </c>
    </row>
    <row r="115" spans="25:43" ht="15.75" customHeight="1" x14ac:dyDescent="0.2">
      <c r="AB115" s="72">
        <v>45659</v>
      </c>
      <c r="AC115" s="73" t="s">
        <v>73</v>
      </c>
      <c r="AD115" s="73"/>
      <c r="AE115" s="75" t="s">
        <v>86</v>
      </c>
      <c r="AF115" s="73" t="s">
        <v>10</v>
      </c>
      <c r="AG115" s="74">
        <v>220</v>
      </c>
      <c r="AH115" s="73"/>
      <c r="AI115" s="76">
        <f>AM114</f>
        <v>0.5</v>
      </c>
      <c r="AJ115" s="76"/>
      <c r="AK115" s="74">
        <f>AG115*AI115</f>
        <v>110</v>
      </c>
      <c r="AL115" s="76">
        <v>0.5</v>
      </c>
      <c r="AM115" s="76">
        <v>0</v>
      </c>
      <c r="AN115" s="76">
        <v>0.5</v>
      </c>
      <c r="AO115" s="74">
        <f>AK115+AO114</f>
        <v>110</v>
      </c>
      <c r="AP115" s="74">
        <f>AP114</f>
        <v>200</v>
      </c>
      <c r="AQ115" s="78">
        <f t="shared" ref="AQ115:AQ123" si="31">((AO115+(AL115*AG115)-AP115)/AP115)</f>
        <v>0.1</v>
      </c>
    </row>
    <row r="116" spans="25:43" ht="15.75" customHeight="1" x14ac:dyDescent="0.2">
      <c r="AB116" s="79">
        <v>45660</v>
      </c>
      <c r="AC116" s="80" t="s">
        <v>75</v>
      </c>
      <c r="AD116" s="80"/>
      <c r="AE116" s="81" t="s">
        <v>87</v>
      </c>
      <c r="AF116" s="80" t="s">
        <v>80</v>
      </c>
      <c r="AG116" s="82">
        <v>220</v>
      </c>
      <c r="AH116" s="82">
        <v>220</v>
      </c>
      <c r="AI116" s="83">
        <f>AH116/AG116</f>
        <v>1</v>
      </c>
      <c r="AJ116" s="83"/>
      <c r="AK116" s="80"/>
      <c r="AL116" s="83">
        <f>AI116+AL115</f>
        <v>1.5</v>
      </c>
      <c r="AM116" s="83">
        <f>AM115+(AI116/2)</f>
        <v>0.5</v>
      </c>
      <c r="AN116" s="83">
        <f>AN115+(AI116/2)</f>
        <v>1</v>
      </c>
      <c r="AO116" s="82">
        <v>0</v>
      </c>
      <c r="AP116" s="82">
        <f>AP115+(AH116-AO115)</f>
        <v>310</v>
      </c>
      <c r="AQ116" s="86">
        <f t="shared" si="31"/>
        <v>6.4516129032258063E-2</v>
      </c>
    </row>
    <row r="117" spans="25:43" ht="15.75" customHeight="1" x14ac:dyDescent="0.2">
      <c r="AB117" s="72">
        <v>45661</v>
      </c>
      <c r="AC117" s="73" t="s">
        <v>73</v>
      </c>
      <c r="AD117" s="73"/>
      <c r="AE117" s="75" t="s">
        <v>88</v>
      </c>
      <c r="AF117" s="73" t="s">
        <v>80</v>
      </c>
      <c r="AG117" s="74">
        <v>190</v>
      </c>
      <c r="AH117" s="73"/>
      <c r="AI117" s="76">
        <v>0.5</v>
      </c>
      <c r="AJ117" s="76"/>
      <c r="AK117" s="74">
        <f>AG117*AI117</f>
        <v>95</v>
      </c>
      <c r="AL117" s="76">
        <f>AL116-AI117</f>
        <v>1</v>
      </c>
      <c r="AM117" s="76">
        <f>AM116</f>
        <v>0.5</v>
      </c>
      <c r="AN117" s="76">
        <f>AN116-AI117</f>
        <v>0.5</v>
      </c>
      <c r="AO117" s="74">
        <f>AO116+AK117</f>
        <v>95</v>
      </c>
      <c r="AP117" s="74">
        <f>AP116</f>
        <v>310</v>
      </c>
      <c r="AQ117" s="78">
        <f t="shared" si="31"/>
        <v>-8.0645161290322578E-2</v>
      </c>
    </row>
    <row r="118" spans="25:43" ht="15.75" customHeight="1" x14ac:dyDescent="0.2">
      <c r="AB118" s="79">
        <v>45662</v>
      </c>
      <c r="AC118" s="80" t="s">
        <v>75</v>
      </c>
      <c r="AD118" s="80"/>
      <c r="AE118" s="81" t="s">
        <v>89</v>
      </c>
      <c r="AF118" s="80" t="s">
        <v>80</v>
      </c>
      <c r="AG118" s="82">
        <v>200</v>
      </c>
      <c r="AH118" s="82">
        <v>200</v>
      </c>
      <c r="AI118" s="83">
        <f>AH118/AG118</f>
        <v>1</v>
      </c>
      <c r="AJ118" s="83"/>
      <c r="AK118" s="80"/>
      <c r="AL118" s="83">
        <f>AL117+AI118</f>
        <v>2</v>
      </c>
      <c r="AM118" s="83">
        <f>AM117+(AI118/2)</f>
        <v>1</v>
      </c>
      <c r="AN118" s="83">
        <f>AN117+(AI118/2)</f>
        <v>1</v>
      </c>
      <c r="AO118" s="82">
        <v>0</v>
      </c>
      <c r="AP118" s="82">
        <f>AP117+(AH118-AO117)</f>
        <v>415</v>
      </c>
      <c r="AQ118" s="86">
        <f t="shared" si="31"/>
        <v>-3.614457831325301E-2</v>
      </c>
    </row>
    <row r="119" spans="25:43" ht="15.75" customHeight="1" x14ac:dyDescent="0.2">
      <c r="AB119" s="72">
        <v>45663</v>
      </c>
      <c r="AC119" s="73" t="s">
        <v>73</v>
      </c>
      <c r="AD119" s="73"/>
      <c r="AE119" s="75" t="s">
        <v>90</v>
      </c>
      <c r="AF119" s="73" t="s">
        <v>80</v>
      </c>
      <c r="AG119" s="74">
        <v>210</v>
      </c>
      <c r="AH119" s="73"/>
      <c r="AI119" s="76">
        <v>0.5</v>
      </c>
      <c r="AJ119" s="76"/>
      <c r="AK119" s="74">
        <f>AG119*AI119</f>
        <v>105</v>
      </c>
      <c r="AL119" s="76">
        <f>AL118-AI119</f>
        <v>1.5</v>
      </c>
      <c r="AM119" s="76">
        <f>AM118-AI119</f>
        <v>0.5</v>
      </c>
      <c r="AN119" s="76">
        <f>AN118</f>
        <v>1</v>
      </c>
      <c r="AO119" s="74">
        <f>AO118+AK119</f>
        <v>105</v>
      </c>
      <c r="AP119" s="74">
        <f>AP118</f>
        <v>415</v>
      </c>
      <c r="AQ119" s="78">
        <f t="shared" si="31"/>
        <v>1.2048192771084338E-2</v>
      </c>
    </row>
    <row r="120" spans="25:43" ht="15.75" customHeight="1" x14ac:dyDescent="0.2">
      <c r="AB120" s="72">
        <v>45664</v>
      </c>
      <c r="AC120" s="73" t="s">
        <v>73</v>
      </c>
      <c r="AD120" s="73"/>
      <c r="AE120" s="75" t="s">
        <v>91</v>
      </c>
      <c r="AF120" s="73" t="s">
        <v>80</v>
      </c>
      <c r="AG120" s="74">
        <v>210</v>
      </c>
      <c r="AH120" s="73"/>
      <c r="AI120" s="76">
        <v>0.5</v>
      </c>
      <c r="AJ120" s="76"/>
      <c r="AK120" s="74">
        <f>AG120/2</f>
        <v>105</v>
      </c>
      <c r="AL120" s="76">
        <f>AL119-AI120</f>
        <v>1</v>
      </c>
      <c r="AM120" s="76">
        <f>AM119</f>
        <v>0.5</v>
      </c>
      <c r="AN120" s="76">
        <f>AN119-AI120</f>
        <v>0.5</v>
      </c>
      <c r="AO120" s="74">
        <f>AK120+AO119</f>
        <v>210</v>
      </c>
      <c r="AP120" s="74">
        <f>AP119</f>
        <v>415</v>
      </c>
      <c r="AQ120" s="78">
        <f t="shared" si="31"/>
        <v>1.2048192771084338E-2</v>
      </c>
    </row>
    <row r="121" spans="25:43" ht="15.75" customHeight="1" x14ac:dyDescent="0.2">
      <c r="Y121" s="93"/>
      <c r="AB121" s="79">
        <v>45665</v>
      </c>
      <c r="AC121" s="81" t="s">
        <v>75</v>
      </c>
      <c r="AD121" s="81"/>
      <c r="AE121" s="81" t="s">
        <v>92</v>
      </c>
      <c r="AF121" s="81" t="s">
        <v>80</v>
      </c>
      <c r="AG121" s="82">
        <v>200</v>
      </c>
      <c r="AH121" s="82">
        <v>200</v>
      </c>
      <c r="AI121" s="83">
        <v>1</v>
      </c>
      <c r="AJ121" s="83"/>
      <c r="AK121" s="80"/>
      <c r="AL121" s="83">
        <f>AL120+AI121</f>
        <v>2</v>
      </c>
      <c r="AM121" s="83">
        <f>AI121+AM120</f>
        <v>1.5</v>
      </c>
      <c r="AN121" s="84">
        <f>AN120</f>
        <v>0.5</v>
      </c>
      <c r="AO121" s="82">
        <f>AO120-AH121</f>
        <v>10</v>
      </c>
      <c r="AP121" s="82">
        <f>AP119</f>
        <v>415</v>
      </c>
      <c r="AQ121" s="86">
        <f t="shared" si="31"/>
        <v>-1.2048192771084338E-2</v>
      </c>
    </row>
    <row r="122" spans="25:43" ht="15.75" customHeight="1" x14ac:dyDescent="0.2">
      <c r="Y122" s="94"/>
      <c r="AB122" s="72">
        <v>45666</v>
      </c>
      <c r="AC122" s="75" t="s">
        <v>73</v>
      </c>
      <c r="AD122" s="75"/>
      <c r="AE122" s="75" t="s">
        <v>92</v>
      </c>
      <c r="AF122" s="75" t="s">
        <v>80</v>
      </c>
      <c r="AG122" s="74">
        <v>230</v>
      </c>
      <c r="AH122" s="73"/>
      <c r="AI122" s="76">
        <v>0.5</v>
      </c>
      <c r="AJ122" s="76"/>
      <c r="AK122" s="74">
        <f>AG122/2</f>
        <v>115</v>
      </c>
      <c r="AL122" s="76">
        <f>AL121-AI122</f>
        <v>1.5</v>
      </c>
      <c r="AM122" s="76">
        <f>AM121-AI122</f>
        <v>1</v>
      </c>
      <c r="AN122" s="76">
        <f>AN121</f>
        <v>0.5</v>
      </c>
      <c r="AO122" s="74">
        <f>AO121+AK122</f>
        <v>125</v>
      </c>
      <c r="AP122" s="74">
        <f>AP121</f>
        <v>415</v>
      </c>
      <c r="AQ122" s="78">
        <f t="shared" si="31"/>
        <v>0.13253012048192772</v>
      </c>
    </row>
    <row r="123" spans="25:43" ht="15.75" customHeight="1" x14ac:dyDescent="0.2">
      <c r="Y123" s="94"/>
      <c r="AB123" s="79">
        <v>45667</v>
      </c>
      <c r="AC123" s="81" t="s">
        <v>75</v>
      </c>
      <c r="AD123" s="81"/>
      <c r="AE123" s="81" t="s">
        <v>93</v>
      </c>
      <c r="AF123" s="81" t="s">
        <v>80</v>
      </c>
      <c r="AG123" s="82">
        <v>230</v>
      </c>
      <c r="AH123" s="82">
        <v>230</v>
      </c>
      <c r="AI123" s="83">
        <v>1</v>
      </c>
      <c r="AJ123" s="83"/>
      <c r="AK123" s="80"/>
      <c r="AL123" s="83">
        <f>AL122+AI123</f>
        <v>2.5</v>
      </c>
      <c r="AM123" s="83">
        <f>AM122</f>
        <v>1</v>
      </c>
      <c r="AN123" s="83">
        <f>AN122+AI123</f>
        <v>1.5</v>
      </c>
      <c r="AO123" s="82">
        <v>0</v>
      </c>
      <c r="AP123" s="82">
        <f>AP122+(AH123-AO122)</f>
        <v>520</v>
      </c>
      <c r="AQ123" s="86">
        <f t="shared" si="31"/>
        <v>0.10576923076923077</v>
      </c>
    </row>
    <row r="124" spans="25:43" ht="15.75" customHeight="1" x14ac:dyDescent="0.2">
      <c r="Y124" s="94"/>
    </row>
    <row r="125" spans="25:43" ht="15.75" customHeight="1" x14ac:dyDescent="0.2">
      <c r="Y125" s="94"/>
    </row>
    <row r="126" spans="25:43" ht="12.75" x14ac:dyDescent="0.2">
      <c r="AB126" s="45" t="s">
        <v>74</v>
      </c>
      <c r="AL126" s="45" t="s">
        <v>94</v>
      </c>
    </row>
    <row r="127" spans="25:43" ht="15.75" customHeight="1" x14ac:dyDescent="0.2">
      <c r="Y127" s="54"/>
      <c r="AB127" s="70" t="s">
        <v>2</v>
      </c>
      <c r="AC127" s="71" t="s">
        <v>3</v>
      </c>
      <c r="AD127" s="71"/>
      <c r="AE127" s="71" t="s">
        <v>76</v>
      </c>
      <c r="AF127" s="71" t="s">
        <v>4</v>
      </c>
      <c r="AG127" s="71" t="s">
        <v>0</v>
      </c>
      <c r="AH127" s="71" t="s">
        <v>1</v>
      </c>
      <c r="AI127" s="71" t="s">
        <v>62</v>
      </c>
      <c r="AJ127" s="71"/>
      <c r="AK127" s="71" t="s">
        <v>77</v>
      </c>
      <c r="AL127" s="71" t="s">
        <v>84</v>
      </c>
      <c r="AM127" s="71" t="s">
        <v>83</v>
      </c>
      <c r="AN127" s="71" t="s">
        <v>7</v>
      </c>
      <c r="AO127" s="71" t="s">
        <v>81</v>
      </c>
      <c r="AP127" s="71" t="s">
        <v>79</v>
      </c>
      <c r="AQ127" s="71" t="s">
        <v>82</v>
      </c>
    </row>
    <row r="128" spans="25:43" ht="15.75" customHeight="1" x14ac:dyDescent="0.2">
      <c r="Y128" s="95"/>
      <c r="AB128" s="79"/>
      <c r="AC128" s="80" t="s">
        <v>75</v>
      </c>
      <c r="AD128" s="80"/>
      <c r="AE128" s="81" t="s">
        <v>70</v>
      </c>
      <c r="AF128" s="80" t="s">
        <v>78</v>
      </c>
      <c r="AG128" s="90">
        <v>232.37</v>
      </c>
      <c r="AH128" s="82">
        <v>1000</v>
      </c>
      <c r="AI128" s="87">
        <f t="shared" ref="AI128:AI133" si="32">AH128/AG128</f>
        <v>4.3034815165468867</v>
      </c>
      <c r="AJ128" s="87"/>
      <c r="AK128" s="90"/>
      <c r="AL128" s="87">
        <f>AI128</f>
        <v>4.3034815165468867</v>
      </c>
      <c r="AM128" s="87">
        <f>AL128/2</f>
        <v>2.1517407582734434</v>
      </c>
      <c r="AN128" s="89">
        <f>AL128/2</f>
        <v>2.1517407582734434</v>
      </c>
      <c r="AO128" s="90">
        <v>0</v>
      </c>
      <c r="AP128" s="92">
        <f>ABS(AO128-AH128)</f>
        <v>1000</v>
      </c>
      <c r="AQ128" s="86">
        <f>((AO128+(AI128*AG128)-AP128)/AP128)</f>
        <v>1.1368683772161603E-16</v>
      </c>
    </row>
    <row r="129" spans="28:43" ht="15.75" customHeight="1" x14ac:dyDescent="0.2">
      <c r="AB129" s="79"/>
      <c r="AC129" s="80" t="s">
        <v>75</v>
      </c>
      <c r="AD129" s="80"/>
      <c r="AE129" s="81" t="s">
        <v>70</v>
      </c>
      <c r="AF129" s="80" t="s">
        <v>80</v>
      </c>
      <c r="AG129" s="90">
        <v>205.6</v>
      </c>
      <c r="AH129" s="82">
        <v>500</v>
      </c>
      <c r="AI129" s="87">
        <f t="shared" si="32"/>
        <v>2.4319066147859925</v>
      </c>
      <c r="AJ129" s="87"/>
      <c r="AK129" s="90"/>
      <c r="AL129" s="87">
        <f>AI129+AL128</f>
        <v>6.7353881313328792</v>
      </c>
      <c r="AM129" s="87">
        <f>AM128+(AI129/2)</f>
        <v>3.3676940656664396</v>
      </c>
      <c r="AN129" s="87">
        <f>AN128+(AI129/2)</f>
        <v>3.3676940656664396</v>
      </c>
      <c r="AO129" s="90">
        <v>0</v>
      </c>
      <c r="AP129" s="90">
        <f>AP128+(AH129-AO128)</f>
        <v>1500</v>
      </c>
      <c r="AQ129" s="86">
        <f t="shared" ref="AQ129:AQ139" si="33">((AO129+(AL129*AG129)-AP129)/AP129)</f>
        <v>-7.6802800131973381E-2</v>
      </c>
    </row>
    <row r="130" spans="28:43" ht="15.75" customHeight="1" x14ac:dyDescent="0.2">
      <c r="AB130" s="79"/>
      <c r="AC130" s="80" t="s">
        <v>75</v>
      </c>
      <c r="AD130" s="80"/>
      <c r="AE130" s="81" t="s">
        <v>70</v>
      </c>
      <c r="AF130" s="80" t="s">
        <v>80</v>
      </c>
      <c r="AG130" s="90">
        <v>199.37</v>
      </c>
      <c r="AH130" s="82">
        <v>500</v>
      </c>
      <c r="AI130" s="87">
        <f t="shared" si="32"/>
        <v>2.5078998846366054</v>
      </c>
      <c r="AJ130" s="87"/>
      <c r="AK130" s="90"/>
      <c r="AL130" s="87">
        <f>AI130+AL129</f>
        <v>9.243288015969485</v>
      </c>
      <c r="AM130" s="87">
        <f>AM129+(AI130/2)</f>
        <v>4.6216440079847425</v>
      </c>
      <c r="AN130" s="87">
        <f>AN129+(AI130/2)</f>
        <v>4.6216440079847425</v>
      </c>
      <c r="AO130" s="90">
        <v>0</v>
      </c>
      <c r="AP130" s="90">
        <f>AP129+(AH130-AO129)</f>
        <v>2000</v>
      </c>
      <c r="AQ130" s="86">
        <f t="shared" si="33"/>
        <v>-7.858283412808191E-2</v>
      </c>
    </row>
    <row r="131" spans="28:43" ht="15.75" customHeight="1" x14ac:dyDescent="0.2">
      <c r="AB131" s="79"/>
      <c r="AC131" s="80" t="s">
        <v>75</v>
      </c>
      <c r="AD131" s="80"/>
      <c r="AE131" s="81" t="s">
        <v>70</v>
      </c>
      <c r="AF131" s="80" t="s">
        <v>80</v>
      </c>
      <c r="AG131" s="90">
        <v>196.54</v>
      </c>
      <c r="AH131" s="82">
        <v>500</v>
      </c>
      <c r="AI131" s="87">
        <f t="shared" si="32"/>
        <v>2.5440113971710594</v>
      </c>
      <c r="AJ131" s="87"/>
      <c r="AK131" s="90"/>
      <c r="AL131" s="87">
        <f>AI131+AL130</f>
        <v>11.787299413140545</v>
      </c>
      <c r="AM131" s="87">
        <f>AM130+(AI131/2)</f>
        <v>5.8936497065702724</v>
      </c>
      <c r="AN131" s="87">
        <f>AN130+(AI131/2)</f>
        <v>5.8936497065702724</v>
      </c>
      <c r="AO131" s="90">
        <v>0</v>
      </c>
      <c r="AP131" s="90">
        <f>AP130+(AH131-AO130)</f>
        <v>2500</v>
      </c>
      <c r="AQ131" s="86">
        <f t="shared" si="33"/>
        <v>-7.3329669336542974E-2</v>
      </c>
    </row>
    <row r="132" spans="28:43" ht="15.75" customHeight="1" x14ac:dyDescent="0.2">
      <c r="AB132" s="79"/>
      <c r="AC132" s="80" t="s">
        <v>75</v>
      </c>
      <c r="AD132" s="80"/>
      <c r="AE132" s="81" t="s">
        <v>70</v>
      </c>
      <c r="AF132" s="80" t="s">
        <v>80</v>
      </c>
      <c r="AG132" s="90">
        <v>184.88</v>
      </c>
      <c r="AH132" s="82">
        <v>50</v>
      </c>
      <c r="AI132" s="87">
        <f t="shared" si="32"/>
        <v>0.27044569450454348</v>
      </c>
      <c r="AJ132" s="87"/>
      <c r="AK132" s="90"/>
      <c r="AL132" s="87">
        <f>AI132+AL131</f>
        <v>12.057745107645088</v>
      </c>
      <c r="AM132" s="87">
        <f>AM131+(AI132/2)</f>
        <v>6.0288725538225441</v>
      </c>
      <c r="AN132" s="87">
        <f>AN131+(AI132/2)</f>
        <v>6.0288725538225441</v>
      </c>
      <c r="AO132" s="90">
        <v>0</v>
      </c>
      <c r="AP132" s="90">
        <f>AP131+(AH132-AO131)</f>
        <v>2550</v>
      </c>
      <c r="AQ132" s="86">
        <f t="shared" si="33"/>
        <v>-0.12578983705826521</v>
      </c>
    </row>
    <row r="133" spans="28:43" ht="15.75" customHeight="1" x14ac:dyDescent="0.2">
      <c r="AB133" s="79"/>
      <c r="AC133" s="80" t="s">
        <v>75</v>
      </c>
      <c r="AD133" s="80"/>
      <c r="AE133" s="81" t="s">
        <v>70</v>
      </c>
      <c r="AF133" s="80" t="s">
        <v>80</v>
      </c>
      <c r="AG133" s="90">
        <v>180.62</v>
      </c>
      <c r="AH133" s="82">
        <v>50</v>
      </c>
      <c r="AI133" s="87">
        <f t="shared" si="32"/>
        <v>0.27682427195216475</v>
      </c>
      <c r="AJ133" s="87"/>
      <c r="AK133" s="90"/>
      <c r="AL133" s="87">
        <f>AI133+AL132</f>
        <v>12.334569379597253</v>
      </c>
      <c r="AM133" s="87">
        <f>AM132+(AI133/2)</f>
        <v>6.1672846897986267</v>
      </c>
      <c r="AN133" s="87">
        <f>AN132+(AI133/2)</f>
        <v>6.1672846897986267</v>
      </c>
      <c r="AO133" s="90">
        <v>0</v>
      </c>
      <c r="AP133" s="90">
        <f>AP132+(AH133-AO132)</f>
        <v>2600</v>
      </c>
      <c r="AQ133" s="86">
        <f t="shared" si="33"/>
        <v>-0.14312695332967085</v>
      </c>
    </row>
    <row r="134" spans="28:43" ht="15.75" customHeight="1" x14ac:dyDescent="0.2">
      <c r="AB134" s="72"/>
      <c r="AC134" s="73" t="s">
        <v>73</v>
      </c>
      <c r="AD134" s="73"/>
      <c r="AE134" s="75" t="s">
        <v>27</v>
      </c>
      <c r="AF134" s="73" t="s">
        <v>10</v>
      </c>
      <c r="AG134" s="91">
        <v>208.59</v>
      </c>
      <c r="AH134" s="73"/>
      <c r="AI134" s="88">
        <v>0.13841000000000001</v>
      </c>
      <c r="AJ134" s="88"/>
      <c r="AK134" s="91">
        <f>AG134*AI134</f>
        <v>28.870941900000002</v>
      </c>
      <c r="AL134" s="88">
        <f>AL133-AI134</f>
        <v>12.196159379597253</v>
      </c>
      <c r="AM134" s="88">
        <f>AM133-AI134</f>
        <v>6.0288746897986263</v>
      </c>
      <c r="AN134" s="88">
        <f>AN133</f>
        <v>6.1672846897986267</v>
      </c>
      <c r="AO134" s="91">
        <f>AK134+AO128</f>
        <v>28.870941900000002</v>
      </c>
      <c r="AP134" s="91">
        <f>AP133</f>
        <v>2600</v>
      </c>
      <c r="AQ134" s="78">
        <f t="shared" si="33"/>
        <v>-1.0435451196080277E-2</v>
      </c>
    </row>
    <row r="135" spans="28:43" ht="15.75" customHeight="1" x14ac:dyDescent="0.2">
      <c r="AB135" s="79"/>
      <c r="AC135" s="73" t="s">
        <v>73</v>
      </c>
      <c r="AD135" s="73"/>
      <c r="AE135" s="75" t="s">
        <v>27</v>
      </c>
      <c r="AF135" s="73" t="s">
        <v>10</v>
      </c>
      <c r="AG135" s="91">
        <v>208.54</v>
      </c>
      <c r="AH135" s="73"/>
      <c r="AI135" s="88">
        <v>0.13522000000000001</v>
      </c>
      <c r="AJ135" s="88"/>
      <c r="AK135" s="91">
        <f>AG135*AI135</f>
        <v>28.198778799999999</v>
      </c>
      <c r="AL135" s="88">
        <f>AL134-AI135</f>
        <v>12.060939379597253</v>
      </c>
      <c r="AM135" s="88">
        <f>AM134-AI135</f>
        <v>5.8936546897986259</v>
      </c>
      <c r="AN135" s="88">
        <f>AN134</f>
        <v>6.1672846897986267</v>
      </c>
      <c r="AO135" s="91">
        <f>AK135+AO129</f>
        <v>28.198778799999999</v>
      </c>
      <c r="AP135" s="91">
        <f>AP134</f>
        <v>2600</v>
      </c>
      <c r="AQ135" s="86">
        <f t="shared" si="33"/>
        <v>-2.1774201145688038E-2</v>
      </c>
    </row>
    <row r="136" spans="28:43" ht="15.75" customHeight="1" x14ac:dyDescent="0.2">
      <c r="AB136" s="72"/>
      <c r="AC136" s="73" t="s">
        <v>73</v>
      </c>
      <c r="AD136" s="73"/>
      <c r="AE136" s="75" t="s">
        <v>95</v>
      </c>
      <c r="AF136" s="73" t="s">
        <v>80</v>
      </c>
      <c r="AG136" s="91">
        <v>28.25</v>
      </c>
      <c r="AH136" s="73"/>
      <c r="AI136" s="88">
        <f>AM135</f>
        <v>5.8936546897986259</v>
      </c>
      <c r="AJ136" s="88"/>
      <c r="AK136" s="91">
        <f>AG136*AI136</f>
        <v>166.49574498681119</v>
      </c>
      <c r="AL136" s="88">
        <f>AL135-AI136</f>
        <v>6.1672846897986267</v>
      </c>
      <c r="AM136" s="88">
        <f>AM135-AI136</f>
        <v>0</v>
      </c>
      <c r="AN136" s="88">
        <f>AN135</f>
        <v>6.1672846897986267</v>
      </c>
      <c r="AO136" s="91">
        <f>AO135+AK136</f>
        <v>194.6945237868112</v>
      </c>
      <c r="AP136" s="91">
        <f>AP135</f>
        <v>2600</v>
      </c>
      <c r="AQ136" s="78">
        <f t="shared" si="33"/>
        <v>-0.85810757066399135</v>
      </c>
    </row>
    <row r="137" spans="28:43" ht="15.75" customHeight="1" x14ac:dyDescent="0.2">
      <c r="AB137" s="79"/>
      <c r="AC137" s="80" t="s">
        <v>75</v>
      </c>
      <c r="AD137" s="80"/>
      <c r="AE137" s="81" t="s">
        <v>89</v>
      </c>
      <c r="AF137" s="80" t="s">
        <v>80</v>
      </c>
      <c r="AG137" s="90">
        <v>28.39</v>
      </c>
      <c r="AH137" s="82">
        <v>200</v>
      </c>
      <c r="AI137" s="87">
        <f>AH137/AG137</f>
        <v>7.0447340612891862</v>
      </c>
      <c r="AJ137" s="87"/>
      <c r="AK137" s="90"/>
      <c r="AL137" s="87">
        <f>AL136+AI137</f>
        <v>13.212018751087813</v>
      </c>
      <c r="AM137" s="87">
        <f>AM136+(AI137/2)</f>
        <v>3.5223670306445931</v>
      </c>
      <c r="AN137" s="87">
        <f>AN136+(AI137/2)</f>
        <v>9.6896517204432193</v>
      </c>
      <c r="AO137" s="90">
        <v>0</v>
      </c>
      <c r="AP137" s="90">
        <f>AP136+(AH137-AO136)</f>
        <v>2605.3054762131887</v>
      </c>
      <c r="AQ137" s="86">
        <f t="shared" si="33"/>
        <v>-0.85602870152156774</v>
      </c>
    </row>
    <row r="138" spans="28:43" ht="15.75" customHeight="1" x14ac:dyDescent="0.2">
      <c r="AB138" s="79"/>
      <c r="AC138" s="81" t="s">
        <v>75</v>
      </c>
      <c r="AD138" s="81"/>
      <c r="AE138" s="81" t="s">
        <v>96</v>
      </c>
      <c r="AF138" s="81" t="s">
        <v>80</v>
      </c>
      <c r="AG138" s="90">
        <v>27.28</v>
      </c>
      <c r="AH138" s="82">
        <v>200</v>
      </c>
      <c r="AI138" s="87">
        <f>AH138/AG138</f>
        <v>7.3313782991202343</v>
      </c>
      <c r="AJ138" s="87"/>
      <c r="AK138" s="90"/>
      <c r="AL138" s="87">
        <f>AL137+AI138</f>
        <v>20.543397050208046</v>
      </c>
      <c r="AM138" s="87">
        <f>AM137+(AI138/2)</f>
        <v>7.1880561802047103</v>
      </c>
      <c r="AN138" s="87">
        <f>AN137+(AI138/2)</f>
        <v>13.355340870003337</v>
      </c>
      <c r="AO138" s="90">
        <v>0</v>
      </c>
      <c r="AP138" s="90">
        <f>AP137+(AH138-AO137)</f>
        <v>2805.3054762131887</v>
      </c>
      <c r="AQ138" s="86">
        <f t="shared" si="33"/>
        <v>-0.80022714949169182</v>
      </c>
    </row>
    <row r="139" spans="28:43" ht="15.75" customHeight="1" x14ac:dyDescent="0.2">
      <c r="AB139" s="79"/>
      <c r="AC139" s="81" t="s">
        <v>75</v>
      </c>
      <c r="AD139" s="81"/>
      <c r="AE139" s="81" t="s">
        <v>97</v>
      </c>
      <c r="AF139" s="81" t="s">
        <v>80</v>
      </c>
      <c r="AG139" s="90">
        <v>27.38</v>
      </c>
      <c r="AH139" s="82">
        <v>200</v>
      </c>
      <c r="AI139" s="87">
        <f>AH139/AG139</f>
        <v>7.3046018991964941</v>
      </c>
      <c r="AJ139" s="87"/>
      <c r="AK139" s="90"/>
      <c r="AL139" s="87">
        <f>AL138+AI139</f>
        <v>27.847998949404541</v>
      </c>
      <c r="AM139" s="87">
        <f>AM138+(AI139/2)</f>
        <v>10.840357129802957</v>
      </c>
      <c r="AN139" s="87">
        <f>AN138+(AI139/2)</f>
        <v>17.007641819601584</v>
      </c>
      <c r="AO139" s="90">
        <v>0</v>
      </c>
      <c r="AP139" s="90">
        <f>AP138+(AH139-AO138)</f>
        <v>3005.3054762131887</v>
      </c>
      <c r="AQ139" s="86">
        <f t="shared" si="3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44 AA45 AN46 AO43 BE44 BE46 BE49 AK56 AE56 BE57 AA56:AC56 AG56:AI56 AD79:AD80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1" t="s">
        <v>104</v>
      </c>
      <c r="C3" s="71" t="s">
        <v>105</v>
      </c>
      <c r="D3" s="71" t="s">
        <v>106</v>
      </c>
      <c r="E3" s="71" t="s">
        <v>107</v>
      </c>
      <c r="F3" s="71" t="s">
        <v>117</v>
      </c>
      <c r="G3" s="71" t="s">
        <v>119</v>
      </c>
      <c r="H3" s="71" t="s">
        <v>110</v>
      </c>
      <c r="I3" s="71" t="s">
        <v>109</v>
      </c>
      <c r="J3" s="71" t="s">
        <v>111</v>
      </c>
      <c r="K3" s="71" t="s">
        <v>113</v>
      </c>
      <c r="L3" s="71" t="s">
        <v>29</v>
      </c>
      <c r="M3" s="71" t="s">
        <v>63</v>
      </c>
      <c r="N3" s="71" t="s">
        <v>72</v>
      </c>
      <c r="O3" s="71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1" t="s">
        <v>104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1" t="s">
        <v>104</v>
      </c>
      <c r="C11" s="71" t="s">
        <v>76</v>
      </c>
      <c r="D11" s="71" t="s">
        <v>107</v>
      </c>
      <c r="E11" s="71" t="s">
        <v>108</v>
      </c>
      <c r="F11" s="71" t="s">
        <v>119</v>
      </c>
      <c r="G11" s="71" t="s">
        <v>63</v>
      </c>
      <c r="H11" s="71" t="s">
        <v>72</v>
      </c>
      <c r="I11" s="71" t="s">
        <v>99</v>
      </c>
      <c r="J11" s="71" t="s">
        <v>112</v>
      </c>
      <c r="K11" s="71" t="s">
        <v>109</v>
      </c>
      <c r="L11" s="71" t="s">
        <v>79</v>
      </c>
      <c r="M11" s="71" t="s">
        <v>121</v>
      </c>
      <c r="N11" s="71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8" t="s">
        <v>34</v>
      </c>
      <c r="K12" s="33">
        <v>1200</v>
      </c>
      <c r="L12" s="98" t="s">
        <v>34</v>
      </c>
      <c r="M12" s="98" t="s">
        <v>34</v>
      </c>
      <c r="N12" s="98" t="s">
        <v>34</v>
      </c>
    </row>
    <row r="14" spans="2:15" x14ac:dyDescent="0.2">
      <c r="B14" s="45" t="s">
        <v>131</v>
      </c>
    </row>
    <row r="15" spans="2:15" x14ac:dyDescent="0.2">
      <c r="B15" s="71" t="s">
        <v>104</v>
      </c>
      <c r="C15" s="71" t="s">
        <v>105</v>
      </c>
      <c r="D15" s="71" t="s">
        <v>106</v>
      </c>
      <c r="E15" s="71" t="s">
        <v>107</v>
      </c>
      <c r="F15" s="71" t="s">
        <v>117</v>
      </c>
      <c r="G15" s="71" t="s">
        <v>119</v>
      </c>
      <c r="H15" s="71" t="s">
        <v>110</v>
      </c>
      <c r="I15" s="71" t="s">
        <v>109</v>
      </c>
      <c r="J15" s="71" t="s">
        <v>111</v>
      </c>
      <c r="K15" s="71" t="s">
        <v>113</v>
      </c>
      <c r="L15" s="71" t="s">
        <v>29</v>
      </c>
      <c r="M15" s="71" t="s">
        <v>63</v>
      </c>
      <c r="N15" s="71" t="s">
        <v>72</v>
      </c>
      <c r="O15" s="71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8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8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8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8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8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8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8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8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1" t="s">
        <v>107</v>
      </c>
      <c r="C33" s="71" t="s">
        <v>109</v>
      </c>
      <c r="D33" s="71" t="s">
        <v>79</v>
      </c>
      <c r="E33" s="71" t="s">
        <v>126</v>
      </c>
      <c r="F33" s="71" t="s">
        <v>127</v>
      </c>
      <c r="G33" s="71" t="s">
        <v>82</v>
      </c>
    </row>
    <row r="34" spans="2:7" x14ac:dyDescent="0.2">
      <c r="B34" s="45" t="s">
        <v>128</v>
      </c>
      <c r="C34" s="99">
        <f>I16+I21+I22+I27</f>
        <v>5800</v>
      </c>
      <c r="D34" s="98" t="s">
        <v>34</v>
      </c>
      <c r="E34" s="98" t="s">
        <v>34</v>
      </c>
      <c r="F34" s="98" t="s">
        <v>34</v>
      </c>
      <c r="G34" s="98" t="s">
        <v>34</v>
      </c>
    </row>
    <row r="35" spans="2:7" x14ac:dyDescent="0.2">
      <c r="B35" s="45" t="s">
        <v>129</v>
      </c>
      <c r="C35" s="99">
        <f>I18+I26+I28</f>
        <v>4100</v>
      </c>
      <c r="D35" s="98" t="s">
        <v>34</v>
      </c>
      <c r="E35" s="98" t="s">
        <v>34</v>
      </c>
      <c r="F35" s="98" t="s">
        <v>34</v>
      </c>
      <c r="G35" s="98" t="s">
        <v>34</v>
      </c>
    </row>
    <row r="36" spans="2:7" x14ac:dyDescent="0.2">
      <c r="B36" s="45" t="s">
        <v>130</v>
      </c>
      <c r="C36" s="99">
        <f>I17+I19+I23+I24+I29</f>
        <v>6900</v>
      </c>
      <c r="D36" s="98" t="s">
        <v>34</v>
      </c>
      <c r="E36" s="98" t="s">
        <v>34</v>
      </c>
      <c r="F36" s="98" t="s">
        <v>34</v>
      </c>
      <c r="G36" s="98" t="s">
        <v>34</v>
      </c>
    </row>
    <row r="37" spans="2:7" x14ac:dyDescent="0.2">
      <c r="B37" s="45" t="s">
        <v>115</v>
      </c>
      <c r="C37" s="99">
        <f>I4+I20+I25</f>
        <v>3600</v>
      </c>
      <c r="D37" s="98" t="s">
        <v>34</v>
      </c>
      <c r="E37" s="98" t="s">
        <v>34</v>
      </c>
      <c r="F37" s="98" t="s">
        <v>34</v>
      </c>
      <c r="G37" s="98" t="s">
        <v>34</v>
      </c>
    </row>
    <row r="39" spans="2:7" x14ac:dyDescent="0.2">
      <c r="B39" s="45" t="s">
        <v>174</v>
      </c>
    </row>
    <row r="40" spans="2:7" x14ac:dyDescent="0.2">
      <c r="B40" s="71" t="s">
        <v>107</v>
      </c>
      <c r="C40" s="71" t="s">
        <v>109</v>
      </c>
      <c r="D40" s="71" t="s">
        <v>79</v>
      </c>
      <c r="E40" s="71" t="s">
        <v>126</v>
      </c>
      <c r="F40" s="71" t="s">
        <v>127</v>
      </c>
      <c r="G40" s="71" t="s">
        <v>82</v>
      </c>
    </row>
    <row r="41" spans="2:7" x14ac:dyDescent="0.2">
      <c r="B41" s="45" t="s">
        <v>134</v>
      </c>
      <c r="C41" s="63">
        <f>I16+I27</f>
        <v>3500</v>
      </c>
      <c r="D41" s="98" t="s">
        <v>34</v>
      </c>
      <c r="E41" s="98" t="s">
        <v>34</v>
      </c>
      <c r="F41" s="98" t="s">
        <v>34</v>
      </c>
      <c r="G41" s="98" t="s">
        <v>34</v>
      </c>
    </row>
    <row r="42" spans="2:7" x14ac:dyDescent="0.2">
      <c r="B42" s="45" t="s">
        <v>154</v>
      </c>
      <c r="C42" s="63">
        <f>I22</f>
        <v>1300</v>
      </c>
      <c r="D42" s="98" t="s">
        <v>34</v>
      </c>
      <c r="E42" s="98" t="s">
        <v>34</v>
      </c>
      <c r="F42" s="98" t="s">
        <v>34</v>
      </c>
      <c r="G42" s="98" t="s">
        <v>34</v>
      </c>
    </row>
    <row r="43" spans="2:7" x14ac:dyDescent="0.2">
      <c r="B43" s="45" t="s">
        <v>137</v>
      </c>
      <c r="C43" s="63">
        <f>I19+I21</f>
        <v>1500</v>
      </c>
      <c r="D43" s="98" t="s">
        <v>34</v>
      </c>
      <c r="E43" s="98" t="s">
        <v>34</v>
      </c>
      <c r="F43" s="98" t="s">
        <v>34</v>
      </c>
      <c r="G43" s="98" t="s">
        <v>34</v>
      </c>
    </row>
    <row r="44" spans="2:7" x14ac:dyDescent="0.2">
      <c r="B44" s="45" t="s">
        <v>160</v>
      </c>
      <c r="C44" s="63">
        <f>I17+I24</f>
        <v>4600</v>
      </c>
      <c r="D44" s="98" t="s">
        <v>34</v>
      </c>
      <c r="E44" s="98" t="s">
        <v>34</v>
      </c>
      <c r="F44" s="98" t="s">
        <v>34</v>
      </c>
      <c r="G44" s="98" t="s">
        <v>34</v>
      </c>
    </row>
    <row r="45" spans="2:7" x14ac:dyDescent="0.2">
      <c r="B45" s="45" t="s">
        <v>136</v>
      </c>
      <c r="C45" s="63">
        <v>0</v>
      </c>
      <c r="D45" s="98" t="s">
        <v>34</v>
      </c>
      <c r="E45" s="98" t="s">
        <v>34</v>
      </c>
      <c r="F45" s="98" t="s">
        <v>34</v>
      </c>
      <c r="G45" s="98" t="s">
        <v>34</v>
      </c>
    </row>
    <row r="46" spans="2:7" x14ac:dyDescent="0.2">
      <c r="B46" s="45" t="s">
        <v>157</v>
      </c>
      <c r="C46" s="63">
        <f>I23+I29</f>
        <v>1800</v>
      </c>
      <c r="D46" s="98" t="s">
        <v>34</v>
      </c>
      <c r="E46" s="98" t="s">
        <v>34</v>
      </c>
      <c r="F46" s="98" t="s">
        <v>34</v>
      </c>
      <c r="G46" s="98" t="s">
        <v>34</v>
      </c>
    </row>
    <row r="47" spans="2:7" x14ac:dyDescent="0.2">
      <c r="B47" s="45" t="s">
        <v>166</v>
      </c>
      <c r="C47" s="63">
        <f>I26+I28</f>
        <v>2600</v>
      </c>
      <c r="D47" s="98" t="s">
        <v>34</v>
      </c>
      <c r="E47" s="98" t="s">
        <v>34</v>
      </c>
      <c r="F47" s="98" t="s">
        <v>34</v>
      </c>
      <c r="G47" s="98" t="s">
        <v>34</v>
      </c>
    </row>
    <row r="48" spans="2:7" x14ac:dyDescent="0.2">
      <c r="B48" s="45" t="s">
        <v>163</v>
      </c>
      <c r="C48" s="63">
        <f>I25</f>
        <v>1200</v>
      </c>
      <c r="D48" s="98" t="s">
        <v>34</v>
      </c>
      <c r="E48" s="98" t="s">
        <v>34</v>
      </c>
      <c r="F48" s="98" t="s">
        <v>34</v>
      </c>
      <c r="G48" s="98" t="s">
        <v>34</v>
      </c>
    </row>
    <row r="49" spans="2:7" x14ac:dyDescent="0.2">
      <c r="B49" s="45" t="s">
        <v>118</v>
      </c>
      <c r="C49" s="63">
        <f>I4+I18</f>
        <v>2700</v>
      </c>
      <c r="D49" s="98" t="s">
        <v>34</v>
      </c>
      <c r="E49" s="98" t="s">
        <v>34</v>
      </c>
      <c r="F49" s="98" t="s">
        <v>34</v>
      </c>
      <c r="G49" s="98" t="s">
        <v>34</v>
      </c>
    </row>
    <row r="50" spans="2:7" x14ac:dyDescent="0.2">
      <c r="B50" s="45" t="s">
        <v>116</v>
      </c>
      <c r="C50" s="63">
        <f>I20</f>
        <v>1200</v>
      </c>
      <c r="D50" s="98" t="s">
        <v>34</v>
      </c>
      <c r="E50" s="98" t="s">
        <v>34</v>
      </c>
      <c r="F50" s="98" t="s">
        <v>34</v>
      </c>
      <c r="G50" s="9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2025-12-20T03:27:53Z</dcterms:modified>
</cp:coreProperties>
</file>