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DA070674-D8B3-4A7F-9CCB-6284C8291114}" xr6:coauthVersionLast="47" xr6:coauthVersionMax="47" xr10:uidLastSave="{00000000-0000-0000-0000-000000000000}"/>
  <bookViews>
    <workbookView xWindow="6210" yWindow="180" windowWidth="46980" windowHeight="1023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1" i="14" l="1"/>
  <c r="AC71" i="14"/>
  <c r="AB71" i="14"/>
  <c r="AE73" i="14"/>
  <c r="AE72" i="14"/>
  <c r="AD72" i="14"/>
  <c r="AC72" i="14"/>
  <c r="AB72" i="14"/>
  <c r="AF73" i="14"/>
  <c r="AD73" i="14"/>
  <c r="AC73" i="14"/>
  <c r="AB73" i="14"/>
  <c r="AQ73" i="14"/>
  <c r="AR73" i="14" s="1"/>
  <c r="AP73" i="14"/>
  <c r="AO73" i="14"/>
  <c r="AN73" i="14"/>
  <c r="AK73" i="14"/>
  <c r="AL73" i="14" s="1"/>
  <c r="AJ73" i="14"/>
  <c r="AI73" i="14"/>
  <c r="AH73" i="14"/>
  <c r="AN71" i="14"/>
  <c r="AQ71" i="14" s="1"/>
  <c r="AR71" i="14" s="1"/>
  <c r="AQ69" i="14"/>
  <c r="AR69" i="14" s="1"/>
  <c r="AN69" i="14"/>
  <c r="AJ69" i="14"/>
  <c r="W68" i="14"/>
  <c r="AJ68" i="14" s="1"/>
  <c r="U68" i="14"/>
  <c r="W66" i="14"/>
  <c r="AJ66" i="14" s="1"/>
  <c r="U66" i="14"/>
  <c r="AN66" i="14" s="1"/>
  <c r="AQ66" i="14" s="1"/>
  <c r="AR66" i="14" s="1"/>
  <c r="U71" i="14"/>
  <c r="AH71" i="14" s="1"/>
  <c r="AK71" i="14" s="1"/>
  <c r="AL71" i="14" s="1"/>
  <c r="W65" i="14"/>
  <c r="U65" i="14"/>
  <c r="AB65" i="14" s="1"/>
  <c r="AE65" i="14" s="1"/>
  <c r="AF65" i="14" s="1"/>
  <c r="AE60" i="14"/>
  <c r="AF60" i="14" s="1"/>
  <c r="W60" i="14"/>
  <c r="U60" i="14"/>
  <c r="X60" i="14" s="1"/>
  <c r="W54" i="14"/>
  <c r="AP54" i="14" s="1"/>
  <c r="AP56" i="14" s="1"/>
  <c r="U54" i="14"/>
  <c r="X54" i="14" s="1"/>
  <c r="U53" i="14"/>
  <c r="AE51" i="14"/>
  <c r="W56" i="14"/>
  <c r="AJ51" i="14"/>
  <c r="AJ52" i="14" s="1"/>
  <c r="AP51" i="14"/>
  <c r="AP52" i="14" s="1"/>
  <c r="AO51" i="14"/>
  <c r="AO52" i="14" s="1"/>
  <c r="AN51" i="14"/>
  <c r="AQ51" i="14" s="1"/>
  <c r="AI51" i="14"/>
  <c r="AI52" i="14" s="1"/>
  <c r="AD51" i="14"/>
  <c r="AD52" i="14" s="1"/>
  <c r="AC51" i="14"/>
  <c r="V52" i="14" s="1"/>
  <c r="AB51" i="14"/>
  <c r="W51" i="14"/>
  <c r="U51" i="14"/>
  <c r="X51" i="14" s="1"/>
  <c r="L52" i="14"/>
  <c r="U52" i="14" s="1"/>
  <c r="S45" i="14"/>
  <c r="S44" i="14"/>
  <c r="S43" i="14"/>
  <c r="AP41" i="14"/>
  <c r="AP42" i="14" s="1"/>
  <c r="AP43" i="14" s="1"/>
  <c r="AP44" i="14" s="1"/>
  <c r="AP45" i="14" s="1"/>
  <c r="AO41" i="14"/>
  <c r="AW41" i="14" s="1"/>
  <c r="AN41" i="14"/>
  <c r="AN42" i="14" s="1"/>
  <c r="AJ41" i="14"/>
  <c r="AJ42" i="14" s="1"/>
  <c r="AJ43" i="14" s="1"/>
  <c r="AJ44" i="14" s="1"/>
  <c r="AJ45" i="14" s="1"/>
  <c r="AI41" i="14"/>
  <c r="AV41" i="14" s="1"/>
  <c r="AD41" i="14"/>
  <c r="AD42" i="14" s="1"/>
  <c r="AD43" i="14" s="1"/>
  <c r="AD44" i="14" s="1"/>
  <c r="AD45" i="14" s="1"/>
  <c r="AC41" i="14"/>
  <c r="AC42" i="14" s="1"/>
  <c r="AB41" i="14"/>
  <c r="AB42" i="14" s="1"/>
  <c r="S42" i="14"/>
  <c r="S41" i="14"/>
  <c r="AH41" i="14" s="1"/>
  <c r="S32" i="14"/>
  <c r="R32" i="14"/>
  <c r="S33" i="14"/>
  <c r="R33" i="14"/>
  <c r="S34" i="14"/>
  <c r="R34" i="14"/>
  <c r="G32" i="14"/>
  <c r="F32" i="14"/>
  <c r="E32" i="14"/>
  <c r="D32" i="14"/>
  <c r="C32" i="14"/>
  <c r="B32" i="14"/>
  <c r="S25" i="14"/>
  <c r="R25" i="14"/>
  <c r="U25" i="14"/>
  <c r="U29" i="14" s="1"/>
  <c r="U33" i="14" s="1"/>
  <c r="Z31" i="14"/>
  <c r="Y31" i="14"/>
  <c r="T31" i="14"/>
  <c r="X30" i="14"/>
  <c r="T30" i="14"/>
  <c r="X29" i="14"/>
  <c r="W28" i="14"/>
  <c r="W32" i="14" s="1"/>
  <c r="U28" i="14"/>
  <c r="S24" i="14"/>
  <c r="R24" i="14"/>
  <c r="S23" i="14"/>
  <c r="R23" i="14"/>
  <c r="U22" i="14"/>
  <c r="U20" i="14"/>
  <c r="U23" i="14" s="1"/>
  <c r="U30" i="14" s="1"/>
  <c r="W19" i="14"/>
  <c r="U19" i="14"/>
  <c r="AR14" i="14"/>
  <c r="T14" i="14"/>
  <c r="S14" i="14"/>
  <c r="T13" i="14"/>
  <c r="W12" i="14"/>
  <c r="AD10" i="14" s="1"/>
  <c r="U12" i="14"/>
  <c r="AB10" i="14" s="1"/>
  <c r="W7" i="14"/>
  <c r="W10" i="14" s="1"/>
  <c r="W13" i="14" s="1"/>
  <c r="AJ13" i="14" s="1"/>
  <c r="U7" i="14"/>
  <c r="AE7" i="14" s="1"/>
  <c r="AF7" i="14" s="1"/>
  <c r="AF11" i="14" s="1"/>
  <c r="W5" i="14"/>
  <c r="W8" i="14" s="1"/>
  <c r="U5" i="14"/>
  <c r="AB5" i="14" s="1"/>
  <c r="AB8" i="14" s="1"/>
  <c r="W4" i="14"/>
  <c r="AJ4" i="14" s="1"/>
  <c r="U4" i="14"/>
  <c r="AH4" i="14" s="1"/>
  <c r="AR7" i="14"/>
  <c r="AW7" i="14"/>
  <c r="AI131" i="14"/>
  <c r="AH131" i="14"/>
  <c r="AJ131" i="14" s="1"/>
  <c r="AC131" i="14"/>
  <c r="AB131" i="14"/>
  <c r="AD131" i="14" s="1"/>
  <c r="AN131" i="14" s="1"/>
  <c r="W131" i="14"/>
  <c r="AI127" i="14"/>
  <c r="AI128" i="14" s="1"/>
  <c r="AI129" i="14" s="1"/>
  <c r="AI130" i="14" s="1"/>
  <c r="AH127" i="14"/>
  <c r="AJ127" i="14" s="1"/>
  <c r="AO127" i="14" s="1"/>
  <c r="AC127" i="14"/>
  <c r="AC128" i="14" s="1"/>
  <c r="AC129" i="14" s="1"/>
  <c r="AC130" i="14" s="1"/>
  <c r="AB127" i="14"/>
  <c r="AD127" i="14" s="1"/>
  <c r="W127" i="14"/>
  <c r="AB148" i="14"/>
  <c r="AC148" i="14" s="1"/>
  <c r="AF149" i="14"/>
  <c r="AE149" i="14"/>
  <c r="W149" i="14"/>
  <c r="AB149" i="14"/>
  <c r="AG149" i="14"/>
  <c r="AG145" i="14"/>
  <c r="AG146" i="14"/>
  <c r="AG148" i="14"/>
  <c r="AF148" i="14"/>
  <c r="W148" i="14"/>
  <c r="AB147" i="14"/>
  <c r="AC147" i="14" s="1"/>
  <c r="AB146" i="14"/>
  <c r="AC146" i="14" s="1"/>
  <c r="AB145" i="14"/>
  <c r="AC145" i="14" s="1"/>
  <c r="AG147" i="14"/>
  <c r="AF146" i="14"/>
  <c r="AF147" i="14"/>
  <c r="AF145" i="14"/>
  <c r="W147" i="14"/>
  <c r="W146" i="14"/>
  <c r="W145" i="14"/>
  <c r="AG144" i="14"/>
  <c r="AE144" i="14"/>
  <c r="AE143" i="14"/>
  <c r="W144" i="14"/>
  <c r="W143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W123" i="14"/>
  <c r="AI123" i="14"/>
  <c r="AI124" i="14" s="1"/>
  <c r="AI125" i="14" s="1"/>
  <c r="AI126" i="14" s="1"/>
  <c r="AH123" i="14"/>
  <c r="AJ123" i="14" s="1"/>
  <c r="AO123" i="14" s="1"/>
  <c r="AC123" i="14"/>
  <c r="AC124" i="14" s="1"/>
  <c r="AC125" i="14" s="1"/>
  <c r="AC126" i="14" s="1"/>
  <c r="AB123" i="14"/>
  <c r="AB124" i="14" s="1"/>
  <c r="AB125" i="14" s="1"/>
  <c r="AB126" i="14" s="1"/>
  <c r="AL180" i="14"/>
  <c r="AP180" i="14" s="1"/>
  <c r="AJ178" i="14"/>
  <c r="AJ177" i="14"/>
  <c r="AJ176" i="14"/>
  <c r="AJ175" i="14"/>
  <c r="AJ174" i="14"/>
  <c r="AJ184" i="14"/>
  <c r="AJ183" i="14"/>
  <c r="AJ182" i="14"/>
  <c r="AQ173" i="14"/>
  <c r="AJ173" i="14"/>
  <c r="AL167" i="14"/>
  <c r="AL165" i="14"/>
  <c r="AO159" i="14"/>
  <c r="AN159" i="14"/>
  <c r="AJ160" i="14" s="1"/>
  <c r="AL160" i="14" s="1"/>
  <c r="AP160" i="14" s="1"/>
  <c r="AQ159" i="14"/>
  <c r="AL164" i="14"/>
  <c r="AP164" i="14" s="1"/>
  <c r="AJ163" i="14"/>
  <c r="AL162" i="14"/>
  <c r="AP162" i="14" s="1"/>
  <c r="AJ161" i="14"/>
  <c r="AM161" i="14" s="1"/>
  <c r="AM162" i="14" s="1"/>
  <c r="AJ159" i="14"/>
  <c r="AI116" i="14"/>
  <c r="AI117" i="14" s="1"/>
  <c r="AI118" i="14" s="1"/>
  <c r="AI119" i="14" s="1"/>
  <c r="AC116" i="14"/>
  <c r="AC117" i="14" s="1"/>
  <c r="AC118" i="14" s="1"/>
  <c r="AC119" i="14" s="1"/>
  <c r="AC109" i="14"/>
  <c r="AI111" i="14"/>
  <c r="AI107" i="14"/>
  <c r="AC107" i="14"/>
  <c r="AJ102" i="14"/>
  <c r="AJ100" i="14"/>
  <c r="AJ101" i="14" s="1"/>
  <c r="AJ103" i="14" s="1"/>
  <c r="AD102" i="14"/>
  <c r="AD100" i="14"/>
  <c r="AJ96" i="14"/>
  <c r="AJ92" i="14"/>
  <c r="AJ95" i="14" s="1"/>
  <c r="AD96" i="14"/>
  <c r="AJ89" i="14"/>
  <c r="AJ91" i="14" s="1"/>
  <c r="AJ94" i="14" s="1"/>
  <c r="AJ87" i="14"/>
  <c r="AD90" i="14"/>
  <c r="AD92" i="14" s="1"/>
  <c r="AD95" i="14" s="1"/>
  <c r="AD89" i="14"/>
  <c r="AD91" i="14" s="1"/>
  <c r="AD94" i="14" s="1"/>
  <c r="AD87" i="14"/>
  <c r="BI102" i="14"/>
  <c r="AH102" i="14"/>
  <c r="AC102" i="14"/>
  <c r="AB102" i="14"/>
  <c r="AI102" i="14"/>
  <c r="W102" i="14"/>
  <c r="BK101" i="14"/>
  <c r="BJ101" i="14"/>
  <c r="BI101" i="14"/>
  <c r="BH101" i="14"/>
  <c r="BG101" i="14"/>
  <c r="BF101" i="14"/>
  <c r="BE101" i="14"/>
  <c r="BC101" i="14"/>
  <c r="BB101" i="14"/>
  <c r="BA101" i="14"/>
  <c r="AZ101" i="14"/>
  <c r="AY101" i="14"/>
  <c r="AX101" i="14"/>
  <c r="AW101" i="14"/>
  <c r="AV101" i="14"/>
  <c r="AU101" i="14"/>
  <c r="AT101" i="14"/>
  <c r="AS101" i="14"/>
  <c r="AR101" i="14"/>
  <c r="AV102" i="14"/>
  <c r="AW102" i="14" s="1"/>
  <c r="AU102" i="14"/>
  <c r="AT102" i="14"/>
  <c r="AS102" i="14"/>
  <c r="AR102" i="14"/>
  <c r="AI100" i="14"/>
  <c r="AI101" i="14" s="1"/>
  <c r="AI103" i="14" s="1"/>
  <c r="AH100" i="14"/>
  <c r="AH101" i="14" s="1"/>
  <c r="AH103" i="14" s="1"/>
  <c r="AC100" i="14"/>
  <c r="AC101" i="14" s="1"/>
  <c r="AC103" i="14" s="1"/>
  <c r="AB100" i="14"/>
  <c r="W100" i="14"/>
  <c r="AW94" i="14"/>
  <c r="AV94" i="14"/>
  <c r="AU94" i="14"/>
  <c r="AT94" i="14"/>
  <c r="AS94" i="14"/>
  <c r="AR94" i="14"/>
  <c r="BI88" i="14"/>
  <c r="BI89" i="14" s="1"/>
  <c r="BI91" i="14" s="1"/>
  <c r="BI93" i="14" s="1"/>
  <c r="BI94" i="14" s="1"/>
  <c r="AV88" i="14"/>
  <c r="AV89" i="14" s="1"/>
  <c r="W94" i="14"/>
  <c r="W91" i="14"/>
  <c r="W89" i="14"/>
  <c r="W87" i="14"/>
  <c r="BG88" i="14"/>
  <c r="BF88" i="14"/>
  <c r="BC88" i="14"/>
  <c r="BB88" i="14"/>
  <c r="BA88" i="14"/>
  <c r="AZ88" i="14"/>
  <c r="AY88" i="14"/>
  <c r="AX88" i="14"/>
  <c r="BH88" i="14"/>
  <c r="AU88" i="14"/>
  <c r="AU89" i="14" s="1"/>
  <c r="AU91" i="14" s="1"/>
  <c r="AU93" i="14" s="1"/>
  <c r="AS88" i="14"/>
  <c r="AS89" i="14" s="1"/>
  <c r="AS91" i="14" s="1"/>
  <c r="AS93" i="14" s="1"/>
  <c r="AT88" i="14"/>
  <c r="AT89" i="14" s="1"/>
  <c r="AT91" i="14" s="1"/>
  <c r="AR88" i="14"/>
  <c r="AR89" i="14" s="1"/>
  <c r="AR91" i="14" s="1"/>
  <c r="AH119" i="14"/>
  <c r="AB119" i="14"/>
  <c r="AH118" i="14"/>
  <c r="AB117" i="14"/>
  <c r="AH116" i="14"/>
  <c r="AB116" i="14"/>
  <c r="AH111" i="14"/>
  <c r="AB109" i="14"/>
  <c r="AH107" i="14"/>
  <c r="AB107" i="14"/>
  <c r="AI96" i="14"/>
  <c r="AH96" i="14"/>
  <c r="AC96" i="14"/>
  <c r="AB96" i="14"/>
  <c r="AI92" i="14"/>
  <c r="AH92" i="14"/>
  <c r="AC90" i="14"/>
  <c r="AB90" i="14"/>
  <c r="AB92" i="14" s="1"/>
  <c r="AI87" i="14"/>
  <c r="AH87" i="14"/>
  <c r="AC87" i="14"/>
  <c r="AB87" i="14"/>
  <c r="AB89" i="14" s="1"/>
  <c r="AB91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E71" i="14" l="1"/>
  <c r="AF71" i="14" s="1"/>
  <c r="AD68" i="14"/>
  <c r="AP68" i="14"/>
  <c r="V68" i="14"/>
  <c r="AH68" i="14"/>
  <c r="AN68" i="14"/>
  <c r="AC68" i="14"/>
  <c r="AO68" i="14"/>
  <c r="AI68" i="14"/>
  <c r="X68" i="14"/>
  <c r="AB68" i="14"/>
  <c r="AE68" i="14" s="1"/>
  <c r="AF68" i="14" s="1"/>
  <c r="AB67" i="14"/>
  <c r="AB70" i="14" s="1"/>
  <c r="AP66" i="14"/>
  <c r="AP69" i="14" s="1"/>
  <c r="V66" i="14"/>
  <c r="AD66" i="14"/>
  <c r="AD69" i="14" s="1"/>
  <c r="AB66" i="14"/>
  <c r="AH66" i="14"/>
  <c r="X66" i="14"/>
  <c r="AD65" i="14"/>
  <c r="AJ65" i="14"/>
  <c r="V65" i="14"/>
  <c r="AH65" i="14"/>
  <c r="AN65" i="14"/>
  <c r="AP65" i="14"/>
  <c r="X65" i="14"/>
  <c r="V60" i="14"/>
  <c r="AP58" i="14"/>
  <c r="AP60" i="14" s="1"/>
  <c r="AU56" i="14"/>
  <c r="AU58" i="14" s="1"/>
  <c r="AI53" i="14"/>
  <c r="AI55" i="14" s="1"/>
  <c r="AI57" i="14" s="1"/>
  <c r="AI59" i="14" s="1"/>
  <c r="AI61" i="14" s="1"/>
  <c r="AJ53" i="14"/>
  <c r="AJ55" i="14" s="1"/>
  <c r="AJ57" i="14" s="1"/>
  <c r="AJ59" i="14" s="1"/>
  <c r="AJ61" i="14" s="1"/>
  <c r="AJ54" i="14"/>
  <c r="AJ56" i="14" s="1"/>
  <c r="AJ58" i="14" s="1"/>
  <c r="AJ60" i="14" s="1"/>
  <c r="AN54" i="14"/>
  <c r="V54" i="14"/>
  <c r="AD54" i="14"/>
  <c r="AD56" i="14" s="1"/>
  <c r="AD58" i="14" s="1"/>
  <c r="AD60" i="14" s="1"/>
  <c r="AB54" i="14"/>
  <c r="AH54" i="14"/>
  <c r="AO53" i="14"/>
  <c r="AO55" i="14" s="1"/>
  <c r="AO57" i="14" s="1"/>
  <c r="AO59" i="14" s="1"/>
  <c r="AO61" i="14" s="1"/>
  <c r="AP53" i="14"/>
  <c r="AP55" i="14" s="1"/>
  <c r="AP57" i="14" s="1"/>
  <c r="AP59" i="14" s="1"/>
  <c r="AP61" i="14" s="1"/>
  <c r="AF51" i="14"/>
  <c r="AR51" i="14"/>
  <c r="AQ41" i="14"/>
  <c r="AR41" i="14" s="1"/>
  <c r="AU41" i="14"/>
  <c r="AE41" i="14"/>
  <c r="AF41" i="14" s="1"/>
  <c r="W41" i="14" s="1"/>
  <c r="AT41" i="14"/>
  <c r="AT51" i="14"/>
  <c r="AC52" i="14"/>
  <c r="V53" i="14" s="1"/>
  <c r="W53" i="14" s="1"/>
  <c r="Y53" i="14" s="1"/>
  <c r="Z53" i="14" s="1"/>
  <c r="V51" i="14"/>
  <c r="AB52" i="14"/>
  <c r="AH51" i="14"/>
  <c r="AK51" i="14" s="1"/>
  <c r="AN52" i="14"/>
  <c r="AN53" i="14" s="1"/>
  <c r="AN55" i="14" s="1"/>
  <c r="AN57" i="14" s="1"/>
  <c r="AN59" i="14" s="1"/>
  <c r="AN61" i="14" s="1"/>
  <c r="W52" i="14"/>
  <c r="AH42" i="14"/>
  <c r="AH43" i="14" s="1"/>
  <c r="AK43" i="14" s="1"/>
  <c r="AL43" i="14" s="1"/>
  <c r="AK41" i="14"/>
  <c r="AL41" i="14" s="1"/>
  <c r="X7" i="14"/>
  <c r="X10" i="14" s="1"/>
  <c r="X13" i="14" s="1"/>
  <c r="AU42" i="14"/>
  <c r="AC43" i="14"/>
  <c r="AQ42" i="14"/>
  <c r="AR42" i="14" s="1"/>
  <c r="AN43" i="14"/>
  <c r="AB43" i="14"/>
  <c r="AE42" i="14"/>
  <c r="AF42" i="14" s="1"/>
  <c r="W42" i="14" s="1"/>
  <c r="AI42" i="14"/>
  <c r="AO42" i="14"/>
  <c r="U34" i="14"/>
  <c r="U32" i="14"/>
  <c r="U26" i="14"/>
  <c r="S26" i="14"/>
  <c r="S27" i="14"/>
  <c r="S35" i="14" s="1"/>
  <c r="R26" i="14"/>
  <c r="R27" i="14"/>
  <c r="R35" i="14" s="1"/>
  <c r="X28" i="14"/>
  <c r="V28" i="14"/>
  <c r="V32" i="14" s="1"/>
  <c r="AH28" i="14"/>
  <c r="AH32" i="14" s="1"/>
  <c r="AN28" i="14"/>
  <c r="AN32" i="14" s="1"/>
  <c r="V19" i="14"/>
  <c r="AI19" i="14" s="1"/>
  <c r="AI20" i="14" s="1"/>
  <c r="V25" i="14" s="1"/>
  <c r="X19" i="14"/>
  <c r="AB19" i="14"/>
  <c r="AE19" i="14" s="1"/>
  <c r="AF19" i="14" s="1"/>
  <c r="AH19" i="14"/>
  <c r="AK19" i="14" s="1"/>
  <c r="AL19" i="14" s="1"/>
  <c r="AJ19" i="14"/>
  <c r="AJ20" i="14" s="1"/>
  <c r="AJ22" i="14" s="1"/>
  <c r="W21" i="14"/>
  <c r="W24" i="14" s="1"/>
  <c r="W27" i="14" s="1"/>
  <c r="W35" i="14" s="1"/>
  <c r="AD19" i="14"/>
  <c r="AD20" i="14" s="1"/>
  <c r="AD22" i="14" s="1"/>
  <c r="AD25" i="14" s="1"/>
  <c r="U21" i="14"/>
  <c r="AN19" i="14"/>
  <c r="AQ19" i="14" s="1"/>
  <c r="AR19" i="14" s="1"/>
  <c r="AP19" i="14"/>
  <c r="AP20" i="14" s="1"/>
  <c r="AP22" i="14" s="1"/>
  <c r="AP25" i="14" s="1"/>
  <c r="AP28" i="14" s="1"/>
  <c r="AP32" i="14" s="1"/>
  <c r="W6" i="14"/>
  <c r="U6" i="14"/>
  <c r="X12" i="14"/>
  <c r="AD13" i="14"/>
  <c r="U8" i="14"/>
  <c r="U11" i="14" s="1"/>
  <c r="U14" i="14" s="1"/>
  <c r="V7" i="14"/>
  <c r="V10" i="14" s="1"/>
  <c r="V13" i="14" s="1"/>
  <c r="AH10" i="14"/>
  <c r="AN10" i="14"/>
  <c r="AJ5" i="14"/>
  <c r="AJ8" i="14" s="1"/>
  <c r="AP10" i="14"/>
  <c r="AJ10" i="14"/>
  <c r="AK10" i="14"/>
  <c r="AL10" i="14" s="1"/>
  <c r="AQ10" i="14"/>
  <c r="AR10" i="14" s="1"/>
  <c r="AE10" i="14"/>
  <c r="AF10" i="14" s="1"/>
  <c r="V12" i="14"/>
  <c r="AE11" i="14"/>
  <c r="V5" i="14"/>
  <c r="AJ7" i="14"/>
  <c r="AJ11" i="14" s="1"/>
  <c r="AK7" i="14"/>
  <c r="AQ4" i="14"/>
  <c r="U9" i="14"/>
  <c r="W11" i="14"/>
  <c r="W14" i="14" s="1"/>
  <c r="AH7" i="14"/>
  <c r="AH11" i="14" s="1"/>
  <c r="U10" i="14"/>
  <c r="AB7" i="14"/>
  <c r="AD7" i="14"/>
  <c r="AD11" i="14" s="1"/>
  <c r="AE4" i="14"/>
  <c r="AF4" i="14" s="1"/>
  <c r="AE5" i="14"/>
  <c r="AH5" i="14"/>
  <c r="AH8" i="14" s="1"/>
  <c r="AN4" i="14"/>
  <c r="AP4" i="14"/>
  <c r="AP5" i="14" s="1"/>
  <c r="AK5" i="14"/>
  <c r="V4" i="14"/>
  <c r="V6" i="14" s="1"/>
  <c r="X4" i="14"/>
  <c r="AQ5" i="14"/>
  <c r="AR5" i="14" s="1"/>
  <c r="AN5" i="14"/>
  <c r="W9" i="14"/>
  <c r="AD4" i="14"/>
  <c r="AD5" i="14" s="1"/>
  <c r="AD8" i="14" s="1"/>
  <c r="AK4" i="14"/>
  <c r="AL4" i="14" s="1"/>
  <c r="AB4" i="14"/>
  <c r="X5" i="14"/>
  <c r="AL131" i="14"/>
  <c r="AO131" i="14"/>
  <c r="AK131" i="14"/>
  <c r="AE131" i="14"/>
  <c r="AN127" i="14"/>
  <c r="AE127" i="14"/>
  <c r="AF127" i="14"/>
  <c r="AF128" i="14" s="1"/>
  <c r="AF129" i="14" s="1"/>
  <c r="AF130" i="14" s="1"/>
  <c r="AF131" i="14" s="1"/>
  <c r="AB128" i="14"/>
  <c r="AB129" i="14" s="1"/>
  <c r="AB130" i="14" s="1"/>
  <c r="AD123" i="14"/>
  <c r="AD124" i="14" s="1"/>
  <c r="AK127" i="14"/>
  <c r="AJ124" i="14"/>
  <c r="AO124" i="14" s="1"/>
  <c r="AD128" i="14"/>
  <c r="AL127" i="14"/>
  <c r="AL128" i="14" s="1"/>
  <c r="AL129" i="14" s="1"/>
  <c r="AL130" i="14" s="1"/>
  <c r="AJ128" i="14"/>
  <c r="AO128" i="14" s="1"/>
  <c r="AM163" i="14"/>
  <c r="AM164" i="14" s="1"/>
  <c r="AP165" i="14"/>
  <c r="AP166" i="14" s="1"/>
  <c r="AK123" i="14"/>
  <c r="AF123" i="14"/>
  <c r="AF124" i="14" s="1"/>
  <c r="AF125" i="14" s="1"/>
  <c r="AF126" i="14" s="1"/>
  <c r="AL123" i="14"/>
  <c r="AL124" i="14" s="1"/>
  <c r="AL125" i="14" s="1"/>
  <c r="AL126" i="14" s="1"/>
  <c r="AF102" i="14"/>
  <c r="AR159" i="14"/>
  <c r="AQ174" i="14"/>
  <c r="AQ175" i="14" s="1"/>
  <c r="AQ176" i="14" s="1"/>
  <c r="AQ177" i="14" s="1"/>
  <c r="AQ178" i="14" s="1"/>
  <c r="AQ179" i="14" s="1"/>
  <c r="AQ180" i="14" s="1"/>
  <c r="AR173" i="14"/>
  <c r="AM173" i="14"/>
  <c r="AM174" i="14" s="1"/>
  <c r="AM175" i="14" s="1"/>
  <c r="AN161" i="14"/>
  <c r="AN162" i="14" s="1"/>
  <c r="AN163" i="14" s="1"/>
  <c r="AN164" i="14" s="1"/>
  <c r="AN165" i="14" s="1"/>
  <c r="AN166" i="14" s="1"/>
  <c r="AN167" i="14" s="1"/>
  <c r="AN168" i="14" s="1"/>
  <c r="AO161" i="14"/>
  <c r="AO162" i="14" s="1"/>
  <c r="AO163" i="14" s="1"/>
  <c r="AO164" i="14" s="1"/>
  <c r="AO165" i="14" s="1"/>
  <c r="AO166" i="14" s="1"/>
  <c r="AO167" i="14" s="1"/>
  <c r="AO168" i="14" s="1"/>
  <c r="AQ160" i="14"/>
  <c r="AL102" i="14"/>
  <c r="AD101" i="14"/>
  <c r="AD103" i="14" s="1"/>
  <c r="AB101" i="14"/>
  <c r="AB103" i="14" s="1"/>
  <c r="AF100" i="14"/>
  <c r="AF101" i="14" s="1"/>
  <c r="AF103" i="14" s="1"/>
  <c r="AL100" i="14"/>
  <c r="AL101" i="14" s="1"/>
  <c r="AL103" i="14" s="1"/>
  <c r="AR93" i="14"/>
  <c r="BE88" i="14"/>
  <c r="BJ88" i="14" s="1"/>
  <c r="BK88" i="14" s="1"/>
  <c r="AT93" i="14"/>
  <c r="AW88" i="14"/>
  <c r="AL119" i="14"/>
  <c r="AF117" i="14"/>
  <c r="AL118" i="14"/>
  <c r="AF119" i="14"/>
  <c r="AF107" i="14"/>
  <c r="AF116" i="14"/>
  <c r="AL107" i="14"/>
  <c r="AF109" i="14"/>
  <c r="AL111" i="14"/>
  <c r="AL116" i="14"/>
  <c r="AL96" i="14"/>
  <c r="AO94" i="14" s="1"/>
  <c r="AZ94" i="14" s="1"/>
  <c r="BA94" i="14" s="1"/>
  <c r="AF96" i="14"/>
  <c r="AM94" i="14" s="1"/>
  <c r="AL92" i="14"/>
  <c r="AL87" i="14"/>
  <c r="AO87" i="14" s="1"/>
  <c r="AO88" i="14" s="1"/>
  <c r="AO89" i="14" s="1"/>
  <c r="AF87" i="14"/>
  <c r="AM87" i="14" s="1"/>
  <c r="AF90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K66" i="14" l="1"/>
  <c r="AH69" i="14"/>
  <c r="AE66" i="14"/>
  <c r="AB69" i="14"/>
  <c r="V71" i="14"/>
  <c r="AQ68" i="14"/>
  <c r="AR68" i="14" s="1"/>
  <c r="AK68" i="14"/>
  <c r="AL68" i="14" s="1"/>
  <c r="AE67" i="14"/>
  <c r="AK65" i="14"/>
  <c r="AL65" i="14" s="1"/>
  <c r="AH67" i="14"/>
  <c r="AH70" i="14" s="1"/>
  <c r="AH72" i="14" s="1"/>
  <c r="AP67" i="14"/>
  <c r="AP70" i="14" s="1"/>
  <c r="AP72" i="14" s="1"/>
  <c r="AQ65" i="14"/>
  <c r="AR65" i="14" s="1"/>
  <c r="AN67" i="14"/>
  <c r="AN70" i="14" s="1"/>
  <c r="AN72" i="14" s="1"/>
  <c r="AJ67" i="14"/>
  <c r="AJ70" i="14" s="1"/>
  <c r="AJ72" i="14" s="1"/>
  <c r="AD67" i="14"/>
  <c r="AD70" i="14" s="1"/>
  <c r="AI66" i="14"/>
  <c r="AI69" i="14" s="1"/>
  <c r="AV68" i="14" s="1"/>
  <c r="AC66" i="14"/>
  <c r="AC69" i="14" s="1"/>
  <c r="AU68" i="14" s="1"/>
  <c r="AO66" i="14"/>
  <c r="AO69" i="14" s="1"/>
  <c r="AW68" i="14" s="1"/>
  <c r="AO65" i="14"/>
  <c r="AO67" i="14" s="1"/>
  <c r="AO70" i="14" s="1"/>
  <c r="AO72" i="14" s="1"/>
  <c r="AI65" i="14"/>
  <c r="AI67" i="14" s="1"/>
  <c r="AI70" i="14" s="1"/>
  <c r="AI72" i="14" s="1"/>
  <c r="AC65" i="14"/>
  <c r="AC67" i="14" s="1"/>
  <c r="AC70" i="14" s="1"/>
  <c r="AE54" i="14"/>
  <c r="AB56" i="14"/>
  <c r="AB58" i="14" s="1"/>
  <c r="AB60" i="14" s="1"/>
  <c r="AQ54" i="14"/>
  <c r="AN56" i="14"/>
  <c r="AN58" i="14" s="1"/>
  <c r="AN60" i="14" s="1"/>
  <c r="AQ60" i="14" s="1"/>
  <c r="AR60" i="14" s="1"/>
  <c r="AK54" i="14"/>
  <c r="AH56" i="14"/>
  <c r="AC54" i="14"/>
  <c r="AC56" i="14" s="1"/>
  <c r="AI54" i="14"/>
  <c r="AI56" i="14" s="1"/>
  <c r="AI58" i="14" s="1"/>
  <c r="AI60" i="14" s="1"/>
  <c r="AO54" i="14"/>
  <c r="AO56" i="14" s="1"/>
  <c r="AO58" i="14" s="1"/>
  <c r="AO60" i="14" s="1"/>
  <c r="AT52" i="14"/>
  <c r="AX51" i="14"/>
  <c r="AU52" i="14"/>
  <c r="AU53" i="14" s="1"/>
  <c r="AV53" i="14"/>
  <c r="AK42" i="14"/>
  <c r="AL42" i="14" s="1"/>
  <c r="AQ52" i="14"/>
  <c r="AQ53" i="14" s="1"/>
  <c r="AH44" i="14"/>
  <c r="AH45" i="14" s="1"/>
  <c r="AK45" i="14" s="1"/>
  <c r="AL45" i="14" s="1"/>
  <c r="W45" i="14" s="1"/>
  <c r="AT42" i="14"/>
  <c r="AE52" i="14"/>
  <c r="AV52" i="14"/>
  <c r="AV51" i="14"/>
  <c r="AW51" i="14" s="1"/>
  <c r="AH52" i="14"/>
  <c r="AH53" i="14" s="1"/>
  <c r="Y52" i="14"/>
  <c r="AO43" i="14"/>
  <c r="AW42" i="14"/>
  <c r="AC19" i="14"/>
  <c r="V20" i="14" s="1"/>
  <c r="AC20" i="14" s="1"/>
  <c r="AC22" i="14" s="1"/>
  <c r="AJ125" i="14"/>
  <c r="AO125" i="14" s="1"/>
  <c r="AK124" i="14"/>
  <c r="AO19" i="14"/>
  <c r="AO20" i="14" s="1"/>
  <c r="AO22" i="14" s="1"/>
  <c r="AW22" i="14" s="1"/>
  <c r="AQ43" i="14"/>
  <c r="AR43" i="14" s="1"/>
  <c r="AN44" i="14"/>
  <c r="AU43" i="14"/>
  <c r="AC44" i="14"/>
  <c r="AI43" i="14"/>
  <c r="AV42" i="14"/>
  <c r="V21" i="14"/>
  <c r="V24" i="14" s="1"/>
  <c r="V27" i="14" s="1"/>
  <c r="V35" i="14" s="1"/>
  <c r="AE43" i="14"/>
  <c r="AF43" i="14" s="1"/>
  <c r="W43" i="14" s="1"/>
  <c r="AB44" i="14"/>
  <c r="X32" i="14"/>
  <c r="W25" i="14"/>
  <c r="W29" i="14" s="1"/>
  <c r="W33" i="14" s="1"/>
  <c r="V29" i="14"/>
  <c r="V33" i="14" s="1"/>
  <c r="AJ25" i="14"/>
  <c r="AJ28" i="14" s="1"/>
  <c r="AV19" i="14"/>
  <c r="W31" i="14"/>
  <c r="AD28" i="14"/>
  <c r="AD32" i="14" s="1"/>
  <c r="AQ28" i="14"/>
  <c r="AQ32" i="14" s="1"/>
  <c r="AK28" i="14"/>
  <c r="AK32" i="14" s="1"/>
  <c r="V22" i="14"/>
  <c r="AI22" i="14"/>
  <c r="AI7" i="14"/>
  <c r="AI11" i="14" s="1"/>
  <c r="AN20" i="14"/>
  <c r="AH20" i="14"/>
  <c r="AB20" i="14"/>
  <c r="U24" i="14"/>
  <c r="U27" i="14" s="1"/>
  <c r="U35" i="14" s="1"/>
  <c r="AC7" i="14"/>
  <c r="AC11" i="14" s="1"/>
  <c r="X21" i="14"/>
  <c r="X24" i="14" s="1"/>
  <c r="X27" i="14" s="1"/>
  <c r="X35" i="14" s="1"/>
  <c r="X9" i="14"/>
  <c r="X6" i="14"/>
  <c r="AR4" i="14"/>
  <c r="AB11" i="14"/>
  <c r="U13" i="14"/>
  <c r="V8" i="14"/>
  <c r="V11" i="14" s="1"/>
  <c r="AI13" i="14"/>
  <c r="AC13" i="14"/>
  <c r="X8" i="14"/>
  <c r="AP14" i="14"/>
  <c r="AJ14" i="14"/>
  <c r="AD14" i="14"/>
  <c r="AN14" i="14"/>
  <c r="AB14" i="14"/>
  <c r="AH14" i="14"/>
  <c r="AE14" i="14"/>
  <c r="AF14" i="14" s="1"/>
  <c r="AN12" i="14"/>
  <c r="AK12" i="14"/>
  <c r="AB12" i="14"/>
  <c r="AE12" i="14"/>
  <c r="AQ12" i="14"/>
  <c r="AR12" i="14" s="1"/>
  <c r="AH12" i="14"/>
  <c r="AL7" i="14"/>
  <c r="AL11" i="14" s="1"/>
  <c r="AK11" i="14"/>
  <c r="AJ12" i="14"/>
  <c r="AP12" i="14"/>
  <c r="AD12" i="14"/>
  <c r="AO10" i="14"/>
  <c r="AC10" i="14"/>
  <c r="AI10" i="14"/>
  <c r="AL5" i="14"/>
  <c r="AK8" i="14"/>
  <c r="AL8" i="14" s="1"/>
  <c r="AC4" i="14"/>
  <c r="V9" i="14"/>
  <c r="AI4" i="14"/>
  <c r="AO4" i="14"/>
  <c r="AF5" i="14"/>
  <c r="AE8" i="14"/>
  <c r="AF8" i="14" s="1"/>
  <c r="AF12" i="14" s="1"/>
  <c r="AO102" i="14"/>
  <c r="AZ102" i="14" s="1"/>
  <c r="BG102" i="14" s="1"/>
  <c r="BH102" i="14" s="1"/>
  <c r="AM102" i="14"/>
  <c r="AN128" i="14"/>
  <c r="AE128" i="14"/>
  <c r="AN124" i="14"/>
  <c r="AE124" i="14"/>
  <c r="AN123" i="14"/>
  <c r="AE123" i="14"/>
  <c r="AK128" i="14"/>
  <c r="AJ129" i="14"/>
  <c r="AO129" i="14" s="1"/>
  <c r="AD129" i="14"/>
  <c r="AD125" i="14"/>
  <c r="AR175" i="14"/>
  <c r="AM176" i="14"/>
  <c r="AR174" i="14"/>
  <c r="AO173" i="14"/>
  <c r="AN173" i="14"/>
  <c r="AN174" i="14" s="1"/>
  <c r="AN175" i="14" s="1"/>
  <c r="AN176" i="14" s="1"/>
  <c r="AN177" i="14" s="1"/>
  <c r="AN178" i="14" s="1"/>
  <c r="AN179" i="14" s="1"/>
  <c r="AN180" i="14" s="1"/>
  <c r="AQ161" i="14"/>
  <c r="AQ162" i="14" s="1"/>
  <c r="AR162" i="14" s="1"/>
  <c r="AM165" i="14"/>
  <c r="AM166" i="14" s="1"/>
  <c r="AM167" i="14" s="1"/>
  <c r="AM168" i="14" s="1"/>
  <c r="AP167" i="14"/>
  <c r="AR160" i="14"/>
  <c r="AO100" i="14"/>
  <c r="AO101" i="14" s="1"/>
  <c r="AM100" i="14"/>
  <c r="AM101" i="14" s="1"/>
  <c r="AZ89" i="14"/>
  <c r="BG89" i="14" s="1"/>
  <c r="BH89" i="14" s="1"/>
  <c r="AO91" i="14"/>
  <c r="AX94" i="14"/>
  <c r="AP94" i="14"/>
  <c r="BG94" i="14"/>
  <c r="BH94" i="14" s="1"/>
  <c r="AW89" i="14"/>
  <c r="AW91" i="14" s="1"/>
  <c r="AW93" i="14" s="1"/>
  <c r="AV91" i="14"/>
  <c r="AV93" i="14" s="1"/>
  <c r="AP87" i="14"/>
  <c r="AP88" i="14" s="1"/>
  <c r="AM88" i="14"/>
  <c r="AM89" i="14" s="1"/>
  <c r="AX89" i="14" s="1"/>
  <c r="AY89" i="14" s="1"/>
  <c r="AF67" i="14" l="1"/>
  <c r="AE70" i="14"/>
  <c r="AF66" i="14"/>
  <c r="AE69" i="14"/>
  <c r="AF69" i="14" s="1"/>
  <c r="AU71" i="14"/>
  <c r="AI71" i="14"/>
  <c r="AV71" i="14" s="1"/>
  <c r="AO71" i="14"/>
  <c r="AW71" i="14" s="1"/>
  <c r="AL66" i="14"/>
  <c r="AK69" i="14"/>
  <c r="AL69" i="14" s="1"/>
  <c r="AT68" i="14"/>
  <c r="AQ67" i="14"/>
  <c r="AK67" i="14"/>
  <c r="AV66" i="14"/>
  <c r="AW66" i="14"/>
  <c r="AU66" i="14"/>
  <c r="AT66" i="14" s="1"/>
  <c r="AW52" i="14"/>
  <c r="W71" i="14"/>
  <c r="AU65" i="14"/>
  <c r="AT65" i="14"/>
  <c r="AV65" i="14"/>
  <c r="AW65" i="14"/>
  <c r="AV56" i="14"/>
  <c r="AR54" i="14"/>
  <c r="AQ56" i="14"/>
  <c r="AR56" i="14" s="1"/>
  <c r="AL54" i="14"/>
  <c r="AK56" i="14"/>
  <c r="AL56" i="14" s="1"/>
  <c r="AK44" i="14"/>
  <c r="AL44" i="14" s="1"/>
  <c r="AF54" i="14"/>
  <c r="AE56" i="14"/>
  <c r="AF56" i="14" s="1"/>
  <c r="AU19" i="14"/>
  <c r="AK53" i="14"/>
  <c r="AH55" i="14"/>
  <c r="AH57" i="14" s="1"/>
  <c r="AH59" i="14" s="1"/>
  <c r="AH61" i="14" s="1"/>
  <c r="AR53" i="14"/>
  <c r="AQ55" i="14"/>
  <c r="AV54" i="14"/>
  <c r="Z52" i="14"/>
  <c r="AT53" i="14"/>
  <c r="AX52" i="14"/>
  <c r="AH58" i="14"/>
  <c r="AH60" i="14" s="1"/>
  <c r="AK60" i="14" s="1"/>
  <c r="AL60" i="14" s="1"/>
  <c r="AK52" i="14"/>
  <c r="AR52" i="14"/>
  <c r="AP102" i="14"/>
  <c r="AC58" i="14"/>
  <c r="V31" i="14"/>
  <c r="AF52" i="14"/>
  <c r="AJ126" i="14"/>
  <c r="AK126" i="14" s="1"/>
  <c r="AK125" i="14"/>
  <c r="AO25" i="14"/>
  <c r="AO28" i="14" s="1"/>
  <c r="AO32" i="14" s="1"/>
  <c r="AL51" i="14"/>
  <c r="AW19" i="14"/>
  <c r="AW20" i="14"/>
  <c r="AT19" i="14"/>
  <c r="AE44" i="14"/>
  <c r="AF44" i="14" s="1"/>
  <c r="W44" i="14" s="1"/>
  <c r="AB45" i="14"/>
  <c r="AE45" i="14" s="1"/>
  <c r="AF45" i="14" s="1"/>
  <c r="AC45" i="14"/>
  <c r="AU44" i="14"/>
  <c r="AV43" i="14"/>
  <c r="AI44" i="14"/>
  <c r="AT43" i="14"/>
  <c r="AQ44" i="14"/>
  <c r="AR44" i="14" s="1"/>
  <c r="AN45" i="14"/>
  <c r="AQ45" i="14" s="1"/>
  <c r="AR45" i="14" s="1"/>
  <c r="AW43" i="14"/>
  <c r="AO44" i="14"/>
  <c r="AJ32" i="14"/>
  <c r="AC25" i="14"/>
  <c r="AU25" i="14" s="1"/>
  <c r="AI25" i="14"/>
  <c r="Y25" i="14"/>
  <c r="AT4" i="14"/>
  <c r="X31" i="14"/>
  <c r="U31" i="14"/>
  <c r="AR28" i="14"/>
  <c r="AL28" i="14"/>
  <c r="AK20" i="14"/>
  <c r="AH22" i="14"/>
  <c r="AQ20" i="14"/>
  <c r="AN22" i="14"/>
  <c r="AE20" i="14"/>
  <c r="AB22" i="14"/>
  <c r="AB25" i="14" s="1"/>
  <c r="AU22" i="14"/>
  <c r="AC28" i="14"/>
  <c r="AC32" i="14" s="1"/>
  <c r="V23" i="14"/>
  <c r="V26" i="14" s="1"/>
  <c r="W20" i="14"/>
  <c r="Y20" i="14" s="1"/>
  <c r="W22" i="14"/>
  <c r="AV20" i="14"/>
  <c r="AU20" i="14"/>
  <c r="AT20" i="14"/>
  <c r="X11" i="14"/>
  <c r="X14" i="14" s="1"/>
  <c r="V14" i="14"/>
  <c r="AI12" i="14"/>
  <c r="AV10" i="14" s="1"/>
  <c r="AO12" i="14"/>
  <c r="AW10" i="14" s="1"/>
  <c r="AK13" i="14"/>
  <c r="AL13" i="14" s="1"/>
  <c r="AH13" i="14"/>
  <c r="AB13" i="14"/>
  <c r="AE13" i="14"/>
  <c r="AF13" i="14" s="1"/>
  <c r="AL12" i="14"/>
  <c r="AK14" i="14"/>
  <c r="AL14" i="14" s="1"/>
  <c r="AO5" i="14"/>
  <c r="AW5" i="14" s="1"/>
  <c r="AW4" i="14"/>
  <c r="AI5" i="14"/>
  <c r="AV4" i="14"/>
  <c r="BA102" i="14"/>
  <c r="AX102" i="14"/>
  <c r="BB102" i="14" s="1"/>
  <c r="BC102" i="14" s="1"/>
  <c r="AC5" i="14"/>
  <c r="AU4" i="14"/>
  <c r="AN125" i="14"/>
  <c r="AE125" i="14"/>
  <c r="AN129" i="14"/>
  <c r="AE129" i="14"/>
  <c r="AJ130" i="14"/>
  <c r="AK129" i="14"/>
  <c r="AD130" i="14"/>
  <c r="AR161" i="14"/>
  <c r="AP101" i="14"/>
  <c r="AD126" i="14"/>
  <c r="AR176" i="14"/>
  <c r="AM177" i="14"/>
  <c r="AO174" i="14"/>
  <c r="AO175" i="14" s="1"/>
  <c r="AO176" i="14" s="1"/>
  <c r="AO177" i="14" s="1"/>
  <c r="AO178" i="14" s="1"/>
  <c r="AO179" i="14" s="1"/>
  <c r="AO180" i="14" s="1"/>
  <c r="AO181" i="14" s="1"/>
  <c r="AO182" i="14" s="1"/>
  <c r="AQ163" i="14"/>
  <c r="AQ164" i="14" s="1"/>
  <c r="AQ165" i="14" s="1"/>
  <c r="AR165" i="14" s="1"/>
  <c r="AP100" i="14"/>
  <c r="BA89" i="14"/>
  <c r="AY94" i="14"/>
  <c r="BF94" i="14" s="1"/>
  <c r="BE94" i="14"/>
  <c r="BJ94" i="14" s="1"/>
  <c r="BK94" i="14" s="1"/>
  <c r="BB94" i="14"/>
  <c r="BC94" i="14" s="1"/>
  <c r="AO93" i="14"/>
  <c r="AZ91" i="14"/>
  <c r="BE89" i="14"/>
  <c r="BJ89" i="14" s="1"/>
  <c r="BK89" i="14" s="1"/>
  <c r="AM91" i="14"/>
  <c r="AP89" i="14"/>
  <c r="AR67" i="14" l="1"/>
  <c r="AQ70" i="14"/>
  <c r="Y71" i="14"/>
  <c r="Z71" i="14" s="1"/>
  <c r="AP71" i="14"/>
  <c r="AJ71" i="14"/>
  <c r="AL67" i="14"/>
  <c r="AK70" i="14"/>
  <c r="AF72" i="14"/>
  <c r="AF70" i="14"/>
  <c r="AT71" i="14"/>
  <c r="AQ58" i="14"/>
  <c r="AR58" i="14" s="1"/>
  <c r="AQ57" i="14"/>
  <c r="AR55" i="14"/>
  <c r="AE58" i="14"/>
  <c r="AF58" i="14" s="1"/>
  <c r="AV58" i="14"/>
  <c r="AC60" i="14"/>
  <c r="AV60" i="14" s="1"/>
  <c r="AX53" i="14"/>
  <c r="AT54" i="14"/>
  <c r="AW54" i="14"/>
  <c r="AL53" i="14"/>
  <c r="AK55" i="14"/>
  <c r="AW53" i="14"/>
  <c r="AW25" i="14"/>
  <c r="AL52" i="14"/>
  <c r="AK58" i="14"/>
  <c r="AL58" i="14" s="1"/>
  <c r="AW28" i="14"/>
  <c r="AO126" i="14"/>
  <c r="AV44" i="14"/>
  <c r="AI45" i="14"/>
  <c r="AV45" i="14" s="1"/>
  <c r="AT44" i="14"/>
  <c r="AW44" i="14"/>
  <c r="AO45" i="14"/>
  <c r="AW45" i="14" s="1"/>
  <c r="AU32" i="14"/>
  <c r="AW32" i="14"/>
  <c r="AL32" i="14"/>
  <c r="AR32" i="14"/>
  <c r="Z25" i="14"/>
  <c r="Z29" i="14" s="1"/>
  <c r="Z33" i="14" s="1"/>
  <c r="Y29" i="14"/>
  <c r="Y33" i="14" s="1"/>
  <c r="AV25" i="14"/>
  <c r="AI28" i="14"/>
  <c r="AI32" i="14" s="1"/>
  <c r="AN25" i="14"/>
  <c r="AH25" i="14"/>
  <c r="AK25" i="14" s="1"/>
  <c r="AL25" i="14" s="1"/>
  <c r="AB28" i="14"/>
  <c r="V30" i="14"/>
  <c r="AU28" i="14"/>
  <c r="Y22" i="14"/>
  <c r="W23" i="14"/>
  <c r="W26" i="14" s="1"/>
  <c r="AE22" i="14"/>
  <c r="AE25" i="14" s="1"/>
  <c r="AF25" i="14" s="1"/>
  <c r="AF20" i="14"/>
  <c r="AQ22" i="14"/>
  <c r="AQ25" i="14" s="1"/>
  <c r="AR20" i="14"/>
  <c r="AK22" i="14"/>
  <c r="AL20" i="14"/>
  <c r="AL22" i="14" s="1"/>
  <c r="AT22" i="14"/>
  <c r="AY102" i="14"/>
  <c r="BF102" i="14" s="1"/>
  <c r="BE102" i="14"/>
  <c r="BJ102" i="14" s="1"/>
  <c r="BK102" i="14" s="1"/>
  <c r="AO14" i="14"/>
  <c r="AW13" i="14" s="1"/>
  <c r="AC14" i="14"/>
  <c r="AU13" i="14" s="1"/>
  <c r="AI14" i="14"/>
  <c r="AV13" i="14" s="1"/>
  <c r="AI8" i="14"/>
  <c r="AV7" i="14" s="1"/>
  <c r="AV5" i="14"/>
  <c r="AC8" i="14"/>
  <c r="AC12" i="14" s="1"/>
  <c r="AU10" i="14" s="1"/>
  <c r="AT10" i="14" s="1"/>
  <c r="AU5" i="14"/>
  <c r="AT5" i="14"/>
  <c r="AN126" i="14"/>
  <c r="AE126" i="14"/>
  <c r="AN130" i="14"/>
  <c r="AE130" i="14"/>
  <c r="AK130" i="14"/>
  <c r="AO130" i="14"/>
  <c r="AR163" i="14"/>
  <c r="AR177" i="14"/>
  <c r="AM178" i="14"/>
  <c r="AJ181" i="14"/>
  <c r="AL181" i="14" s="1"/>
  <c r="AP181" i="14" s="1"/>
  <c r="AO183" i="14"/>
  <c r="AO184" i="14" s="1"/>
  <c r="AL179" i="14"/>
  <c r="AP179" i="14" s="1"/>
  <c r="AQ166" i="14"/>
  <c r="AR164" i="14"/>
  <c r="AX91" i="14"/>
  <c r="BB91" i="14" s="1"/>
  <c r="AP91" i="14"/>
  <c r="AM93" i="14"/>
  <c r="AP93" i="14" s="1"/>
  <c r="BA91" i="14"/>
  <c r="BA93" i="14" s="1"/>
  <c r="AZ93" i="14"/>
  <c r="BG91" i="14"/>
  <c r="BB89" i="14"/>
  <c r="BC89" i="14" s="1"/>
  <c r="BF89" i="14"/>
  <c r="AT25" i="14" l="1"/>
  <c r="AR70" i="14"/>
  <c r="AQ72" i="14"/>
  <c r="AR72" i="14" s="1"/>
  <c r="AL70" i="14"/>
  <c r="AK72" i="14"/>
  <c r="AL72" i="14" s="1"/>
  <c r="AQ59" i="14"/>
  <c r="AR57" i="14"/>
  <c r="AK57" i="14"/>
  <c r="AL55" i="14"/>
  <c r="AX54" i="14"/>
  <c r="AT56" i="14"/>
  <c r="AT58" i="14" s="1"/>
  <c r="AT45" i="14"/>
  <c r="AV32" i="14"/>
  <c r="AT32" i="14" s="1"/>
  <c r="AE28" i="14"/>
  <c r="AB32" i="14"/>
  <c r="V34" i="14"/>
  <c r="AV28" i="14"/>
  <c r="AT28" i="14" s="1"/>
  <c r="AF22" i="14"/>
  <c r="AR22" i="14"/>
  <c r="W30" i="14"/>
  <c r="W34" i="14" s="1"/>
  <c r="Z20" i="14"/>
  <c r="Z23" i="14" s="1"/>
  <c r="Z26" i="14" s="1"/>
  <c r="Y23" i="14"/>
  <c r="Y26" i="14" s="1"/>
  <c r="Z22" i="14"/>
  <c r="AT13" i="14"/>
  <c r="AU7" i="14"/>
  <c r="AT7" i="14" s="1"/>
  <c r="AR178" i="14"/>
  <c r="AM179" i="14"/>
  <c r="AM180" i="14" s="1"/>
  <c r="AM181" i="14" s="1"/>
  <c r="AN181" i="14"/>
  <c r="AN182" i="14" s="1"/>
  <c r="AN183" i="14" s="1"/>
  <c r="AN184" i="14" s="1"/>
  <c r="AQ181" i="14"/>
  <c r="AQ182" i="14" s="1"/>
  <c r="AQ183" i="14" s="1"/>
  <c r="AQ184" i="14" s="1"/>
  <c r="AR179" i="14"/>
  <c r="AQ167" i="14"/>
  <c r="AQ168" i="14" s="1"/>
  <c r="AR168" i="14" s="1"/>
  <c r="AR166" i="14"/>
  <c r="BH91" i="14"/>
  <c r="BH93" i="14" s="1"/>
  <c r="BG93" i="14"/>
  <c r="BC91" i="14"/>
  <c r="BC93" i="14" s="1"/>
  <c r="BB93" i="14"/>
  <c r="AY91" i="14"/>
  <c r="AX93" i="14"/>
  <c r="BE91" i="14"/>
  <c r="AT60" i="14" l="1"/>
  <c r="AW60" i="14" s="1"/>
  <c r="AQ61" i="14"/>
  <c r="AR59" i="14"/>
  <c r="AR61" i="14" s="1"/>
  <c r="AK59" i="14"/>
  <c r="AL57" i="14"/>
  <c r="AX58" i="14"/>
  <c r="AW58" i="14"/>
  <c r="AX56" i="14"/>
  <c r="AW56" i="14"/>
  <c r="AF28" i="14"/>
  <c r="AF32" i="14" s="1"/>
  <c r="AE32" i="14"/>
  <c r="AR25" i="14"/>
  <c r="Z30" i="14"/>
  <c r="Y30" i="14"/>
  <c r="AR180" i="14"/>
  <c r="AM182" i="14"/>
  <c r="AR181" i="14"/>
  <c r="AR167" i="14"/>
  <c r="BJ91" i="14"/>
  <c r="BK91" i="14" s="1"/>
  <c r="BE93" i="14"/>
  <c r="BJ93" i="14" s="1"/>
  <c r="BK93" i="14" s="1"/>
  <c r="BF91" i="14"/>
  <c r="BF93" i="14" s="1"/>
  <c r="AY93" i="14"/>
  <c r="AX60" i="14" l="1"/>
  <c r="AL59" i="14"/>
  <c r="AL61" i="14" s="1"/>
  <c r="AK61" i="14"/>
  <c r="Y34" i="14"/>
  <c r="Z34" i="14"/>
  <c r="AR182" i="14"/>
  <c r="AM183" i="14"/>
  <c r="AM184" i="14" s="1"/>
  <c r="AR184" i="14" s="1"/>
  <c r="AR183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E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T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E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H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W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E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50" authorId="0" shapeId="0" xr:uid="{7EDF3E15-F120-410D-A5D0-BA33CCD4472C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50" authorId="0" shapeId="0" xr:uid="{F1A52232-59AF-4865-9940-49E2A63C74F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E64" authorId="0" shapeId="0" xr:uid="{8F04C767-0EEA-4A16-8E50-1ED3497F19C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F64" authorId="0" shapeId="0" xr:uid="{7B9A88AB-7504-4C51-BE9C-86C416DBA5D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R88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88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88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88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88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88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E88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F88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G88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H88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I88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J88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K88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X89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89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89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89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89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89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R102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S102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T102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U102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V102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W102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X102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Y102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Z102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BA102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B102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C102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E144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F147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F148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<sst xmlns="http://schemas.openxmlformats.org/spreadsheetml/2006/main" count="1316" uniqueCount="256">
  <si>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</si>
  <si>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</si>
  <si>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</si>
  <si>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</si>
  <si>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</si>
  <si>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</si>
  <si>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</si>
  <si>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</si>
  <si>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</si>
  <si>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</si>
  <si>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</si>
  <si>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</si>
  <si>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</si>
  <si>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</si>
  <si>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</si>
  <si>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</si>
  <si>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</si>
  <si>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</si>
  <si>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</si>
  <si>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</si>
  <si>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</si>
  <si>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</si>
  <si>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</si>
  <si>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</si>
  <si>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</si>
  <si>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</si>
  <si>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</si>
  <si>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</si>
  <si>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</si>
  <si>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</si>
  <si>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</si>
  <si>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</si>
  <si>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</si>
  <si>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</si>
  <si>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</si>
  <si>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</si>
  <si>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</si>
  <si>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</si>
  <si>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</si>
  <si>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</si>
  <si>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</si>
  <si>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</si>
  <si>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</si>
  <si>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</si>
  <si>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</si>
  <si>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</si>
  <si>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</si>
  <si>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</si>
  <si>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</si>
  <si>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</si>
  <si>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</si>
  <si>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</si>
  <si>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</si>
  <si>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</si>
  <si>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</si>
  <si>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</si>
  <si>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</si>
  <si>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</si>
  <si>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</si>
  <si>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</si>
  <si>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</si>
  <si>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</si>
  <si>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</si>
  <si>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</si>
  <si>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</si>
  <si>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</si>
  <si>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</si>
  <si>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</si>
  <si>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</si>
  <si>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</si>
  <si>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</si>
  <si>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</si>
  <si>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</si>
  <si>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</si>
  <si>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</si>
  <si>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</si>
  <si>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</si>
  <si>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</si>
  <si>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</si>
  <si>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</si>
  <si>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</si>
  <si>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</si>
  <si>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</si>
  <si>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</si>
  <si>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</si>
  <si>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</si>
  <si>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</si>
  <si>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</si>
  <si>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</si>
  <si>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</si>
  <si>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</si>
  <si>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</si>
  <si>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</si>
  <si>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</si>
  <si>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</si>
  <si>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</si>
  <si>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</si>
  <si>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</si>
  <si>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</si>
  <si>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</si>
  <si>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</si>
  <si>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</si>
  <si>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</si>
  <si>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</si>
  <si>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</si>
  <si>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</si>
  <si>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</si>
  <si>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</si>
  <si>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</si>
  <si>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</si>
  <si>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</si>
  <si>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</si>
  <si>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</si>
  <si>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</si>
  <si>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</si>
  <si>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</si>
  <si>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</si>
  <si>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</si>
  <si>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</si>
  <si>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</si>
  <si>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</si>
  <si>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</si>
  <si>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</si>
  <si>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</si>
  <si>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</si>
  <si>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</si>
  <si>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</si>
  <si>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</si>
  <si>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</si>
  <si>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</si>
  <si>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</si>
  <si>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</si>
  <si>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</si>
  <si>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</si>
  <si>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</si>
  <si>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</si>
  <si>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</si>
  <si>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</si>
  <si>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</si>
  <si>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</si>
  <si>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</si>
  <si>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</si>
  <si>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</si>
  <si>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</si>
  <si>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</si>
  <si>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</si>
  <si>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</si>
  <si>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</si>
  <si>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</si>
  <si>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</si>
  <si>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</si>
  <si>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</si>
  <si>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</si>
  <si>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</si>
  <si>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</si>
  <si>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</si>
  <si>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</si>
  <si>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</si>
  <si>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</si>
  <si>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</si>
  <si>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</si>
  <si>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</si>
  <si>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</si>
  <si>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</si>
  <si>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</si>
  <si>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</si>
  <si>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</si>
  <si>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</si>
  <si>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</si>
  <si>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</si>
  <si>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</si>
  <si>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</si>
  <si>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</si>
  <si>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</si>
  <si>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</si>
  <si>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</si>
  <si>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</si>
  <si>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</si>
  <si>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</si>
  <si>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</si>
  <si>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</si>
  <si>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</si>
  <si>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</si>
  <si>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</si>
  <si>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</si>
  <si>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</si>
  <si>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</si>
  <si>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</si>
  <si>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</si>
  <si>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</si>
  <si>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</si>
  <si>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</si>
  <si>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</si>
  <si>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</si>
  <si>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</si>
  <si>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</si>
  <si>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</si>
  <si>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</si>
  <si>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</si>
  <si>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</si>
  <si>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</si>
  <si>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</si>
  <si>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</si>
  <si>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</si>
  <si>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</si>
  <si>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</si>
  <si>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</si>
  <si>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</si>
  <si>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</si>
  <si>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</si>
  <si>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</si>
  <si>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</si>
  <si>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</si>
  <si>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</si>
  <si>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</si>
  <si>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</si>
  <si>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</si>
  <si>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</si>
  <si>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</si>
  <si>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</si>
  <si>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</si>
  <si>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</si>
  <si>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</si>
  <si>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</si>
  <si>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</si>
  <si>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</si>
  <si>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</si>
  <si>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</si>
  <si>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</si>
  <si>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</si>
  <si>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</si>
  <si>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</si>
  <si>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</si>
  <si>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</si>
  <si>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</si>
  <si>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dashboard-signals.spec.ts</t>
  </si>
  <si>
    <t>check PL when comm vs non-comm</t>
  </si>
  <si>
    <t>BTC has buy commission too</t>
  </si>
  <si>
    <t>PriceUpdateA</t>
  </si>
  <si>
    <t>PriceUpdateB</t>
  </si>
  <si>
    <t>UpdateC</t>
  </si>
  <si>
    <t>Overview</t>
  </si>
  <si>
    <t>Div, SPL and other transactions</t>
  </si>
  <si>
    <t>Mkt Val</t>
  </si>
  <si>
    <t>Bal</t>
  </si>
  <si>
    <t>Available</t>
  </si>
  <si>
    <t>Budget</t>
  </si>
  <si>
    <t>DividendA</t>
  </si>
  <si>
    <t>Div</t>
  </si>
  <si>
    <t>Dividend</t>
  </si>
  <si>
    <t>SLPA</t>
  </si>
  <si>
    <t>SLP</t>
  </si>
  <si>
    <t>Sell and Buy while changing ET, PTs and comm</t>
  </si>
  <si>
    <t>asset-roi.spec.ts</t>
  </si>
  <si>
    <t>ROI</t>
  </si>
  <si>
    <t>asset-config-changes.spec.ts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</si>
</sst>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  <font>
      <b/>
      <sz val="1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32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9" borderId="0" xfId="0" applyFont="1" applyFill="1"/>
    <xf numFmtId="0" fontId="9" fillId="9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10" fontId="31" fillId="0" borderId="0" xfId="0" applyNumberFormat="1" applyFont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Alignment="1">
      <alignment horizontal="right"/>
    </xf>
    <xf numFmtId="0" fontId="33" fillId="5" borderId="0" xfId="0" applyFont="1" applyFill="1" applyAlignment="1">
      <alignment wrapText="1"/>
    </xf>
    <xf numFmtId="164" fontId="10" fillId="0" borderId="0" xfId="0" applyNumberFormat="1" applyFont="1"/>
    <xf numFmtId="10" fontId="3" fillId="0" borderId="0" xfId="1" applyNumberFormat="1" applyFont="1" applyAlignment="1">
      <alignment horizontal="right"/>
    </xf>
    <xf numFmtId="164" fontId="10" fillId="3" borderId="0" xfId="0" applyNumberFormat="1" applyFont="1" applyFill="1" applyAlignment="1">
      <alignment horizontal="left"/>
    </xf>
    <xf numFmtId="10" fontId="3" fillId="3" borderId="0" xfId="1" quotePrefix="1" applyNumberFormat="1" applyFont="1" applyFill="1" applyAlignment="1">
      <alignment horizontal="center"/>
    </xf>
    <xf numFmtId="164" fontId="11" fillId="3" borderId="0" xfId="0" applyNumberFormat="1" applyFont="1" applyFill="1"/>
    <xf numFmtId="164" fontId="10" fillId="3" borderId="0" xfId="0" applyNumberFormat="1" applyFont="1" applyFill="1"/>
    <xf numFmtId="10" fontId="3" fillId="3" borderId="0" xfId="1" applyNumberFormat="1" applyFont="1" applyFill="1" applyAlignment="1">
      <alignment horizontal="right"/>
    </xf>
    <xf numFmtId="49" fontId="3" fillId="3" borderId="0" xfId="0" applyNumberFormat="1" applyFont="1" applyFill="1"/>
    <xf numFmtId="164" fontId="10" fillId="0" borderId="0" xfId="0" applyNumberFormat="1" applyFont="1" applyAlignment="1">
      <alignment horizontal="left"/>
    </xf>
    <xf numFmtId="164" fontId="11" fillId="0" borderId="0" xfId="0" applyNumberFormat="1" applyFont="1"/>
    <xf numFmtId="10" fontId="3" fillId="0" borderId="0" xfId="1" applyNumberFormat="1" applyFont="1" applyFill="1" applyAlignment="1">
      <alignment horizontal="right"/>
    </xf>
    <xf numFmtId="44" fontId="0" fillId="0" borderId="0" xfId="2" applyFont="1" applyFill="1"/>
    <xf numFmtId="0" fontId="8" fillId="5" borderId="0" xfId="0" applyFont="1" applyFill="1" applyAlignment="1">
      <alignment wrapText="1"/>
    </xf>
    <xf numFmtId="0" fontId="9" fillId="10" borderId="0" xfId="0" applyFont="1" applyFill="1"/>
    <xf numFmtId="0" fontId="20" fillId="0" borderId="0" xfId="0" applyFont="1" applyFill="1"/>
    <xf numFmtId="8" fontId="0" fillId="0" borderId="0" xfId="0" applyNumberFormat="1" applyFill="1"/>
    <xf numFmtId="10" fontId="3" fillId="0" borderId="0" xfId="0" applyNumberFormat="1" applyFont="1" applyFill="1" applyAlignment="1">
      <alignment horizontal="right"/>
    </xf>
    <xf numFmtId="10" fontId="0" fillId="0" borderId="0" xfId="0" applyNumberFormat="1" applyFill="1"/>
    <xf numFmtId="10" fontId="11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0" fontId="0" fillId="0" borderId="0" xfId="0" applyFill="1"/>
    <xf numFmtId="0" fontId="11" fillId="0" borderId="0" xfId="0" applyFont="1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0" fontId="3" fillId="0" borderId="0" xfId="0" applyFont="1" applyFill="1"/>
    <xf numFmtId="166" fontId="0" fillId="0" borderId="0" xfId="0" applyNumberFormat="1" applyFill="1"/>
    <xf numFmtId="49" fontId="3" fillId="0" borderId="0" xfId="0" applyNumberFormat="1" applyFont="1" applyFill="1"/>
    <xf numFmtId="9" fontId="0" fillId="3" borderId="0" xfId="0" applyNumberFormat="1" applyFill="1"/>
    <xf numFmtId="44" fontId="0" fillId="3" borderId="0" xfId="2" applyFont="1" applyFill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K184"/>
  <sheetViews>
    <sheetView tabSelected="1" topLeftCell="A59" workbookViewId="0">
      <selection activeCell="AF71" sqref="AF71"/>
    </sheetView>
  </sheetViews>
  <sheetFormatPr defaultColWidth="12.5703125" defaultRowHeight="15.75" customHeight="1" x14ac:dyDescent="0.2"/>
  <cols>
    <col min="1" max="1" width="17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8" width="9.140625" bestFit="1" customWidth="1"/>
    <col min="9" max="10" width="6.5703125" customWidth="1"/>
    <col min="11" max="11" width="11.140625" customWidth="1"/>
    <col min="12" max="12" width="8.7109375" bestFit="1" customWidth="1"/>
    <col min="13" max="13" width="8.140625" bestFit="1" customWidth="1"/>
    <col min="14" max="15" width="8.28515625" bestFit="1" customWidth="1"/>
    <col min="16" max="16" width="8.7109375" bestFit="1" customWidth="1"/>
    <col min="17" max="17" width="6.42578125" customWidth="1"/>
    <col min="18" max="18" width="11.140625" customWidth="1"/>
    <col min="19" max="19" width="8.7109375" bestFit="1" customWidth="1"/>
    <col min="20" max="20" width="11.42578125" customWidth="1"/>
    <col min="21" max="21" width="8.85546875" customWidth="1"/>
    <col min="22" max="22" width="8.5703125" bestFit="1" customWidth="1"/>
    <col min="23" max="23" width="7.5703125" bestFit="1" customWidth="1"/>
    <col min="24" max="24" width="8" customWidth="1"/>
    <col min="25" max="25" width="8.5703125" bestFit="1" customWidth="1"/>
    <col min="26" max="26" width="7.85546875" bestFit="1" customWidth="1"/>
    <col min="27" max="27" width="4.85546875" customWidth="1"/>
    <col min="28" max="28" width="7.28515625" customWidth="1"/>
    <col min="29" max="29" width="8.42578125" customWidth="1"/>
    <col min="30" max="30" width="8.28515625" customWidth="1"/>
    <col min="31" max="31" width="8.5703125" customWidth="1"/>
    <col min="32" max="32" width="9.42578125" bestFit="1" customWidth="1"/>
    <col min="33" max="33" width="6.7109375" bestFit="1" customWidth="1"/>
    <col min="34" max="34" width="7.85546875" customWidth="1"/>
    <col min="35" max="35" width="9" customWidth="1"/>
    <col min="36" max="36" width="7.85546875" customWidth="1"/>
    <col min="37" max="37" width="9.140625" customWidth="1"/>
    <col min="38" max="38" width="7.85546875" customWidth="1"/>
    <col min="39" max="39" width="9.85546875" bestFit="1" customWidth="1"/>
    <col min="40" max="40" width="7.7109375" customWidth="1"/>
    <col min="41" max="41" width="8.5703125" bestFit="1" customWidth="1"/>
    <col min="42" max="42" width="8.140625" customWidth="1"/>
    <col min="43" max="43" width="9.7109375" bestFit="1" customWidth="1"/>
    <col min="44" max="44" width="7.5703125" customWidth="1"/>
    <col min="45" max="45" width="5.5703125" bestFit="1" customWidth="1"/>
    <col min="46" max="46" width="9.140625" bestFit="1" customWidth="1"/>
    <col min="47" max="47" width="8.28515625" customWidth="1"/>
    <col min="48" max="48" width="9.140625" bestFit="1" customWidth="1"/>
    <col min="49" max="49" width="8.7109375" bestFit="1" customWidth="1"/>
    <col min="50" max="50" width="9.140625" customWidth="1"/>
    <col min="51" max="51" width="8.28515625" bestFit="1" customWidth="1"/>
    <col min="52" max="52" width="8.140625" bestFit="1" customWidth="1"/>
    <col min="53" max="53" width="8.28515625" bestFit="1" customWidth="1"/>
    <col min="54" max="54" width="9.7109375" bestFit="1" customWidth="1"/>
    <col min="55" max="55" width="8.28515625" bestFit="1" customWidth="1"/>
    <col min="56" max="56" width="4.7109375" customWidth="1"/>
    <col min="57" max="57" width="14" bestFit="1" customWidth="1"/>
    <col min="58" max="58" width="8.28515625" bestFit="1" customWidth="1"/>
    <col min="59" max="59" width="8.140625" bestFit="1" customWidth="1"/>
    <col min="60" max="60" width="8.28515625" bestFit="1" customWidth="1"/>
    <col min="61" max="61" width="8.5703125" bestFit="1" customWidth="1"/>
    <col min="62" max="62" width="9.7109375" bestFit="1" customWidth="1"/>
    <col min="63" max="63" width="9.28515625" bestFit="1" customWidth="1"/>
  </cols>
  <sheetData>
    <row r="1" spans="1:49" ht="12.75" x14ac:dyDescent="0.2">
      <c r="A1" s="66" t="s">
        <v>214</v>
      </c>
    </row>
    <row r="2" spans="1:49" ht="12.75" x14ac:dyDescent="0.2">
      <c r="B2" s="45" t="s">
        <v>204</v>
      </c>
      <c r="C2" s="109"/>
      <c r="J2" s="45" t="s">
        <v>202</v>
      </c>
      <c r="R2" s="45" t="s">
        <v>203</v>
      </c>
      <c r="T2" s="12"/>
      <c r="U2" s="12"/>
      <c r="V2" s="12"/>
      <c r="W2" s="12"/>
      <c r="X2" s="12"/>
      <c r="Y2" s="12"/>
      <c r="Z2" s="12"/>
      <c r="AA2" s="12"/>
      <c r="AB2" s="130" t="s">
        <v>205</v>
      </c>
      <c r="AC2" s="46"/>
      <c r="AD2" s="46"/>
      <c r="AE2" s="46"/>
      <c r="AF2" s="46"/>
      <c r="AG2" s="46"/>
      <c r="AH2" s="130" t="s">
        <v>207</v>
      </c>
      <c r="AI2" s="46"/>
      <c r="AJ2" s="46"/>
      <c r="AK2" s="46"/>
      <c r="AL2" s="46"/>
      <c r="AM2" s="45"/>
      <c r="AN2" s="130" t="s">
        <v>208</v>
      </c>
      <c r="AO2" s="12"/>
      <c r="AP2" s="12"/>
      <c r="AQ2" s="12"/>
      <c r="AR2" s="12"/>
      <c r="AT2" s="130" t="s">
        <v>206</v>
      </c>
    </row>
    <row r="3" spans="1:49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57"/>
      <c r="I3" s="101"/>
      <c r="J3" s="28" t="s">
        <v>76</v>
      </c>
      <c r="K3" s="28" t="s">
        <v>4</v>
      </c>
      <c r="L3" s="57" t="s">
        <v>0</v>
      </c>
      <c r="M3" s="57" t="s">
        <v>1</v>
      </c>
      <c r="N3" s="28" t="s">
        <v>191</v>
      </c>
      <c r="O3" s="28" t="s">
        <v>192</v>
      </c>
      <c r="P3" s="28" t="s">
        <v>193</v>
      </c>
      <c r="R3" s="28"/>
      <c r="S3" s="28" t="s">
        <v>76</v>
      </c>
      <c r="T3" s="28" t="s">
        <v>4</v>
      </c>
      <c r="U3" s="57" t="s">
        <v>0</v>
      </c>
      <c r="V3" s="28" t="s">
        <v>62</v>
      </c>
      <c r="W3" s="57" t="s">
        <v>222</v>
      </c>
      <c r="X3" s="57" t="s">
        <v>190</v>
      </c>
      <c r="Y3" s="57" t="s">
        <v>194</v>
      </c>
      <c r="Z3" s="28" t="s">
        <v>195</v>
      </c>
      <c r="AA3" s="12"/>
      <c r="AB3" s="28" t="s">
        <v>0</v>
      </c>
      <c r="AC3" s="28" t="s">
        <v>196</v>
      </c>
      <c r="AD3" s="57" t="s">
        <v>1</v>
      </c>
      <c r="AE3" s="57" t="s">
        <v>197</v>
      </c>
      <c r="AF3" s="57" t="s">
        <v>198</v>
      </c>
      <c r="AG3" s="60"/>
      <c r="AH3" s="28" t="s">
        <v>0</v>
      </c>
      <c r="AI3" s="28" t="s">
        <v>196</v>
      </c>
      <c r="AJ3" s="57" t="s">
        <v>1</v>
      </c>
      <c r="AK3" s="57" t="s">
        <v>197</v>
      </c>
      <c r="AL3" s="57" t="s">
        <v>198</v>
      </c>
      <c r="AN3" s="28" t="s">
        <v>0</v>
      </c>
      <c r="AO3" s="28" t="s">
        <v>196</v>
      </c>
      <c r="AP3" s="57" t="s">
        <v>1</v>
      </c>
      <c r="AQ3" s="57" t="s">
        <v>197</v>
      </c>
      <c r="AR3" s="57" t="s">
        <v>198</v>
      </c>
      <c r="AT3" s="57" t="s">
        <v>199</v>
      </c>
      <c r="AU3" s="28" t="s">
        <v>191</v>
      </c>
      <c r="AV3" s="28" t="s">
        <v>192</v>
      </c>
      <c r="AW3" s="28" t="s">
        <v>193</v>
      </c>
    </row>
    <row r="4" spans="1:49" ht="12.75" x14ac:dyDescent="0.2">
      <c r="A4" s="45" t="s">
        <v>200</v>
      </c>
      <c r="B4" s="52">
        <v>100</v>
      </c>
      <c r="C4" s="54">
        <v>0.02</v>
      </c>
      <c r="D4" s="124">
        <v>0.04</v>
      </c>
      <c r="E4" s="95">
        <v>0.08</v>
      </c>
      <c r="F4" s="95">
        <v>0.16</v>
      </c>
      <c r="G4" s="95">
        <v>0.01</v>
      </c>
      <c r="H4" s="95"/>
      <c r="I4" s="95"/>
      <c r="J4" s="133" t="s">
        <v>75</v>
      </c>
      <c r="K4" s="133" t="s">
        <v>78</v>
      </c>
      <c r="L4" s="52">
        <v>100</v>
      </c>
      <c r="M4" s="52">
        <v>200</v>
      </c>
      <c r="N4" s="124">
        <v>0.5</v>
      </c>
      <c r="O4" s="95">
        <v>0.3</v>
      </c>
      <c r="P4" s="95">
        <v>0.2</v>
      </c>
      <c r="R4" s="45" t="s">
        <v>216</v>
      </c>
      <c r="S4" s="45" t="s">
        <v>75</v>
      </c>
      <c r="T4" s="131" t="s">
        <v>78</v>
      </c>
      <c r="U4" s="122">
        <f>L4</f>
        <v>100</v>
      </c>
      <c r="V4" s="30">
        <f>W4/U4</f>
        <v>2</v>
      </c>
      <c r="W4" s="122">
        <f>M4</f>
        <v>200</v>
      </c>
      <c r="X4" s="122">
        <f>U4 * (1 - ABS(C4))</f>
        <v>98</v>
      </c>
      <c r="Y4" s="152" t="s">
        <v>34</v>
      </c>
      <c r="Z4" s="152" t="s">
        <v>34</v>
      </c>
      <c r="AA4" s="12"/>
      <c r="AB4" s="122">
        <f>U4</f>
        <v>100</v>
      </c>
      <c r="AC4" s="30">
        <f>V4*N4</f>
        <v>1</v>
      </c>
      <c r="AD4" s="123">
        <f>W4*N4</f>
        <v>100</v>
      </c>
      <c r="AE4" s="123">
        <f>U4 * (1 + D4) / (1 - G4)</f>
        <v>105.05050505050505</v>
      </c>
      <c r="AF4" s="124">
        <f>(B4 - AE4) / AE4</f>
        <v>-4.8076923076923087E-2</v>
      </c>
      <c r="AG4" s="30"/>
      <c r="AH4" s="122">
        <f>U4</f>
        <v>100</v>
      </c>
      <c r="AI4" s="30">
        <f>V4*O4</f>
        <v>0.6</v>
      </c>
      <c r="AJ4" s="123">
        <f>W4*O4</f>
        <v>60</v>
      </c>
      <c r="AK4" s="123">
        <f>U4 * (1 + E4) / (1 - G4)</f>
        <v>109.09090909090909</v>
      </c>
      <c r="AL4" s="124">
        <f>(B4 - AK4) / AK4</f>
        <v>-8.3333333333333356E-2</v>
      </c>
      <c r="AN4" s="122">
        <f>U4</f>
        <v>100</v>
      </c>
      <c r="AO4" s="30">
        <f>V4*P4</f>
        <v>0.4</v>
      </c>
      <c r="AP4" s="123">
        <f>W4*P4</f>
        <v>40</v>
      </c>
      <c r="AQ4" s="123">
        <f>U4 * (1 + F4) / (1 - G4)</f>
        <v>117.17171717171716</v>
      </c>
      <c r="AR4" s="124">
        <f>(B4 - AQ4) / AQ4</f>
        <v>-0.14655172413793097</v>
      </c>
      <c r="AT4" s="32">
        <f>AC4+AI4+AO4</f>
        <v>2</v>
      </c>
      <c r="AU4" s="32">
        <f>AC4</f>
        <v>1</v>
      </c>
      <c r="AV4" s="32">
        <f>AI4</f>
        <v>0.6</v>
      </c>
      <c r="AW4" s="32">
        <f>AO4</f>
        <v>0.4</v>
      </c>
    </row>
    <row r="5" spans="1:49" ht="12.75" x14ac:dyDescent="0.2">
      <c r="A5" s="47" t="s">
        <v>210</v>
      </c>
      <c r="B5" s="40">
        <v>100</v>
      </c>
      <c r="C5" s="55">
        <v>0.02</v>
      </c>
      <c r="D5" s="129">
        <v>0.04</v>
      </c>
      <c r="E5" s="125">
        <v>0.08</v>
      </c>
      <c r="F5" s="125">
        <v>0.16</v>
      </c>
      <c r="G5" s="125">
        <v>0.01</v>
      </c>
      <c r="H5" s="125"/>
      <c r="I5" s="125"/>
      <c r="J5" s="134" t="s">
        <v>75</v>
      </c>
      <c r="K5" s="134" t="s">
        <v>211</v>
      </c>
      <c r="L5" s="40">
        <v>100</v>
      </c>
      <c r="M5" s="40">
        <v>300</v>
      </c>
      <c r="N5" s="129">
        <v>0.5</v>
      </c>
      <c r="O5" s="125">
        <v>0.25</v>
      </c>
      <c r="P5" s="125">
        <v>0.25</v>
      </c>
      <c r="Q5" s="35"/>
      <c r="R5" s="47" t="s">
        <v>217</v>
      </c>
      <c r="S5" s="47" t="s">
        <v>75</v>
      </c>
      <c r="T5" s="132" t="s">
        <v>211</v>
      </c>
      <c r="U5" s="126">
        <f>L5</f>
        <v>100</v>
      </c>
      <c r="V5" s="43">
        <f>W5/U5</f>
        <v>3</v>
      </c>
      <c r="W5" s="126">
        <f>M5</f>
        <v>300</v>
      </c>
      <c r="X5" s="126">
        <f>U5 * (1 - ABS(C5))</f>
        <v>98</v>
      </c>
      <c r="Y5" s="153" t="s">
        <v>34</v>
      </c>
      <c r="Z5" s="153" t="s">
        <v>34</v>
      </c>
      <c r="AA5" s="41"/>
      <c r="AB5" s="126">
        <f>U5</f>
        <v>100</v>
      </c>
      <c r="AC5" s="43">
        <f>AC4+(V5*N5)</f>
        <v>2.5</v>
      </c>
      <c r="AD5" s="128">
        <f>AD4+(W5*N5)</f>
        <v>250</v>
      </c>
      <c r="AE5" s="128">
        <f>U5 * (1 + D5) / (1 - G5)</f>
        <v>105.05050505050505</v>
      </c>
      <c r="AF5" s="129">
        <f>(B5 - AE5) / AE5</f>
        <v>-4.8076923076923087E-2</v>
      </c>
      <c r="AG5" s="43"/>
      <c r="AH5" s="126">
        <f>U5</f>
        <v>100</v>
      </c>
      <c r="AI5" s="43">
        <f>AI4+(V5*O5)</f>
        <v>1.35</v>
      </c>
      <c r="AJ5" s="128">
        <f>AJ4+(W5*O5)</f>
        <v>135</v>
      </c>
      <c r="AK5" s="128">
        <f>U5 * (1 + E5) / (1 - G5)</f>
        <v>109.09090909090909</v>
      </c>
      <c r="AL5" s="129">
        <f>(B5 - AK5) / AK5</f>
        <v>-8.3333333333333356E-2</v>
      </c>
      <c r="AM5" s="35"/>
      <c r="AN5" s="126">
        <f>U5</f>
        <v>100</v>
      </c>
      <c r="AO5" s="43">
        <f>AO4+(V5*P5)</f>
        <v>1.1499999999999999</v>
      </c>
      <c r="AP5" s="128">
        <f>AP4+(W5*P5)</f>
        <v>115</v>
      </c>
      <c r="AQ5" s="128">
        <f>U5 * (1 + F5) / (1 - G5)</f>
        <v>117.17171717171716</v>
      </c>
      <c r="AR5" s="129">
        <f>(B5 - AQ5) / AQ5</f>
        <v>-0.14655172413793097</v>
      </c>
      <c r="AS5" s="35"/>
      <c r="AT5" s="39">
        <f>AC5+AI5+AO5</f>
        <v>5</v>
      </c>
      <c r="AU5" s="39">
        <f>AC5</f>
        <v>2.5</v>
      </c>
      <c r="AV5" s="39">
        <f>AI5</f>
        <v>1.35</v>
      </c>
      <c r="AW5" s="39">
        <f>AO5</f>
        <v>1.1499999999999999</v>
      </c>
    </row>
    <row r="6" spans="1:49" ht="12.75" x14ac:dyDescent="0.2">
      <c r="A6" s="47"/>
      <c r="B6" s="40"/>
      <c r="C6" s="55"/>
      <c r="D6" s="129"/>
      <c r="E6" s="125"/>
      <c r="F6" s="125"/>
      <c r="G6" s="125"/>
      <c r="H6" s="125"/>
      <c r="I6" s="125"/>
      <c r="J6" s="134"/>
      <c r="K6" s="134"/>
      <c r="L6" s="40"/>
      <c r="M6" s="40"/>
      <c r="N6" s="129"/>
      <c r="O6" s="125"/>
      <c r="P6" s="125"/>
      <c r="Q6" s="35"/>
      <c r="R6" s="47" t="s">
        <v>216</v>
      </c>
      <c r="S6" s="47" t="s">
        <v>75</v>
      </c>
      <c r="T6" s="132" t="s">
        <v>78</v>
      </c>
      <c r="U6" s="126">
        <f>U4</f>
        <v>100</v>
      </c>
      <c r="V6" s="43">
        <f>V4</f>
        <v>2</v>
      </c>
      <c r="W6" s="126">
        <f>W4</f>
        <v>200</v>
      </c>
      <c r="X6" s="126">
        <f>X4</f>
        <v>98</v>
      </c>
      <c r="Y6" s="153"/>
      <c r="Z6" s="153"/>
      <c r="AA6" s="41"/>
      <c r="AB6" s="126"/>
      <c r="AC6" s="43"/>
      <c r="AD6" s="128"/>
      <c r="AE6" s="128"/>
      <c r="AF6" s="129"/>
      <c r="AG6" s="43"/>
      <c r="AH6" s="126"/>
      <c r="AI6" s="43"/>
      <c r="AJ6" s="128"/>
      <c r="AK6" s="128"/>
      <c r="AL6" s="129"/>
      <c r="AM6" s="35"/>
      <c r="AN6" s="126"/>
      <c r="AO6" s="43"/>
      <c r="AP6" s="128"/>
      <c r="AQ6" s="128"/>
      <c r="AR6" s="129"/>
      <c r="AS6" s="35"/>
      <c r="AT6" s="39"/>
      <c r="AU6" s="39"/>
      <c r="AV6" s="39"/>
      <c r="AW6" s="39"/>
    </row>
    <row r="7" spans="1:49" ht="12.75" x14ac:dyDescent="0.2">
      <c r="A7" s="45" t="s">
        <v>201</v>
      </c>
      <c r="B7" s="52">
        <v>120</v>
      </c>
      <c r="C7" s="54">
        <v>0.02</v>
      </c>
      <c r="D7" s="124">
        <v>0.04</v>
      </c>
      <c r="E7" s="95">
        <v>0.08</v>
      </c>
      <c r="F7" s="95">
        <v>0.16</v>
      </c>
      <c r="G7" s="95">
        <v>0.01</v>
      </c>
      <c r="H7" s="95"/>
      <c r="I7" s="95"/>
      <c r="J7" s="133" t="s">
        <v>75</v>
      </c>
      <c r="K7" s="133" t="s">
        <v>215</v>
      </c>
      <c r="L7" s="52">
        <v>120</v>
      </c>
      <c r="M7" s="52">
        <v>400</v>
      </c>
      <c r="N7" s="124">
        <v>0.5</v>
      </c>
      <c r="O7" s="95">
        <v>0.5</v>
      </c>
      <c r="P7" s="95">
        <v>0</v>
      </c>
      <c r="R7" s="45" t="s">
        <v>218</v>
      </c>
      <c r="S7" s="45" t="s">
        <v>75</v>
      </c>
      <c r="T7" s="130" t="s">
        <v>215</v>
      </c>
      <c r="U7" s="122">
        <f>L7</f>
        <v>120</v>
      </c>
      <c r="V7" s="30">
        <f>W7/U7</f>
        <v>3.3333333333333335</v>
      </c>
      <c r="W7" s="122">
        <f>M7</f>
        <v>400</v>
      </c>
      <c r="X7" s="122">
        <f>U7 * (1 - ABS(C7))</f>
        <v>117.6</v>
      </c>
      <c r="Y7" s="152" t="s">
        <v>34</v>
      </c>
      <c r="Z7" s="152" t="s">
        <v>34</v>
      </c>
      <c r="AA7" s="12"/>
      <c r="AB7" s="122">
        <f>U7</f>
        <v>120</v>
      </c>
      <c r="AC7" s="30">
        <f>V7*N7</f>
        <v>1.6666666666666667</v>
      </c>
      <c r="AD7" s="123">
        <f>W7*N7</f>
        <v>200</v>
      </c>
      <c r="AE7" s="123">
        <f>U7 * (1 + D7) / (1 - G7)</f>
        <v>126.06060606060608</v>
      </c>
      <c r="AF7" s="124">
        <f>(B7 - AE7) / AE7</f>
        <v>-4.8076923076923198E-2</v>
      </c>
      <c r="AG7" s="30"/>
      <c r="AH7" s="122">
        <f>U7</f>
        <v>120</v>
      </c>
      <c r="AI7" s="30">
        <f>V7*N7</f>
        <v>1.6666666666666667</v>
      </c>
      <c r="AJ7" s="123">
        <f>W7*N7</f>
        <v>200</v>
      </c>
      <c r="AK7" s="123">
        <f>U7 * (1 + E7) / (1 - G7)</f>
        <v>130.90909090909093</v>
      </c>
      <c r="AL7" s="124">
        <f>(B7 - AK7) / AK7</f>
        <v>-8.3333333333333509E-2</v>
      </c>
      <c r="AN7" s="122">
        <v>100</v>
      </c>
      <c r="AO7" s="30">
        <v>1.1499999999999999</v>
      </c>
      <c r="AP7" s="123">
        <v>115</v>
      </c>
      <c r="AQ7" s="123">
        <v>117.17171717171716</v>
      </c>
      <c r="AR7" s="124">
        <f>(B7 - AQ7) / AQ7</f>
        <v>2.4137931034482842E-2</v>
      </c>
      <c r="AT7" s="32">
        <f>AU7+AV7+AW7</f>
        <v>8.3333333333333339</v>
      </c>
      <c r="AU7" s="32">
        <f>AC8+AC7</f>
        <v>4.166666666666667</v>
      </c>
      <c r="AV7" s="32">
        <f>AI7+AI8</f>
        <v>3.0166666666666666</v>
      </c>
      <c r="AW7" s="32">
        <f>AO7</f>
        <v>1.1499999999999999</v>
      </c>
    </row>
    <row r="8" spans="1:49" ht="12.75" x14ac:dyDescent="0.2">
      <c r="B8" s="52"/>
      <c r="C8" s="95"/>
      <c r="I8" s="95"/>
      <c r="J8" s="95"/>
      <c r="K8" s="95"/>
      <c r="L8" s="52"/>
      <c r="M8" s="52"/>
      <c r="N8" s="95"/>
      <c r="O8" s="95"/>
      <c r="P8" s="95"/>
      <c r="R8" s="46" t="s">
        <v>217</v>
      </c>
      <c r="S8" s="46" t="s">
        <v>75</v>
      </c>
      <c r="T8" s="130" t="s">
        <v>211</v>
      </c>
      <c r="U8" s="122">
        <f>U5</f>
        <v>100</v>
      </c>
      <c r="V8" s="30">
        <f>V5</f>
        <v>3</v>
      </c>
      <c r="W8" s="122">
        <f>W5</f>
        <v>300</v>
      </c>
      <c r="X8" s="122">
        <f>X5</f>
        <v>98</v>
      </c>
      <c r="Y8" s="152" t="s">
        <v>34</v>
      </c>
      <c r="Z8" s="152" t="s">
        <v>34</v>
      </c>
      <c r="AA8" s="12"/>
      <c r="AB8" s="122">
        <f>AB5</f>
        <v>100</v>
      </c>
      <c r="AC8" s="30">
        <f>AC5</f>
        <v>2.5</v>
      </c>
      <c r="AD8" s="123">
        <f>AD5</f>
        <v>250</v>
      </c>
      <c r="AE8" s="123">
        <f>AE5</f>
        <v>105.05050505050505</v>
      </c>
      <c r="AF8" s="124">
        <f>(B7 - AE8) / AE8</f>
        <v>0.1423076923076923</v>
      </c>
      <c r="AG8" s="30"/>
      <c r="AH8" s="63">
        <f>AH5</f>
        <v>100</v>
      </c>
      <c r="AI8" s="32">
        <f>AI5</f>
        <v>1.35</v>
      </c>
      <c r="AJ8" s="63">
        <f>AJ5</f>
        <v>135</v>
      </c>
      <c r="AK8" s="63">
        <f>AK5</f>
        <v>109.09090909090909</v>
      </c>
      <c r="AL8" s="54">
        <f>(B10 - AK8) / AK8</f>
        <v>9.9999999999999978E-2</v>
      </c>
      <c r="AN8" s="152" t="s">
        <v>34</v>
      </c>
      <c r="AO8" s="155" t="s">
        <v>34</v>
      </c>
      <c r="AP8" s="155" t="s">
        <v>34</v>
      </c>
      <c r="AQ8" s="155" t="s">
        <v>34</v>
      </c>
      <c r="AR8" s="155" t="s">
        <v>34</v>
      </c>
    </row>
    <row r="9" spans="1:49" ht="12.75" x14ac:dyDescent="0.2">
      <c r="B9" s="52"/>
      <c r="C9" s="95"/>
      <c r="D9" s="29"/>
      <c r="E9" s="50"/>
      <c r="G9" s="50"/>
      <c r="H9" s="50"/>
      <c r="I9" s="50"/>
      <c r="J9" s="50"/>
      <c r="K9" s="50"/>
      <c r="L9" s="52"/>
      <c r="M9" s="52"/>
      <c r="N9" s="50"/>
      <c r="O9" s="50"/>
      <c r="P9" s="50"/>
      <c r="R9" s="46" t="s">
        <v>216</v>
      </c>
      <c r="S9" s="46" t="s">
        <v>75</v>
      </c>
      <c r="T9" s="130" t="s">
        <v>78</v>
      </c>
      <c r="U9" s="122">
        <f>U4</f>
        <v>100</v>
      </c>
      <c r="V9" s="30">
        <f>V4</f>
        <v>2</v>
      </c>
      <c r="W9" s="122">
        <f>W4</f>
        <v>200</v>
      </c>
      <c r="X9" s="122">
        <f>X4</f>
        <v>98</v>
      </c>
      <c r="Y9" s="152" t="s">
        <v>34</v>
      </c>
      <c r="Z9" s="152" t="s">
        <v>34</v>
      </c>
      <c r="AA9" s="12"/>
      <c r="AB9" s="63"/>
      <c r="AG9" s="30"/>
      <c r="AH9" s="13"/>
      <c r="AI9" s="13"/>
      <c r="AJ9" s="13"/>
      <c r="AK9" s="13"/>
      <c r="AL9" s="30"/>
      <c r="AN9" s="122"/>
      <c r="AO9" s="13"/>
      <c r="AP9" s="13"/>
      <c r="AQ9" s="13"/>
      <c r="AR9" s="30"/>
    </row>
    <row r="10" spans="1:49" ht="12.75" x14ac:dyDescent="0.2">
      <c r="A10" s="47" t="s">
        <v>212</v>
      </c>
      <c r="B10" s="40">
        <v>120</v>
      </c>
      <c r="C10" s="55">
        <v>0.02</v>
      </c>
      <c r="D10" s="129">
        <v>0.04</v>
      </c>
      <c r="E10" s="125">
        <v>0.08</v>
      </c>
      <c r="F10" s="125">
        <v>0.16</v>
      </c>
      <c r="G10" s="125">
        <v>0.01</v>
      </c>
      <c r="H10" s="125"/>
      <c r="I10" s="35"/>
      <c r="J10" s="35" t="s">
        <v>75</v>
      </c>
      <c r="K10" s="35" t="s">
        <v>78</v>
      </c>
      <c r="L10" s="40">
        <v>130</v>
      </c>
      <c r="M10" s="40">
        <v>600</v>
      </c>
      <c r="N10" s="129">
        <v>0.4</v>
      </c>
      <c r="O10" s="125">
        <v>0.5</v>
      </c>
      <c r="P10" s="125">
        <v>0.1</v>
      </c>
      <c r="Q10" s="35"/>
      <c r="R10" s="41" t="s">
        <v>218</v>
      </c>
      <c r="S10" s="41" t="s">
        <v>75</v>
      </c>
      <c r="T10" s="41" t="s">
        <v>215</v>
      </c>
      <c r="U10" s="135">
        <f t="shared" ref="U10:W11" si="0">U7</f>
        <v>120</v>
      </c>
      <c r="V10" s="136">
        <f t="shared" si="0"/>
        <v>3.3333333333333335</v>
      </c>
      <c r="W10" s="135">
        <f t="shared" si="0"/>
        <v>400</v>
      </c>
      <c r="X10" s="135">
        <f>X7</f>
        <v>117.6</v>
      </c>
      <c r="Y10" s="153" t="s">
        <v>34</v>
      </c>
      <c r="Z10" s="153" t="s">
        <v>34</v>
      </c>
      <c r="AA10" s="41"/>
      <c r="AB10" s="142">
        <f>U12</f>
        <v>130</v>
      </c>
      <c r="AC10" s="141">
        <f>V12*N10</f>
        <v>1.846153846153846</v>
      </c>
      <c r="AD10" s="142">
        <f>W12*N10</f>
        <v>240</v>
      </c>
      <c r="AE10" s="142">
        <f>U12 * (1 + D10) / (1 - G10)</f>
        <v>136.56565656565658</v>
      </c>
      <c r="AF10" s="143">
        <f>(B10 - AE10) / AE10</f>
        <v>-0.1213017751479291</v>
      </c>
      <c r="AG10" s="141"/>
      <c r="AH10" s="142">
        <f>U12</f>
        <v>130</v>
      </c>
      <c r="AI10" s="141">
        <f>V12*O10</f>
        <v>2.3076923076923075</v>
      </c>
      <c r="AJ10" s="142">
        <f>W12*O10</f>
        <v>300</v>
      </c>
      <c r="AK10" s="142">
        <f>U12 * (1 + E10) / (1 - G10)</f>
        <v>141.81818181818181</v>
      </c>
      <c r="AL10" s="143">
        <f>(B10 - AK10) / AK10</f>
        <v>-0.15384615384615383</v>
      </c>
      <c r="AM10" s="47"/>
      <c r="AN10" s="142">
        <f>U12</f>
        <v>130</v>
      </c>
      <c r="AO10" s="141">
        <f>V12*P10</f>
        <v>0.46153846153846151</v>
      </c>
      <c r="AP10" s="142">
        <f>W12*P10</f>
        <v>60</v>
      </c>
      <c r="AQ10" s="142">
        <f>U12 * (1 + F10) / (1 - G10)</f>
        <v>152.3232323232323</v>
      </c>
      <c r="AR10" s="129">
        <f>(B10 - AQ10) / AQ10</f>
        <v>-0.21220159151193624</v>
      </c>
      <c r="AS10" s="47"/>
      <c r="AT10" s="145">
        <f>AU10+AV10+AW10</f>
        <v>10.948717948717949</v>
      </c>
      <c r="AU10" s="145">
        <f>AC10+AC11+AC12</f>
        <v>5.0128205128205128</v>
      </c>
      <c r="AV10" s="145">
        <f>AI10+AI11+AI12</f>
        <v>4.7243589743589745</v>
      </c>
      <c r="AW10" s="145">
        <f>AO10+AO12</f>
        <v>1.2115384615384615</v>
      </c>
    </row>
    <row r="11" spans="1:49" ht="12.75" x14ac:dyDescent="0.2">
      <c r="A11" s="45"/>
      <c r="B11" s="52"/>
      <c r="C11" s="95"/>
      <c r="D11" s="124"/>
      <c r="E11" s="95"/>
      <c r="F11" s="95"/>
      <c r="G11" s="95"/>
      <c r="H11" s="95"/>
      <c r="L11" s="52"/>
      <c r="M11" s="52"/>
      <c r="N11" s="124"/>
      <c r="O11" s="95"/>
      <c r="P11" s="95"/>
      <c r="R11" s="41" t="s">
        <v>217</v>
      </c>
      <c r="S11" s="41" t="s">
        <v>75</v>
      </c>
      <c r="T11" s="41" t="s">
        <v>211</v>
      </c>
      <c r="U11" s="135">
        <f t="shared" si="0"/>
        <v>100</v>
      </c>
      <c r="V11" s="136">
        <f t="shared" si="0"/>
        <v>3</v>
      </c>
      <c r="W11" s="135">
        <f t="shared" si="0"/>
        <v>300</v>
      </c>
      <c r="X11" s="135">
        <f>X8</f>
        <v>98</v>
      </c>
      <c r="Y11" s="153" t="s">
        <v>34</v>
      </c>
      <c r="Z11" s="153" t="s">
        <v>34</v>
      </c>
      <c r="AA11" s="41"/>
      <c r="AB11" s="142">
        <f>U10</f>
        <v>120</v>
      </c>
      <c r="AC11" s="141">
        <f>AC7</f>
        <v>1.6666666666666667</v>
      </c>
      <c r="AD11" s="142">
        <f>AD7</f>
        <v>200</v>
      </c>
      <c r="AE11" s="128">
        <f>AE7</f>
        <v>126.06060606060608</v>
      </c>
      <c r="AF11" s="129">
        <f>AF7</f>
        <v>-4.8076923076923198E-2</v>
      </c>
      <c r="AG11" s="141"/>
      <c r="AH11" s="142">
        <f>AH7</f>
        <v>120</v>
      </c>
      <c r="AI11" s="141">
        <f>AI7</f>
        <v>1.6666666666666667</v>
      </c>
      <c r="AJ11" s="142">
        <f>AJ7</f>
        <v>200</v>
      </c>
      <c r="AK11" s="142">
        <f>AK7</f>
        <v>130.90909090909093</v>
      </c>
      <c r="AL11" s="129">
        <f>AL7</f>
        <v>-8.3333333333333509E-2</v>
      </c>
      <c r="AM11" s="47"/>
      <c r="AN11" s="127" t="s">
        <v>34</v>
      </c>
      <c r="AO11" s="144" t="s">
        <v>34</v>
      </c>
      <c r="AP11" s="144" t="s">
        <v>34</v>
      </c>
      <c r="AQ11" s="144" t="s">
        <v>34</v>
      </c>
      <c r="AR11" s="144" t="s">
        <v>34</v>
      </c>
      <c r="AS11" s="47"/>
      <c r="AT11" s="47"/>
      <c r="AU11" s="145"/>
      <c r="AV11" s="145"/>
      <c r="AW11" s="145"/>
    </row>
    <row r="12" spans="1:49" ht="12.75" x14ac:dyDescent="0.2">
      <c r="A12" s="45"/>
      <c r="B12" s="52"/>
      <c r="C12" s="95"/>
      <c r="D12" s="124"/>
      <c r="E12" s="95"/>
      <c r="F12" s="95"/>
      <c r="G12" s="95"/>
      <c r="H12" s="95"/>
      <c r="L12" s="52"/>
      <c r="M12" s="52"/>
      <c r="N12" s="124"/>
      <c r="O12" s="95"/>
      <c r="P12" s="95"/>
      <c r="R12" s="41" t="s">
        <v>216</v>
      </c>
      <c r="S12" s="41" t="s">
        <v>75</v>
      </c>
      <c r="T12" s="41" t="s">
        <v>78</v>
      </c>
      <c r="U12" s="135">
        <f>L10</f>
        <v>130</v>
      </c>
      <c r="V12" s="136">
        <f>W12/U12</f>
        <v>4.615384615384615</v>
      </c>
      <c r="W12" s="135">
        <f>M10</f>
        <v>600</v>
      </c>
      <c r="X12" s="135">
        <f>U12 * (1 - ABS(C10))</f>
        <v>127.39999999999999</v>
      </c>
      <c r="Y12" s="153" t="s">
        <v>34</v>
      </c>
      <c r="Z12" s="153" t="s">
        <v>34</v>
      </c>
      <c r="AA12" s="41"/>
      <c r="AB12" s="142">
        <f>U11</f>
        <v>100</v>
      </c>
      <c r="AC12" s="141">
        <f>AC8-AC4</f>
        <v>1.5</v>
      </c>
      <c r="AD12" s="142">
        <f>W11*N5</f>
        <v>150</v>
      </c>
      <c r="AE12" s="128">
        <f>U11 * (1 + D10) / (1 - G10)</f>
        <v>105.05050505050505</v>
      </c>
      <c r="AF12" s="129">
        <f>AF8</f>
        <v>0.1423076923076923</v>
      </c>
      <c r="AG12" s="141"/>
      <c r="AH12" s="142">
        <f>U11</f>
        <v>100</v>
      </c>
      <c r="AI12" s="141">
        <f>V11*O5</f>
        <v>0.75</v>
      </c>
      <c r="AJ12" s="142">
        <f>W11*O5</f>
        <v>75</v>
      </c>
      <c r="AK12" s="142">
        <f>U11 * (1 + E10) / (1 - G10)</f>
        <v>109.09090909090909</v>
      </c>
      <c r="AL12" s="55">
        <f>(B10 - AK12) / AK12</f>
        <v>9.9999999999999978E-2</v>
      </c>
      <c r="AM12" s="47"/>
      <c r="AN12" s="142">
        <f>U11</f>
        <v>100</v>
      </c>
      <c r="AO12" s="141">
        <f>V11*P5</f>
        <v>0.75</v>
      </c>
      <c r="AP12" s="142">
        <f>W11*P5</f>
        <v>75</v>
      </c>
      <c r="AQ12" s="142">
        <f>U11 * (1 + F10) / (1 - G10)</f>
        <v>117.17171717171716</v>
      </c>
      <c r="AR12" s="129">
        <f>(B10 - AQ12) / AQ12</f>
        <v>2.4137931034482842E-2</v>
      </c>
      <c r="AS12" s="47"/>
      <c r="AT12" s="47"/>
      <c r="AU12" s="145"/>
      <c r="AV12" s="145"/>
      <c r="AW12" s="145"/>
    </row>
    <row r="13" spans="1:49" ht="12.75" x14ac:dyDescent="0.2">
      <c r="A13" s="45" t="s">
        <v>213</v>
      </c>
      <c r="B13" s="52">
        <v>90</v>
      </c>
      <c r="C13" s="54">
        <v>0.02</v>
      </c>
      <c r="D13" s="124">
        <v>0.04</v>
      </c>
      <c r="E13" s="95">
        <v>0.08</v>
      </c>
      <c r="F13" s="95">
        <v>0.16</v>
      </c>
      <c r="G13" s="95">
        <v>0.01</v>
      </c>
      <c r="H13" s="95"/>
      <c r="J13" s="146" t="s">
        <v>75</v>
      </c>
      <c r="K13" s="146" t="s">
        <v>78</v>
      </c>
      <c r="L13" s="147">
        <v>130</v>
      </c>
      <c r="M13" s="147">
        <v>600</v>
      </c>
      <c r="N13" s="148">
        <v>0.4</v>
      </c>
      <c r="O13" s="149">
        <v>0.5</v>
      </c>
      <c r="P13" s="149">
        <v>0.1</v>
      </c>
      <c r="R13" s="12" t="s">
        <v>218</v>
      </c>
      <c r="S13" s="46" t="s">
        <v>75</v>
      </c>
      <c r="T13" s="12" t="str">
        <f t="shared" ref="T13:X14" si="1">T10</f>
        <v>Entry Target</v>
      </c>
      <c r="U13" s="137">
        <f t="shared" si="1"/>
        <v>120</v>
      </c>
      <c r="V13" s="138">
        <f t="shared" si="1"/>
        <v>3.3333333333333335</v>
      </c>
      <c r="W13" s="137">
        <f t="shared" si="1"/>
        <v>400</v>
      </c>
      <c r="X13" s="137">
        <f t="shared" si="1"/>
        <v>117.6</v>
      </c>
      <c r="Y13" s="152" t="s">
        <v>34</v>
      </c>
      <c r="Z13" s="152" t="s">
        <v>34</v>
      </c>
      <c r="AA13" s="12"/>
      <c r="AB13" s="122">
        <f>U13</f>
        <v>120</v>
      </c>
      <c r="AC13" s="30">
        <f>V13*N7</f>
        <v>1.6666666666666667</v>
      </c>
      <c r="AD13" s="123">
        <f>W13*N7</f>
        <v>200</v>
      </c>
      <c r="AE13" s="123">
        <f>U13 * (1 + D13) / (1 - G13)</f>
        <v>126.06060606060608</v>
      </c>
      <c r="AF13" s="124">
        <f>(B13 - AE13) / AE13</f>
        <v>-0.2860576923076924</v>
      </c>
      <c r="AG13" s="140"/>
      <c r="AH13" s="122">
        <f>U13</f>
        <v>120</v>
      </c>
      <c r="AI13" s="30">
        <f>V13*O7</f>
        <v>1.6666666666666667</v>
      </c>
      <c r="AJ13" s="123">
        <f>W13*O7</f>
        <v>200</v>
      </c>
      <c r="AK13" s="123">
        <f>U13 * (1 + E13) / (1 - G13)</f>
        <v>130.90909090909093</v>
      </c>
      <c r="AL13" s="124">
        <f>(B13 - AK13) / AK13</f>
        <v>-0.31250000000000011</v>
      </c>
      <c r="AN13" s="152" t="s">
        <v>34</v>
      </c>
      <c r="AO13" s="155" t="s">
        <v>34</v>
      </c>
      <c r="AP13" s="155" t="s">
        <v>34</v>
      </c>
      <c r="AQ13" s="155" t="s">
        <v>34</v>
      </c>
      <c r="AR13" s="155" t="s">
        <v>34</v>
      </c>
      <c r="AT13" s="32">
        <f>AU13+AV13+AW13</f>
        <v>6.3333333333333339</v>
      </c>
      <c r="AU13" s="32">
        <f>AC13+AC14</f>
        <v>3.166666666666667</v>
      </c>
      <c r="AV13" s="32">
        <f>AI13+AI14</f>
        <v>2.416666666666667</v>
      </c>
      <c r="AW13" s="32">
        <f>AO14</f>
        <v>0.75</v>
      </c>
    </row>
    <row r="14" spans="1:49" ht="12.75" x14ac:dyDescent="0.2">
      <c r="A14" s="45"/>
      <c r="B14" s="33"/>
      <c r="C14" s="67"/>
      <c r="D14" s="124"/>
      <c r="E14" s="95"/>
      <c r="F14" s="95"/>
      <c r="G14" s="95"/>
      <c r="H14" s="95"/>
      <c r="L14" s="33"/>
      <c r="M14" s="33"/>
      <c r="N14" s="124"/>
      <c r="O14" s="95"/>
      <c r="P14" s="95"/>
      <c r="R14" s="12" t="s">
        <v>217</v>
      </c>
      <c r="S14" s="12" t="str">
        <f>S11</f>
        <v>Buy</v>
      </c>
      <c r="T14" s="12" t="str">
        <f t="shared" si="1"/>
        <v>Custom</v>
      </c>
      <c r="U14" s="137">
        <f t="shared" si="1"/>
        <v>100</v>
      </c>
      <c r="V14" s="138">
        <f t="shared" si="1"/>
        <v>3</v>
      </c>
      <c r="W14" s="137">
        <f t="shared" si="1"/>
        <v>300</v>
      </c>
      <c r="X14" s="137">
        <f t="shared" si="1"/>
        <v>98</v>
      </c>
      <c r="Y14" s="152" t="s">
        <v>34</v>
      </c>
      <c r="Z14" s="152" t="s">
        <v>34</v>
      </c>
      <c r="AA14" s="12"/>
      <c r="AB14" s="122">
        <f>U14</f>
        <v>100</v>
      </c>
      <c r="AC14" s="30">
        <f>V14*N4</f>
        <v>1.5</v>
      </c>
      <c r="AD14" s="123">
        <f>W14*N4</f>
        <v>150</v>
      </c>
      <c r="AE14" s="123">
        <f>U14 * (1 + D13) / (1 - G13)</f>
        <v>105.05050505050505</v>
      </c>
      <c r="AF14" s="124">
        <f>(B13 - AE14) / AE14</f>
        <v>-0.14326923076923079</v>
      </c>
      <c r="AG14" s="140"/>
      <c r="AH14" s="63">
        <f>U14</f>
        <v>100</v>
      </c>
      <c r="AI14" s="32">
        <f>V14*O5</f>
        <v>0.75</v>
      </c>
      <c r="AJ14" s="63">
        <f>W14*O5</f>
        <v>75</v>
      </c>
      <c r="AK14" s="63">
        <f>AK12</f>
        <v>109.09090909090909</v>
      </c>
      <c r="AL14" s="54">
        <f>(B13 - AK14) / AK14</f>
        <v>-0.17500000000000002</v>
      </c>
      <c r="AN14" s="122">
        <f>U14</f>
        <v>100</v>
      </c>
      <c r="AO14" s="30">
        <f>V14*P5</f>
        <v>0.75</v>
      </c>
      <c r="AP14" s="123">
        <f>W14*P5</f>
        <v>75</v>
      </c>
      <c r="AQ14" s="123">
        <v>117.17171717171716</v>
      </c>
      <c r="AR14" s="124">
        <f>(B13 - AQ14) / AQ14</f>
        <v>-0.23189655172413787</v>
      </c>
    </row>
    <row r="15" spans="1:49" ht="12.75" x14ac:dyDescent="0.2">
      <c r="A15" s="45"/>
      <c r="B15" s="33"/>
      <c r="C15" s="67"/>
      <c r="D15" s="124"/>
      <c r="E15" s="95"/>
      <c r="F15" s="95"/>
      <c r="G15" s="95"/>
      <c r="H15" s="95"/>
      <c r="L15" s="33"/>
      <c r="M15" s="33"/>
      <c r="N15" s="124"/>
      <c r="O15" s="95"/>
      <c r="P15" s="95"/>
      <c r="R15" s="12"/>
      <c r="S15" s="12"/>
      <c r="T15" s="12"/>
      <c r="U15" s="137"/>
      <c r="V15" s="138"/>
      <c r="W15" s="137"/>
      <c r="X15" s="137"/>
      <c r="Y15" s="154"/>
      <c r="Z15" s="154"/>
      <c r="AA15" s="12"/>
      <c r="AB15" s="139"/>
      <c r="AC15" s="139"/>
      <c r="AD15" s="139"/>
      <c r="AE15" s="139"/>
      <c r="AF15" s="140"/>
      <c r="AG15" s="140"/>
      <c r="AH15" s="139"/>
      <c r="AI15" s="139"/>
      <c r="AJ15" s="139"/>
      <c r="AK15" s="139"/>
      <c r="AL15" s="140"/>
      <c r="AN15" s="139"/>
      <c r="AO15" s="139"/>
      <c r="AP15" s="139"/>
      <c r="AQ15" s="139"/>
      <c r="AR15" s="140"/>
    </row>
    <row r="16" spans="1:49" ht="12.75" x14ac:dyDescent="0.2">
      <c r="A16" s="66" t="s">
        <v>219</v>
      </c>
      <c r="B16" s="33"/>
      <c r="C16" s="67"/>
      <c r="D16" s="124"/>
      <c r="E16" s="95"/>
      <c r="F16" s="95"/>
      <c r="G16" s="95"/>
      <c r="H16" s="95"/>
      <c r="L16" s="33"/>
      <c r="M16" s="33"/>
      <c r="N16" s="124"/>
      <c r="O16" s="95"/>
      <c r="P16" s="95"/>
      <c r="R16" s="12"/>
      <c r="S16" s="12"/>
      <c r="T16" s="12"/>
      <c r="U16" s="137"/>
      <c r="V16" s="138"/>
      <c r="W16" s="137"/>
      <c r="X16" s="137"/>
      <c r="Y16" s="12"/>
      <c r="Z16" s="12"/>
      <c r="AA16" s="12"/>
      <c r="AB16" s="139"/>
      <c r="AC16" s="139"/>
      <c r="AD16" s="139"/>
      <c r="AE16" s="139"/>
      <c r="AF16" s="140"/>
      <c r="AG16" s="140"/>
      <c r="AH16" s="139"/>
      <c r="AI16" s="139"/>
      <c r="AJ16" s="139"/>
      <c r="AK16" s="139"/>
      <c r="AL16" s="140"/>
      <c r="AN16" s="139"/>
      <c r="AO16" s="139"/>
      <c r="AP16" s="139"/>
      <c r="AQ16" s="139"/>
      <c r="AR16" s="140"/>
    </row>
    <row r="17" spans="1:49" ht="12.75" x14ac:dyDescent="0.2">
      <c r="B17" s="45" t="s">
        <v>204</v>
      </c>
      <c r="C17" s="109"/>
      <c r="J17" s="45" t="s">
        <v>202</v>
      </c>
      <c r="R17" s="45" t="s">
        <v>203</v>
      </c>
      <c r="T17" s="12"/>
      <c r="U17" s="12"/>
      <c r="V17" s="12"/>
      <c r="W17" s="12"/>
      <c r="X17" s="12"/>
      <c r="Y17" s="12"/>
      <c r="Z17" s="12"/>
      <c r="AA17" s="12"/>
      <c r="AB17" s="130" t="s">
        <v>205</v>
      </c>
      <c r="AC17" s="46"/>
      <c r="AD17" s="46"/>
      <c r="AE17" s="46"/>
      <c r="AF17" s="46"/>
      <c r="AG17" s="46"/>
      <c r="AH17" s="130" t="s">
        <v>207</v>
      </c>
      <c r="AI17" s="46"/>
      <c r="AJ17" s="46"/>
      <c r="AK17" s="46"/>
      <c r="AL17" s="46"/>
      <c r="AM17" s="45"/>
      <c r="AN17" s="130" t="s">
        <v>208</v>
      </c>
      <c r="AO17" s="12"/>
      <c r="AP17" s="12"/>
      <c r="AQ17" s="12"/>
      <c r="AR17" s="12"/>
      <c r="AT17" s="130" t="s">
        <v>206</v>
      </c>
    </row>
    <row r="18" spans="1:49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57"/>
      <c r="I18" s="101"/>
      <c r="J18" s="28" t="s">
        <v>76</v>
      </c>
      <c r="K18" s="28" t="s">
        <v>4</v>
      </c>
      <c r="L18" s="57" t="s">
        <v>0</v>
      </c>
      <c r="M18" s="57" t="s">
        <v>1</v>
      </c>
      <c r="N18" s="28" t="s">
        <v>191</v>
      </c>
      <c r="O18" s="28" t="s">
        <v>192</v>
      </c>
      <c r="P18" s="28" t="s">
        <v>193</v>
      </c>
      <c r="R18" s="28"/>
      <c r="S18" s="28" t="s">
        <v>76</v>
      </c>
      <c r="T18" s="28" t="s">
        <v>4</v>
      </c>
      <c r="U18" s="57" t="s">
        <v>0</v>
      </c>
      <c r="V18" s="28" t="s">
        <v>62</v>
      </c>
      <c r="W18" s="57" t="s">
        <v>222</v>
      </c>
      <c r="X18" s="57" t="s">
        <v>190</v>
      </c>
      <c r="Y18" s="57" t="s">
        <v>194</v>
      </c>
      <c r="Z18" s="28" t="s">
        <v>195</v>
      </c>
      <c r="AA18" s="12"/>
      <c r="AB18" s="28" t="s">
        <v>0</v>
      </c>
      <c r="AC18" s="28" t="s">
        <v>196</v>
      </c>
      <c r="AD18" s="57" t="s">
        <v>1</v>
      </c>
      <c r="AE18" s="57" t="s">
        <v>197</v>
      </c>
      <c r="AF18" s="57" t="s">
        <v>198</v>
      </c>
      <c r="AG18" s="60"/>
      <c r="AH18" s="28" t="s">
        <v>0</v>
      </c>
      <c r="AI18" s="28" t="s">
        <v>196</v>
      </c>
      <c r="AJ18" s="57" t="s">
        <v>1</v>
      </c>
      <c r="AK18" s="57" t="s">
        <v>197</v>
      </c>
      <c r="AL18" s="57" t="s">
        <v>198</v>
      </c>
      <c r="AN18" s="28" t="s">
        <v>0</v>
      </c>
      <c r="AO18" s="28" t="s">
        <v>196</v>
      </c>
      <c r="AP18" s="57" t="s">
        <v>1</v>
      </c>
      <c r="AQ18" s="57" t="s">
        <v>197</v>
      </c>
      <c r="AR18" s="57" t="s">
        <v>198</v>
      </c>
      <c r="AT18" s="57" t="s">
        <v>199</v>
      </c>
      <c r="AU18" s="28" t="s">
        <v>191</v>
      </c>
      <c r="AV18" s="28" t="s">
        <v>192</v>
      </c>
      <c r="AW18" s="28" t="s">
        <v>193</v>
      </c>
    </row>
    <row r="19" spans="1:49" ht="12.75" x14ac:dyDescent="0.2">
      <c r="A19" s="110" t="s">
        <v>216</v>
      </c>
      <c r="B19" s="52">
        <v>100</v>
      </c>
      <c r="C19" s="54">
        <v>0.02</v>
      </c>
      <c r="D19" s="124">
        <v>0.04</v>
      </c>
      <c r="E19" s="95">
        <v>0.08</v>
      </c>
      <c r="F19" s="95">
        <v>0.16</v>
      </c>
      <c r="G19" s="95">
        <v>0.01</v>
      </c>
      <c r="H19" s="95"/>
      <c r="I19" s="95"/>
      <c r="J19" s="133" t="s">
        <v>75</v>
      </c>
      <c r="K19" s="133" t="s">
        <v>78</v>
      </c>
      <c r="L19" s="52">
        <v>100</v>
      </c>
      <c r="M19" s="52">
        <v>600</v>
      </c>
      <c r="N19" s="124">
        <v>0.5</v>
      </c>
      <c r="O19" s="95">
        <v>0.3</v>
      </c>
      <c r="P19" s="95">
        <v>0.2</v>
      </c>
      <c r="R19" s="45" t="s">
        <v>216</v>
      </c>
      <c r="S19" s="45" t="s">
        <v>75</v>
      </c>
      <c r="T19" s="131" t="s">
        <v>78</v>
      </c>
      <c r="U19" s="122">
        <f>L19</f>
        <v>100</v>
      </c>
      <c r="V19" s="30">
        <f>W19/U19</f>
        <v>6</v>
      </c>
      <c r="W19" s="122">
        <f>M19</f>
        <v>600</v>
      </c>
      <c r="X19" s="122">
        <f>U19 * (1 - ABS(C19))</f>
        <v>98</v>
      </c>
      <c r="Y19" s="152" t="s">
        <v>34</v>
      </c>
      <c r="Z19" s="152" t="s">
        <v>34</v>
      </c>
      <c r="AA19" s="12"/>
      <c r="AB19" s="122">
        <f>U19</f>
        <v>100</v>
      </c>
      <c r="AC19" s="30">
        <f>V19*N19</f>
        <v>3</v>
      </c>
      <c r="AD19" s="123">
        <f>W19*N19</f>
        <v>300</v>
      </c>
      <c r="AE19" s="123">
        <f>AB19 * (1 + D19) / (1 - G19)</f>
        <v>105.05050505050505</v>
      </c>
      <c r="AF19" s="124">
        <f>(B19 - AE19) / AE19</f>
        <v>-4.8076923076923087E-2</v>
      </c>
      <c r="AG19" s="30"/>
      <c r="AH19" s="122">
        <f>U19</f>
        <v>100</v>
      </c>
      <c r="AI19" s="30">
        <f>V19*O19</f>
        <v>1.7999999999999998</v>
      </c>
      <c r="AJ19" s="123">
        <f>W19*O19</f>
        <v>180</v>
      </c>
      <c r="AK19" s="123">
        <f>AH19 * (1 + E19) / (1 - G19)</f>
        <v>109.09090909090909</v>
      </c>
      <c r="AL19" s="124">
        <f>(B19 - AK19) / AK19</f>
        <v>-8.3333333333333356E-2</v>
      </c>
      <c r="AN19" s="122">
        <f>U19</f>
        <v>100</v>
      </c>
      <c r="AO19" s="30">
        <f>V19*P19</f>
        <v>1.2000000000000002</v>
      </c>
      <c r="AP19" s="123">
        <f>W19*P19</f>
        <v>120</v>
      </c>
      <c r="AQ19" s="123">
        <f>AN19 * (1 + F19) / (1 - G19)</f>
        <v>117.17171717171716</v>
      </c>
      <c r="AR19" s="124">
        <f>(B19 - AQ19) / AQ19</f>
        <v>-0.14655172413793097</v>
      </c>
      <c r="AT19" s="32">
        <f>AC19+AI19+AO19</f>
        <v>6</v>
      </c>
      <c r="AU19" s="32">
        <f>AC19</f>
        <v>3</v>
      </c>
      <c r="AV19" s="32">
        <f>AI19</f>
        <v>1.7999999999999998</v>
      </c>
      <c r="AW19" s="32">
        <f>AO19</f>
        <v>1.2000000000000002</v>
      </c>
    </row>
    <row r="20" spans="1:49" ht="12.75" x14ac:dyDescent="0.2">
      <c r="A20" s="184" t="s">
        <v>220</v>
      </c>
      <c r="B20" s="40">
        <v>110</v>
      </c>
      <c r="C20" s="55">
        <v>0.02</v>
      </c>
      <c r="D20" s="129">
        <v>0.04</v>
      </c>
      <c r="E20" s="125">
        <v>0.08</v>
      </c>
      <c r="F20" s="125">
        <v>0.16</v>
      </c>
      <c r="G20" s="125">
        <v>0.01</v>
      </c>
      <c r="H20" s="125"/>
      <c r="I20" s="125"/>
      <c r="J20" s="134" t="s">
        <v>73</v>
      </c>
      <c r="K20" s="134" t="s">
        <v>221</v>
      </c>
      <c r="L20" s="40">
        <v>110</v>
      </c>
      <c r="M20" s="153" t="s">
        <v>34</v>
      </c>
      <c r="N20" s="129">
        <v>0.5</v>
      </c>
      <c r="O20" s="153" t="s">
        <v>34</v>
      </c>
      <c r="P20" s="153" t="s">
        <v>34</v>
      </c>
      <c r="Q20" s="35"/>
      <c r="R20" s="47" t="s">
        <v>220</v>
      </c>
      <c r="S20" s="47" t="s">
        <v>73</v>
      </c>
      <c r="T20" s="132" t="s">
        <v>221</v>
      </c>
      <c r="U20" s="126">
        <f>L20</f>
        <v>110</v>
      </c>
      <c r="V20" s="43">
        <f>AC19*N20</f>
        <v>1.5</v>
      </c>
      <c r="W20" s="126">
        <f>U20*V20-(U20*V20*G20)</f>
        <v>163.35</v>
      </c>
      <c r="X20" s="153" t="s">
        <v>34</v>
      </c>
      <c r="Y20" s="127">
        <f>W20-(U19*V20)</f>
        <v>13.349999999999994</v>
      </c>
      <c r="Z20" s="151">
        <f>Y20/(U19*V20)</f>
        <v>8.8999999999999968E-2</v>
      </c>
      <c r="AA20" s="41"/>
      <c r="AB20" s="126">
        <f>U21</f>
        <v>100</v>
      </c>
      <c r="AC20" s="43">
        <f>AC19-V20</f>
        <v>1.5</v>
      </c>
      <c r="AD20" s="128">
        <f>AD19*N20</f>
        <v>150</v>
      </c>
      <c r="AE20" s="128">
        <f>AB20 * (1 + D20) / (1 - G20)</f>
        <v>105.05050505050505</v>
      </c>
      <c r="AF20" s="156">
        <f>(B20 - AE20) / AE20</f>
        <v>4.7115384615384601E-2</v>
      </c>
      <c r="AG20" s="43"/>
      <c r="AH20" s="126">
        <f>U21</f>
        <v>100</v>
      </c>
      <c r="AI20" s="43">
        <f>AI19</f>
        <v>1.7999999999999998</v>
      </c>
      <c r="AJ20" s="128">
        <f>AJ19</f>
        <v>180</v>
      </c>
      <c r="AK20" s="128">
        <f>AH20 * (1 + E20) / (1 - G20)</f>
        <v>109.09090909090909</v>
      </c>
      <c r="AL20" s="156">
        <f>(B20 - AK20) / AK20</f>
        <v>8.3333333333333089E-3</v>
      </c>
      <c r="AM20" s="35"/>
      <c r="AN20" s="126">
        <f>U21</f>
        <v>100</v>
      </c>
      <c r="AO20" s="43">
        <f>AO19</f>
        <v>1.2000000000000002</v>
      </c>
      <c r="AP20" s="128">
        <f>AP19</f>
        <v>120</v>
      </c>
      <c r="AQ20" s="128">
        <f>AN20 * (1 + F20) / (1 - G20)</f>
        <v>117.17171717171716</v>
      </c>
      <c r="AR20" s="129">
        <f>(B20 - AQ20) / AQ20</f>
        <v>-6.1206896551724066E-2</v>
      </c>
      <c r="AS20" s="35"/>
      <c r="AT20" s="39">
        <f>AC20+AI20+AO20</f>
        <v>4.5</v>
      </c>
      <c r="AU20" s="39">
        <f>AC20</f>
        <v>1.5</v>
      </c>
      <c r="AV20" s="39">
        <f>AI20</f>
        <v>1.7999999999999998</v>
      </c>
      <c r="AW20" s="39">
        <f>AO20</f>
        <v>1.2000000000000002</v>
      </c>
    </row>
    <row r="21" spans="1:49" ht="12.75" x14ac:dyDescent="0.2">
      <c r="A21" s="184"/>
      <c r="B21" s="40"/>
      <c r="C21" s="55"/>
      <c r="D21" s="129"/>
      <c r="E21" s="125"/>
      <c r="F21" s="125"/>
      <c r="G21" s="125"/>
      <c r="H21" s="125"/>
      <c r="I21" s="125"/>
      <c r="J21" s="134"/>
      <c r="K21" s="134"/>
      <c r="L21" s="40"/>
      <c r="M21" s="40"/>
      <c r="N21" s="129"/>
      <c r="O21" s="125"/>
      <c r="P21" s="125"/>
      <c r="Q21" s="35"/>
      <c r="R21" s="47" t="s">
        <v>216</v>
      </c>
      <c r="S21" s="47" t="s">
        <v>75</v>
      </c>
      <c r="T21" s="132" t="s">
        <v>78</v>
      </c>
      <c r="U21" s="126">
        <f>U19</f>
        <v>100</v>
      </c>
      <c r="V21" s="43">
        <f>V19</f>
        <v>6</v>
      </c>
      <c r="W21" s="126">
        <f>W19</f>
        <v>600</v>
      </c>
      <c r="X21" s="126">
        <f>X19</f>
        <v>98</v>
      </c>
      <c r="Y21" s="153" t="s">
        <v>34</v>
      </c>
      <c r="Z21" s="153" t="s">
        <v>34</v>
      </c>
      <c r="AA21" s="41"/>
      <c r="AB21" s="126"/>
      <c r="AC21" s="43"/>
      <c r="AD21" s="128"/>
      <c r="AE21" s="128"/>
      <c r="AF21" s="129"/>
      <c r="AG21" s="43"/>
      <c r="AH21" s="126"/>
      <c r="AI21" s="43"/>
      <c r="AJ21" s="128"/>
      <c r="AK21" s="128"/>
      <c r="AL21" s="129"/>
      <c r="AM21" s="35"/>
      <c r="AN21" s="126"/>
      <c r="AO21" s="43"/>
      <c r="AP21" s="128"/>
      <c r="AQ21" s="128"/>
      <c r="AR21" s="129"/>
      <c r="AS21" s="35"/>
      <c r="AT21" s="39"/>
      <c r="AU21" s="39"/>
      <c r="AV21" s="39"/>
      <c r="AW21" s="39"/>
    </row>
    <row r="22" spans="1:49" ht="12.75" x14ac:dyDescent="0.2">
      <c r="A22" s="110" t="s">
        <v>223</v>
      </c>
      <c r="B22" s="52">
        <v>90</v>
      </c>
      <c r="C22" s="54">
        <v>0.02</v>
      </c>
      <c r="D22" s="124">
        <v>0.04</v>
      </c>
      <c r="E22" s="95">
        <v>0.08</v>
      </c>
      <c r="F22" s="95">
        <v>0.16</v>
      </c>
      <c r="G22" s="95">
        <v>0.01</v>
      </c>
      <c r="H22" s="95"/>
      <c r="I22" s="95"/>
      <c r="J22" s="133" t="s">
        <v>73</v>
      </c>
      <c r="K22" s="133" t="s">
        <v>221</v>
      </c>
      <c r="L22" s="52">
        <v>90</v>
      </c>
      <c r="M22" s="152" t="s">
        <v>34</v>
      </c>
      <c r="N22" s="152" t="s">
        <v>34</v>
      </c>
      <c r="O22" s="95">
        <v>1</v>
      </c>
      <c r="P22" s="152" t="s">
        <v>34</v>
      </c>
      <c r="R22" s="45" t="s">
        <v>223</v>
      </c>
      <c r="S22" s="45" t="s">
        <v>73</v>
      </c>
      <c r="T22" s="130" t="s">
        <v>221</v>
      </c>
      <c r="U22" s="122">
        <f>L22</f>
        <v>90</v>
      </c>
      <c r="V22" s="30">
        <f>AI20*O22</f>
        <v>1.7999999999999998</v>
      </c>
      <c r="W22" s="122">
        <f>U22*V22-(U22*V22*G22)</f>
        <v>160.37999999999997</v>
      </c>
      <c r="X22" s="152" t="s">
        <v>34</v>
      </c>
      <c r="Y22" s="152">
        <f>W22-(U21*V22)</f>
        <v>-19.620000000000005</v>
      </c>
      <c r="Z22" s="160">
        <f>Y22/(U21*V22)</f>
        <v>-0.10900000000000004</v>
      </c>
      <c r="AA22" s="12"/>
      <c r="AB22" s="122">
        <f>AB20</f>
        <v>100</v>
      </c>
      <c r="AC22" s="30">
        <f>AC20</f>
        <v>1.5</v>
      </c>
      <c r="AD22" s="123">
        <f>AD20</f>
        <v>150</v>
      </c>
      <c r="AE22" s="123">
        <f>AE20</f>
        <v>105.05050505050505</v>
      </c>
      <c r="AF22" s="124">
        <f>(B22 - AE22) / AE22</f>
        <v>-0.14326923076923079</v>
      </c>
      <c r="AG22" s="30"/>
      <c r="AH22" s="162">
        <f>AH20</f>
        <v>100</v>
      </c>
      <c r="AI22" s="163">
        <f>AI20</f>
        <v>1.7999999999999998</v>
      </c>
      <c r="AJ22" s="164">
        <f>AJ20</f>
        <v>180</v>
      </c>
      <c r="AK22" s="164">
        <f>AK20</f>
        <v>109.09090909090909</v>
      </c>
      <c r="AL22" s="148">
        <f>AL20</f>
        <v>8.3333333333333089E-3</v>
      </c>
      <c r="AN22" s="122">
        <f>AN20</f>
        <v>100</v>
      </c>
      <c r="AO22" s="30">
        <f>AO20</f>
        <v>1.2000000000000002</v>
      </c>
      <c r="AP22" s="123">
        <f>AP20</f>
        <v>120</v>
      </c>
      <c r="AQ22" s="123">
        <f>AQ20</f>
        <v>117.17171717171716</v>
      </c>
      <c r="AR22" s="124">
        <f>(B22 - AQ22) / AQ22</f>
        <v>-0.23189655172413787</v>
      </c>
      <c r="AT22" s="32">
        <f>AU22+AV22+AW22</f>
        <v>2.7</v>
      </c>
      <c r="AU22" s="32">
        <f>AC22</f>
        <v>1.5</v>
      </c>
      <c r="AV22" s="32">
        <v>0</v>
      </c>
      <c r="AW22" s="32">
        <f>AO22</f>
        <v>1.2000000000000002</v>
      </c>
    </row>
    <row r="23" spans="1:49" ht="12.75" x14ac:dyDescent="0.2">
      <c r="A23" s="110"/>
      <c r="B23" s="52"/>
      <c r="C23" s="95"/>
      <c r="I23" s="95"/>
      <c r="J23" s="95"/>
      <c r="K23" s="95"/>
      <c r="L23" s="52"/>
      <c r="M23" s="52"/>
      <c r="N23" s="95"/>
      <c r="O23" s="95"/>
      <c r="P23" s="95"/>
      <c r="R23" s="46" t="str">
        <f t="shared" ref="R23:S27" si="2">R20</f>
        <v>SellA</v>
      </c>
      <c r="S23" s="46" t="str">
        <f t="shared" si="2"/>
        <v>Sell</v>
      </c>
      <c r="T23" s="130" t="s">
        <v>221</v>
      </c>
      <c r="U23" s="122">
        <f t="shared" ref="U23:W23" si="3">U20</f>
        <v>110</v>
      </c>
      <c r="V23" s="30">
        <f t="shared" si="3"/>
        <v>1.5</v>
      </c>
      <c r="W23" s="122">
        <f t="shared" si="3"/>
        <v>163.35</v>
      </c>
      <c r="X23" s="152" t="s">
        <v>34</v>
      </c>
      <c r="Y23" s="152">
        <f>Y20</f>
        <v>13.349999999999994</v>
      </c>
      <c r="Z23" s="161">
        <f>Z20</f>
        <v>8.8999999999999968E-2</v>
      </c>
      <c r="AA23" s="12"/>
      <c r="AB23" s="122"/>
      <c r="AC23" s="30"/>
      <c r="AD23" s="157"/>
      <c r="AE23" s="157"/>
      <c r="AF23" s="124"/>
      <c r="AG23" s="30"/>
      <c r="AH23" s="63"/>
      <c r="AI23" s="32"/>
      <c r="AJ23" s="63"/>
      <c r="AK23" s="63"/>
      <c r="AL23" s="62"/>
      <c r="AN23" s="158"/>
      <c r="AO23" s="159"/>
      <c r="AP23" s="159"/>
      <c r="AQ23" s="159"/>
      <c r="AR23" s="159"/>
    </row>
    <row r="24" spans="1:49" ht="12.75" x14ac:dyDescent="0.2">
      <c r="A24" s="110"/>
      <c r="B24" s="52"/>
      <c r="C24" s="95"/>
      <c r="D24" s="29"/>
      <c r="E24" s="50"/>
      <c r="G24" s="50"/>
      <c r="H24" s="50"/>
      <c r="I24" s="50"/>
      <c r="J24" s="50"/>
      <c r="K24" s="50"/>
      <c r="L24" s="52"/>
      <c r="M24" s="52"/>
      <c r="N24" s="50"/>
      <c r="O24" s="50"/>
      <c r="P24" s="50"/>
      <c r="R24" s="46" t="str">
        <f t="shared" si="2"/>
        <v>BuyA</v>
      </c>
      <c r="S24" s="46" t="str">
        <f t="shared" si="2"/>
        <v>Buy</v>
      </c>
      <c r="T24" s="130" t="s">
        <v>78</v>
      </c>
      <c r="U24" s="122">
        <f>U21</f>
        <v>100</v>
      </c>
      <c r="V24" s="30">
        <f>V21</f>
        <v>6</v>
      </c>
      <c r="W24" s="122">
        <f>W21</f>
        <v>600</v>
      </c>
      <c r="X24" s="165">
        <f>X21</f>
        <v>98</v>
      </c>
      <c r="Y24" s="152" t="s">
        <v>34</v>
      </c>
      <c r="Z24" s="152" t="s">
        <v>34</v>
      </c>
      <c r="AA24" s="12"/>
      <c r="AB24" s="63"/>
      <c r="AG24" s="30"/>
      <c r="AH24" s="13"/>
      <c r="AI24" s="13"/>
      <c r="AJ24" s="13"/>
      <c r="AK24" s="13"/>
      <c r="AL24" s="30"/>
      <c r="AN24" s="122"/>
      <c r="AO24" s="13"/>
      <c r="AP24" s="13"/>
      <c r="AQ24" s="13"/>
      <c r="AR24" s="30"/>
    </row>
    <row r="25" spans="1:49" s="35" customFormat="1" ht="12.75" x14ac:dyDescent="0.2">
      <c r="A25" s="184" t="s">
        <v>226</v>
      </c>
      <c r="B25" s="40">
        <v>90</v>
      </c>
      <c r="C25" s="55">
        <v>0.02</v>
      </c>
      <c r="D25" s="129">
        <v>0.04</v>
      </c>
      <c r="E25" s="125">
        <v>0.08</v>
      </c>
      <c r="F25" s="125">
        <v>0.16</v>
      </c>
      <c r="G25" s="125">
        <v>0.01</v>
      </c>
      <c r="H25" s="125"/>
      <c r="I25" s="51"/>
      <c r="J25" s="172" t="s">
        <v>227</v>
      </c>
      <c r="K25" s="172" t="s">
        <v>211</v>
      </c>
      <c r="L25" s="40">
        <v>95</v>
      </c>
      <c r="M25" s="153" t="s">
        <v>34</v>
      </c>
      <c r="N25" s="153" t="s">
        <v>34</v>
      </c>
      <c r="O25" s="125">
        <v>0.5</v>
      </c>
      <c r="P25" s="153" t="s">
        <v>34</v>
      </c>
      <c r="R25" s="47" t="str">
        <f t="shared" si="2"/>
        <v>SellB</v>
      </c>
      <c r="S25" s="47" t="str">
        <f t="shared" si="2"/>
        <v>Sell</v>
      </c>
      <c r="T25" s="132" t="s">
        <v>211</v>
      </c>
      <c r="U25" s="126">
        <f>L25</f>
        <v>95</v>
      </c>
      <c r="V25" s="43">
        <f>AI20*O25</f>
        <v>0.89999999999999991</v>
      </c>
      <c r="W25" s="126">
        <f>U25*V25-(U25*V25*G25)</f>
        <v>84.644999999999982</v>
      </c>
      <c r="X25" s="153" t="s">
        <v>34</v>
      </c>
      <c r="Y25" s="127">
        <f>W25-(U24*V25)</f>
        <v>-5.355000000000004</v>
      </c>
      <c r="Z25" s="151">
        <f>Y25/(U24*V25)</f>
        <v>-5.9500000000000053E-2</v>
      </c>
      <c r="AA25" s="41"/>
      <c r="AB25" s="126">
        <f>AB22</f>
        <v>100</v>
      </c>
      <c r="AC25" s="43">
        <f>AC22</f>
        <v>1.5</v>
      </c>
      <c r="AD25" s="128">
        <f>AD22</f>
        <v>150</v>
      </c>
      <c r="AE25" s="128">
        <f>AE22</f>
        <v>105.05050505050505</v>
      </c>
      <c r="AF25" s="180">
        <f>(B25 - AE25) / AE25</f>
        <v>-0.14326923076923079</v>
      </c>
      <c r="AG25" s="43"/>
      <c r="AH25" s="126">
        <f>AH22</f>
        <v>100</v>
      </c>
      <c r="AI25" s="43">
        <f>AI22*O25</f>
        <v>0.89999999999999991</v>
      </c>
      <c r="AJ25" s="128">
        <f>AJ22*O25</f>
        <v>90</v>
      </c>
      <c r="AK25" s="128">
        <f>AH25 * (1 + E25) / (1 - G25)</f>
        <v>109.09090909090909</v>
      </c>
      <c r="AL25" s="180">
        <f>(B25 - AK25) / AK25</f>
        <v>-0.17500000000000002</v>
      </c>
      <c r="AN25" s="126">
        <f>AN22</f>
        <v>100</v>
      </c>
      <c r="AO25" s="43">
        <f>AO22</f>
        <v>1.2000000000000002</v>
      </c>
      <c r="AP25" s="128">
        <f>AP22</f>
        <v>120</v>
      </c>
      <c r="AQ25" s="128">
        <f>AQ22</f>
        <v>117.17171717171716</v>
      </c>
      <c r="AR25" s="129">
        <f>AR22</f>
        <v>-0.23189655172413787</v>
      </c>
      <c r="AT25" s="39">
        <f>AU25+AV25+AW25</f>
        <v>3.6</v>
      </c>
      <c r="AU25" s="39">
        <f>AC25</f>
        <v>1.5</v>
      </c>
      <c r="AV25" s="39">
        <f>AI25</f>
        <v>0.89999999999999991</v>
      </c>
      <c r="AW25" s="39">
        <f>AO25</f>
        <v>1.2000000000000002</v>
      </c>
    </row>
    <row r="26" spans="1:49" s="35" customFormat="1" ht="12.75" x14ac:dyDescent="0.2">
      <c r="A26" s="184"/>
      <c r="B26" s="40"/>
      <c r="C26" s="125"/>
      <c r="D26" s="37"/>
      <c r="E26" s="51"/>
      <c r="G26" s="51"/>
      <c r="H26" s="51"/>
      <c r="I26" s="51"/>
      <c r="J26" s="51"/>
      <c r="K26" s="51"/>
      <c r="L26" s="40"/>
      <c r="M26" s="40"/>
      <c r="N26" s="51"/>
      <c r="O26" s="51"/>
      <c r="P26" s="51"/>
      <c r="R26" s="47" t="str">
        <f t="shared" si="2"/>
        <v>SellA</v>
      </c>
      <c r="S26" s="47" t="str">
        <f t="shared" si="2"/>
        <v>Sell</v>
      </c>
      <c r="T26" s="132" t="s">
        <v>221</v>
      </c>
      <c r="U26" s="126">
        <f t="shared" ref="U26:W27" si="4">U23</f>
        <v>110</v>
      </c>
      <c r="V26" s="43">
        <f t="shared" si="4"/>
        <v>1.5</v>
      </c>
      <c r="W26" s="126">
        <f t="shared" si="4"/>
        <v>163.35</v>
      </c>
      <c r="X26" s="153" t="s">
        <v>34</v>
      </c>
      <c r="Y26" s="127">
        <f>Y23</f>
        <v>13.349999999999994</v>
      </c>
      <c r="Z26" s="151">
        <f>Z23</f>
        <v>8.8999999999999968E-2</v>
      </c>
      <c r="AA26" s="41"/>
      <c r="AB26" s="65"/>
      <c r="AG26" s="43"/>
      <c r="AH26" s="42"/>
      <c r="AI26" s="42"/>
      <c r="AJ26" s="42"/>
      <c r="AK26" s="42"/>
      <c r="AL26" s="43"/>
      <c r="AN26" s="126"/>
      <c r="AO26" s="42"/>
      <c r="AP26" s="42"/>
      <c r="AQ26" s="42"/>
      <c r="AR26" s="43"/>
    </row>
    <row r="27" spans="1:49" s="35" customFormat="1" ht="12.75" x14ac:dyDescent="0.2">
      <c r="A27" s="184"/>
      <c r="B27" s="40"/>
      <c r="C27" s="125"/>
      <c r="D27" s="37"/>
      <c r="E27" s="51"/>
      <c r="G27" s="51"/>
      <c r="H27" s="51"/>
      <c r="I27" s="51"/>
      <c r="J27" s="51"/>
      <c r="K27" s="51"/>
      <c r="L27" s="40"/>
      <c r="M27" s="40"/>
      <c r="N27" s="51"/>
      <c r="O27" s="51"/>
      <c r="P27" s="51"/>
      <c r="R27" s="47" t="str">
        <f t="shared" si="2"/>
        <v>BuyA</v>
      </c>
      <c r="S27" s="47" t="str">
        <f t="shared" si="2"/>
        <v>Buy</v>
      </c>
      <c r="T27" s="132" t="s">
        <v>78</v>
      </c>
      <c r="U27" s="126">
        <f t="shared" si="4"/>
        <v>100</v>
      </c>
      <c r="V27" s="43">
        <f t="shared" si="4"/>
        <v>6</v>
      </c>
      <c r="W27" s="126">
        <f t="shared" si="4"/>
        <v>600</v>
      </c>
      <c r="X27" s="171">
        <f>X24</f>
        <v>98</v>
      </c>
      <c r="Y27" s="153" t="s">
        <v>34</v>
      </c>
      <c r="Z27" s="153" t="s">
        <v>34</v>
      </c>
      <c r="AA27" s="41"/>
      <c r="AB27" s="65"/>
      <c r="AG27" s="43"/>
      <c r="AH27" s="42"/>
      <c r="AI27" s="42"/>
      <c r="AJ27" s="42"/>
      <c r="AK27" s="42"/>
      <c r="AL27" s="43"/>
      <c r="AN27" s="126"/>
      <c r="AO27" s="42"/>
      <c r="AP27" s="42"/>
      <c r="AQ27" s="42"/>
      <c r="AR27" s="43"/>
    </row>
    <row r="28" spans="1:49" ht="12.75" x14ac:dyDescent="0.2">
      <c r="A28" s="110" t="s">
        <v>217</v>
      </c>
      <c r="B28" s="52">
        <v>100</v>
      </c>
      <c r="C28" s="62">
        <v>0.02</v>
      </c>
      <c r="D28" s="124">
        <v>0.04</v>
      </c>
      <c r="E28" s="95">
        <v>0.08</v>
      </c>
      <c r="F28" s="95">
        <v>0.16</v>
      </c>
      <c r="G28" s="95">
        <v>0.01</v>
      </c>
      <c r="H28" s="95"/>
      <c r="J28" s="45" t="s">
        <v>75</v>
      </c>
      <c r="K28" s="45" t="s">
        <v>215</v>
      </c>
      <c r="L28" s="52">
        <v>100</v>
      </c>
      <c r="M28" s="52">
        <v>400</v>
      </c>
      <c r="N28" s="124">
        <v>0.4</v>
      </c>
      <c r="O28" s="95">
        <v>0.4</v>
      </c>
      <c r="P28" s="95">
        <v>0.2</v>
      </c>
      <c r="R28" s="46" t="s">
        <v>217</v>
      </c>
      <c r="S28" s="46" t="s">
        <v>75</v>
      </c>
      <c r="T28" s="46" t="s">
        <v>215</v>
      </c>
      <c r="U28" s="137">
        <f>L28</f>
        <v>100</v>
      </c>
      <c r="V28" s="138">
        <f>W28/U28</f>
        <v>4</v>
      </c>
      <c r="W28" s="137">
        <f>M28</f>
        <v>400</v>
      </c>
      <c r="X28" s="137">
        <f>U28 * (1 - ABS(C28))</f>
        <v>98</v>
      </c>
      <c r="Y28" s="152" t="s">
        <v>34</v>
      </c>
      <c r="Z28" s="152" t="s">
        <v>34</v>
      </c>
      <c r="AA28" s="12"/>
      <c r="AB28" s="176">
        <f>AB22</f>
        <v>100</v>
      </c>
      <c r="AC28" s="177">
        <f>AC22+(V28*N28)</f>
        <v>3.1</v>
      </c>
      <c r="AD28" s="176">
        <f>AD22+(W28*N28)</f>
        <v>310</v>
      </c>
      <c r="AE28" s="176">
        <f>AB28 * (1 + D28) / (1 - G28)</f>
        <v>105.05050505050505</v>
      </c>
      <c r="AF28" s="178">
        <f>(B28 - AE28) / AE28</f>
        <v>-4.8076923076923087E-2</v>
      </c>
      <c r="AG28" s="177"/>
      <c r="AH28" s="176">
        <f>U28</f>
        <v>100</v>
      </c>
      <c r="AI28" s="177">
        <f>AI25+(V28*O28)</f>
        <v>2.5</v>
      </c>
      <c r="AJ28" s="176">
        <f>AJ25+(W28*N28)</f>
        <v>250</v>
      </c>
      <c r="AK28" s="176">
        <f>AH28 * (1 + E28) / (1 - G28)</f>
        <v>109.09090909090909</v>
      </c>
      <c r="AL28" s="178">
        <f>(B28 - AK28) / AK28</f>
        <v>-8.3333333333333356E-2</v>
      </c>
      <c r="AM28" s="45"/>
      <c r="AN28" s="176">
        <f>U28</f>
        <v>100</v>
      </c>
      <c r="AO28" s="177">
        <f>AO25+(V28*P28)</f>
        <v>2</v>
      </c>
      <c r="AP28" s="176">
        <f>AP25+(W28*P28)</f>
        <v>200</v>
      </c>
      <c r="AQ28" s="176">
        <f>AN28 * (1 + F28) / (1 - G28)</f>
        <v>117.17171717171716</v>
      </c>
      <c r="AR28" s="124">
        <f>(B28 - AQ28) / AQ28</f>
        <v>-0.14655172413793097</v>
      </c>
      <c r="AS28" s="45"/>
      <c r="AT28" s="104">
        <f>AU28+AV28+AW28</f>
        <v>7.6</v>
      </c>
      <c r="AU28" s="104">
        <f>AC28</f>
        <v>3.1</v>
      </c>
      <c r="AV28" s="104">
        <f>AI28</f>
        <v>2.5</v>
      </c>
      <c r="AW28" s="104">
        <f>AO28</f>
        <v>2</v>
      </c>
    </row>
    <row r="29" spans="1:49" ht="12.75" x14ac:dyDescent="0.2">
      <c r="A29" s="45"/>
      <c r="B29" s="52"/>
      <c r="C29" s="95"/>
      <c r="D29" s="124"/>
      <c r="E29" s="95"/>
      <c r="F29" s="95"/>
      <c r="G29" s="95"/>
      <c r="H29" s="95"/>
      <c r="L29" s="52"/>
      <c r="M29" s="52"/>
      <c r="N29" s="124"/>
      <c r="O29" s="95"/>
      <c r="P29" s="95"/>
      <c r="R29" s="46" t="s">
        <v>223</v>
      </c>
      <c r="S29" s="46" t="s">
        <v>73</v>
      </c>
      <c r="T29" s="46" t="s">
        <v>211</v>
      </c>
      <c r="U29" s="137">
        <f>U25</f>
        <v>95</v>
      </c>
      <c r="V29" s="138">
        <f>V25</f>
        <v>0.89999999999999991</v>
      </c>
      <c r="W29" s="137">
        <f>W25</f>
        <v>84.644999999999982</v>
      </c>
      <c r="X29" s="179" t="str">
        <f>X22</f>
        <v>-</v>
      </c>
      <c r="Y29" s="152">
        <f>Y25</f>
        <v>-5.355000000000004</v>
      </c>
      <c r="Z29" s="161">
        <f>Z25</f>
        <v>-5.9500000000000053E-2</v>
      </c>
      <c r="AA29" s="12"/>
      <c r="AB29" s="176"/>
      <c r="AC29" s="177"/>
      <c r="AD29" s="176"/>
      <c r="AE29" s="157"/>
      <c r="AF29" s="124"/>
      <c r="AG29" s="177"/>
      <c r="AH29" s="176"/>
      <c r="AI29" s="177"/>
      <c r="AJ29" s="176"/>
      <c r="AK29" s="176"/>
      <c r="AL29" s="124"/>
      <c r="AM29" s="45"/>
      <c r="AN29" s="158"/>
      <c r="AO29" s="159"/>
      <c r="AP29" s="159"/>
      <c r="AQ29" s="159"/>
      <c r="AR29" s="159"/>
      <c r="AS29" s="45"/>
      <c r="AT29" s="45"/>
      <c r="AU29" s="104"/>
      <c r="AV29" s="104"/>
      <c r="AW29" s="104"/>
    </row>
    <row r="30" spans="1:49" ht="12.75" x14ac:dyDescent="0.2">
      <c r="A30" s="45"/>
      <c r="B30" s="52"/>
      <c r="C30" s="95"/>
      <c r="D30" s="124"/>
      <c r="E30" s="95"/>
      <c r="F30" s="95"/>
      <c r="G30" s="95"/>
      <c r="H30" s="95"/>
      <c r="L30" s="52"/>
      <c r="M30" s="52"/>
      <c r="N30" s="124"/>
      <c r="O30" s="95"/>
      <c r="P30" s="95"/>
      <c r="R30" s="46" t="s">
        <v>220</v>
      </c>
      <c r="S30" s="46" t="s">
        <v>73</v>
      </c>
      <c r="T30" s="131" t="str">
        <f t="shared" ref="T30:W31" si="5">T23</f>
        <v>Profit Target</v>
      </c>
      <c r="U30" s="137">
        <f t="shared" si="5"/>
        <v>110</v>
      </c>
      <c r="V30" s="138">
        <f t="shared" si="5"/>
        <v>1.5</v>
      </c>
      <c r="W30" s="137">
        <f t="shared" si="5"/>
        <v>163.35</v>
      </c>
      <c r="X30" s="179" t="str">
        <f>X23</f>
        <v>-</v>
      </c>
      <c r="Y30" s="152">
        <f>Y23</f>
        <v>13.349999999999994</v>
      </c>
      <c r="Z30" s="161">
        <f>Z23</f>
        <v>8.8999999999999968E-2</v>
      </c>
      <c r="AA30" s="12"/>
      <c r="AB30" s="176"/>
      <c r="AC30" s="177"/>
      <c r="AD30" s="176"/>
      <c r="AE30" s="157"/>
      <c r="AF30" s="124"/>
      <c r="AG30" s="177"/>
      <c r="AH30" s="176"/>
      <c r="AI30" s="177"/>
      <c r="AJ30" s="176"/>
      <c r="AK30" s="176"/>
      <c r="AL30" s="62"/>
      <c r="AM30" s="45"/>
      <c r="AN30" s="176"/>
      <c r="AO30" s="177"/>
      <c r="AP30" s="176"/>
      <c r="AQ30" s="176"/>
      <c r="AR30" s="124"/>
      <c r="AS30" s="45"/>
      <c r="AT30" s="45"/>
      <c r="AU30" s="104"/>
      <c r="AV30" s="104"/>
      <c r="AW30" s="104"/>
    </row>
    <row r="31" spans="1:49" ht="12.75" x14ac:dyDescent="0.2">
      <c r="A31" s="45"/>
      <c r="B31" s="52"/>
      <c r="C31" s="62"/>
      <c r="D31" s="124"/>
      <c r="E31" s="95"/>
      <c r="F31" s="95"/>
      <c r="G31" s="95"/>
      <c r="H31" s="95"/>
      <c r="J31" s="146"/>
      <c r="K31" s="146"/>
      <c r="L31" s="147"/>
      <c r="M31" s="147"/>
      <c r="N31" s="148"/>
      <c r="O31" s="149"/>
      <c r="P31" s="149"/>
      <c r="R31" s="46" t="s">
        <v>216</v>
      </c>
      <c r="S31" s="46" t="s">
        <v>75</v>
      </c>
      <c r="T31" s="131" t="str">
        <f t="shared" si="5"/>
        <v>Initial</v>
      </c>
      <c r="U31" s="137">
        <f t="shared" si="5"/>
        <v>100</v>
      </c>
      <c r="V31" s="138">
        <f t="shared" si="5"/>
        <v>6</v>
      </c>
      <c r="W31" s="137">
        <f t="shared" si="5"/>
        <v>600</v>
      </c>
      <c r="X31" s="137">
        <f>X24</f>
        <v>98</v>
      </c>
      <c r="Y31" s="152" t="str">
        <f>Y24</f>
        <v>-</v>
      </c>
      <c r="Z31" s="152" t="str">
        <f>Z24</f>
        <v>-</v>
      </c>
      <c r="AA31" s="12"/>
      <c r="AB31" s="122"/>
      <c r="AC31" s="30"/>
      <c r="AD31" s="157"/>
      <c r="AE31" s="157"/>
      <c r="AF31" s="124"/>
      <c r="AG31" s="140"/>
      <c r="AH31" s="122"/>
      <c r="AI31" s="30"/>
      <c r="AJ31" s="157"/>
      <c r="AK31" s="157"/>
      <c r="AL31" s="124"/>
      <c r="AN31" s="158"/>
      <c r="AO31" s="159"/>
      <c r="AP31" s="159"/>
      <c r="AQ31" s="159"/>
      <c r="AR31" s="159"/>
      <c r="AT31" s="32"/>
      <c r="AU31" s="32"/>
      <c r="AV31" s="32"/>
      <c r="AW31" s="32"/>
    </row>
    <row r="32" spans="1:49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29">
        <f t="shared" si="6"/>
        <v>0.04</v>
      </c>
      <c r="E32" s="125">
        <f t="shared" si="6"/>
        <v>0.08</v>
      </c>
      <c r="F32" s="125">
        <f t="shared" si="6"/>
        <v>0.16</v>
      </c>
      <c r="G32" s="125">
        <f t="shared" si="6"/>
        <v>0.01</v>
      </c>
      <c r="H32" s="125"/>
      <c r="J32" s="47" t="s">
        <v>224</v>
      </c>
      <c r="K32" s="153" t="s">
        <v>34</v>
      </c>
      <c r="L32" s="153" t="s">
        <v>34</v>
      </c>
      <c r="M32" s="153" t="s">
        <v>34</v>
      </c>
      <c r="N32" s="153" t="s">
        <v>34</v>
      </c>
      <c r="O32" s="153" t="s">
        <v>34</v>
      </c>
      <c r="P32" s="153" t="s">
        <v>34</v>
      </c>
      <c r="R32" s="47" t="str">
        <f t="shared" ref="R32:S34" si="7">R28</f>
        <v>BuyB</v>
      </c>
      <c r="S32" s="47" t="str">
        <f t="shared" si="7"/>
        <v>Buy</v>
      </c>
      <c r="T32" s="132" t="s">
        <v>215</v>
      </c>
      <c r="U32" s="126">
        <f>U28</f>
        <v>100</v>
      </c>
      <c r="V32" s="43">
        <f>V28</f>
        <v>4</v>
      </c>
      <c r="W32" s="126">
        <f>W28</f>
        <v>400</v>
      </c>
      <c r="X32" s="181">
        <f>X28</f>
        <v>98</v>
      </c>
      <c r="Y32" s="153" t="s">
        <v>34</v>
      </c>
      <c r="Z32" s="153" t="s">
        <v>34</v>
      </c>
      <c r="AA32" s="41"/>
      <c r="AB32" s="126">
        <f>AB28</f>
        <v>100</v>
      </c>
      <c r="AC32" s="43">
        <f>AC28</f>
        <v>3.1</v>
      </c>
      <c r="AD32" s="128">
        <f>AD28</f>
        <v>310</v>
      </c>
      <c r="AE32" s="128">
        <f>AE28</f>
        <v>105.05050505050505</v>
      </c>
      <c r="AF32" s="129">
        <f>AF28</f>
        <v>-4.8076923076923087E-2</v>
      </c>
      <c r="AG32" s="170"/>
      <c r="AH32" s="126">
        <f>AH28</f>
        <v>100</v>
      </c>
      <c r="AI32" s="43">
        <f>AI28+AI25</f>
        <v>3.4</v>
      </c>
      <c r="AJ32" s="128">
        <f>AJ28+AJ25</f>
        <v>340</v>
      </c>
      <c r="AK32" s="128">
        <f>AK28</f>
        <v>109.09090909090909</v>
      </c>
      <c r="AL32" s="129">
        <f>AL28</f>
        <v>-8.3333333333333356E-2</v>
      </c>
      <c r="AN32" s="126">
        <f>AN28</f>
        <v>100</v>
      </c>
      <c r="AO32" s="43">
        <f>AO28</f>
        <v>2</v>
      </c>
      <c r="AP32" s="128">
        <f>AP28</f>
        <v>200</v>
      </c>
      <c r="AQ32" s="128">
        <f>AQ28</f>
        <v>117.17171717171716</v>
      </c>
      <c r="AR32" s="129">
        <f>AR28</f>
        <v>-0.14655172413793097</v>
      </c>
      <c r="AT32" s="39">
        <f>AU32+AV32+AW32</f>
        <v>8.5</v>
      </c>
      <c r="AU32" s="39">
        <f>AC32</f>
        <v>3.1</v>
      </c>
      <c r="AV32" s="39">
        <f>AI32</f>
        <v>3.4</v>
      </c>
      <c r="AW32" s="39">
        <f>AO32</f>
        <v>2</v>
      </c>
    </row>
    <row r="33" spans="1:49" s="35" customFormat="1" ht="12.75" x14ac:dyDescent="0.2">
      <c r="A33" s="47"/>
      <c r="B33" s="40"/>
      <c r="C33" s="55"/>
      <c r="D33" s="129"/>
      <c r="E33" s="125"/>
      <c r="F33" s="125"/>
      <c r="G33" s="125"/>
      <c r="H33" s="125"/>
      <c r="J33" s="166"/>
      <c r="K33" s="166"/>
      <c r="L33" s="167"/>
      <c r="M33" s="167"/>
      <c r="N33" s="168"/>
      <c r="O33" s="169"/>
      <c r="P33" s="169"/>
      <c r="R33" s="166" t="str">
        <f t="shared" si="7"/>
        <v>SellB</v>
      </c>
      <c r="S33" s="166" t="str">
        <f t="shared" si="7"/>
        <v>Sell</v>
      </c>
      <c r="T33" s="173" t="s">
        <v>211</v>
      </c>
      <c r="U33" s="174">
        <f t="shared" ref="U33:W34" si="8">U29</f>
        <v>95</v>
      </c>
      <c r="V33" s="175">
        <f t="shared" si="8"/>
        <v>0.89999999999999991</v>
      </c>
      <c r="W33" s="174">
        <f t="shared" si="8"/>
        <v>84.644999999999982</v>
      </c>
      <c r="X33" s="153" t="s">
        <v>34</v>
      </c>
      <c r="Y33" s="182">
        <f>Y29</f>
        <v>-5.355000000000004</v>
      </c>
      <c r="Z33" s="183">
        <f>Z29</f>
        <v>-5.9500000000000053E-2</v>
      </c>
      <c r="AA33" s="41"/>
      <c r="AB33" s="126"/>
      <c r="AC33" s="43"/>
      <c r="AD33" s="128"/>
      <c r="AE33" s="128"/>
      <c r="AF33" s="129"/>
      <c r="AG33" s="170"/>
      <c r="AH33" s="126"/>
      <c r="AI33" s="43"/>
      <c r="AJ33" s="128"/>
      <c r="AK33" s="128"/>
      <c r="AL33" s="129"/>
      <c r="AN33" s="127"/>
      <c r="AO33" s="144"/>
      <c r="AP33" s="144"/>
      <c r="AQ33" s="144"/>
      <c r="AR33" s="144"/>
      <c r="AT33" s="39"/>
      <c r="AU33" s="39"/>
      <c r="AV33" s="39"/>
      <c r="AW33" s="39"/>
    </row>
    <row r="34" spans="1:49" s="35" customFormat="1" ht="12.75" x14ac:dyDescent="0.2">
      <c r="A34" s="47"/>
      <c r="B34" s="40"/>
      <c r="C34" s="55"/>
      <c r="D34" s="129"/>
      <c r="E34" s="125"/>
      <c r="F34" s="125"/>
      <c r="G34" s="125"/>
      <c r="H34" s="125"/>
      <c r="J34" s="166"/>
      <c r="K34" s="166"/>
      <c r="L34" s="167"/>
      <c r="M34" s="167"/>
      <c r="N34" s="168"/>
      <c r="O34" s="169"/>
      <c r="P34" s="169"/>
      <c r="R34" s="47" t="str">
        <f t="shared" si="7"/>
        <v>SellA</v>
      </c>
      <c r="S34" s="47" t="str">
        <f t="shared" si="7"/>
        <v>Sell</v>
      </c>
      <c r="T34" s="132" t="s">
        <v>221</v>
      </c>
      <c r="U34" s="126">
        <f t="shared" si="8"/>
        <v>110</v>
      </c>
      <c r="V34" s="43">
        <f t="shared" si="8"/>
        <v>1.5</v>
      </c>
      <c r="W34" s="126">
        <f t="shared" si="8"/>
        <v>163.35</v>
      </c>
      <c r="X34" s="153" t="s">
        <v>34</v>
      </c>
      <c r="Y34" s="127">
        <f>Y30</f>
        <v>13.349999999999994</v>
      </c>
      <c r="Z34" s="151">
        <f>Z30</f>
        <v>8.8999999999999968E-2</v>
      </c>
      <c r="AA34" s="41"/>
      <c r="AB34" s="126"/>
      <c r="AC34" s="43"/>
      <c r="AD34" s="128"/>
      <c r="AE34" s="128"/>
      <c r="AF34" s="129"/>
      <c r="AG34" s="170"/>
      <c r="AH34" s="126"/>
      <c r="AI34" s="43"/>
      <c r="AJ34" s="128"/>
      <c r="AK34" s="128"/>
      <c r="AL34" s="129"/>
      <c r="AN34" s="127"/>
      <c r="AO34" s="144"/>
      <c r="AP34" s="144"/>
      <c r="AQ34" s="144"/>
      <c r="AR34" s="144"/>
      <c r="AT34" s="39"/>
      <c r="AU34" s="39"/>
      <c r="AV34" s="39"/>
      <c r="AW34" s="39"/>
    </row>
    <row r="35" spans="1:49" s="35" customFormat="1" ht="12.75" x14ac:dyDescent="0.2">
      <c r="A35" s="47"/>
      <c r="B35" s="40"/>
      <c r="C35" s="55"/>
      <c r="D35" s="129"/>
      <c r="E35" s="125"/>
      <c r="F35" s="125"/>
      <c r="G35" s="125"/>
      <c r="H35" s="125"/>
      <c r="J35" s="166"/>
      <c r="K35" s="166"/>
      <c r="L35" s="167"/>
      <c r="M35" s="167"/>
      <c r="N35" s="168"/>
      <c r="O35" s="169"/>
      <c r="P35" s="169"/>
      <c r="R35" s="47" t="str">
        <f>R27</f>
        <v>BuyA</v>
      </c>
      <c r="S35" s="47" t="str">
        <f>S27</f>
        <v>Buy</v>
      </c>
      <c r="T35" s="132" t="s">
        <v>78</v>
      </c>
      <c r="U35" s="126">
        <f>U27</f>
        <v>100</v>
      </c>
      <c r="V35" s="43">
        <f>V27</f>
        <v>6</v>
      </c>
      <c r="W35" s="126">
        <f>W27</f>
        <v>600</v>
      </c>
      <c r="X35" s="181">
        <f>X27</f>
        <v>98</v>
      </c>
      <c r="Y35" s="153" t="s">
        <v>34</v>
      </c>
      <c r="Z35" s="153" t="s">
        <v>34</v>
      </c>
      <c r="AA35" s="41"/>
      <c r="AB35" s="126"/>
      <c r="AC35" s="43"/>
      <c r="AD35" s="128"/>
      <c r="AE35" s="128"/>
      <c r="AF35" s="129"/>
      <c r="AG35" s="170"/>
      <c r="AH35" s="126"/>
      <c r="AI35" s="43"/>
      <c r="AJ35" s="128"/>
      <c r="AK35" s="128"/>
      <c r="AL35" s="129"/>
      <c r="AN35" s="127"/>
      <c r="AO35" s="144"/>
      <c r="AP35" s="144"/>
      <c r="AQ35" s="144"/>
      <c r="AR35" s="144"/>
      <c r="AT35" s="39"/>
      <c r="AU35" s="39"/>
      <c r="AV35" s="39"/>
      <c r="AW35" s="39"/>
    </row>
    <row r="36" spans="1:49" ht="12.75" x14ac:dyDescent="0.2">
      <c r="A36" s="150"/>
      <c r="B36" s="33"/>
      <c r="C36" s="67"/>
      <c r="D36" s="124"/>
      <c r="E36" s="95"/>
      <c r="F36" s="95"/>
      <c r="G36" s="95"/>
      <c r="H36" s="95"/>
      <c r="L36" s="93"/>
      <c r="M36" s="93"/>
      <c r="N36" s="124"/>
      <c r="O36" s="95"/>
      <c r="P36" s="95"/>
      <c r="R36" s="12"/>
      <c r="S36" s="12"/>
      <c r="T36" s="12"/>
      <c r="U36" s="137"/>
      <c r="V36" s="138"/>
      <c r="W36" s="137"/>
      <c r="X36" s="137"/>
      <c r="Y36" s="12"/>
      <c r="Z36" s="12"/>
      <c r="AA36" s="12"/>
      <c r="AB36" s="139"/>
      <c r="AC36" s="139"/>
      <c r="AD36" s="139"/>
      <c r="AE36" s="139"/>
      <c r="AF36" s="140"/>
      <c r="AG36" s="140"/>
      <c r="AH36" s="139"/>
      <c r="AI36" s="139"/>
      <c r="AJ36" s="139"/>
      <c r="AK36" s="139"/>
      <c r="AL36" s="140"/>
      <c r="AN36" s="139"/>
      <c r="AO36" s="139"/>
      <c r="AP36" s="139"/>
      <c r="AQ36" s="139"/>
      <c r="AR36" s="140"/>
    </row>
    <row r="37" spans="1:49" ht="12.75" x14ac:dyDescent="0.2">
      <c r="A37" s="150"/>
      <c r="B37" s="33"/>
      <c r="C37" s="67"/>
      <c r="D37" s="124"/>
      <c r="E37" s="95"/>
      <c r="F37" s="95"/>
      <c r="G37" s="95"/>
      <c r="H37" s="95"/>
      <c r="L37" s="93"/>
      <c r="M37" s="93"/>
      <c r="N37" s="124"/>
      <c r="O37" s="95"/>
      <c r="P37" s="95"/>
      <c r="R37" s="12"/>
      <c r="S37" s="12"/>
      <c r="T37" s="12"/>
      <c r="U37" s="137"/>
      <c r="V37" s="138"/>
      <c r="W37" s="137"/>
      <c r="X37" s="137"/>
      <c r="Y37" s="12"/>
      <c r="Z37" s="12"/>
      <c r="AA37" s="12"/>
      <c r="AB37" s="139"/>
      <c r="AC37" s="139"/>
      <c r="AD37" s="139"/>
      <c r="AE37" s="139"/>
      <c r="AF37" s="140"/>
      <c r="AG37" s="140"/>
      <c r="AH37" s="139"/>
      <c r="AI37" s="139"/>
      <c r="AJ37" s="139"/>
      <c r="AK37" s="139"/>
      <c r="AL37" s="140"/>
      <c r="AN37" s="139"/>
      <c r="AO37" s="139"/>
      <c r="AP37" s="139"/>
      <c r="AQ37" s="139"/>
      <c r="AR37" s="140"/>
    </row>
    <row r="38" spans="1:49" ht="25.5" x14ac:dyDescent="0.2">
      <c r="A38" s="202" t="s">
        <v>235</v>
      </c>
      <c r="B38" s="33"/>
      <c r="C38" s="67"/>
      <c r="D38" s="124"/>
      <c r="E38" s="95"/>
      <c r="F38" s="95"/>
      <c r="G38" s="95"/>
      <c r="H38" s="95"/>
      <c r="L38" s="93"/>
      <c r="M38" s="93"/>
      <c r="N38" s="124"/>
      <c r="O38" s="95"/>
      <c r="P38" s="95"/>
      <c r="R38" s="12"/>
      <c r="S38" s="12"/>
      <c r="T38" s="12"/>
      <c r="U38" s="137"/>
      <c r="V38" s="138"/>
      <c r="W38" s="137"/>
      <c r="X38" s="137"/>
      <c r="Y38" s="12"/>
      <c r="Z38" s="12"/>
      <c r="AA38" s="12"/>
      <c r="AB38" s="139"/>
      <c r="AC38" s="139"/>
      <c r="AD38" s="139"/>
      <c r="AE38" s="139"/>
      <c r="AF38" s="140"/>
      <c r="AG38" s="140"/>
      <c r="AH38" s="139"/>
      <c r="AI38" s="139"/>
      <c r="AJ38" s="139"/>
      <c r="AK38" s="139"/>
      <c r="AL38" s="140"/>
      <c r="AN38" s="139"/>
      <c r="AO38" s="139"/>
      <c r="AP38" s="139"/>
      <c r="AQ38" s="139"/>
      <c r="AR38" s="140"/>
    </row>
    <row r="39" spans="1:49" ht="12.75" x14ac:dyDescent="0.2">
      <c r="B39" s="45" t="s">
        <v>204</v>
      </c>
      <c r="C39" s="109"/>
      <c r="J39" s="45" t="s">
        <v>202</v>
      </c>
      <c r="R39" s="45" t="s">
        <v>228</v>
      </c>
      <c r="T39" s="12"/>
      <c r="U39" s="12"/>
      <c r="V39" s="12"/>
      <c r="W39" s="12"/>
      <c r="X39" s="12"/>
      <c r="Y39" s="12"/>
      <c r="Z39" s="12"/>
      <c r="AA39" s="12"/>
      <c r="AB39" s="130" t="s">
        <v>205</v>
      </c>
      <c r="AC39" s="46"/>
      <c r="AD39" s="46"/>
      <c r="AE39" s="46"/>
      <c r="AF39" s="46"/>
      <c r="AG39" s="46"/>
      <c r="AH39" s="130" t="s">
        <v>207</v>
      </c>
      <c r="AI39" s="46"/>
      <c r="AJ39" s="46"/>
      <c r="AK39" s="46"/>
      <c r="AL39" s="46"/>
      <c r="AM39" s="45"/>
      <c r="AN39" s="130" t="s">
        <v>208</v>
      </c>
      <c r="AO39" s="12"/>
      <c r="AP39" s="12"/>
      <c r="AQ39" s="12"/>
      <c r="AR39" s="12"/>
      <c r="AT39" s="130" t="s">
        <v>206</v>
      </c>
    </row>
    <row r="40" spans="1:49" ht="12.75" x14ac:dyDescent="0.2">
      <c r="A40" s="150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57"/>
      <c r="I40" s="101"/>
      <c r="J40" s="28" t="s">
        <v>76</v>
      </c>
      <c r="K40" s="28" t="s">
        <v>4</v>
      </c>
      <c r="L40" s="57" t="s">
        <v>0</v>
      </c>
      <c r="M40" s="57" t="s">
        <v>1</v>
      </c>
      <c r="N40" s="28" t="s">
        <v>191</v>
      </c>
      <c r="O40" s="28" t="s">
        <v>192</v>
      </c>
      <c r="P40" s="28" t="s">
        <v>193</v>
      </c>
      <c r="R40" s="28" t="s">
        <v>234</v>
      </c>
      <c r="S40" s="28" t="s">
        <v>0</v>
      </c>
      <c r="T40" s="28" t="s">
        <v>231</v>
      </c>
      <c r="U40" s="57" t="s">
        <v>232</v>
      </c>
      <c r="V40" s="28" t="s">
        <v>230</v>
      </c>
      <c r="W40" s="57" t="s">
        <v>233</v>
      </c>
      <c r="X40" s="57"/>
      <c r="Y40" s="57"/>
      <c r="Z40" s="28"/>
      <c r="AA40" s="12"/>
      <c r="AB40" s="28" t="s">
        <v>0</v>
      </c>
      <c r="AC40" s="28" t="s">
        <v>196</v>
      </c>
      <c r="AD40" s="57" t="s">
        <v>1</v>
      </c>
      <c r="AE40" s="57" t="s">
        <v>197</v>
      </c>
      <c r="AF40" s="57" t="s">
        <v>233</v>
      </c>
      <c r="AG40" s="60"/>
      <c r="AH40" s="28" t="s">
        <v>0</v>
      </c>
      <c r="AI40" s="28" t="s">
        <v>196</v>
      </c>
      <c r="AJ40" s="57" t="s">
        <v>1</v>
      </c>
      <c r="AK40" s="57" t="s">
        <v>197</v>
      </c>
      <c r="AL40" s="57" t="s">
        <v>233</v>
      </c>
      <c r="AN40" s="28" t="s">
        <v>0</v>
      </c>
      <c r="AO40" s="28" t="s">
        <v>196</v>
      </c>
      <c r="AP40" s="57" t="s">
        <v>1</v>
      </c>
      <c r="AQ40" s="57" t="s">
        <v>197</v>
      </c>
      <c r="AR40" s="57" t="s">
        <v>233</v>
      </c>
      <c r="AT40" s="57" t="s">
        <v>199</v>
      </c>
      <c r="AU40" s="28" t="s">
        <v>191</v>
      </c>
      <c r="AV40" s="28" t="s">
        <v>192</v>
      </c>
      <c r="AW40" s="28" t="s">
        <v>193</v>
      </c>
    </row>
    <row r="41" spans="1:49" ht="12.75" x14ac:dyDescent="0.2">
      <c r="A41" s="150" t="s">
        <v>216</v>
      </c>
      <c r="B41" s="52">
        <v>100</v>
      </c>
      <c r="C41" s="54">
        <v>0.02</v>
      </c>
      <c r="D41" s="124">
        <v>0.04</v>
      </c>
      <c r="E41" s="95">
        <v>0.08</v>
      </c>
      <c r="F41" s="95">
        <v>0.16</v>
      </c>
      <c r="G41" s="95">
        <v>5.0000000000000001E-3</v>
      </c>
      <c r="H41" s="95"/>
      <c r="I41" s="95"/>
      <c r="J41" s="133" t="s">
        <v>75</v>
      </c>
      <c r="K41" s="133" t="s">
        <v>78</v>
      </c>
      <c r="L41" s="52">
        <v>100</v>
      </c>
      <c r="M41" s="52">
        <v>600</v>
      </c>
      <c r="N41" s="124">
        <v>0.5</v>
      </c>
      <c r="O41" s="95">
        <v>0.3</v>
      </c>
      <c r="P41" s="95">
        <v>0.2</v>
      </c>
      <c r="R41" s="45" t="s">
        <v>229</v>
      </c>
      <c r="S41" s="187">
        <f>L41</f>
        <v>100</v>
      </c>
      <c r="T41" s="152" t="s">
        <v>34</v>
      </c>
      <c r="U41" s="152" t="s">
        <v>34</v>
      </c>
      <c r="V41" s="188">
        <v>0</v>
      </c>
      <c r="W41" s="197">
        <f>AF41</f>
        <v>-4.3269230769230817E-2</v>
      </c>
      <c r="X41" s="122"/>
      <c r="Y41" s="152"/>
      <c r="Z41" s="152"/>
      <c r="AA41" s="12"/>
      <c r="AB41" s="122">
        <f>L41</f>
        <v>100</v>
      </c>
      <c r="AC41" s="30">
        <f>M41/L41*N41</f>
        <v>3</v>
      </c>
      <c r="AD41" s="123">
        <f>M41*N41</f>
        <v>300</v>
      </c>
      <c r="AE41" s="123">
        <f>AB41 * (1 + D41) / (1 - G41)</f>
        <v>104.52261306532664</v>
      </c>
      <c r="AF41" s="124">
        <f>(B41 - AE41) / AE41</f>
        <v>-4.3269230769230817E-2</v>
      </c>
      <c r="AG41" s="30"/>
      <c r="AH41" s="122">
        <f>S41</f>
        <v>100</v>
      </c>
      <c r="AI41" s="30">
        <f>M41/L41*O41</f>
        <v>1.7999999999999998</v>
      </c>
      <c r="AJ41" s="123">
        <f>M41*N41</f>
        <v>300</v>
      </c>
      <c r="AK41" s="123">
        <f>AH41 * (1 + E41) / (1 - G41)</f>
        <v>108.5427135678392</v>
      </c>
      <c r="AL41" s="124">
        <f>(B41 - AK41) / AK41</f>
        <v>-7.8703703703703748E-2</v>
      </c>
      <c r="AN41" s="122">
        <f>L41</f>
        <v>100</v>
      </c>
      <c r="AO41" s="30">
        <f>M41/L41*P41</f>
        <v>1.2000000000000002</v>
      </c>
      <c r="AP41" s="123">
        <f>M41*P41</f>
        <v>120</v>
      </c>
      <c r="AQ41" s="123">
        <f>AN41 * (1 + F41) / (1 - G41)</f>
        <v>116.58291457286431</v>
      </c>
      <c r="AR41" s="124">
        <f>(B41 - AQ41) / AQ41</f>
        <v>-0.14224137931034475</v>
      </c>
      <c r="AT41" s="32">
        <f>AC41+AI41+AO41</f>
        <v>6</v>
      </c>
      <c r="AU41" s="32">
        <f>AC41</f>
        <v>3</v>
      </c>
      <c r="AV41" s="32">
        <f>AI41</f>
        <v>1.7999999999999998</v>
      </c>
      <c r="AW41" s="32">
        <f>AO41</f>
        <v>1.2000000000000002</v>
      </c>
    </row>
    <row r="42" spans="1:49" ht="12.75" x14ac:dyDescent="0.2">
      <c r="A42" s="189" t="s">
        <v>238</v>
      </c>
      <c r="B42" s="40">
        <v>104</v>
      </c>
      <c r="C42" s="55">
        <v>0.02</v>
      </c>
      <c r="D42" s="129">
        <v>0.04</v>
      </c>
      <c r="E42" s="125">
        <v>0.08</v>
      </c>
      <c r="F42" s="125">
        <v>0.16</v>
      </c>
      <c r="G42" s="125">
        <v>5.0000000000000001E-3</v>
      </c>
      <c r="H42" s="125"/>
      <c r="I42" s="125"/>
      <c r="J42" s="134"/>
      <c r="K42" s="134"/>
      <c r="L42" s="40"/>
      <c r="M42" s="40"/>
      <c r="N42" s="129"/>
      <c r="O42" s="125"/>
      <c r="P42" s="125"/>
      <c r="Q42" s="35"/>
      <c r="R42" s="47" t="s">
        <v>229</v>
      </c>
      <c r="S42" s="190">
        <f>B42</f>
        <v>104</v>
      </c>
      <c r="T42" s="153" t="s">
        <v>34</v>
      </c>
      <c r="U42" s="153" t="s">
        <v>34</v>
      </c>
      <c r="V42" s="191">
        <v>0</v>
      </c>
      <c r="W42" s="196">
        <f>AF42</f>
        <v>-5.0000000000000469E-3</v>
      </c>
      <c r="X42" s="126"/>
      <c r="Y42" s="153"/>
      <c r="Z42" s="153"/>
      <c r="AA42" s="41"/>
      <c r="AB42" s="126">
        <f t="shared" ref="AB42:AD45" si="9">AB41</f>
        <v>100</v>
      </c>
      <c r="AC42" s="43">
        <f t="shared" si="9"/>
        <v>3</v>
      </c>
      <c r="AD42" s="128">
        <f t="shared" si="9"/>
        <v>300</v>
      </c>
      <c r="AE42" s="128">
        <f>AB42 * (1 + D42) / (1 - G42)</f>
        <v>104.52261306532664</v>
      </c>
      <c r="AF42" s="195">
        <f>(B42 - AE42) / AE42</f>
        <v>-5.0000000000000469E-3</v>
      </c>
      <c r="AG42" s="43"/>
      <c r="AH42" s="126">
        <f t="shared" ref="AH42:AJ45" si="10">AH41</f>
        <v>100</v>
      </c>
      <c r="AI42" s="43">
        <f t="shared" si="10"/>
        <v>1.7999999999999998</v>
      </c>
      <c r="AJ42" s="128">
        <f t="shared" si="10"/>
        <v>300</v>
      </c>
      <c r="AK42" s="128">
        <f>AH42 * (1 + E42) / (1 - G42)</f>
        <v>108.5427135678392</v>
      </c>
      <c r="AL42" s="129">
        <f>(B42 - AK42) / AK42</f>
        <v>-4.185185185185189E-2</v>
      </c>
      <c r="AM42" s="35"/>
      <c r="AN42" s="126">
        <f t="shared" ref="AN42:AP45" si="11">AN41</f>
        <v>100</v>
      </c>
      <c r="AO42" s="43">
        <f t="shared" si="11"/>
        <v>1.2000000000000002</v>
      </c>
      <c r="AP42" s="128">
        <f t="shared" si="11"/>
        <v>120</v>
      </c>
      <c r="AQ42" s="128">
        <f>AN42 * (1 + F42) / (1 - G42)</f>
        <v>116.58291457286431</v>
      </c>
      <c r="AR42" s="129">
        <f>(B42 - AQ42) / AQ42</f>
        <v>-0.10793103448275854</v>
      </c>
      <c r="AS42" s="35"/>
      <c r="AT42" s="39">
        <f>AC42+AI42+AO42</f>
        <v>6</v>
      </c>
      <c r="AU42" s="39">
        <f>AC42</f>
        <v>3</v>
      </c>
      <c r="AV42" s="39">
        <f>AI42</f>
        <v>1.7999999999999998</v>
      </c>
      <c r="AW42" s="39">
        <f>AO42</f>
        <v>1.2000000000000002</v>
      </c>
    </row>
    <row r="43" spans="1:49" ht="12.75" x14ac:dyDescent="0.2">
      <c r="A43" s="150" t="s">
        <v>239</v>
      </c>
      <c r="B43" s="52">
        <v>104.7</v>
      </c>
      <c r="C43" s="54">
        <v>0.02</v>
      </c>
      <c r="D43" s="124">
        <v>0.04</v>
      </c>
      <c r="E43" s="95">
        <v>0.08</v>
      </c>
      <c r="F43" s="95">
        <v>0.16</v>
      </c>
      <c r="G43" s="95">
        <v>5.0000000000000001E-3</v>
      </c>
      <c r="H43" s="95"/>
      <c r="I43" s="95"/>
      <c r="J43" s="133"/>
      <c r="K43" s="133"/>
      <c r="L43" s="52"/>
      <c r="M43" s="52"/>
      <c r="N43" s="124"/>
      <c r="O43" s="95"/>
      <c r="P43" s="95"/>
      <c r="R43" s="45" t="s">
        <v>229</v>
      </c>
      <c r="S43" s="187">
        <f>B43</f>
        <v>104.7</v>
      </c>
      <c r="T43" s="152" t="s">
        <v>34</v>
      </c>
      <c r="U43" s="152" t="s">
        <v>34</v>
      </c>
      <c r="V43" s="188">
        <v>0</v>
      </c>
      <c r="W43" s="192">
        <f>AF43</f>
        <v>1.6971153846153646E-3</v>
      </c>
      <c r="X43" s="122"/>
      <c r="Y43" s="152"/>
      <c r="Z43" s="152"/>
      <c r="AA43" s="12"/>
      <c r="AB43" s="122">
        <f t="shared" si="9"/>
        <v>100</v>
      </c>
      <c r="AC43" s="30">
        <f t="shared" si="9"/>
        <v>3</v>
      </c>
      <c r="AD43" s="157">
        <f t="shared" si="9"/>
        <v>300</v>
      </c>
      <c r="AE43" s="157">
        <f>AB43 * (1 + D43) / (1 - G43)</f>
        <v>104.52261306532664</v>
      </c>
      <c r="AF43" s="193">
        <f>(B43 - AE43) / AE43</f>
        <v>1.6971153846153646E-3</v>
      </c>
      <c r="AG43" s="30"/>
      <c r="AH43" s="122">
        <f t="shared" si="10"/>
        <v>100</v>
      </c>
      <c r="AI43" s="30">
        <f t="shared" si="10"/>
        <v>1.7999999999999998</v>
      </c>
      <c r="AJ43" s="157">
        <f t="shared" si="10"/>
        <v>300</v>
      </c>
      <c r="AK43" s="157">
        <f>AH43 * (1 + E43) / (1 - G43)</f>
        <v>108.5427135678392</v>
      </c>
      <c r="AL43" s="124">
        <f>(B43 - AK43) / AK43</f>
        <v>-3.540277777777779E-2</v>
      </c>
      <c r="AN43" s="122">
        <f t="shared" si="11"/>
        <v>100</v>
      </c>
      <c r="AO43" s="30">
        <f t="shared" si="11"/>
        <v>1.2000000000000002</v>
      </c>
      <c r="AP43" s="157">
        <f t="shared" si="11"/>
        <v>120</v>
      </c>
      <c r="AQ43" s="157">
        <f>AN43 * (1 + F43) / (1 - G43)</f>
        <v>116.58291457286431</v>
      </c>
      <c r="AR43" s="124">
        <f>(B43 - AQ43) / AQ43</f>
        <v>-0.10192672413793093</v>
      </c>
      <c r="AT43" s="32">
        <f>AC43+AI43+AO43</f>
        <v>6</v>
      </c>
      <c r="AU43" s="32">
        <f>AC43</f>
        <v>3</v>
      </c>
      <c r="AV43" s="32">
        <f>AI43</f>
        <v>1.7999999999999998</v>
      </c>
      <c r="AW43" s="32">
        <f>AO43</f>
        <v>1.2000000000000002</v>
      </c>
    </row>
    <row r="44" spans="1:49" ht="12.75" x14ac:dyDescent="0.2">
      <c r="A44" s="189" t="s">
        <v>240</v>
      </c>
      <c r="B44" s="40">
        <v>108.5</v>
      </c>
      <c r="C44" s="55">
        <v>0.02</v>
      </c>
      <c r="D44" s="129">
        <v>0.04</v>
      </c>
      <c r="E44" s="125">
        <v>0.08</v>
      </c>
      <c r="F44" s="125">
        <v>0.16</v>
      </c>
      <c r="G44" s="125">
        <v>5.0000000000000001E-3</v>
      </c>
      <c r="H44" s="125"/>
      <c r="I44" s="125"/>
      <c r="J44" s="134"/>
      <c r="K44" s="134"/>
      <c r="L44" s="40"/>
      <c r="M44" s="40"/>
      <c r="N44" s="129"/>
      <c r="O44" s="125"/>
      <c r="P44" s="125"/>
      <c r="Q44" s="35"/>
      <c r="R44" s="47" t="s">
        <v>229</v>
      </c>
      <c r="S44" s="190">
        <f>B44</f>
        <v>108.5</v>
      </c>
      <c r="T44" s="153" t="s">
        <v>34</v>
      </c>
      <c r="U44" s="153" t="s">
        <v>34</v>
      </c>
      <c r="V44" s="191">
        <v>0</v>
      </c>
      <c r="W44" s="194">
        <f>AF44</f>
        <v>3.8052884615384565E-2</v>
      </c>
      <c r="X44" s="126"/>
      <c r="Y44" s="153"/>
      <c r="Z44" s="153"/>
      <c r="AA44" s="41"/>
      <c r="AB44" s="126">
        <f t="shared" si="9"/>
        <v>100</v>
      </c>
      <c r="AC44" s="43">
        <f t="shared" si="9"/>
        <v>3</v>
      </c>
      <c r="AD44" s="128">
        <f t="shared" si="9"/>
        <v>300</v>
      </c>
      <c r="AE44" s="128">
        <f>AB44 * (1 + D44) / (1 - G44)</f>
        <v>104.52261306532664</v>
      </c>
      <c r="AF44" s="156">
        <f>(B44 - AE44) / AE44</f>
        <v>3.8052884615384565E-2</v>
      </c>
      <c r="AG44" s="43"/>
      <c r="AH44" s="126">
        <f t="shared" si="10"/>
        <v>100</v>
      </c>
      <c r="AI44" s="43">
        <f t="shared" si="10"/>
        <v>1.7999999999999998</v>
      </c>
      <c r="AJ44" s="128">
        <f t="shared" si="10"/>
        <v>300</v>
      </c>
      <c r="AK44" s="128">
        <f>AH44 * (1 + E44) / (1 - G44)</f>
        <v>108.5427135678392</v>
      </c>
      <c r="AL44" s="195">
        <f>(B44 - AK44) / AK44</f>
        <v>-3.9351851851856059E-4</v>
      </c>
      <c r="AM44" s="35"/>
      <c r="AN44" s="126">
        <f t="shared" si="11"/>
        <v>100</v>
      </c>
      <c r="AO44" s="43">
        <f t="shared" si="11"/>
        <v>1.2000000000000002</v>
      </c>
      <c r="AP44" s="128">
        <f t="shared" si="11"/>
        <v>120</v>
      </c>
      <c r="AQ44" s="128">
        <f>AN44 * (1 + F44) / (1 - G44)</f>
        <v>116.58291457286431</v>
      </c>
      <c r="AR44" s="129">
        <f>(B44 - AQ44) / AQ44</f>
        <v>-6.9331896551724059E-2</v>
      </c>
      <c r="AS44" s="35"/>
      <c r="AT44" s="39">
        <f>AC44+AI44+AO44</f>
        <v>6</v>
      </c>
      <c r="AU44" s="39">
        <f>AC44</f>
        <v>3</v>
      </c>
      <c r="AV44" s="39">
        <f>AI44</f>
        <v>1.7999999999999998</v>
      </c>
      <c r="AW44" s="39">
        <f>AO44</f>
        <v>1.2000000000000002</v>
      </c>
    </row>
    <row r="45" spans="1:49" ht="12.75" x14ac:dyDescent="0.2">
      <c r="A45" s="150" t="s">
        <v>220</v>
      </c>
      <c r="B45" s="52">
        <v>108.5</v>
      </c>
      <c r="C45" s="62">
        <v>0.02</v>
      </c>
      <c r="D45" s="124">
        <v>0.04</v>
      </c>
      <c r="E45" s="95">
        <v>0.08</v>
      </c>
      <c r="F45" s="95">
        <v>0.16</v>
      </c>
      <c r="G45" s="95">
        <v>5.0000000000000001E-3</v>
      </c>
      <c r="H45" s="95"/>
      <c r="I45" s="95"/>
      <c r="J45" s="45" t="s">
        <v>73</v>
      </c>
      <c r="K45" s="45" t="s">
        <v>221</v>
      </c>
      <c r="L45" s="52">
        <v>108.5</v>
      </c>
      <c r="M45" s="152" t="s">
        <v>34</v>
      </c>
      <c r="N45" s="124">
        <v>1</v>
      </c>
      <c r="O45" s="152" t="s">
        <v>34</v>
      </c>
      <c r="P45" s="152" t="s">
        <v>34</v>
      </c>
      <c r="R45" s="45" t="s">
        <v>229</v>
      </c>
      <c r="S45" s="187">
        <f>B45</f>
        <v>108.5</v>
      </c>
      <c r="T45" s="152" t="s">
        <v>34</v>
      </c>
      <c r="U45" s="152" t="s">
        <v>34</v>
      </c>
      <c r="V45" s="188">
        <v>0</v>
      </c>
      <c r="W45" s="199">
        <f>AL45</f>
        <v>-3.9351851851856059E-4</v>
      </c>
      <c r="X45" s="122"/>
      <c r="Y45" s="152"/>
      <c r="Z45" s="152"/>
      <c r="AA45" s="12"/>
      <c r="AB45" s="162">
        <f t="shared" si="9"/>
        <v>100</v>
      </c>
      <c r="AC45" s="163">
        <f t="shared" si="9"/>
        <v>3</v>
      </c>
      <c r="AD45" s="200">
        <f t="shared" si="9"/>
        <v>300</v>
      </c>
      <c r="AE45" s="200">
        <f>AB45 * (1 + D45) / (1 - G45)</f>
        <v>104.52261306532664</v>
      </c>
      <c r="AF45" s="201">
        <f>(B45 - AE45) / AE45</f>
        <v>3.8052884615384565E-2</v>
      </c>
      <c r="AG45" s="30"/>
      <c r="AH45" s="122">
        <f t="shared" si="10"/>
        <v>100</v>
      </c>
      <c r="AI45" s="30">
        <f t="shared" si="10"/>
        <v>1.7999999999999998</v>
      </c>
      <c r="AJ45" s="157">
        <f t="shared" si="10"/>
        <v>300</v>
      </c>
      <c r="AK45" s="157">
        <f>AH45 * (1 + E45) / (1 - G45)</f>
        <v>108.5427135678392</v>
      </c>
      <c r="AL45" s="198">
        <f>(B45 - AK45) / AK45</f>
        <v>-3.9351851851856059E-4</v>
      </c>
      <c r="AN45" s="122">
        <f t="shared" si="11"/>
        <v>100</v>
      </c>
      <c r="AO45" s="30">
        <f t="shared" si="11"/>
        <v>1.2000000000000002</v>
      </c>
      <c r="AP45" s="157">
        <f t="shared" si="11"/>
        <v>120</v>
      </c>
      <c r="AQ45" s="157">
        <f>AN45 * (1 + F45) / (1 - G45)</f>
        <v>116.58291457286431</v>
      </c>
      <c r="AR45" s="124">
        <f>(B45 - AQ45) / AQ45</f>
        <v>-6.9331896551724059E-2</v>
      </c>
      <c r="AT45" s="32">
        <f>AU45+AV45+AW45</f>
        <v>3</v>
      </c>
      <c r="AU45" s="32">
        <v>0</v>
      </c>
      <c r="AV45" s="32">
        <f>AI45</f>
        <v>1.7999999999999998</v>
      </c>
      <c r="AW45" s="32">
        <f>AO45</f>
        <v>1.2000000000000002</v>
      </c>
    </row>
    <row r="46" spans="1:49" ht="12.75" x14ac:dyDescent="0.2">
      <c r="A46" s="150"/>
      <c r="B46" s="52"/>
      <c r="C46" s="54"/>
      <c r="D46" s="124"/>
      <c r="E46" s="95"/>
      <c r="F46" s="95"/>
      <c r="G46" s="95"/>
      <c r="H46" s="95"/>
      <c r="I46" s="95"/>
      <c r="J46" s="133" t="s">
        <v>75</v>
      </c>
      <c r="K46" s="133" t="s">
        <v>78</v>
      </c>
      <c r="L46" s="52">
        <v>100</v>
      </c>
      <c r="M46" s="52">
        <v>600</v>
      </c>
      <c r="N46" s="124">
        <v>0.5</v>
      </c>
      <c r="O46" s="95">
        <v>0.3</v>
      </c>
      <c r="P46" s="95">
        <v>0.2</v>
      </c>
      <c r="R46" s="45"/>
      <c r="S46" s="45"/>
      <c r="T46" s="131"/>
      <c r="U46" s="122"/>
      <c r="V46" s="30"/>
      <c r="W46" s="122"/>
      <c r="X46" s="122"/>
      <c r="Y46" s="152"/>
      <c r="Z46" s="152"/>
      <c r="AA46" s="12"/>
      <c r="AB46" s="122"/>
      <c r="AC46" s="30"/>
      <c r="AD46" s="123"/>
      <c r="AE46" s="123"/>
      <c r="AF46" s="124"/>
      <c r="AG46" s="30"/>
      <c r="AH46" s="122"/>
      <c r="AI46" s="30"/>
      <c r="AJ46" s="123"/>
      <c r="AK46" s="123"/>
      <c r="AL46" s="124"/>
      <c r="AN46" s="122"/>
      <c r="AO46" s="30"/>
      <c r="AP46" s="123"/>
      <c r="AQ46" s="123"/>
      <c r="AR46" s="124"/>
      <c r="AT46" s="32"/>
      <c r="AU46" s="32"/>
      <c r="AV46" s="32"/>
      <c r="AW46" s="32"/>
    </row>
    <row r="47" spans="1:49" ht="12.75" x14ac:dyDescent="0.2">
      <c r="A47" s="150"/>
      <c r="B47" s="52"/>
      <c r="C47" s="54"/>
      <c r="D47" s="124"/>
      <c r="E47" s="95"/>
      <c r="F47" s="95"/>
      <c r="G47" s="95"/>
      <c r="H47" s="95"/>
      <c r="I47" s="95"/>
      <c r="J47" s="133"/>
      <c r="K47" s="133"/>
      <c r="L47" s="52"/>
      <c r="M47" s="52"/>
      <c r="N47" s="124"/>
      <c r="O47" s="95"/>
      <c r="P47" s="95"/>
      <c r="R47" s="45"/>
      <c r="S47" s="45"/>
      <c r="T47" s="131"/>
      <c r="U47" s="122"/>
      <c r="V47" s="30"/>
      <c r="W47" s="122"/>
      <c r="X47" s="122"/>
      <c r="Y47" s="152"/>
      <c r="Z47" s="152"/>
      <c r="AA47" s="12"/>
      <c r="AB47" s="122"/>
      <c r="AC47" s="30"/>
      <c r="AD47" s="123"/>
      <c r="AE47" s="123"/>
      <c r="AF47" s="124"/>
      <c r="AG47" s="30"/>
      <c r="AH47" s="122"/>
      <c r="AI47" s="30"/>
      <c r="AJ47" s="123"/>
      <c r="AK47" s="123"/>
      <c r="AL47" s="124"/>
      <c r="AN47" s="122"/>
      <c r="AO47" s="30"/>
      <c r="AP47" s="123"/>
      <c r="AQ47" s="123"/>
      <c r="AR47" s="124"/>
      <c r="AT47" s="32"/>
      <c r="AU47" s="32"/>
      <c r="AV47" s="32"/>
      <c r="AW47" s="32"/>
    </row>
    <row r="48" spans="1:49" ht="12.75" x14ac:dyDescent="0.2">
      <c r="A48" s="215" t="s">
        <v>253</v>
      </c>
      <c r="B48" s="52"/>
      <c r="C48" s="54"/>
      <c r="D48" s="124"/>
      <c r="E48" s="95"/>
      <c r="F48" s="95"/>
      <c r="G48" s="95"/>
      <c r="H48" s="95"/>
      <c r="I48" s="95"/>
      <c r="J48" s="133"/>
      <c r="K48" s="133"/>
      <c r="L48" s="52"/>
      <c r="M48" s="52"/>
      <c r="N48" s="124"/>
      <c r="O48" s="95"/>
      <c r="P48" s="95"/>
      <c r="R48" s="45"/>
      <c r="S48" s="45"/>
      <c r="T48" s="131"/>
      <c r="U48" s="122"/>
      <c r="V48" s="30"/>
      <c r="W48" s="122"/>
      <c r="X48" s="122"/>
      <c r="Y48" s="152"/>
      <c r="Z48" s="152"/>
      <c r="AA48" s="12"/>
      <c r="AB48" s="122"/>
      <c r="AC48" s="30"/>
      <c r="AD48" s="123"/>
      <c r="AE48" s="123"/>
      <c r="AF48" s="124"/>
      <c r="AG48" s="30"/>
      <c r="AH48" s="122"/>
      <c r="AI48" s="30"/>
      <c r="AJ48" s="123"/>
      <c r="AK48" s="123"/>
      <c r="AL48" s="124"/>
      <c r="AN48" s="122"/>
      <c r="AO48" s="30"/>
      <c r="AP48" s="123"/>
      <c r="AQ48" s="123"/>
      <c r="AR48" s="124"/>
      <c r="AT48" s="32"/>
      <c r="AU48" s="32"/>
      <c r="AV48" s="32"/>
      <c r="AW48" s="32"/>
    </row>
    <row r="49" spans="1:54" ht="12.75" x14ac:dyDescent="0.2">
      <c r="A49" s="150"/>
      <c r="B49" s="45" t="s">
        <v>204</v>
      </c>
      <c r="C49" s="109"/>
      <c r="J49" s="45" t="s">
        <v>202</v>
      </c>
      <c r="R49" s="45" t="s">
        <v>203</v>
      </c>
      <c r="T49" s="12"/>
      <c r="U49" s="12"/>
      <c r="V49" s="12"/>
      <c r="W49" s="12"/>
      <c r="X49" s="12"/>
      <c r="Y49" s="12"/>
      <c r="Z49" s="12"/>
      <c r="AA49" s="12"/>
      <c r="AB49" s="130" t="s">
        <v>205</v>
      </c>
      <c r="AC49" s="46"/>
      <c r="AD49" s="46"/>
      <c r="AE49" s="46"/>
      <c r="AF49" s="46"/>
      <c r="AG49" s="46"/>
      <c r="AH49" s="130" t="s">
        <v>207</v>
      </c>
      <c r="AI49" s="46"/>
      <c r="AJ49" s="46"/>
      <c r="AK49" s="46"/>
      <c r="AL49" s="46"/>
      <c r="AM49" s="45"/>
      <c r="AN49" s="130" t="s">
        <v>208</v>
      </c>
      <c r="AO49" s="12"/>
      <c r="AP49" s="12"/>
      <c r="AQ49" s="12"/>
      <c r="AR49" s="12"/>
      <c r="AS49" s="110"/>
      <c r="AT49" s="45" t="s">
        <v>206</v>
      </c>
      <c r="AV49" s="12"/>
      <c r="AW49" s="12"/>
      <c r="AX49" s="12"/>
      <c r="AY49" s="12"/>
      <c r="AZ49" s="12"/>
      <c r="BA49" s="12"/>
      <c r="BB49" s="12"/>
    </row>
    <row r="50" spans="1:54" ht="12.75" x14ac:dyDescent="0.2">
      <c r="A50" s="150"/>
      <c r="B50" s="57" t="s">
        <v>209</v>
      </c>
      <c r="C50" s="28" t="s">
        <v>190</v>
      </c>
      <c r="D50" s="57" t="s">
        <v>191</v>
      </c>
      <c r="E50" s="57" t="s">
        <v>192</v>
      </c>
      <c r="F50" s="28" t="s">
        <v>193</v>
      </c>
      <c r="G50" s="57" t="s">
        <v>112</v>
      </c>
      <c r="H50" s="57" t="s">
        <v>246</v>
      </c>
      <c r="I50" s="101"/>
      <c r="J50" s="28" t="s">
        <v>76</v>
      </c>
      <c r="K50" s="28" t="s">
        <v>4</v>
      </c>
      <c r="L50" s="57" t="s">
        <v>0</v>
      </c>
      <c r="M50" s="57" t="s">
        <v>1</v>
      </c>
      <c r="N50" s="28" t="s">
        <v>191</v>
      </c>
      <c r="O50" s="28" t="s">
        <v>192</v>
      </c>
      <c r="P50" s="28" t="s">
        <v>193</v>
      </c>
      <c r="R50" s="28"/>
      <c r="S50" s="28" t="s">
        <v>76</v>
      </c>
      <c r="T50" s="28" t="s">
        <v>4</v>
      </c>
      <c r="U50" s="57" t="s">
        <v>0</v>
      </c>
      <c r="V50" s="28" t="s">
        <v>62</v>
      </c>
      <c r="W50" s="57" t="s">
        <v>222</v>
      </c>
      <c r="X50" s="57" t="s">
        <v>190</v>
      </c>
      <c r="Y50" s="57" t="s">
        <v>194</v>
      </c>
      <c r="Z50" s="28" t="s">
        <v>195</v>
      </c>
      <c r="AA50" s="12"/>
      <c r="AB50" s="28" t="s">
        <v>0</v>
      </c>
      <c r="AC50" s="28" t="s">
        <v>196</v>
      </c>
      <c r="AD50" s="57" t="s">
        <v>1</v>
      </c>
      <c r="AE50" s="57" t="s">
        <v>197</v>
      </c>
      <c r="AF50" s="57" t="s">
        <v>233</v>
      </c>
      <c r="AG50" s="60"/>
      <c r="AH50" s="28" t="s">
        <v>0</v>
      </c>
      <c r="AI50" s="28" t="s">
        <v>196</v>
      </c>
      <c r="AJ50" s="57" t="s">
        <v>1</v>
      </c>
      <c r="AK50" s="57" t="s">
        <v>197</v>
      </c>
      <c r="AL50" s="57" t="s">
        <v>233</v>
      </c>
      <c r="AN50" s="28" t="s">
        <v>0</v>
      </c>
      <c r="AO50" s="28" t="s">
        <v>196</v>
      </c>
      <c r="AP50" s="57" t="s">
        <v>1</v>
      </c>
      <c r="AQ50" s="57" t="s">
        <v>197</v>
      </c>
      <c r="AR50" s="57" t="s">
        <v>233</v>
      </c>
      <c r="AT50" s="57" t="s">
        <v>79</v>
      </c>
      <c r="AU50" s="57" t="s">
        <v>244</v>
      </c>
      <c r="AV50" s="57" t="s">
        <v>243</v>
      </c>
      <c r="AW50" s="57" t="s">
        <v>254</v>
      </c>
      <c r="AX50" s="57" t="s">
        <v>245</v>
      </c>
      <c r="AY50" s="57"/>
      <c r="AZ50" s="57"/>
      <c r="BA50" s="57"/>
      <c r="BB50" s="28"/>
    </row>
    <row r="51" spans="1:54" ht="12.75" x14ac:dyDescent="0.2">
      <c r="A51" s="150" t="s">
        <v>216</v>
      </c>
      <c r="B51" s="52">
        <v>100</v>
      </c>
      <c r="C51" s="54">
        <v>0.02</v>
      </c>
      <c r="D51" s="124">
        <v>0.04</v>
      </c>
      <c r="E51" s="95">
        <v>0.08</v>
      </c>
      <c r="F51" s="95">
        <v>0.16</v>
      </c>
      <c r="G51" s="95">
        <v>5.0000000000000001E-3</v>
      </c>
      <c r="H51" s="63">
        <v>1200</v>
      </c>
      <c r="I51" s="95"/>
      <c r="J51" s="133" t="s">
        <v>75</v>
      </c>
      <c r="K51" s="133" t="s">
        <v>78</v>
      </c>
      <c r="L51" s="52">
        <v>100</v>
      </c>
      <c r="M51" s="52">
        <v>600</v>
      </c>
      <c r="N51" s="124">
        <v>0.5</v>
      </c>
      <c r="O51" s="95">
        <v>0.3</v>
      </c>
      <c r="P51" s="95">
        <v>0.2</v>
      </c>
      <c r="R51" s="45" t="s">
        <v>216</v>
      </c>
      <c r="S51" s="45" t="s">
        <v>75</v>
      </c>
      <c r="T51" s="131" t="s">
        <v>78</v>
      </c>
      <c r="U51" s="122">
        <f>L51</f>
        <v>100</v>
      </c>
      <c r="V51" s="30">
        <f>W51/U51</f>
        <v>6</v>
      </c>
      <c r="W51" s="122">
        <f>M51</f>
        <v>600</v>
      </c>
      <c r="X51" s="122">
        <f>U51 * (1 - ABS(C51))</f>
        <v>98</v>
      </c>
      <c r="Y51" s="152" t="s">
        <v>34</v>
      </c>
      <c r="Z51" s="152" t="s">
        <v>34</v>
      </c>
      <c r="AA51" s="12"/>
      <c r="AB51" s="122">
        <f>L51</f>
        <v>100</v>
      </c>
      <c r="AC51" s="30">
        <f>M51/L51*N51</f>
        <v>3</v>
      </c>
      <c r="AD51" s="123">
        <f>M51*N51</f>
        <v>300</v>
      </c>
      <c r="AE51" s="123">
        <f>B51 * (1 + D51) / (1 - G51)</f>
        <v>104.52261306532664</v>
      </c>
      <c r="AF51" s="124">
        <f>(B51 - AE51) / AE51</f>
        <v>-4.3269230769230817E-2</v>
      </c>
      <c r="AG51" s="30"/>
      <c r="AH51" s="122">
        <f>U51</f>
        <v>100</v>
      </c>
      <c r="AI51" s="30">
        <f>M51/L51*O51</f>
        <v>1.7999999999999998</v>
      </c>
      <c r="AJ51" s="123">
        <f>M51*O51</f>
        <v>180</v>
      </c>
      <c r="AK51" s="123">
        <f>AH51 * (1 + E51) / (1 - G51)</f>
        <v>108.5427135678392</v>
      </c>
      <c r="AL51" s="124">
        <f>(B51 - AK51) / AK51</f>
        <v>-7.8703703703703748E-2</v>
      </c>
      <c r="AN51" s="122">
        <f>L51</f>
        <v>100</v>
      </c>
      <c r="AO51" s="30">
        <f>M51/L51*P51</f>
        <v>1.2000000000000002</v>
      </c>
      <c r="AP51" s="123">
        <f>M51*P51</f>
        <v>120</v>
      </c>
      <c r="AQ51" s="123">
        <f>AN51 * (1 + F51) / (1 - G51)</f>
        <v>116.58291457286431</v>
      </c>
      <c r="AR51" s="124">
        <f>(B51 - AQ51) / AQ51</f>
        <v>-0.14224137931034475</v>
      </c>
      <c r="AT51" s="203">
        <f>W51</f>
        <v>600</v>
      </c>
      <c r="AU51" s="63">
        <v>0</v>
      </c>
      <c r="AV51" s="122">
        <f>V51*B51</f>
        <v>600</v>
      </c>
      <c r="AW51" s="204">
        <f>(AU51+AV51-AT51)/AT51</f>
        <v>0</v>
      </c>
      <c r="AX51" s="63">
        <f>H51-AT51+AU51</f>
        <v>600</v>
      </c>
      <c r="AY51" s="122"/>
      <c r="AZ51" s="122"/>
      <c r="BA51" s="152"/>
      <c r="BB51" s="152"/>
    </row>
    <row r="52" spans="1:54" ht="12.75" x14ac:dyDescent="0.2">
      <c r="A52" s="189" t="s">
        <v>220</v>
      </c>
      <c r="B52" s="40">
        <v>90</v>
      </c>
      <c r="C52" s="55">
        <v>0.02</v>
      </c>
      <c r="D52" s="129">
        <v>0.04</v>
      </c>
      <c r="E52" s="125">
        <v>0.08</v>
      </c>
      <c r="F52" s="125">
        <v>0.16</v>
      </c>
      <c r="G52" s="125">
        <v>5.0000000000000001E-3</v>
      </c>
      <c r="H52" s="65">
        <v>1200</v>
      </c>
      <c r="I52" s="125"/>
      <c r="J52" s="134" t="s">
        <v>73</v>
      </c>
      <c r="K52" s="134" t="s">
        <v>80</v>
      </c>
      <c r="L52" s="40">
        <f>B52</f>
        <v>90</v>
      </c>
      <c r="M52" s="153"/>
      <c r="N52" s="129">
        <v>0.5</v>
      </c>
      <c r="O52" s="153"/>
      <c r="P52" s="153"/>
      <c r="Q52" s="35"/>
      <c r="R52" s="205" t="s">
        <v>220</v>
      </c>
      <c r="S52" s="47" t="s">
        <v>73</v>
      </c>
      <c r="T52" s="47" t="s">
        <v>80</v>
      </c>
      <c r="U52" s="126">
        <f>L52</f>
        <v>90</v>
      </c>
      <c r="V52" s="43">
        <f>AC51*N52</f>
        <v>1.5</v>
      </c>
      <c r="W52" s="126">
        <f>U52*V52-(U52*V52*G52)</f>
        <v>134.32499999999999</v>
      </c>
      <c r="X52" s="153" t="s">
        <v>34</v>
      </c>
      <c r="Y52" s="153">
        <f>W52-(U51*V52)</f>
        <v>-15.675000000000011</v>
      </c>
      <c r="Z52" s="206">
        <f>Y52/(U51*V52)</f>
        <v>-0.10450000000000008</v>
      </c>
      <c r="AA52" s="41"/>
      <c r="AB52" s="65">
        <f>AB51</f>
        <v>100</v>
      </c>
      <c r="AC52" s="39">
        <f>AC51-V52</f>
        <v>1.5</v>
      </c>
      <c r="AD52" s="65">
        <f>AD51*N52</f>
        <v>150</v>
      </c>
      <c r="AE52" s="128">
        <f>AB52 * (1 + D52) / (1 - G52)</f>
        <v>104.52261306532664</v>
      </c>
      <c r="AF52" s="129">
        <f>(B52 - AE52) / AE52</f>
        <v>-0.13894230769230773</v>
      </c>
      <c r="AG52" s="35"/>
      <c r="AH52" s="207">
        <f t="shared" ref="AH52:AJ53" si="12">AH51</f>
        <v>100</v>
      </c>
      <c r="AI52" s="39">
        <f t="shared" si="12"/>
        <v>1.7999999999999998</v>
      </c>
      <c r="AJ52" s="65">
        <f t="shared" si="12"/>
        <v>180</v>
      </c>
      <c r="AK52" s="128">
        <f>AH52 * (1 + E52) / (1 - G52)</f>
        <v>108.5427135678392</v>
      </c>
      <c r="AL52" s="129">
        <f>(B52 - AK52) / AK52</f>
        <v>-0.17083333333333336</v>
      </c>
      <c r="AM52" s="35"/>
      <c r="AN52" s="65">
        <f t="shared" ref="AN52:AP53" si="13">AN51</f>
        <v>100</v>
      </c>
      <c r="AO52" s="39">
        <f t="shared" si="13"/>
        <v>1.2000000000000002</v>
      </c>
      <c r="AP52" s="65">
        <f t="shared" si="13"/>
        <v>120</v>
      </c>
      <c r="AQ52" s="128">
        <f>AN52 * (1 + F52) / (1 - G52)</f>
        <v>116.58291457286431</v>
      </c>
      <c r="AR52" s="129">
        <f>(B52 - AQ52) / AQ52</f>
        <v>-0.22801724137931029</v>
      </c>
      <c r="AS52" s="35"/>
      <c r="AT52" s="208">
        <f>AT51</f>
        <v>600</v>
      </c>
      <c r="AU52" s="65">
        <f>AU51+W52</f>
        <v>134.32499999999999</v>
      </c>
      <c r="AV52" s="126">
        <f>(AC52+AI52+AO52)*B52</f>
        <v>405</v>
      </c>
      <c r="AW52" s="209">
        <f>(AU52+AV52-AT52)/AT52</f>
        <v>-0.10112499999999992</v>
      </c>
      <c r="AX52" s="65">
        <f>H52-AT52+AU52</f>
        <v>734.32500000000005</v>
      </c>
      <c r="AY52" s="122"/>
      <c r="AZ52" s="122"/>
      <c r="BA52" s="152"/>
      <c r="BB52" s="152"/>
    </row>
    <row r="53" spans="1:54" ht="12.75" x14ac:dyDescent="0.2">
      <c r="A53" s="150" t="s">
        <v>223</v>
      </c>
      <c r="B53" s="52">
        <v>120</v>
      </c>
      <c r="C53" s="54">
        <v>0.02</v>
      </c>
      <c r="D53" s="124">
        <v>0.04</v>
      </c>
      <c r="E53" s="95">
        <v>0.08</v>
      </c>
      <c r="F53" s="95">
        <v>0.16</v>
      </c>
      <c r="G53" s="95">
        <v>5.0000000000000001E-3</v>
      </c>
      <c r="H53" s="63">
        <v>1200</v>
      </c>
      <c r="I53" s="95"/>
      <c r="J53" s="133" t="s">
        <v>73</v>
      </c>
      <c r="K53" s="133" t="s">
        <v>221</v>
      </c>
      <c r="L53" s="52">
        <v>120</v>
      </c>
      <c r="M53" s="52"/>
      <c r="N53" s="124">
        <v>1</v>
      </c>
      <c r="O53" s="95"/>
      <c r="P53" s="95"/>
      <c r="R53" s="45" t="s">
        <v>223</v>
      </c>
      <c r="S53" s="45" t="s">
        <v>73</v>
      </c>
      <c r="T53" s="130" t="s">
        <v>221</v>
      </c>
      <c r="U53" s="122">
        <f>L53</f>
        <v>120</v>
      </c>
      <c r="V53" s="30">
        <f>AC52+(AI52*O53)</f>
        <v>1.5</v>
      </c>
      <c r="W53" s="122">
        <f>U53*V53-(U53*V53*G53)</f>
        <v>179.1</v>
      </c>
      <c r="X53" s="152" t="s">
        <v>34</v>
      </c>
      <c r="Y53" s="152">
        <f>W53-(U51*V53)</f>
        <v>29.099999999999994</v>
      </c>
      <c r="Z53" s="161">
        <f>Y53/(U51*V53)</f>
        <v>0.19399999999999995</v>
      </c>
      <c r="AA53" s="12"/>
      <c r="AB53" s="152"/>
      <c r="AC53" s="152"/>
      <c r="AD53" s="152"/>
      <c r="AE53" s="152"/>
      <c r="AF53" s="152"/>
      <c r="AH53" s="212">
        <f t="shared" si="12"/>
        <v>100</v>
      </c>
      <c r="AI53" s="32">
        <f t="shared" si="12"/>
        <v>1.7999999999999998</v>
      </c>
      <c r="AJ53" s="63">
        <f t="shared" si="12"/>
        <v>180</v>
      </c>
      <c r="AK53" s="157">
        <f>AH53 * (1 + E53) / (1 - G53)</f>
        <v>108.5427135678392</v>
      </c>
      <c r="AL53" s="124">
        <f>(B53 - AK53) / AK53</f>
        <v>0.10555555555555551</v>
      </c>
      <c r="AN53" s="63">
        <f t="shared" si="13"/>
        <v>100</v>
      </c>
      <c r="AO53" s="32">
        <f t="shared" si="13"/>
        <v>1.2000000000000002</v>
      </c>
      <c r="AP53" s="63">
        <f t="shared" si="13"/>
        <v>120</v>
      </c>
      <c r="AQ53" s="157">
        <f>AQ52</f>
        <v>116.58291457286431</v>
      </c>
      <c r="AR53" s="124">
        <f>(B53 - AQ53) / AQ53</f>
        <v>2.9310344827586297E-2</v>
      </c>
      <c r="AT53" s="203">
        <f>AT52</f>
        <v>600</v>
      </c>
      <c r="AU53" s="63">
        <f>AU52+W53</f>
        <v>313.42499999999995</v>
      </c>
      <c r="AV53" s="122">
        <f>(AC53+AI53+AO53)*B53</f>
        <v>360</v>
      </c>
      <c r="AW53" s="213">
        <f>(AU53+AV53-AT53)/AT53</f>
        <v>0.12237499999999993</v>
      </c>
      <c r="AX53" s="63">
        <f>H53-AT53+AU53</f>
        <v>913.42499999999995</v>
      </c>
    </row>
    <row r="54" spans="1:54" ht="12.75" x14ac:dyDescent="0.2">
      <c r="A54" s="189" t="s">
        <v>217</v>
      </c>
      <c r="B54" s="40">
        <v>115</v>
      </c>
      <c r="C54" s="55">
        <v>0.02</v>
      </c>
      <c r="D54" s="129">
        <v>0.04</v>
      </c>
      <c r="E54" s="125">
        <v>0.08</v>
      </c>
      <c r="F54" s="125">
        <v>0.16</v>
      </c>
      <c r="G54" s="125">
        <v>5.0000000000000001E-3</v>
      </c>
      <c r="H54" s="65">
        <v>1200</v>
      </c>
      <c r="I54" s="125"/>
      <c r="J54" s="134" t="s">
        <v>75</v>
      </c>
      <c r="K54" s="134" t="s">
        <v>25</v>
      </c>
      <c r="L54" s="40">
        <v>115</v>
      </c>
      <c r="M54" s="40">
        <v>400</v>
      </c>
      <c r="N54" s="129">
        <v>0.5</v>
      </c>
      <c r="O54" s="125">
        <v>0.3</v>
      </c>
      <c r="P54" s="125">
        <v>0.2</v>
      </c>
      <c r="Q54" s="35"/>
      <c r="R54" s="47" t="s">
        <v>217</v>
      </c>
      <c r="S54" s="47" t="s">
        <v>75</v>
      </c>
      <c r="T54" s="132" t="s">
        <v>25</v>
      </c>
      <c r="U54" s="126">
        <f>L54</f>
        <v>115</v>
      </c>
      <c r="V54" s="43">
        <f>W54/U54</f>
        <v>3.4782608695652173</v>
      </c>
      <c r="W54" s="126">
        <f>M54</f>
        <v>400</v>
      </c>
      <c r="X54" s="126">
        <f>U54 * (1 - ABS(C54))</f>
        <v>112.7</v>
      </c>
      <c r="Y54" s="153" t="s">
        <v>34</v>
      </c>
      <c r="Z54" s="153" t="s">
        <v>34</v>
      </c>
      <c r="AA54" s="41"/>
      <c r="AB54" s="65">
        <f>U54</f>
        <v>115</v>
      </c>
      <c r="AC54" s="39">
        <f>V54*N54</f>
        <v>1.7391304347826086</v>
      </c>
      <c r="AD54" s="65">
        <f>W54*N54</f>
        <v>200</v>
      </c>
      <c r="AE54" s="128">
        <f>AB54 * (1 + D54) / (1 - G54)</f>
        <v>120.20100502512564</v>
      </c>
      <c r="AF54" s="129">
        <f>(B54 - AE54) / AE54</f>
        <v>-4.3269230769230851E-2</v>
      </c>
      <c r="AG54" s="35"/>
      <c r="AH54" s="65">
        <f>U54</f>
        <v>115</v>
      </c>
      <c r="AI54" s="39">
        <f>V54*O54</f>
        <v>1.0434782608695652</v>
      </c>
      <c r="AJ54" s="65">
        <f>W54*O54</f>
        <v>120</v>
      </c>
      <c r="AK54" s="128">
        <f>AH54 * (1 + E54) / (1 - G54)</f>
        <v>124.82412060301507</v>
      </c>
      <c r="AL54" s="129">
        <f>(B54 - AK54) / AK54</f>
        <v>-7.8703703703703706E-2</v>
      </c>
      <c r="AM54" s="35"/>
      <c r="AN54" s="65">
        <f>U54</f>
        <v>115</v>
      </c>
      <c r="AO54" s="35">
        <f>V54*P54</f>
        <v>0.69565217391304346</v>
      </c>
      <c r="AP54" s="65">
        <f>W54*P54</f>
        <v>80</v>
      </c>
      <c r="AQ54" s="128">
        <f>AN54 * (1 + F54) / (1 - G54)</f>
        <v>134.07035175879395</v>
      </c>
      <c r="AR54" s="129">
        <f>(B54 - AQ54) / AQ54</f>
        <v>-0.1422413793103447</v>
      </c>
      <c r="AS54" s="35"/>
      <c r="AT54" s="208">
        <f>AT53+W54-AU53</f>
        <v>686.57500000000005</v>
      </c>
      <c r="AU54" s="65">
        <v>0</v>
      </c>
      <c r="AV54" s="126">
        <f>(AC54+AI54+AI55+AO54+AO55)*B54</f>
        <v>745</v>
      </c>
      <c r="AW54" s="209">
        <f>(AU54+AV54-AT54)/AT54</f>
        <v>8.5096311400793725E-2</v>
      </c>
      <c r="AX54" s="65">
        <f>H54-AT54+AU54</f>
        <v>513.42499999999995</v>
      </c>
    </row>
    <row r="55" spans="1:54" ht="12.75" x14ac:dyDescent="0.2">
      <c r="A55" s="189"/>
      <c r="B55" s="40"/>
      <c r="C55" s="55"/>
      <c r="D55" s="129"/>
      <c r="E55" s="125"/>
      <c r="F55" s="125"/>
      <c r="G55" s="125"/>
      <c r="H55" s="125"/>
      <c r="I55" s="125"/>
      <c r="J55" s="134"/>
      <c r="K55" s="134"/>
      <c r="L55" s="40"/>
      <c r="M55" s="40"/>
      <c r="N55" s="129"/>
      <c r="O55" s="125"/>
      <c r="P55" s="125"/>
      <c r="Q55" s="35"/>
      <c r="R55" s="47"/>
      <c r="S55" s="47"/>
      <c r="T55" s="210"/>
      <c r="U55" s="126"/>
      <c r="V55" s="43"/>
      <c r="W55" s="126"/>
      <c r="X55" s="126"/>
      <c r="Y55" s="153"/>
      <c r="Z55" s="153"/>
      <c r="AA55" s="41"/>
      <c r="AB55" s="35"/>
      <c r="AC55" s="35"/>
      <c r="AD55" s="35"/>
      <c r="AE55" s="35"/>
      <c r="AF55" s="35"/>
      <c r="AG55" s="35"/>
      <c r="AH55" s="65">
        <f t="shared" ref="AH55:AK59" si="14">AH53</f>
        <v>100</v>
      </c>
      <c r="AI55" s="39">
        <f t="shared" si="14"/>
        <v>1.7999999999999998</v>
      </c>
      <c r="AJ55" s="65">
        <f t="shared" si="14"/>
        <v>180</v>
      </c>
      <c r="AK55" s="128">
        <f t="shared" si="14"/>
        <v>108.5427135678392</v>
      </c>
      <c r="AL55" s="129">
        <f>(B54 - AK55) / AK55</f>
        <v>5.9490740740740698E-2</v>
      </c>
      <c r="AM55" s="35"/>
      <c r="AN55" s="65">
        <f t="shared" ref="AN55:AQ59" si="15">AN53</f>
        <v>100</v>
      </c>
      <c r="AO55" s="39">
        <f t="shared" si="15"/>
        <v>1.2000000000000002</v>
      </c>
      <c r="AP55" s="65">
        <f t="shared" si="15"/>
        <v>120</v>
      </c>
      <c r="AQ55" s="65">
        <f t="shared" si="15"/>
        <v>116.58291457286431</v>
      </c>
      <c r="AR55" s="129">
        <f>(B54 - AQ55) / AQ55</f>
        <v>-1.3577586206896464E-2</v>
      </c>
      <c r="AS55" s="35"/>
      <c r="AT55" s="35"/>
      <c r="AU55" s="35"/>
      <c r="AV55" s="39"/>
      <c r="AW55" s="39"/>
      <c r="AX55" s="35"/>
    </row>
    <row r="56" spans="1:54" ht="12.75" x14ac:dyDescent="0.2">
      <c r="A56" s="150" t="s">
        <v>247</v>
      </c>
      <c r="B56" s="52">
        <v>90</v>
      </c>
      <c r="C56" s="62">
        <v>0.02</v>
      </c>
      <c r="D56" s="124">
        <v>0.04</v>
      </c>
      <c r="E56" s="95">
        <v>0.08</v>
      </c>
      <c r="F56" s="95">
        <v>0.16</v>
      </c>
      <c r="G56" s="95">
        <v>5.0000000000000001E-3</v>
      </c>
      <c r="H56" s="63">
        <v>1200</v>
      </c>
      <c r="I56" s="95"/>
      <c r="J56" s="133" t="s">
        <v>248</v>
      </c>
      <c r="K56" s="152"/>
      <c r="L56" s="52"/>
      <c r="M56" s="152">
        <v>20</v>
      </c>
      <c r="N56" s="124"/>
      <c r="O56" s="152"/>
      <c r="P56" s="152"/>
      <c r="R56" t="s">
        <v>247</v>
      </c>
      <c r="S56" t="s">
        <v>249</v>
      </c>
      <c r="T56" s="152" t="s">
        <v>34</v>
      </c>
      <c r="U56" s="152" t="s">
        <v>34</v>
      </c>
      <c r="V56" s="152" t="s">
        <v>34</v>
      </c>
      <c r="W56" s="122">
        <f>M56</f>
        <v>20</v>
      </c>
      <c r="X56" s="152" t="s">
        <v>34</v>
      </c>
      <c r="Y56" s="152" t="s">
        <v>34</v>
      </c>
      <c r="Z56" s="152" t="s">
        <v>34</v>
      </c>
      <c r="AA56" s="12"/>
      <c r="AB56" s="63">
        <f>AB54</f>
        <v>115</v>
      </c>
      <c r="AC56" s="32">
        <f>AC54</f>
        <v>1.7391304347826086</v>
      </c>
      <c r="AD56" s="63">
        <f>AD54</f>
        <v>200</v>
      </c>
      <c r="AE56" s="157">
        <f>AE54</f>
        <v>120.20100502512564</v>
      </c>
      <c r="AF56" s="124">
        <f>(B56 - AE56) / AE56</f>
        <v>-0.25125418060200677</v>
      </c>
      <c r="AH56" s="212">
        <f t="shared" si="14"/>
        <v>115</v>
      </c>
      <c r="AI56" s="32">
        <f t="shared" si="14"/>
        <v>1.0434782608695652</v>
      </c>
      <c r="AJ56" s="63">
        <f t="shared" si="14"/>
        <v>120</v>
      </c>
      <c r="AK56" s="157">
        <f t="shared" si="14"/>
        <v>124.82412060301507</v>
      </c>
      <c r="AL56" s="124">
        <f>(B56 - AK56) / AK56</f>
        <v>-0.27898550724637683</v>
      </c>
      <c r="AN56" s="63">
        <f t="shared" si="15"/>
        <v>115</v>
      </c>
      <c r="AO56" s="32">
        <f t="shared" si="15"/>
        <v>0.69565217391304346</v>
      </c>
      <c r="AP56" s="63">
        <f t="shared" si="15"/>
        <v>80</v>
      </c>
      <c r="AQ56" s="63">
        <f t="shared" si="15"/>
        <v>134.07035175879395</v>
      </c>
      <c r="AR56" s="124">
        <f>(B56 - AQ56) / AQ56</f>
        <v>-0.32871064467766103</v>
      </c>
      <c r="AT56" s="203">
        <f>AT54</f>
        <v>686.57500000000005</v>
      </c>
      <c r="AU56" s="63">
        <f>AU54+W56</f>
        <v>20</v>
      </c>
      <c r="AV56" s="122">
        <f>(AC56+AI56+AI57+AO56+AO57)*B56</f>
        <v>583.04347826086962</v>
      </c>
      <c r="AW56" s="213">
        <f>(AU56+AV56-AT56)/AT56</f>
        <v>-0.12166408875815522</v>
      </c>
      <c r="AX56" s="63">
        <f>H56-AT56+AU56</f>
        <v>533.42499999999995</v>
      </c>
    </row>
    <row r="57" spans="1:54" ht="12.75" x14ac:dyDescent="0.2">
      <c r="B57" s="52"/>
      <c r="C57" s="62"/>
      <c r="D57" s="124"/>
      <c r="E57" s="95"/>
      <c r="F57" s="95"/>
      <c r="G57" s="95"/>
      <c r="H57" s="95"/>
      <c r="I57" s="95"/>
      <c r="J57" s="133"/>
      <c r="K57" s="133"/>
      <c r="L57" s="52"/>
      <c r="M57" s="52"/>
      <c r="N57" s="124"/>
      <c r="O57" s="95"/>
      <c r="P57" s="95"/>
      <c r="R57" s="211"/>
      <c r="S57" s="45"/>
      <c r="T57" s="45"/>
      <c r="U57" s="122"/>
      <c r="V57" s="30"/>
      <c r="W57" s="122"/>
      <c r="X57" s="152"/>
      <c r="Y57" s="152"/>
      <c r="Z57" s="161"/>
      <c r="AA57" s="12"/>
      <c r="AH57" s="63">
        <f t="shared" si="14"/>
        <v>100</v>
      </c>
      <c r="AI57" s="32">
        <f t="shared" si="14"/>
        <v>1.7999999999999998</v>
      </c>
      <c r="AJ57" s="63">
        <f t="shared" si="14"/>
        <v>180</v>
      </c>
      <c r="AK57" s="157">
        <f t="shared" si="14"/>
        <v>108.5427135678392</v>
      </c>
      <c r="AL57" s="124">
        <f>(B56 - AK57) / AK57</f>
        <v>-0.17083333333333336</v>
      </c>
      <c r="AN57" s="63">
        <f t="shared" si="15"/>
        <v>100</v>
      </c>
      <c r="AO57" s="32">
        <f t="shared" si="15"/>
        <v>1.2000000000000002</v>
      </c>
      <c r="AP57" s="63">
        <f t="shared" si="15"/>
        <v>120</v>
      </c>
      <c r="AQ57" s="63">
        <f t="shared" si="15"/>
        <v>116.58291457286431</v>
      </c>
      <c r="AR57" s="124">
        <f>(B56 - AQ57) / AQ57</f>
        <v>-0.22801724137931029</v>
      </c>
      <c r="AV57" s="32"/>
      <c r="AW57" s="32"/>
    </row>
    <row r="58" spans="1:54" ht="12.75" x14ac:dyDescent="0.2">
      <c r="A58" s="189" t="s">
        <v>250</v>
      </c>
      <c r="B58" s="40">
        <v>80</v>
      </c>
      <c r="C58" s="55">
        <v>0.02</v>
      </c>
      <c r="D58" s="129">
        <v>0.04</v>
      </c>
      <c r="E58" s="125">
        <v>0.08</v>
      </c>
      <c r="F58" s="125">
        <v>0.16</v>
      </c>
      <c r="G58" s="125">
        <v>5.0000000000000001E-3</v>
      </c>
      <c r="H58" s="65">
        <v>1200</v>
      </c>
      <c r="I58" s="125"/>
      <c r="J58" s="134" t="s">
        <v>251</v>
      </c>
      <c r="K58" s="153"/>
      <c r="L58" s="40"/>
      <c r="M58" s="153">
        <v>40</v>
      </c>
      <c r="N58" s="129"/>
      <c r="O58" s="153"/>
      <c r="P58" s="153"/>
      <c r="Q58" s="35"/>
      <c r="R58" s="35" t="s">
        <v>250</v>
      </c>
      <c r="S58" s="35" t="s">
        <v>251</v>
      </c>
      <c r="T58" s="153" t="s">
        <v>34</v>
      </c>
      <c r="U58" s="153" t="s">
        <v>34</v>
      </c>
      <c r="V58" s="153" t="s">
        <v>34</v>
      </c>
      <c r="W58" s="65">
        <v>40</v>
      </c>
      <c r="X58" s="153" t="s">
        <v>34</v>
      </c>
      <c r="Y58" s="153" t="s">
        <v>34</v>
      </c>
      <c r="Z58" s="153" t="s">
        <v>34</v>
      </c>
      <c r="AA58" s="41"/>
      <c r="AB58" s="65">
        <f>AB56</f>
        <v>115</v>
      </c>
      <c r="AC58" s="39">
        <f>AC56</f>
        <v>1.7391304347826086</v>
      </c>
      <c r="AD58" s="65">
        <f>AD56</f>
        <v>200</v>
      </c>
      <c r="AE58" s="128">
        <f>AE56</f>
        <v>120.20100502512564</v>
      </c>
      <c r="AF58" s="129">
        <f>(B58 - AE58) / AE58</f>
        <v>-0.33444816053511711</v>
      </c>
      <c r="AG58" s="35"/>
      <c r="AH58" s="207">
        <f t="shared" si="14"/>
        <v>115</v>
      </c>
      <c r="AI58" s="39">
        <f t="shared" si="14"/>
        <v>1.0434782608695652</v>
      </c>
      <c r="AJ58" s="65">
        <f t="shared" si="14"/>
        <v>120</v>
      </c>
      <c r="AK58" s="128">
        <f t="shared" si="14"/>
        <v>124.82412060301507</v>
      </c>
      <c r="AL58" s="129">
        <f>(B58 - AK58) / AK58</f>
        <v>-0.35909822866344604</v>
      </c>
      <c r="AM58" s="35"/>
      <c r="AN58" s="65">
        <f t="shared" si="15"/>
        <v>115</v>
      </c>
      <c r="AO58" s="39">
        <f t="shared" si="15"/>
        <v>0.69565217391304346</v>
      </c>
      <c r="AP58" s="65">
        <f t="shared" si="15"/>
        <v>80</v>
      </c>
      <c r="AQ58" s="65">
        <f t="shared" si="15"/>
        <v>134.07035175879395</v>
      </c>
      <c r="AR58" s="129">
        <f>(B58 - AQ58) / AQ58</f>
        <v>-0.40329835082458759</v>
      </c>
      <c r="AS58" s="35"/>
      <c r="AT58" s="208">
        <f>AT56</f>
        <v>686.57500000000005</v>
      </c>
      <c r="AU58" s="65">
        <f>AU56+W58</f>
        <v>60</v>
      </c>
      <c r="AV58" s="126">
        <f>(AC58+AI58+AI59+AO58+AO59)*B58</f>
        <v>518.26086956521738</v>
      </c>
      <c r="AW58" s="209">
        <f>(AU58+AV58-AT58)/AT58</f>
        <v>-0.15776008511055989</v>
      </c>
      <c r="AX58" s="65">
        <f>H58-AT58+AU58</f>
        <v>573.42499999999995</v>
      </c>
    </row>
    <row r="59" spans="1:54" ht="12.75" x14ac:dyDescent="0.2">
      <c r="A59" s="189"/>
      <c r="B59" s="40"/>
      <c r="C59" s="55"/>
      <c r="D59" s="129"/>
      <c r="E59" s="125"/>
      <c r="F59" s="125"/>
      <c r="G59" s="125"/>
      <c r="H59" s="125"/>
      <c r="I59" s="125"/>
      <c r="J59" s="134"/>
      <c r="K59" s="134"/>
      <c r="L59" s="40"/>
      <c r="M59" s="40"/>
      <c r="N59" s="129"/>
      <c r="O59" s="125"/>
      <c r="P59" s="125"/>
      <c r="Q59" s="35"/>
      <c r="R59" s="35"/>
      <c r="S59" s="35"/>
      <c r="T59" s="153"/>
      <c r="U59" s="153"/>
      <c r="V59" s="153"/>
      <c r="W59" s="126"/>
      <c r="X59" s="153"/>
      <c r="Y59" s="153"/>
      <c r="Z59" s="153"/>
      <c r="AA59" s="41"/>
      <c r="AB59" s="126"/>
      <c r="AC59" s="43"/>
      <c r="AD59" s="128"/>
      <c r="AE59" s="128"/>
      <c r="AF59" s="129"/>
      <c r="AG59" s="43"/>
      <c r="AH59" s="126">
        <f t="shared" si="14"/>
        <v>100</v>
      </c>
      <c r="AI59" s="43">
        <f t="shared" si="14"/>
        <v>1.7999999999999998</v>
      </c>
      <c r="AJ59" s="128">
        <f t="shared" si="14"/>
        <v>180</v>
      </c>
      <c r="AK59" s="128">
        <f t="shared" si="14"/>
        <v>108.5427135678392</v>
      </c>
      <c r="AL59" s="129">
        <f>(B58 - AK59) / AK59</f>
        <v>-0.26296296296296301</v>
      </c>
      <c r="AM59" s="35"/>
      <c r="AN59" s="126">
        <f t="shared" si="15"/>
        <v>100</v>
      </c>
      <c r="AO59" s="43">
        <f t="shared" si="15"/>
        <v>1.2000000000000002</v>
      </c>
      <c r="AP59" s="128">
        <f t="shared" si="15"/>
        <v>120</v>
      </c>
      <c r="AQ59" s="128">
        <f t="shared" si="15"/>
        <v>116.58291457286431</v>
      </c>
      <c r="AR59" s="129">
        <f>(B58 - AQ59) / AQ59</f>
        <v>-0.31379310344827582</v>
      </c>
      <c r="AS59" s="35"/>
      <c r="AT59" s="39"/>
      <c r="AU59" s="39"/>
      <c r="AV59" s="39"/>
      <c r="AW59" s="39"/>
      <c r="AX59" s="35"/>
    </row>
    <row r="60" spans="1:54" ht="12.75" x14ac:dyDescent="0.2">
      <c r="A60" s="150" t="s">
        <v>218</v>
      </c>
      <c r="B60" s="52">
        <v>115</v>
      </c>
      <c r="C60" s="62">
        <v>0.02</v>
      </c>
      <c r="D60" s="124">
        <v>0.04</v>
      </c>
      <c r="E60" s="95">
        <v>0.08</v>
      </c>
      <c r="F60" s="95">
        <v>0.16</v>
      </c>
      <c r="G60" s="95">
        <v>5.0000000000000001E-3</v>
      </c>
      <c r="H60" s="63">
        <v>1200</v>
      </c>
      <c r="I60" s="95"/>
      <c r="J60" s="133" t="s">
        <v>75</v>
      </c>
      <c r="K60" s="133" t="s">
        <v>211</v>
      </c>
      <c r="L60" s="52">
        <v>115</v>
      </c>
      <c r="M60" s="52">
        <v>700</v>
      </c>
      <c r="N60" s="124">
        <v>0.5</v>
      </c>
      <c r="O60" s="95">
        <v>0.3</v>
      </c>
      <c r="P60" s="95">
        <v>0.2</v>
      </c>
      <c r="R60" s="45" t="s">
        <v>218</v>
      </c>
      <c r="S60" s="45" t="s">
        <v>75</v>
      </c>
      <c r="T60" s="130" t="s">
        <v>211</v>
      </c>
      <c r="U60" s="122">
        <f>L60</f>
        <v>115</v>
      </c>
      <c r="V60" s="30">
        <f>W60/U60</f>
        <v>6.0869565217391308</v>
      </c>
      <c r="W60" s="122">
        <f>M60</f>
        <v>700</v>
      </c>
      <c r="X60" s="122">
        <f>U60 * (1 - ABS(C60))</f>
        <v>112.7</v>
      </c>
      <c r="Y60" s="152" t="s">
        <v>34</v>
      </c>
      <c r="Z60" s="152" t="s">
        <v>34</v>
      </c>
      <c r="AA60" s="12"/>
      <c r="AB60" s="63">
        <f>AB58</f>
        <v>115</v>
      </c>
      <c r="AC60" s="32">
        <f>AC58+(V60*N60)</f>
        <v>4.7826086956521738</v>
      </c>
      <c r="AD60" s="63">
        <f>AD58+(W60*N60)</f>
        <v>550</v>
      </c>
      <c r="AE60" s="123">
        <f>B60 * (1 + D60) / (1 - G60)</f>
        <v>120.20100502512564</v>
      </c>
      <c r="AF60" s="124">
        <f>(B60 - AE60) / AE60</f>
        <v>-4.3269230769230851E-2</v>
      </c>
      <c r="AH60" s="212">
        <f>AH58</f>
        <v>115</v>
      </c>
      <c r="AI60" s="32">
        <f>AI58+(V60*O60)</f>
        <v>2.8695652173913047</v>
      </c>
      <c r="AJ60" s="63">
        <f>AJ58+(W60*O60)</f>
        <v>330</v>
      </c>
      <c r="AK60" s="123">
        <f>AH60 * (1 + E60) / (1 - G60)</f>
        <v>124.82412060301507</v>
      </c>
      <c r="AL60" s="124">
        <f>(B60 - AK60) / AK60</f>
        <v>-7.8703703703703706E-2</v>
      </c>
      <c r="AN60" s="63">
        <f>AN58</f>
        <v>115</v>
      </c>
      <c r="AO60" s="32">
        <f>AO58+(V60*P60)</f>
        <v>1.9130434782608696</v>
      </c>
      <c r="AP60" s="63">
        <f>AP58+(W60*P60)</f>
        <v>220</v>
      </c>
      <c r="AQ60" s="123">
        <f>AN60 * (1 + F60) / (1 - G60)</f>
        <v>134.07035175879395</v>
      </c>
      <c r="AR60" s="124">
        <f>(B60 - AQ60) / AQ60</f>
        <v>-0.1422413793103447</v>
      </c>
      <c r="AT60" s="203">
        <f>AT58+W60-AU58</f>
        <v>1326.575</v>
      </c>
      <c r="AU60" s="63">
        <v>0</v>
      </c>
      <c r="AV60" s="122">
        <f>(AC60+AI60+AI61+AO60+AO61)*B60</f>
        <v>1445</v>
      </c>
      <c r="AW60" s="213">
        <f>(AU60+AV60-AT60)/AT60</f>
        <v>8.9271243616078966E-2</v>
      </c>
      <c r="AX60" s="63">
        <f>H60-AT60+AU60</f>
        <v>-126.57500000000005</v>
      </c>
    </row>
    <row r="61" spans="1:54" ht="12.75" x14ac:dyDescent="0.2">
      <c r="A61" s="150"/>
      <c r="B61" s="33"/>
      <c r="C61" s="67"/>
      <c r="D61" s="124"/>
      <c r="E61" s="95"/>
      <c r="F61" s="95"/>
      <c r="G61" s="95"/>
      <c r="H61" s="95"/>
      <c r="L61" s="214"/>
      <c r="M61" s="214"/>
      <c r="N61" s="124"/>
      <c r="O61" s="95"/>
      <c r="P61" s="95"/>
      <c r="T61" s="152"/>
      <c r="U61" s="152"/>
      <c r="V61" s="152"/>
      <c r="W61" s="122"/>
      <c r="X61" s="152"/>
      <c r="Y61" s="152"/>
      <c r="Z61" s="152"/>
      <c r="AA61" s="12"/>
      <c r="AB61" s="122"/>
      <c r="AC61" s="30"/>
      <c r="AD61" s="157"/>
      <c r="AE61" s="157"/>
      <c r="AF61" s="124"/>
      <c r="AG61" s="30"/>
      <c r="AH61" s="122">
        <f>AH59</f>
        <v>100</v>
      </c>
      <c r="AI61" s="30">
        <f>AI59</f>
        <v>1.7999999999999998</v>
      </c>
      <c r="AJ61" s="157">
        <f>AJ59</f>
        <v>180</v>
      </c>
      <c r="AK61" s="157">
        <f>AK59</f>
        <v>108.5427135678392</v>
      </c>
      <c r="AL61" s="124">
        <f>AL59</f>
        <v>-0.26296296296296301</v>
      </c>
      <c r="AN61" s="122">
        <f>AN59</f>
        <v>100</v>
      </c>
      <c r="AO61" s="30">
        <f>AO59</f>
        <v>1.2000000000000002</v>
      </c>
      <c r="AP61" s="157">
        <f>AP59</f>
        <v>120</v>
      </c>
      <c r="AQ61" s="157">
        <f>AQ59</f>
        <v>116.58291457286431</v>
      </c>
      <c r="AR61" s="124">
        <f>AR59</f>
        <v>-0.31379310344827582</v>
      </c>
      <c r="AT61" s="32"/>
      <c r="AU61" s="32"/>
      <c r="AV61" s="32"/>
      <c r="AW61" s="32"/>
    </row>
    <row r="62" spans="1:54" ht="12.75" x14ac:dyDescent="0.2">
      <c r="A62" s="216" t="s">
        <v>255</v>
      </c>
      <c r="B62" s="33"/>
      <c r="C62" s="67"/>
      <c r="D62" s="124"/>
      <c r="E62" s="95"/>
      <c r="F62" s="95"/>
      <c r="G62" s="95"/>
      <c r="H62" s="95"/>
      <c r="L62" s="33"/>
      <c r="M62" s="33"/>
      <c r="N62" s="124"/>
      <c r="O62" s="95"/>
      <c r="P62" s="95"/>
      <c r="R62" s="12"/>
      <c r="S62" s="12"/>
      <c r="T62" s="12"/>
      <c r="U62" s="137"/>
      <c r="V62" s="138"/>
      <c r="W62" s="137"/>
      <c r="X62" s="137"/>
      <c r="Y62" s="12"/>
      <c r="Z62" s="12"/>
      <c r="AA62" s="12"/>
      <c r="AB62" s="139"/>
      <c r="AC62" s="139"/>
      <c r="AD62" s="139"/>
      <c r="AE62" s="139"/>
      <c r="AF62" s="140"/>
      <c r="AG62" s="140"/>
      <c r="AH62" s="139"/>
      <c r="AI62" s="139"/>
      <c r="AJ62" s="139"/>
      <c r="AK62" s="139"/>
      <c r="AL62" s="140"/>
      <c r="AN62" s="139"/>
      <c r="AO62" s="139"/>
      <c r="AP62" s="139"/>
      <c r="AQ62" s="139"/>
      <c r="AR62" s="140"/>
    </row>
    <row r="63" spans="1:54" ht="12.75" x14ac:dyDescent="0.2">
      <c r="B63" s="45" t="s">
        <v>204</v>
      </c>
      <c r="C63" s="109"/>
      <c r="J63" s="45" t="s">
        <v>202</v>
      </c>
      <c r="R63" s="45" t="s">
        <v>203</v>
      </c>
      <c r="T63" s="12"/>
      <c r="U63" s="12"/>
      <c r="V63" s="12"/>
      <c r="W63" s="12"/>
      <c r="X63" s="12"/>
      <c r="Y63" s="12"/>
      <c r="Z63" s="12"/>
      <c r="AA63" s="12"/>
      <c r="AB63" s="130" t="s">
        <v>205</v>
      </c>
      <c r="AC63" s="46"/>
      <c r="AD63" s="46"/>
      <c r="AE63" s="46"/>
      <c r="AF63" s="46"/>
      <c r="AG63" s="46"/>
      <c r="AH63" s="130" t="s">
        <v>207</v>
      </c>
      <c r="AI63" s="46"/>
      <c r="AJ63" s="46"/>
      <c r="AK63" s="46"/>
      <c r="AL63" s="46"/>
      <c r="AM63" s="45"/>
      <c r="AN63" s="130" t="s">
        <v>208</v>
      </c>
      <c r="AO63" s="12"/>
      <c r="AP63" s="12"/>
      <c r="AQ63" s="12"/>
      <c r="AR63" s="12"/>
      <c r="AT63" s="130" t="s">
        <v>206</v>
      </c>
    </row>
    <row r="64" spans="1:54" ht="12.75" x14ac:dyDescent="0.2">
      <c r="B64" s="57" t="s">
        <v>209</v>
      </c>
      <c r="C64" s="28" t="s">
        <v>190</v>
      </c>
      <c r="D64" s="57" t="s">
        <v>191</v>
      </c>
      <c r="E64" s="28" t="s">
        <v>192</v>
      </c>
      <c r="F64" s="28" t="s">
        <v>193</v>
      </c>
      <c r="G64" s="57" t="s">
        <v>112</v>
      </c>
      <c r="H64" s="57"/>
      <c r="I64" s="101"/>
      <c r="J64" s="28" t="s">
        <v>76</v>
      </c>
      <c r="K64" s="28" t="s">
        <v>4</v>
      </c>
      <c r="L64" s="57" t="s">
        <v>0</v>
      </c>
      <c r="M64" s="57" t="s">
        <v>1</v>
      </c>
      <c r="N64" s="28" t="s">
        <v>191</v>
      </c>
      <c r="O64" s="28" t="s">
        <v>192</v>
      </c>
      <c r="P64" s="28" t="s">
        <v>193</v>
      </c>
      <c r="R64" s="28"/>
      <c r="S64" s="28" t="s">
        <v>76</v>
      </c>
      <c r="T64" s="28" t="s">
        <v>4</v>
      </c>
      <c r="U64" s="57" t="s">
        <v>0</v>
      </c>
      <c r="V64" s="28" t="s">
        <v>62</v>
      </c>
      <c r="W64" s="57" t="s">
        <v>222</v>
      </c>
      <c r="X64" s="57" t="s">
        <v>190</v>
      </c>
      <c r="Y64" s="57" t="s">
        <v>194</v>
      </c>
      <c r="Z64" s="28" t="s">
        <v>195</v>
      </c>
      <c r="AA64" s="12"/>
      <c r="AB64" s="28" t="s">
        <v>0</v>
      </c>
      <c r="AC64" s="28" t="s">
        <v>196</v>
      </c>
      <c r="AD64" s="57" t="s">
        <v>1</v>
      </c>
      <c r="AE64" s="57" t="s">
        <v>197</v>
      </c>
      <c r="AF64" s="57" t="s">
        <v>198</v>
      </c>
      <c r="AG64" s="60"/>
      <c r="AH64" s="28" t="s">
        <v>0</v>
      </c>
      <c r="AI64" s="28" t="s">
        <v>196</v>
      </c>
      <c r="AJ64" s="57" t="s">
        <v>1</v>
      </c>
      <c r="AK64" s="57" t="s">
        <v>197</v>
      </c>
      <c r="AL64" s="57" t="s">
        <v>198</v>
      </c>
      <c r="AN64" s="28" t="s">
        <v>0</v>
      </c>
      <c r="AO64" s="28" t="s">
        <v>196</v>
      </c>
      <c r="AP64" s="57" t="s">
        <v>1</v>
      </c>
      <c r="AQ64" s="57" t="s">
        <v>197</v>
      </c>
      <c r="AR64" s="57" t="s">
        <v>198</v>
      </c>
      <c r="AT64" s="57" t="s">
        <v>199</v>
      </c>
      <c r="AU64" s="28" t="s">
        <v>191</v>
      </c>
      <c r="AV64" s="28" t="s">
        <v>192</v>
      </c>
      <c r="AW64" s="28" t="s">
        <v>193</v>
      </c>
    </row>
    <row r="65" spans="1:49" ht="12.75" x14ac:dyDescent="0.2">
      <c r="A65" s="110" t="s">
        <v>216</v>
      </c>
      <c r="B65" s="52">
        <v>100</v>
      </c>
      <c r="C65" s="54">
        <v>0.02</v>
      </c>
      <c r="D65" s="124">
        <v>0.04</v>
      </c>
      <c r="E65" s="95">
        <v>0.08</v>
      </c>
      <c r="F65" s="95">
        <v>0.16</v>
      </c>
      <c r="G65" s="95">
        <v>0.01</v>
      </c>
      <c r="H65" s="95"/>
      <c r="I65" s="95"/>
      <c r="J65" s="133" t="s">
        <v>75</v>
      </c>
      <c r="K65" s="133" t="s">
        <v>78</v>
      </c>
      <c r="L65" s="52">
        <v>100</v>
      </c>
      <c r="M65" s="52">
        <v>200</v>
      </c>
      <c r="N65" s="124">
        <v>0.5</v>
      </c>
      <c r="O65" s="95">
        <v>0.3</v>
      </c>
      <c r="P65" s="95">
        <v>0.2</v>
      </c>
      <c r="R65" s="45" t="s">
        <v>216</v>
      </c>
      <c r="S65" s="45" t="s">
        <v>75</v>
      </c>
      <c r="T65" s="131" t="s">
        <v>78</v>
      </c>
      <c r="U65" s="122">
        <f>L65</f>
        <v>100</v>
      </c>
      <c r="V65" s="30">
        <f>W65/U65</f>
        <v>2</v>
      </c>
      <c r="W65" s="122">
        <f>M65</f>
        <v>200</v>
      </c>
      <c r="X65" s="122">
        <f>U65 * (1 - ABS(C65))</f>
        <v>98</v>
      </c>
      <c r="Y65" s="152" t="s">
        <v>34</v>
      </c>
      <c r="Z65" s="152" t="s">
        <v>34</v>
      </c>
      <c r="AA65" s="12"/>
      <c r="AB65" s="122">
        <f>U65</f>
        <v>100</v>
      </c>
      <c r="AC65" s="30">
        <f>V65*N65</f>
        <v>1</v>
      </c>
      <c r="AD65" s="123">
        <f>W65*N65</f>
        <v>100</v>
      </c>
      <c r="AE65" s="123">
        <f>AB65 * (1 + D65) / (1 - G65)</f>
        <v>105.05050505050505</v>
      </c>
      <c r="AF65" s="124">
        <f>(B65 - AE65) / AE65</f>
        <v>-4.8076923076923087E-2</v>
      </c>
      <c r="AG65" s="30"/>
      <c r="AH65" s="122">
        <f>U65</f>
        <v>100</v>
      </c>
      <c r="AI65" s="30">
        <f>V65*O65</f>
        <v>0.6</v>
      </c>
      <c r="AJ65" s="123">
        <f>W65*O65</f>
        <v>60</v>
      </c>
      <c r="AK65" s="123">
        <f>AH65 * (1 + E65) / (1 - G65)</f>
        <v>109.09090909090909</v>
      </c>
      <c r="AL65" s="124">
        <f>(B65 - AK65) / AK65</f>
        <v>-8.3333333333333356E-2</v>
      </c>
      <c r="AN65" s="122">
        <f>U65</f>
        <v>100</v>
      </c>
      <c r="AO65" s="30">
        <f>V65*P65</f>
        <v>0.4</v>
      </c>
      <c r="AP65" s="123">
        <f>W65*P65</f>
        <v>40</v>
      </c>
      <c r="AQ65" s="123">
        <f>AN65 * (1 + F65) / (1 - G65)</f>
        <v>117.17171717171716</v>
      </c>
      <c r="AR65" s="124">
        <f>(B65 - AQ65) / AQ65</f>
        <v>-0.14655172413793097</v>
      </c>
      <c r="AT65" s="32">
        <f>AC65+AI65+AO65</f>
        <v>2</v>
      </c>
      <c r="AU65" s="32">
        <f>AC65</f>
        <v>1</v>
      </c>
      <c r="AV65" s="32">
        <f>AI65</f>
        <v>0.6</v>
      </c>
      <c r="AW65" s="32">
        <f>AO65</f>
        <v>0.4</v>
      </c>
    </row>
    <row r="66" spans="1:49" s="35" customFormat="1" ht="12.75" x14ac:dyDescent="0.2">
      <c r="A66" s="184" t="s">
        <v>217</v>
      </c>
      <c r="B66" s="40">
        <v>110</v>
      </c>
      <c r="C66" s="55">
        <v>0.04</v>
      </c>
      <c r="D66" s="129">
        <v>0.04</v>
      </c>
      <c r="E66" s="125">
        <v>0.08</v>
      </c>
      <c r="F66" s="125">
        <v>0.16</v>
      </c>
      <c r="G66" s="125">
        <v>0.01</v>
      </c>
      <c r="H66" s="125"/>
      <c r="I66" s="125"/>
      <c r="J66" s="134" t="s">
        <v>75</v>
      </c>
      <c r="K66" s="134" t="s">
        <v>211</v>
      </c>
      <c r="L66" s="40">
        <v>110</v>
      </c>
      <c r="M66" s="40">
        <v>300</v>
      </c>
      <c r="N66" s="129">
        <v>0.5</v>
      </c>
      <c r="O66" s="125">
        <v>0.3</v>
      </c>
      <c r="P66" s="125">
        <v>0.2</v>
      </c>
      <c r="R66" s="47" t="s">
        <v>217</v>
      </c>
      <c r="S66" s="47" t="s">
        <v>75</v>
      </c>
      <c r="T66" s="210" t="s">
        <v>211</v>
      </c>
      <c r="U66" s="126">
        <f>L66</f>
        <v>110</v>
      </c>
      <c r="V66" s="43">
        <f>W66/U66</f>
        <v>2.7272727272727271</v>
      </c>
      <c r="W66" s="126">
        <f>M66</f>
        <v>300</v>
      </c>
      <c r="X66" s="126">
        <f>U66 * (1 - ABS(C66))</f>
        <v>105.6</v>
      </c>
      <c r="Y66" s="153" t="s">
        <v>34</v>
      </c>
      <c r="Z66" s="153" t="s">
        <v>34</v>
      </c>
      <c r="AA66" s="41"/>
      <c r="AB66" s="126">
        <f>U66</f>
        <v>110</v>
      </c>
      <c r="AC66" s="43">
        <f>V66*N66</f>
        <v>1.3636363636363635</v>
      </c>
      <c r="AD66" s="128">
        <f>W66*N66</f>
        <v>150</v>
      </c>
      <c r="AE66" s="128">
        <f>AB66 * (1 + D66) / (1 - G66)</f>
        <v>115.55555555555556</v>
      </c>
      <c r="AF66" s="129">
        <f>(B66 - AE66) / AE66</f>
        <v>-4.8076923076923087E-2</v>
      </c>
      <c r="AG66" s="43"/>
      <c r="AH66" s="126">
        <f>U66</f>
        <v>110</v>
      </c>
      <c r="AI66" s="43">
        <f>V66*O66</f>
        <v>0.81818181818181812</v>
      </c>
      <c r="AJ66" s="128">
        <f>W66*O66</f>
        <v>90</v>
      </c>
      <c r="AK66" s="128">
        <f>AH66 * (1 + E66) / (1 - G66)</f>
        <v>120.00000000000001</v>
      </c>
      <c r="AL66" s="129">
        <f>(B66 - AK66) / AK66</f>
        <v>-8.333333333333344E-2</v>
      </c>
      <c r="AN66" s="126">
        <f>U66</f>
        <v>110</v>
      </c>
      <c r="AO66" s="43">
        <f>V66*P66</f>
        <v>0.54545454545454541</v>
      </c>
      <c r="AP66" s="128">
        <f>W66*P66</f>
        <v>60</v>
      </c>
      <c r="AQ66" s="128">
        <f>AN66 * (1 + F66) / (1 - G66)</f>
        <v>128.88888888888889</v>
      </c>
      <c r="AR66" s="129">
        <f>(B66 - AQ66) / AQ66</f>
        <v>-0.14655172413793102</v>
      </c>
      <c r="AT66" s="39">
        <f>AU66+AV66+AW66</f>
        <v>4.7272727272727266</v>
      </c>
      <c r="AU66" s="39">
        <f>AC66+AC67</f>
        <v>2.3636363636363633</v>
      </c>
      <c r="AV66" s="39">
        <f>AI66+AI67</f>
        <v>1.418181818181818</v>
      </c>
      <c r="AW66" s="39">
        <f>AO66+AO67</f>
        <v>0.94545454545454544</v>
      </c>
    </row>
    <row r="67" spans="1:49" s="35" customFormat="1" ht="12.75" x14ac:dyDescent="0.2">
      <c r="A67" s="184"/>
      <c r="B67" s="40"/>
      <c r="C67" s="55"/>
      <c r="D67" s="129"/>
      <c r="E67" s="125"/>
      <c r="F67" s="125"/>
      <c r="G67" s="125"/>
      <c r="H67" s="125"/>
      <c r="I67" s="125"/>
      <c r="J67" s="134"/>
      <c r="K67" s="134"/>
      <c r="L67" s="40"/>
      <c r="M67" s="40"/>
      <c r="N67" s="129"/>
      <c r="O67" s="125"/>
      <c r="P67" s="125"/>
      <c r="R67" s="47"/>
      <c r="S67" s="47"/>
      <c r="T67" s="210"/>
      <c r="U67" s="126"/>
      <c r="V67" s="43"/>
      <c r="W67" s="126"/>
      <c r="X67" s="126"/>
      <c r="Y67" s="153"/>
      <c r="Z67" s="153"/>
      <c r="AA67" s="41"/>
      <c r="AB67" s="126">
        <f>AB65</f>
        <v>100</v>
      </c>
      <c r="AC67" s="43">
        <f>AC65</f>
        <v>1</v>
      </c>
      <c r="AD67" s="128">
        <f>AD65</f>
        <v>100</v>
      </c>
      <c r="AE67" s="128">
        <f>AB67 * (1 + D66) / (1 - G66)</f>
        <v>105.05050505050505</v>
      </c>
      <c r="AF67" s="129">
        <f>(B66 - AE67) / AE67</f>
        <v>4.7115384615384601E-2</v>
      </c>
      <c r="AG67" s="43"/>
      <c r="AH67" s="126">
        <f>AH65</f>
        <v>100</v>
      </c>
      <c r="AI67" s="43">
        <f>AI65</f>
        <v>0.6</v>
      </c>
      <c r="AJ67" s="128">
        <f>AJ65</f>
        <v>60</v>
      </c>
      <c r="AK67" s="128">
        <f>AH67 * (1 + E66) / (1 - G66)</f>
        <v>109.09090909090909</v>
      </c>
      <c r="AL67" s="129">
        <f>(B66 - AK67) / AK67</f>
        <v>8.3333333333333089E-3</v>
      </c>
      <c r="AN67" s="126">
        <f>AN65</f>
        <v>100</v>
      </c>
      <c r="AO67" s="43">
        <f>AO65</f>
        <v>0.4</v>
      </c>
      <c r="AP67" s="128">
        <f>AP65</f>
        <v>40</v>
      </c>
      <c r="AQ67" s="128">
        <f>AN67 * (1 + F66) / (1 - G66)</f>
        <v>117.17171717171716</v>
      </c>
      <c r="AR67" s="129">
        <f>(B66 - AQ67) / AQ67</f>
        <v>-6.1206896551724066E-2</v>
      </c>
      <c r="AU67" s="39"/>
      <c r="AV67" s="39"/>
      <c r="AW67" s="39"/>
    </row>
    <row r="68" spans="1:49" s="223" customFormat="1" ht="12.75" x14ac:dyDescent="0.2">
      <c r="A68" s="217" t="s">
        <v>218</v>
      </c>
      <c r="B68" s="218">
        <v>120</v>
      </c>
      <c r="C68" s="62">
        <v>0.04</v>
      </c>
      <c r="D68" s="219">
        <v>0.04</v>
      </c>
      <c r="E68" s="220">
        <v>0.08</v>
      </c>
      <c r="F68" s="220">
        <v>0.16</v>
      </c>
      <c r="G68" s="220">
        <v>0.01</v>
      </c>
      <c r="H68" s="220"/>
      <c r="I68" s="220"/>
      <c r="J68" s="221" t="s">
        <v>75</v>
      </c>
      <c r="K68" s="221" t="s">
        <v>215</v>
      </c>
      <c r="L68" s="218">
        <v>120</v>
      </c>
      <c r="M68" s="218">
        <v>400</v>
      </c>
      <c r="N68" s="219">
        <v>0.4</v>
      </c>
      <c r="O68" s="220">
        <v>0.4</v>
      </c>
      <c r="P68" s="220">
        <v>0.2</v>
      </c>
      <c r="R68" s="224" t="s">
        <v>218</v>
      </c>
      <c r="S68" s="224" t="s">
        <v>75</v>
      </c>
      <c r="T68" s="221" t="s">
        <v>215</v>
      </c>
      <c r="U68" s="225">
        <f>L68</f>
        <v>120</v>
      </c>
      <c r="V68" s="226">
        <f>W68/U68</f>
        <v>3.3333333333333335</v>
      </c>
      <c r="W68" s="225">
        <f>M68</f>
        <v>400</v>
      </c>
      <c r="X68" s="225">
        <f>U68 * (1 - ABS(C68))</f>
        <v>115.19999999999999</v>
      </c>
      <c r="Y68" s="222" t="s">
        <v>34</v>
      </c>
      <c r="Z68" s="222" t="s">
        <v>34</v>
      </c>
      <c r="AA68" s="227"/>
      <c r="AB68" s="225">
        <f>U68</f>
        <v>120</v>
      </c>
      <c r="AC68" s="226">
        <f>V68*N68</f>
        <v>1.3333333333333335</v>
      </c>
      <c r="AD68" s="157">
        <f>W68*N68</f>
        <v>160</v>
      </c>
      <c r="AE68" s="157">
        <f>AB68 * (1 + D68) / (1 - G68)</f>
        <v>126.06060606060608</v>
      </c>
      <c r="AF68" s="219">
        <f>(B68 - AE68) / AE68</f>
        <v>-4.8076923076923198E-2</v>
      </c>
      <c r="AG68" s="226"/>
      <c r="AH68" s="225">
        <f>U68</f>
        <v>120</v>
      </c>
      <c r="AI68" s="226">
        <f>V68*O68</f>
        <v>1.3333333333333335</v>
      </c>
      <c r="AJ68" s="157">
        <f>W68*O68</f>
        <v>160</v>
      </c>
      <c r="AK68" s="157">
        <f>AH68 * (1 + E68) / (1 - G68)</f>
        <v>130.90909090909093</v>
      </c>
      <c r="AL68" s="219">
        <f>(B68 - AK68) / AK68</f>
        <v>-8.3333333333333509E-2</v>
      </c>
      <c r="AN68" s="225">
        <f>U68</f>
        <v>120</v>
      </c>
      <c r="AO68" s="226">
        <f>V68*P68</f>
        <v>0.66666666666666674</v>
      </c>
      <c r="AP68" s="157">
        <f>W68*P68</f>
        <v>80</v>
      </c>
      <c r="AQ68" s="157">
        <f>AN68 * (1 + F68) / (1 - G68)</f>
        <v>140.60606060606059</v>
      </c>
      <c r="AR68" s="219">
        <f>(B68 - AQ68) / AQ68</f>
        <v>-0.14655172413793097</v>
      </c>
      <c r="AT68" s="228">
        <f>AU68+AV68+AW68</f>
        <v>8.0606060606060623</v>
      </c>
      <c r="AU68" s="228">
        <f>AC68+AC69+AC70</f>
        <v>3.6969696969696972</v>
      </c>
      <c r="AV68" s="228">
        <f>AI68+AI69+AI70</f>
        <v>2.7515151515151515</v>
      </c>
      <c r="AW68" s="228">
        <f>AO68+AO69+AO70</f>
        <v>1.6121212121212123</v>
      </c>
    </row>
    <row r="69" spans="1:49" s="223" customFormat="1" ht="12.75" x14ac:dyDescent="0.2">
      <c r="A69" s="217"/>
      <c r="B69" s="218"/>
      <c r="C69" s="62"/>
      <c r="D69" s="219"/>
      <c r="E69" s="220"/>
      <c r="F69" s="220"/>
      <c r="G69" s="220"/>
      <c r="H69" s="220"/>
      <c r="I69" s="220"/>
      <c r="J69" s="221"/>
      <c r="K69" s="221"/>
      <c r="L69" s="218"/>
      <c r="M69" s="218"/>
      <c r="N69" s="219"/>
      <c r="O69" s="220"/>
      <c r="P69" s="220"/>
      <c r="R69" s="224"/>
      <c r="S69" s="224"/>
      <c r="T69" s="229"/>
      <c r="U69" s="225"/>
      <c r="V69" s="226"/>
      <c r="W69" s="225"/>
      <c r="X69" s="225"/>
      <c r="Y69" s="222"/>
      <c r="Z69" s="222"/>
      <c r="AA69" s="227"/>
      <c r="AB69" s="225">
        <f>AB66</f>
        <v>110</v>
      </c>
      <c r="AC69" s="226">
        <f>AC66</f>
        <v>1.3636363636363635</v>
      </c>
      <c r="AD69" s="157">
        <f>AD66</f>
        <v>150</v>
      </c>
      <c r="AE69" s="157">
        <f>AE66</f>
        <v>115.55555555555556</v>
      </c>
      <c r="AF69" s="219">
        <f>(B68 - AE69) / AE69</f>
        <v>3.846153846153845E-2</v>
      </c>
      <c r="AG69" s="226"/>
      <c r="AH69" s="225">
        <f>AH66</f>
        <v>110</v>
      </c>
      <c r="AI69" s="226">
        <f>AI66</f>
        <v>0.81818181818181812</v>
      </c>
      <c r="AJ69" s="157">
        <f>AJ66</f>
        <v>90</v>
      </c>
      <c r="AK69" s="157">
        <f>AK66</f>
        <v>120.00000000000001</v>
      </c>
      <c r="AL69" s="219">
        <f>(B68 - AK69) / AK69</f>
        <v>-1.1842378929335E-16</v>
      </c>
      <c r="AN69" s="225">
        <f>AN66</f>
        <v>110</v>
      </c>
      <c r="AO69" s="226">
        <f>AO66</f>
        <v>0.54545454545454541</v>
      </c>
      <c r="AP69" s="157">
        <f>AP66</f>
        <v>60</v>
      </c>
      <c r="AQ69" s="157">
        <f>AQ66</f>
        <v>128.88888888888889</v>
      </c>
      <c r="AR69" s="219">
        <f>(B68 - AQ69) / AQ69</f>
        <v>-6.8965517241379282E-2</v>
      </c>
      <c r="AU69" s="228"/>
      <c r="AV69" s="228"/>
      <c r="AW69" s="228"/>
    </row>
    <row r="70" spans="1:49" s="223" customFormat="1" ht="12.75" x14ac:dyDescent="0.2">
      <c r="A70" s="217"/>
      <c r="B70" s="218"/>
      <c r="C70" s="62"/>
      <c r="D70" s="219"/>
      <c r="E70" s="220"/>
      <c r="F70" s="220"/>
      <c r="G70" s="220"/>
      <c r="H70" s="220"/>
      <c r="I70" s="220"/>
      <c r="J70" s="221"/>
      <c r="K70" s="221"/>
      <c r="L70" s="218"/>
      <c r="M70" s="218"/>
      <c r="N70" s="219"/>
      <c r="O70" s="220"/>
      <c r="P70" s="220"/>
      <c r="R70" s="224"/>
      <c r="S70" s="224"/>
      <c r="T70" s="229"/>
      <c r="U70" s="225"/>
      <c r="V70" s="226"/>
      <c r="W70" s="225"/>
      <c r="X70" s="225"/>
      <c r="Y70" s="222"/>
      <c r="Z70" s="222"/>
      <c r="AA70" s="227"/>
      <c r="AB70" s="225">
        <f>AB67</f>
        <v>100</v>
      </c>
      <c r="AC70" s="226">
        <f>AC67</f>
        <v>1</v>
      </c>
      <c r="AD70" s="157">
        <f>AD67</f>
        <v>100</v>
      </c>
      <c r="AE70" s="157">
        <f>AE67</f>
        <v>105.05050505050505</v>
      </c>
      <c r="AF70" s="219">
        <f>(B68 - AE70) / AE70</f>
        <v>0.1423076923076923</v>
      </c>
      <c r="AG70" s="226"/>
      <c r="AH70" s="225">
        <f>AH67</f>
        <v>100</v>
      </c>
      <c r="AI70" s="226">
        <f>AI67</f>
        <v>0.6</v>
      </c>
      <c r="AJ70" s="157">
        <f>AJ67</f>
        <v>60</v>
      </c>
      <c r="AK70" s="157">
        <f>AK67</f>
        <v>109.09090909090909</v>
      </c>
      <c r="AL70" s="219">
        <f>(B68 - AK70) / AK70</f>
        <v>9.9999999999999978E-2</v>
      </c>
      <c r="AN70" s="225">
        <f>AN67</f>
        <v>100</v>
      </c>
      <c r="AO70" s="226">
        <f>AO67</f>
        <v>0.4</v>
      </c>
      <c r="AP70" s="157">
        <f>AP67</f>
        <v>40</v>
      </c>
      <c r="AQ70" s="157">
        <f>AQ67</f>
        <v>117.17171717171716</v>
      </c>
      <c r="AR70" s="219">
        <f>(B68 - AQ70) / AQ70</f>
        <v>2.4137931034482842E-2</v>
      </c>
      <c r="AU70" s="228"/>
      <c r="AV70" s="228"/>
      <c r="AW70" s="228"/>
    </row>
    <row r="71" spans="1:49" s="35" customFormat="1" ht="12.75" x14ac:dyDescent="0.2">
      <c r="A71" s="184" t="s">
        <v>220</v>
      </c>
      <c r="B71" s="40">
        <v>130</v>
      </c>
      <c r="C71" s="55">
        <v>0.04</v>
      </c>
      <c r="D71" s="129">
        <v>0.04</v>
      </c>
      <c r="E71" s="125">
        <v>0.08</v>
      </c>
      <c r="F71" s="125">
        <v>0.16</v>
      </c>
      <c r="G71" s="125">
        <v>5.0000000000000001E-3</v>
      </c>
      <c r="H71" s="125"/>
      <c r="I71" s="125"/>
      <c r="J71" s="134" t="s">
        <v>73</v>
      </c>
      <c r="K71" s="134" t="s">
        <v>221</v>
      </c>
      <c r="L71" s="40">
        <v>130</v>
      </c>
      <c r="M71" s="153" t="s">
        <v>34</v>
      </c>
      <c r="N71" s="129">
        <v>0.4</v>
      </c>
      <c r="O71" s="153" t="s">
        <v>34</v>
      </c>
      <c r="P71" s="153" t="s">
        <v>34</v>
      </c>
      <c r="R71" s="47" t="s">
        <v>220</v>
      </c>
      <c r="S71" s="47" t="s">
        <v>73</v>
      </c>
      <c r="T71" s="132" t="s">
        <v>221</v>
      </c>
      <c r="U71" s="126">
        <f>L71</f>
        <v>130</v>
      </c>
      <c r="V71" s="43">
        <f>AC68*N71</f>
        <v>0.53333333333333344</v>
      </c>
      <c r="W71" s="126">
        <f>U71*V71-(U71*V71*G71)</f>
        <v>68.986666666666679</v>
      </c>
      <c r="X71" s="153" t="s">
        <v>34</v>
      </c>
      <c r="Y71" s="127">
        <f>W71-(U68*V71)</f>
        <v>4.9866666666666646</v>
      </c>
      <c r="Z71" s="151">
        <f>Y71/(U68*V71)</f>
        <v>7.791666666666662E-2</v>
      </c>
      <c r="AA71" s="41"/>
      <c r="AB71" s="126">
        <f>AB68</f>
        <v>120</v>
      </c>
      <c r="AC71" s="43">
        <f>AC68-V71</f>
        <v>0.8</v>
      </c>
      <c r="AD71" s="128">
        <f>AD68-(AD68*N71)</f>
        <v>96</v>
      </c>
      <c r="AE71" s="128">
        <f>AB71 * (1 + D71) / (1 - G71)</f>
        <v>125.42713567839198</v>
      </c>
      <c r="AF71" s="129">
        <f>(B71 - AE71) / AE71</f>
        <v>3.645833333333319E-2</v>
      </c>
      <c r="AG71" s="43"/>
      <c r="AH71" s="126">
        <f>U71</f>
        <v>130</v>
      </c>
      <c r="AI71" s="43" t="e">
        <f>V71*O71</f>
        <v>#VALUE!</v>
      </c>
      <c r="AJ71" s="128" t="e">
        <f>W71*O71</f>
        <v>#VALUE!</v>
      </c>
      <c r="AK71" s="128">
        <f>AH71 * (1 + E71) / (1 - G71)</f>
        <v>141.10552763819095</v>
      </c>
      <c r="AL71" s="129">
        <f>(B71 - AK71) / AK71</f>
        <v>-7.8703703703703665E-2</v>
      </c>
      <c r="AN71" s="126">
        <f>U71</f>
        <v>130</v>
      </c>
      <c r="AO71" s="43" t="e">
        <f>V71*P71</f>
        <v>#VALUE!</v>
      </c>
      <c r="AP71" s="128" t="e">
        <f>W71*P71</f>
        <v>#VALUE!</v>
      </c>
      <c r="AQ71" s="128">
        <f>AN71 * (1 + F71) / (1 - G71)</f>
        <v>151.5577889447236</v>
      </c>
      <c r="AR71" s="129">
        <f>(B71 - AQ71) / AQ71</f>
        <v>-0.14224137931034472</v>
      </c>
      <c r="AT71" s="39" t="e">
        <f>AU71+AV71+AW71</f>
        <v>#VALUE!</v>
      </c>
      <c r="AU71" s="39">
        <f>AC71+AC72+AC73</f>
        <v>3.1636363636363636</v>
      </c>
      <c r="AV71" s="39" t="e">
        <f>AI71+AI72+AI73</f>
        <v>#VALUE!</v>
      </c>
      <c r="AW71" s="39" t="e">
        <f>AO71+AO72+AO73</f>
        <v>#VALUE!</v>
      </c>
    </row>
    <row r="72" spans="1:49" s="35" customFormat="1" ht="12.75" x14ac:dyDescent="0.2">
      <c r="A72" s="184"/>
      <c r="B72" s="40"/>
      <c r="C72" s="55"/>
      <c r="D72" s="129"/>
      <c r="E72" s="125"/>
      <c r="F72" s="125"/>
      <c r="G72" s="125"/>
      <c r="H72" s="125"/>
      <c r="I72" s="125"/>
      <c r="J72" s="134"/>
      <c r="K72" s="134"/>
      <c r="L72" s="40"/>
      <c r="M72" s="40"/>
      <c r="N72" s="129"/>
      <c r="O72" s="125"/>
      <c r="P72" s="125"/>
      <c r="R72" s="47"/>
      <c r="S72" s="47"/>
      <c r="T72" s="132"/>
      <c r="U72" s="126"/>
      <c r="V72" s="43"/>
      <c r="W72" s="126"/>
      <c r="X72" s="126"/>
      <c r="Y72" s="153"/>
      <c r="Z72" s="153"/>
      <c r="AA72" s="41"/>
      <c r="AB72" s="126">
        <f>AB69</f>
        <v>110</v>
      </c>
      <c r="AC72" s="43">
        <f>AC69</f>
        <v>1.3636363636363635</v>
      </c>
      <c r="AD72" s="128">
        <f>AD69</f>
        <v>150</v>
      </c>
      <c r="AE72" s="128">
        <f>AB72 * (1 + D71) / (1 - G71)</f>
        <v>114.9748743718593</v>
      </c>
      <c r="AF72" s="129">
        <f>(B71 - AE72) / AE72</f>
        <v>0.13068181818181815</v>
      </c>
      <c r="AG72" s="43"/>
      <c r="AH72" s="126">
        <f>AH70</f>
        <v>100</v>
      </c>
      <c r="AI72" s="43">
        <f>AI70</f>
        <v>0.6</v>
      </c>
      <c r="AJ72" s="128">
        <f>AJ70</f>
        <v>60</v>
      </c>
      <c r="AK72" s="128">
        <f>AK70</f>
        <v>109.09090909090909</v>
      </c>
      <c r="AL72" s="129">
        <f>(B71 - AK72) / AK72</f>
        <v>0.19166666666666665</v>
      </c>
      <c r="AN72" s="126">
        <f>AN70</f>
        <v>100</v>
      </c>
      <c r="AO72" s="43">
        <f>AO70</f>
        <v>0.4</v>
      </c>
      <c r="AP72" s="128">
        <f>AP70</f>
        <v>40</v>
      </c>
      <c r="AQ72" s="128">
        <f>AQ70</f>
        <v>117.17171717171716</v>
      </c>
      <c r="AR72" s="129">
        <f>(B71 - AQ72) / AQ72</f>
        <v>0.10948275862068975</v>
      </c>
      <c r="AU72" s="39"/>
      <c r="AV72" s="39"/>
      <c r="AW72" s="39"/>
    </row>
    <row r="73" spans="1:49" s="35" customFormat="1" ht="12.75" x14ac:dyDescent="0.2">
      <c r="A73" s="189"/>
      <c r="B73" s="36"/>
      <c r="C73" s="230"/>
      <c r="D73" s="129"/>
      <c r="E73" s="125"/>
      <c r="F73" s="125"/>
      <c r="G73" s="125"/>
      <c r="H73" s="125"/>
      <c r="L73" s="231"/>
      <c r="M73" s="231"/>
      <c r="N73" s="129"/>
      <c r="O73" s="125"/>
      <c r="P73" s="125"/>
      <c r="Q73" s="36"/>
      <c r="R73" s="47"/>
      <c r="S73" s="36"/>
      <c r="T73" s="121"/>
      <c r="U73" s="132"/>
      <c r="V73" s="209"/>
      <c r="W73" s="126"/>
      <c r="X73" s="126"/>
      <c r="Y73" s="153"/>
      <c r="Z73" s="153"/>
      <c r="AA73" s="41"/>
      <c r="AB73" s="126">
        <f>AB70</f>
        <v>100</v>
      </c>
      <c r="AC73" s="43">
        <f>AC70</f>
        <v>1</v>
      </c>
      <c r="AD73" s="128">
        <f>AD70</f>
        <v>100</v>
      </c>
      <c r="AE73" s="128">
        <f>AB73 * (1 + D71) / (1 - G71)</f>
        <v>104.52261306532664</v>
      </c>
      <c r="AF73" s="129">
        <f>(B71 - AE73) / AE73</f>
        <v>0.24374999999999994</v>
      </c>
      <c r="AG73" s="43"/>
      <c r="AH73" s="126" t="e">
        <f>#REF!</f>
        <v>#REF!</v>
      </c>
      <c r="AI73" s="43" t="e">
        <f>#REF!</f>
        <v>#REF!</v>
      </c>
      <c r="AJ73" s="128" t="e">
        <f>#REF!</f>
        <v>#REF!</v>
      </c>
      <c r="AK73" s="128" t="e">
        <f>#REF!</f>
        <v>#REF!</v>
      </c>
      <c r="AL73" s="129" t="e">
        <f>(B71 - AK73) / AK73</f>
        <v>#REF!</v>
      </c>
      <c r="AN73" s="126" t="e">
        <f>#REF!</f>
        <v>#REF!</v>
      </c>
      <c r="AO73" s="43" t="e">
        <f>#REF!</f>
        <v>#REF!</v>
      </c>
      <c r="AP73" s="128" t="e">
        <f>#REF!</f>
        <v>#REF!</v>
      </c>
      <c r="AQ73" s="128" t="e">
        <f>#REF!</f>
        <v>#REF!</v>
      </c>
      <c r="AR73" s="129" t="e">
        <f>(B71 - AQ73) / AQ73</f>
        <v>#REF!</v>
      </c>
      <c r="AU73" s="39"/>
      <c r="AV73" s="39"/>
      <c r="AW73" s="39"/>
    </row>
    <row r="74" spans="1:49" ht="12.75" x14ac:dyDescent="0.2">
      <c r="A74" s="150"/>
      <c r="B74" s="33"/>
      <c r="C74" s="67"/>
      <c r="D74" s="124"/>
      <c r="E74" s="95"/>
      <c r="F74" s="95"/>
      <c r="G74" s="95"/>
      <c r="H74" s="95"/>
      <c r="L74" s="214"/>
      <c r="M74" s="214"/>
      <c r="N74" s="124"/>
      <c r="O74" s="95"/>
      <c r="P74" s="95"/>
      <c r="Q74" s="99"/>
      <c r="R74" s="45"/>
      <c r="S74" s="45"/>
      <c r="T74" s="131"/>
      <c r="U74" s="122"/>
      <c r="V74" s="30"/>
      <c r="W74" s="122"/>
      <c r="X74" s="122"/>
      <c r="Y74" s="152"/>
      <c r="Z74" s="152"/>
      <c r="AA74" s="12"/>
      <c r="AB74" s="139"/>
      <c r="AC74" s="139"/>
      <c r="AD74" s="139"/>
      <c r="AE74" s="139"/>
      <c r="AF74" s="140"/>
      <c r="AG74" s="140"/>
      <c r="AH74" s="139"/>
      <c r="AI74" s="139"/>
      <c r="AJ74" s="139"/>
      <c r="AK74" s="139"/>
      <c r="AL74" s="140"/>
      <c r="AN74" s="139"/>
      <c r="AO74" s="139"/>
      <c r="AP74" s="139"/>
      <c r="AQ74" s="139"/>
      <c r="AR74" s="140"/>
    </row>
    <row r="75" spans="1:49" ht="12.75" x14ac:dyDescent="0.2">
      <c r="A75" s="150"/>
      <c r="B75" s="33"/>
      <c r="C75" s="67"/>
      <c r="D75" s="124"/>
      <c r="E75" s="95"/>
      <c r="F75" s="95"/>
      <c r="G75" s="95"/>
      <c r="H75" s="95"/>
      <c r="L75" s="214"/>
      <c r="M75" s="214"/>
      <c r="N75" s="124"/>
      <c r="O75" s="95"/>
      <c r="P75" s="95"/>
      <c r="Q75" s="45"/>
      <c r="R75" s="45"/>
      <c r="V75" s="30"/>
      <c r="W75" s="122"/>
      <c r="X75" s="122"/>
      <c r="Y75" s="152"/>
      <c r="Z75" s="152"/>
      <c r="AA75" s="12"/>
      <c r="AB75" s="139"/>
      <c r="AC75" s="139"/>
      <c r="AD75" s="139"/>
      <c r="AE75" s="139"/>
      <c r="AF75" s="140"/>
      <c r="AG75" s="140"/>
      <c r="AH75" s="139"/>
      <c r="AI75" s="139"/>
      <c r="AJ75" s="139"/>
      <c r="AK75" s="139"/>
      <c r="AL75" s="140"/>
      <c r="AN75" s="139"/>
      <c r="AO75" s="139"/>
      <c r="AP75" s="139"/>
      <c r="AQ75" s="139"/>
      <c r="AR75" s="140"/>
    </row>
    <row r="76" spans="1:49" ht="12.75" x14ac:dyDescent="0.2">
      <c r="A76" s="150"/>
      <c r="B76" s="33"/>
      <c r="C76" s="67"/>
      <c r="D76" s="124"/>
      <c r="E76" s="95"/>
      <c r="F76" s="95"/>
      <c r="G76" s="95"/>
      <c r="H76" s="95"/>
      <c r="L76" s="214"/>
      <c r="M76" s="214"/>
      <c r="N76" s="124"/>
      <c r="O76" s="95"/>
      <c r="P76" s="95"/>
      <c r="Q76" s="45"/>
      <c r="R76" s="45"/>
      <c r="V76" s="30"/>
      <c r="W76" s="122"/>
      <c r="X76" s="122"/>
      <c r="Y76" s="152"/>
      <c r="Z76" s="152"/>
      <c r="AA76" s="12"/>
      <c r="AB76" s="139"/>
      <c r="AC76" s="139"/>
      <c r="AD76" s="139"/>
      <c r="AE76" s="139"/>
      <c r="AF76" s="140"/>
      <c r="AG76" s="140"/>
      <c r="AH76" s="139"/>
      <c r="AI76" s="139"/>
      <c r="AJ76" s="139"/>
      <c r="AK76" s="139"/>
      <c r="AL76" s="140"/>
      <c r="AN76" s="139"/>
      <c r="AO76" s="139"/>
      <c r="AP76" s="139"/>
      <c r="AQ76" s="139"/>
      <c r="AR76" s="140"/>
    </row>
    <row r="77" spans="1:49" ht="12.75" x14ac:dyDescent="0.2">
      <c r="A77" s="150"/>
      <c r="B77" s="33"/>
      <c r="C77" s="67"/>
      <c r="D77" s="124"/>
      <c r="E77" s="95"/>
      <c r="F77" s="95"/>
      <c r="G77" s="95"/>
      <c r="H77" s="95"/>
      <c r="L77" s="214"/>
      <c r="M77" s="214"/>
      <c r="N77" s="124"/>
      <c r="O77" s="95"/>
      <c r="P77" s="95"/>
      <c r="R77" s="45"/>
      <c r="S77" s="45"/>
      <c r="T77" s="131"/>
      <c r="U77" s="122"/>
      <c r="V77" s="30"/>
      <c r="W77" s="122"/>
      <c r="X77" s="122"/>
      <c r="Y77" s="152"/>
      <c r="Z77" s="152"/>
      <c r="AA77" s="12"/>
      <c r="AB77" s="139"/>
      <c r="AC77" s="139"/>
      <c r="AD77" s="139"/>
      <c r="AE77" s="139"/>
      <c r="AF77" s="140"/>
      <c r="AG77" s="140"/>
      <c r="AH77" s="139"/>
      <c r="AI77" s="139"/>
      <c r="AJ77" s="139"/>
      <c r="AK77" s="139"/>
      <c r="AL77" s="140"/>
      <c r="AN77" s="139"/>
      <c r="AO77" s="139"/>
      <c r="AP77" s="139"/>
      <c r="AQ77" s="139"/>
      <c r="AR77" s="140"/>
    </row>
    <row r="78" spans="1:49" ht="12.75" x14ac:dyDescent="0.2">
      <c r="A78" s="150"/>
      <c r="B78" s="33"/>
      <c r="C78" s="67"/>
      <c r="D78" s="124"/>
      <c r="E78" s="95"/>
      <c r="F78" s="95"/>
      <c r="G78" s="95"/>
      <c r="H78" s="95"/>
      <c r="L78" s="214"/>
      <c r="M78" s="214"/>
      <c r="N78" s="124"/>
      <c r="O78" s="95"/>
      <c r="P78" s="95"/>
      <c r="R78" s="45"/>
      <c r="S78" s="45"/>
      <c r="T78" s="131"/>
      <c r="U78" s="122"/>
      <c r="V78" s="30"/>
      <c r="W78" s="122"/>
      <c r="X78" s="122"/>
      <c r="Y78" s="152"/>
      <c r="Z78" s="152"/>
      <c r="AA78" s="12"/>
      <c r="AB78" s="139"/>
      <c r="AC78" s="139"/>
      <c r="AD78" s="139"/>
      <c r="AE78" s="139"/>
      <c r="AF78" s="140"/>
      <c r="AG78" s="140"/>
      <c r="AH78" s="139"/>
      <c r="AI78" s="139"/>
      <c r="AJ78" s="139"/>
      <c r="AK78" s="139"/>
      <c r="AL78" s="140"/>
      <c r="AN78" s="139"/>
      <c r="AO78" s="139"/>
      <c r="AP78" s="139"/>
      <c r="AQ78" s="139"/>
      <c r="AR78" s="140"/>
    </row>
    <row r="79" spans="1:49" ht="38.25" x14ac:dyDescent="0.2">
      <c r="A79" s="150" t="s">
        <v>252</v>
      </c>
      <c r="B79" s="33"/>
      <c r="C79" s="67"/>
      <c r="D79" s="124"/>
      <c r="E79" s="95"/>
      <c r="F79" s="95"/>
      <c r="G79" s="95"/>
      <c r="H79" s="95"/>
      <c r="L79" s="214"/>
      <c r="M79" s="214"/>
      <c r="N79" s="124"/>
      <c r="O79" s="95"/>
      <c r="P79" s="95"/>
      <c r="R79" s="45"/>
      <c r="S79" s="45"/>
      <c r="T79" s="131"/>
      <c r="U79" s="122"/>
      <c r="V79" s="30"/>
      <c r="W79" s="122"/>
      <c r="X79" s="122"/>
      <c r="Y79" s="152"/>
      <c r="Z79" s="152"/>
      <c r="AA79" s="12"/>
      <c r="AB79" s="139"/>
      <c r="AC79" s="139"/>
      <c r="AD79" s="139"/>
      <c r="AE79" s="139"/>
      <c r="AF79" s="140"/>
      <c r="AG79" s="140"/>
      <c r="AH79" s="139"/>
      <c r="AI79" s="139"/>
      <c r="AJ79" s="139"/>
      <c r="AK79" s="139"/>
      <c r="AL79" s="140"/>
      <c r="AN79" s="139"/>
      <c r="AO79" s="139"/>
      <c r="AP79" s="139"/>
      <c r="AQ79" s="139"/>
      <c r="AR79" s="140"/>
    </row>
    <row r="80" spans="1:49" ht="25.5" x14ac:dyDescent="0.2">
      <c r="A80" s="150" t="s">
        <v>242</v>
      </c>
      <c r="B80" s="33"/>
      <c r="C80" s="67"/>
      <c r="D80" s="124"/>
      <c r="E80" s="95"/>
      <c r="F80" s="95"/>
      <c r="G80" s="95"/>
      <c r="H80" s="95"/>
      <c r="L80" s="93"/>
      <c r="M80" s="93"/>
      <c r="N80" s="124"/>
      <c r="O80" s="95"/>
      <c r="P80" s="95"/>
      <c r="R80" s="12"/>
      <c r="S80" s="12"/>
      <c r="T80" s="12"/>
      <c r="U80" s="137"/>
      <c r="V80" s="138"/>
      <c r="W80" s="137"/>
      <c r="X80" s="137"/>
      <c r="Y80" s="12"/>
      <c r="Z80" s="12"/>
      <c r="AA80" s="12"/>
      <c r="AB80" s="139"/>
      <c r="AC80" s="139"/>
      <c r="AD80" s="139"/>
      <c r="AE80" s="139"/>
      <c r="AF80" s="140"/>
      <c r="AG80" s="140"/>
      <c r="AH80" s="139"/>
      <c r="AI80" s="139"/>
      <c r="AJ80" s="139"/>
      <c r="AK80" s="139"/>
      <c r="AL80" s="140"/>
      <c r="AN80" s="139"/>
      <c r="AO80" s="139"/>
      <c r="AP80" s="139"/>
      <c r="AQ80" s="139"/>
      <c r="AR80" s="140"/>
    </row>
    <row r="81" spans="1:63" ht="12.75" x14ac:dyDescent="0.2">
      <c r="A81" s="45" t="s">
        <v>236</v>
      </c>
      <c r="B81" s="33"/>
      <c r="C81" s="67"/>
      <c r="D81" s="124"/>
      <c r="E81" s="95"/>
      <c r="F81" s="95"/>
      <c r="G81" s="95"/>
      <c r="H81" s="95"/>
      <c r="L81" s="33"/>
      <c r="M81" s="33"/>
      <c r="N81" s="124"/>
      <c r="O81" s="95"/>
      <c r="P81" s="95"/>
      <c r="R81" s="12"/>
      <c r="S81" s="12"/>
      <c r="T81" s="12"/>
      <c r="U81" s="137"/>
      <c r="V81" s="138"/>
      <c r="W81" s="137"/>
      <c r="X81" s="137"/>
      <c r="Y81" s="12"/>
      <c r="Z81" s="12"/>
      <c r="AA81" s="12"/>
      <c r="AB81" s="139"/>
      <c r="AC81" s="139"/>
      <c r="AD81" s="139"/>
      <c r="AE81" s="139"/>
      <c r="AF81" s="140"/>
      <c r="AG81" s="140"/>
      <c r="AH81" s="139"/>
      <c r="AI81" s="139"/>
      <c r="AJ81" s="139"/>
      <c r="AK81" s="139"/>
      <c r="AL81" s="140"/>
      <c r="AN81" s="139"/>
      <c r="AO81" s="139"/>
      <c r="AP81" s="139"/>
      <c r="AQ81" s="139"/>
      <c r="AR81" s="140"/>
    </row>
    <row r="82" spans="1:63" ht="12.75" x14ac:dyDescent="0.2">
      <c r="A82" s="45" t="s">
        <v>237</v>
      </c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3"/>
      <c r="AC82" s="13"/>
      <c r="AD82" s="13"/>
      <c r="AE82" s="13"/>
      <c r="AF82" s="30"/>
      <c r="AG82" s="30"/>
      <c r="AH82" s="13"/>
      <c r="AI82" s="13"/>
      <c r="AJ82" s="13"/>
      <c r="AK82" s="13"/>
      <c r="AL82" s="30"/>
      <c r="AN82" s="13"/>
      <c r="AO82" s="13"/>
      <c r="AP82" s="13"/>
      <c r="AQ82" s="13"/>
      <c r="AR82" s="30"/>
    </row>
    <row r="83" spans="1:63" ht="12.75" x14ac:dyDescent="0.2">
      <c r="A83" s="45" t="s">
        <v>70</v>
      </c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3"/>
      <c r="AC83" s="13"/>
      <c r="AD83" s="13"/>
      <c r="AE83" s="13"/>
      <c r="AF83" s="30"/>
      <c r="AG83" s="30"/>
      <c r="AH83" s="13"/>
      <c r="AI83" s="13"/>
      <c r="AJ83" s="13"/>
      <c r="AK83" s="13"/>
      <c r="AL83" s="30"/>
      <c r="AN83" s="13"/>
      <c r="AO83" s="13"/>
      <c r="AP83" s="13"/>
      <c r="AQ83" s="13"/>
      <c r="AR83" s="30"/>
    </row>
    <row r="84" spans="1:63" ht="15.75" customHeight="1" x14ac:dyDescent="0.2">
      <c r="A84" s="45" t="s">
        <v>241</v>
      </c>
    </row>
    <row r="85" spans="1:63" ht="15.75" customHeight="1" x14ac:dyDescent="0.2">
      <c r="B85" s="185" t="s">
        <v>31</v>
      </c>
      <c r="C85" s="34"/>
      <c r="AB85" s="56" t="s">
        <v>27</v>
      </c>
      <c r="AC85" s="12"/>
      <c r="AD85" s="12"/>
      <c r="AE85" s="12"/>
      <c r="AF85" s="12"/>
      <c r="AG85" s="12"/>
      <c r="AH85" s="56" t="s">
        <v>28</v>
      </c>
      <c r="AI85" s="12"/>
      <c r="AJ85" s="12"/>
      <c r="AK85" s="12"/>
      <c r="AL85" s="12"/>
      <c r="AR85" s="34" t="s">
        <v>52</v>
      </c>
      <c r="AX85" s="34" t="s">
        <v>53</v>
      </c>
      <c r="BE85" s="34" t="s">
        <v>65</v>
      </c>
    </row>
    <row r="86" spans="1:63" ht="15.75" customHeight="1" x14ac:dyDescent="0.2">
      <c r="B86" s="28" t="s">
        <v>61</v>
      </c>
      <c r="C86" s="28"/>
      <c r="D86" s="28" t="s">
        <v>29</v>
      </c>
      <c r="E86" s="57" t="s">
        <v>63</v>
      </c>
      <c r="F86" s="57" t="s">
        <v>72</v>
      </c>
      <c r="G86" s="57"/>
      <c r="H86" s="57"/>
      <c r="I86" s="101"/>
      <c r="J86" s="101"/>
      <c r="K86" s="101"/>
      <c r="L86" s="101"/>
      <c r="M86" s="101"/>
      <c r="N86" s="101"/>
      <c r="O86" s="101"/>
      <c r="P86" s="101"/>
      <c r="R86" s="28" t="s">
        <v>3</v>
      </c>
      <c r="S86" s="28"/>
      <c r="T86" s="57" t="s">
        <v>50</v>
      </c>
      <c r="U86" s="57" t="s">
        <v>70</v>
      </c>
      <c r="V86" s="28" t="s">
        <v>1</v>
      </c>
      <c r="W86" s="57" t="s">
        <v>62</v>
      </c>
      <c r="X86" s="57" t="s">
        <v>9</v>
      </c>
      <c r="Y86" s="57"/>
      <c r="AB86" s="28" t="s">
        <v>30</v>
      </c>
      <c r="AC86" s="28" t="s">
        <v>1</v>
      </c>
      <c r="AD86" s="57" t="s">
        <v>10</v>
      </c>
      <c r="AE86" s="57"/>
      <c r="AF86" s="57" t="s">
        <v>64</v>
      </c>
      <c r="AG86" s="60"/>
      <c r="AH86" s="28" t="s">
        <v>30</v>
      </c>
      <c r="AI86" s="28" t="s">
        <v>1</v>
      </c>
      <c r="AJ86" s="57" t="s">
        <v>10</v>
      </c>
      <c r="AK86" s="57"/>
      <c r="AL86" s="57" t="s">
        <v>64</v>
      </c>
      <c r="AM86" s="28" t="s">
        <v>58</v>
      </c>
      <c r="AN86" s="28"/>
      <c r="AO86" s="28" t="s">
        <v>59</v>
      </c>
      <c r="AP86" s="28" t="s">
        <v>60</v>
      </c>
      <c r="AR86" s="61" t="s">
        <v>54</v>
      </c>
      <c r="AS86" s="61" t="s">
        <v>57</v>
      </c>
      <c r="AT86" s="61" t="s">
        <v>55</v>
      </c>
      <c r="AU86" s="61" t="s">
        <v>57</v>
      </c>
      <c r="AV86" s="61" t="s">
        <v>56</v>
      </c>
      <c r="AW86" s="61" t="s">
        <v>57</v>
      </c>
      <c r="AX86" s="28" t="s">
        <v>54</v>
      </c>
      <c r="AY86" s="28" t="s">
        <v>57</v>
      </c>
      <c r="AZ86" s="28" t="s">
        <v>55</v>
      </c>
      <c r="BA86" s="28" t="s">
        <v>57</v>
      </c>
      <c r="BB86" s="28" t="s">
        <v>56</v>
      </c>
      <c r="BC86" s="28" t="s">
        <v>57</v>
      </c>
      <c r="BD86" s="60"/>
      <c r="BE86" s="61" t="s">
        <v>54</v>
      </c>
      <c r="BF86" s="61" t="s">
        <v>57</v>
      </c>
      <c r="BG86" s="61" t="s">
        <v>55</v>
      </c>
      <c r="BH86" s="61" t="s">
        <v>57</v>
      </c>
      <c r="BI86" s="61" t="s">
        <v>66</v>
      </c>
      <c r="BJ86" s="61" t="s">
        <v>56</v>
      </c>
      <c r="BK86" s="61" t="s">
        <v>57</v>
      </c>
    </row>
    <row r="87" spans="1:63" ht="15.75" customHeight="1" x14ac:dyDescent="0.2">
      <c r="B87" s="33">
        <v>100</v>
      </c>
      <c r="C87" s="33"/>
      <c r="D87" s="29">
        <v>0.7</v>
      </c>
      <c r="E87" s="50">
        <v>5</v>
      </c>
      <c r="F87">
        <v>10</v>
      </c>
      <c r="R87" s="12" t="s">
        <v>32</v>
      </c>
      <c r="S87" s="12"/>
      <c r="T87" s="13"/>
      <c r="U87" s="13"/>
      <c r="V87" s="13">
        <v>200</v>
      </c>
      <c r="W87" s="58" t="e">
        <f>V87/#REF!</f>
        <v>#REF!</v>
      </c>
      <c r="X87" s="58"/>
      <c r="Y87" s="58"/>
      <c r="AB87" s="31" t="e">
        <f>#REF!</f>
        <v>#REF!</v>
      </c>
      <c r="AC87" s="31">
        <f>V87*D87</f>
        <v>140</v>
      </c>
      <c r="AD87" s="63" t="e">
        <f>(#REF!+(#REF!*(F87/100)))/(1-#REF!/100)</f>
        <v>#REF!</v>
      </c>
      <c r="AE87" s="63"/>
      <c r="AF87" s="32" t="e">
        <f>AC87/AB87</f>
        <v>#REF!</v>
      </c>
      <c r="AG87" s="32"/>
      <c r="AH87" s="31" t="e">
        <f>#REF!</f>
        <v>#REF!</v>
      </c>
      <c r="AI87" s="31">
        <f>V87*(1-D87)</f>
        <v>60.000000000000007</v>
      </c>
      <c r="AJ87" s="63" t="e">
        <f>(#REF!+(#REF!*(F87/100)))/(1-#REF!/100)</f>
        <v>#REF!</v>
      </c>
      <c r="AK87" s="63"/>
      <c r="AL87" s="32" t="e">
        <f>AI87/AH87</f>
        <v>#REF!</v>
      </c>
      <c r="AM87" s="32" t="e">
        <f>AF87</f>
        <v>#REF!</v>
      </c>
      <c r="AN87" s="32"/>
      <c r="AO87" s="32" t="e">
        <f>AL87</f>
        <v>#REF!</v>
      </c>
      <c r="AP87" s="32" t="e">
        <f>AM87+AO87</f>
        <v>#REF!</v>
      </c>
      <c r="AR87" s="52">
        <v>0</v>
      </c>
      <c r="AS87" s="50">
        <v>0</v>
      </c>
      <c r="AT87" s="52">
        <v>0</v>
      </c>
      <c r="AU87" s="50">
        <v>0</v>
      </c>
      <c r="AV87" s="52">
        <v>0</v>
      </c>
      <c r="AW87" s="54">
        <v>0</v>
      </c>
      <c r="AX87" s="52">
        <v>0</v>
      </c>
      <c r="AY87" s="50">
        <v>0</v>
      </c>
      <c r="AZ87" s="52">
        <v>0</v>
      </c>
      <c r="BA87" s="50">
        <v>0</v>
      </c>
      <c r="BB87" s="52">
        <v>0</v>
      </c>
      <c r="BC87" s="50">
        <v>0</v>
      </c>
      <c r="BD87" s="50"/>
      <c r="BE87" s="52">
        <v>0</v>
      </c>
      <c r="BF87" s="50">
        <v>0</v>
      </c>
      <c r="BG87" s="52">
        <v>0</v>
      </c>
      <c r="BH87" s="50">
        <v>0</v>
      </c>
      <c r="BI87" s="52">
        <v>0</v>
      </c>
      <c r="BJ87" s="52">
        <v>0</v>
      </c>
      <c r="BK87" s="50">
        <v>0</v>
      </c>
    </row>
    <row r="88" spans="1:63" ht="15.75" customHeight="1" x14ac:dyDescent="0.2">
      <c r="B88" s="36">
        <v>100</v>
      </c>
      <c r="C88" s="36"/>
      <c r="D88" s="37">
        <v>0.7</v>
      </c>
      <c r="E88" s="51">
        <v>5</v>
      </c>
      <c r="F88" s="35">
        <v>10</v>
      </c>
      <c r="G88" s="35"/>
      <c r="H88" s="35"/>
      <c r="R88" s="41" t="s">
        <v>51</v>
      </c>
      <c r="S88" s="41"/>
      <c r="T88" s="42">
        <v>20</v>
      </c>
      <c r="U88" s="42"/>
      <c r="V88" s="42"/>
      <c r="W88" s="59"/>
      <c r="X88" s="59"/>
      <c r="Y88" s="59"/>
      <c r="AB88" s="38"/>
      <c r="AC88" s="38"/>
      <c r="AD88" s="65"/>
      <c r="AE88" s="65"/>
      <c r="AF88" s="39"/>
      <c r="AG88" s="32"/>
      <c r="AH88" s="38"/>
      <c r="AI88" s="38"/>
      <c r="AJ88" s="38"/>
      <c r="AK88" s="38"/>
      <c r="AL88" s="39"/>
      <c r="AM88" s="39" t="e">
        <f t="shared" ref="AM88:AP88" si="16">AM87</f>
        <v>#REF!</v>
      </c>
      <c r="AN88" s="39"/>
      <c r="AO88" s="39" t="e">
        <f t="shared" si="16"/>
        <v>#REF!</v>
      </c>
      <c r="AP88" s="39" t="e">
        <f t="shared" si="16"/>
        <v>#REF!</v>
      </c>
      <c r="AR88" s="40">
        <f>AR87</f>
        <v>0</v>
      </c>
      <c r="AS88" s="51">
        <f t="shared" ref="AS88:AU88" si="17">AS87</f>
        <v>0</v>
      </c>
      <c r="AT88" s="40">
        <f t="shared" si="17"/>
        <v>0</v>
      </c>
      <c r="AU88" s="51">
        <f t="shared" si="17"/>
        <v>0</v>
      </c>
      <c r="AV88" s="40">
        <f>AV87</f>
        <v>0</v>
      </c>
      <c r="AW88" s="55">
        <f>AV88/V87</f>
        <v>0</v>
      </c>
      <c r="AX88" s="40">
        <f>AX87</f>
        <v>0</v>
      </c>
      <c r="AY88" s="51">
        <f t="shared" ref="AY88" si="18">AY87</f>
        <v>0</v>
      </c>
      <c r="AZ88" s="40">
        <f t="shared" ref="AZ88" si="19">AZ87</f>
        <v>0</v>
      </c>
      <c r="BA88" s="51">
        <f t="shared" ref="BA88" si="20">BA87</f>
        <v>0</v>
      </c>
      <c r="BB88" s="40">
        <f>BB87</f>
        <v>0</v>
      </c>
      <c r="BC88" s="51">
        <f t="shared" ref="BC88" si="21">BC87</f>
        <v>0</v>
      </c>
      <c r="BD88" s="50"/>
      <c r="BE88" s="40">
        <f>AR88+AX88</f>
        <v>0</v>
      </c>
      <c r="BF88" s="51">
        <f t="shared" ref="BF88" si="22">BF87</f>
        <v>0</v>
      </c>
      <c r="BG88" s="40">
        <f t="shared" ref="BG88" si="23">BG87</f>
        <v>0</v>
      </c>
      <c r="BH88" s="51">
        <f t="shared" ref="BH88" si="24">BH87</f>
        <v>0</v>
      </c>
      <c r="BI88" s="65">
        <f>T88</f>
        <v>20</v>
      </c>
      <c r="BJ88" s="65">
        <f>BE88+BG88+BI88</f>
        <v>20</v>
      </c>
      <c r="BK88" s="55">
        <f>BJ88/(AC87+AI87)</f>
        <v>0.1</v>
      </c>
    </row>
    <row r="89" spans="1:63" ht="15.75" customHeight="1" x14ac:dyDescent="0.2">
      <c r="B89" s="33">
        <v>300</v>
      </c>
      <c r="C89" s="33"/>
      <c r="D89" s="29">
        <v>0.7</v>
      </c>
      <c r="E89" s="50">
        <v>5</v>
      </c>
      <c r="F89">
        <v>10</v>
      </c>
      <c r="R89" t="s">
        <v>33</v>
      </c>
      <c r="T89" s="33"/>
      <c r="U89" s="33"/>
      <c r="V89" s="33">
        <v>400</v>
      </c>
      <c r="W89" s="50" t="e">
        <f>V89/#REF!</f>
        <v>#REF!</v>
      </c>
      <c r="X89" s="50"/>
      <c r="Y89" s="50"/>
      <c r="AB89" s="31" t="e">
        <f>AB87</f>
        <v>#REF!</v>
      </c>
      <c r="AC89" s="31">
        <v>140</v>
      </c>
      <c r="AD89" s="63" t="e">
        <f>(#REF!+(#REF!*(F87/100)))/(1-#REF!/100)</f>
        <v>#REF!</v>
      </c>
      <c r="AE89" s="63"/>
      <c r="AF89" s="32">
        <v>1.4</v>
      </c>
      <c r="AG89" s="32"/>
      <c r="AH89" s="31">
        <v>100</v>
      </c>
      <c r="AI89" s="31">
        <v>60.000000000000007</v>
      </c>
      <c r="AJ89" s="63" t="e">
        <f>(#REF!+(#REF!*(F87/100)))/(1-#REF!/100)</f>
        <v>#REF!</v>
      </c>
      <c r="AK89" s="63"/>
      <c r="AL89" s="32">
        <v>0.60000000000000009</v>
      </c>
      <c r="AM89" s="32" t="e">
        <f>AM88+AF90</f>
        <v>#REF!</v>
      </c>
      <c r="AN89" s="32"/>
      <c r="AO89" s="32" t="e">
        <f>AO88</f>
        <v>#REF!</v>
      </c>
      <c r="AP89" s="32" t="e">
        <f>AM89+AO89</f>
        <v>#REF!</v>
      </c>
      <c r="AR89" s="52">
        <f>AR88</f>
        <v>0</v>
      </c>
      <c r="AS89" s="50">
        <f>AS88</f>
        <v>0</v>
      </c>
      <c r="AT89" s="52">
        <f>AT88</f>
        <v>0</v>
      </c>
      <c r="AU89" s="50">
        <f>AU88</f>
        <v>0</v>
      </c>
      <c r="AV89" s="52">
        <f>AV88</f>
        <v>0</v>
      </c>
      <c r="AW89" s="64">
        <f>AV89 / (V87+V89)</f>
        <v>0</v>
      </c>
      <c r="AX89" s="52" t="e">
        <f>(B89*AM89)-(AC89+AC90)</f>
        <v>#REF!</v>
      </c>
      <c r="AY89" s="54" t="e">
        <f>AX89/(AC89+AC90)</f>
        <v>#REF!</v>
      </c>
      <c r="AZ89" s="52" t="e">
        <f>(AO89*B89)-AI89</f>
        <v>#REF!</v>
      </c>
      <c r="BA89" s="53" t="e">
        <f>AZ89/(AH89*AL89)</f>
        <v>#REF!</v>
      </c>
      <c r="BB89" s="52" t="e">
        <f>AX89+AZ89</f>
        <v>#REF!</v>
      </c>
      <c r="BC89" s="62" t="e">
        <f>BB89/(AC89+AC90+AI89)</f>
        <v>#REF!</v>
      </c>
      <c r="BD89" s="62"/>
      <c r="BE89" s="52" t="e">
        <f>AR89+AX89</f>
        <v>#REF!</v>
      </c>
      <c r="BF89" s="54" t="e">
        <f>AY89</f>
        <v>#REF!</v>
      </c>
      <c r="BG89" s="52" t="e">
        <f>AT89+AZ89</f>
        <v>#REF!</v>
      </c>
      <c r="BH89" s="53" t="e">
        <f>BG89/AI89</f>
        <v>#REF!</v>
      </c>
      <c r="BI89" s="63">
        <f>BI88</f>
        <v>20</v>
      </c>
      <c r="BJ89" s="52" t="e">
        <f>BE89+BG89+BI89</f>
        <v>#REF!</v>
      </c>
      <c r="BK89" s="54" t="e">
        <f>BJ89/(AC89+AC90+AI89)</f>
        <v>#REF!</v>
      </c>
    </row>
    <row r="90" spans="1:63" ht="15.75" customHeight="1" x14ac:dyDescent="0.2">
      <c r="E90" s="50"/>
      <c r="W90" s="50"/>
      <c r="X90" s="50"/>
      <c r="Y90" s="50"/>
      <c r="AB90" s="31" t="e">
        <f>#REF!</f>
        <v>#REF!</v>
      </c>
      <c r="AC90" s="31">
        <f>V89</f>
        <v>400</v>
      </c>
      <c r="AD90" s="63" t="e">
        <f>(#REF!+(#REF!*(F89/100)))/(1-#REF!/100)</f>
        <v>#REF!</v>
      </c>
      <c r="AE90" s="63"/>
      <c r="AF90" s="32" t="e">
        <f>AC90/AB90</f>
        <v>#REF!</v>
      </c>
      <c r="AG90" s="32"/>
      <c r="AH90" s="49" t="s">
        <v>34</v>
      </c>
      <c r="AI90" s="49" t="s">
        <v>34</v>
      </c>
      <c r="AJ90" s="49" t="s">
        <v>34</v>
      </c>
      <c r="AK90" s="49"/>
      <c r="AL90" s="49" t="s">
        <v>34</v>
      </c>
      <c r="AS90" s="50"/>
      <c r="AU90" s="50"/>
      <c r="AW90" s="54"/>
      <c r="AX90" s="31"/>
      <c r="AY90" s="54"/>
      <c r="BA90" s="50"/>
      <c r="BC90" s="50"/>
      <c r="BD90" s="50"/>
      <c r="BF90" s="50"/>
      <c r="BH90" s="50"/>
      <c r="BI90" s="63"/>
      <c r="BK90" s="50"/>
    </row>
    <row r="91" spans="1:63" ht="15.75" customHeight="1" x14ac:dyDescent="0.2">
      <c r="B91" s="36">
        <v>910</v>
      </c>
      <c r="C91" s="36"/>
      <c r="D91" s="37">
        <v>0.7</v>
      </c>
      <c r="E91" s="51">
        <v>5</v>
      </c>
      <c r="F91" s="35">
        <v>10</v>
      </c>
      <c r="G91" s="35"/>
      <c r="H91" s="35"/>
      <c r="R91" s="35" t="s">
        <v>35</v>
      </c>
      <c r="S91" s="35"/>
      <c r="T91" s="36"/>
      <c r="U91" s="36"/>
      <c r="V91" s="36">
        <v>350</v>
      </c>
      <c r="W91" s="51" t="e">
        <f>V91/#REF!</f>
        <v>#REF!</v>
      </c>
      <c r="X91" s="51"/>
      <c r="Y91" s="51"/>
      <c r="AB91" s="38" t="e">
        <f>AB89</f>
        <v>#REF!</v>
      </c>
      <c r="AC91" s="38">
        <v>140</v>
      </c>
      <c r="AD91" s="65" t="e">
        <f>AD89</f>
        <v>#REF!</v>
      </c>
      <c r="AE91" s="65"/>
      <c r="AF91" s="39">
        <v>1.4</v>
      </c>
      <c r="AG91" s="32"/>
      <c r="AH91" s="38">
        <v>100</v>
      </c>
      <c r="AI91" s="38">
        <v>60.000000000000007</v>
      </c>
      <c r="AJ91" s="65" t="e">
        <f>AJ89</f>
        <v>#REF!</v>
      </c>
      <c r="AK91" s="65"/>
      <c r="AL91" s="39">
        <v>0.60000000000000009</v>
      </c>
      <c r="AM91" s="39" t="e">
        <f>AM89</f>
        <v>#REF!</v>
      </c>
      <c r="AN91" s="39"/>
      <c r="AO91" s="39" t="e">
        <f>AO89+AL92</f>
        <v>#REF!</v>
      </c>
      <c r="AP91" s="39" t="e">
        <f>AM91+AO91</f>
        <v>#REF!</v>
      </c>
      <c r="AR91" s="40">
        <f t="shared" ref="AR91:AW91" si="25">AR89</f>
        <v>0</v>
      </c>
      <c r="AS91" s="51">
        <f t="shared" si="25"/>
        <v>0</v>
      </c>
      <c r="AT91" s="40">
        <f t="shared" si="25"/>
        <v>0</v>
      </c>
      <c r="AU91" s="51">
        <f t="shared" si="25"/>
        <v>0</v>
      </c>
      <c r="AV91" s="40">
        <f t="shared" si="25"/>
        <v>0</v>
      </c>
      <c r="AW91" s="55">
        <f t="shared" si="25"/>
        <v>0</v>
      </c>
      <c r="AX91" s="40" t="e">
        <f>(B91*AM91)-(AC91+AC92)</f>
        <v>#REF!</v>
      </c>
      <c r="AY91" s="55" t="e">
        <f>AX91/(AC91+AC92)</f>
        <v>#REF!</v>
      </c>
      <c r="AZ91" s="40" t="e">
        <f>(AO91*B91)-(AI91+AI92)</f>
        <v>#REF!</v>
      </c>
      <c r="BA91" s="55" t="e">
        <f>AZ91/(AI91+AI92)</f>
        <v>#REF!</v>
      </c>
      <c r="BB91" s="40" t="e">
        <f>AX91+AZ91</f>
        <v>#REF!</v>
      </c>
      <c r="BC91" s="55" t="e">
        <f>BB91/(AC91+AC92+AI91+AI92)</f>
        <v>#REF!</v>
      </c>
      <c r="BD91" s="50"/>
      <c r="BE91" s="40" t="e">
        <f>AR91+AX91</f>
        <v>#REF!</v>
      </c>
      <c r="BF91" s="55" t="e">
        <f>AY91</f>
        <v>#REF!</v>
      </c>
      <c r="BG91" s="40" t="e">
        <f>AT91+AZ91</f>
        <v>#REF!</v>
      </c>
      <c r="BH91" s="55" t="e">
        <f>BG91/(AI91+AI92)</f>
        <v>#REF!</v>
      </c>
      <c r="BI91" s="65">
        <f>BI89</f>
        <v>20</v>
      </c>
      <c r="BJ91" s="40" t="e">
        <f>BE91+BG91+BI91</f>
        <v>#REF!</v>
      </c>
      <c r="BK91" s="55" t="e">
        <f>BJ91/(AC91+AC92+AI91+AI92)</f>
        <v>#REF!</v>
      </c>
    </row>
    <row r="92" spans="1:63" ht="15.75" customHeight="1" x14ac:dyDescent="0.2">
      <c r="B92" s="35"/>
      <c r="C92" s="35"/>
      <c r="D92" s="35"/>
      <c r="E92" s="51"/>
      <c r="F92" s="35"/>
      <c r="G92" s="35"/>
      <c r="H92" s="35"/>
      <c r="R92" s="35"/>
      <c r="S92" s="35"/>
      <c r="T92" s="35"/>
      <c r="U92" s="35"/>
      <c r="V92" s="35"/>
      <c r="W92" s="51"/>
      <c r="X92" s="51"/>
      <c r="Y92" s="51"/>
      <c r="AB92" s="38" t="e">
        <f>AB90</f>
        <v>#REF!</v>
      </c>
      <c r="AC92" s="38">
        <v>400</v>
      </c>
      <c r="AD92" s="65" t="e">
        <f>AD90</f>
        <v>#REF!</v>
      </c>
      <c r="AE92" s="65"/>
      <c r="AF92" s="39">
        <v>1.6</v>
      </c>
      <c r="AG92" s="32"/>
      <c r="AH92" s="36" t="e">
        <f>#REF!</f>
        <v>#REF!</v>
      </c>
      <c r="AI92" s="36">
        <f>V91</f>
        <v>350</v>
      </c>
      <c r="AJ92" s="65" t="e">
        <f>(#REF!+(#REF!*(F91/100)))/(1-#REF!/100)</f>
        <v>#REF!</v>
      </c>
      <c r="AK92" s="65"/>
      <c r="AL92" s="39" t="e">
        <f>AI92/AH92</f>
        <v>#REF!</v>
      </c>
      <c r="AS92" s="50"/>
      <c r="AU92" s="50"/>
      <c r="AW92" s="50"/>
      <c r="AY92" s="50"/>
      <c r="BA92" s="50"/>
      <c r="BC92" s="50"/>
      <c r="BD92" s="50"/>
      <c r="BF92" s="50"/>
      <c r="BH92" s="50"/>
      <c r="BI92" s="63"/>
      <c r="BK92" s="50"/>
    </row>
    <row r="93" spans="1:63" ht="15.75" customHeight="1" x14ac:dyDescent="0.2">
      <c r="B93" s="33">
        <v>910</v>
      </c>
      <c r="C93" s="33"/>
      <c r="D93" s="29">
        <v>0.7</v>
      </c>
      <c r="E93" s="50">
        <v>5</v>
      </c>
      <c r="F93">
        <v>10</v>
      </c>
      <c r="R93" t="s">
        <v>49</v>
      </c>
      <c r="T93" s="33">
        <v>10</v>
      </c>
      <c r="U93" s="33"/>
      <c r="W93" s="50"/>
      <c r="X93" s="50"/>
      <c r="Y93" s="50"/>
      <c r="AB93" s="31"/>
      <c r="AC93" s="31"/>
      <c r="AD93" s="31"/>
      <c r="AE93" s="31"/>
      <c r="AF93" s="31"/>
      <c r="AG93" s="31"/>
      <c r="AH93" s="33"/>
      <c r="AI93" s="33"/>
      <c r="AJ93" s="31"/>
      <c r="AK93" s="31"/>
      <c r="AL93" s="32"/>
      <c r="AM93" s="32" t="e">
        <f>AM91</f>
        <v>#REF!</v>
      </c>
      <c r="AN93" s="32"/>
      <c r="AO93" s="32" t="e">
        <f>AO91+AL94</f>
        <v>#REF!</v>
      </c>
      <c r="AP93" s="32" t="e">
        <f>AM93+AO93</f>
        <v>#REF!</v>
      </c>
      <c r="AR93" s="52">
        <f t="shared" ref="AR93:AW94" si="26">AR91</f>
        <v>0</v>
      </c>
      <c r="AS93" s="50">
        <f t="shared" si="26"/>
        <v>0</v>
      </c>
      <c r="AT93" s="52">
        <f t="shared" si="26"/>
        <v>0</v>
      </c>
      <c r="AU93" s="50">
        <f t="shared" si="26"/>
        <v>0</v>
      </c>
      <c r="AV93" s="52">
        <f t="shared" si="26"/>
        <v>0</v>
      </c>
      <c r="AW93" s="62">
        <f t="shared" si="26"/>
        <v>0</v>
      </c>
      <c r="AX93" s="52" t="e">
        <f t="shared" ref="AX93:BC93" si="27">AX91</f>
        <v>#REF!</v>
      </c>
      <c r="AY93" s="62" t="e">
        <f t="shared" si="27"/>
        <v>#REF!</v>
      </c>
      <c r="AZ93" s="52" t="e">
        <f t="shared" si="27"/>
        <v>#REF!</v>
      </c>
      <c r="BA93" s="62" t="e">
        <f t="shared" si="27"/>
        <v>#REF!</v>
      </c>
      <c r="BB93" s="52" t="e">
        <f t="shared" si="27"/>
        <v>#REF!</v>
      </c>
      <c r="BC93" s="62" t="e">
        <f t="shared" si="27"/>
        <v>#REF!</v>
      </c>
      <c r="BD93" s="50"/>
      <c r="BE93" s="52" t="e">
        <f>BE91</f>
        <v>#REF!</v>
      </c>
      <c r="BF93" s="62" t="e">
        <f>BF91</f>
        <v>#REF!</v>
      </c>
      <c r="BG93" s="52" t="e">
        <f>BG91</f>
        <v>#REF!</v>
      </c>
      <c r="BH93" s="62" t="e">
        <f>BH91</f>
        <v>#REF!</v>
      </c>
      <c r="BI93" s="63">
        <f>BI91+T93</f>
        <v>30</v>
      </c>
      <c r="BJ93" s="52" t="e">
        <f>BE93+BG93+BI93</f>
        <v>#REF!</v>
      </c>
      <c r="BK93" s="62" t="e">
        <f>BJ93/(AC91+AC92+AI91+AI92)</f>
        <v>#REF!</v>
      </c>
    </row>
    <row r="94" spans="1:63" ht="15.75" customHeight="1" x14ac:dyDescent="0.2">
      <c r="B94" s="36">
        <v>510</v>
      </c>
      <c r="C94" s="36"/>
      <c r="D94" s="37">
        <v>0.7</v>
      </c>
      <c r="E94" s="51">
        <v>5</v>
      </c>
      <c r="F94" s="35">
        <v>10</v>
      </c>
      <c r="G94" s="35"/>
      <c r="H94" s="35"/>
      <c r="R94" s="35" t="s">
        <v>36</v>
      </c>
      <c r="S94" s="35"/>
      <c r="T94" s="40"/>
      <c r="U94" s="40"/>
      <c r="V94" s="36">
        <v>100</v>
      </c>
      <c r="W94" s="51" t="e">
        <f>V94/#REF!</f>
        <v>#REF!</v>
      </c>
      <c r="X94" s="51"/>
      <c r="Y94" s="51"/>
      <c r="AB94" s="38">
        <v>100</v>
      </c>
      <c r="AC94" s="38">
        <v>140</v>
      </c>
      <c r="AD94" s="38" t="e">
        <f>AD91</f>
        <v>#REF!</v>
      </c>
      <c r="AE94" s="38"/>
      <c r="AF94" s="39">
        <v>1.4</v>
      </c>
      <c r="AG94" s="32"/>
      <c r="AH94" s="38">
        <v>100</v>
      </c>
      <c r="AI94" s="38">
        <v>60.000000000000007</v>
      </c>
      <c r="AJ94" s="38" t="e">
        <f>AJ91</f>
        <v>#REF!</v>
      </c>
      <c r="AK94" s="38"/>
      <c r="AL94" s="39">
        <v>0.60000000000000009</v>
      </c>
      <c r="AM94" s="39" t="e">
        <f>AF94+AF95+AF96</f>
        <v>#REF!</v>
      </c>
      <c r="AN94" s="39"/>
      <c r="AO94" s="39" t="e">
        <f>AL94+AL95+AL96</f>
        <v>#REF!</v>
      </c>
      <c r="AP94" s="39" t="e">
        <f>AM94+AO94</f>
        <v>#REF!</v>
      </c>
      <c r="AR94" s="40">
        <f t="shared" si="26"/>
        <v>0</v>
      </c>
      <c r="AS94" s="51">
        <f t="shared" si="26"/>
        <v>0</v>
      </c>
      <c r="AT94" s="40">
        <f t="shared" si="26"/>
        <v>0</v>
      </c>
      <c r="AU94" s="51">
        <f t="shared" si="26"/>
        <v>0</v>
      </c>
      <c r="AV94" s="40">
        <f t="shared" si="26"/>
        <v>0</v>
      </c>
      <c r="AW94" s="55">
        <f t="shared" si="26"/>
        <v>0</v>
      </c>
      <c r="AX94" s="40" t="e">
        <f>(B94*AM94)-(AC94+AC95+AC96)</f>
        <v>#REF!</v>
      </c>
      <c r="AY94" s="55" t="e">
        <f>AX94/(AC94+AC95+AC96)</f>
        <v>#REF!</v>
      </c>
      <c r="AZ94" s="40" t="e">
        <f>(AO94*B94)-(AI94+AI95+AI96)</f>
        <v>#REF!</v>
      </c>
      <c r="BA94" s="55" t="e">
        <f>AZ94/(AI94+AI95+AI96)</f>
        <v>#REF!</v>
      </c>
      <c r="BB94" s="40" t="e">
        <f>AX94+AZ94</f>
        <v>#REF!</v>
      </c>
      <c r="BC94" s="55" t="e">
        <f>BB94/(AC94+AC95+AC96+AI94+AI95+AI96)</f>
        <v>#REF!</v>
      </c>
      <c r="BD94" s="50"/>
      <c r="BE94" s="40" t="e">
        <f>AR94+AX94</f>
        <v>#REF!</v>
      </c>
      <c r="BF94" s="55" t="e">
        <f>AY94</f>
        <v>#REF!</v>
      </c>
      <c r="BG94" s="40" t="e">
        <f>AT94+AZ94</f>
        <v>#REF!</v>
      </c>
      <c r="BH94" s="55" t="e">
        <f>BG94/(AI94+AI95+AI96)</f>
        <v>#REF!</v>
      </c>
      <c r="BI94" s="65">
        <f>BI93</f>
        <v>30</v>
      </c>
      <c r="BJ94" s="40" t="e">
        <f>BE94+BG94+BI94</f>
        <v>#REF!</v>
      </c>
      <c r="BK94" s="55" t="e">
        <f>BJ94/(AC94+AC95+AC96+AI94+AI95+AI96)</f>
        <v>#REF!</v>
      </c>
    </row>
    <row r="95" spans="1:63" ht="15.75" customHeight="1" x14ac:dyDescent="0.2">
      <c r="B95" s="35"/>
      <c r="C95" s="35"/>
      <c r="D95" s="35"/>
      <c r="E95" s="51"/>
      <c r="F95" s="35"/>
      <c r="G95" s="35"/>
      <c r="H95" s="35"/>
      <c r="R95" s="35"/>
      <c r="S95" s="35"/>
      <c r="T95" s="35"/>
      <c r="U95" s="35"/>
      <c r="V95" s="35"/>
      <c r="W95" s="51"/>
      <c r="X95" s="51"/>
      <c r="Y95" s="51"/>
      <c r="AB95" s="38">
        <v>250</v>
      </c>
      <c r="AC95" s="38">
        <v>400</v>
      </c>
      <c r="AD95" s="38" t="e">
        <f>AD92</f>
        <v>#REF!</v>
      </c>
      <c r="AE95" s="38"/>
      <c r="AF95" s="39">
        <v>1.6</v>
      </c>
      <c r="AG95" s="32"/>
      <c r="AH95" s="36">
        <v>900</v>
      </c>
      <c r="AI95" s="36">
        <v>350</v>
      </c>
      <c r="AJ95" s="38" t="e">
        <f>AJ92</f>
        <v>#REF!</v>
      </c>
      <c r="AK95" s="38"/>
      <c r="AL95" s="39">
        <v>0.3888888888888889</v>
      </c>
      <c r="AM95" s="35"/>
      <c r="AN95" s="35"/>
      <c r="AO95" s="35"/>
      <c r="AP95" s="35"/>
      <c r="AR95" s="35"/>
      <c r="AS95" s="51"/>
      <c r="AT95" s="35"/>
      <c r="AU95" s="51"/>
      <c r="AV95" s="35"/>
      <c r="AW95" s="51"/>
      <c r="AX95" s="35"/>
      <c r="AY95" s="51"/>
      <c r="AZ95" s="35"/>
      <c r="BA95" s="51"/>
      <c r="BB95" s="35"/>
      <c r="BC95" s="51"/>
      <c r="BD95" s="50"/>
      <c r="BE95" s="35"/>
      <c r="BF95" s="51"/>
      <c r="BG95" s="35"/>
      <c r="BH95" s="51"/>
      <c r="BI95" s="35"/>
      <c r="BJ95" s="35"/>
      <c r="BK95" s="51"/>
    </row>
    <row r="96" spans="1:63" ht="15.75" customHeight="1" x14ac:dyDescent="0.2">
      <c r="B96" s="35"/>
      <c r="C96" s="35"/>
      <c r="D96" s="35"/>
      <c r="E96" s="51"/>
      <c r="F96" s="35"/>
      <c r="G96" s="35"/>
      <c r="H96" s="35"/>
      <c r="R96" s="35"/>
      <c r="S96" s="35"/>
      <c r="T96" s="35"/>
      <c r="U96" s="35"/>
      <c r="V96" s="35"/>
      <c r="W96" s="51"/>
      <c r="X96" s="51"/>
      <c r="Y96" s="51"/>
      <c r="AB96" s="40" t="e">
        <f>#REF!</f>
        <v>#REF!</v>
      </c>
      <c r="AC96" s="36">
        <f>V94*D94</f>
        <v>70</v>
      </c>
      <c r="AD96" s="65" t="e">
        <f>(#REF!+(#REF!*(F94/100)))/(1-#REF!/100)</f>
        <v>#REF!</v>
      </c>
      <c r="AE96" s="65"/>
      <c r="AF96" s="39" t="e">
        <f>AC96/AB96</f>
        <v>#REF!</v>
      </c>
      <c r="AG96" s="31"/>
      <c r="AH96" s="40" t="e">
        <f>#REF!</f>
        <v>#REF!</v>
      </c>
      <c r="AI96" s="36">
        <f>V94*(1-D94)</f>
        <v>30.000000000000004</v>
      </c>
      <c r="AJ96" s="65" t="e">
        <f>(#REF!+(#REF!*(F94/100)))/(1-#REF!/100)</f>
        <v>#REF!</v>
      </c>
      <c r="AK96" s="65"/>
      <c r="AL96" s="39" t="e">
        <f>AI96/AH96</f>
        <v>#REF!</v>
      </c>
      <c r="AM96" s="35"/>
      <c r="AN96" s="35"/>
      <c r="AO96" s="35"/>
      <c r="AP96" s="35"/>
      <c r="AR96" s="35"/>
      <c r="AS96" s="51"/>
      <c r="AT96" s="35"/>
      <c r="AU96" s="51"/>
      <c r="AV96" s="35"/>
      <c r="AW96" s="51"/>
      <c r="AX96" s="35"/>
      <c r="AY96" s="51"/>
      <c r="AZ96" s="35"/>
      <c r="BA96" s="51"/>
      <c r="BB96" s="35"/>
      <c r="BC96" s="51"/>
      <c r="BD96" s="50"/>
      <c r="BE96" s="35"/>
      <c r="BF96" s="51"/>
      <c r="BG96" s="35"/>
      <c r="BH96" s="51"/>
      <c r="BI96" s="35"/>
      <c r="BJ96" s="35"/>
      <c r="BK96" s="51"/>
    </row>
    <row r="97" spans="2:63" ht="15.75" customHeight="1" x14ac:dyDescent="0.2">
      <c r="E97" s="50"/>
      <c r="W97" s="50"/>
      <c r="X97" s="50"/>
      <c r="Y97" s="50"/>
      <c r="AB97" s="52"/>
      <c r="AC97" s="33"/>
      <c r="AD97" s="33"/>
      <c r="AE97" s="33"/>
      <c r="AF97" s="32"/>
      <c r="AG97" s="31"/>
      <c r="AH97" s="52"/>
      <c r="AI97" s="33"/>
      <c r="AJ97" s="33"/>
      <c r="AK97" s="33"/>
      <c r="AL97" s="32"/>
      <c r="AS97" s="50"/>
      <c r="AU97" s="50"/>
      <c r="AW97" s="50"/>
      <c r="AY97" s="50"/>
      <c r="BA97" s="50"/>
      <c r="BC97" s="50"/>
      <c r="BD97" s="50"/>
      <c r="BF97" s="50"/>
      <c r="BH97" s="50"/>
      <c r="BK97" s="50"/>
    </row>
    <row r="98" spans="2:63" ht="15.75" customHeight="1" x14ac:dyDescent="0.2">
      <c r="B98" s="185" t="s">
        <v>67</v>
      </c>
      <c r="C98" s="34"/>
      <c r="AB98" s="56" t="s">
        <v>27</v>
      </c>
      <c r="AC98" s="12"/>
      <c r="AD98" s="12"/>
      <c r="AE98" s="12"/>
      <c r="AF98" s="12"/>
      <c r="AG98" s="12"/>
      <c r="AH98" s="56" t="s">
        <v>28</v>
      </c>
      <c r="AI98" s="12"/>
      <c r="AJ98" s="12"/>
      <c r="AK98" s="12"/>
      <c r="AL98" s="12"/>
      <c r="AR98" s="34" t="s">
        <v>52</v>
      </c>
      <c r="AX98" s="34" t="s">
        <v>53</v>
      </c>
      <c r="BE98" s="34" t="s">
        <v>65</v>
      </c>
    </row>
    <row r="99" spans="2:63" ht="15.75" customHeight="1" x14ac:dyDescent="0.2">
      <c r="B99" s="28" t="s">
        <v>61</v>
      </c>
      <c r="C99" s="28"/>
      <c r="D99" s="28" t="s">
        <v>29</v>
      </c>
      <c r="E99" s="57" t="s">
        <v>63</v>
      </c>
      <c r="F99" s="57" t="s">
        <v>72</v>
      </c>
      <c r="G99" s="57"/>
      <c r="H99" s="57"/>
      <c r="I99" s="101"/>
      <c r="J99" s="101"/>
      <c r="K99" s="101"/>
      <c r="L99" s="101"/>
      <c r="M99" s="101"/>
      <c r="N99" s="101"/>
      <c r="O99" s="101"/>
      <c r="P99" s="101"/>
      <c r="R99" s="28" t="s">
        <v>3</v>
      </c>
      <c r="S99" s="28"/>
      <c r="T99" s="57" t="s">
        <v>50</v>
      </c>
      <c r="U99" s="57" t="s">
        <v>70</v>
      </c>
      <c r="V99" s="28" t="s">
        <v>1</v>
      </c>
      <c r="W99" s="57" t="s">
        <v>62</v>
      </c>
      <c r="X99" s="57" t="s">
        <v>9</v>
      </c>
      <c r="Y99" s="57"/>
      <c r="AB99" s="28" t="s">
        <v>30</v>
      </c>
      <c r="AC99" s="28" t="s">
        <v>1</v>
      </c>
      <c r="AD99" s="57" t="s">
        <v>10</v>
      </c>
      <c r="AE99" s="57"/>
      <c r="AF99" s="57" t="s">
        <v>64</v>
      </c>
      <c r="AG99" s="60"/>
      <c r="AH99" s="28" t="s">
        <v>30</v>
      </c>
      <c r="AI99" s="28" t="s">
        <v>1</v>
      </c>
      <c r="AJ99" s="57" t="s">
        <v>10</v>
      </c>
      <c r="AK99" s="57"/>
      <c r="AL99" s="57" t="s">
        <v>64</v>
      </c>
      <c r="AM99" s="28" t="s">
        <v>58</v>
      </c>
      <c r="AN99" s="28"/>
      <c r="AO99" s="28" t="s">
        <v>59</v>
      </c>
      <c r="AP99" s="28" t="s">
        <v>60</v>
      </c>
      <c r="AR99" s="61" t="s">
        <v>54</v>
      </c>
      <c r="AS99" s="61" t="s">
        <v>57</v>
      </c>
      <c r="AT99" s="61" t="s">
        <v>55</v>
      </c>
      <c r="AU99" s="61" t="s">
        <v>57</v>
      </c>
      <c r="AV99" s="61" t="s">
        <v>56</v>
      </c>
      <c r="AW99" s="61" t="s">
        <v>57</v>
      </c>
      <c r="AX99" s="28" t="s">
        <v>54</v>
      </c>
      <c r="AY99" s="28" t="s">
        <v>57</v>
      </c>
      <c r="AZ99" s="28" t="s">
        <v>55</v>
      </c>
      <c r="BA99" s="28" t="s">
        <v>57</v>
      </c>
      <c r="BB99" s="28" t="s">
        <v>56</v>
      </c>
      <c r="BC99" s="28" t="s">
        <v>57</v>
      </c>
      <c r="BD99" s="60"/>
      <c r="BE99" s="61" t="s">
        <v>54</v>
      </c>
      <c r="BF99" s="61" t="s">
        <v>57</v>
      </c>
      <c r="BG99" s="61" t="s">
        <v>55</v>
      </c>
      <c r="BH99" s="61" t="s">
        <v>57</v>
      </c>
      <c r="BI99" s="61" t="s">
        <v>66</v>
      </c>
      <c r="BJ99" s="61" t="s">
        <v>56</v>
      </c>
      <c r="BK99" s="61" t="s">
        <v>57</v>
      </c>
    </row>
    <row r="100" spans="2:63" ht="15.75" customHeight="1" x14ac:dyDescent="0.2">
      <c r="B100" s="33">
        <v>200</v>
      </c>
      <c r="C100" s="33"/>
      <c r="D100" s="29">
        <v>0.6</v>
      </c>
      <c r="E100" s="50">
        <v>5</v>
      </c>
      <c r="F100">
        <v>10</v>
      </c>
      <c r="R100" s="12" t="s">
        <v>68</v>
      </c>
      <c r="S100" s="12"/>
      <c r="T100" s="13"/>
      <c r="U100" s="13"/>
      <c r="V100" s="13">
        <v>400</v>
      </c>
      <c r="W100" s="58" t="e">
        <f>V100/#REF!</f>
        <v>#REF!</v>
      </c>
      <c r="X100" s="58"/>
      <c r="Y100" s="58"/>
      <c r="AB100" s="31" t="e">
        <f>#REF!</f>
        <v>#REF!</v>
      </c>
      <c r="AC100" s="31">
        <f>V100*D100</f>
        <v>240</v>
      </c>
      <c r="AD100" s="63" t="e">
        <f>(#REF!+(#REF!*(F100/100)))/(1-#REF!/100)</f>
        <v>#REF!</v>
      </c>
      <c r="AE100" s="63"/>
      <c r="AF100" s="32" t="e">
        <f>AC100/AB100</f>
        <v>#REF!</v>
      </c>
      <c r="AG100" s="32"/>
      <c r="AH100" s="31" t="e">
        <f>#REF!</f>
        <v>#REF!</v>
      </c>
      <c r="AI100" s="31">
        <f>V100*(1-D100)</f>
        <v>160</v>
      </c>
      <c r="AJ100" s="63" t="e">
        <f>(#REF!+(#REF!*(F100/100)))/(1-#REF!/100)</f>
        <v>#REF!</v>
      </c>
      <c r="AK100" s="63"/>
      <c r="AL100" s="32" t="e">
        <f>AI100/AH100</f>
        <v>#REF!</v>
      </c>
      <c r="AM100" s="32" t="e">
        <f>AF100</f>
        <v>#REF!</v>
      </c>
      <c r="AN100" s="32"/>
      <c r="AO100" s="32" t="e">
        <f>AL100</f>
        <v>#REF!</v>
      </c>
      <c r="AP100" s="32" t="e">
        <f>AM100+AO100</f>
        <v>#REF!</v>
      </c>
      <c r="AR100" s="52">
        <v>0</v>
      </c>
      <c r="AS100" s="50">
        <v>0</v>
      </c>
      <c r="AT100" s="52">
        <v>0</v>
      </c>
      <c r="AU100" s="50">
        <v>0</v>
      </c>
      <c r="AV100" s="52">
        <v>0</v>
      </c>
      <c r="AW100" s="54">
        <v>0</v>
      </c>
      <c r="AX100" s="52">
        <v>0</v>
      </c>
      <c r="AY100" s="50">
        <v>0</v>
      </c>
      <c r="AZ100" s="52">
        <v>0</v>
      </c>
      <c r="BA100" s="50">
        <v>0</v>
      </c>
      <c r="BB100" s="52">
        <v>0</v>
      </c>
      <c r="BC100" s="50">
        <v>0</v>
      </c>
      <c r="BD100" s="50"/>
      <c r="BE100" s="52">
        <v>0</v>
      </c>
      <c r="BF100" s="50">
        <v>0</v>
      </c>
      <c r="BG100" s="52">
        <v>0</v>
      </c>
      <c r="BH100" s="50">
        <v>0</v>
      </c>
      <c r="BI100" s="52">
        <v>0</v>
      </c>
      <c r="BJ100" s="52">
        <v>0</v>
      </c>
      <c r="BK100" s="50">
        <v>0</v>
      </c>
    </row>
    <row r="101" spans="2:63" ht="15.75" customHeight="1" x14ac:dyDescent="0.2">
      <c r="B101" s="36">
        <v>100</v>
      </c>
      <c r="C101" s="36"/>
      <c r="D101" s="37">
        <v>0.6</v>
      </c>
      <c r="E101" s="51">
        <v>5</v>
      </c>
      <c r="F101" s="35">
        <v>10</v>
      </c>
      <c r="G101" s="35"/>
      <c r="H101" s="35"/>
      <c r="R101" s="41" t="s">
        <v>69</v>
      </c>
      <c r="S101" s="41"/>
      <c r="T101" s="35"/>
      <c r="U101" s="59">
        <v>2</v>
      </c>
      <c r="V101" s="42"/>
      <c r="W101" s="59"/>
      <c r="X101" s="59"/>
      <c r="Y101" s="59"/>
      <c r="AB101" s="38" t="e">
        <f>AB100/U101</f>
        <v>#REF!</v>
      </c>
      <c r="AC101" s="38">
        <f>AC100</f>
        <v>240</v>
      </c>
      <c r="AD101" s="65" t="e">
        <f>AD100/U101</f>
        <v>#REF!</v>
      </c>
      <c r="AE101" s="65"/>
      <c r="AF101" s="39" t="e">
        <f>AF100*U101</f>
        <v>#REF!</v>
      </c>
      <c r="AG101" s="32"/>
      <c r="AH101" s="38" t="e">
        <f>AH100/U101</f>
        <v>#REF!</v>
      </c>
      <c r="AI101" s="38">
        <f>AI100</f>
        <v>160</v>
      </c>
      <c r="AJ101" s="65" t="e">
        <f>AJ100/U101</f>
        <v>#REF!</v>
      </c>
      <c r="AK101" s="65"/>
      <c r="AL101" s="39" t="e">
        <f>AL100*U101</f>
        <v>#REF!</v>
      </c>
      <c r="AM101" s="39" t="e">
        <f>AM100*U101</f>
        <v>#REF!</v>
      </c>
      <c r="AN101" s="39"/>
      <c r="AO101" s="39" t="e">
        <f>AO100*U101</f>
        <v>#REF!</v>
      </c>
      <c r="AP101" s="39" t="e">
        <f>AM101+AO101</f>
        <v>#REF!</v>
      </c>
      <c r="AR101" s="40">
        <f t="shared" ref="AR101:AW101" si="28">AR100</f>
        <v>0</v>
      </c>
      <c r="AS101" s="51">
        <f t="shared" si="28"/>
        <v>0</v>
      </c>
      <c r="AT101" s="40">
        <f t="shared" si="28"/>
        <v>0</v>
      </c>
      <c r="AU101" s="51">
        <f t="shared" si="28"/>
        <v>0</v>
      </c>
      <c r="AV101" s="40">
        <f t="shared" si="28"/>
        <v>0</v>
      </c>
      <c r="AW101" s="55">
        <f t="shared" si="28"/>
        <v>0</v>
      </c>
      <c r="AX101" s="40">
        <f t="shared" ref="AX101:BC101" si="29">AX100</f>
        <v>0</v>
      </c>
      <c r="AY101" s="51">
        <f t="shared" si="29"/>
        <v>0</v>
      </c>
      <c r="AZ101" s="40">
        <f t="shared" si="29"/>
        <v>0</v>
      </c>
      <c r="BA101" s="51">
        <f t="shared" si="29"/>
        <v>0</v>
      </c>
      <c r="BB101" s="40">
        <f t="shared" si="29"/>
        <v>0</v>
      </c>
      <c r="BC101" s="51">
        <f t="shared" si="29"/>
        <v>0</v>
      </c>
      <c r="BD101" s="50"/>
      <c r="BE101" s="40">
        <f t="shared" ref="BE101:BK101" si="30">BE100</f>
        <v>0</v>
      </c>
      <c r="BF101" s="51">
        <f t="shared" si="30"/>
        <v>0</v>
      </c>
      <c r="BG101" s="40">
        <f t="shared" si="30"/>
        <v>0</v>
      </c>
      <c r="BH101" s="51">
        <f t="shared" si="30"/>
        <v>0</v>
      </c>
      <c r="BI101" s="40">
        <f t="shared" si="30"/>
        <v>0</v>
      </c>
      <c r="BJ101" s="40">
        <f t="shared" si="30"/>
        <v>0</v>
      </c>
      <c r="BK101" s="51">
        <f t="shared" si="30"/>
        <v>0</v>
      </c>
    </row>
    <row r="102" spans="2:63" ht="15.75" customHeight="1" x14ac:dyDescent="0.2">
      <c r="B102" s="33">
        <v>100</v>
      </c>
      <c r="C102" s="33"/>
      <c r="D102" s="29">
        <v>0.6</v>
      </c>
      <c r="E102" s="50">
        <v>5</v>
      </c>
      <c r="F102">
        <v>10</v>
      </c>
      <c r="R102" s="12" t="s">
        <v>71</v>
      </c>
      <c r="S102" s="12"/>
      <c r="T102" s="13"/>
      <c r="U102" s="13"/>
      <c r="V102" s="13">
        <v>300</v>
      </c>
      <c r="W102" s="58" t="e">
        <f>V102/#REF!</f>
        <v>#REF!</v>
      </c>
      <c r="X102" s="58"/>
      <c r="Y102" s="58"/>
      <c r="AB102" s="31" t="e">
        <f>#REF!</f>
        <v>#REF!</v>
      </c>
      <c r="AC102" s="31">
        <f>V102*D102</f>
        <v>180</v>
      </c>
      <c r="AD102" s="63" t="e">
        <f>(#REF!+(#REF!*(F102/100)))/(1-#REF!/100)</f>
        <v>#REF!</v>
      </c>
      <c r="AE102" s="63"/>
      <c r="AF102" s="32" t="e">
        <f>AC102/AB102</f>
        <v>#REF!</v>
      </c>
      <c r="AG102" s="32"/>
      <c r="AH102" s="31" t="e">
        <f>#REF!</f>
        <v>#REF!</v>
      </c>
      <c r="AI102" s="31">
        <f>V102*(1-D102)</f>
        <v>120</v>
      </c>
      <c r="AJ102" s="63" t="e">
        <f>(#REF!+(#REF!*(F102/100)))/(1-#REF!/100)</f>
        <v>#REF!</v>
      </c>
      <c r="AK102" s="63"/>
      <c r="AL102" s="32" t="e">
        <f>AI102/AH102</f>
        <v>#REF!</v>
      </c>
      <c r="AM102" s="32" t="e">
        <f>AF102+AF103</f>
        <v>#REF!</v>
      </c>
      <c r="AN102" s="32"/>
      <c r="AO102" s="32" t="e">
        <f>AL102+AL103</f>
        <v>#REF!</v>
      </c>
      <c r="AP102" s="32" t="e">
        <f>AM102+AO102</f>
        <v>#REF!</v>
      </c>
      <c r="AR102" s="52">
        <f>AR100</f>
        <v>0</v>
      </c>
      <c r="AS102" s="50">
        <f t="shared" ref="AS102:AU102" si="31">AS100</f>
        <v>0</v>
      </c>
      <c r="AT102" s="52">
        <f t="shared" si="31"/>
        <v>0</v>
      </c>
      <c r="AU102" s="50">
        <f t="shared" si="31"/>
        <v>0</v>
      </c>
      <c r="AV102" s="52">
        <f>AV100</f>
        <v>0</v>
      </c>
      <c r="AW102" s="62">
        <f>AV102/V100</f>
        <v>0</v>
      </c>
      <c r="AX102" s="63" t="e">
        <f>(B102*AM102)-(AC102+AC103)</f>
        <v>#REF!</v>
      </c>
      <c r="AY102" s="62" t="e">
        <f>AX102/(AC102+AC103)</f>
        <v>#REF!</v>
      </c>
      <c r="AZ102" s="63" t="e">
        <f>(AO102*B102)-(AI102+AI103)</f>
        <v>#REF!</v>
      </c>
      <c r="BA102" s="62" t="e">
        <f>AZ102/(AI102+AI103)</f>
        <v>#REF!</v>
      </c>
      <c r="BB102" s="63" t="e">
        <f>AX102+AZ102</f>
        <v>#REF!</v>
      </c>
      <c r="BC102" s="62" t="e">
        <f>BB102/(AC102+AC103+AI102+AI103)</f>
        <v>#REF!</v>
      </c>
      <c r="BD102" s="50"/>
      <c r="BE102" s="63" t="e">
        <f>AR102+AX102</f>
        <v>#REF!</v>
      </c>
      <c r="BF102" s="62" t="e">
        <f>AY102</f>
        <v>#REF!</v>
      </c>
      <c r="BG102" s="63" t="e">
        <f>AT102+AZ102</f>
        <v>#REF!</v>
      </c>
      <c r="BH102" s="62" t="e">
        <f>BG102/(AI102+AI103)</f>
        <v>#REF!</v>
      </c>
      <c r="BI102" s="63">
        <f>BI100</f>
        <v>0</v>
      </c>
      <c r="BJ102" s="63" t="e">
        <f>BE102+BG102+BI102</f>
        <v>#REF!</v>
      </c>
      <c r="BK102" s="62" t="e">
        <f>BJ102/(AC102+AC103+AI102+AI103)</f>
        <v>#REF!</v>
      </c>
    </row>
    <row r="103" spans="2:63" ht="15.75" customHeight="1" x14ac:dyDescent="0.2">
      <c r="B103" s="33"/>
      <c r="C103" s="33"/>
      <c r="D103" s="29"/>
      <c r="E103" s="50"/>
      <c r="R103" s="12"/>
      <c r="S103" s="12"/>
      <c r="T103" s="13"/>
      <c r="U103" s="13"/>
      <c r="V103" s="13"/>
      <c r="W103" s="58"/>
      <c r="X103" s="58"/>
      <c r="Y103" s="58"/>
      <c r="AB103" s="31" t="e">
        <f>AB101</f>
        <v>#REF!</v>
      </c>
      <c r="AC103" s="31">
        <f>AC101</f>
        <v>240</v>
      </c>
      <c r="AD103" s="63" t="e">
        <f>AD101</f>
        <v>#REF!</v>
      </c>
      <c r="AE103" s="63"/>
      <c r="AF103" s="32" t="e">
        <f>AF101</f>
        <v>#REF!</v>
      </c>
      <c r="AG103" s="32"/>
      <c r="AH103" s="31" t="e">
        <f>AH101</f>
        <v>#REF!</v>
      </c>
      <c r="AI103" s="31">
        <f>AI101</f>
        <v>160</v>
      </c>
      <c r="AJ103" s="63" t="e">
        <f>AJ101</f>
        <v>#REF!</v>
      </c>
      <c r="AK103" s="63"/>
      <c r="AL103" s="32" t="e">
        <f>AL101</f>
        <v>#REF!</v>
      </c>
      <c r="AM103" s="32"/>
      <c r="AN103" s="32"/>
      <c r="AO103" s="32"/>
      <c r="AP103" s="32"/>
      <c r="AR103" s="52"/>
      <c r="AS103" s="50"/>
      <c r="AT103" s="52"/>
      <c r="AU103" s="50"/>
      <c r="AV103" s="52"/>
      <c r="AW103" s="62"/>
      <c r="AX103" s="52"/>
      <c r="AY103" s="50"/>
      <c r="AZ103" s="52"/>
      <c r="BA103" s="50"/>
      <c r="BB103" s="52"/>
      <c r="BC103" s="50"/>
      <c r="BD103" s="50"/>
      <c r="BE103" s="52"/>
      <c r="BF103" s="50"/>
      <c r="BG103" s="52"/>
      <c r="BH103" s="50"/>
      <c r="BI103" s="63"/>
      <c r="BJ103" s="63"/>
      <c r="BK103" s="62"/>
    </row>
    <row r="104" spans="2:63" ht="15.75" customHeight="1" x14ac:dyDescent="0.2">
      <c r="B104" s="33"/>
      <c r="C104" s="33"/>
      <c r="D104" s="29"/>
      <c r="E104" s="50"/>
      <c r="R104" s="12"/>
      <c r="S104" s="12"/>
      <c r="T104" s="13"/>
      <c r="U104" s="13"/>
      <c r="V104" s="13"/>
      <c r="W104" s="58"/>
      <c r="X104" s="58"/>
      <c r="Y104" s="58"/>
      <c r="AB104" s="31"/>
      <c r="AC104" s="31"/>
      <c r="AD104" s="63"/>
      <c r="AE104" s="63"/>
      <c r="AF104" s="32"/>
      <c r="AG104" s="32"/>
      <c r="AH104" s="31"/>
      <c r="AI104" s="31"/>
      <c r="AJ104" s="63"/>
      <c r="AK104" s="63"/>
      <c r="AL104" s="32"/>
      <c r="AM104" s="32"/>
      <c r="AN104" s="32"/>
      <c r="AO104" s="32"/>
      <c r="AP104" s="32"/>
      <c r="AR104" s="52"/>
      <c r="AS104" s="50"/>
      <c r="AT104" s="52"/>
      <c r="AU104" s="50"/>
      <c r="AV104" s="52"/>
      <c r="AW104" s="62"/>
      <c r="AX104" s="52"/>
      <c r="AY104" s="50"/>
      <c r="AZ104" s="52"/>
      <c r="BA104" s="50"/>
      <c r="BB104" s="52"/>
      <c r="BC104" s="50"/>
      <c r="BD104" s="50"/>
      <c r="BE104" s="52"/>
      <c r="BF104" s="50"/>
      <c r="BG104" s="52"/>
      <c r="BH104" s="50"/>
      <c r="BI104" s="63"/>
      <c r="BJ104" s="63"/>
      <c r="BK104" s="62"/>
    </row>
    <row r="105" spans="2:63" ht="15.75" customHeight="1" x14ac:dyDescent="0.2">
      <c r="B105" s="186" t="s">
        <v>37</v>
      </c>
      <c r="C105" s="109"/>
      <c r="T105" s="12"/>
      <c r="U105" s="12"/>
      <c r="V105" s="12"/>
      <c r="W105" s="12"/>
      <c r="X105" s="12"/>
      <c r="Y105" s="12"/>
      <c r="Z105" s="12"/>
      <c r="AA105" s="12"/>
      <c r="AB105" s="56" t="s">
        <v>27</v>
      </c>
      <c r="AC105" s="12"/>
      <c r="AD105" s="12"/>
      <c r="AE105" s="12"/>
      <c r="AF105" s="12"/>
      <c r="AG105" s="12"/>
      <c r="AH105" s="56" t="s">
        <v>28</v>
      </c>
      <c r="AI105" s="12"/>
      <c r="AJ105" s="12"/>
      <c r="AK105" s="12"/>
      <c r="AL105" s="12"/>
      <c r="AS105" s="33"/>
      <c r="AX105" s="63"/>
    </row>
    <row r="106" spans="2:63" ht="15.75" customHeight="1" x14ac:dyDescent="0.2">
      <c r="B106" s="28" t="s">
        <v>61</v>
      </c>
      <c r="C106" s="28"/>
      <c r="D106" s="28" t="s">
        <v>29</v>
      </c>
      <c r="E106" s="57" t="s">
        <v>63</v>
      </c>
      <c r="F106" s="57" t="s">
        <v>72</v>
      </c>
      <c r="G106" s="57"/>
      <c r="H106" s="57"/>
      <c r="I106" s="101"/>
      <c r="J106" s="101"/>
      <c r="K106" s="101"/>
      <c r="L106" s="101"/>
      <c r="M106" s="101"/>
      <c r="N106" s="101"/>
      <c r="O106" s="101"/>
      <c r="P106" s="101"/>
      <c r="R106" s="28" t="s">
        <v>3</v>
      </c>
      <c r="S106" s="28"/>
      <c r="T106" s="57" t="s">
        <v>50</v>
      </c>
      <c r="U106" s="57" t="s">
        <v>70</v>
      </c>
      <c r="V106" s="28" t="s">
        <v>1</v>
      </c>
      <c r="W106" s="57" t="s">
        <v>62</v>
      </c>
      <c r="X106" s="57" t="s">
        <v>9</v>
      </c>
      <c r="Y106" s="57"/>
      <c r="Z106" s="60"/>
      <c r="AA106" s="12"/>
      <c r="AB106" s="28" t="s">
        <v>30</v>
      </c>
      <c r="AC106" s="28" t="s">
        <v>1</v>
      </c>
      <c r="AD106" s="57" t="s">
        <v>10</v>
      </c>
      <c r="AE106" s="57"/>
      <c r="AF106" s="57" t="s">
        <v>64</v>
      </c>
      <c r="AG106" s="60"/>
      <c r="AH106" s="28" t="s">
        <v>30</v>
      </c>
      <c r="AI106" s="28" t="s">
        <v>1</v>
      </c>
      <c r="AJ106" s="57" t="s">
        <v>10</v>
      </c>
      <c r="AK106" s="57"/>
      <c r="AL106" s="57" t="s">
        <v>64</v>
      </c>
      <c r="AS106" s="33"/>
    </row>
    <row r="107" spans="2:63" ht="15.75" customHeight="1" x14ac:dyDescent="0.2">
      <c r="B107" s="33">
        <v>100</v>
      </c>
      <c r="C107" s="33"/>
      <c r="D107" s="29">
        <v>0.6</v>
      </c>
      <c r="E107" s="50">
        <v>5</v>
      </c>
      <c r="F107">
        <v>10</v>
      </c>
      <c r="R107" t="s">
        <v>38</v>
      </c>
      <c r="T107" s="33"/>
      <c r="U107" s="33"/>
      <c r="V107" s="33">
        <v>200</v>
      </c>
      <c r="W107" s="33"/>
      <c r="X107" s="33"/>
      <c r="Y107" s="33"/>
      <c r="Z107" s="67"/>
      <c r="AB107" s="33" t="e">
        <f>#REF!</f>
        <v>#REF!</v>
      </c>
      <c r="AC107" s="33">
        <f>V107*D107</f>
        <v>120</v>
      </c>
      <c r="AD107" s="33"/>
      <c r="AE107" s="33"/>
      <c r="AF107" s="44" t="e">
        <f>AC107/AB107</f>
        <v>#REF!</v>
      </c>
      <c r="AG107" s="44"/>
      <c r="AH107" s="33" t="e">
        <f>#REF!</f>
        <v>#REF!</v>
      </c>
      <c r="AI107" s="31">
        <f>V107*(1-D107)</f>
        <v>80</v>
      </c>
      <c r="AJ107" s="33"/>
      <c r="AK107" s="33"/>
      <c r="AL107" s="32" t="e">
        <f>AI107/AH107</f>
        <v>#REF!</v>
      </c>
    </row>
    <row r="108" spans="2:63" ht="15.75" customHeight="1" x14ac:dyDescent="0.2">
      <c r="B108" s="36">
        <v>100</v>
      </c>
      <c r="C108" s="36"/>
      <c r="D108" s="37">
        <v>0.6</v>
      </c>
      <c r="E108" s="51">
        <v>5</v>
      </c>
      <c r="F108" s="35">
        <v>10</v>
      </c>
      <c r="G108" s="35"/>
      <c r="H108" s="35"/>
      <c r="R108" s="35" t="s">
        <v>39</v>
      </c>
      <c r="S108" s="35"/>
      <c r="T108" s="35"/>
      <c r="U108" s="35"/>
      <c r="V108" s="35"/>
      <c r="W108" s="35"/>
      <c r="X108" s="35"/>
      <c r="Y108" s="35"/>
      <c r="AB108" s="38" t="s">
        <v>34</v>
      </c>
      <c r="AC108" s="38" t="s">
        <v>34</v>
      </c>
      <c r="AD108" s="38"/>
      <c r="AE108" s="38"/>
      <c r="AF108" s="38" t="s">
        <v>34</v>
      </c>
      <c r="AG108" s="31"/>
      <c r="AH108" s="38" t="s">
        <v>34</v>
      </c>
      <c r="AI108" s="38" t="s">
        <v>34</v>
      </c>
      <c r="AJ108" s="38"/>
      <c r="AK108" s="38"/>
      <c r="AL108" s="38" t="s">
        <v>34</v>
      </c>
    </row>
    <row r="109" spans="2:63" ht="15.75" customHeight="1" x14ac:dyDescent="0.2">
      <c r="B109" s="33">
        <v>100</v>
      </c>
      <c r="C109" s="33"/>
      <c r="D109" s="29">
        <v>0.6</v>
      </c>
      <c r="E109" s="50">
        <v>5</v>
      </c>
      <c r="F109">
        <v>10</v>
      </c>
      <c r="R109" t="s">
        <v>40</v>
      </c>
      <c r="T109" s="33"/>
      <c r="U109" s="33"/>
      <c r="V109" s="33">
        <v>500</v>
      </c>
      <c r="W109" s="33"/>
      <c r="X109" s="33"/>
      <c r="Y109" s="33"/>
      <c r="Z109" s="67"/>
      <c r="AB109" s="33" t="e">
        <f>#REF!</f>
        <v>#REF!</v>
      </c>
      <c r="AC109" s="33">
        <f>V109</f>
        <v>500</v>
      </c>
      <c r="AD109" s="33"/>
      <c r="AE109" s="33"/>
      <c r="AF109" s="44" t="e">
        <f>AC109/AB109</f>
        <v>#REF!</v>
      </c>
      <c r="AG109" s="44"/>
      <c r="AH109" s="31" t="s">
        <v>34</v>
      </c>
      <c r="AI109" s="31" t="s">
        <v>34</v>
      </c>
      <c r="AJ109" s="33"/>
      <c r="AK109" s="33"/>
      <c r="AL109" s="31" t="s">
        <v>34</v>
      </c>
    </row>
    <row r="110" spans="2:63" ht="15.75" customHeight="1" x14ac:dyDescent="0.2">
      <c r="B110" s="36">
        <v>100</v>
      </c>
      <c r="C110" s="36"/>
      <c r="D110" s="37">
        <v>0.6</v>
      </c>
      <c r="E110" s="51">
        <v>5</v>
      </c>
      <c r="F110" s="35">
        <v>10</v>
      </c>
      <c r="G110" s="35"/>
      <c r="H110" s="35"/>
      <c r="R110" s="35" t="s">
        <v>41</v>
      </c>
      <c r="S110" s="35"/>
      <c r="T110" s="35"/>
      <c r="U110" s="35"/>
      <c r="V110" s="35"/>
      <c r="W110" s="35"/>
      <c r="X110" s="35"/>
      <c r="Y110" s="35"/>
      <c r="AB110" s="38" t="s">
        <v>34</v>
      </c>
      <c r="AC110" s="38" t="s">
        <v>34</v>
      </c>
      <c r="AD110" s="38"/>
      <c r="AE110" s="38"/>
      <c r="AF110" s="38" t="s">
        <v>34</v>
      </c>
      <c r="AG110" s="31"/>
      <c r="AH110" s="38" t="s">
        <v>34</v>
      </c>
      <c r="AI110" s="38" t="s">
        <v>34</v>
      </c>
      <c r="AJ110" s="38"/>
      <c r="AK110" s="38"/>
      <c r="AL110" s="38" t="s">
        <v>34</v>
      </c>
    </row>
    <row r="111" spans="2:63" ht="15.75" customHeight="1" x14ac:dyDescent="0.2">
      <c r="B111" s="33">
        <v>100</v>
      </c>
      <c r="C111" s="33"/>
      <c r="D111" s="29">
        <v>0.6</v>
      </c>
      <c r="E111" s="50">
        <v>5</v>
      </c>
      <c r="F111">
        <v>10</v>
      </c>
      <c r="R111" t="s">
        <v>42</v>
      </c>
      <c r="T111" s="33"/>
      <c r="U111" s="33"/>
      <c r="V111" s="33">
        <v>350</v>
      </c>
      <c r="W111" s="33"/>
      <c r="X111" s="33"/>
      <c r="Y111" s="33"/>
      <c r="Z111" s="67"/>
      <c r="AB111" s="31" t="s">
        <v>34</v>
      </c>
      <c r="AC111" s="31" t="s">
        <v>34</v>
      </c>
      <c r="AD111" s="31"/>
      <c r="AE111" s="31"/>
      <c r="AF111" s="31" t="s">
        <v>34</v>
      </c>
      <c r="AG111" s="31"/>
      <c r="AH111" s="33" t="e">
        <f>#REF!</f>
        <v>#REF!</v>
      </c>
      <c r="AI111" s="31">
        <f>V111*(1-D111)</f>
        <v>140</v>
      </c>
      <c r="AJ111" s="31"/>
      <c r="AK111" s="31"/>
      <c r="AL111" s="32" t="e">
        <f>AI111/AH111</f>
        <v>#REF!</v>
      </c>
    </row>
    <row r="112" spans="2:63" ht="15.75" customHeight="1" x14ac:dyDescent="0.2">
      <c r="B112" s="36">
        <v>100</v>
      </c>
      <c r="C112" s="36"/>
      <c r="D112" s="37">
        <v>0.6</v>
      </c>
      <c r="E112" s="51">
        <v>5</v>
      </c>
      <c r="F112" s="35">
        <v>10</v>
      </c>
      <c r="G112" s="35"/>
      <c r="H112" s="35"/>
      <c r="R112" s="35" t="s">
        <v>43</v>
      </c>
      <c r="S112" s="35"/>
      <c r="T112" s="35"/>
      <c r="U112" s="35"/>
      <c r="V112" s="35"/>
      <c r="W112" s="35"/>
      <c r="X112" s="35"/>
      <c r="Y112" s="35"/>
      <c r="AB112" s="38" t="s">
        <v>34</v>
      </c>
      <c r="AC112" s="38" t="s">
        <v>34</v>
      </c>
      <c r="AD112" s="38"/>
      <c r="AE112" s="38"/>
      <c r="AF112" s="38" t="s">
        <v>34</v>
      </c>
      <c r="AG112" s="31"/>
      <c r="AH112" s="38" t="s">
        <v>34</v>
      </c>
      <c r="AI112" s="38" t="s">
        <v>34</v>
      </c>
      <c r="AJ112" s="38"/>
      <c r="AK112" s="38"/>
      <c r="AL112" s="38" t="s">
        <v>34</v>
      </c>
    </row>
    <row r="114" spans="2:43" ht="15.75" customHeight="1" x14ac:dyDescent="0.2">
      <c r="B114" s="185" t="s">
        <v>44</v>
      </c>
      <c r="C114" s="34"/>
      <c r="AB114" s="56" t="s">
        <v>27</v>
      </c>
      <c r="AC114" s="12"/>
      <c r="AD114" s="12"/>
      <c r="AE114" s="12"/>
      <c r="AF114" s="12"/>
      <c r="AG114" s="12"/>
      <c r="AH114" s="56" t="s">
        <v>28</v>
      </c>
      <c r="AJ114" s="12"/>
      <c r="AK114" s="12"/>
    </row>
    <row r="115" spans="2:43" ht="15.75" customHeight="1" x14ac:dyDescent="0.2">
      <c r="B115" s="28" t="s">
        <v>61</v>
      </c>
      <c r="C115" s="28"/>
      <c r="D115" s="28" t="s">
        <v>29</v>
      </c>
      <c r="E115" s="57" t="s">
        <v>63</v>
      </c>
      <c r="F115" s="57" t="s">
        <v>72</v>
      </c>
      <c r="G115" s="57"/>
      <c r="H115" s="57"/>
      <c r="I115" s="101"/>
      <c r="J115" s="101"/>
      <c r="K115" s="101"/>
      <c r="L115" s="101"/>
      <c r="M115" s="101"/>
      <c r="N115" s="101"/>
      <c r="O115" s="101"/>
      <c r="P115" s="101"/>
      <c r="R115" s="28" t="s">
        <v>3</v>
      </c>
      <c r="S115" s="28"/>
      <c r="T115" s="57" t="s">
        <v>50</v>
      </c>
      <c r="U115" s="57" t="s">
        <v>70</v>
      </c>
      <c r="V115" s="28" t="s">
        <v>1</v>
      </c>
      <c r="W115" s="57" t="s">
        <v>62</v>
      </c>
      <c r="X115" s="57" t="s">
        <v>9</v>
      </c>
      <c r="Y115" s="57"/>
      <c r="Z115" s="60"/>
      <c r="AA115" s="12"/>
      <c r="AB115" s="28" t="s">
        <v>30</v>
      </c>
      <c r="AC115" s="28" t="s">
        <v>1</v>
      </c>
      <c r="AD115" s="57" t="s">
        <v>10</v>
      </c>
      <c r="AE115" s="57"/>
      <c r="AF115" s="57" t="s">
        <v>64</v>
      </c>
      <c r="AG115" s="60"/>
      <c r="AH115" s="28" t="s">
        <v>30</v>
      </c>
      <c r="AI115" s="28" t="s">
        <v>1</v>
      </c>
      <c r="AJ115" s="57" t="s">
        <v>10</v>
      </c>
      <c r="AK115" s="57"/>
      <c r="AL115" s="57" t="s">
        <v>64</v>
      </c>
    </row>
    <row r="116" spans="2:43" ht="15.75" customHeight="1" x14ac:dyDescent="0.2">
      <c r="B116" s="33">
        <v>100</v>
      </c>
      <c r="C116" s="33"/>
      <c r="D116" s="29">
        <v>0.3</v>
      </c>
      <c r="E116" s="50">
        <v>5</v>
      </c>
      <c r="F116">
        <v>10</v>
      </c>
      <c r="R116" s="45" t="s">
        <v>47</v>
      </c>
      <c r="S116" s="45"/>
      <c r="T116" s="33"/>
      <c r="U116" s="33"/>
      <c r="V116" s="33">
        <v>200</v>
      </c>
      <c r="W116" s="33"/>
      <c r="X116" s="33"/>
      <c r="Y116" s="33"/>
      <c r="Z116" s="67"/>
      <c r="AB116" s="33" t="e">
        <f>#REF!</f>
        <v>#REF!</v>
      </c>
      <c r="AC116" s="33">
        <f>V116*D116</f>
        <v>60</v>
      </c>
      <c r="AD116" s="33"/>
      <c r="AE116" s="33"/>
      <c r="AF116" s="44" t="e">
        <f>AC116/AB116</f>
        <v>#REF!</v>
      </c>
      <c r="AG116" s="44"/>
      <c r="AH116" s="33" t="e">
        <f>#REF!</f>
        <v>#REF!</v>
      </c>
      <c r="AI116" s="31">
        <f>V116*(1-D116)</f>
        <v>140</v>
      </c>
      <c r="AJ116" s="33"/>
      <c r="AK116" s="33"/>
      <c r="AL116" s="32" t="e">
        <f>AI116/AH116</f>
        <v>#REF!</v>
      </c>
    </row>
    <row r="117" spans="2:43" ht="15.75" customHeight="1" x14ac:dyDescent="0.2">
      <c r="B117" s="36">
        <v>100</v>
      </c>
      <c r="C117" s="36"/>
      <c r="D117" s="37">
        <v>0.3</v>
      </c>
      <c r="E117" s="51">
        <v>5</v>
      </c>
      <c r="F117" s="35">
        <v>10</v>
      </c>
      <c r="G117" s="35"/>
      <c r="H117" s="35"/>
      <c r="R117" s="47" t="s">
        <v>45</v>
      </c>
      <c r="S117" s="47"/>
      <c r="T117" s="36"/>
      <c r="U117" s="36"/>
      <c r="V117" s="36">
        <v>300</v>
      </c>
      <c r="W117" s="36"/>
      <c r="X117" s="36"/>
      <c r="Y117" s="36"/>
      <c r="Z117" s="67"/>
      <c r="AB117" s="36" t="e">
        <f>#REF!</f>
        <v>#REF!</v>
      </c>
      <c r="AC117" s="36">
        <f>V117+AC116</f>
        <v>360</v>
      </c>
      <c r="AD117" s="36"/>
      <c r="AE117" s="36"/>
      <c r="AF117" s="48" t="e">
        <f>AC117/AB117</f>
        <v>#REF!</v>
      </c>
      <c r="AG117" s="44"/>
      <c r="AH117" s="36">
        <v>100</v>
      </c>
      <c r="AI117" s="38">
        <f>AI116</f>
        <v>140</v>
      </c>
      <c r="AJ117" s="36"/>
      <c r="AK117" s="36"/>
      <c r="AL117" s="39">
        <v>1.4</v>
      </c>
    </row>
    <row r="118" spans="2:43" ht="15.75" customHeight="1" x14ac:dyDescent="0.2">
      <c r="B118" s="33">
        <v>100</v>
      </c>
      <c r="C118" s="33"/>
      <c r="D118" s="29">
        <v>0.3</v>
      </c>
      <c r="E118" s="50">
        <v>5</v>
      </c>
      <c r="F118">
        <v>10</v>
      </c>
      <c r="R118" s="45" t="s">
        <v>46</v>
      </c>
      <c r="S118" s="45"/>
      <c r="T118" s="33"/>
      <c r="U118" s="33"/>
      <c r="V118" s="33">
        <v>400</v>
      </c>
      <c r="W118" s="33"/>
      <c r="X118" s="33"/>
      <c r="Y118" s="33"/>
      <c r="AB118" s="33">
        <v>100</v>
      </c>
      <c r="AC118" s="33">
        <f>AC117</f>
        <v>360</v>
      </c>
      <c r="AD118" s="33"/>
      <c r="AE118" s="33"/>
      <c r="AF118" s="44">
        <v>3.6</v>
      </c>
      <c r="AG118" s="44"/>
      <c r="AH118" s="33" t="e">
        <f>#REF!</f>
        <v>#REF!</v>
      </c>
      <c r="AI118" s="33">
        <f>V118+AI117</f>
        <v>540</v>
      </c>
      <c r="AJ118" s="33"/>
      <c r="AK118" s="33"/>
      <c r="AL118" s="32" t="e">
        <f>AI118/AH118</f>
        <v>#REF!</v>
      </c>
    </row>
    <row r="119" spans="2:43" ht="15.75" customHeight="1" x14ac:dyDescent="0.2">
      <c r="B119" s="36">
        <v>100</v>
      </c>
      <c r="C119" s="36"/>
      <c r="D119" s="37">
        <v>0.3</v>
      </c>
      <c r="E119" s="51">
        <v>5</v>
      </c>
      <c r="F119" s="35">
        <v>10</v>
      </c>
      <c r="G119" s="35"/>
      <c r="H119" s="35"/>
      <c r="R119" s="47" t="s">
        <v>48</v>
      </c>
      <c r="S119" s="47"/>
      <c r="T119" s="36"/>
      <c r="U119" s="36"/>
      <c r="V119" s="36">
        <v>500</v>
      </c>
      <c r="W119" s="36"/>
      <c r="X119" s="36"/>
      <c r="Y119" s="36"/>
      <c r="Z119" s="67"/>
      <c r="AB119" s="36" t="e">
        <f>#REF!</f>
        <v>#REF!</v>
      </c>
      <c r="AC119" s="36">
        <f>AC118+(V119*D119)</f>
        <v>510</v>
      </c>
      <c r="AD119" s="36"/>
      <c r="AE119" s="36"/>
      <c r="AF119" s="48" t="e">
        <f>AC119/AB119</f>
        <v>#REF!</v>
      </c>
      <c r="AG119" s="44"/>
      <c r="AH119" s="36" t="e">
        <f>#REF!</f>
        <v>#REF!</v>
      </c>
      <c r="AI119" s="36">
        <f>AI118+(V119*(1-D119))</f>
        <v>890</v>
      </c>
      <c r="AJ119" s="36"/>
      <c r="AK119" s="36"/>
      <c r="AL119" s="39" t="e">
        <f>AI119/AH119</f>
        <v>#REF!</v>
      </c>
    </row>
    <row r="121" spans="2:43" ht="15.75" customHeight="1" x14ac:dyDescent="0.2">
      <c r="B121" s="185" t="s">
        <v>98</v>
      </c>
      <c r="C121" s="34"/>
      <c r="AB121" s="56" t="s">
        <v>27</v>
      </c>
      <c r="AC121" s="12"/>
      <c r="AD121" s="12"/>
      <c r="AE121" s="12"/>
      <c r="AF121" s="12"/>
      <c r="AG121" s="12"/>
      <c r="AH121" s="56" t="s">
        <v>28</v>
      </c>
      <c r="AJ121" s="12"/>
      <c r="AK121" s="12"/>
      <c r="AN121" s="34" t="s">
        <v>179</v>
      </c>
    </row>
    <row r="122" spans="2:43" ht="15.75" customHeight="1" x14ac:dyDescent="0.2">
      <c r="B122" s="28" t="s">
        <v>61</v>
      </c>
      <c r="C122" s="28"/>
      <c r="D122" s="28" t="s">
        <v>29</v>
      </c>
      <c r="E122" s="57" t="s">
        <v>63</v>
      </c>
      <c r="F122" s="57" t="s">
        <v>72</v>
      </c>
      <c r="G122" s="57" t="s">
        <v>99</v>
      </c>
      <c r="H122" s="57"/>
      <c r="I122" s="101"/>
      <c r="J122" s="101"/>
      <c r="K122" s="101"/>
      <c r="L122" s="101"/>
      <c r="M122" s="101"/>
      <c r="N122" s="101"/>
      <c r="O122" s="101"/>
      <c r="P122" s="101"/>
      <c r="R122" s="28" t="s">
        <v>3</v>
      </c>
      <c r="S122" s="28"/>
      <c r="T122" s="57" t="s">
        <v>50</v>
      </c>
      <c r="U122" s="57" t="s">
        <v>70</v>
      </c>
      <c r="V122" s="28" t="s">
        <v>1</v>
      </c>
      <c r="W122" s="57" t="s">
        <v>62</v>
      </c>
      <c r="X122" s="57" t="s">
        <v>9</v>
      </c>
      <c r="Y122" s="57"/>
      <c r="Z122" s="60"/>
      <c r="AA122" s="12"/>
      <c r="AB122" s="28" t="s">
        <v>30</v>
      </c>
      <c r="AC122" s="28" t="s">
        <v>1</v>
      </c>
      <c r="AD122" s="57" t="s">
        <v>72</v>
      </c>
      <c r="AE122" s="57" t="s">
        <v>100</v>
      </c>
      <c r="AF122" s="57" t="s">
        <v>64</v>
      </c>
      <c r="AG122" s="60"/>
      <c r="AH122" s="28" t="s">
        <v>30</v>
      </c>
      <c r="AI122" s="28" t="s">
        <v>1</v>
      </c>
      <c r="AJ122" s="57" t="s">
        <v>99</v>
      </c>
      <c r="AK122" s="57" t="s">
        <v>101</v>
      </c>
      <c r="AL122" s="57" t="s">
        <v>64</v>
      </c>
      <c r="AN122" s="28" t="s">
        <v>100</v>
      </c>
      <c r="AO122" s="57" t="s">
        <v>101</v>
      </c>
      <c r="AP122" s="101"/>
      <c r="AQ122" s="101"/>
    </row>
    <row r="123" spans="2:43" ht="15.75" customHeight="1" x14ac:dyDescent="0.2">
      <c r="B123" s="33">
        <v>100</v>
      </c>
      <c r="C123" s="33" t="s">
        <v>187</v>
      </c>
      <c r="D123" s="29">
        <v>0.5</v>
      </c>
      <c r="E123" s="50">
        <v>5</v>
      </c>
      <c r="F123">
        <v>10</v>
      </c>
      <c r="G123">
        <v>20</v>
      </c>
      <c r="R123" s="45" t="s">
        <v>102</v>
      </c>
      <c r="S123" s="45"/>
      <c r="T123" s="33"/>
      <c r="U123" s="33"/>
      <c r="V123" s="33">
        <v>200</v>
      </c>
      <c r="W123" s="50" t="e">
        <f>V123/#REF!</f>
        <v>#REF!</v>
      </c>
      <c r="X123" s="33"/>
      <c r="Y123" s="33"/>
      <c r="Z123" s="67"/>
      <c r="AB123" s="33" t="e">
        <f>#REF!</f>
        <v>#REF!</v>
      </c>
      <c r="AC123" s="33">
        <f>V123*D123</f>
        <v>100</v>
      </c>
      <c r="AD123" s="52" t="e">
        <f>AB123*(1+F123/100)/(1-#REF!/100)</f>
        <v>#REF!</v>
      </c>
      <c r="AE123" s="95" t="e">
        <f t="shared" ref="AE123:AE131" si="32">(B123-AD123)/AD123</f>
        <v>#REF!</v>
      </c>
      <c r="AF123" s="44" t="e">
        <f>AC123/AB123</f>
        <v>#REF!</v>
      </c>
      <c r="AG123" s="44"/>
      <c r="AH123" s="33" t="e">
        <f>#REF!</f>
        <v>#REF!</v>
      </c>
      <c r="AI123" s="31">
        <f>V123*(1-D123)</f>
        <v>100</v>
      </c>
      <c r="AJ123" s="52" t="e">
        <f>AH123*(1+G123/100)/(1-#REF!/100)</f>
        <v>#REF!</v>
      </c>
      <c r="AK123" s="54" t="e">
        <f t="shared" ref="AK123:AK131" si="33">(B123-AJ123)/AJ123</f>
        <v>#REF!</v>
      </c>
      <c r="AL123" s="32" t="e">
        <f>AI123/AH123</f>
        <v>#REF!</v>
      </c>
      <c r="AN123" s="54" t="e">
        <f t="shared" ref="AN123:AN131" si="34">(B123-AD123)/AD123</f>
        <v>#REF!</v>
      </c>
      <c r="AO123" s="54" t="e">
        <f t="shared" ref="AO123:AO131" si="35">(B123-AJ123)/AJ123</f>
        <v>#REF!</v>
      </c>
    </row>
    <row r="124" spans="2:43" ht="15.75" customHeight="1" x14ac:dyDescent="0.2">
      <c r="B124" s="36">
        <v>109</v>
      </c>
      <c r="C124" s="36" t="s">
        <v>187</v>
      </c>
      <c r="D124" s="37">
        <v>0.5</v>
      </c>
      <c r="E124" s="51">
        <v>5</v>
      </c>
      <c r="F124" s="35">
        <v>10</v>
      </c>
      <c r="G124" s="35">
        <v>20</v>
      </c>
      <c r="H124" s="35"/>
      <c r="R124" s="47"/>
      <c r="S124" s="47"/>
      <c r="T124" s="36"/>
      <c r="U124" s="36"/>
      <c r="V124" s="36"/>
      <c r="W124" s="51"/>
      <c r="X124" s="36"/>
      <c r="Y124" s="36"/>
      <c r="Z124" s="67"/>
      <c r="AB124" s="36" t="e">
        <f t="shared" ref="AB124:AD126" si="36">AB123</f>
        <v>#REF!</v>
      </c>
      <c r="AC124" s="36">
        <f t="shared" si="36"/>
        <v>100</v>
      </c>
      <c r="AD124" s="40" t="e">
        <f t="shared" si="36"/>
        <v>#REF!</v>
      </c>
      <c r="AE124" s="116" t="e">
        <f t="shared" si="32"/>
        <v>#REF!</v>
      </c>
      <c r="AF124" s="48" t="e">
        <f>AF123</f>
        <v>#REF!</v>
      </c>
      <c r="AG124" s="44"/>
      <c r="AH124" s="36">
        <v>100</v>
      </c>
      <c r="AI124" s="38">
        <f t="shared" ref="AI124:AJ126" si="37">AI123</f>
        <v>100</v>
      </c>
      <c r="AJ124" s="40" t="e">
        <f t="shared" si="37"/>
        <v>#REF!</v>
      </c>
      <c r="AK124" s="55" t="e">
        <f t="shared" si="33"/>
        <v>#REF!</v>
      </c>
      <c r="AL124" s="39" t="e">
        <f>AL123</f>
        <v>#REF!</v>
      </c>
      <c r="AN124" s="115" t="e">
        <f t="shared" si="34"/>
        <v>#REF!</v>
      </c>
      <c r="AO124" s="55" t="e">
        <f t="shared" si="35"/>
        <v>#REF!</v>
      </c>
    </row>
    <row r="125" spans="2:43" ht="15.75" customHeight="1" x14ac:dyDescent="0.2">
      <c r="B125" s="33">
        <v>115</v>
      </c>
      <c r="C125" s="33" t="s">
        <v>187</v>
      </c>
      <c r="D125" s="29">
        <v>0.5</v>
      </c>
      <c r="E125" s="50">
        <v>5</v>
      </c>
      <c r="F125">
        <v>10</v>
      </c>
      <c r="G125">
        <v>20</v>
      </c>
      <c r="R125" s="45"/>
      <c r="S125" s="45"/>
      <c r="T125" s="33"/>
      <c r="U125" s="33"/>
      <c r="V125" s="33"/>
      <c r="W125" s="50"/>
      <c r="X125" s="33"/>
      <c r="Y125" s="33"/>
      <c r="AB125" s="33" t="e">
        <f t="shared" si="36"/>
        <v>#REF!</v>
      </c>
      <c r="AC125" s="33">
        <f t="shared" si="36"/>
        <v>100</v>
      </c>
      <c r="AD125" s="118" t="e">
        <f t="shared" si="36"/>
        <v>#REF!</v>
      </c>
      <c r="AE125" s="113" t="e">
        <f t="shared" si="32"/>
        <v>#REF!</v>
      </c>
      <c r="AF125" s="44" t="e">
        <f>AF124</f>
        <v>#REF!</v>
      </c>
      <c r="AG125" s="44"/>
      <c r="AH125" s="33">
        <v>100</v>
      </c>
      <c r="AI125" s="31">
        <f t="shared" si="37"/>
        <v>100</v>
      </c>
      <c r="AJ125" s="52" t="e">
        <f t="shared" si="37"/>
        <v>#REF!</v>
      </c>
      <c r="AK125" s="62" t="e">
        <f t="shared" si="33"/>
        <v>#REF!</v>
      </c>
      <c r="AL125" s="32" t="e">
        <f>AL124</f>
        <v>#REF!</v>
      </c>
      <c r="AN125" s="117" t="e">
        <f t="shared" si="34"/>
        <v>#REF!</v>
      </c>
      <c r="AO125" s="54" t="e">
        <f t="shared" si="35"/>
        <v>#REF!</v>
      </c>
    </row>
    <row r="126" spans="2:43" ht="15.75" customHeight="1" x14ac:dyDescent="0.2">
      <c r="B126" s="36">
        <v>122</v>
      </c>
      <c r="C126" s="36" t="s">
        <v>187</v>
      </c>
      <c r="D126" s="37">
        <v>0.5</v>
      </c>
      <c r="E126" s="51">
        <v>5</v>
      </c>
      <c r="F126" s="35">
        <v>10</v>
      </c>
      <c r="G126" s="35">
        <v>20</v>
      </c>
      <c r="H126" s="35"/>
      <c r="R126" s="47"/>
      <c r="S126" s="47"/>
      <c r="T126" s="36"/>
      <c r="U126" s="36"/>
      <c r="V126" s="36"/>
      <c r="W126" s="51"/>
      <c r="X126" s="36"/>
      <c r="Y126" s="36"/>
      <c r="Z126" s="67"/>
      <c r="AB126" s="36" t="e">
        <f t="shared" si="36"/>
        <v>#REF!</v>
      </c>
      <c r="AC126" s="36">
        <f t="shared" si="36"/>
        <v>100</v>
      </c>
      <c r="AD126" s="119" t="e">
        <f t="shared" si="36"/>
        <v>#REF!</v>
      </c>
      <c r="AE126" s="114" t="e">
        <f t="shared" si="32"/>
        <v>#REF!</v>
      </c>
      <c r="AF126" s="48" t="e">
        <f>AF125</f>
        <v>#REF!</v>
      </c>
      <c r="AG126" s="44"/>
      <c r="AH126" s="36">
        <v>100</v>
      </c>
      <c r="AI126" s="38">
        <f t="shared" si="37"/>
        <v>100</v>
      </c>
      <c r="AJ126" s="119" t="e">
        <f t="shared" si="37"/>
        <v>#REF!</v>
      </c>
      <c r="AK126" s="114" t="e">
        <f t="shared" si="33"/>
        <v>#REF!</v>
      </c>
      <c r="AL126" s="39" t="e">
        <f>AL125</f>
        <v>#REF!</v>
      </c>
      <c r="AN126" s="114" t="e">
        <f t="shared" si="34"/>
        <v>#REF!</v>
      </c>
      <c r="AO126" s="114" t="e">
        <f t="shared" si="35"/>
        <v>#REF!</v>
      </c>
    </row>
    <row r="127" spans="2:43" ht="15.75" customHeight="1" x14ac:dyDescent="0.2">
      <c r="B127" s="33">
        <v>100</v>
      </c>
      <c r="C127" s="33" t="s">
        <v>188</v>
      </c>
      <c r="D127" s="29">
        <v>0.5</v>
      </c>
      <c r="E127" s="50">
        <v>5</v>
      </c>
      <c r="F127">
        <v>10</v>
      </c>
      <c r="G127">
        <v>20</v>
      </c>
      <c r="R127" s="45" t="s">
        <v>102</v>
      </c>
      <c r="S127" s="45"/>
      <c r="T127" s="33"/>
      <c r="U127" s="33"/>
      <c r="V127" s="33">
        <v>200</v>
      </c>
      <c r="W127" s="50" t="e">
        <f>V127/#REF!</f>
        <v>#REF!</v>
      </c>
      <c r="X127" s="33"/>
      <c r="Y127" s="33"/>
      <c r="Z127" s="67"/>
      <c r="AB127" s="33" t="e">
        <f>#REF!</f>
        <v>#REF!</v>
      </c>
      <c r="AC127" s="33">
        <f>V127*D127</f>
        <v>100</v>
      </c>
      <c r="AD127" s="52" t="e">
        <f>AB127*(1+F127/100)/(1-#REF!/100)</f>
        <v>#REF!</v>
      </c>
      <c r="AE127" s="95" t="e">
        <f t="shared" si="32"/>
        <v>#REF!</v>
      </c>
      <c r="AF127" s="44" t="e">
        <f>AC127/AB127</f>
        <v>#REF!</v>
      </c>
      <c r="AG127" s="44"/>
      <c r="AH127" s="33" t="e">
        <f>#REF!</f>
        <v>#REF!</v>
      </c>
      <c r="AI127" s="31">
        <f>V127*(1-D127)</f>
        <v>100</v>
      </c>
      <c r="AJ127" s="52" t="e">
        <f>AH127*(1+G127/100)/(1-#REF!/100)</f>
        <v>#REF!</v>
      </c>
      <c r="AK127" s="54" t="e">
        <f t="shared" si="33"/>
        <v>#REF!</v>
      </c>
      <c r="AL127" s="32" t="e">
        <f>AI127/AH127</f>
        <v>#REF!</v>
      </c>
      <c r="AN127" s="54" t="e">
        <f t="shared" si="34"/>
        <v>#REF!</v>
      </c>
      <c r="AO127" s="54" t="e">
        <f t="shared" si="35"/>
        <v>#REF!</v>
      </c>
    </row>
    <row r="128" spans="2:43" ht="15.75" customHeight="1" x14ac:dyDescent="0.2">
      <c r="B128" s="36">
        <v>109</v>
      </c>
      <c r="C128" s="36" t="s">
        <v>188</v>
      </c>
      <c r="D128" s="37">
        <v>0.5</v>
      </c>
      <c r="E128" s="51">
        <v>5</v>
      </c>
      <c r="F128" s="35">
        <v>10</v>
      </c>
      <c r="G128" s="35">
        <v>20</v>
      </c>
      <c r="H128" s="35"/>
      <c r="R128" s="47"/>
      <c r="S128" s="47"/>
      <c r="T128" s="36"/>
      <c r="U128" s="36"/>
      <c r="V128" s="36"/>
      <c r="W128" s="51"/>
      <c r="X128" s="36"/>
      <c r="Y128" s="36"/>
      <c r="Z128" s="67"/>
      <c r="AB128" s="36" t="e">
        <f t="shared" ref="AB128:AD128" si="38">AB127</f>
        <v>#REF!</v>
      </c>
      <c r="AC128" s="36">
        <f t="shared" si="38"/>
        <v>100</v>
      </c>
      <c r="AD128" s="40" t="e">
        <f t="shared" si="38"/>
        <v>#REF!</v>
      </c>
      <c r="AE128" s="55" t="e">
        <f t="shared" si="32"/>
        <v>#REF!</v>
      </c>
      <c r="AF128" s="48" t="e">
        <f>AF127</f>
        <v>#REF!</v>
      </c>
      <c r="AG128" s="44"/>
      <c r="AH128" s="36">
        <v>100</v>
      </c>
      <c r="AI128" s="38">
        <f t="shared" ref="AI128:AJ128" si="39">AI127</f>
        <v>100</v>
      </c>
      <c r="AJ128" s="40" t="e">
        <f t="shared" si="39"/>
        <v>#REF!</v>
      </c>
      <c r="AK128" s="55" t="e">
        <f t="shared" si="33"/>
        <v>#REF!</v>
      </c>
      <c r="AL128" s="39" t="e">
        <f>AL127</f>
        <v>#REF!</v>
      </c>
      <c r="AN128" s="55" t="e">
        <f t="shared" si="34"/>
        <v>#REF!</v>
      </c>
      <c r="AO128" s="55" t="e">
        <f t="shared" si="35"/>
        <v>#REF!</v>
      </c>
    </row>
    <row r="129" spans="2:41" ht="15.75" customHeight="1" x14ac:dyDescent="0.2">
      <c r="B129" s="33">
        <v>115</v>
      </c>
      <c r="C129" s="33" t="s">
        <v>188</v>
      </c>
      <c r="D129" s="29">
        <v>0.5</v>
      </c>
      <c r="E129" s="50">
        <v>5</v>
      </c>
      <c r="F129">
        <v>10</v>
      </c>
      <c r="G129">
        <v>20</v>
      </c>
      <c r="R129" s="45"/>
      <c r="S129" s="45"/>
      <c r="T129" s="33"/>
      <c r="U129" s="33"/>
      <c r="V129" s="33"/>
      <c r="W129" s="50"/>
      <c r="X129" s="33"/>
      <c r="Y129" s="33"/>
      <c r="Z129" s="67"/>
      <c r="AB129" s="33" t="e">
        <f t="shared" ref="AB129:AD129" si="40">AB128</f>
        <v>#REF!</v>
      </c>
      <c r="AC129" s="33">
        <f t="shared" si="40"/>
        <v>100</v>
      </c>
      <c r="AD129" s="118" t="e">
        <f t="shared" si="40"/>
        <v>#REF!</v>
      </c>
      <c r="AE129" s="113" t="e">
        <f t="shared" si="32"/>
        <v>#REF!</v>
      </c>
      <c r="AF129" s="44" t="e">
        <f>AF128</f>
        <v>#REF!</v>
      </c>
      <c r="AG129" s="44"/>
      <c r="AH129" s="33">
        <v>100</v>
      </c>
      <c r="AI129" s="31">
        <f t="shared" ref="AI129:AJ129" si="41">AI128</f>
        <v>100</v>
      </c>
      <c r="AJ129" s="52" t="e">
        <f t="shared" si="41"/>
        <v>#REF!</v>
      </c>
      <c r="AK129" s="62" t="e">
        <f t="shared" si="33"/>
        <v>#REF!</v>
      </c>
      <c r="AL129" s="32" t="e">
        <f>AL128</f>
        <v>#REF!</v>
      </c>
      <c r="AN129" s="117" t="e">
        <f t="shared" si="34"/>
        <v>#REF!</v>
      </c>
      <c r="AO129" s="54" t="e">
        <f t="shared" si="35"/>
        <v>#REF!</v>
      </c>
    </row>
    <row r="130" spans="2:41" ht="15.75" customHeight="1" x14ac:dyDescent="0.2">
      <c r="B130" s="36">
        <v>122</v>
      </c>
      <c r="C130" s="121" t="s">
        <v>188</v>
      </c>
      <c r="D130" s="37">
        <v>0.5</v>
      </c>
      <c r="E130" s="51">
        <v>5</v>
      </c>
      <c r="F130" s="35">
        <v>10</v>
      </c>
      <c r="G130" s="35">
        <v>20</v>
      </c>
      <c r="H130" s="35"/>
      <c r="R130" s="47"/>
      <c r="S130" s="47"/>
      <c r="T130" s="36"/>
      <c r="U130" s="36"/>
      <c r="V130" s="36"/>
      <c r="W130" s="51"/>
      <c r="X130" s="36"/>
      <c r="Y130" s="36"/>
      <c r="Z130" s="67"/>
      <c r="AB130" s="36" t="e">
        <f t="shared" ref="AB130:AD130" si="42">AB129</f>
        <v>#REF!</v>
      </c>
      <c r="AC130" s="36">
        <f t="shared" si="42"/>
        <v>100</v>
      </c>
      <c r="AD130" s="119" t="e">
        <f t="shared" si="42"/>
        <v>#REF!</v>
      </c>
      <c r="AE130" s="114" t="e">
        <f t="shared" si="32"/>
        <v>#REF!</v>
      </c>
      <c r="AF130" s="48" t="e">
        <f>AF129</f>
        <v>#REF!</v>
      </c>
      <c r="AG130" s="44"/>
      <c r="AH130" s="36">
        <v>100</v>
      </c>
      <c r="AI130" s="38">
        <f t="shared" ref="AI130:AJ130" si="43">AI129</f>
        <v>100</v>
      </c>
      <c r="AJ130" s="119" t="e">
        <f t="shared" si="43"/>
        <v>#REF!</v>
      </c>
      <c r="AK130" s="114" t="e">
        <f t="shared" si="33"/>
        <v>#REF!</v>
      </c>
      <c r="AL130" s="39" t="e">
        <f>AL129</f>
        <v>#REF!</v>
      </c>
      <c r="AN130" s="114" t="e">
        <f t="shared" si="34"/>
        <v>#REF!</v>
      </c>
      <c r="AO130" s="114" t="e">
        <f t="shared" si="35"/>
        <v>#REF!</v>
      </c>
    </row>
    <row r="131" spans="2:41" ht="15.75" customHeight="1" x14ac:dyDescent="0.2">
      <c r="B131" s="33">
        <v>122</v>
      </c>
      <c r="C131" s="33" t="s">
        <v>188</v>
      </c>
      <c r="D131" s="29">
        <v>0.5</v>
      </c>
      <c r="E131" s="50">
        <v>5</v>
      </c>
      <c r="F131">
        <v>10</v>
      </c>
      <c r="G131">
        <v>20</v>
      </c>
      <c r="R131" s="45" t="s">
        <v>189</v>
      </c>
      <c r="S131" s="45"/>
      <c r="T131" s="33"/>
      <c r="U131" s="33"/>
      <c r="V131" s="33">
        <v>200</v>
      </c>
      <c r="W131" s="50" t="e">
        <f>V131/#REF!</f>
        <v>#REF!</v>
      </c>
      <c r="X131" s="33"/>
      <c r="Y131" s="33"/>
      <c r="Z131" s="67"/>
      <c r="AB131" s="33" t="e">
        <f>#REF!</f>
        <v>#REF!</v>
      </c>
      <c r="AC131" s="33">
        <f>V131*D131</f>
        <v>100</v>
      </c>
      <c r="AD131" s="118" t="e">
        <f>AB131*(1+F131/100)/(1-#REF!/100)</f>
        <v>#REF!</v>
      </c>
      <c r="AE131" s="113" t="e">
        <f t="shared" si="32"/>
        <v>#REF!</v>
      </c>
      <c r="AF131" s="44" t="e">
        <f>AF130</f>
        <v>#REF!</v>
      </c>
      <c r="AG131" s="44"/>
      <c r="AH131" s="33" t="e">
        <f>#REF!</f>
        <v>#REF!</v>
      </c>
      <c r="AI131" s="31">
        <f>V131*(1-D131)</f>
        <v>100</v>
      </c>
      <c r="AJ131" s="52" t="e">
        <f>AH131*(1+G131/100)/(1-#REF!/100)</f>
        <v>#REF!</v>
      </c>
      <c r="AK131" s="54" t="e">
        <f t="shared" si="33"/>
        <v>#REF!</v>
      </c>
      <c r="AL131" s="32" t="e">
        <f>AI131/AH131</f>
        <v>#REF!</v>
      </c>
      <c r="AN131" s="117" t="e">
        <f t="shared" si="34"/>
        <v>#REF!</v>
      </c>
      <c r="AO131" s="54" t="e">
        <f t="shared" si="35"/>
        <v>#REF!</v>
      </c>
    </row>
    <row r="132" spans="2:41" ht="15.75" customHeight="1" x14ac:dyDescent="0.2">
      <c r="B132" s="33"/>
      <c r="C132" s="33"/>
      <c r="D132" s="29"/>
      <c r="E132" s="50"/>
      <c r="R132" s="45"/>
      <c r="S132" s="45"/>
      <c r="T132" s="33"/>
      <c r="U132" s="33"/>
      <c r="V132" s="33"/>
      <c r="W132" s="50"/>
      <c r="X132" s="33"/>
      <c r="Y132" s="33"/>
      <c r="Z132" s="67"/>
      <c r="AB132" s="33"/>
      <c r="AC132" s="33"/>
      <c r="AD132" s="52"/>
      <c r="AE132" s="62"/>
      <c r="AF132" s="44"/>
      <c r="AG132" s="44"/>
      <c r="AH132" s="33"/>
      <c r="AI132" s="31"/>
      <c r="AJ132" s="33"/>
      <c r="AK132" s="62"/>
      <c r="AL132" s="32"/>
    </row>
    <row r="133" spans="2:41" ht="15.75" customHeight="1" x14ac:dyDescent="0.2"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</row>
    <row r="134" spans="2:41" ht="15.75" customHeight="1" x14ac:dyDescent="0.2">
      <c r="B134" s="185" t="s">
        <v>103</v>
      </c>
      <c r="C134" s="34"/>
      <c r="AB134" s="110"/>
      <c r="AC134" s="110"/>
      <c r="AD134" s="111"/>
      <c r="AE134" s="110"/>
      <c r="AF134" s="110"/>
      <c r="AG134" s="110"/>
      <c r="AH134" s="110"/>
      <c r="AI134" s="110"/>
      <c r="AJ134" s="110"/>
      <c r="AK134" s="110"/>
      <c r="AL134" s="110"/>
      <c r="AM134" s="110"/>
    </row>
    <row r="135" spans="2:41" ht="15.75" customHeight="1" x14ac:dyDescent="0.2">
      <c r="B135" s="28" t="s">
        <v>61</v>
      </c>
      <c r="C135" s="28"/>
      <c r="D135" s="28" t="s">
        <v>29</v>
      </c>
      <c r="E135" s="57" t="s">
        <v>63</v>
      </c>
      <c r="F135" s="57" t="s">
        <v>72</v>
      </c>
      <c r="G135" s="57" t="s">
        <v>99</v>
      </c>
      <c r="H135" s="57"/>
      <c r="I135" s="101"/>
      <c r="J135" s="101"/>
      <c r="K135" s="101"/>
      <c r="L135" s="101"/>
      <c r="M135" s="101"/>
      <c r="N135" s="101"/>
      <c r="O135" s="101"/>
      <c r="P135" s="101"/>
      <c r="AB135" s="110"/>
      <c r="AC135" s="110"/>
      <c r="AD135" s="112"/>
      <c r="AE135" s="110"/>
      <c r="AF135" s="110"/>
      <c r="AG135" s="110"/>
      <c r="AH135" s="110"/>
      <c r="AI135" s="110"/>
      <c r="AJ135" s="110"/>
      <c r="AK135" s="110"/>
      <c r="AL135" s="110"/>
      <c r="AM135" s="110"/>
    </row>
    <row r="136" spans="2:41" ht="15.75" customHeight="1" x14ac:dyDescent="0.2">
      <c r="B136" s="33">
        <v>100</v>
      </c>
      <c r="C136" s="33"/>
      <c r="D136" s="29">
        <v>0.5</v>
      </c>
      <c r="E136" s="50">
        <v>5</v>
      </c>
      <c r="F136">
        <v>10</v>
      </c>
      <c r="G136">
        <v>20</v>
      </c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</row>
    <row r="137" spans="2:41" ht="15.75" customHeight="1" x14ac:dyDescent="0.2">
      <c r="B137" s="36">
        <v>109</v>
      </c>
      <c r="C137" s="36"/>
      <c r="D137" s="37">
        <v>0.5</v>
      </c>
      <c r="E137" s="51">
        <v>5</v>
      </c>
      <c r="F137" s="35">
        <v>10</v>
      </c>
      <c r="G137" s="35">
        <v>20</v>
      </c>
      <c r="H137" s="35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</row>
    <row r="138" spans="2:41" ht="15.75" customHeight="1" x14ac:dyDescent="0.2">
      <c r="B138" s="33">
        <v>115</v>
      </c>
      <c r="C138" s="33"/>
      <c r="D138" s="29">
        <v>0.5</v>
      </c>
      <c r="E138" s="50">
        <v>5</v>
      </c>
      <c r="F138">
        <v>10</v>
      </c>
      <c r="G138">
        <v>20</v>
      </c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</row>
    <row r="139" spans="2:41" ht="15.75" customHeight="1" x14ac:dyDescent="0.2">
      <c r="B139" s="36">
        <v>122</v>
      </c>
      <c r="C139" s="36"/>
      <c r="D139" s="37">
        <v>0.5</v>
      </c>
      <c r="E139" s="51">
        <v>5</v>
      </c>
      <c r="F139" s="35">
        <v>10</v>
      </c>
      <c r="G139" s="35">
        <v>20</v>
      </c>
      <c r="H139" s="35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</row>
    <row r="140" spans="2:41" ht="15.75" customHeight="1" x14ac:dyDescent="0.2">
      <c r="AM140" s="120"/>
    </row>
    <row r="141" spans="2:41" ht="15.75" customHeight="1" x14ac:dyDescent="0.2">
      <c r="B141" s="185" t="s">
        <v>175</v>
      </c>
      <c r="C141" s="34"/>
      <c r="AB141" s="56" t="s">
        <v>186</v>
      </c>
      <c r="AC141" s="12"/>
      <c r="AD141" s="12"/>
      <c r="AE141" s="34" t="s">
        <v>179</v>
      </c>
      <c r="AH141" s="46"/>
      <c r="AI141" s="45"/>
      <c r="AJ141" s="46"/>
      <c r="AK141" s="46"/>
      <c r="AL141" s="45"/>
    </row>
    <row r="142" spans="2:41" ht="15.75" customHeight="1" x14ac:dyDescent="0.2">
      <c r="B142" s="28" t="s">
        <v>110</v>
      </c>
      <c r="C142" s="28" t="s">
        <v>114</v>
      </c>
      <c r="D142" s="28" t="s">
        <v>29</v>
      </c>
      <c r="E142" s="57" t="s">
        <v>63</v>
      </c>
      <c r="F142" s="57" t="s">
        <v>72</v>
      </c>
      <c r="G142" s="57" t="s">
        <v>99</v>
      </c>
      <c r="H142" s="57"/>
      <c r="I142" s="101"/>
      <c r="J142" s="101"/>
      <c r="K142" s="101"/>
      <c r="L142" s="101"/>
      <c r="M142" s="101"/>
      <c r="N142" s="101"/>
      <c r="O142" s="101"/>
      <c r="P142" s="101"/>
      <c r="R142" s="28" t="s">
        <v>3</v>
      </c>
      <c r="S142" s="28"/>
      <c r="T142" s="28"/>
      <c r="U142" s="57" t="s">
        <v>70</v>
      </c>
      <c r="V142" s="28" t="s">
        <v>1</v>
      </c>
      <c r="W142" s="57" t="s">
        <v>62</v>
      </c>
      <c r="X142" s="101"/>
      <c r="Y142" s="101"/>
      <c r="AB142" s="57" t="s">
        <v>0</v>
      </c>
      <c r="AC142" s="57" t="s">
        <v>9</v>
      </c>
      <c r="AD142" s="101"/>
      <c r="AE142" s="57" t="s">
        <v>182</v>
      </c>
      <c r="AF142" s="57" t="s">
        <v>183</v>
      </c>
      <c r="AG142" s="57" t="s">
        <v>181</v>
      </c>
      <c r="AH142" s="101"/>
      <c r="AI142" s="101"/>
      <c r="AJ142" s="101"/>
      <c r="AK142" s="101"/>
      <c r="AL142" s="101"/>
    </row>
    <row r="143" spans="2:41" ht="15.75" customHeight="1" x14ac:dyDescent="0.2">
      <c r="B143" s="33">
        <v>100</v>
      </c>
      <c r="C143" s="99" t="s">
        <v>176</v>
      </c>
      <c r="D143" s="29">
        <v>0.5</v>
      </c>
      <c r="E143" s="50">
        <v>5</v>
      </c>
      <c r="F143">
        <v>10</v>
      </c>
      <c r="G143">
        <v>20</v>
      </c>
      <c r="R143" s="45" t="s">
        <v>75</v>
      </c>
      <c r="S143" s="45"/>
      <c r="T143" s="33"/>
      <c r="U143" s="33"/>
      <c r="V143" s="33">
        <v>500</v>
      </c>
      <c r="W143" s="50" t="e">
        <f>V143/#REF!</f>
        <v>#REF!</v>
      </c>
      <c r="X143" s="52"/>
      <c r="Y143" s="52"/>
      <c r="AB143" s="33"/>
      <c r="AC143" s="33"/>
      <c r="AD143" s="33"/>
      <c r="AE143" s="100" t="e">
        <f>IF(
      OR(
        (B143*(1+#REF!/100)/C150-1)*100 &lt;= -E143,
        (B143*(1+#REF!/100)/C151-1)*100 &lt;= -E143,
        (B143*(1+#REF!/100)/C152-1)*100 &lt;= -E143,
        (B143*(1+#REF!/100)/C153-1)*100 &lt;= -E143,
        (B143*(1+#REF!/100)/C154-1)*100 &lt;= -E143
      ),
      MIN(
        IF((B143*(1+#REF!/100)/C150-1)*100 &lt;= -E143, (B143*(1+#REF!/100)/C150-1)*100, 0),
        IF((B143*(1+#REF!/100)/C151-1)*100 &lt;= -E143, (B143*(1+#REF!/100)/C151-1)*100, 0),
        IF((B143*(1+#REF!/100)/C152-1)*100 &lt;= -E143, (B143*(1+#REF!/100)/C152-1)*100, 0),
        IF((B143*(1+#REF!/100)/C153-1)*100 &lt;= -E143, (B143*(1+#REF!/100)/C153-1)*100, 0),
        IF((B143*(1+#REF!/100)/C154-1)*100 &lt;= -E143, (B143*(1+#REF!/100)/C154-1)*100, 0)
      )/100,
      ""
    )</f>
        <v>#REF!</v>
      </c>
      <c r="AF143" s="92" t="s">
        <v>34</v>
      </c>
      <c r="AG143" t="s">
        <v>184</v>
      </c>
      <c r="AH143" s="99"/>
      <c r="AI143" s="102"/>
      <c r="AJ143" s="99"/>
      <c r="AK143" s="103"/>
      <c r="AL143" s="104"/>
    </row>
    <row r="144" spans="2:41" ht="15.75" customHeight="1" x14ac:dyDescent="0.2">
      <c r="B144" s="36"/>
      <c r="C144" s="36"/>
      <c r="D144" s="37"/>
      <c r="E144" s="51"/>
      <c r="F144" s="35"/>
      <c r="G144" s="35"/>
      <c r="H144" s="35"/>
      <c r="R144" s="47" t="s">
        <v>75</v>
      </c>
      <c r="S144" s="47"/>
      <c r="T144" s="36"/>
      <c r="U144" s="36"/>
      <c r="V144" s="36">
        <v>200</v>
      </c>
      <c r="W144" s="51" t="e">
        <f>V144/#REF!</f>
        <v>#REF!</v>
      </c>
      <c r="X144" s="52"/>
      <c r="Y144" s="52"/>
      <c r="AB144" s="36"/>
      <c r="AC144" s="36"/>
      <c r="AD144" s="33"/>
      <c r="AE144" s="107" t="e">
        <f>IF(
      OR(
        (B143*(1+#REF!/100)/C150-1)*100 &lt;= -E143,
        (B143*(1+#REF!/100)/C151-1)*100 &lt;= -E143,
        (B143*(1+#REF!/100)/C152-1)*100 &lt;= -E143,
        (B143*(1+#REF!/100)/C153-1)*100 &lt;= -E143,
        (B143*(1+#REF!/100)/C154-1)*100 &lt;= -E143
      ),
      MIN(
        IF((B143*(1+#REF!/100)/C150-1)*100 &lt;= -E143, (B143*(1+#REF!/100)/C150-1)*100, 0),
        IF((B143*(1+#REF!/100)/C151-1)*100 &lt;= -E143, (B143*(1+#REF!/100)/C151-1)*100, 0),
        IF((B143*(1+#REF!/100)/C152-1)*100 &lt;= -E143, (B143*(1+#REF!/100)/C152-1)*100, 0),
        IF((B143*(1+#REF!/100)/C153-1)*100 &lt;= -E143, (B143*(1+#REF!/100)/C153-1)*100, 0),
        IF((B143*(1+#REF!/100)/C154-1)*100 &lt;= -E143, (B143*(1+#REF!/100)/C154-1)*100, 0)
      )/100,
      ""
    )</f>
        <v>#REF!</v>
      </c>
      <c r="AF144" s="105" t="s">
        <v>34</v>
      </c>
      <c r="AG144" s="35" t="e">
        <f>#REF!</f>
        <v>#REF!</v>
      </c>
      <c r="AH144" s="99"/>
      <c r="AI144" s="102"/>
      <c r="AJ144" s="99"/>
      <c r="AK144" s="103"/>
      <c r="AL144" s="104"/>
    </row>
    <row r="145" spans="2:44" ht="15.75" customHeight="1" x14ac:dyDescent="0.2">
      <c r="B145" s="33">
        <v>50</v>
      </c>
      <c r="C145" s="99" t="s">
        <v>185</v>
      </c>
      <c r="D145" s="29">
        <v>0.5</v>
      </c>
      <c r="E145" s="50">
        <v>8</v>
      </c>
      <c r="F145">
        <v>10</v>
      </c>
      <c r="G145">
        <v>20</v>
      </c>
      <c r="R145" s="45" t="s">
        <v>75</v>
      </c>
      <c r="S145" s="45"/>
      <c r="T145" s="33"/>
      <c r="U145" s="33"/>
      <c r="V145" s="33">
        <v>600</v>
      </c>
      <c r="W145" s="50" t="e">
        <f>V145/#REF!</f>
        <v>#REF!</v>
      </c>
      <c r="X145" s="52"/>
      <c r="Y145" s="52"/>
      <c r="AB145" s="33" t="e">
        <f>#REF!</f>
        <v>#REF!</v>
      </c>
      <c r="AC145" s="52" t="e">
        <f>AB145 * (1 - $E$145%)</f>
        <v>#REF!</v>
      </c>
      <c r="AD145" s="33"/>
      <c r="AF145" s="54" t="e">
        <f>($B$145 -#REF!) /#REF!</f>
        <v>#REF!</v>
      </c>
      <c r="AG145" t="e">
        <f>#REF!</f>
        <v>#REF!</v>
      </c>
      <c r="AH145" s="99"/>
      <c r="AI145" s="102"/>
      <c r="AJ145" s="99"/>
      <c r="AK145" s="103"/>
      <c r="AL145" s="104"/>
    </row>
    <row r="146" spans="2:44" ht="15.75" customHeight="1" x14ac:dyDescent="0.2">
      <c r="B146" s="36"/>
      <c r="C146" s="36"/>
      <c r="D146" s="37"/>
      <c r="E146" s="51"/>
      <c r="F146" s="35"/>
      <c r="G146" s="35"/>
      <c r="H146" s="35"/>
      <c r="R146" s="47" t="s">
        <v>75</v>
      </c>
      <c r="S146" s="47"/>
      <c r="T146" s="36"/>
      <c r="U146" s="36"/>
      <c r="V146" s="36">
        <v>520</v>
      </c>
      <c r="W146" s="51" t="e">
        <f>V146/#REF!</f>
        <v>#REF!</v>
      </c>
      <c r="X146" s="52"/>
      <c r="Y146" s="52"/>
      <c r="AB146" s="36" t="e">
        <f>#REF!</f>
        <v>#REF!</v>
      </c>
      <c r="AC146" s="40" t="e">
        <f t="shared" ref="AC146:AC147" si="44">AB146 * (1 - $E$145%)</f>
        <v>#REF!</v>
      </c>
      <c r="AD146" s="33"/>
      <c r="AE146" s="35"/>
      <c r="AF146" s="55" t="e">
        <f>($B$145 -#REF!) /#REF!</f>
        <v>#REF!</v>
      </c>
      <c r="AG146" s="35" t="e">
        <f>#REF!</f>
        <v>#REF!</v>
      </c>
      <c r="AH146" s="99"/>
      <c r="AI146" s="102"/>
      <c r="AJ146" s="99"/>
      <c r="AK146" s="103"/>
      <c r="AL146" s="104"/>
    </row>
    <row r="147" spans="2:44" ht="15.75" customHeight="1" x14ac:dyDescent="0.2">
      <c r="B147" s="33"/>
      <c r="C147" s="33"/>
      <c r="D147" s="29"/>
      <c r="E147" s="50"/>
      <c r="R147" t="s">
        <v>75</v>
      </c>
      <c r="V147" s="33">
        <v>700</v>
      </c>
      <c r="W147" s="50" t="e">
        <f>V147/#REF!</f>
        <v>#REF!</v>
      </c>
      <c r="X147" s="52"/>
      <c r="Y147" s="52"/>
      <c r="AB147" s="33" t="e">
        <f>#REF!</f>
        <v>#REF!</v>
      </c>
      <c r="AC147" s="52" t="e">
        <f t="shared" si="44"/>
        <v>#REF!</v>
      </c>
      <c r="AF147" s="54" t="e">
        <f>($B$145 -#REF!) /#REF!</f>
        <v>#REF!</v>
      </c>
      <c r="AG147" t="e">
        <f>#REF!</f>
        <v>#REF!</v>
      </c>
      <c r="AH147" s="45"/>
      <c r="AI147" s="45"/>
      <c r="AJ147" s="45"/>
      <c r="AK147" s="45"/>
      <c r="AL147" s="45"/>
    </row>
    <row r="148" spans="2:44" ht="15.75" customHeight="1" x14ac:dyDescent="0.2">
      <c r="B148" s="99" t="s">
        <v>177</v>
      </c>
      <c r="C148" s="33"/>
      <c r="D148" s="29"/>
      <c r="E148" s="50"/>
      <c r="R148" s="47" t="s">
        <v>75</v>
      </c>
      <c r="S148" s="47"/>
      <c r="T148" s="35"/>
      <c r="U148" s="35"/>
      <c r="V148" s="36">
        <v>255</v>
      </c>
      <c r="W148" s="51" t="e">
        <f>V148/#REF!</f>
        <v>#REF!</v>
      </c>
      <c r="AB148" s="36" t="e">
        <f>#REF!</f>
        <v>#REF!</v>
      </c>
      <c r="AC148" s="40" t="e">
        <f>(AB148 * (1 - $E$145%)) / (1 +#REF! %)</f>
        <v>#REF!</v>
      </c>
      <c r="AE148" s="35"/>
      <c r="AF148" s="106" t="e">
        <f>($B$145 -#REF!) /#REF!</f>
        <v>#REF!</v>
      </c>
      <c r="AG148" s="35" t="e">
        <f>#REF!</f>
        <v>#REF!</v>
      </c>
    </row>
    <row r="149" spans="2:44" ht="15.75" customHeight="1" x14ac:dyDescent="0.2">
      <c r="B149" s="57" t="s">
        <v>2</v>
      </c>
      <c r="C149" s="57" t="s">
        <v>178</v>
      </c>
      <c r="D149" s="57" t="s">
        <v>180</v>
      </c>
      <c r="R149" s="45" t="s">
        <v>75</v>
      </c>
      <c r="S149" s="45"/>
      <c r="V149" s="33">
        <v>1100</v>
      </c>
      <c r="W149" s="50" t="e">
        <f>V149/#REF!</f>
        <v>#REF!</v>
      </c>
      <c r="AB149" s="33" t="e">
        <f>#REF!</f>
        <v>#REF!</v>
      </c>
      <c r="AE149" s="100" t="e">
        <f>IF(
      OR(
        (B143*(1+#REF!/100)/C150-1)*100 &lt;= -E143,
        (B143*(1+#REF!/100)/C151-1)*100 &lt;= -E143,
        (B143*(1+#REF!/100)/C152-1)*100 &lt;= -E143,
        (B143*(1+#REF!/100)/C153-1)*100 &lt;= -E143,
        (B143*(1+#REF!/100)/C154-1)*100 &lt;= -E143
      ),
      MIN(
        IF((B143*(1+#REF!/100)/C150-1)*100 &lt;= -E143, (B143*(1+#REF!/100)/C150-1)*100, 0),
        IF((B143*(1+#REF!/100)/C151-1)*100 &lt;= -E143, (B143*(1+#REF!/100)/C151-1)*100, 0),
        IF((B143*(1+#REF!/100)/C152-1)*100 &lt;= -E143, (B143*(1+#REF!/100)/C152-1)*100, 0),
        IF((B143*(1+#REF!/100)/C153-1)*100 &lt;= -E143, (B143*(1+#REF!/100)/C153-1)*100, 0),
        IF((B143*(1+#REF!/100)/C154-1)*100 &lt;= -E143, (B143*(1+#REF!/100)/C154-1)*100, 0)
      )/100,
      ""
    )</f>
        <v>#REF!</v>
      </c>
      <c r="AF149" s="108" t="e">
        <f>($B$143 -#REF!) /#REF!</f>
        <v>#REF!</v>
      </c>
      <c r="AG149" t="e">
        <f>#REF!</f>
        <v>#REF!</v>
      </c>
    </row>
    <row r="150" spans="2:44" ht="15.75" customHeight="1" x14ac:dyDescent="0.2">
      <c r="B150" s="98">
        <v>45924</v>
      </c>
      <c r="C150" s="97">
        <v>106</v>
      </c>
    </row>
    <row r="151" spans="2:44" ht="15.75" customHeight="1" x14ac:dyDescent="0.2">
      <c r="B151" s="98">
        <v>45923</v>
      </c>
      <c r="C151" s="97">
        <v>105</v>
      </c>
    </row>
    <row r="152" spans="2:44" ht="15.75" customHeight="1" x14ac:dyDescent="0.2">
      <c r="B152" s="98">
        <v>45922</v>
      </c>
      <c r="C152" s="97">
        <v>108</v>
      </c>
    </row>
    <row r="153" spans="2:44" ht="15.75" customHeight="1" x14ac:dyDescent="0.2">
      <c r="B153" s="98">
        <v>45921</v>
      </c>
      <c r="C153" s="97">
        <v>107</v>
      </c>
    </row>
    <row r="154" spans="2:44" ht="15.75" customHeight="1" x14ac:dyDescent="0.2">
      <c r="B154" s="98">
        <v>45920</v>
      </c>
      <c r="C154" s="97">
        <v>104</v>
      </c>
      <c r="Q154" s="45"/>
      <c r="AC154" s="68"/>
    </row>
    <row r="155" spans="2:44" ht="15.75" customHeight="1" x14ac:dyDescent="0.2">
      <c r="Q155" s="45"/>
    </row>
    <row r="156" spans="2:44" ht="15.75" customHeight="1" x14ac:dyDescent="0.2">
      <c r="Q156" s="45"/>
    </row>
    <row r="157" spans="2:44" ht="15.75" customHeight="1" x14ac:dyDescent="0.2">
      <c r="Q157" s="92"/>
      <c r="AC157" s="45" t="s">
        <v>74</v>
      </c>
      <c r="AM157" s="45" t="s">
        <v>94</v>
      </c>
    </row>
    <row r="158" spans="2:44" ht="15.75" customHeight="1" x14ac:dyDescent="0.2">
      <c r="AC158" s="69" t="s">
        <v>2</v>
      </c>
      <c r="AD158" s="70" t="s">
        <v>3</v>
      </c>
      <c r="AE158" s="70"/>
      <c r="AF158" s="70" t="s">
        <v>76</v>
      </c>
      <c r="AG158" s="70" t="s">
        <v>4</v>
      </c>
      <c r="AH158" s="70" t="s">
        <v>0</v>
      </c>
      <c r="AI158" s="70" t="s">
        <v>1</v>
      </c>
      <c r="AJ158" s="70" t="s">
        <v>62</v>
      </c>
      <c r="AK158" s="70"/>
      <c r="AL158" s="70" t="s">
        <v>77</v>
      </c>
      <c r="AM158" s="70" t="s">
        <v>84</v>
      </c>
      <c r="AN158" s="70" t="s">
        <v>83</v>
      </c>
      <c r="AO158" s="70" t="s">
        <v>7</v>
      </c>
      <c r="AP158" s="70" t="s">
        <v>81</v>
      </c>
      <c r="AQ158" s="70" t="s">
        <v>79</v>
      </c>
      <c r="AR158" s="70" t="s">
        <v>82</v>
      </c>
    </row>
    <row r="159" spans="2:44" ht="15.75" customHeight="1" x14ac:dyDescent="0.2">
      <c r="AC159" s="78">
        <v>45658</v>
      </c>
      <c r="AD159" s="79" t="s">
        <v>75</v>
      </c>
      <c r="AE159" s="79"/>
      <c r="AF159" s="80" t="s">
        <v>85</v>
      </c>
      <c r="AG159" s="79" t="s">
        <v>78</v>
      </c>
      <c r="AH159" s="81">
        <v>200</v>
      </c>
      <c r="AI159" s="81">
        <v>200</v>
      </c>
      <c r="AJ159" s="82">
        <f>AI159/AH159</f>
        <v>1</v>
      </c>
      <c r="AK159" s="82"/>
      <c r="AL159" s="79"/>
      <c r="AM159" s="82">
        <v>1</v>
      </c>
      <c r="AN159" s="82">
        <f>AM159/2</f>
        <v>0.5</v>
      </c>
      <c r="AO159" s="83">
        <f>AM159/2</f>
        <v>0.5</v>
      </c>
      <c r="AP159" s="81">
        <v>0</v>
      </c>
      <c r="AQ159" s="84">
        <f>ABS(AP159-AI159)</f>
        <v>200</v>
      </c>
      <c r="AR159" s="85">
        <f>((AP159+(AJ159*AH159)-AQ159)/AQ159)</f>
        <v>0</v>
      </c>
    </row>
    <row r="160" spans="2:44" ht="15.75" customHeight="1" x14ac:dyDescent="0.2">
      <c r="AC160" s="71">
        <v>45659</v>
      </c>
      <c r="AD160" s="72" t="s">
        <v>73</v>
      </c>
      <c r="AE160" s="72"/>
      <c r="AF160" s="74" t="s">
        <v>86</v>
      </c>
      <c r="AG160" s="72" t="s">
        <v>10</v>
      </c>
      <c r="AH160" s="73">
        <v>220</v>
      </c>
      <c r="AI160" s="72"/>
      <c r="AJ160" s="75">
        <f>AN159</f>
        <v>0.5</v>
      </c>
      <c r="AK160" s="75"/>
      <c r="AL160" s="73">
        <f>AH160*AJ160</f>
        <v>110</v>
      </c>
      <c r="AM160" s="75">
        <v>0.5</v>
      </c>
      <c r="AN160" s="75">
        <v>0</v>
      </c>
      <c r="AO160" s="75">
        <v>0.5</v>
      </c>
      <c r="AP160" s="73">
        <f>AL160+AP159</f>
        <v>110</v>
      </c>
      <c r="AQ160" s="73">
        <f>AQ159</f>
        <v>200</v>
      </c>
      <c r="AR160" s="77">
        <f t="shared" ref="AR160:AR168" si="45">((AP160+(AM160*AH160)-AQ160)/AQ160)</f>
        <v>0.1</v>
      </c>
    </row>
    <row r="161" spans="26:44" ht="15.75" customHeight="1" x14ac:dyDescent="0.2">
      <c r="AC161" s="78">
        <v>45660</v>
      </c>
      <c r="AD161" s="79" t="s">
        <v>75</v>
      </c>
      <c r="AE161" s="79"/>
      <c r="AF161" s="80" t="s">
        <v>87</v>
      </c>
      <c r="AG161" s="79" t="s">
        <v>80</v>
      </c>
      <c r="AH161" s="81">
        <v>220</v>
      </c>
      <c r="AI161" s="81">
        <v>220</v>
      </c>
      <c r="AJ161" s="82">
        <f>AI161/AH161</f>
        <v>1</v>
      </c>
      <c r="AK161" s="82"/>
      <c r="AL161" s="79"/>
      <c r="AM161" s="82">
        <f>AJ161+AM160</f>
        <v>1.5</v>
      </c>
      <c r="AN161" s="82">
        <f>AN160+(AJ161/2)</f>
        <v>0.5</v>
      </c>
      <c r="AO161" s="82">
        <f>AO160+(AJ161/2)</f>
        <v>1</v>
      </c>
      <c r="AP161" s="81">
        <v>0</v>
      </c>
      <c r="AQ161" s="81">
        <f>AQ160+(AI161-AP160)</f>
        <v>310</v>
      </c>
      <c r="AR161" s="85">
        <f t="shared" si="45"/>
        <v>6.4516129032258063E-2</v>
      </c>
    </row>
    <row r="162" spans="26:44" ht="15.75" customHeight="1" x14ac:dyDescent="0.2">
      <c r="AC162" s="71">
        <v>45661</v>
      </c>
      <c r="AD162" s="72" t="s">
        <v>73</v>
      </c>
      <c r="AE162" s="72"/>
      <c r="AF162" s="74" t="s">
        <v>88</v>
      </c>
      <c r="AG162" s="72" t="s">
        <v>80</v>
      </c>
      <c r="AH162" s="73">
        <v>190</v>
      </c>
      <c r="AI162" s="72"/>
      <c r="AJ162" s="75">
        <v>0.5</v>
      </c>
      <c r="AK162" s="75"/>
      <c r="AL162" s="73">
        <f>AH162*AJ162</f>
        <v>95</v>
      </c>
      <c r="AM162" s="75">
        <f>AM161-AJ162</f>
        <v>1</v>
      </c>
      <c r="AN162" s="75">
        <f>AN161</f>
        <v>0.5</v>
      </c>
      <c r="AO162" s="75">
        <f>AO161-AJ162</f>
        <v>0.5</v>
      </c>
      <c r="AP162" s="73">
        <f>AP161+AL162</f>
        <v>95</v>
      </c>
      <c r="AQ162" s="73">
        <f>AQ161</f>
        <v>310</v>
      </c>
      <c r="AR162" s="77">
        <f t="shared" si="45"/>
        <v>-8.0645161290322578E-2</v>
      </c>
    </row>
    <row r="163" spans="26:44" ht="15.75" customHeight="1" x14ac:dyDescent="0.2">
      <c r="AC163" s="78">
        <v>45662</v>
      </c>
      <c r="AD163" s="79" t="s">
        <v>75</v>
      </c>
      <c r="AE163" s="79"/>
      <c r="AF163" s="80" t="s">
        <v>89</v>
      </c>
      <c r="AG163" s="79" t="s">
        <v>80</v>
      </c>
      <c r="AH163" s="81">
        <v>200</v>
      </c>
      <c r="AI163" s="81">
        <v>200</v>
      </c>
      <c r="AJ163" s="82">
        <f>AI163/AH163</f>
        <v>1</v>
      </c>
      <c r="AK163" s="82"/>
      <c r="AL163" s="79"/>
      <c r="AM163" s="82">
        <f>AM162+AJ163</f>
        <v>2</v>
      </c>
      <c r="AN163" s="82">
        <f>AN162+(AJ163/2)</f>
        <v>1</v>
      </c>
      <c r="AO163" s="82">
        <f>AO162+(AJ163/2)</f>
        <v>1</v>
      </c>
      <c r="AP163" s="81">
        <v>0</v>
      </c>
      <c r="AQ163" s="81">
        <f>AQ162+(AI163-AP162)</f>
        <v>415</v>
      </c>
      <c r="AR163" s="85">
        <f t="shared" si="45"/>
        <v>-3.614457831325301E-2</v>
      </c>
    </row>
    <row r="164" spans="26:44" ht="15.75" customHeight="1" x14ac:dyDescent="0.2">
      <c r="AC164" s="71">
        <v>45663</v>
      </c>
      <c r="AD164" s="72" t="s">
        <v>73</v>
      </c>
      <c r="AE164" s="72"/>
      <c r="AF164" s="74" t="s">
        <v>90</v>
      </c>
      <c r="AG164" s="72" t="s">
        <v>80</v>
      </c>
      <c r="AH164" s="73">
        <v>210</v>
      </c>
      <c r="AI164" s="72"/>
      <c r="AJ164" s="75">
        <v>0.5</v>
      </c>
      <c r="AK164" s="75"/>
      <c r="AL164" s="73">
        <f>AH164*AJ164</f>
        <v>105</v>
      </c>
      <c r="AM164" s="75">
        <f>AM163-AJ164</f>
        <v>1.5</v>
      </c>
      <c r="AN164" s="75">
        <f>AN163-AJ164</f>
        <v>0.5</v>
      </c>
      <c r="AO164" s="75">
        <f>AO163</f>
        <v>1</v>
      </c>
      <c r="AP164" s="73">
        <f>AP163+AL164</f>
        <v>105</v>
      </c>
      <c r="AQ164" s="73">
        <f>AQ163</f>
        <v>415</v>
      </c>
      <c r="AR164" s="77">
        <f t="shared" si="45"/>
        <v>1.2048192771084338E-2</v>
      </c>
    </row>
    <row r="165" spans="26:44" ht="15.75" customHeight="1" x14ac:dyDescent="0.2">
      <c r="AC165" s="71">
        <v>45664</v>
      </c>
      <c r="AD165" s="72" t="s">
        <v>73</v>
      </c>
      <c r="AE165" s="72"/>
      <c r="AF165" s="74" t="s">
        <v>91</v>
      </c>
      <c r="AG165" s="72" t="s">
        <v>80</v>
      </c>
      <c r="AH165" s="73">
        <v>210</v>
      </c>
      <c r="AI165" s="72"/>
      <c r="AJ165" s="75">
        <v>0.5</v>
      </c>
      <c r="AK165" s="75"/>
      <c r="AL165" s="73">
        <f>AH165/2</f>
        <v>105</v>
      </c>
      <c r="AM165" s="75">
        <f>AM164-AJ165</f>
        <v>1</v>
      </c>
      <c r="AN165" s="75">
        <f>AN164</f>
        <v>0.5</v>
      </c>
      <c r="AO165" s="75">
        <f>AO164-AJ165</f>
        <v>0.5</v>
      </c>
      <c r="AP165" s="73">
        <f>AL165+AP164</f>
        <v>210</v>
      </c>
      <c r="AQ165" s="73">
        <f>AQ164</f>
        <v>415</v>
      </c>
      <c r="AR165" s="77">
        <f t="shared" si="45"/>
        <v>1.2048192771084338E-2</v>
      </c>
    </row>
    <row r="166" spans="26:44" ht="15.75" customHeight="1" x14ac:dyDescent="0.2">
      <c r="Z166" s="92"/>
      <c r="AC166" s="78">
        <v>45665</v>
      </c>
      <c r="AD166" s="80" t="s">
        <v>75</v>
      </c>
      <c r="AE166" s="80"/>
      <c r="AF166" s="80" t="s">
        <v>92</v>
      </c>
      <c r="AG166" s="80" t="s">
        <v>80</v>
      </c>
      <c r="AH166" s="81">
        <v>200</v>
      </c>
      <c r="AI166" s="81">
        <v>200</v>
      </c>
      <c r="AJ166" s="82">
        <v>1</v>
      </c>
      <c r="AK166" s="82"/>
      <c r="AL166" s="79"/>
      <c r="AM166" s="82">
        <f>AM165+AJ166</f>
        <v>2</v>
      </c>
      <c r="AN166" s="82">
        <f>AJ166+AN165</f>
        <v>1.5</v>
      </c>
      <c r="AO166" s="83">
        <f>AO165</f>
        <v>0.5</v>
      </c>
      <c r="AP166" s="81">
        <f>AP165-AI166</f>
        <v>10</v>
      </c>
      <c r="AQ166" s="81">
        <f>AQ164</f>
        <v>415</v>
      </c>
      <c r="AR166" s="85">
        <f t="shared" si="45"/>
        <v>-1.2048192771084338E-2</v>
      </c>
    </row>
    <row r="167" spans="26:44" ht="15.75" customHeight="1" x14ac:dyDescent="0.2">
      <c r="Z167" s="93"/>
      <c r="AC167" s="71">
        <v>45666</v>
      </c>
      <c r="AD167" s="74" t="s">
        <v>73</v>
      </c>
      <c r="AE167" s="74"/>
      <c r="AF167" s="74" t="s">
        <v>92</v>
      </c>
      <c r="AG167" s="74" t="s">
        <v>80</v>
      </c>
      <c r="AH167" s="73">
        <v>230</v>
      </c>
      <c r="AI167" s="72"/>
      <c r="AJ167" s="75">
        <v>0.5</v>
      </c>
      <c r="AK167" s="75"/>
      <c r="AL167" s="73">
        <f>AH167/2</f>
        <v>115</v>
      </c>
      <c r="AM167" s="75">
        <f>AM166-AJ167</f>
        <v>1.5</v>
      </c>
      <c r="AN167" s="75">
        <f>AN166-AJ167</f>
        <v>1</v>
      </c>
      <c r="AO167" s="75">
        <f>AO166</f>
        <v>0.5</v>
      </c>
      <c r="AP167" s="73">
        <f>AP166+AL167</f>
        <v>125</v>
      </c>
      <c r="AQ167" s="73">
        <f>AQ166</f>
        <v>415</v>
      </c>
      <c r="AR167" s="77">
        <f t="shared" si="45"/>
        <v>0.13253012048192772</v>
      </c>
    </row>
    <row r="168" spans="26:44" ht="15.75" customHeight="1" x14ac:dyDescent="0.2">
      <c r="Z168" s="93"/>
      <c r="AC168" s="78">
        <v>45667</v>
      </c>
      <c r="AD168" s="80" t="s">
        <v>75</v>
      </c>
      <c r="AE168" s="80"/>
      <c r="AF168" s="80" t="s">
        <v>93</v>
      </c>
      <c r="AG168" s="80" t="s">
        <v>80</v>
      </c>
      <c r="AH168" s="81">
        <v>230</v>
      </c>
      <c r="AI168" s="81">
        <v>230</v>
      </c>
      <c r="AJ168" s="82">
        <v>1</v>
      </c>
      <c r="AK168" s="82"/>
      <c r="AL168" s="79"/>
      <c r="AM168" s="82">
        <f>AM167+AJ168</f>
        <v>2.5</v>
      </c>
      <c r="AN168" s="82">
        <f>AN167</f>
        <v>1</v>
      </c>
      <c r="AO168" s="82">
        <f>AO167+AJ168</f>
        <v>1.5</v>
      </c>
      <c r="AP168" s="81">
        <v>0</v>
      </c>
      <c r="AQ168" s="81">
        <f>AQ167+(AI168-AP167)</f>
        <v>520</v>
      </c>
      <c r="AR168" s="85">
        <f t="shared" si="45"/>
        <v>0.10576923076923077</v>
      </c>
    </row>
    <row r="169" spans="26:44" ht="15.75" customHeight="1" x14ac:dyDescent="0.2">
      <c r="Z169" s="93"/>
    </row>
    <row r="170" spans="26:44" ht="15.75" customHeight="1" x14ac:dyDescent="0.2">
      <c r="Z170" s="93"/>
    </row>
    <row r="171" spans="26:44" ht="12.75" x14ac:dyDescent="0.2">
      <c r="AC171" s="45" t="s">
        <v>74</v>
      </c>
      <c r="AM171" s="45" t="s">
        <v>94</v>
      </c>
    </row>
    <row r="172" spans="26:44" ht="15.75" customHeight="1" x14ac:dyDescent="0.2">
      <c r="Z172" s="54"/>
      <c r="AC172" s="69" t="s">
        <v>2</v>
      </c>
      <c r="AD172" s="70" t="s">
        <v>3</v>
      </c>
      <c r="AE172" s="70"/>
      <c r="AF172" s="70" t="s">
        <v>76</v>
      </c>
      <c r="AG172" s="70" t="s">
        <v>4</v>
      </c>
      <c r="AH172" s="70" t="s">
        <v>0</v>
      </c>
      <c r="AI172" s="70" t="s">
        <v>1</v>
      </c>
      <c r="AJ172" s="70" t="s">
        <v>62</v>
      </c>
      <c r="AK172" s="70"/>
      <c r="AL172" s="70" t="s">
        <v>77</v>
      </c>
      <c r="AM172" s="70" t="s">
        <v>84</v>
      </c>
      <c r="AN172" s="70" t="s">
        <v>83</v>
      </c>
      <c r="AO172" s="70" t="s">
        <v>7</v>
      </c>
      <c r="AP172" s="70" t="s">
        <v>81</v>
      </c>
      <c r="AQ172" s="70" t="s">
        <v>79</v>
      </c>
      <c r="AR172" s="70" t="s">
        <v>82</v>
      </c>
    </row>
    <row r="173" spans="26:44" ht="15.75" customHeight="1" x14ac:dyDescent="0.2">
      <c r="Z173" s="94"/>
      <c r="AC173" s="78"/>
      <c r="AD173" s="79" t="s">
        <v>75</v>
      </c>
      <c r="AE173" s="79"/>
      <c r="AF173" s="80" t="s">
        <v>70</v>
      </c>
      <c r="AG173" s="79" t="s">
        <v>78</v>
      </c>
      <c r="AH173" s="89">
        <v>232.37</v>
      </c>
      <c r="AI173" s="81">
        <v>1000</v>
      </c>
      <c r="AJ173" s="86">
        <f t="shared" ref="AJ173:AJ178" si="46">AI173/AH173</f>
        <v>4.3034815165468867</v>
      </c>
      <c r="AK173" s="86"/>
      <c r="AL173" s="89"/>
      <c r="AM173" s="86">
        <f>AJ173</f>
        <v>4.3034815165468867</v>
      </c>
      <c r="AN173" s="86">
        <f>AM173/2</f>
        <v>2.1517407582734434</v>
      </c>
      <c r="AO173" s="88">
        <f>AM173/2</f>
        <v>2.1517407582734434</v>
      </c>
      <c r="AP173" s="89">
        <v>0</v>
      </c>
      <c r="AQ173" s="91">
        <f>ABS(AP173-AI173)</f>
        <v>1000</v>
      </c>
      <c r="AR173" s="85">
        <f>((AP173+(AJ173*AH173)-AQ173)/AQ173)</f>
        <v>1.1368683772161603E-16</v>
      </c>
    </row>
    <row r="174" spans="26:44" ht="15.75" customHeight="1" x14ac:dyDescent="0.2">
      <c r="AC174" s="78"/>
      <c r="AD174" s="79" t="s">
        <v>75</v>
      </c>
      <c r="AE174" s="79"/>
      <c r="AF174" s="80" t="s">
        <v>70</v>
      </c>
      <c r="AG174" s="79" t="s">
        <v>80</v>
      </c>
      <c r="AH174" s="89">
        <v>205.6</v>
      </c>
      <c r="AI174" s="81">
        <v>500</v>
      </c>
      <c r="AJ174" s="86">
        <f t="shared" si="46"/>
        <v>2.4319066147859925</v>
      </c>
      <c r="AK174" s="86"/>
      <c r="AL174" s="89"/>
      <c r="AM174" s="86">
        <f>AJ174+AM173</f>
        <v>6.7353881313328792</v>
      </c>
      <c r="AN174" s="86">
        <f>AN173+(AJ174/2)</f>
        <v>3.3676940656664396</v>
      </c>
      <c r="AO174" s="86">
        <f>AO173+(AJ174/2)</f>
        <v>3.3676940656664396</v>
      </c>
      <c r="AP174" s="89">
        <v>0</v>
      </c>
      <c r="AQ174" s="89">
        <f>AQ173+(AI174-AP173)</f>
        <v>1500</v>
      </c>
      <c r="AR174" s="85">
        <f t="shared" ref="AR174:AR184" si="47">((AP174+(AM174*AH174)-AQ174)/AQ174)</f>
        <v>-7.6802800131973381E-2</v>
      </c>
    </row>
    <row r="175" spans="26:44" ht="15.75" customHeight="1" x14ac:dyDescent="0.2">
      <c r="AC175" s="78"/>
      <c r="AD175" s="79" t="s">
        <v>75</v>
      </c>
      <c r="AE175" s="79"/>
      <c r="AF175" s="80" t="s">
        <v>70</v>
      </c>
      <c r="AG175" s="79" t="s">
        <v>80</v>
      </c>
      <c r="AH175" s="89">
        <v>199.37</v>
      </c>
      <c r="AI175" s="81">
        <v>500</v>
      </c>
      <c r="AJ175" s="86">
        <f t="shared" si="46"/>
        <v>2.5078998846366054</v>
      </c>
      <c r="AK175" s="86"/>
      <c r="AL175" s="89"/>
      <c r="AM175" s="86">
        <f>AJ175+AM174</f>
        <v>9.243288015969485</v>
      </c>
      <c r="AN175" s="86">
        <f>AN174+(AJ175/2)</f>
        <v>4.6216440079847425</v>
      </c>
      <c r="AO175" s="86">
        <f>AO174+(AJ175/2)</f>
        <v>4.6216440079847425</v>
      </c>
      <c r="AP175" s="89">
        <v>0</v>
      </c>
      <c r="AQ175" s="89">
        <f>AQ174+(AI175-AP174)</f>
        <v>2000</v>
      </c>
      <c r="AR175" s="85">
        <f t="shared" si="47"/>
        <v>-7.858283412808191E-2</v>
      </c>
    </row>
    <row r="176" spans="26:44" ht="15.75" customHeight="1" x14ac:dyDescent="0.2">
      <c r="AC176" s="78"/>
      <c r="AD176" s="79" t="s">
        <v>75</v>
      </c>
      <c r="AE176" s="79"/>
      <c r="AF176" s="80" t="s">
        <v>70</v>
      </c>
      <c r="AG176" s="79" t="s">
        <v>80</v>
      </c>
      <c r="AH176" s="89">
        <v>196.54</v>
      </c>
      <c r="AI176" s="81">
        <v>500</v>
      </c>
      <c r="AJ176" s="86">
        <f t="shared" si="46"/>
        <v>2.5440113971710594</v>
      </c>
      <c r="AK176" s="86"/>
      <c r="AL176" s="89"/>
      <c r="AM176" s="86">
        <f>AJ176+AM175</f>
        <v>11.787299413140545</v>
      </c>
      <c r="AN176" s="86">
        <f>AN175+(AJ176/2)</f>
        <v>5.8936497065702724</v>
      </c>
      <c r="AO176" s="86">
        <f>AO175+(AJ176/2)</f>
        <v>5.8936497065702724</v>
      </c>
      <c r="AP176" s="89">
        <v>0</v>
      </c>
      <c r="AQ176" s="89">
        <f>AQ175+(AI176-AP175)</f>
        <v>2500</v>
      </c>
      <c r="AR176" s="85">
        <f t="shared" si="47"/>
        <v>-7.3329669336542974E-2</v>
      </c>
    </row>
    <row r="177" spans="29:44" ht="15.75" customHeight="1" x14ac:dyDescent="0.2">
      <c r="AC177" s="78"/>
      <c r="AD177" s="79" t="s">
        <v>75</v>
      </c>
      <c r="AE177" s="79"/>
      <c r="AF177" s="80" t="s">
        <v>70</v>
      </c>
      <c r="AG177" s="79" t="s">
        <v>80</v>
      </c>
      <c r="AH177" s="89">
        <v>184.88</v>
      </c>
      <c r="AI177" s="81">
        <v>50</v>
      </c>
      <c r="AJ177" s="86">
        <f t="shared" si="46"/>
        <v>0.27044569450454348</v>
      </c>
      <c r="AK177" s="86"/>
      <c r="AL177" s="89"/>
      <c r="AM177" s="86">
        <f>AJ177+AM176</f>
        <v>12.057745107645088</v>
      </c>
      <c r="AN177" s="86">
        <f>AN176+(AJ177/2)</f>
        <v>6.0288725538225441</v>
      </c>
      <c r="AO177" s="86">
        <f>AO176+(AJ177/2)</f>
        <v>6.0288725538225441</v>
      </c>
      <c r="AP177" s="89">
        <v>0</v>
      </c>
      <c r="AQ177" s="89">
        <f>AQ176+(AI177-AP176)</f>
        <v>2550</v>
      </c>
      <c r="AR177" s="85">
        <f t="shared" si="47"/>
        <v>-0.12578983705826521</v>
      </c>
    </row>
    <row r="178" spans="29:44" ht="15.75" customHeight="1" x14ac:dyDescent="0.2">
      <c r="AC178" s="78"/>
      <c r="AD178" s="79" t="s">
        <v>75</v>
      </c>
      <c r="AE178" s="79"/>
      <c r="AF178" s="80" t="s">
        <v>70</v>
      </c>
      <c r="AG178" s="79" t="s">
        <v>80</v>
      </c>
      <c r="AH178" s="89">
        <v>180.62</v>
      </c>
      <c r="AI178" s="81">
        <v>50</v>
      </c>
      <c r="AJ178" s="86">
        <f t="shared" si="46"/>
        <v>0.27682427195216475</v>
      </c>
      <c r="AK178" s="86"/>
      <c r="AL178" s="89"/>
      <c r="AM178" s="86">
        <f>AJ178+AM177</f>
        <v>12.334569379597253</v>
      </c>
      <c r="AN178" s="86">
        <f>AN177+(AJ178/2)</f>
        <v>6.1672846897986267</v>
      </c>
      <c r="AO178" s="86">
        <f>AO177+(AJ178/2)</f>
        <v>6.1672846897986267</v>
      </c>
      <c r="AP178" s="89">
        <v>0</v>
      </c>
      <c r="AQ178" s="89">
        <f>AQ177+(AI178-AP177)</f>
        <v>2600</v>
      </c>
      <c r="AR178" s="85">
        <f t="shared" si="47"/>
        <v>-0.14312695332967085</v>
      </c>
    </row>
    <row r="179" spans="29:44" ht="15.75" customHeight="1" x14ac:dyDescent="0.2">
      <c r="AC179" s="71"/>
      <c r="AD179" s="72" t="s">
        <v>73</v>
      </c>
      <c r="AE179" s="72"/>
      <c r="AF179" s="74" t="s">
        <v>27</v>
      </c>
      <c r="AG179" s="72" t="s">
        <v>10</v>
      </c>
      <c r="AH179" s="90">
        <v>208.59</v>
      </c>
      <c r="AI179" s="72"/>
      <c r="AJ179" s="87">
        <v>0.13841000000000001</v>
      </c>
      <c r="AK179" s="87"/>
      <c r="AL179" s="90">
        <f>AH179*AJ179</f>
        <v>28.870941900000002</v>
      </c>
      <c r="AM179" s="87">
        <f>AM178-AJ179</f>
        <v>12.196159379597253</v>
      </c>
      <c r="AN179" s="87">
        <f>AN178-AJ179</f>
        <v>6.0288746897986263</v>
      </c>
      <c r="AO179" s="87">
        <f>AO178</f>
        <v>6.1672846897986267</v>
      </c>
      <c r="AP179" s="90">
        <f>AL179+AP173</f>
        <v>28.870941900000002</v>
      </c>
      <c r="AQ179" s="90">
        <f>AQ178</f>
        <v>2600</v>
      </c>
      <c r="AR179" s="77">
        <f t="shared" si="47"/>
        <v>-1.0435451196080277E-2</v>
      </c>
    </row>
    <row r="180" spans="29:44" ht="15.75" customHeight="1" x14ac:dyDescent="0.2">
      <c r="AC180" s="78"/>
      <c r="AD180" s="72" t="s">
        <v>73</v>
      </c>
      <c r="AE180" s="72"/>
      <c r="AF180" s="74" t="s">
        <v>27</v>
      </c>
      <c r="AG180" s="72" t="s">
        <v>10</v>
      </c>
      <c r="AH180" s="90">
        <v>208.54</v>
      </c>
      <c r="AI180" s="72"/>
      <c r="AJ180" s="87">
        <v>0.13522000000000001</v>
      </c>
      <c r="AK180" s="87"/>
      <c r="AL180" s="90">
        <f>AH180*AJ180</f>
        <v>28.198778799999999</v>
      </c>
      <c r="AM180" s="87">
        <f>AM179-AJ180</f>
        <v>12.060939379597253</v>
      </c>
      <c r="AN180" s="87">
        <f>AN179-AJ180</f>
        <v>5.8936546897986259</v>
      </c>
      <c r="AO180" s="87">
        <f>AO179</f>
        <v>6.1672846897986267</v>
      </c>
      <c r="AP180" s="90">
        <f>AL180+AP174</f>
        <v>28.198778799999999</v>
      </c>
      <c r="AQ180" s="90">
        <f>AQ179</f>
        <v>2600</v>
      </c>
      <c r="AR180" s="85">
        <f t="shared" si="47"/>
        <v>-2.1774201145688038E-2</v>
      </c>
    </row>
    <row r="181" spans="29:44" ht="15.75" customHeight="1" x14ac:dyDescent="0.2">
      <c r="AC181" s="71"/>
      <c r="AD181" s="72" t="s">
        <v>73</v>
      </c>
      <c r="AE181" s="72"/>
      <c r="AF181" s="74" t="s">
        <v>95</v>
      </c>
      <c r="AG181" s="72" t="s">
        <v>80</v>
      </c>
      <c r="AH181" s="90">
        <v>28.25</v>
      </c>
      <c r="AI181" s="72"/>
      <c r="AJ181" s="87">
        <f>AN180</f>
        <v>5.8936546897986259</v>
      </c>
      <c r="AK181" s="87"/>
      <c r="AL181" s="90">
        <f>AH181*AJ181</f>
        <v>166.49574498681119</v>
      </c>
      <c r="AM181" s="87">
        <f>AM180-AJ181</f>
        <v>6.1672846897986267</v>
      </c>
      <c r="AN181" s="87">
        <f>AN180-AJ181</f>
        <v>0</v>
      </c>
      <c r="AO181" s="87">
        <f>AO180</f>
        <v>6.1672846897986267</v>
      </c>
      <c r="AP181" s="90">
        <f>AP180+AL181</f>
        <v>194.6945237868112</v>
      </c>
      <c r="AQ181" s="90">
        <f>AQ180</f>
        <v>2600</v>
      </c>
      <c r="AR181" s="77">
        <f t="shared" si="47"/>
        <v>-0.85810757066399135</v>
      </c>
    </row>
    <row r="182" spans="29:44" ht="15.75" customHeight="1" x14ac:dyDescent="0.2">
      <c r="AC182" s="78"/>
      <c r="AD182" s="79" t="s">
        <v>75</v>
      </c>
      <c r="AE182" s="79"/>
      <c r="AF182" s="80" t="s">
        <v>89</v>
      </c>
      <c r="AG182" s="79" t="s">
        <v>80</v>
      </c>
      <c r="AH182" s="89">
        <v>28.39</v>
      </c>
      <c r="AI182" s="81">
        <v>200</v>
      </c>
      <c r="AJ182" s="86">
        <f>AI182/AH182</f>
        <v>7.0447340612891862</v>
      </c>
      <c r="AK182" s="86"/>
      <c r="AL182" s="89"/>
      <c r="AM182" s="86">
        <f>AM181+AJ182</f>
        <v>13.212018751087813</v>
      </c>
      <c r="AN182" s="86">
        <f>AN181+(AJ182/2)</f>
        <v>3.5223670306445931</v>
      </c>
      <c r="AO182" s="86">
        <f>AO181+(AJ182/2)</f>
        <v>9.6896517204432193</v>
      </c>
      <c r="AP182" s="89">
        <v>0</v>
      </c>
      <c r="AQ182" s="89">
        <f>AQ181+(AI182-AP181)</f>
        <v>2605.3054762131887</v>
      </c>
      <c r="AR182" s="85">
        <f t="shared" si="47"/>
        <v>-0.85602870152156774</v>
      </c>
    </row>
    <row r="183" spans="29:44" ht="15.75" customHeight="1" x14ac:dyDescent="0.2">
      <c r="AC183" s="78"/>
      <c r="AD183" s="80" t="s">
        <v>75</v>
      </c>
      <c r="AE183" s="80"/>
      <c r="AF183" s="80" t="s">
        <v>96</v>
      </c>
      <c r="AG183" s="80" t="s">
        <v>80</v>
      </c>
      <c r="AH183" s="89">
        <v>27.28</v>
      </c>
      <c r="AI183" s="81">
        <v>200</v>
      </c>
      <c r="AJ183" s="86">
        <f>AI183/AH183</f>
        <v>7.3313782991202343</v>
      </c>
      <c r="AK183" s="86"/>
      <c r="AL183" s="89"/>
      <c r="AM183" s="86">
        <f>AM182+AJ183</f>
        <v>20.543397050208046</v>
      </c>
      <c r="AN183" s="86">
        <f>AN182+(AJ183/2)</f>
        <v>7.1880561802047103</v>
      </c>
      <c r="AO183" s="86">
        <f>AO182+(AJ183/2)</f>
        <v>13.355340870003337</v>
      </c>
      <c r="AP183" s="89">
        <v>0</v>
      </c>
      <c r="AQ183" s="89">
        <f>AQ182+(AI183-AP182)</f>
        <v>2805.3054762131887</v>
      </c>
      <c r="AR183" s="85">
        <f t="shared" si="47"/>
        <v>-0.80022714949169182</v>
      </c>
    </row>
    <row r="184" spans="29:44" ht="15.75" customHeight="1" x14ac:dyDescent="0.2">
      <c r="AC184" s="78"/>
      <c r="AD184" s="80" t="s">
        <v>75</v>
      </c>
      <c r="AE184" s="80"/>
      <c r="AF184" s="80" t="s">
        <v>97</v>
      </c>
      <c r="AG184" s="80" t="s">
        <v>80</v>
      </c>
      <c r="AH184" s="89">
        <v>27.38</v>
      </c>
      <c r="AI184" s="81">
        <v>200</v>
      </c>
      <c r="AJ184" s="86">
        <f>AI184/AH184</f>
        <v>7.3046018991964941</v>
      </c>
      <c r="AK184" s="86"/>
      <c r="AL184" s="89"/>
      <c r="AM184" s="86">
        <f>AM183+AJ184</f>
        <v>27.847998949404541</v>
      </c>
      <c r="AN184" s="86">
        <f>AN183+(AJ184/2)</f>
        <v>10.840357129802957</v>
      </c>
      <c r="AO184" s="86">
        <f>AO183+(AJ184/2)</f>
        <v>17.007641819601584</v>
      </c>
      <c r="AP184" s="89">
        <v>0</v>
      </c>
      <c r="AQ184" s="89">
        <f>AQ183+(AI184-AP183)</f>
        <v>3005.3054762131887</v>
      </c>
      <c r="AR184" s="85">
        <f t="shared" si="47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M89 AB90 AO91 AP88 BF89 BF91 BF94 AL101 AF101 BF102 AB101:AD101 AH101:AJ101 AE124:AE125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6" t="s">
        <v>34</v>
      </c>
      <c r="K12" s="33">
        <v>1200</v>
      </c>
      <c r="L12" s="96" t="s">
        <v>34</v>
      </c>
      <c r="M12" s="96" t="s">
        <v>34</v>
      </c>
      <c r="N12" s="96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6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6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6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6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6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6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6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6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7">
        <f>I16+I21+I22+I27</f>
        <v>5800</v>
      </c>
      <c r="D34" s="96" t="s">
        <v>34</v>
      </c>
      <c r="E34" s="96" t="s">
        <v>34</v>
      </c>
      <c r="F34" s="96" t="s">
        <v>34</v>
      </c>
      <c r="G34" s="96" t="s">
        <v>34</v>
      </c>
    </row>
    <row r="35" spans="2:7" x14ac:dyDescent="0.2">
      <c r="B35" s="45" t="s">
        <v>129</v>
      </c>
      <c r="C35" s="97">
        <f>I18+I26+I28</f>
        <v>4100</v>
      </c>
      <c r="D35" s="96" t="s">
        <v>34</v>
      </c>
      <c r="E35" s="96" t="s">
        <v>34</v>
      </c>
      <c r="F35" s="96" t="s">
        <v>34</v>
      </c>
      <c r="G35" s="96" t="s">
        <v>34</v>
      </c>
    </row>
    <row r="36" spans="2:7" x14ac:dyDescent="0.2">
      <c r="B36" s="45" t="s">
        <v>130</v>
      </c>
      <c r="C36" s="97">
        <f>I17+I19+I23+I24+I29</f>
        <v>6900</v>
      </c>
      <c r="D36" s="96" t="s">
        <v>34</v>
      </c>
      <c r="E36" s="96" t="s">
        <v>34</v>
      </c>
      <c r="F36" s="96" t="s">
        <v>34</v>
      </c>
      <c r="G36" s="96" t="s">
        <v>34</v>
      </c>
    </row>
    <row r="37" spans="2:7" x14ac:dyDescent="0.2">
      <c r="B37" s="45" t="s">
        <v>115</v>
      </c>
      <c r="C37" s="97">
        <f>I4+I20+I25</f>
        <v>3600</v>
      </c>
      <c r="D37" s="96" t="s">
        <v>34</v>
      </c>
      <c r="E37" s="96" t="s">
        <v>34</v>
      </c>
      <c r="F37" s="96" t="s">
        <v>34</v>
      </c>
      <c r="G37" s="96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6" t="s">
        <v>34</v>
      </c>
      <c r="E41" s="96" t="s">
        <v>34</v>
      </c>
      <c r="F41" s="96" t="s">
        <v>34</v>
      </c>
      <c r="G41" s="96" t="s">
        <v>34</v>
      </c>
    </row>
    <row r="42" spans="2:7" x14ac:dyDescent="0.2">
      <c r="B42" s="45" t="s">
        <v>154</v>
      </c>
      <c r="C42" s="63">
        <f>I22</f>
        <v>1300</v>
      </c>
      <c r="D42" s="96" t="s">
        <v>34</v>
      </c>
      <c r="E42" s="96" t="s">
        <v>34</v>
      </c>
      <c r="F42" s="96" t="s">
        <v>34</v>
      </c>
      <c r="G42" s="96" t="s">
        <v>34</v>
      </c>
    </row>
    <row r="43" spans="2:7" x14ac:dyDescent="0.2">
      <c r="B43" s="45" t="s">
        <v>137</v>
      </c>
      <c r="C43" s="63">
        <f>I19+I21</f>
        <v>1500</v>
      </c>
      <c r="D43" s="96" t="s">
        <v>34</v>
      </c>
      <c r="E43" s="96" t="s">
        <v>34</v>
      </c>
      <c r="F43" s="96" t="s">
        <v>34</v>
      </c>
      <c r="G43" s="96" t="s">
        <v>34</v>
      </c>
    </row>
    <row r="44" spans="2:7" x14ac:dyDescent="0.2">
      <c r="B44" s="45" t="s">
        <v>160</v>
      </c>
      <c r="C44" s="63">
        <f>I17+I24</f>
        <v>4600</v>
      </c>
      <c r="D44" s="96" t="s">
        <v>34</v>
      </c>
      <c r="E44" s="96" t="s">
        <v>34</v>
      </c>
      <c r="F44" s="96" t="s">
        <v>34</v>
      </c>
      <c r="G44" s="96" t="s">
        <v>34</v>
      </c>
    </row>
    <row r="45" spans="2:7" x14ac:dyDescent="0.2">
      <c r="B45" s="45" t="s">
        <v>136</v>
      </c>
      <c r="C45" s="63">
        <v>0</v>
      </c>
      <c r="D45" s="96" t="s">
        <v>34</v>
      </c>
      <c r="E45" s="96" t="s">
        <v>34</v>
      </c>
      <c r="F45" s="96" t="s">
        <v>34</v>
      </c>
      <c r="G45" s="96" t="s">
        <v>34</v>
      </c>
    </row>
    <row r="46" spans="2:7" x14ac:dyDescent="0.2">
      <c r="B46" s="45" t="s">
        <v>157</v>
      </c>
      <c r="C46" s="63">
        <f>I23+I29</f>
        <v>1800</v>
      </c>
      <c r="D46" s="96" t="s">
        <v>34</v>
      </c>
      <c r="E46" s="96" t="s">
        <v>34</v>
      </c>
      <c r="F46" s="96" t="s">
        <v>34</v>
      </c>
      <c r="G46" s="96" t="s">
        <v>34</v>
      </c>
    </row>
    <row r="47" spans="2:7" x14ac:dyDescent="0.2">
      <c r="B47" s="45" t="s">
        <v>166</v>
      </c>
      <c r="C47" s="63">
        <f>I26+I28</f>
        <v>2600</v>
      </c>
      <c r="D47" s="96" t="s">
        <v>34</v>
      </c>
      <c r="E47" s="96" t="s">
        <v>34</v>
      </c>
      <c r="F47" s="96" t="s">
        <v>34</v>
      </c>
      <c r="G47" s="96" t="s">
        <v>34</v>
      </c>
    </row>
    <row r="48" spans="2:7" x14ac:dyDescent="0.2">
      <c r="B48" s="45" t="s">
        <v>163</v>
      </c>
      <c r="C48" s="63">
        <f>I25</f>
        <v>1200</v>
      </c>
      <c r="D48" s="96" t="s">
        <v>34</v>
      </c>
      <c r="E48" s="96" t="s">
        <v>34</v>
      </c>
      <c r="F48" s="96" t="s">
        <v>34</v>
      </c>
      <c r="G48" s="96" t="s">
        <v>34</v>
      </c>
    </row>
    <row r="49" spans="2:7" x14ac:dyDescent="0.2">
      <c r="B49" s="45" t="s">
        <v>118</v>
      </c>
      <c r="C49" s="63">
        <f>I4+I18</f>
        <v>2700</v>
      </c>
      <c r="D49" s="96" t="s">
        <v>34</v>
      </c>
      <c r="E49" s="96" t="s">
        <v>34</v>
      </c>
      <c r="F49" s="96" t="s">
        <v>34</v>
      </c>
      <c r="G49" s="96" t="s">
        <v>34</v>
      </c>
    </row>
    <row r="50" spans="2:7" x14ac:dyDescent="0.2">
      <c r="B50" s="45" t="s">
        <v>116</v>
      </c>
      <c r="C50" s="63">
        <f>I20</f>
        <v>1200</v>
      </c>
      <c r="D50" s="96" t="s">
        <v>34</v>
      </c>
      <c r="E50" s="96" t="s">
        <v>34</v>
      </c>
      <c r="F50" s="96" t="s">
        <v>34</v>
      </c>
      <c r="G50" s="96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2026-01-06T02:38:23Z</dcterms:modified>
</cp:coreProperties>
</file>