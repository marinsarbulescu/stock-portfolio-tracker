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98C90D5A-FD33-4DEC-A053-052498D0627B}" xr6:coauthVersionLast="47" xr6:coauthVersionMax="47" xr10:uidLastSave="{00000000-0000-0000-0000-000000000000}"/>
  <bookViews>
    <workbookView xWindow="7050" yWindow="300" windowWidth="4614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45" i="14" l="1"/>
  <c r="V45" i="14"/>
  <c r="AO45" i="14"/>
  <c r="AN45" i="14"/>
  <c r="AV45" i="14" s="1"/>
  <c r="AM45" i="14"/>
  <c r="AP45" i="14" s="1"/>
  <c r="AQ45" i="14" s="1"/>
  <c r="AI45" i="14"/>
  <c r="AH45" i="14"/>
  <c r="AU45" i="14" s="1"/>
  <c r="AG45" i="14"/>
  <c r="AJ45" i="14" s="1"/>
  <c r="AK45" i="14" s="1"/>
  <c r="AC45" i="14"/>
  <c r="AB45" i="14"/>
  <c r="AA45" i="14"/>
  <c r="AD45" i="14" s="1"/>
  <c r="AE45" i="14" s="1"/>
  <c r="R45" i="14"/>
  <c r="AO44" i="14"/>
  <c r="AN44" i="14"/>
  <c r="AV44" i="14" s="1"/>
  <c r="AM44" i="14"/>
  <c r="AP44" i="14" s="1"/>
  <c r="AQ44" i="14" s="1"/>
  <c r="AI44" i="14"/>
  <c r="AH44" i="14"/>
  <c r="AU44" i="14" s="1"/>
  <c r="AG44" i="14"/>
  <c r="AJ44" i="14" s="1"/>
  <c r="AK44" i="14" s="1"/>
  <c r="AC44" i="14"/>
  <c r="AB44" i="14"/>
  <c r="AS44" i="14" s="1"/>
  <c r="AA44" i="14"/>
  <c r="AD44" i="14" s="1"/>
  <c r="AE44" i="14" s="1"/>
  <c r="V44" i="14" s="1"/>
  <c r="R44" i="14"/>
  <c r="AO43" i="14"/>
  <c r="AN43" i="14"/>
  <c r="AV43" i="14" s="1"/>
  <c r="AM43" i="14"/>
  <c r="AP43" i="14" s="1"/>
  <c r="AQ43" i="14" s="1"/>
  <c r="AI43" i="14"/>
  <c r="AH43" i="14"/>
  <c r="AU43" i="14" s="1"/>
  <c r="AG43" i="14"/>
  <c r="AJ43" i="14" s="1"/>
  <c r="AK43" i="14" s="1"/>
  <c r="AC43" i="14"/>
  <c r="AB43" i="14"/>
  <c r="AT43" i="14" s="1"/>
  <c r="AA43" i="14"/>
  <c r="AD43" i="14" s="1"/>
  <c r="AE43" i="14" s="1"/>
  <c r="V43" i="14" s="1"/>
  <c r="R43" i="14"/>
  <c r="V42" i="14"/>
  <c r="AO42" i="14"/>
  <c r="AN42" i="14"/>
  <c r="AC42" i="14"/>
  <c r="AB42" i="14"/>
  <c r="AA42" i="14"/>
  <c r="AI42" i="14"/>
  <c r="AH42" i="14"/>
  <c r="AM42" i="14"/>
  <c r="AG42" i="14"/>
  <c r="AV42" i="14"/>
  <c r="AP42" i="14"/>
  <c r="AQ42" i="14" s="1"/>
  <c r="AU42" i="14"/>
  <c r="AT42" i="14"/>
  <c r="AD42" i="14"/>
  <c r="AE42" i="14" s="1"/>
  <c r="V41" i="14"/>
  <c r="AO41" i="14"/>
  <c r="AN41" i="14"/>
  <c r="AM41" i="14"/>
  <c r="AI41" i="14"/>
  <c r="AH41" i="14"/>
  <c r="AG41" i="14"/>
  <c r="AC41" i="14"/>
  <c r="AB41" i="14"/>
  <c r="AA41" i="14"/>
  <c r="R42" i="14"/>
  <c r="AJ42" i="14" s="1"/>
  <c r="AK42" i="14" s="1"/>
  <c r="AD41" i="14"/>
  <c r="AE41" i="14" s="1"/>
  <c r="AJ41" i="14"/>
  <c r="AK41" i="14" s="1"/>
  <c r="AP41" i="14"/>
  <c r="AQ41" i="14"/>
  <c r="AS41" i="14"/>
  <c r="AT41" i="14"/>
  <c r="AU41" i="14"/>
  <c r="AV41" i="14"/>
  <c r="R41" i="14"/>
  <c r="R32" i="14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99" i="14"/>
  <c r="AG99" i="14"/>
  <c r="AI99" i="14" s="1"/>
  <c r="AB99" i="14"/>
  <c r="AA99" i="14"/>
  <c r="AC99" i="14" s="1"/>
  <c r="AM99" i="14" s="1"/>
  <c r="V99" i="14"/>
  <c r="AH95" i="14"/>
  <c r="AH96" i="14" s="1"/>
  <c r="AH97" i="14" s="1"/>
  <c r="AH98" i="14" s="1"/>
  <c r="AG95" i="14"/>
  <c r="AI95" i="14" s="1"/>
  <c r="AN95" i="14" s="1"/>
  <c r="AB95" i="14"/>
  <c r="AB96" i="14" s="1"/>
  <c r="AB97" i="14" s="1"/>
  <c r="AB98" i="14" s="1"/>
  <c r="AA95" i="14"/>
  <c r="AC95" i="14" s="1"/>
  <c r="V95" i="14"/>
  <c r="AA116" i="14"/>
  <c r="AB116" i="14" s="1"/>
  <c r="AE117" i="14"/>
  <c r="AD117" i="14"/>
  <c r="V117" i="14"/>
  <c r="AA117" i="14"/>
  <c r="AF117" i="14"/>
  <c r="AF113" i="14"/>
  <c r="AF114" i="14"/>
  <c r="AF116" i="14"/>
  <c r="AE116" i="14"/>
  <c r="V116" i="14"/>
  <c r="AA115" i="14"/>
  <c r="AB115" i="14" s="1"/>
  <c r="AA114" i="14"/>
  <c r="AB114" i="14" s="1"/>
  <c r="AA113" i="14"/>
  <c r="AB113" i="14" s="1"/>
  <c r="AF115" i="14"/>
  <c r="AE114" i="14"/>
  <c r="AE115" i="14"/>
  <c r="AE113" i="14"/>
  <c r="V115" i="14"/>
  <c r="V114" i="14"/>
  <c r="V113" i="14"/>
  <c r="AF112" i="14"/>
  <c r="AD112" i="14"/>
  <c r="AD111" i="14"/>
  <c r="V112" i="14"/>
  <c r="V111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91" i="14"/>
  <c r="AH91" i="14"/>
  <c r="AH92" i="14" s="1"/>
  <c r="AH93" i="14" s="1"/>
  <c r="AH94" i="14" s="1"/>
  <c r="AG91" i="14"/>
  <c r="AI91" i="14" s="1"/>
  <c r="AN91" i="14" s="1"/>
  <c r="AB91" i="14"/>
  <c r="AB92" i="14" s="1"/>
  <c r="AB93" i="14" s="1"/>
  <c r="AB94" i="14" s="1"/>
  <c r="AA91" i="14"/>
  <c r="AA92" i="14" s="1"/>
  <c r="AA93" i="14" s="1"/>
  <c r="AA94" i="14" s="1"/>
  <c r="AK148" i="14"/>
  <c r="AO148" i="14" s="1"/>
  <c r="AI146" i="14"/>
  <c r="AI145" i="14"/>
  <c r="AI144" i="14"/>
  <c r="AI143" i="14"/>
  <c r="AI142" i="14"/>
  <c r="AI152" i="14"/>
  <c r="AI151" i="14"/>
  <c r="AI150" i="14"/>
  <c r="AP141" i="14"/>
  <c r="AI141" i="14"/>
  <c r="AK135" i="14"/>
  <c r="AK133" i="14"/>
  <c r="AN127" i="14"/>
  <c r="AM127" i="14"/>
  <c r="AI128" i="14" s="1"/>
  <c r="AK128" i="14" s="1"/>
  <c r="AO128" i="14" s="1"/>
  <c r="AP127" i="14"/>
  <c r="AK132" i="14"/>
  <c r="AO132" i="14" s="1"/>
  <c r="AI131" i="14"/>
  <c r="AK130" i="14"/>
  <c r="AO130" i="14" s="1"/>
  <c r="AI129" i="14"/>
  <c r="AL129" i="14" s="1"/>
  <c r="AL130" i="14" s="1"/>
  <c r="AI127" i="14"/>
  <c r="AH84" i="14"/>
  <c r="AH85" i="14" s="1"/>
  <c r="AH86" i="14" s="1"/>
  <c r="AH87" i="14" s="1"/>
  <c r="AB84" i="14"/>
  <c r="AB85" i="14" s="1"/>
  <c r="AB86" i="14" s="1"/>
  <c r="AB87" i="14" s="1"/>
  <c r="AB77" i="14"/>
  <c r="AH79" i="14"/>
  <c r="AH75" i="14"/>
  <c r="AB75" i="14"/>
  <c r="AI70" i="14"/>
  <c r="AI68" i="14"/>
  <c r="AI69" i="14" s="1"/>
  <c r="AI71" i="14" s="1"/>
  <c r="AC70" i="14"/>
  <c r="AC68" i="14"/>
  <c r="AI64" i="14"/>
  <c r="AI60" i="14"/>
  <c r="AI63" i="14" s="1"/>
  <c r="AC64" i="14"/>
  <c r="AI57" i="14"/>
  <c r="AI59" i="14" s="1"/>
  <c r="AI62" i="14" s="1"/>
  <c r="AI55" i="14"/>
  <c r="AC58" i="14"/>
  <c r="AC60" i="14" s="1"/>
  <c r="AC63" i="14" s="1"/>
  <c r="AC57" i="14"/>
  <c r="AC59" i="14" s="1"/>
  <c r="AC62" i="14" s="1"/>
  <c r="AC55" i="14"/>
  <c r="BH70" i="14"/>
  <c r="AG70" i="14"/>
  <c r="AB70" i="14"/>
  <c r="AA70" i="14"/>
  <c r="AH70" i="14"/>
  <c r="V70" i="14"/>
  <c r="BJ69" i="14"/>
  <c r="BI69" i="14"/>
  <c r="BH69" i="14"/>
  <c r="BG69" i="14"/>
  <c r="BF69" i="14"/>
  <c r="BE69" i="14"/>
  <c r="BD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U70" i="14"/>
  <c r="AV70" i="14" s="1"/>
  <c r="AT70" i="14"/>
  <c r="AS70" i="14"/>
  <c r="AR70" i="14"/>
  <c r="AQ70" i="14"/>
  <c r="AH68" i="14"/>
  <c r="AH69" i="14" s="1"/>
  <c r="AH71" i="14" s="1"/>
  <c r="AG68" i="14"/>
  <c r="AG69" i="14" s="1"/>
  <c r="AG71" i="14" s="1"/>
  <c r="AB68" i="14"/>
  <c r="AB69" i="14" s="1"/>
  <c r="AB71" i="14" s="1"/>
  <c r="AA68" i="14"/>
  <c r="V68" i="14"/>
  <c r="AV62" i="14"/>
  <c r="AU62" i="14"/>
  <c r="AT62" i="14"/>
  <c r="AS62" i="14"/>
  <c r="AR62" i="14"/>
  <c r="AQ62" i="14"/>
  <c r="BH56" i="14"/>
  <c r="BH57" i="14" s="1"/>
  <c r="BH59" i="14" s="1"/>
  <c r="BH61" i="14" s="1"/>
  <c r="BH62" i="14" s="1"/>
  <c r="AU56" i="14"/>
  <c r="AU57" i="14" s="1"/>
  <c r="V62" i="14"/>
  <c r="V59" i="14"/>
  <c r="V57" i="14"/>
  <c r="V55" i="14"/>
  <c r="BF56" i="14"/>
  <c r="BE56" i="14"/>
  <c r="BB56" i="14"/>
  <c r="BA56" i="14"/>
  <c r="AZ56" i="14"/>
  <c r="AY56" i="14"/>
  <c r="AX56" i="14"/>
  <c r="AW56" i="14"/>
  <c r="BG56" i="14"/>
  <c r="AT56" i="14"/>
  <c r="AT57" i="14" s="1"/>
  <c r="AT59" i="14" s="1"/>
  <c r="AT61" i="14" s="1"/>
  <c r="AR56" i="14"/>
  <c r="AR57" i="14" s="1"/>
  <c r="AR59" i="14" s="1"/>
  <c r="AR61" i="14" s="1"/>
  <c r="AS56" i="14"/>
  <c r="AS57" i="14" s="1"/>
  <c r="AS59" i="14" s="1"/>
  <c r="AQ56" i="14"/>
  <c r="AQ57" i="14" s="1"/>
  <c r="AQ59" i="14" s="1"/>
  <c r="AG87" i="14"/>
  <c r="AA87" i="14"/>
  <c r="AG86" i="14"/>
  <c r="AA85" i="14"/>
  <c r="AG84" i="14"/>
  <c r="AA84" i="14"/>
  <c r="AG79" i="14"/>
  <c r="AA77" i="14"/>
  <c r="AG75" i="14"/>
  <c r="AA75" i="14"/>
  <c r="AH64" i="14"/>
  <c r="AG64" i="14"/>
  <c r="AB64" i="14"/>
  <c r="AA64" i="14"/>
  <c r="AH60" i="14"/>
  <c r="AG60" i="14"/>
  <c r="AB58" i="14"/>
  <c r="AA58" i="14"/>
  <c r="AA60" i="14" s="1"/>
  <c r="AH55" i="14"/>
  <c r="AG55" i="14"/>
  <c r="AB55" i="14"/>
  <c r="AA55" i="14"/>
  <c r="AA57" i="14" s="1"/>
  <c r="AA59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T44" i="14" l="1"/>
  <c r="AS43" i="14"/>
  <c r="AS42" i="14"/>
  <c r="T34" i="14"/>
  <c r="T32" i="14"/>
  <c r="T26" i="14"/>
  <c r="R26" i="14"/>
  <c r="R27" i="14"/>
  <c r="R35" i="14" s="1"/>
  <c r="Q26" i="14"/>
  <c r="Q27" i="14"/>
  <c r="Q35" i="14" s="1"/>
  <c r="W28" i="14"/>
  <c r="U28" i="14"/>
  <c r="U32" i="14" s="1"/>
  <c r="AG28" i="14"/>
  <c r="AG32" i="14" s="1"/>
  <c r="AM28" i="14"/>
  <c r="AM32" i="14" s="1"/>
  <c r="U19" i="14"/>
  <c r="AH19" i="14" s="1"/>
  <c r="AH20" i="14" s="1"/>
  <c r="U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V35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U35" i="14" s="1"/>
  <c r="AO19" i="14"/>
  <c r="AO20" i="14" s="1"/>
  <c r="AO22" i="14" s="1"/>
  <c r="AO25" i="14" s="1"/>
  <c r="AO28" i="14" s="1"/>
  <c r="AO32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99" i="14"/>
  <c r="AN99" i="14"/>
  <c r="AJ99" i="14"/>
  <c r="AD99" i="14"/>
  <c r="AM95" i="14"/>
  <c r="AD95" i="14"/>
  <c r="AE95" i="14"/>
  <c r="AE96" i="14" s="1"/>
  <c r="AE97" i="14" s="1"/>
  <c r="AE98" i="14" s="1"/>
  <c r="AE99" i="14" s="1"/>
  <c r="AA96" i="14"/>
  <c r="AA97" i="14" s="1"/>
  <c r="AA98" i="14" s="1"/>
  <c r="AC91" i="14"/>
  <c r="AC92" i="14" s="1"/>
  <c r="AJ95" i="14"/>
  <c r="AI92" i="14"/>
  <c r="AN92" i="14" s="1"/>
  <c r="AC96" i="14"/>
  <c r="AK95" i="14"/>
  <c r="AK96" i="14" s="1"/>
  <c r="AK97" i="14" s="1"/>
  <c r="AK98" i="14" s="1"/>
  <c r="AI96" i="14"/>
  <c r="AN96" i="14" s="1"/>
  <c r="AL131" i="14"/>
  <c r="AL132" i="14" s="1"/>
  <c r="AO133" i="14"/>
  <c r="AO134" i="14" s="1"/>
  <c r="AJ92" i="14"/>
  <c r="AI93" i="14"/>
  <c r="AN93" i="14" s="1"/>
  <c r="AJ91" i="14"/>
  <c r="AE91" i="14"/>
  <c r="AE92" i="14" s="1"/>
  <c r="AE93" i="14" s="1"/>
  <c r="AE94" i="14" s="1"/>
  <c r="AK91" i="14"/>
  <c r="AK92" i="14" s="1"/>
  <c r="AK93" i="14" s="1"/>
  <c r="AK94" i="14" s="1"/>
  <c r="AE70" i="14"/>
  <c r="AQ127" i="14"/>
  <c r="AP142" i="14"/>
  <c r="AP143" i="14" s="1"/>
  <c r="AP144" i="14" s="1"/>
  <c r="AP145" i="14" s="1"/>
  <c r="AP146" i="14" s="1"/>
  <c r="AP147" i="14" s="1"/>
  <c r="AP148" i="14" s="1"/>
  <c r="AQ141" i="14"/>
  <c r="AL141" i="14"/>
  <c r="AL142" i="14" s="1"/>
  <c r="AL143" i="14" s="1"/>
  <c r="AM129" i="14"/>
  <c r="AM130" i="14" s="1"/>
  <c r="AM131" i="14" s="1"/>
  <c r="AM132" i="14" s="1"/>
  <c r="AM133" i="14" s="1"/>
  <c r="AM134" i="14" s="1"/>
  <c r="AM135" i="14" s="1"/>
  <c r="AM136" i="14" s="1"/>
  <c r="AN129" i="14"/>
  <c r="AN130" i="14" s="1"/>
  <c r="AN131" i="14" s="1"/>
  <c r="AN132" i="14" s="1"/>
  <c r="AN133" i="14" s="1"/>
  <c r="AN134" i="14" s="1"/>
  <c r="AN135" i="14" s="1"/>
  <c r="AN136" i="14" s="1"/>
  <c r="AP128" i="14"/>
  <c r="AK70" i="14"/>
  <c r="AC69" i="14"/>
  <c r="AC71" i="14" s="1"/>
  <c r="AA69" i="14"/>
  <c r="AA71" i="14" s="1"/>
  <c r="AE68" i="14"/>
  <c r="AE69" i="14" s="1"/>
  <c r="AE71" i="14" s="1"/>
  <c r="AK68" i="14"/>
  <c r="AK69" i="14" s="1"/>
  <c r="AK71" i="14" s="1"/>
  <c r="AQ61" i="14"/>
  <c r="BD56" i="14"/>
  <c r="BI56" i="14" s="1"/>
  <c r="BJ56" i="14" s="1"/>
  <c r="AS61" i="14"/>
  <c r="AV56" i="14"/>
  <c r="AK87" i="14"/>
  <c r="AE85" i="14"/>
  <c r="AK86" i="14"/>
  <c r="AE87" i="14"/>
  <c r="AE75" i="14"/>
  <c r="AE84" i="14"/>
  <c r="AK75" i="14"/>
  <c r="AE77" i="14"/>
  <c r="AK79" i="14"/>
  <c r="AK84" i="14"/>
  <c r="AK64" i="14"/>
  <c r="AN62" i="14" s="1"/>
  <c r="AY62" i="14" s="1"/>
  <c r="AZ62" i="14" s="1"/>
  <c r="AE64" i="14"/>
  <c r="AL62" i="14" s="1"/>
  <c r="AK60" i="14"/>
  <c r="AK55" i="14"/>
  <c r="AN55" i="14" s="1"/>
  <c r="AN56" i="14" s="1"/>
  <c r="AN57" i="14" s="1"/>
  <c r="AE55" i="14"/>
  <c r="AL55" i="14" s="1"/>
  <c r="AE58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W32" i="14" l="1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U31" i="14"/>
  <c r="AP28" i="14"/>
  <c r="AP32" i="14" s="1"/>
  <c r="AJ28" i="14"/>
  <c r="AJ32" i="14" s="1"/>
  <c r="U22" i="14"/>
  <c r="AH22" i="14"/>
  <c r="AH7" i="14"/>
  <c r="AH11" i="14" s="1"/>
  <c r="U20" i="14"/>
  <c r="AB20" i="14" s="1"/>
  <c r="AB22" i="14" s="1"/>
  <c r="AM20" i="14"/>
  <c r="AG20" i="14"/>
  <c r="AA20" i="14"/>
  <c r="T24" i="14"/>
  <c r="T27" i="14" s="1"/>
  <c r="T35" i="14" s="1"/>
  <c r="AV22" i="14"/>
  <c r="AB7" i="14"/>
  <c r="AB11" i="14" s="1"/>
  <c r="W21" i="14"/>
  <c r="W24" i="14" s="1"/>
  <c r="W27" i="14" s="1"/>
  <c r="W35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70" i="14"/>
  <c r="AY70" i="14" s="1"/>
  <c r="BF70" i="14" s="1"/>
  <c r="BG70" i="14" s="1"/>
  <c r="AL70" i="14"/>
  <c r="AO70" i="14" s="1"/>
  <c r="AM96" i="14"/>
  <c r="AD96" i="14"/>
  <c r="AM92" i="14"/>
  <c r="AD92" i="14"/>
  <c r="AM91" i="14"/>
  <c r="AD91" i="14"/>
  <c r="AJ96" i="14"/>
  <c r="AI97" i="14"/>
  <c r="AN97" i="14" s="1"/>
  <c r="AC97" i="14"/>
  <c r="AC93" i="14"/>
  <c r="AJ93" i="14"/>
  <c r="AI94" i="14"/>
  <c r="AQ143" i="14"/>
  <c r="AL144" i="14"/>
  <c r="AQ142" i="14"/>
  <c r="AN141" i="14"/>
  <c r="AM141" i="14"/>
  <c r="AM142" i="14" s="1"/>
  <c r="AM143" i="14" s="1"/>
  <c r="AM144" i="14" s="1"/>
  <c r="AM145" i="14" s="1"/>
  <c r="AM146" i="14" s="1"/>
  <c r="AM147" i="14" s="1"/>
  <c r="AM148" i="14" s="1"/>
  <c r="AP129" i="14"/>
  <c r="AP130" i="14" s="1"/>
  <c r="AQ130" i="14" s="1"/>
  <c r="AL133" i="14"/>
  <c r="AL134" i="14" s="1"/>
  <c r="AL135" i="14" s="1"/>
  <c r="AL136" i="14" s="1"/>
  <c r="AO135" i="14"/>
  <c r="AQ128" i="14"/>
  <c r="AN68" i="14"/>
  <c r="AN69" i="14" s="1"/>
  <c r="AL68" i="14"/>
  <c r="AL69" i="14" s="1"/>
  <c r="AY57" i="14"/>
  <c r="BF57" i="14" s="1"/>
  <c r="BG57" i="14" s="1"/>
  <c r="AN59" i="14"/>
  <c r="AW62" i="14"/>
  <c r="AO62" i="14"/>
  <c r="BF62" i="14"/>
  <c r="BG62" i="14" s="1"/>
  <c r="AV57" i="14"/>
  <c r="AV59" i="14" s="1"/>
  <c r="AV61" i="14" s="1"/>
  <c r="AU59" i="14"/>
  <c r="AU61" i="14" s="1"/>
  <c r="AO55" i="14"/>
  <c r="AO56" i="14" s="1"/>
  <c r="AL56" i="14"/>
  <c r="AL57" i="14" s="1"/>
  <c r="AW57" i="14" s="1"/>
  <c r="AX57" i="14" s="1"/>
  <c r="AI32" i="14" l="1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70" i="14"/>
  <c r="AW70" i="14"/>
  <c r="BA70" i="14" s="1"/>
  <c r="BB70" i="14" s="1"/>
  <c r="AB5" i="14"/>
  <c r="AT4" i="14"/>
  <c r="AJ94" i="14"/>
  <c r="AN94" i="14"/>
  <c r="AM93" i="14"/>
  <c r="AD93" i="14"/>
  <c r="AM97" i="14"/>
  <c r="AD97" i="14"/>
  <c r="AI98" i="14"/>
  <c r="AJ97" i="14"/>
  <c r="AC98" i="14"/>
  <c r="AQ129" i="14"/>
  <c r="AO69" i="14"/>
  <c r="AC94" i="14"/>
  <c r="AQ144" i="14"/>
  <c r="AL145" i="14"/>
  <c r="AN142" i="14"/>
  <c r="AN143" i="14" s="1"/>
  <c r="AN144" i="14" s="1"/>
  <c r="AN145" i="14" s="1"/>
  <c r="AN146" i="14" s="1"/>
  <c r="AN147" i="14" s="1"/>
  <c r="AN148" i="14" s="1"/>
  <c r="AN149" i="14" s="1"/>
  <c r="AN150" i="14" s="1"/>
  <c r="AP131" i="14"/>
  <c r="AP132" i="14" s="1"/>
  <c r="AP133" i="14" s="1"/>
  <c r="AQ133" i="14" s="1"/>
  <c r="AO68" i="14"/>
  <c r="AZ57" i="14"/>
  <c r="AX62" i="14"/>
  <c r="BE62" i="14" s="1"/>
  <c r="BD62" i="14"/>
  <c r="BI62" i="14" s="1"/>
  <c r="BJ62" i="14" s="1"/>
  <c r="BA62" i="14"/>
  <c r="BB62" i="14" s="1"/>
  <c r="AN61" i="14"/>
  <c r="AY59" i="14"/>
  <c r="BD57" i="14"/>
  <c r="BI57" i="14" s="1"/>
  <c r="BJ57" i="14" s="1"/>
  <c r="AL59" i="14"/>
  <c r="AO57" i="14"/>
  <c r="AT32" i="14" l="1"/>
  <c r="AV32" i="14"/>
  <c r="AK32" i="14"/>
  <c r="AQ32" i="14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70" i="14"/>
  <c r="BE70" i="14" s="1"/>
  <c r="BD70" i="14"/>
  <c r="BI70" i="14" s="1"/>
  <c r="BJ70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94" i="14"/>
  <c r="AD94" i="14"/>
  <c r="AM98" i="14"/>
  <c r="AD98" i="14"/>
  <c r="AJ98" i="14"/>
  <c r="AN98" i="14"/>
  <c r="AQ131" i="14"/>
  <c r="AQ145" i="14"/>
  <c r="AL146" i="14"/>
  <c r="AI149" i="14"/>
  <c r="AK149" i="14" s="1"/>
  <c r="AO149" i="14" s="1"/>
  <c r="AN151" i="14"/>
  <c r="AN152" i="14" s="1"/>
  <c r="AK147" i="14"/>
  <c r="AO147" i="14" s="1"/>
  <c r="AP134" i="14"/>
  <c r="AQ132" i="14"/>
  <c r="AW59" i="14"/>
  <c r="BA59" i="14" s="1"/>
  <c r="AO59" i="14"/>
  <c r="AL61" i="14"/>
  <c r="AO61" i="14" s="1"/>
  <c r="AZ59" i="14"/>
  <c r="AZ61" i="14" s="1"/>
  <c r="AY61" i="14"/>
  <c r="BF59" i="14"/>
  <c r="BA57" i="14"/>
  <c r="BB57" i="14" s="1"/>
  <c r="BE57" i="14"/>
  <c r="AU32" i="14" l="1"/>
  <c r="AS32" i="14" s="1"/>
  <c r="AD28" i="14"/>
  <c r="AA32" i="14"/>
  <c r="U34" i="14"/>
  <c r="AU28" i="14"/>
  <c r="AS28" i="14" s="1"/>
  <c r="AE22" i="14"/>
  <c r="AQ22" i="14"/>
  <c r="V30" i="14"/>
  <c r="V34" i="14" s="1"/>
  <c r="Y20" i="14"/>
  <c r="Y23" i="14" s="1"/>
  <c r="Y26" i="14" s="1"/>
  <c r="X23" i="14"/>
  <c r="X26" i="14" s="1"/>
  <c r="Y22" i="14"/>
  <c r="AS13" i="14"/>
  <c r="AT7" i="14"/>
  <c r="AS7" i="14" s="1"/>
  <c r="AQ146" i="14"/>
  <c r="AL147" i="14"/>
  <c r="AL148" i="14" s="1"/>
  <c r="AL149" i="14" s="1"/>
  <c r="AM149" i="14"/>
  <c r="AM150" i="14" s="1"/>
  <c r="AM151" i="14" s="1"/>
  <c r="AM152" i="14" s="1"/>
  <c r="AP149" i="14"/>
  <c r="AP150" i="14" s="1"/>
  <c r="AP151" i="14" s="1"/>
  <c r="AP152" i="14" s="1"/>
  <c r="AQ147" i="14"/>
  <c r="AP135" i="14"/>
  <c r="AP136" i="14" s="1"/>
  <c r="AQ136" i="14" s="1"/>
  <c r="AQ134" i="14"/>
  <c r="BG59" i="14"/>
  <c r="BG61" i="14" s="1"/>
  <c r="BF61" i="14"/>
  <c r="BB59" i="14"/>
  <c r="BB61" i="14" s="1"/>
  <c r="BA61" i="14"/>
  <c r="AX59" i="14"/>
  <c r="AW61" i="14"/>
  <c r="BD59" i="14"/>
  <c r="AE28" i="14" l="1"/>
  <c r="AE32" i="14" s="1"/>
  <c r="AD32" i="14"/>
  <c r="AQ25" i="14"/>
  <c r="Y30" i="14"/>
  <c r="X30" i="14"/>
  <c r="AQ148" i="14"/>
  <c r="AL150" i="14"/>
  <c r="AQ149" i="14"/>
  <c r="AQ135" i="14"/>
  <c r="BI59" i="14"/>
  <c r="BJ59" i="14" s="1"/>
  <c r="BD61" i="14"/>
  <c r="BI61" i="14" s="1"/>
  <c r="BJ61" i="14" s="1"/>
  <c r="BE59" i="14"/>
  <c r="BE61" i="14" s="1"/>
  <c r="AX61" i="14"/>
  <c r="X34" i="14" l="1"/>
  <c r="Y34" i="14"/>
  <c r="AQ150" i="14"/>
  <c r="AL151" i="14"/>
  <c r="AL152" i="14" s="1"/>
  <c r="AQ152" i="14" s="1"/>
  <c r="AQ15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V40" authorId="0" shapeId="0" xr:uid="{0BAC0BE5-75BD-4AA3-BC77-040FD73D8B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The highest %2PT of all wallets</t>
        </r>
      </text>
    </comment>
    <comment ref="AD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Q56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6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6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6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6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6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56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56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56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56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56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56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56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57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7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7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7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7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7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70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70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70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70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70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70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70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70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70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70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70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70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12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15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16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<sst xmlns="http://schemas.openxmlformats.org/spreadsheetml/2006/main" count="1121" uniqueCount="241">
  <si>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</si>
  <si>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</si>
  <si>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</si>
  <si>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</si>
  <si>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</si>
  <si>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</si>
  <si>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</si>
  <si>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</si>
  <si>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</si>
  <si>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</si>
  <si>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</si>
  <si>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</si>
  <si>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</si>
  <si>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</si>
  <si>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</si>
  <si>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</si>
  <si>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</si>
  <si>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</si>
  <si>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</si>
  <si>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</si>
  <si>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</si>
  <si>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</si>
  <si>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</si>
  <si>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</si>
  <si>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</si>
  <si>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</si>
  <si>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</si>
  <si>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</si>
  <si>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</si>
  <si>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</si>
  <si>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</si>
  <si>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</si>
  <si>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</si>
  <si>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</si>
  <si>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</si>
  <si>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</si>
  <si>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</si>
  <si>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</si>
  <si>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</si>
  <si>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</si>
  <si>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</si>
  <si>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</si>
  <si>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</si>
  <si>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</si>
  <si>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</si>
  <si>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</si>
  <si>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</si>
  <si>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</si>
  <si>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</si>
  <si>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</si>
  <si>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</si>
  <si>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</si>
  <si>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</si>
  <si>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</si>
  <si>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</si>
  <si>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</si>
  <si>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</si>
  <si>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</si>
  <si>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</si>
  <si>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</si>
  <si>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</si>
  <si>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</si>
  <si>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</si>
  <si>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</si>
  <si>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</si>
  <si>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</si>
  <si>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</si>
  <si>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</si>
  <si>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</si>
  <si>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</si>
  <si>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</si>
  <si>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</si>
  <si>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</si>
  <si>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</si>
  <si>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</si>
  <si>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</si>
  <si>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</si>
  <si>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</si>
  <si>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</si>
  <si>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</si>
  <si>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</si>
  <si>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</si>
  <si>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</si>
  <si>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</si>
  <si>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</si>
  <si>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</si>
  <si>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</si>
  <si>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</si>
  <si>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</si>
  <si>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</si>
  <si>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</si>
  <si>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</si>
  <si>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</si>
  <si>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</si>
  <si>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</si>
  <si>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</si>
  <si>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</si>
  <si>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</si>
  <si>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</si>
  <si>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</si>
  <si>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</si>
  <si>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</si>
  <si>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</si>
  <si>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</si>
  <si>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</si>
  <si>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</si>
  <si>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</si>
  <si>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</si>
  <si>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</si>
  <si>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</si>
  <si>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</si>
  <si>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</si>
  <si>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</si>
  <si>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</si>
  <si>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</si>
  <si>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</si>
  <si>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</si>
  <si>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</si>
  <si>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</si>
  <si>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</si>
  <si>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</si>
  <si>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</si>
  <si>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</si>
  <si>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</si>
  <si>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</si>
  <si>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</si>
  <si>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</si>
  <si>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</si>
  <si>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</si>
  <si>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</si>
  <si>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</si>
  <si>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</si>
  <si>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</si>
  <si>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</si>
  <si>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</si>
  <si>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</si>
  <si>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</si>
  <si>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</si>
  <si>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</si>
  <si>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</si>
  <si>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</si>
  <si>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</si>
  <si>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</si>
  <si>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</si>
  <si>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</si>
  <si>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</si>
  <si>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</si>
  <si>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</si>
  <si>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</si>
  <si>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</si>
  <si>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</si>
  <si>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</si>
  <si>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</si>
  <si>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</si>
  <si>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</si>
  <si>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</si>
  <si>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</si>
  <si>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</si>
  <si>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</si>
  <si>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</si>
  <si>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</si>
  <si>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</si>
  <si>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</si>
  <si>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</si>
  <si>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</si>
  <si>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</si>
  <si>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</si>
  <si>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</si>
  <si>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</si>
  <si>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</si>
  <si>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</si>
  <si>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</si>
  <si>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</si>
  <si>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</si>
  <si>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</si>
  <si>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</si>
  <si>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</si>
  <si>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</si>
  <si>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</si>
  <si>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</si>
  <si>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</si>
  <si>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</si>
  <si>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</si>
  <si>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</si>
  <si>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</si>
  <si>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</si>
  <si>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</si>
  <si>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</si>
  <si>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</si>
  <si>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</si>
  <si>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</si>
  <si>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</si>
  <si>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</si>
  <si>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</si>
  <si>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</si>
  <si>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</si>
  <si>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</si>
  <si>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</si>
  <si>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</si>
  <si>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</si>
  <si>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</si>
  <si>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</si>
  <si>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</si>
  <si>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</si>
  <si>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</si>
  <si>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</si>
  <si>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</si>
  <si>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</si>
  <si>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</si>
  <si>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</si>
  <si>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</si>
  <si>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</si>
  <si>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</si>
  <si>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</si>
  <si>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</si>
  <si>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</si>
  <si>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</si>
  <si>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</si>
  <si>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</si>
  <si>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</si>
  <si>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</si>
  <si>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</si>
  <si>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</si>
  <si>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</si>
  <si>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</si>
  <si>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</si>
  <si>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</si>
  <si>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</si>
  <si>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</si>
  <si>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</si>
  <si>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</si>
  <si>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</si>
  <si>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</si>
  <si>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</si>
  <si>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</si>
  <si>
    <t>TestPriceUpdateA</t>
  </si>
  <si>
    <t>TestPriceUpdateB</t>
  </si>
  <si>
    <t>TestPriceUpdateC</t>
  </si>
  <si>
    <t>Inv/Amo</t>
  </si>
  <si>
    <t>Let's create an e2e test for checking the %2PT in Dashboard table:
1. Create asset E2E-Dashboard-Signals:
Type: Stock
ET: 2%
PT 4% | 8% | 16% with allocations 50% | 30% | 20%
Test Price: $100
Commission: 0.5%</t>
  </si>
  <si>
    <t>dashboard-signals.spec.ts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</si>
</sst>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  <font>
      <sz val="10"/>
      <color theme="6"/>
      <name val="Arial"/>
      <family val="2"/>
    </font>
    <font>
      <strike/>
      <sz val="10"/>
      <color rgb="FF00B05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8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10" borderId="0" xfId="0" applyFont="1" applyFill="1"/>
    <xf numFmtId="0" fontId="9" fillId="10" borderId="0" xfId="0" applyFont="1" applyFill="1"/>
    <xf numFmtId="164" fontId="29" fillId="0" borderId="0" xfId="0" applyNumberFormat="1" applyFont="1"/>
    <xf numFmtId="1" fontId="30" fillId="0" borderId="0" xfId="0" applyNumberFormat="1" applyFont="1" applyAlignment="1">
      <alignment horizontal="right"/>
    </xf>
    <xf numFmtId="0" fontId="11" fillId="0" borderId="0" xfId="0" applyFont="1" applyFill="1"/>
    <xf numFmtId="0" fontId="3" fillId="0" borderId="0" xfId="0" applyFont="1" applyFill="1"/>
    <xf numFmtId="0" fontId="0" fillId="0" borderId="0" xfId="0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0" fontId="3" fillId="0" borderId="0" xfId="0" applyNumberFormat="1" applyFont="1" applyFill="1" applyAlignment="1">
      <alignment horizontal="right"/>
    </xf>
    <xf numFmtId="166" fontId="0" fillId="0" borderId="0" xfId="0" applyNumberFormat="1" applyFill="1"/>
    <xf numFmtId="0" fontId="11" fillId="3" borderId="0" xfId="0" applyFont="1" applyFill="1" applyAlignment="1">
      <alignment wrapText="1"/>
    </xf>
    <xf numFmtId="164" fontId="29" fillId="3" borderId="0" xfId="0" applyNumberFormat="1" applyFont="1" applyFill="1"/>
    <xf numFmtId="1" fontId="30" fillId="3" borderId="0" xfId="0" applyNumberFormat="1" applyFont="1" applyFill="1" applyAlignment="1">
      <alignment horizontal="right"/>
    </xf>
    <xf numFmtId="164" fontId="29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1" fontId="30" fillId="0" borderId="0" xfId="0" applyNumberFormat="1" applyFont="1" applyFill="1" applyAlignment="1">
      <alignment horizontal="right"/>
    </xf>
    <xf numFmtId="10" fontId="27" fillId="0" borderId="0" xfId="1" applyNumberFormat="1" applyFont="1" applyFill="1" applyAlignment="1">
      <alignment horizontal="right"/>
    </xf>
    <xf numFmtId="10" fontId="27" fillId="0" borderId="0" xfId="0" applyNumberFormat="1" applyFont="1" applyFill="1" applyAlignment="1">
      <alignment horizontal="right"/>
    </xf>
    <xf numFmtId="10" fontId="27" fillId="3" borderId="0" xfId="1" applyNumberFormat="1" applyFont="1" applyFill="1" applyAlignment="1">
      <alignment horizontal="right"/>
    </xf>
    <xf numFmtId="10" fontId="31" fillId="3" borderId="0" xfId="0" applyNumberFormat="1" applyFont="1" applyFill="1" applyAlignment="1">
      <alignment horizontal="right"/>
    </xf>
    <xf numFmtId="10" fontId="31" fillId="3" borderId="0" xfId="1" applyNumberFormat="1" applyFont="1" applyFill="1" applyAlignment="1">
      <alignment horizontal="right"/>
    </xf>
    <xf numFmtId="10" fontId="28" fillId="0" borderId="0" xfId="1" applyNumberFormat="1" applyFont="1" applyAlignment="1">
      <alignment horizontal="right"/>
    </xf>
    <xf numFmtId="8" fontId="0" fillId="0" borderId="0" xfId="0" applyNumberFormat="1" applyFill="1"/>
    <xf numFmtId="10" fontId="0" fillId="0" borderId="0" xfId="0" applyNumberFormat="1" applyFill="1"/>
    <xf numFmtId="10" fontId="31" fillId="0" borderId="0" xfId="0" applyNumberFormat="1" applyFont="1" applyFill="1" applyAlignment="1">
      <alignment horizontal="right"/>
    </xf>
    <xf numFmtId="10" fontId="31" fillId="0" borderId="0" xfId="1" applyNumberFormat="1" applyFont="1" applyFill="1" applyAlignment="1">
      <alignment horizontal="right"/>
    </xf>
    <xf numFmtId="164" fontId="26" fillId="0" borderId="0" xfId="0" applyNumberFormat="1" applyFont="1" applyFill="1" applyAlignment="1">
      <alignment horizontal="right"/>
    </xf>
    <xf numFmtId="166" fontId="26" fillId="0" borderId="0" xfId="0" applyNumberFormat="1" applyFont="1" applyFill="1" applyAlignment="1">
      <alignment horizontal="right"/>
    </xf>
    <xf numFmtId="164" fontId="26" fillId="0" borderId="0" xfId="2" applyNumberFormat="1" applyFont="1" applyFill="1" applyAlignment="1">
      <alignment horizontal="right"/>
    </xf>
    <xf numFmtId="10" fontId="32" fillId="0" borderId="0" xfId="0" applyNumberFormat="1" applyFont="1" applyFill="1" applyAlignment="1">
      <alignment horizontal="right"/>
    </xf>
    <xf numFmtId="0" fontId="20" fillId="9" borderId="0" xfId="0" applyFont="1" applyFill="1" applyAlignment="1">
      <alignment wrapText="1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52"/>
  <sheetViews>
    <sheetView tabSelected="1" topLeftCell="A27" workbookViewId="0">
      <selection activeCell="G37" sqref="G37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4" width="8.28515625" bestFit="1" customWidth="1"/>
    <col min="15" max="15" width="8.7109375" bestFit="1" customWidth="1"/>
    <col min="16" max="16" width="6.42578125" customWidth="1"/>
    <col min="17" max="17" width="11.140625" customWidth="1"/>
    <col min="18" max="18" width="7.5703125" bestFit="1" customWidth="1"/>
    <col min="19" max="19" width="11.42578125" customWidth="1"/>
    <col min="20" max="20" width="8.8554687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6" t="s">
        <v>214</v>
      </c>
    </row>
    <row r="2" spans="1:48" ht="12.75" x14ac:dyDescent="0.2">
      <c r="B2" s="45" t="s">
        <v>204</v>
      </c>
      <c r="C2" s="110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1" t="s">
        <v>205</v>
      </c>
      <c r="AB2" s="46"/>
      <c r="AC2" s="46"/>
      <c r="AD2" s="46"/>
      <c r="AE2" s="46"/>
      <c r="AF2" s="46"/>
      <c r="AG2" s="131" t="s">
        <v>207</v>
      </c>
      <c r="AH2" s="46"/>
      <c r="AI2" s="46"/>
      <c r="AJ2" s="46"/>
      <c r="AK2" s="46"/>
      <c r="AL2" s="45"/>
      <c r="AM2" s="131" t="s">
        <v>208</v>
      </c>
      <c r="AN2" s="12"/>
      <c r="AO2" s="12"/>
      <c r="AP2" s="12"/>
      <c r="AQ2" s="12"/>
      <c r="AS2" s="131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2"/>
      <c r="I3" s="28" t="s">
        <v>76</v>
      </c>
      <c r="J3" s="28" t="s">
        <v>4</v>
      </c>
      <c r="K3" s="57" t="s">
        <v>0</v>
      </c>
      <c r="L3" s="57" t="s">
        <v>238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5">
        <v>0.04</v>
      </c>
      <c r="E4" s="96">
        <v>0.08</v>
      </c>
      <c r="F4" s="96">
        <v>0.16</v>
      </c>
      <c r="G4" s="96">
        <v>0.01</v>
      </c>
      <c r="H4" s="96"/>
      <c r="I4" s="134" t="s">
        <v>75</v>
      </c>
      <c r="J4" s="134" t="s">
        <v>78</v>
      </c>
      <c r="K4" s="52">
        <v>100</v>
      </c>
      <c r="L4" s="52">
        <v>200</v>
      </c>
      <c r="M4" s="125">
        <v>0.5</v>
      </c>
      <c r="N4" s="96">
        <v>0.3</v>
      </c>
      <c r="O4" s="96">
        <v>0.2</v>
      </c>
      <c r="Q4" s="45" t="s">
        <v>216</v>
      </c>
      <c r="R4" s="45" t="s">
        <v>75</v>
      </c>
      <c r="S4" s="132" t="s">
        <v>78</v>
      </c>
      <c r="T4" s="123">
        <f>K4</f>
        <v>100</v>
      </c>
      <c r="U4" s="30">
        <f>V4/T4</f>
        <v>2</v>
      </c>
      <c r="V4" s="123">
        <f>L4</f>
        <v>200</v>
      </c>
      <c r="W4" s="123">
        <f>T4 * (1 - ABS(C4))</f>
        <v>98</v>
      </c>
      <c r="X4" s="153" t="s">
        <v>34</v>
      </c>
      <c r="Y4" s="153" t="s">
        <v>34</v>
      </c>
      <c r="Z4" s="12"/>
      <c r="AA4" s="123">
        <f>T4</f>
        <v>100</v>
      </c>
      <c r="AB4" s="30">
        <f>U4*M4</f>
        <v>1</v>
      </c>
      <c r="AC4" s="124">
        <f>V4*M4</f>
        <v>100</v>
      </c>
      <c r="AD4" s="124">
        <f>T4 * (1 + D4) / (1 - G4)</f>
        <v>105.05050505050505</v>
      </c>
      <c r="AE4" s="125">
        <f>(B4 - AD4) / AD4</f>
        <v>-4.8076923076923087E-2</v>
      </c>
      <c r="AF4" s="30"/>
      <c r="AG4" s="123">
        <f>T4</f>
        <v>100</v>
      </c>
      <c r="AH4" s="30">
        <f>U4*N4</f>
        <v>0.6</v>
      </c>
      <c r="AI4" s="124">
        <f>V4*N4</f>
        <v>60</v>
      </c>
      <c r="AJ4" s="124">
        <f>T4 * (1 + E4) / (1 - G4)</f>
        <v>109.09090909090909</v>
      </c>
      <c r="AK4" s="125">
        <f>(B4 - AJ4) / AJ4</f>
        <v>-8.3333333333333356E-2</v>
      </c>
      <c r="AM4" s="123">
        <f>T4</f>
        <v>100</v>
      </c>
      <c r="AN4" s="30">
        <f>U4*O4</f>
        <v>0.4</v>
      </c>
      <c r="AO4" s="124">
        <f>V4*O4</f>
        <v>40</v>
      </c>
      <c r="AP4" s="124">
        <f>T4 * (1 + F4) / (1 - G4)</f>
        <v>117.17171717171716</v>
      </c>
      <c r="AQ4" s="125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0">
        <v>0.04</v>
      </c>
      <c r="E5" s="126">
        <v>0.08</v>
      </c>
      <c r="F5" s="126">
        <v>0.16</v>
      </c>
      <c r="G5" s="126">
        <v>0.01</v>
      </c>
      <c r="H5" s="126"/>
      <c r="I5" s="135" t="s">
        <v>75</v>
      </c>
      <c r="J5" s="135" t="s">
        <v>211</v>
      </c>
      <c r="K5" s="40">
        <v>100</v>
      </c>
      <c r="L5" s="40">
        <v>300</v>
      </c>
      <c r="M5" s="130">
        <v>0.5</v>
      </c>
      <c r="N5" s="126">
        <v>0.25</v>
      </c>
      <c r="O5" s="126">
        <v>0.25</v>
      </c>
      <c r="P5" s="35"/>
      <c r="Q5" s="47" t="s">
        <v>217</v>
      </c>
      <c r="R5" s="47" t="s">
        <v>75</v>
      </c>
      <c r="S5" s="133" t="s">
        <v>211</v>
      </c>
      <c r="T5" s="127">
        <f>K5</f>
        <v>100</v>
      </c>
      <c r="U5" s="43">
        <f>V5/T5</f>
        <v>3</v>
      </c>
      <c r="V5" s="127">
        <f>L5</f>
        <v>300</v>
      </c>
      <c r="W5" s="127">
        <f>T5 * (1 - ABS(C5))</f>
        <v>98</v>
      </c>
      <c r="X5" s="154" t="s">
        <v>34</v>
      </c>
      <c r="Y5" s="154" t="s">
        <v>34</v>
      </c>
      <c r="Z5" s="41"/>
      <c r="AA5" s="127">
        <f>T5</f>
        <v>100</v>
      </c>
      <c r="AB5" s="43">
        <f>AB4+(U5*M5)</f>
        <v>2.5</v>
      </c>
      <c r="AC5" s="129">
        <f>AC4+(V5*M5)</f>
        <v>250</v>
      </c>
      <c r="AD5" s="129">
        <f>T5 * (1 + D5) / (1 - G5)</f>
        <v>105.05050505050505</v>
      </c>
      <c r="AE5" s="130">
        <f>(B5 - AD5) / AD5</f>
        <v>-4.8076923076923087E-2</v>
      </c>
      <c r="AF5" s="43"/>
      <c r="AG5" s="127">
        <f>T5</f>
        <v>100</v>
      </c>
      <c r="AH5" s="43">
        <f>AH4+(U5*N5)</f>
        <v>1.35</v>
      </c>
      <c r="AI5" s="129">
        <f>AI4+(V5*N5)</f>
        <v>135</v>
      </c>
      <c r="AJ5" s="129">
        <f>T5 * (1 + E5) / (1 - G5)</f>
        <v>109.09090909090909</v>
      </c>
      <c r="AK5" s="130">
        <f>(B5 - AJ5) / AJ5</f>
        <v>-8.3333333333333356E-2</v>
      </c>
      <c r="AL5" s="35"/>
      <c r="AM5" s="127">
        <f>T5</f>
        <v>100</v>
      </c>
      <c r="AN5" s="43">
        <f>AN4+(U5*O5)</f>
        <v>1.1499999999999999</v>
      </c>
      <c r="AO5" s="129">
        <f>AO4+(V5*O5)</f>
        <v>115</v>
      </c>
      <c r="AP5" s="129">
        <f>T5 * (1 + F5) / (1 - G5)</f>
        <v>117.17171717171716</v>
      </c>
      <c r="AQ5" s="130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0"/>
      <c r="E6" s="126"/>
      <c r="F6" s="126"/>
      <c r="G6" s="126"/>
      <c r="H6" s="126"/>
      <c r="I6" s="135"/>
      <c r="J6" s="135"/>
      <c r="K6" s="40"/>
      <c r="L6" s="40"/>
      <c r="M6" s="130"/>
      <c r="N6" s="126"/>
      <c r="O6" s="126"/>
      <c r="P6" s="35"/>
      <c r="Q6" s="47" t="s">
        <v>216</v>
      </c>
      <c r="R6" s="47" t="s">
        <v>75</v>
      </c>
      <c r="S6" s="133" t="s">
        <v>78</v>
      </c>
      <c r="T6" s="127">
        <f>T4</f>
        <v>100</v>
      </c>
      <c r="U6" s="43">
        <f>U4</f>
        <v>2</v>
      </c>
      <c r="V6" s="127">
        <f>V4</f>
        <v>200</v>
      </c>
      <c r="W6" s="127">
        <f>W4</f>
        <v>98</v>
      </c>
      <c r="X6" s="154"/>
      <c r="Y6" s="154"/>
      <c r="Z6" s="41"/>
      <c r="AA6" s="127"/>
      <c r="AB6" s="43"/>
      <c r="AC6" s="129"/>
      <c r="AD6" s="129"/>
      <c r="AE6" s="130"/>
      <c r="AF6" s="43"/>
      <c r="AG6" s="127"/>
      <c r="AH6" s="43"/>
      <c r="AI6" s="129"/>
      <c r="AJ6" s="129"/>
      <c r="AK6" s="130"/>
      <c r="AL6" s="35"/>
      <c r="AM6" s="127"/>
      <c r="AN6" s="43"/>
      <c r="AO6" s="129"/>
      <c r="AP6" s="129"/>
      <c r="AQ6" s="130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5">
        <v>0.04</v>
      </c>
      <c r="E7" s="96">
        <v>0.08</v>
      </c>
      <c r="F7" s="96">
        <v>0.16</v>
      </c>
      <c r="G7" s="96">
        <v>0.01</v>
      </c>
      <c r="H7" s="96"/>
      <c r="I7" s="134" t="s">
        <v>75</v>
      </c>
      <c r="J7" s="134" t="s">
        <v>215</v>
      </c>
      <c r="K7" s="52">
        <v>120</v>
      </c>
      <c r="L7" s="52">
        <v>400</v>
      </c>
      <c r="M7" s="125">
        <v>0.5</v>
      </c>
      <c r="N7" s="96">
        <v>0.5</v>
      </c>
      <c r="O7" s="96">
        <v>0</v>
      </c>
      <c r="Q7" s="45" t="s">
        <v>218</v>
      </c>
      <c r="R7" s="45" t="s">
        <v>75</v>
      </c>
      <c r="S7" s="131" t="s">
        <v>215</v>
      </c>
      <c r="T7" s="123">
        <f>K7</f>
        <v>120</v>
      </c>
      <c r="U7" s="30">
        <f>V7/T7</f>
        <v>3.3333333333333335</v>
      </c>
      <c r="V7" s="123">
        <f>L7</f>
        <v>400</v>
      </c>
      <c r="W7" s="123">
        <f>T7 * (1 - ABS(C7))</f>
        <v>117.6</v>
      </c>
      <c r="X7" s="153" t="s">
        <v>34</v>
      </c>
      <c r="Y7" s="153" t="s">
        <v>34</v>
      </c>
      <c r="Z7" s="12"/>
      <c r="AA7" s="123">
        <f>T7</f>
        <v>120</v>
      </c>
      <c r="AB7" s="30">
        <f>U7*M7</f>
        <v>1.6666666666666667</v>
      </c>
      <c r="AC7" s="124">
        <f>V7*M7</f>
        <v>200</v>
      </c>
      <c r="AD7" s="124">
        <f>T7 * (1 + D7) / (1 - G7)</f>
        <v>126.06060606060608</v>
      </c>
      <c r="AE7" s="125">
        <f>(B7 - AD7) / AD7</f>
        <v>-4.8076923076923198E-2</v>
      </c>
      <c r="AF7" s="30"/>
      <c r="AG7" s="123">
        <f>T7</f>
        <v>120</v>
      </c>
      <c r="AH7" s="30">
        <f>U7*M7</f>
        <v>1.6666666666666667</v>
      </c>
      <c r="AI7" s="124">
        <f>V7*M7</f>
        <v>200</v>
      </c>
      <c r="AJ7" s="124">
        <f>T7 * (1 + E7) / (1 - G7)</f>
        <v>130.90909090909093</v>
      </c>
      <c r="AK7" s="125">
        <f>(B7 - AJ7) / AJ7</f>
        <v>-8.3333333333333509E-2</v>
      </c>
      <c r="AM7" s="123">
        <v>100</v>
      </c>
      <c r="AN7" s="30">
        <v>1.1499999999999999</v>
      </c>
      <c r="AO7" s="124">
        <v>115</v>
      </c>
      <c r="AP7" s="124">
        <v>117.17171717171716</v>
      </c>
      <c r="AQ7" s="125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6"/>
      <c r="H8" s="96"/>
      <c r="I8" s="96"/>
      <c r="J8" s="96"/>
      <c r="K8" s="52"/>
      <c r="L8" s="52"/>
      <c r="M8" s="96"/>
      <c r="N8" s="96"/>
      <c r="O8" s="96"/>
      <c r="Q8" s="46" t="s">
        <v>217</v>
      </c>
      <c r="R8" s="46" t="s">
        <v>75</v>
      </c>
      <c r="S8" s="131" t="s">
        <v>211</v>
      </c>
      <c r="T8" s="123">
        <f>T5</f>
        <v>100</v>
      </c>
      <c r="U8" s="30">
        <f>U5</f>
        <v>3</v>
      </c>
      <c r="V8" s="123">
        <f>V5</f>
        <v>300</v>
      </c>
      <c r="W8" s="123">
        <f>W5</f>
        <v>98</v>
      </c>
      <c r="X8" s="153" t="s">
        <v>34</v>
      </c>
      <c r="Y8" s="153" t="s">
        <v>34</v>
      </c>
      <c r="Z8" s="12"/>
      <c r="AA8" s="123">
        <f>AA5</f>
        <v>100</v>
      </c>
      <c r="AB8" s="30">
        <f>AB5</f>
        <v>2.5</v>
      </c>
      <c r="AC8" s="124">
        <f>AC5</f>
        <v>250</v>
      </c>
      <c r="AD8" s="124">
        <f>AD5</f>
        <v>105.05050505050505</v>
      </c>
      <c r="AE8" s="125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3" t="s">
        <v>34</v>
      </c>
      <c r="AN8" s="156" t="s">
        <v>34</v>
      </c>
      <c r="AO8" s="156" t="s">
        <v>34</v>
      </c>
      <c r="AP8" s="156" t="s">
        <v>34</v>
      </c>
      <c r="AQ8" s="156" t="s">
        <v>34</v>
      </c>
    </row>
    <row r="9" spans="1:48" ht="12.75" x14ac:dyDescent="0.2">
      <c r="B9" s="52"/>
      <c r="C9" s="96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1" t="s">
        <v>78</v>
      </c>
      <c r="T9" s="123">
        <f>T4</f>
        <v>100</v>
      </c>
      <c r="U9" s="30">
        <f>U4</f>
        <v>2</v>
      </c>
      <c r="V9" s="123">
        <f>V4</f>
        <v>200</v>
      </c>
      <c r="W9" s="123">
        <f>W4</f>
        <v>98</v>
      </c>
      <c r="X9" s="153" t="s">
        <v>34</v>
      </c>
      <c r="Y9" s="153" t="s">
        <v>34</v>
      </c>
      <c r="Z9" s="12"/>
      <c r="AA9" s="63"/>
      <c r="AF9" s="30"/>
      <c r="AG9" s="13"/>
      <c r="AH9" s="13"/>
      <c r="AI9" s="13"/>
      <c r="AJ9" s="13"/>
      <c r="AK9" s="30"/>
      <c r="AM9" s="123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0">
        <v>0.04</v>
      </c>
      <c r="E10" s="126">
        <v>0.08</v>
      </c>
      <c r="F10" s="126">
        <v>0.16</v>
      </c>
      <c r="G10" s="126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0">
        <v>0.4</v>
      </c>
      <c r="N10" s="126">
        <v>0.5</v>
      </c>
      <c r="O10" s="126">
        <v>0.1</v>
      </c>
      <c r="P10" s="35"/>
      <c r="Q10" s="41" t="s">
        <v>218</v>
      </c>
      <c r="R10" s="41" t="s">
        <v>75</v>
      </c>
      <c r="S10" s="41" t="s">
        <v>215</v>
      </c>
      <c r="T10" s="136">
        <f t="shared" ref="T10:V11" si="0">T7</f>
        <v>120</v>
      </c>
      <c r="U10" s="137">
        <f t="shared" si="0"/>
        <v>3.3333333333333335</v>
      </c>
      <c r="V10" s="136">
        <f t="shared" si="0"/>
        <v>400</v>
      </c>
      <c r="W10" s="136">
        <f>W7</f>
        <v>117.6</v>
      </c>
      <c r="X10" s="154" t="s">
        <v>34</v>
      </c>
      <c r="Y10" s="154" t="s">
        <v>34</v>
      </c>
      <c r="Z10" s="41"/>
      <c r="AA10" s="143">
        <f>T12</f>
        <v>130</v>
      </c>
      <c r="AB10" s="142">
        <f>U12*M10</f>
        <v>1.846153846153846</v>
      </c>
      <c r="AC10" s="143">
        <f>V12*M10</f>
        <v>240</v>
      </c>
      <c r="AD10" s="143">
        <f>T12 * (1 + D10) / (1 - G10)</f>
        <v>136.56565656565658</v>
      </c>
      <c r="AE10" s="144">
        <f>(B10 - AD10) / AD10</f>
        <v>-0.1213017751479291</v>
      </c>
      <c r="AF10" s="142"/>
      <c r="AG10" s="143">
        <f>T12</f>
        <v>130</v>
      </c>
      <c r="AH10" s="142">
        <f>U12*N10</f>
        <v>2.3076923076923075</v>
      </c>
      <c r="AI10" s="143">
        <f>V12*N10</f>
        <v>300</v>
      </c>
      <c r="AJ10" s="143">
        <f>T12 * (1 + E10) / (1 - G10)</f>
        <v>141.81818181818181</v>
      </c>
      <c r="AK10" s="144">
        <f>(B10 - AJ10) / AJ10</f>
        <v>-0.15384615384615383</v>
      </c>
      <c r="AL10" s="47"/>
      <c r="AM10" s="143">
        <f>T12</f>
        <v>130</v>
      </c>
      <c r="AN10" s="142">
        <f>U12*O10</f>
        <v>0.46153846153846151</v>
      </c>
      <c r="AO10" s="143">
        <f>V12*O10</f>
        <v>60</v>
      </c>
      <c r="AP10" s="143">
        <f>T12 * (1 + F10) / (1 - G10)</f>
        <v>152.3232323232323</v>
      </c>
      <c r="AQ10" s="130">
        <f>(B10 - AP10) / AP10</f>
        <v>-0.21220159151193624</v>
      </c>
      <c r="AR10" s="47"/>
      <c r="AS10" s="146">
        <f>AT10+AU10+AV10</f>
        <v>10.948717948717949</v>
      </c>
      <c r="AT10" s="146">
        <f>AB10+AB11+AB12</f>
        <v>5.0128205128205128</v>
      </c>
      <c r="AU10" s="146">
        <f>AH10+AH11+AH12</f>
        <v>4.7243589743589745</v>
      </c>
      <c r="AV10" s="146">
        <f>AN10+AN12</f>
        <v>1.2115384615384615</v>
      </c>
    </row>
    <row r="11" spans="1:48" ht="12.75" x14ac:dyDescent="0.2">
      <c r="A11" s="45"/>
      <c r="B11" s="52"/>
      <c r="C11" s="96"/>
      <c r="D11" s="125"/>
      <c r="E11" s="96"/>
      <c r="F11" s="96"/>
      <c r="G11" s="96"/>
      <c r="K11" s="52"/>
      <c r="L11" s="52"/>
      <c r="M11" s="125"/>
      <c r="N11" s="96"/>
      <c r="O11" s="96"/>
      <c r="Q11" s="41" t="s">
        <v>217</v>
      </c>
      <c r="R11" s="41" t="s">
        <v>75</v>
      </c>
      <c r="S11" s="41" t="s">
        <v>211</v>
      </c>
      <c r="T11" s="136">
        <f t="shared" si="0"/>
        <v>100</v>
      </c>
      <c r="U11" s="137">
        <f t="shared" si="0"/>
        <v>3</v>
      </c>
      <c r="V11" s="136">
        <f t="shared" si="0"/>
        <v>300</v>
      </c>
      <c r="W11" s="136">
        <f>W8</f>
        <v>98</v>
      </c>
      <c r="X11" s="154" t="s">
        <v>34</v>
      </c>
      <c r="Y11" s="154" t="s">
        <v>34</v>
      </c>
      <c r="Z11" s="41"/>
      <c r="AA11" s="143">
        <f>T10</f>
        <v>120</v>
      </c>
      <c r="AB11" s="142">
        <f>AB7</f>
        <v>1.6666666666666667</v>
      </c>
      <c r="AC11" s="143">
        <f>AC7</f>
        <v>200</v>
      </c>
      <c r="AD11" s="129">
        <f>AD7</f>
        <v>126.06060606060608</v>
      </c>
      <c r="AE11" s="130">
        <f>AE7</f>
        <v>-4.8076923076923198E-2</v>
      </c>
      <c r="AF11" s="142"/>
      <c r="AG11" s="143">
        <f>AG7</f>
        <v>120</v>
      </c>
      <c r="AH11" s="142">
        <f>AH7</f>
        <v>1.6666666666666667</v>
      </c>
      <c r="AI11" s="143">
        <f>AI7</f>
        <v>200</v>
      </c>
      <c r="AJ11" s="143">
        <f>AJ7</f>
        <v>130.90909090909093</v>
      </c>
      <c r="AK11" s="130">
        <f>AK7</f>
        <v>-8.3333333333333509E-2</v>
      </c>
      <c r="AL11" s="47"/>
      <c r="AM11" s="128" t="s">
        <v>34</v>
      </c>
      <c r="AN11" s="145" t="s">
        <v>34</v>
      </c>
      <c r="AO11" s="145" t="s">
        <v>34</v>
      </c>
      <c r="AP11" s="145" t="s">
        <v>34</v>
      </c>
      <c r="AQ11" s="145" t="s">
        <v>34</v>
      </c>
      <c r="AR11" s="47"/>
      <c r="AS11" s="47"/>
      <c r="AT11" s="146"/>
      <c r="AU11" s="146"/>
      <c r="AV11" s="146"/>
    </row>
    <row r="12" spans="1:48" ht="12.75" x14ac:dyDescent="0.2">
      <c r="A12" s="45"/>
      <c r="B12" s="52"/>
      <c r="C12" s="96"/>
      <c r="D12" s="125"/>
      <c r="E12" s="96"/>
      <c r="F12" s="96"/>
      <c r="G12" s="96"/>
      <c r="K12" s="52"/>
      <c r="L12" s="52"/>
      <c r="M12" s="125"/>
      <c r="N12" s="96"/>
      <c r="O12" s="96"/>
      <c r="Q12" s="41" t="s">
        <v>216</v>
      </c>
      <c r="R12" s="41" t="s">
        <v>75</v>
      </c>
      <c r="S12" s="41" t="s">
        <v>78</v>
      </c>
      <c r="T12" s="136">
        <f>K10</f>
        <v>130</v>
      </c>
      <c r="U12" s="137">
        <f>V12/T12</f>
        <v>4.615384615384615</v>
      </c>
      <c r="V12" s="136">
        <f>L10</f>
        <v>600</v>
      </c>
      <c r="W12" s="136">
        <f>T12 * (1 - ABS(C10))</f>
        <v>127.39999999999999</v>
      </c>
      <c r="X12" s="154" t="s">
        <v>34</v>
      </c>
      <c r="Y12" s="154" t="s">
        <v>34</v>
      </c>
      <c r="Z12" s="41"/>
      <c r="AA12" s="143">
        <f>T11</f>
        <v>100</v>
      </c>
      <c r="AB12" s="142">
        <f>AB8-AB4</f>
        <v>1.5</v>
      </c>
      <c r="AC12" s="143">
        <f>V11*M5</f>
        <v>150</v>
      </c>
      <c r="AD12" s="129">
        <f>T11 * (1 + D10) / (1 - G10)</f>
        <v>105.05050505050505</v>
      </c>
      <c r="AE12" s="130">
        <f>AE8</f>
        <v>0.1423076923076923</v>
      </c>
      <c r="AF12" s="142"/>
      <c r="AG12" s="143">
        <f>T11</f>
        <v>100</v>
      </c>
      <c r="AH12" s="142">
        <f>U11*N5</f>
        <v>0.75</v>
      </c>
      <c r="AI12" s="143">
        <f>V11*N5</f>
        <v>75</v>
      </c>
      <c r="AJ12" s="143">
        <f>T11 * (1 + E10) / (1 - G10)</f>
        <v>109.09090909090909</v>
      </c>
      <c r="AK12" s="55">
        <f>(B10 - AJ12) / AJ12</f>
        <v>9.9999999999999978E-2</v>
      </c>
      <c r="AL12" s="47"/>
      <c r="AM12" s="143">
        <f>T11</f>
        <v>100</v>
      </c>
      <c r="AN12" s="142">
        <f>U11*O5</f>
        <v>0.75</v>
      </c>
      <c r="AO12" s="143">
        <f>V11*O5</f>
        <v>75</v>
      </c>
      <c r="AP12" s="143">
        <f>T11 * (1 + F10) / (1 - G10)</f>
        <v>117.17171717171716</v>
      </c>
      <c r="AQ12" s="130">
        <f>(B10 - AP12) / AP12</f>
        <v>2.4137931034482842E-2</v>
      </c>
      <c r="AR12" s="47"/>
      <c r="AS12" s="47"/>
      <c r="AT12" s="146"/>
      <c r="AU12" s="146"/>
      <c r="AV12" s="146"/>
    </row>
    <row r="13" spans="1:48" ht="12.75" x14ac:dyDescent="0.2">
      <c r="A13" s="45" t="s">
        <v>213</v>
      </c>
      <c r="B13" s="52">
        <v>90</v>
      </c>
      <c r="C13" s="54">
        <v>0.02</v>
      </c>
      <c r="D13" s="125">
        <v>0.04</v>
      </c>
      <c r="E13" s="96">
        <v>0.08</v>
      </c>
      <c r="F13" s="96">
        <v>0.16</v>
      </c>
      <c r="G13" s="96">
        <v>0.01</v>
      </c>
      <c r="I13" s="147" t="s">
        <v>75</v>
      </c>
      <c r="J13" s="147" t="s">
        <v>78</v>
      </c>
      <c r="K13" s="148">
        <v>130</v>
      </c>
      <c r="L13" s="148">
        <v>600</v>
      </c>
      <c r="M13" s="149">
        <v>0.4</v>
      </c>
      <c r="N13" s="150">
        <v>0.5</v>
      </c>
      <c r="O13" s="150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8">
        <f t="shared" si="1"/>
        <v>120</v>
      </c>
      <c r="U13" s="139">
        <f t="shared" si="1"/>
        <v>3.3333333333333335</v>
      </c>
      <c r="V13" s="138">
        <f t="shared" si="1"/>
        <v>400</v>
      </c>
      <c r="W13" s="138">
        <f t="shared" si="1"/>
        <v>117.6</v>
      </c>
      <c r="X13" s="153" t="s">
        <v>34</v>
      </c>
      <c r="Y13" s="153" t="s">
        <v>34</v>
      </c>
      <c r="Z13" s="12"/>
      <c r="AA13" s="123">
        <f>T13</f>
        <v>120</v>
      </c>
      <c r="AB13" s="30">
        <f>U13*M7</f>
        <v>1.6666666666666667</v>
      </c>
      <c r="AC13" s="124">
        <f>V13*M7</f>
        <v>200</v>
      </c>
      <c r="AD13" s="124">
        <f>T13 * (1 + D13) / (1 - G13)</f>
        <v>126.06060606060608</v>
      </c>
      <c r="AE13" s="125">
        <f>(B13 - AD13) / AD13</f>
        <v>-0.2860576923076924</v>
      </c>
      <c r="AF13" s="141"/>
      <c r="AG13" s="123">
        <f>T13</f>
        <v>120</v>
      </c>
      <c r="AH13" s="30">
        <f>U13*N7</f>
        <v>1.6666666666666667</v>
      </c>
      <c r="AI13" s="124">
        <f>V13*N7</f>
        <v>200</v>
      </c>
      <c r="AJ13" s="124">
        <f>T13 * (1 + E13) / (1 - G13)</f>
        <v>130.90909090909093</v>
      </c>
      <c r="AK13" s="125">
        <f>(B13 - AJ13) / AJ13</f>
        <v>-0.31250000000000011</v>
      </c>
      <c r="AM13" s="153" t="s">
        <v>34</v>
      </c>
      <c r="AN13" s="156" t="s">
        <v>34</v>
      </c>
      <c r="AO13" s="156" t="s">
        <v>34</v>
      </c>
      <c r="AP13" s="156" t="s">
        <v>34</v>
      </c>
      <c r="AQ13" s="156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7"/>
      <c r="D14" s="125"/>
      <c r="E14" s="96"/>
      <c r="F14" s="96"/>
      <c r="G14" s="96"/>
      <c r="K14" s="33"/>
      <c r="L14" s="33"/>
      <c r="M14" s="125"/>
      <c r="N14" s="96"/>
      <c r="O14" s="96"/>
      <c r="Q14" s="12" t="s">
        <v>217</v>
      </c>
      <c r="R14" s="12" t="str">
        <f>R11</f>
        <v>Buy</v>
      </c>
      <c r="S14" s="12" t="str">
        <f t="shared" si="1"/>
        <v>Custom</v>
      </c>
      <c r="T14" s="138">
        <f t="shared" si="1"/>
        <v>100</v>
      </c>
      <c r="U14" s="139">
        <f t="shared" si="1"/>
        <v>3</v>
      </c>
      <c r="V14" s="138">
        <f t="shared" si="1"/>
        <v>300</v>
      </c>
      <c r="W14" s="138">
        <f t="shared" si="1"/>
        <v>98</v>
      </c>
      <c r="X14" s="153" t="s">
        <v>34</v>
      </c>
      <c r="Y14" s="153" t="s">
        <v>34</v>
      </c>
      <c r="Z14" s="12"/>
      <c r="AA14" s="123">
        <f>T14</f>
        <v>100</v>
      </c>
      <c r="AB14" s="30">
        <f>U14*M4</f>
        <v>1.5</v>
      </c>
      <c r="AC14" s="124">
        <f>V14*M4</f>
        <v>150</v>
      </c>
      <c r="AD14" s="124">
        <f>T14 * (1 + D13) / (1 - G13)</f>
        <v>105.05050505050505</v>
      </c>
      <c r="AE14" s="125">
        <f>(B13 - AD14) / AD14</f>
        <v>-0.14326923076923079</v>
      </c>
      <c r="AF14" s="141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3">
        <f>T14</f>
        <v>100</v>
      </c>
      <c r="AN14" s="30">
        <f>U14*O5</f>
        <v>0.75</v>
      </c>
      <c r="AO14" s="124">
        <f>V14*O5</f>
        <v>75</v>
      </c>
      <c r="AP14" s="124">
        <v>117.17171717171716</v>
      </c>
      <c r="AQ14" s="125">
        <f>(B13 - AP14) / AP14</f>
        <v>-0.23189655172413787</v>
      </c>
    </row>
    <row r="15" spans="1:48" ht="12.75" x14ac:dyDescent="0.2">
      <c r="A15" s="45"/>
      <c r="B15" s="33"/>
      <c r="C15" s="67"/>
      <c r="D15" s="125"/>
      <c r="E15" s="96"/>
      <c r="F15" s="96"/>
      <c r="G15" s="96"/>
      <c r="K15" s="33"/>
      <c r="L15" s="33"/>
      <c r="M15" s="125"/>
      <c r="N15" s="96"/>
      <c r="O15" s="96"/>
      <c r="Q15" s="12"/>
      <c r="R15" s="12"/>
      <c r="S15" s="12"/>
      <c r="T15" s="138"/>
      <c r="U15" s="139"/>
      <c r="V15" s="138"/>
      <c r="W15" s="138"/>
      <c r="X15" s="155"/>
      <c r="Y15" s="155"/>
      <c r="Z15" s="12"/>
      <c r="AA15" s="140"/>
      <c r="AB15" s="140"/>
      <c r="AC15" s="140"/>
      <c r="AD15" s="140"/>
      <c r="AE15" s="141"/>
      <c r="AF15" s="141"/>
      <c r="AG15" s="140"/>
      <c r="AH15" s="140"/>
      <c r="AI15" s="140"/>
      <c r="AJ15" s="140"/>
      <c r="AK15" s="141"/>
      <c r="AM15" s="140"/>
      <c r="AN15" s="140"/>
      <c r="AO15" s="140"/>
      <c r="AP15" s="140"/>
      <c r="AQ15" s="141"/>
    </row>
    <row r="16" spans="1:48" ht="12.75" x14ac:dyDescent="0.2">
      <c r="A16" s="66" t="s">
        <v>219</v>
      </c>
      <c r="B16" s="33"/>
      <c r="C16" s="67"/>
      <c r="D16" s="125"/>
      <c r="E16" s="96"/>
      <c r="F16" s="96"/>
      <c r="G16" s="96"/>
      <c r="K16" s="33"/>
      <c r="L16" s="33"/>
      <c r="M16" s="125"/>
      <c r="N16" s="96"/>
      <c r="O16" s="96"/>
      <c r="Q16" s="12"/>
      <c r="R16" s="12"/>
      <c r="S16" s="12"/>
      <c r="T16" s="138"/>
      <c r="U16" s="139"/>
      <c r="V16" s="138"/>
      <c r="W16" s="138"/>
      <c r="X16" s="12"/>
      <c r="Y16" s="12"/>
      <c r="Z16" s="12"/>
      <c r="AA16" s="140"/>
      <c r="AB16" s="140"/>
      <c r="AC16" s="140"/>
      <c r="AD16" s="140"/>
      <c r="AE16" s="141"/>
      <c r="AF16" s="141"/>
      <c r="AG16" s="140"/>
      <c r="AH16" s="140"/>
      <c r="AI16" s="140"/>
      <c r="AJ16" s="140"/>
      <c r="AK16" s="141"/>
      <c r="AM16" s="140"/>
      <c r="AN16" s="140"/>
      <c r="AO16" s="140"/>
      <c r="AP16" s="140"/>
      <c r="AQ16" s="141"/>
    </row>
    <row r="17" spans="1:48" ht="12.75" x14ac:dyDescent="0.2">
      <c r="B17" s="45" t="s">
        <v>204</v>
      </c>
      <c r="C17" s="110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1" t="s">
        <v>205</v>
      </c>
      <c r="AB17" s="46"/>
      <c r="AC17" s="46"/>
      <c r="AD17" s="46"/>
      <c r="AE17" s="46"/>
      <c r="AF17" s="46"/>
      <c r="AG17" s="131" t="s">
        <v>207</v>
      </c>
      <c r="AH17" s="46"/>
      <c r="AI17" s="46"/>
      <c r="AJ17" s="46"/>
      <c r="AK17" s="46"/>
      <c r="AL17" s="45"/>
      <c r="AM17" s="131" t="s">
        <v>208</v>
      </c>
      <c r="AN17" s="12"/>
      <c r="AO17" s="12"/>
      <c r="AP17" s="12"/>
      <c r="AQ17" s="12"/>
      <c r="AS17" s="131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2"/>
      <c r="I18" s="28" t="s">
        <v>76</v>
      </c>
      <c r="J18" s="28" t="s">
        <v>4</v>
      </c>
      <c r="K18" s="57" t="s">
        <v>0</v>
      </c>
      <c r="L18" s="57" t="s">
        <v>238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111" t="s">
        <v>216</v>
      </c>
      <c r="B19" s="52">
        <v>100</v>
      </c>
      <c r="C19" s="54">
        <v>0.02</v>
      </c>
      <c r="D19" s="125">
        <v>0.04</v>
      </c>
      <c r="E19" s="96">
        <v>0.08</v>
      </c>
      <c r="F19" s="96">
        <v>0.16</v>
      </c>
      <c r="G19" s="96">
        <v>0.01</v>
      </c>
      <c r="H19" s="96"/>
      <c r="I19" s="134" t="s">
        <v>75</v>
      </c>
      <c r="J19" s="134" t="s">
        <v>78</v>
      </c>
      <c r="K19" s="52">
        <v>100</v>
      </c>
      <c r="L19" s="52">
        <v>600</v>
      </c>
      <c r="M19" s="125">
        <v>0.5</v>
      </c>
      <c r="N19" s="96">
        <v>0.3</v>
      </c>
      <c r="O19" s="96">
        <v>0.2</v>
      </c>
      <c r="Q19" s="45" t="s">
        <v>216</v>
      </c>
      <c r="R19" s="45" t="s">
        <v>75</v>
      </c>
      <c r="S19" s="132" t="s">
        <v>78</v>
      </c>
      <c r="T19" s="123">
        <f>K19</f>
        <v>100</v>
      </c>
      <c r="U19" s="30">
        <f>V19/T19</f>
        <v>6</v>
      </c>
      <c r="V19" s="123">
        <f>L19</f>
        <v>600</v>
      </c>
      <c r="W19" s="123">
        <f>T19 * (1 - ABS(C19))</f>
        <v>98</v>
      </c>
      <c r="X19" s="153" t="s">
        <v>34</v>
      </c>
      <c r="Y19" s="153" t="s">
        <v>34</v>
      </c>
      <c r="Z19" s="12"/>
      <c r="AA19" s="123">
        <f>T19</f>
        <v>100</v>
      </c>
      <c r="AB19" s="30">
        <f>U19*M19</f>
        <v>3</v>
      </c>
      <c r="AC19" s="124">
        <f>V19*M19</f>
        <v>300</v>
      </c>
      <c r="AD19" s="124">
        <f>AA19 * (1 + D19) / (1 - G19)</f>
        <v>105.05050505050505</v>
      </c>
      <c r="AE19" s="125">
        <f>(B19 - AD19) / AD19</f>
        <v>-4.8076923076923087E-2</v>
      </c>
      <c r="AF19" s="30"/>
      <c r="AG19" s="123">
        <f>T19</f>
        <v>100</v>
      </c>
      <c r="AH19" s="30">
        <f>U19*N19</f>
        <v>1.7999999999999998</v>
      </c>
      <c r="AI19" s="124">
        <f>V19*N19</f>
        <v>180</v>
      </c>
      <c r="AJ19" s="124">
        <f>AG19 * (1 + E19) / (1 - G19)</f>
        <v>109.09090909090909</v>
      </c>
      <c r="AK19" s="125">
        <f>(B19 - AJ19) / AJ19</f>
        <v>-8.3333333333333356E-2</v>
      </c>
      <c r="AM19" s="123">
        <f>T19</f>
        <v>100</v>
      </c>
      <c r="AN19" s="30">
        <f>U19*O19</f>
        <v>1.2000000000000002</v>
      </c>
      <c r="AO19" s="124">
        <f>V19*O19</f>
        <v>120</v>
      </c>
      <c r="AP19" s="124">
        <f>AM19 * (1 + F19) / (1 - G19)</f>
        <v>117.17171717171716</v>
      </c>
      <c r="AQ19" s="125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185" t="s">
        <v>220</v>
      </c>
      <c r="B20" s="40">
        <v>110</v>
      </c>
      <c r="C20" s="55">
        <v>0.02</v>
      </c>
      <c r="D20" s="130">
        <v>0.04</v>
      </c>
      <c r="E20" s="126">
        <v>0.08</v>
      </c>
      <c r="F20" s="126">
        <v>0.16</v>
      </c>
      <c r="G20" s="126">
        <v>0.01</v>
      </c>
      <c r="H20" s="126"/>
      <c r="I20" s="135" t="s">
        <v>73</v>
      </c>
      <c r="J20" s="135" t="s">
        <v>221</v>
      </c>
      <c r="K20" s="40">
        <v>110</v>
      </c>
      <c r="L20" s="154" t="s">
        <v>34</v>
      </c>
      <c r="M20" s="130">
        <v>0.5</v>
      </c>
      <c r="N20" s="154" t="s">
        <v>34</v>
      </c>
      <c r="O20" s="154" t="s">
        <v>34</v>
      </c>
      <c r="P20" s="35"/>
      <c r="Q20" s="47" t="s">
        <v>220</v>
      </c>
      <c r="R20" s="47" t="s">
        <v>73</v>
      </c>
      <c r="S20" s="133" t="s">
        <v>221</v>
      </c>
      <c r="T20" s="127">
        <f>K20</f>
        <v>110</v>
      </c>
      <c r="U20" s="43">
        <f>AB19*M20</f>
        <v>1.5</v>
      </c>
      <c r="V20" s="127">
        <f>T20*U20-(T20*U20*G20)</f>
        <v>163.35</v>
      </c>
      <c r="W20" s="154" t="s">
        <v>34</v>
      </c>
      <c r="X20" s="128">
        <f>V20-(T19*U20)</f>
        <v>13.349999999999994</v>
      </c>
      <c r="Y20" s="152">
        <f>X20/(T19*U20)</f>
        <v>8.8999999999999968E-2</v>
      </c>
      <c r="Z20" s="41"/>
      <c r="AA20" s="127">
        <f>T21</f>
        <v>100</v>
      </c>
      <c r="AB20" s="43">
        <f>AB19-U20</f>
        <v>1.5</v>
      </c>
      <c r="AC20" s="129">
        <f>AC19*M20</f>
        <v>150</v>
      </c>
      <c r="AD20" s="129">
        <f>AA20 * (1 + D20) / (1 - G20)</f>
        <v>105.05050505050505</v>
      </c>
      <c r="AE20" s="157">
        <f>(B20 - AD20) / AD20</f>
        <v>4.7115384615384601E-2</v>
      </c>
      <c r="AF20" s="43"/>
      <c r="AG20" s="127">
        <f>T21</f>
        <v>100</v>
      </c>
      <c r="AH20" s="43">
        <f>AH19</f>
        <v>1.7999999999999998</v>
      </c>
      <c r="AI20" s="129">
        <f>AI19</f>
        <v>180</v>
      </c>
      <c r="AJ20" s="129">
        <f>AG20 * (1 + E20) / (1 - G20)</f>
        <v>109.09090909090909</v>
      </c>
      <c r="AK20" s="157">
        <f>(B20 - AJ20) / AJ20</f>
        <v>8.3333333333333089E-3</v>
      </c>
      <c r="AL20" s="35"/>
      <c r="AM20" s="127">
        <f>T21</f>
        <v>100</v>
      </c>
      <c r="AN20" s="43">
        <f>AN19</f>
        <v>1.2000000000000002</v>
      </c>
      <c r="AO20" s="129">
        <f>AO19</f>
        <v>120</v>
      </c>
      <c r="AP20" s="129">
        <f>AM20 * (1 + F20) / (1 - G20)</f>
        <v>117.17171717171716</v>
      </c>
      <c r="AQ20" s="130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185"/>
      <c r="B21" s="40"/>
      <c r="C21" s="55"/>
      <c r="D21" s="130"/>
      <c r="E21" s="126"/>
      <c r="F21" s="126"/>
      <c r="G21" s="126"/>
      <c r="H21" s="126"/>
      <c r="I21" s="135"/>
      <c r="J21" s="135"/>
      <c r="K21" s="40"/>
      <c r="L21" s="40"/>
      <c r="M21" s="130"/>
      <c r="N21" s="126"/>
      <c r="O21" s="126"/>
      <c r="P21" s="35"/>
      <c r="Q21" s="47" t="s">
        <v>216</v>
      </c>
      <c r="R21" s="47" t="s">
        <v>75</v>
      </c>
      <c r="S21" s="133" t="s">
        <v>78</v>
      </c>
      <c r="T21" s="127">
        <f>T19</f>
        <v>100</v>
      </c>
      <c r="U21" s="43">
        <f>U19</f>
        <v>6</v>
      </c>
      <c r="V21" s="127">
        <f>V19</f>
        <v>600</v>
      </c>
      <c r="W21" s="127">
        <f>W19</f>
        <v>98</v>
      </c>
      <c r="X21" s="154" t="s">
        <v>34</v>
      </c>
      <c r="Y21" s="154" t="s">
        <v>34</v>
      </c>
      <c r="Z21" s="41"/>
      <c r="AA21" s="127"/>
      <c r="AB21" s="43"/>
      <c r="AC21" s="129"/>
      <c r="AD21" s="129"/>
      <c r="AE21" s="130"/>
      <c r="AF21" s="43"/>
      <c r="AG21" s="127"/>
      <c r="AH21" s="43"/>
      <c r="AI21" s="129"/>
      <c r="AJ21" s="129"/>
      <c r="AK21" s="130"/>
      <c r="AL21" s="35"/>
      <c r="AM21" s="127"/>
      <c r="AN21" s="43"/>
      <c r="AO21" s="129"/>
      <c r="AP21" s="129"/>
      <c r="AQ21" s="130"/>
      <c r="AR21" s="35"/>
      <c r="AS21" s="39"/>
      <c r="AT21" s="39"/>
      <c r="AU21" s="39"/>
      <c r="AV21" s="39"/>
    </row>
    <row r="22" spans="1:48" ht="12.75" x14ac:dyDescent="0.2">
      <c r="A22" s="111" t="s">
        <v>223</v>
      </c>
      <c r="B22" s="52">
        <v>90</v>
      </c>
      <c r="C22" s="54">
        <v>0.02</v>
      </c>
      <c r="D22" s="125">
        <v>0.04</v>
      </c>
      <c r="E22" s="96">
        <v>0.08</v>
      </c>
      <c r="F22" s="96">
        <v>0.16</v>
      </c>
      <c r="G22" s="96">
        <v>0.01</v>
      </c>
      <c r="H22" s="96"/>
      <c r="I22" s="134" t="s">
        <v>73</v>
      </c>
      <c r="J22" s="134" t="s">
        <v>221</v>
      </c>
      <c r="K22" s="52">
        <v>90</v>
      </c>
      <c r="L22" s="153" t="s">
        <v>34</v>
      </c>
      <c r="M22" s="153" t="s">
        <v>34</v>
      </c>
      <c r="N22" s="96">
        <v>1</v>
      </c>
      <c r="O22" s="153" t="s">
        <v>34</v>
      </c>
      <c r="Q22" s="45" t="s">
        <v>223</v>
      </c>
      <c r="R22" s="45" t="s">
        <v>73</v>
      </c>
      <c r="S22" s="131" t="s">
        <v>221</v>
      </c>
      <c r="T22" s="123">
        <f>K22</f>
        <v>90</v>
      </c>
      <c r="U22" s="30">
        <f>AH20*N22</f>
        <v>1.7999999999999998</v>
      </c>
      <c r="V22" s="123">
        <f>T22*U22-(T22*U22*G22)</f>
        <v>160.37999999999997</v>
      </c>
      <c r="W22" s="153" t="s">
        <v>34</v>
      </c>
      <c r="X22" s="153">
        <f>V22-(T21*U22)</f>
        <v>-19.620000000000005</v>
      </c>
      <c r="Y22" s="161">
        <f>X22/(T21*U22)</f>
        <v>-0.10900000000000004</v>
      </c>
      <c r="Z22" s="12"/>
      <c r="AA22" s="123">
        <f>AA20</f>
        <v>100</v>
      </c>
      <c r="AB22" s="30">
        <f>AB20</f>
        <v>1.5</v>
      </c>
      <c r="AC22" s="124">
        <f>AC20</f>
        <v>150</v>
      </c>
      <c r="AD22" s="124">
        <f>AD20</f>
        <v>105.05050505050505</v>
      </c>
      <c r="AE22" s="125">
        <f>(B22 - AD22) / AD22</f>
        <v>-0.14326923076923079</v>
      </c>
      <c r="AF22" s="30"/>
      <c r="AG22" s="163">
        <f>AG20</f>
        <v>100</v>
      </c>
      <c r="AH22" s="164">
        <f>AH20</f>
        <v>1.7999999999999998</v>
      </c>
      <c r="AI22" s="165">
        <f>AI20</f>
        <v>180</v>
      </c>
      <c r="AJ22" s="165">
        <f>AJ20</f>
        <v>109.09090909090909</v>
      </c>
      <c r="AK22" s="149">
        <f>AK20</f>
        <v>8.3333333333333089E-3</v>
      </c>
      <c r="AM22" s="123">
        <f>AM20</f>
        <v>100</v>
      </c>
      <c r="AN22" s="30">
        <f>AN20</f>
        <v>1.2000000000000002</v>
      </c>
      <c r="AO22" s="124">
        <f>AO20</f>
        <v>120</v>
      </c>
      <c r="AP22" s="124">
        <f>AP20</f>
        <v>117.17171717171716</v>
      </c>
      <c r="AQ22" s="125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11"/>
      <c r="B23" s="52"/>
      <c r="C23" s="96"/>
      <c r="H23" s="96"/>
      <c r="I23" s="96"/>
      <c r="J23" s="96"/>
      <c r="K23" s="52"/>
      <c r="L23" s="52"/>
      <c r="M23" s="96"/>
      <c r="N23" s="96"/>
      <c r="O23" s="96"/>
      <c r="Q23" s="46" t="str">
        <f t="shared" ref="Q23:R27" si="2">Q20</f>
        <v>SellA</v>
      </c>
      <c r="R23" s="46" t="str">
        <f t="shared" si="2"/>
        <v>Sell</v>
      </c>
      <c r="S23" s="131" t="s">
        <v>221</v>
      </c>
      <c r="T23" s="123">
        <f t="shared" ref="T23:V23" si="3">T20</f>
        <v>110</v>
      </c>
      <c r="U23" s="30">
        <f t="shared" si="3"/>
        <v>1.5</v>
      </c>
      <c r="V23" s="123">
        <f t="shared" si="3"/>
        <v>163.35</v>
      </c>
      <c r="W23" s="153" t="s">
        <v>34</v>
      </c>
      <c r="X23" s="153">
        <f>X20</f>
        <v>13.349999999999994</v>
      </c>
      <c r="Y23" s="162">
        <f>Y20</f>
        <v>8.8999999999999968E-2</v>
      </c>
      <c r="Z23" s="12"/>
      <c r="AA23" s="123"/>
      <c r="AB23" s="30"/>
      <c r="AC23" s="158"/>
      <c r="AD23" s="158"/>
      <c r="AE23" s="125"/>
      <c r="AF23" s="30"/>
      <c r="AG23" s="63"/>
      <c r="AH23" s="32"/>
      <c r="AI23" s="63"/>
      <c r="AJ23" s="63"/>
      <c r="AK23" s="62"/>
      <c r="AM23" s="159"/>
      <c r="AN23" s="160"/>
      <c r="AO23" s="160"/>
      <c r="AP23" s="160"/>
      <c r="AQ23" s="160"/>
    </row>
    <row r="24" spans="1:48" ht="12.75" x14ac:dyDescent="0.2">
      <c r="A24" s="111"/>
      <c r="B24" s="52"/>
      <c r="C24" s="96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 t="shared" si="2"/>
        <v>BuyA</v>
      </c>
      <c r="R24" s="46" t="str">
        <f t="shared" si="2"/>
        <v>Buy</v>
      </c>
      <c r="S24" s="131" t="s">
        <v>78</v>
      </c>
      <c r="T24" s="123">
        <f>T21</f>
        <v>100</v>
      </c>
      <c r="U24" s="30">
        <f>U21</f>
        <v>6</v>
      </c>
      <c r="V24" s="123">
        <f>V21</f>
        <v>600</v>
      </c>
      <c r="W24" s="166">
        <f>W21</f>
        <v>98</v>
      </c>
      <c r="X24" s="153" t="s">
        <v>34</v>
      </c>
      <c r="Y24" s="153" t="s">
        <v>34</v>
      </c>
      <c r="Z24" s="12"/>
      <c r="AA24" s="63"/>
      <c r="AF24" s="30"/>
      <c r="AG24" s="13"/>
      <c r="AH24" s="13"/>
      <c r="AI24" s="13"/>
      <c r="AJ24" s="13"/>
      <c r="AK24" s="30"/>
      <c r="AM24" s="123"/>
      <c r="AN24" s="13"/>
      <c r="AO24" s="13"/>
      <c r="AP24" s="13"/>
      <c r="AQ24" s="30"/>
    </row>
    <row r="25" spans="1:48" s="35" customFormat="1" ht="12.75" x14ac:dyDescent="0.2">
      <c r="A25" s="185" t="s">
        <v>226</v>
      </c>
      <c r="B25" s="40">
        <v>90</v>
      </c>
      <c r="C25" s="55">
        <v>0.02</v>
      </c>
      <c r="D25" s="130">
        <v>0.04</v>
      </c>
      <c r="E25" s="126">
        <v>0.08</v>
      </c>
      <c r="F25" s="126">
        <v>0.16</v>
      </c>
      <c r="G25" s="126">
        <v>0.01</v>
      </c>
      <c r="H25" s="51"/>
      <c r="I25" s="173" t="s">
        <v>227</v>
      </c>
      <c r="J25" s="173" t="s">
        <v>211</v>
      </c>
      <c r="K25" s="40">
        <v>95</v>
      </c>
      <c r="L25" s="154" t="s">
        <v>34</v>
      </c>
      <c r="M25" s="154" t="s">
        <v>34</v>
      </c>
      <c r="N25" s="126">
        <v>0.5</v>
      </c>
      <c r="O25" s="154" t="s">
        <v>34</v>
      </c>
      <c r="Q25" s="47" t="str">
        <f t="shared" si="2"/>
        <v>SellB</v>
      </c>
      <c r="R25" s="47" t="str">
        <f t="shared" si="2"/>
        <v>Sell</v>
      </c>
      <c r="S25" s="133" t="s">
        <v>211</v>
      </c>
      <c r="T25" s="127">
        <f>K25</f>
        <v>95</v>
      </c>
      <c r="U25" s="43">
        <f>AH20*N25</f>
        <v>0.89999999999999991</v>
      </c>
      <c r="V25" s="127">
        <f>T25*U25-(T25*U25*G25)</f>
        <v>84.644999999999982</v>
      </c>
      <c r="W25" s="154" t="s">
        <v>34</v>
      </c>
      <c r="X25" s="128">
        <f>V25-(T24*U25)</f>
        <v>-5.355000000000004</v>
      </c>
      <c r="Y25" s="152">
        <f>X25/(T24*U25)</f>
        <v>-5.9500000000000053E-2</v>
      </c>
      <c r="Z25" s="41"/>
      <c r="AA25" s="127">
        <f>AA22</f>
        <v>100</v>
      </c>
      <c r="AB25" s="43">
        <f>AB22</f>
        <v>1.5</v>
      </c>
      <c r="AC25" s="129">
        <f>AC22</f>
        <v>150</v>
      </c>
      <c r="AD25" s="129">
        <f>AD22</f>
        <v>105.05050505050505</v>
      </c>
      <c r="AE25" s="181">
        <f>(B25 - AD25) / AD25</f>
        <v>-0.14326923076923079</v>
      </c>
      <c r="AF25" s="43"/>
      <c r="AG25" s="127">
        <f>AG22</f>
        <v>100</v>
      </c>
      <c r="AH25" s="43">
        <f>AH22*N25</f>
        <v>0.89999999999999991</v>
      </c>
      <c r="AI25" s="129">
        <f>AI22*N25</f>
        <v>90</v>
      </c>
      <c r="AJ25" s="129">
        <f>AG25 * (1 + E25) / (1 - G25)</f>
        <v>109.09090909090909</v>
      </c>
      <c r="AK25" s="181">
        <f>(B25 - AJ25) / AJ25</f>
        <v>-0.17500000000000002</v>
      </c>
      <c r="AM25" s="127">
        <f>AM22</f>
        <v>100</v>
      </c>
      <c r="AN25" s="43">
        <f>AN22</f>
        <v>1.2000000000000002</v>
      </c>
      <c r="AO25" s="129">
        <f>AO22</f>
        <v>120</v>
      </c>
      <c r="AP25" s="129">
        <f>AP22</f>
        <v>117.17171717171716</v>
      </c>
      <c r="AQ25" s="130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A26" s="185"/>
      <c r="B26" s="40"/>
      <c r="C26" s="126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 t="shared" si="2"/>
        <v>SellA</v>
      </c>
      <c r="R26" s="47" t="str">
        <f t="shared" si="2"/>
        <v>Sell</v>
      </c>
      <c r="S26" s="133" t="s">
        <v>221</v>
      </c>
      <c r="T26" s="127">
        <f t="shared" ref="T26:V27" si="4">T23</f>
        <v>110</v>
      </c>
      <c r="U26" s="43">
        <f t="shared" si="4"/>
        <v>1.5</v>
      </c>
      <c r="V26" s="127">
        <f t="shared" si="4"/>
        <v>163.35</v>
      </c>
      <c r="W26" s="154" t="s">
        <v>34</v>
      </c>
      <c r="X26" s="128">
        <f>X23</f>
        <v>13.349999999999994</v>
      </c>
      <c r="Y26" s="152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7"/>
      <c r="AN26" s="42"/>
      <c r="AO26" s="42"/>
      <c r="AP26" s="42"/>
      <c r="AQ26" s="43"/>
    </row>
    <row r="27" spans="1:48" s="35" customFormat="1" ht="12.75" x14ac:dyDescent="0.2">
      <c r="A27" s="185"/>
      <c r="B27" s="40"/>
      <c r="C27" s="126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 t="shared" si="2"/>
        <v>BuyA</v>
      </c>
      <c r="R27" s="47" t="str">
        <f t="shared" si="2"/>
        <v>Buy</v>
      </c>
      <c r="S27" s="133" t="s">
        <v>78</v>
      </c>
      <c r="T27" s="127">
        <f t="shared" si="4"/>
        <v>100</v>
      </c>
      <c r="U27" s="43">
        <f t="shared" si="4"/>
        <v>6</v>
      </c>
      <c r="V27" s="127">
        <f t="shared" si="4"/>
        <v>600</v>
      </c>
      <c r="W27" s="172">
        <f>W24</f>
        <v>98</v>
      </c>
      <c r="X27" s="154" t="s">
        <v>34</v>
      </c>
      <c r="Y27" s="154" t="s">
        <v>34</v>
      </c>
      <c r="Z27" s="41"/>
      <c r="AA27" s="65"/>
      <c r="AF27" s="43"/>
      <c r="AG27" s="42"/>
      <c r="AH27" s="42"/>
      <c r="AI27" s="42"/>
      <c r="AJ27" s="42"/>
      <c r="AK27" s="43"/>
      <c r="AM27" s="127"/>
      <c r="AN27" s="42"/>
      <c r="AO27" s="42"/>
      <c r="AP27" s="42"/>
      <c r="AQ27" s="43"/>
    </row>
    <row r="28" spans="1:48" ht="12.75" x14ac:dyDescent="0.2">
      <c r="A28" s="111" t="s">
        <v>217</v>
      </c>
      <c r="B28" s="52">
        <v>100</v>
      </c>
      <c r="C28" s="62">
        <v>0.02</v>
      </c>
      <c r="D28" s="125">
        <v>0.04</v>
      </c>
      <c r="E28" s="96">
        <v>0.08</v>
      </c>
      <c r="F28" s="96">
        <v>0.16</v>
      </c>
      <c r="G28" s="96">
        <v>0.01</v>
      </c>
      <c r="I28" s="45" t="s">
        <v>75</v>
      </c>
      <c r="J28" s="45" t="s">
        <v>215</v>
      </c>
      <c r="K28" s="52">
        <v>100</v>
      </c>
      <c r="L28" s="52">
        <v>400</v>
      </c>
      <c r="M28" s="125">
        <v>0.4</v>
      </c>
      <c r="N28" s="96">
        <v>0.4</v>
      </c>
      <c r="O28" s="96">
        <v>0.2</v>
      </c>
      <c r="Q28" s="46" t="s">
        <v>217</v>
      </c>
      <c r="R28" s="46" t="s">
        <v>75</v>
      </c>
      <c r="S28" s="46" t="s">
        <v>215</v>
      </c>
      <c r="T28" s="138">
        <f>K28</f>
        <v>100</v>
      </c>
      <c r="U28" s="139">
        <f>V28/T28</f>
        <v>4</v>
      </c>
      <c r="V28" s="138">
        <f>L28</f>
        <v>400</v>
      </c>
      <c r="W28" s="138">
        <f>T28 * (1 - ABS(C28))</f>
        <v>98</v>
      </c>
      <c r="X28" s="153" t="s">
        <v>34</v>
      </c>
      <c r="Y28" s="153" t="s">
        <v>34</v>
      </c>
      <c r="Z28" s="12"/>
      <c r="AA28" s="177">
        <f>AA22</f>
        <v>100</v>
      </c>
      <c r="AB28" s="178">
        <f>AB22+(U28*M28)</f>
        <v>3.1</v>
      </c>
      <c r="AC28" s="177">
        <f>AC22+(V28*M28)</f>
        <v>310</v>
      </c>
      <c r="AD28" s="177">
        <f>AA28 * (1 + D28) / (1 - G28)</f>
        <v>105.05050505050505</v>
      </c>
      <c r="AE28" s="179">
        <f>(B28 - AD28) / AD28</f>
        <v>-4.8076923076923087E-2</v>
      </c>
      <c r="AF28" s="178"/>
      <c r="AG28" s="177">
        <f>T28</f>
        <v>100</v>
      </c>
      <c r="AH28" s="178">
        <f>AH25+(U28*N28)</f>
        <v>2.5</v>
      </c>
      <c r="AI28" s="177">
        <f>AI25+(V28*M28)</f>
        <v>250</v>
      </c>
      <c r="AJ28" s="177">
        <f>AG28 * (1 + E28) / (1 - G28)</f>
        <v>109.09090909090909</v>
      </c>
      <c r="AK28" s="179">
        <f>(B28 - AJ28) / AJ28</f>
        <v>-8.3333333333333356E-2</v>
      </c>
      <c r="AL28" s="45"/>
      <c r="AM28" s="177">
        <f>T28</f>
        <v>100</v>
      </c>
      <c r="AN28" s="178">
        <f>AN25+(U28*O28)</f>
        <v>2</v>
      </c>
      <c r="AO28" s="177">
        <f>AO25+(V28*O28)</f>
        <v>200</v>
      </c>
      <c r="AP28" s="177">
        <f>AM28 * (1 + F28) / (1 - G28)</f>
        <v>117.17171717171716</v>
      </c>
      <c r="AQ28" s="125">
        <f>(B28 - AP28) / AP28</f>
        <v>-0.14655172413793097</v>
      </c>
      <c r="AR28" s="45"/>
      <c r="AS28" s="105">
        <f>AT28+AU28+AV28</f>
        <v>7.6</v>
      </c>
      <c r="AT28" s="105">
        <f>AB28</f>
        <v>3.1</v>
      </c>
      <c r="AU28" s="105">
        <f>AH28</f>
        <v>2.5</v>
      </c>
      <c r="AV28" s="105">
        <f>AN28</f>
        <v>2</v>
      </c>
    </row>
    <row r="29" spans="1:48" ht="12.75" x14ac:dyDescent="0.2">
      <c r="A29" s="45"/>
      <c r="B29" s="52"/>
      <c r="C29" s="96"/>
      <c r="D29" s="125"/>
      <c r="E29" s="96"/>
      <c r="F29" s="96"/>
      <c r="G29" s="96"/>
      <c r="K29" s="52"/>
      <c r="L29" s="52"/>
      <c r="M29" s="125"/>
      <c r="N29" s="96"/>
      <c r="O29" s="96"/>
      <c r="Q29" s="46" t="s">
        <v>223</v>
      </c>
      <c r="R29" s="46" t="s">
        <v>73</v>
      </c>
      <c r="S29" s="46" t="s">
        <v>211</v>
      </c>
      <c r="T29" s="138">
        <f>T25</f>
        <v>95</v>
      </c>
      <c r="U29" s="139">
        <f>U25</f>
        <v>0.89999999999999991</v>
      </c>
      <c r="V29" s="138">
        <f>V25</f>
        <v>84.644999999999982</v>
      </c>
      <c r="W29" s="180" t="str">
        <f>W22</f>
        <v>-</v>
      </c>
      <c r="X29" s="153">
        <f>X25</f>
        <v>-5.355000000000004</v>
      </c>
      <c r="Y29" s="162">
        <f>Y25</f>
        <v>-5.9500000000000053E-2</v>
      </c>
      <c r="Z29" s="12"/>
      <c r="AA29" s="177"/>
      <c r="AB29" s="178"/>
      <c r="AC29" s="177"/>
      <c r="AD29" s="158"/>
      <c r="AE29" s="125"/>
      <c r="AF29" s="178"/>
      <c r="AG29" s="177"/>
      <c r="AH29" s="178"/>
      <c r="AI29" s="177"/>
      <c r="AJ29" s="177"/>
      <c r="AK29" s="125"/>
      <c r="AL29" s="45"/>
      <c r="AM29" s="159"/>
      <c r="AN29" s="160"/>
      <c r="AO29" s="160"/>
      <c r="AP29" s="160"/>
      <c r="AQ29" s="160"/>
      <c r="AR29" s="45"/>
      <c r="AS29" s="45"/>
      <c r="AT29" s="105"/>
      <c r="AU29" s="105"/>
      <c r="AV29" s="105"/>
    </row>
    <row r="30" spans="1:48" ht="12.75" x14ac:dyDescent="0.2">
      <c r="A30" s="45"/>
      <c r="B30" s="52"/>
      <c r="C30" s="96"/>
      <c r="D30" s="125"/>
      <c r="E30" s="96"/>
      <c r="F30" s="96"/>
      <c r="G30" s="96"/>
      <c r="K30" s="52"/>
      <c r="L30" s="52"/>
      <c r="M30" s="125"/>
      <c r="N30" s="96"/>
      <c r="O30" s="96"/>
      <c r="Q30" s="46" t="s">
        <v>220</v>
      </c>
      <c r="R30" s="46" t="s">
        <v>73</v>
      </c>
      <c r="S30" s="132" t="str">
        <f t="shared" ref="S30:V31" si="5">S23</f>
        <v>Profit Target</v>
      </c>
      <c r="T30" s="138">
        <f t="shared" si="5"/>
        <v>110</v>
      </c>
      <c r="U30" s="139">
        <f t="shared" si="5"/>
        <v>1.5</v>
      </c>
      <c r="V30" s="138">
        <f t="shared" si="5"/>
        <v>163.35</v>
      </c>
      <c r="W30" s="180" t="str">
        <f>W23</f>
        <v>-</v>
      </c>
      <c r="X30" s="153">
        <f>X23</f>
        <v>13.349999999999994</v>
      </c>
      <c r="Y30" s="162">
        <f>Y23</f>
        <v>8.8999999999999968E-2</v>
      </c>
      <c r="Z30" s="12"/>
      <c r="AA30" s="177"/>
      <c r="AB30" s="178"/>
      <c r="AC30" s="177"/>
      <c r="AD30" s="158"/>
      <c r="AE30" s="125"/>
      <c r="AF30" s="178"/>
      <c r="AG30" s="177"/>
      <c r="AH30" s="178"/>
      <c r="AI30" s="177"/>
      <c r="AJ30" s="177"/>
      <c r="AK30" s="62"/>
      <c r="AL30" s="45"/>
      <c r="AM30" s="177"/>
      <c r="AN30" s="178"/>
      <c r="AO30" s="177"/>
      <c r="AP30" s="177"/>
      <c r="AQ30" s="125"/>
      <c r="AR30" s="45"/>
      <c r="AS30" s="45"/>
      <c r="AT30" s="105"/>
      <c r="AU30" s="105"/>
      <c r="AV30" s="105"/>
    </row>
    <row r="31" spans="1:48" ht="12.75" x14ac:dyDescent="0.2">
      <c r="A31" s="45"/>
      <c r="B31" s="52"/>
      <c r="C31" s="62"/>
      <c r="D31" s="125"/>
      <c r="E31" s="96"/>
      <c r="F31" s="96"/>
      <c r="G31" s="96"/>
      <c r="I31" s="147"/>
      <c r="J31" s="147"/>
      <c r="K31" s="148"/>
      <c r="L31" s="148"/>
      <c r="M31" s="149"/>
      <c r="N31" s="150"/>
      <c r="O31" s="150"/>
      <c r="Q31" s="46" t="s">
        <v>216</v>
      </c>
      <c r="R31" s="46" t="s">
        <v>75</v>
      </c>
      <c r="S31" s="132" t="str">
        <f t="shared" si="5"/>
        <v>Initial</v>
      </c>
      <c r="T31" s="138">
        <f t="shared" si="5"/>
        <v>100</v>
      </c>
      <c r="U31" s="139">
        <f t="shared" si="5"/>
        <v>6</v>
      </c>
      <c r="V31" s="138">
        <f t="shared" si="5"/>
        <v>600</v>
      </c>
      <c r="W31" s="138">
        <f>W24</f>
        <v>98</v>
      </c>
      <c r="X31" s="153" t="str">
        <f>X24</f>
        <v>-</v>
      </c>
      <c r="Y31" s="153" t="str">
        <f>Y24</f>
        <v>-</v>
      </c>
      <c r="Z31" s="12"/>
      <c r="AA31" s="123"/>
      <c r="AB31" s="30"/>
      <c r="AC31" s="158"/>
      <c r="AD31" s="158"/>
      <c r="AE31" s="125"/>
      <c r="AF31" s="141"/>
      <c r="AG31" s="123"/>
      <c r="AH31" s="30"/>
      <c r="AI31" s="158"/>
      <c r="AJ31" s="158"/>
      <c r="AK31" s="125"/>
      <c r="AM31" s="159"/>
      <c r="AN31" s="160"/>
      <c r="AO31" s="160"/>
      <c r="AP31" s="160"/>
      <c r="AQ31" s="160"/>
      <c r="AS31" s="32"/>
      <c r="AT31" s="32"/>
      <c r="AU31" s="32"/>
      <c r="AV31" s="32"/>
    </row>
    <row r="32" spans="1:48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30">
        <f t="shared" si="6"/>
        <v>0.04</v>
      </c>
      <c r="E32" s="126">
        <f t="shared" si="6"/>
        <v>0.08</v>
      </c>
      <c r="F32" s="126">
        <f t="shared" si="6"/>
        <v>0.16</v>
      </c>
      <c r="G32" s="126">
        <f t="shared" si="6"/>
        <v>0.01</v>
      </c>
      <c r="I32" s="47" t="s">
        <v>224</v>
      </c>
      <c r="J32" s="154" t="s">
        <v>34</v>
      </c>
      <c r="K32" s="154" t="s">
        <v>34</v>
      </c>
      <c r="L32" s="154" t="s">
        <v>34</v>
      </c>
      <c r="M32" s="154" t="s">
        <v>34</v>
      </c>
      <c r="N32" s="154" t="s">
        <v>34</v>
      </c>
      <c r="O32" s="154" t="s">
        <v>34</v>
      </c>
      <c r="Q32" s="47" t="str">
        <f t="shared" ref="Q32:R34" si="7">Q28</f>
        <v>BuyB</v>
      </c>
      <c r="R32" s="47" t="str">
        <f t="shared" si="7"/>
        <v>Buy</v>
      </c>
      <c r="S32" s="133" t="s">
        <v>215</v>
      </c>
      <c r="T32" s="127">
        <f>T28</f>
        <v>100</v>
      </c>
      <c r="U32" s="43">
        <f>U28</f>
        <v>4</v>
      </c>
      <c r="V32" s="127">
        <f>V28</f>
        <v>400</v>
      </c>
      <c r="W32" s="182">
        <f>W28</f>
        <v>98</v>
      </c>
      <c r="X32" s="154" t="s">
        <v>34</v>
      </c>
      <c r="Y32" s="154" t="s">
        <v>34</v>
      </c>
      <c r="Z32" s="41"/>
      <c r="AA32" s="127">
        <f>AA28</f>
        <v>100</v>
      </c>
      <c r="AB32" s="43">
        <f>AB28</f>
        <v>3.1</v>
      </c>
      <c r="AC32" s="129">
        <f>AC28</f>
        <v>310</v>
      </c>
      <c r="AD32" s="129">
        <f>AD28</f>
        <v>105.05050505050505</v>
      </c>
      <c r="AE32" s="130">
        <f>AE28</f>
        <v>-4.8076923076923087E-2</v>
      </c>
      <c r="AF32" s="171"/>
      <c r="AG32" s="127">
        <f>AG28</f>
        <v>100</v>
      </c>
      <c r="AH32" s="43">
        <f>AH28+AH25</f>
        <v>3.4</v>
      </c>
      <c r="AI32" s="129">
        <f>AI28+AI25</f>
        <v>340</v>
      </c>
      <c r="AJ32" s="129">
        <f>AJ28</f>
        <v>109.09090909090909</v>
      </c>
      <c r="AK32" s="130">
        <f>AK28</f>
        <v>-8.3333333333333356E-2</v>
      </c>
      <c r="AM32" s="127">
        <f>AM28</f>
        <v>100</v>
      </c>
      <c r="AN32" s="43">
        <f>AN28</f>
        <v>2</v>
      </c>
      <c r="AO32" s="129">
        <f>AO28</f>
        <v>200</v>
      </c>
      <c r="AP32" s="129">
        <f>AP28</f>
        <v>117.17171717171716</v>
      </c>
      <c r="AQ32" s="130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48" s="35" customFormat="1" ht="12.75" x14ac:dyDescent="0.2">
      <c r="A33" s="47"/>
      <c r="B33" s="40"/>
      <c r="C33" s="55"/>
      <c r="D33" s="130"/>
      <c r="E33" s="126"/>
      <c r="F33" s="126"/>
      <c r="G33" s="126"/>
      <c r="I33" s="167"/>
      <c r="J33" s="167"/>
      <c r="K33" s="168"/>
      <c r="L33" s="168"/>
      <c r="M33" s="169"/>
      <c r="N33" s="170"/>
      <c r="O33" s="170"/>
      <c r="Q33" s="167" t="str">
        <f t="shared" si="7"/>
        <v>SellB</v>
      </c>
      <c r="R33" s="167" t="str">
        <f t="shared" si="7"/>
        <v>Sell</v>
      </c>
      <c r="S33" s="174" t="s">
        <v>211</v>
      </c>
      <c r="T33" s="175">
        <f t="shared" ref="T33:V34" si="8">T29</f>
        <v>95</v>
      </c>
      <c r="U33" s="176">
        <f t="shared" si="8"/>
        <v>0.89999999999999991</v>
      </c>
      <c r="V33" s="175">
        <f t="shared" si="8"/>
        <v>84.644999999999982</v>
      </c>
      <c r="W33" s="154" t="s">
        <v>34</v>
      </c>
      <c r="X33" s="183">
        <f>X29</f>
        <v>-5.355000000000004</v>
      </c>
      <c r="Y33" s="184">
        <f>Y29</f>
        <v>-5.9500000000000053E-2</v>
      </c>
      <c r="Z33" s="41"/>
      <c r="AA33" s="127"/>
      <c r="AB33" s="43"/>
      <c r="AC33" s="129"/>
      <c r="AD33" s="129"/>
      <c r="AE33" s="130"/>
      <c r="AF33" s="171"/>
      <c r="AG33" s="127"/>
      <c r="AH33" s="43"/>
      <c r="AI33" s="129"/>
      <c r="AJ33" s="129"/>
      <c r="AK33" s="130"/>
      <c r="AM33" s="128"/>
      <c r="AN33" s="145"/>
      <c r="AO33" s="145"/>
      <c r="AP33" s="145"/>
      <c r="AQ33" s="145"/>
      <c r="AS33" s="39"/>
      <c r="AT33" s="39"/>
      <c r="AU33" s="39"/>
      <c r="AV33" s="39"/>
    </row>
    <row r="34" spans="1:48" s="35" customFormat="1" ht="12.75" x14ac:dyDescent="0.2">
      <c r="A34" s="47"/>
      <c r="B34" s="40"/>
      <c r="C34" s="55"/>
      <c r="D34" s="130"/>
      <c r="E34" s="126"/>
      <c r="F34" s="126"/>
      <c r="G34" s="126"/>
      <c r="I34" s="167"/>
      <c r="J34" s="167"/>
      <c r="K34" s="168"/>
      <c r="L34" s="168"/>
      <c r="M34" s="169"/>
      <c r="N34" s="170"/>
      <c r="O34" s="170"/>
      <c r="Q34" s="47" t="str">
        <f t="shared" si="7"/>
        <v>SellA</v>
      </c>
      <c r="R34" s="47" t="str">
        <f t="shared" si="7"/>
        <v>Sell</v>
      </c>
      <c r="S34" s="133" t="s">
        <v>221</v>
      </c>
      <c r="T34" s="127">
        <f t="shared" si="8"/>
        <v>110</v>
      </c>
      <c r="U34" s="43">
        <f t="shared" si="8"/>
        <v>1.5</v>
      </c>
      <c r="V34" s="127">
        <f t="shared" si="8"/>
        <v>163.35</v>
      </c>
      <c r="W34" s="154" t="s">
        <v>34</v>
      </c>
      <c r="X34" s="128">
        <f>X30</f>
        <v>13.349999999999994</v>
      </c>
      <c r="Y34" s="152">
        <f>Y30</f>
        <v>8.8999999999999968E-2</v>
      </c>
      <c r="Z34" s="41"/>
      <c r="AA34" s="127"/>
      <c r="AB34" s="43"/>
      <c r="AC34" s="129"/>
      <c r="AD34" s="129"/>
      <c r="AE34" s="130"/>
      <c r="AF34" s="171"/>
      <c r="AG34" s="127"/>
      <c r="AH34" s="43"/>
      <c r="AI34" s="129"/>
      <c r="AJ34" s="129"/>
      <c r="AK34" s="130"/>
      <c r="AM34" s="128"/>
      <c r="AN34" s="145"/>
      <c r="AO34" s="145"/>
      <c r="AP34" s="145"/>
      <c r="AQ34" s="145"/>
      <c r="AS34" s="39"/>
      <c r="AT34" s="39"/>
      <c r="AU34" s="39"/>
      <c r="AV34" s="39"/>
    </row>
    <row r="35" spans="1:48" s="35" customFormat="1" ht="12.75" x14ac:dyDescent="0.2">
      <c r="A35" s="47"/>
      <c r="B35" s="40"/>
      <c r="C35" s="55"/>
      <c r="D35" s="130"/>
      <c r="E35" s="126"/>
      <c r="F35" s="126"/>
      <c r="G35" s="126"/>
      <c r="I35" s="167"/>
      <c r="J35" s="167"/>
      <c r="K35" s="168"/>
      <c r="L35" s="168"/>
      <c r="M35" s="169"/>
      <c r="N35" s="170"/>
      <c r="O35" s="170"/>
      <c r="Q35" s="47" t="str">
        <f>Q27</f>
        <v>BuyA</v>
      </c>
      <c r="R35" s="47" t="str">
        <f>R27</f>
        <v>Buy</v>
      </c>
      <c r="S35" s="133" t="s">
        <v>78</v>
      </c>
      <c r="T35" s="127">
        <f>T27</f>
        <v>100</v>
      </c>
      <c r="U35" s="43">
        <f>U27</f>
        <v>6</v>
      </c>
      <c r="V35" s="127">
        <f>V27</f>
        <v>600</v>
      </c>
      <c r="W35" s="182">
        <f>W27</f>
        <v>98</v>
      </c>
      <c r="X35" s="154" t="s">
        <v>34</v>
      </c>
      <c r="Y35" s="154" t="s">
        <v>34</v>
      </c>
      <c r="Z35" s="41"/>
      <c r="AA35" s="127"/>
      <c r="AB35" s="43"/>
      <c r="AC35" s="129"/>
      <c r="AD35" s="129"/>
      <c r="AE35" s="130"/>
      <c r="AF35" s="171"/>
      <c r="AG35" s="127"/>
      <c r="AH35" s="43"/>
      <c r="AI35" s="129"/>
      <c r="AJ35" s="129"/>
      <c r="AK35" s="130"/>
      <c r="AM35" s="128"/>
      <c r="AN35" s="145"/>
      <c r="AO35" s="145"/>
      <c r="AP35" s="145"/>
      <c r="AQ35" s="145"/>
      <c r="AS35" s="39"/>
      <c r="AT35" s="39"/>
      <c r="AU35" s="39"/>
      <c r="AV35" s="39"/>
    </row>
    <row r="36" spans="1:48" ht="12.75" x14ac:dyDescent="0.2">
      <c r="A36" s="151"/>
      <c r="B36" s="33"/>
      <c r="C36" s="67"/>
      <c r="D36" s="125"/>
      <c r="E36" s="96"/>
      <c r="F36" s="96"/>
      <c r="G36" s="96"/>
      <c r="K36" s="93"/>
      <c r="L36" s="93"/>
      <c r="M36" s="125"/>
      <c r="N36" s="96"/>
      <c r="O36" s="96"/>
      <c r="Q36" s="12"/>
      <c r="R36" s="12"/>
      <c r="S36" s="12"/>
      <c r="T36" s="138"/>
      <c r="U36" s="139"/>
      <c r="V36" s="138"/>
      <c r="W36" s="138"/>
      <c r="X36" s="12"/>
      <c r="Y36" s="12"/>
      <c r="Z36" s="12"/>
      <c r="AA36" s="140"/>
      <c r="AB36" s="140"/>
      <c r="AC36" s="140"/>
      <c r="AD36" s="140"/>
      <c r="AE36" s="141"/>
      <c r="AF36" s="141"/>
      <c r="AG36" s="140"/>
      <c r="AH36" s="140"/>
      <c r="AI36" s="140"/>
      <c r="AJ36" s="140"/>
      <c r="AK36" s="141"/>
      <c r="AM36" s="140"/>
      <c r="AN36" s="140"/>
      <c r="AO36" s="140"/>
      <c r="AP36" s="140"/>
      <c r="AQ36" s="141"/>
    </row>
    <row r="37" spans="1:48" ht="12.75" x14ac:dyDescent="0.2">
      <c r="A37" s="151"/>
      <c r="B37" s="33"/>
      <c r="C37" s="67"/>
      <c r="D37" s="125"/>
      <c r="E37" s="96"/>
      <c r="F37" s="96"/>
      <c r="G37" s="96"/>
      <c r="K37" s="93"/>
      <c r="L37" s="93"/>
      <c r="M37" s="125"/>
      <c r="N37" s="96"/>
      <c r="O37" s="96"/>
      <c r="Q37" s="12"/>
      <c r="R37" s="12"/>
      <c r="S37" s="12"/>
      <c r="T37" s="138"/>
      <c r="U37" s="139"/>
      <c r="V37" s="138"/>
      <c r="W37" s="138"/>
      <c r="X37" s="12"/>
      <c r="Y37" s="12"/>
      <c r="Z37" s="12"/>
      <c r="AA37" s="140"/>
      <c r="AB37" s="140"/>
      <c r="AC37" s="140"/>
      <c r="AD37" s="140"/>
      <c r="AE37" s="141"/>
      <c r="AF37" s="141"/>
      <c r="AG37" s="140"/>
      <c r="AH37" s="140"/>
      <c r="AI37" s="140"/>
      <c r="AJ37" s="140"/>
      <c r="AK37" s="141"/>
      <c r="AM37" s="140"/>
      <c r="AN37" s="140"/>
      <c r="AO37" s="140"/>
      <c r="AP37" s="140"/>
      <c r="AQ37" s="141"/>
    </row>
    <row r="38" spans="1:48" ht="12.75" x14ac:dyDescent="0.2">
      <c r="A38" s="217" t="s">
        <v>240</v>
      </c>
      <c r="B38" s="33"/>
      <c r="C38" s="67"/>
      <c r="D38" s="125"/>
      <c r="E38" s="96"/>
      <c r="F38" s="96"/>
      <c r="G38" s="96"/>
      <c r="K38" s="93"/>
      <c r="L38" s="93"/>
      <c r="M38" s="125"/>
      <c r="N38" s="96"/>
      <c r="O38" s="96"/>
      <c r="Q38" s="12"/>
      <c r="R38" s="12"/>
      <c r="S38" s="12"/>
      <c r="T38" s="138"/>
      <c r="U38" s="139"/>
      <c r="V38" s="138"/>
      <c r="W38" s="138"/>
      <c r="X38" s="12"/>
      <c r="Y38" s="12"/>
      <c r="Z38" s="12"/>
      <c r="AA38" s="140"/>
      <c r="AB38" s="140"/>
      <c r="AC38" s="140"/>
      <c r="AD38" s="140"/>
      <c r="AE38" s="141"/>
      <c r="AF38" s="141"/>
      <c r="AG38" s="140"/>
      <c r="AH38" s="140"/>
      <c r="AI38" s="140"/>
      <c r="AJ38" s="140"/>
      <c r="AK38" s="141"/>
      <c r="AM38" s="140"/>
      <c r="AN38" s="140"/>
      <c r="AO38" s="140"/>
      <c r="AP38" s="140"/>
      <c r="AQ38" s="141"/>
    </row>
    <row r="39" spans="1:48" ht="12.75" x14ac:dyDescent="0.2">
      <c r="B39" s="45" t="s">
        <v>204</v>
      </c>
      <c r="C39" s="110"/>
      <c r="I39" s="45" t="s">
        <v>202</v>
      </c>
      <c r="Q39" s="45" t="s">
        <v>228</v>
      </c>
      <c r="S39" s="12"/>
      <c r="T39" s="12"/>
      <c r="U39" s="12"/>
      <c r="V39" s="12"/>
      <c r="W39" s="12"/>
      <c r="X39" s="12"/>
      <c r="Y39" s="12"/>
      <c r="Z39" s="12"/>
      <c r="AA39" s="131" t="s">
        <v>205</v>
      </c>
      <c r="AB39" s="46"/>
      <c r="AC39" s="46"/>
      <c r="AD39" s="46"/>
      <c r="AE39" s="46"/>
      <c r="AF39" s="46"/>
      <c r="AG39" s="131" t="s">
        <v>207</v>
      </c>
      <c r="AH39" s="46"/>
      <c r="AI39" s="46"/>
      <c r="AJ39" s="46"/>
      <c r="AK39" s="46"/>
      <c r="AL39" s="45"/>
      <c r="AM39" s="131" t="s">
        <v>208</v>
      </c>
      <c r="AN39" s="12"/>
      <c r="AO39" s="12"/>
      <c r="AP39" s="12"/>
      <c r="AQ39" s="12"/>
      <c r="AS39" s="131" t="s">
        <v>206</v>
      </c>
    </row>
    <row r="40" spans="1:48" ht="12.75" x14ac:dyDescent="0.2">
      <c r="A40" s="151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102"/>
      <c r="I40" s="28" t="s">
        <v>76</v>
      </c>
      <c r="J40" s="28" t="s">
        <v>4</v>
      </c>
      <c r="K40" s="57" t="s">
        <v>0</v>
      </c>
      <c r="L40" s="57" t="s">
        <v>238</v>
      </c>
      <c r="M40" s="28" t="s">
        <v>191</v>
      </c>
      <c r="N40" s="28" t="s">
        <v>192</v>
      </c>
      <c r="O40" s="28" t="s">
        <v>193</v>
      </c>
      <c r="Q40" s="28" t="s">
        <v>234</v>
      </c>
      <c r="R40" s="28" t="s">
        <v>0</v>
      </c>
      <c r="S40" s="28" t="s">
        <v>231</v>
      </c>
      <c r="T40" s="57" t="s">
        <v>232</v>
      </c>
      <c r="U40" s="28" t="s">
        <v>230</v>
      </c>
      <c r="V40" s="57" t="s">
        <v>233</v>
      </c>
      <c r="W40" s="57"/>
      <c r="X40" s="57"/>
      <c r="Y40" s="28"/>
      <c r="Z40" s="12"/>
      <c r="AA40" s="28" t="s">
        <v>0</v>
      </c>
      <c r="AB40" s="28" t="s">
        <v>196</v>
      </c>
      <c r="AC40" s="57" t="s">
        <v>1</v>
      </c>
      <c r="AD40" s="57" t="s">
        <v>197</v>
      </c>
      <c r="AE40" s="57" t="s">
        <v>233</v>
      </c>
      <c r="AF40" s="60"/>
      <c r="AG40" s="28" t="s">
        <v>0</v>
      </c>
      <c r="AH40" s="28" t="s">
        <v>196</v>
      </c>
      <c r="AI40" s="57" t="s">
        <v>1</v>
      </c>
      <c r="AJ40" s="57" t="s">
        <v>197</v>
      </c>
      <c r="AK40" s="57" t="s">
        <v>233</v>
      </c>
      <c r="AM40" s="28" t="s">
        <v>0</v>
      </c>
      <c r="AN40" s="28" t="s">
        <v>196</v>
      </c>
      <c r="AO40" s="57" t="s">
        <v>1</v>
      </c>
      <c r="AP40" s="57" t="s">
        <v>197</v>
      </c>
      <c r="AQ40" s="57" t="s">
        <v>233</v>
      </c>
      <c r="AS40" s="57" t="s">
        <v>199</v>
      </c>
      <c r="AT40" s="28" t="s">
        <v>191</v>
      </c>
      <c r="AU40" s="28" t="s">
        <v>192</v>
      </c>
      <c r="AV40" s="28" t="s">
        <v>193</v>
      </c>
    </row>
    <row r="41" spans="1:48" ht="12.75" x14ac:dyDescent="0.2">
      <c r="A41" s="151" t="s">
        <v>216</v>
      </c>
      <c r="B41" s="52">
        <v>100</v>
      </c>
      <c r="C41" s="54">
        <v>0.02</v>
      </c>
      <c r="D41" s="125">
        <v>0.04</v>
      </c>
      <c r="E41" s="96">
        <v>0.08</v>
      </c>
      <c r="F41" s="96">
        <v>0.16</v>
      </c>
      <c r="G41" s="96">
        <v>5.0000000000000001E-3</v>
      </c>
      <c r="H41" s="96"/>
      <c r="I41" s="134" t="s">
        <v>75</v>
      </c>
      <c r="J41" s="134" t="s">
        <v>78</v>
      </c>
      <c r="K41" s="52">
        <v>100</v>
      </c>
      <c r="L41" s="52">
        <v>600</v>
      </c>
      <c r="M41" s="125">
        <v>0.5</v>
      </c>
      <c r="N41" s="96">
        <v>0.3</v>
      </c>
      <c r="O41" s="96">
        <v>0.2</v>
      </c>
      <c r="Q41" s="45" t="s">
        <v>229</v>
      </c>
      <c r="R41" s="188">
        <f>K41</f>
        <v>100</v>
      </c>
      <c r="S41" s="153" t="s">
        <v>34</v>
      </c>
      <c r="T41" s="153" t="s">
        <v>34</v>
      </c>
      <c r="U41" s="189">
        <v>0</v>
      </c>
      <c r="V41" s="208">
        <f>AE41</f>
        <v>-4.3269230769230817E-2</v>
      </c>
      <c r="W41" s="123"/>
      <c r="X41" s="153"/>
      <c r="Y41" s="153"/>
      <c r="Z41" s="12"/>
      <c r="AA41" s="123">
        <f>K41</f>
        <v>100</v>
      </c>
      <c r="AB41" s="30">
        <f>L41/K41*M41</f>
        <v>3</v>
      </c>
      <c r="AC41" s="124">
        <f>L41*M41</f>
        <v>300</v>
      </c>
      <c r="AD41" s="124">
        <f>AA41 * (1 + D41) / (1 - G41)</f>
        <v>104.52261306532664</v>
      </c>
      <c r="AE41" s="125">
        <f>(B41 - AD41) / AD41</f>
        <v>-4.3269230769230817E-2</v>
      </c>
      <c r="AF41" s="30"/>
      <c r="AG41" s="123">
        <f>R41</f>
        <v>100</v>
      </c>
      <c r="AH41" s="30">
        <f>L41/K41*N41</f>
        <v>1.7999999999999998</v>
      </c>
      <c r="AI41" s="124">
        <f>L41*M41</f>
        <v>300</v>
      </c>
      <c r="AJ41" s="124">
        <f>AG41 * (1 + E41) / (1 - G41)</f>
        <v>108.5427135678392</v>
      </c>
      <c r="AK41" s="125">
        <f>(B41 - AJ41) / AJ41</f>
        <v>-7.8703703703703748E-2</v>
      </c>
      <c r="AM41" s="123">
        <f>K41</f>
        <v>100</v>
      </c>
      <c r="AN41" s="30">
        <f>L41/K41*O41</f>
        <v>1.2000000000000002</v>
      </c>
      <c r="AO41" s="124">
        <f>L41*O41</f>
        <v>120</v>
      </c>
      <c r="AP41" s="124">
        <f>AM41 * (1 + F41) / (1 - G41)</f>
        <v>116.58291457286431</v>
      </c>
      <c r="AQ41" s="125">
        <f>(B41 - AP41) / AP41</f>
        <v>-0.14224137931034475</v>
      </c>
      <c r="AS41" s="32">
        <f>AB41+AH41+AN41</f>
        <v>6</v>
      </c>
      <c r="AT41" s="32">
        <f>AB41</f>
        <v>3</v>
      </c>
      <c r="AU41" s="32">
        <f>AH41</f>
        <v>1.7999999999999998</v>
      </c>
      <c r="AV41" s="32">
        <f>AN41</f>
        <v>1.2000000000000002</v>
      </c>
    </row>
    <row r="42" spans="1:48" ht="12.75" x14ac:dyDescent="0.2">
      <c r="A42" s="197" t="s">
        <v>235</v>
      </c>
      <c r="B42" s="40">
        <v>104</v>
      </c>
      <c r="C42" s="55">
        <v>0.02</v>
      </c>
      <c r="D42" s="130">
        <v>0.04</v>
      </c>
      <c r="E42" s="126">
        <v>0.08</v>
      </c>
      <c r="F42" s="126">
        <v>0.16</v>
      </c>
      <c r="G42" s="126">
        <v>5.0000000000000001E-3</v>
      </c>
      <c r="H42" s="126"/>
      <c r="I42" s="135"/>
      <c r="J42" s="135"/>
      <c r="K42" s="40"/>
      <c r="L42" s="40"/>
      <c r="M42" s="130"/>
      <c r="N42" s="126"/>
      <c r="O42" s="126"/>
      <c r="P42" s="35"/>
      <c r="Q42" s="47" t="s">
        <v>229</v>
      </c>
      <c r="R42" s="198">
        <f>B42</f>
        <v>104</v>
      </c>
      <c r="S42" s="154" t="s">
        <v>34</v>
      </c>
      <c r="T42" s="154" t="s">
        <v>34</v>
      </c>
      <c r="U42" s="199">
        <v>0</v>
      </c>
      <c r="V42" s="207">
        <f>AE42</f>
        <v>-5.0000000000000469E-3</v>
      </c>
      <c r="W42" s="127"/>
      <c r="X42" s="154"/>
      <c r="Y42" s="154"/>
      <c r="Z42" s="41"/>
      <c r="AA42" s="127">
        <f>AA41</f>
        <v>100</v>
      </c>
      <c r="AB42" s="43">
        <f>AB41</f>
        <v>3</v>
      </c>
      <c r="AC42" s="129">
        <f>AC41</f>
        <v>300</v>
      </c>
      <c r="AD42" s="129">
        <f>AA42 * (1 + D42) / (1 - G42)</f>
        <v>104.52261306532664</v>
      </c>
      <c r="AE42" s="206">
        <f>(B42 - AD42) / AD42</f>
        <v>-5.0000000000000469E-3</v>
      </c>
      <c r="AF42" s="43"/>
      <c r="AG42" s="127">
        <f>AG41</f>
        <v>100</v>
      </c>
      <c r="AH42" s="43">
        <f>AH41</f>
        <v>1.7999999999999998</v>
      </c>
      <c r="AI42" s="129">
        <f>AI41</f>
        <v>300</v>
      </c>
      <c r="AJ42" s="129">
        <f>AG42 * (1 + E42) / (1 - G42)</f>
        <v>108.5427135678392</v>
      </c>
      <c r="AK42" s="130">
        <f>(B42 - AJ42) / AJ42</f>
        <v>-4.185185185185189E-2</v>
      </c>
      <c r="AL42" s="35"/>
      <c r="AM42" s="127">
        <f>AM41</f>
        <v>100</v>
      </c>
      <c r="AN42" s="43">
        <f>AN41</f>
        <v>1.2000000000000002</v>
      </c>
      <c r="AO42" s="129">
        <f>AO41</f>
        <v>120</v>
      </c>
      <c r="AP42" s="129">
        <f>AM42 * (1 + F42) / (1 - G42)</f>
        <v>116.58291457286431</v>
      </c>
      <c r="AQ42" s="130">
        <f>(B42 - AP42) / AP42</f>
        <v>-0.10793103448275854</v>
      </c>
      <c r="AR42" s="35"/>
      <c r="AS42" s="39">
        <f>AB42+AH42+AN42</f>
        <v>6</v>
      </c>
      <c r="AT42" s="39">
        <f>AB42</f>
        <v>3</v>
      </c>
      <c r="AU42" s="39">
        <f>AH42</f>
        <v>1.7999999999999998</v>
      </c>
      <c r="AV42" s="39">
        <f>AN42</f>
        <v>1.2000000000000002</v>
      </c>
    </row>
    <row r="43" spans="1:48" ht="12.75" x14ac:dyDescent="0.2">
      <c r="A43" s="151" t="s">
        <v>236</v>
      </c>
      <c r="B43" s="52">
        <v>104.7</v>
      </c>
      <c r="C43" s="54">
        <v>0.02</v>
      </c>
      <c r="D43" s="125">
        <v>0.04</v>
      </c>
      <c r="E43" s="96">
        <v>0.08</v>
      </c>
      <c r="F43" s="96">
        <v>0.16</v>
      </c>
      <c r="G43" s="96">
        <v>5.0000000000000001E-3</v>
      </c>
      <c r="H43" s="96"/>
      <c r="I43" s="134"/>
      <c r="J43" s="134"/>
      <c r="K43" s="52"/>
      <c r="L43" s="52"/>
      <c r="M43" s="125"/>
      <c r="N43" s="96"/>
      <c r="O43" s="96"/>
      <c r="Q43" s="190" t="s">
        <v>229</v>
      </c>
      <c r="R43" s="200">
        <f>B43</f>
        <v>104.7</v>
      </c>
      <c r="S43" s="201" t="s">
        <v>34</v>
      </c>
      <c r="T43" s="201" t="s">
        <v>34</v>
      </c>
      <c r="U43" s="202">
        <v>0</v>
      </c>
      <c r="V43" s="203">
        <f>AE43</f>
        <v>1.6971153846153646E-3</v>
      </c>
      <c r="W43" s="193"/>
      <c r="X43" s="201"/>
      <c r="Y43" s="201"/>
      <c r="Z43" s="191"/>
      <c r="AA43" s="193">
        <f>AA42</f>
        <v>100</v>
      </c>
      <c r="AB43" s="194">
        <f>AB42</f>
        <v>3</v>
      </c>
      <c r="AC43" s="158">
        <f>AC42</f>
        <v>300</v>
      </c>
      <c r="AD43" s="158">
        <f>AA43 * (1 + D43) / (1 - G43)</f>
        <v>104.52261306532664</v>
      </c>
      <c r="AE43" s="204">
        <f>(B43 - AD43) / AD43</f>
        <v>1.6971153846153646E-3</v>
      </c>
      <c r="AF43" s="194"/>
      <c r="AG43" s="193">
        <f>AG42</f>
        <v>100</v>
      </c>
      <c r="AH43" s="194">
        <f>AH42</f>
        <v>1.7999999999999998</v>
      </c>
      <c r="AI43" s="158">
        <f>AI42</f>
        <v>300</v>
      </c>
      <c r="AJ43" s="158">
        <f>AG43 * (1 + E43) / (1 - G43)</f>
        <v>108.5427135678392</v>
      </c>
      <c r="AK43" s="195">
        <f>(B43 - AJ43) / AJ43</f>
        <v>-3.540277777777779E-2</v>
      </c>
      <c r="AL43" s="192"/>
      <c r="AM43" s="193">
        <f>AM42</f>
        <v>100</v>
      </c>
      <c r="AN43" s="194">
        <f>AN42</f>
        <v>1.2000000000000002</v>
      </c>
      <c r="AO43" s="158">
        <f>AO42</f>
        <v>120</v>
      </c>
      <c r="AP43" s="158">
        <f>AM43 * (1 + F43) / (1 - G43)</f>
        <v>116.58291457286431</v>
      </c>
      <c r="AQ43" s="195">
        <f>(B43 - AP43) / AP43</f>
        <v>-0.10192672413793093</v>
      </c>
      <c r="AR43" s="192"/>
      <c r="AS43" s="196">
        <f>AB43+AH43+AN43</f>
        <v>6</v>
      </c>
      <c r="AT43" s="196">
        <f>AB43</f>
        <v>3</v>
      </c>
      <c r="AU43" s="196">
        <f>AH43</f>
        <v>1.7999999999999998</v>
      </c>
      <c r="AV43" s="196">
        <f>AN43</f>
        <v>1.2000000000000002</v>
      </c>
    </row>
    <row r="44" spans="1:48" ht="12.75" x14ac:dyDescent="0.2">
      <c r="A44" s="197" t="s">
        <v>237</v>
      </c>
      <c r="B44" s="40">
        <v>108.5</v>
      </c>
      <c r="C44" s="55">
        <v>0.02</v>
      </c>
      <c r="D44" s="130">
        <v>0.04</v>
      </c>
      <c r="E44" s="126">
        <v>0.08</v>
      </c>
      <c r="F44" s="126">
        <v>0.16</v>
      </c>
      <c r="G44" s="126">
        <v>5.0000000000000001E-3</v>
      </c>
      <c r="H44" s="126"/>
      <c r="I44" s="135"/>
      <c r="J44" s="135"/>
      <c r="K44" s="40"/>
      <c r="L44" s="40"/>
      <c r="M44" s="130"/>
      <c r="N44" s="126"/>
      <c r="O44" s="126"/>
      <c r="P44" s="35"/>
      <c r="Q44" s="47" t="s">
        <v>229</v>
      </c>
      <c r="R44" s="198">
        <f>B44</f>
        <v>108.5</v>
      </c>
      <c r="S44" s="154" t="s">
        <v>34</v>
      </c>
      <c r="T44" s="154" t="s">
        <v>34</v>
      </c>
      <c r="U44" s="199">
        <v>0</v>
      </c>
      <c r="V44" s="205">
        <f>AE44</f>
        <v>3.8052884615384565E-2</v>
      </c>
      <c r="W44" s="127"/>
      <c r="X44" s="154"/>
      <c r="Y44" s="154"/>
      <c r="Z44" s="41"/>
      <c r="AA44" s="127">
        <f>AA43</f>
        <v>100</v>
      </c>
      <c r="AB44" s="43">
        <f>AB43</f>
        <v>3</v>
      </c>
      <c r="AC44" s="129">
        <f>AC43</f>
        <v>300</v>
      </c>
      <c r="AD44" s="129">
        <f>AA44 * (1 + D44) / (1 - G44)</f>
        <v>104.52261306532664</v>
      </c>
      <c r="AE44" s="157">
        <f>(B44 - AD44) / AD44</f>
        <v>3.8052884615384565E-2</v>
      </c>
      <c r="AF44" s="43"/>
      <c r="AG44" s="127">
        <f>AG43</f>
        <v>100</v>
      </c>
      <c r="AH44" s="43">
        <f>AH43</f>
        <v>1.7999999999999998</v>
      </c>
      <c r="AI44" s="129">
        <f>AI43</f>
        <v>300</v>
      </c>
      <c r="AJ44" s="129">
        <f>AG44 * (1 + E44) / (1 - G44)</f>
        <v>108.5427135678392</v>
      </c>
      <c r="AK44" s="206">
        <f>(B44 - AJ44) / AJ44</f>
        <v>-3.9351851851856059E-4</v>
      </c>
      <c r="AL44" s="35"/>
      <c r="AM44" s="127">
        <f>AM43</f>
        <v>100</v>
      </c>
      <c r="AN44" s="43">
        <f>AN43</f>
        <v>1.2000000000000002</v>
      </c>
      <c r="AO44" s="129">
        <f>AO43</f>
        <v>120</v>
      </c>
      <c r="AP44" s="129">
        <f>AM44 * (1 + F44) / (1 - G44)</f>
        <v>116.58291457286431</v>
      </c>
      <c r="AQ44" s="130">
        <f>(B44 - AP44) / AP44</f>
        <v>-6.9331896551724059E-2</v>
      </c>
      <c r="AR44" s="35"/>
      <c r="AS44" s="39">
        <f>AB44+AH44+AN44</f>
        <v>6</v>
      </c>
      <c r="AT44" s="39">
        <f>AB44</f>
        <v>3</v>
      </c>
      <c r="AU44" s="39">
        <f>AH44</f>
        <v>1.7999999999999998</v>
      </c>
      <c r="AV44" s="39">
        <f>AN44</f>
        <v>1.2000000000000002</v>
      </c>
    </row>
    <row r="45" spans="1:48" ht="12.75" x14ac:dyDescent="0.2">
      <c r="A45" s="151" t="s">
        <v>220</v>
      </c>
      <c r="B45" s="209">
        <v>108.5</v>
      </c>
      <c r="C45" s="62">
        <v>0.02</v>
      </c>
      <c r="D45" s="195">
        <v>0.04</v>
      </c>
      <c r="E45" s="210">
        <v>0.08</v>
      </c>
      <c r="F45" s="210">
        <v>0.16</v>
      </c>
      <c r="G45" s="210">
        <v>5.0000000000000001E-3</v>
      </c>
      <c r="H45" s="96"/>
      <c r="I45" s="45" t="s">
        <v>73</v>
      </c>
      <c r="J45" s="45" t="s">
        <v>221</v>
      </c>
      <c r="K45" s="52">
        <v>108.5</v>
      </c>
      <c r="L45" s="153" t="s">
        <v>34</v>
      </c>
      <c r="M45" s="125">
        <v>1</v>
      </c>
      <c r="N45" s="153" t="s">
        <v>34</v>
      </c>
      <c r="O45" s="153" t="s">
        <v>34</v>
      </c>
      <c r="Q45" s="190" t="s">
        <v>229</v>
      </c>
      <c r="R45" s="200">
        <f>B45</f>
        <v>108.5</v>
      </c>
      <c r="S45" s="201" t="s">
        <v>34</v>
      </c>
      <c r="T45" s="201" t="s">
        <v>34</v>
      </c>
      <c r="U45" s="202">
        <v>0</v>
      </c>
      <c r="V45" s="212">
        <f>AK45</f>
        <v>-3.9351851851856059E-4</v>
      </c>
      <c r="W45" s="193"/>
      <c r="X45" s="201"/>
      <c r="Y45" s="201"/>
      <c r="Z45" s="191"/>
      <c r="AA45" s="213">
        <f>AA44</f>
        <v>100</v>
      </c>
      <c r="AB45" s="214">
        <f>AB44</f>
        <v>3</v>
      </c>
      <c r="AC45" s="215">
        <f>AC44</f>
        <v>300</v>
      </c>
      <c r="AD45" s="215">
        <f>AA45 * (1 + D45) / (1 - G45)</f>
        <v>104.52261306532664</v>
      </c>
      <c r="AE45" s="216">
        <f>(B45 - AD45) / AD45</f>
        <v>3.8052884615384565E-2</v>
      </c>
      <c r="AF45" s="194"/>
      <c r="AG45" s="193">
        <f>AG44</f>
        <v>100</v>
      </c>
      <c r="AH45" s="194">
        <f>AH44</f>
        <v>1.7999999999999998</v>
      </c>
      <c r="AI45" s="158">
        <f>AI44</f>
        <v>300</v>
      </c>
      <c r="AJ45" s="158">
        <f>AG45 * (1 + E45) / (1 - G45)</f>
        <v>108.5427135678392</v>
      </c>
      <c r="AK45" s="211">
        <f>(B45 - AJ45) / AJ45</f>
        <v>-3.9351851851856059E-4</v>
      </c>
      <c r="AL45" s="192"/>
      <c r="AM45" s="193">
        <f>AM44</f>
        <v>100</v>
      </c>
      <c r="AN45" s="194">
        <f>AN44</f>
        <v>1.2000000000000002</v>
      </c>
      <c r="AO45" s="158">
        <f>AO44</f>
        <v>120</v>
      </c>
      <c r="AP45" s="158">
        <f>AM45 * (1 + F45) / (1 - G45)</f>
        <v>116.58291457286431</v>
      </c>
      <c r="AQ45" s="195">
        <f>(B45 - AP45) / AP45</f>
        <v>-6.9331896551724059E-2</v>
      </c>
      <c r="AR45" s="192"/>
      <c r="AS45" s="196">
        <f>AT45+AU45+AV45</f>
        <v>3</v>
      </c>
      <c r="AT45" s="196">
        <v>0</v>
      </c>
      <c r="AU45" s="196">
        <f>AH45</f>
        <v>1.7999999999999998</v>
      </c>
      <c r="AV45" s="196">
        <f>AN45</f>
        <v>1.2000000000000002</v>
      </c>
    </row>
    <row r="46" spans="1:48" ht="12.75" x14ac:dyDescent="0.2">
      <c r="A46" s="151"/>
      <c r="B46" s="52"/>
      <c r="C46" s="54"/>
      <c r="D46" s="125"/>
      <c r="E46" s="96"/>
      <c r="F46" s="96"/>
      <c r="G46" s="96"/>
      <c r="H46" s="96"/>
      <c r="I46" s="134" t="s">
        <v>75</v>
      </c>
      <c r="J46" s="134" t="s">
        <v>78</v>
      </c>
      <c r="K46" s="52">
        <v>100</v>
      </c>
      <c r="L46" s="52">
        <v>600</v>
      </c>
      <c r="M46" s="125">
        <v>0.5</v>
      </c>
      <c r="N46" s="96">
        <v>0.3</v>
      </c>
      <c r="O46" s="96">
        <v>0.2</v>
      </c>
      <c r="Q46" s="45"/>
      <c r="R46" s="45"/>
      <c r="S46" s="132"/>
      <c r="T46" s="123"/>
      <c r="U46" s="30"/>
      <c r="V46" s="123"/>
      <c r="W46" s="123"/>
      <c r="X46" s="153"/>
      <c r="Y46" s="153"/>
      <c r="Z46" s="12"/>
      <c r="AA46" s="123"/>
      <c r="AB46" s="30"/>
      <c r="AC46" s="124"/>
      <c r="AD46" s="124"/>
      <c r="AE46" s="125"/>
      <c r="AF46" s="30"/>
      <c r="AG46" s="123"/>
      <c r="AH46" s="30"/>
      <c r="AI46" s="124"/>
      <c r="AJ46" s="124"/>
      <c r="AK46" s="125"/>
      <c r="AM46" s="123"/>
      <c r="AN46" s="30"/>
      <c r="AO46" s="124"/>
      <c r="AP46" s="124"/>
      <c r="AQ46" s="125"/>
      <c r="AS46" s="32"/>
      <c r="AT46" s="32"/>
      <c r="AU46" s="32"/>
      <c r="AV46" s="32"/>
    </row>
    <row r="47" spans="1:48" ht="12.75" x14ac:dyDescent="0.2">
      <c r="A47" s="151"/>
      <c r="B47" s="33"/>
      <c r="C47" s="67"/>
      <c r="D47" s="125"/>
      <c r="E47" s="96"/>
      <c r="F47" s="96"/>
      <c r="G47" s="96"/>
      <c r="K47" s="93"/>
      <c r="L47" s="93"/>
      <c r="M47" s="125"/>
      <c r="N47" s="96"/>
      <c r="O47" s="96"/>
      <c r="Q47" s="12"/>
      <c r="R47" s="12"/>
      <c r="S47" s="12"/>
      <c r="T47" s="138"/>
      <c r="U47" s="139"/>
      <c r="V47" s="138"/>
      <c r="W47" s="138"/>
      <c r="X47" s="12"/>
      <c r="Y47" s="12"/>
      <c r="Z47" s="12"/>
      <c r="AA47" s="140"/>
      <c r="AB47" s="140"/>
      <c r="AC47" s="140"/>
      <c r="AD47" s="140"/>
      <c r="AE47" s="141"/>
      <c r="AF47" s="141"/>
      <c r="AG47" s="140"/>
      <c r="AH47" s="140"/>
      <c r="AI47" s="140"/>
      <c r="AJ47" s="140"/>
      <c r="AK47" s="141"/>
      <c r="AM47" s="140"/>
      <c r="AN47" s="140"/>
      <c r="AO47" s="140"/>
      <c r="AP47" s="140"/>
      <c r="AQ47" s="141"/>
    </row>
    <row r="48" spans="1:48" ht="140.25" x14ac:dyDescent="0.2">
      <c r="A48" s="151" t="s">
        <v>239</v>
      </c>
      <c r="B48" s="33"/>
      <c r="C48" s="67"/>
      <c r="D48" s="125"/>
      <c r="E48" s="96"/>
      <c r="F48" s="96"/>
      <c r="G48" s="96"/>
      <c r="K48" s="93"/>
      <c r="L48" s="93"/>
      <c r="M48" s="125"/>
      <c r="N48" s="96"/>
      <c r="O48" s="96"/>
      <c r="Q48" s="12"/>
      <c r="R48" s="12"/>
      <c r="S48" s="12"/>
      <c r="T48" s="138"/>
      <c r="U48" s="139"/>
      <c r="V48" s="138"/>
      <c r="W48" s="138"/>
      <c r="X48" s="12"/>
      <c r="Y48" s="12"/>
      <c r="Z48" s="12"/>
      <c r="AA48" s="140"/>
      <c r="AB48" s="140"/>
      <c r="AC48" s="140"/>
      <c r="AD48" s="140"/>
      <c r="AE48" s="141"/>
      <c r="AF48" s="141"/>
      <c r="AG48" s="140"/>
      <c r="AH48" s="140"/>
      <c r="AI48" s="140"/>
      <c r="AJ48" s="140"/>
      <c r="AK48" s="141"/>
      <c r="AM48" s="140"/>
      <c r="AN48" s="140"/>
      <c r="AO48" s="140"/>
      <c r="AP48" s="140"/>
      <c r="AQ48" s="141"/>
    </row>
    <row r="49" spans="1:62" ht="12.75" x14ac:dyDescent="0.2">
      <c r="A49" s="151"/>
      <c r="B49" s="33"/>
      <c r="C49" s="67"/>
      <c r="D49" s="125"/>
      <c r="E49" s="96"/>
      <c r="F49" s="96"/>
      <c r="G49" s="96"/>
      <c r="K49" s="93"/>
      <c r="L49" s="93"/>
      <c r="M49" s="125"/>
      <c r="N49" s="96"/>
      <c r="O49" s="96"/>
      <c r="Q49" s="12"/>
      <c r="R49" s="12"/>
      <c r="S49" s="12"/>
      <c r="T49" s="138"/>
      <c r="U49" s="139"/>
      <c r="V49" s="138"/>
      <c r="W49" s="138"/>
      <c r="X49" s="12"/>
      <c r="Y49" s="12"/>
      <c r="Z49" s="12"/>
      <c r="AA49" s="140"/>
      <c r="AB49" s="140"/>
      <c r="AC49" s="140"/>
      <c r="AD49" s="140"/>
      <c r="AE49" s="141"/>
      <c r="AF49" s="141"/>
      <c r="AG49" s="140"/>
      <c r="AH49" s="140"/>
      <c r="AI49" s="140"/>
      <c r="AJ49" s="140"/>
      <c r="AK49" s="141"/>
      <c r="AM49" s="140"/>
      <c r="AN49" s="140"/>
      <c r="AO49" s="140"/>
      <c r="AP49" s="140"/>
      <c r="AQ49" s="141"/>
    </row>
    <row r="50" spans="1:62" ht="12.75" x14ac:dyDescent="0.2">
      <c r="A50" s="45"/>
      <c r="B50" s="33"/>
      <c r="C50" s="67"/>
      <c r="D50" s="125"/>
      <c r="E50" s="96"/>
      <c r="F50" s="96"/>
      <c r="G50" s="96"/>
      <c r="K50" s="33"/>
      <c r="L50" s="33"/>
      <c r="M50" s="125"/>
      <c r="N50" s="96"/>
      <c r="O50" s="96"/>
      <c r="Q50" s="12"/>
      <c r="R50" s="12"/>
      <c r="S50" s="12"/>
      <c r="T50" s="138"/>
      <c r="U50" s="139"/>
      <c r="V50" s="138"/>
      <c r="W50" s="138"/>
      <c r="X50" s="12"/>
      <c r="Y50" s="12"/>
      <c r="Z50" s="12"/>
      <c r="AA50" s="140"/>
      <c r="AB50" s="140"/>
      <c r="AC50" s="140"/>
      <c r="AD50" s="140"/>
      <c r="AE50" s="141"/>
      <c r="AF50" s="141"/>
      <c r="AG50" s="140"/>
      <c r="AH50" s="140"/>
      <c r="AI50" s="140"/>
      <c r="AJ50" s="140"/>
      <c r="AK50" s="141"/>
      <c r="AM50" s="140"/>
      <c r="AN50" s="140"/>
      <c r="AO50" s="140"/>
      <c r="AP50" s="140"/>
      <c r="AQ50" s="141"/>
    </row>
    <row r="51" spans="1:62" ht="12.75" x14ac:dyDescent="0.2"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3"/>
      <c r="AB51" s="13"/>
      <c r="AC51" s="13"/>
      <c r="AD51" s="13"/>
      <c r="AE51" s="30"/>
      <c r="AF51" s="30"/>
      <c r="AG51" s="13"/>
      <c r="AH51" s="13"/>
      <c r="AI51" s="13"/>
      <c r="AJ51" s="13"/>
      <c r="AK51" s="30"/>
      <c r="AM51" s="13"/>
      <c r="AN51" s="13"/>
      <c r="AO51" s="13"/>
      <c r="AP51" s="13"/>
      <c r="AQ51" s="30"/>
    </row>
    <row r="53" spans="1:62" ht="15.75" customHeight="1" x14ac:dyDescent="0.2">
      <c r="B53" s="186" t="s">
        <v>31</v>
      </c>
      <c r="C53" s="34"/>
      <c r="AA53" s="56" t="s">
        <v>27</v>
      </c>
      <c r="AB53" s="12"/>
      <c r="AC53" s="12"/>
      <c r="AD53" s="12"/>
      <c r="AE53" s="12"/>
      <c r="AF53" s="12"/>
      <c r="AG53" s="56" t="s">
        <v>28</v>
      </c>
      <c r="AH53" s="12"/>
      <c r="AI53" s="12"/>
      <c r="AJ53" s="12"/>
      <c r="AK53" s="12"/>
      <c r="AQ53" s="34" t="s">
        <v>52</v>
      </c>
      <c r="AW53" s="34" t="s">
        <v>53</v>
      </c>
      <c r="BD53" s="34" t="s">
        <v>65</v>
      </c>
    </row>
    <row r="54" spans="1:62" ht="15.75" customHeight="1" x14ac:dyDescent="0.2">
      <c r="B54" s="28" t="s">
        <v>61</v>
      </c>
      <c r="C54" s="28"/>
      <c r="D54" s="28" t="s">
        <v>29</v>
      </c>
      <c r="E54" s="57" t="s">
        <v>63</v>
      </c>
      <c r="F54" s="57" t="s">
        <v>72</v>
      </c>
      <c r="G54" s="57"/>
      <c r="H54" s="102"/>
      <c r="I54" s="102"/>
      <c r="J54" s="102"/>
      <c r="K54" s="102"/>
      <c r="L54" s="102"/>
      <c r="M54" s="102"/>
      <c r="N54" s="102"/>
      <c r="O54" s="102"/>
      <c r="Q54" s="28" t="s">
        <v>3</v>
      </c>
      <c r="R54" s="28"/>
      <c r="S54" s="57" t="s">
        <v>50</v>
      </c>
      <c r="T54" s="57" t="s">
        <v>70</v>
      </c>
      <c r="U54" s="28" t="s">
        <v>1</v>
      </c>
      <c r="V54" s="57" t="s">
        <v>62</v>
      </c>
      <c r="W54" s="57" t="s">
        <v>9</v>
      </c>
      <c r="X54" s="57"/>
      <c r="AA54" s="28" t="s">
        <v>30</v>
      </c>
      <c r="AB54" s="28" t="s">
        <v>1</v>
      </c>
      <c r="AC54" s="57" t="s">
        <v>10</v>
      </c>
      <c r="AD54" s="57"/>
      <c r="AE54" s="57" t="s">
        <v>64</v>
      </c>
      <c r="AF54" s="60"/>
      <c r="AG54" s="28" t="s">
        <v>30</v>
      </c>
      <c r="AH54" s="28" t="s">
        <v>1</v>
      </c>
      <c r="AI54" s="57" t="s">
        <v>10</v>
      </c>
      <c r="AJ54" s="57"/>
      <c r="AK54" s="57" t="s">
        <v>64</v>
      </c>
      <c r="AL54" s="28" t="s">
        <v>58</v>
      </c>
      <c r="AM54" s="28"/>
      <c r="AN54" s="28" t="s">
        <v>59</v>
      </c>
      <c r="AO54" s="28" t="s">
        <v>60</v>
      </c>
      <c r="AQ54" s="61" t="s">
        <v>54</v>
      </c>
      <c r="AR54" s="61" t="s">
        <v>57</v>
      </c>
      <c r="AS54" s="61" t="s">
        <v>55</v>
      </c>
      <c r="AT54" s="61" t="s">
        <v>57</v>
      </c>
      <c r="AU54" s="61" t="s">
        <v>56</v>
      </c>
      <c r="AV54" s="61" t="s">
        <v>57</v>
      </c>
      <c r="AW54" s="28" t="s">
        <v>54</v>
      </c>
      <c r="AX54" s="28" t="s">
        <v>57</v>
      </c>
      <c r="AY54" s="28" t="s">
        <v>55</v>
      </c>
      <c r="AZ54" s="28" t="s">
        <v>57</v>
      </c>
      <c r="BA54" s="28" t="s">
        <v>56</v>
      </c>
      <c r="BB54" s="28" t="s">
        <v>57</v>
      </c>
      <c r="BC54" s="60"/>
      <c r="BD54" s="61" t="s">
        <v>54</v>
      </c>
      <c r="BE54" s="61" t="s">
        <v>57</v>
      </c>
      <c r="BF54" s="61" t="s">
        <v>55</v>
      </c>
      <c r="BG54" s="61" t="s">
        <v>57</v>
      </c>
      <c r="BH54" s="61" t="s">
        <v>66</v>
      </c>
      <c r="BI54" s="61" t="s">
        <v>56</v>
      </c>
      <c r="BJ54" s="61" t="s">
        <v>57</v>
      </c>
    </row>
    <row r="55" spans="1:62" ht="15.75" customHeight="1" x14ac:dyDescent="0.2">
      <c r="B55" s="33">
        <v>100</v>
      </c>
      <c r="C55" s="33"/>
      <c r="D55" s="29">
        <v>0.7</v>
      </c>
      <c r="E55" s="50">
        <v>5</v>
      </c>
      <c r="F55">
        <v>10</v>
      </c>
      <c r="Q55" s="12" t="s">
        <v>32</v>
      </c>
      <c r="R55" s="12"/>
      <c r="S55" s="13"/>
      <c r="T55" s="13"/>
      <c r="U55" s="13">
        <v>200</v>
      </c>
      <c r="V55" s="58" t="e">
        <f>U55/#REF!</f>
        <v>#REF!</v>
      </c>
      <c r="W55" s="58"/>
      <c r="X55" s="58"/>
      <c r="AA55" s="31" t="e">
        <f>#REF!</f>
        <v>#REF!</v>
      </c>
      <c r="AB55" s="31">
        <f>U55*D55</f>
        <v>140</v>
      </c>
      <c r="AC55" s="63" t="e">
        <f>(#REF!+(#REF!*(F55/100)))/(1-#REF!/100)</f>
        <v>#REF!</v>
      </c>
      <c r="AD55" s="63"/>
      <c r="AE55" s="32" t="e">
        <f>AB55/AA55</f>
        <v>#REF!</v>
      </c>
      <c r="AF55" s="32"/>
      <c r="AG55" s="31" t="e">
        <f>#REF!</f>
        <v>#REF!</v>
      </c>
      <c r="AH55" s="31">
        <f>U55*(1-D55)</f>
        <v>60.000000000000007</v>
      </c>
      <c r="AI55" s="63" t="e">
        <f>(#REF!+(#REF!*(F55/100)))/(1-#REF!/100)</f>
        <v>#REF!</v>
      </c>
      <c r="AJ55" s="63"/>
      <c r="AK55" s="32" t="e">
        <f>AH55/AG55</f>
        <v>#REF!</v>
      </c>
      <c r="AL55" s="32" t="e">
        <f>AE55</f>
        <v>#REF!</v>
      </c>
      <c r="AM55" s="32"/>
      <c r="AN55" s="32" t="e">
        <f>AK55</f>
        <v>#REF!</v>
      </c>
      <c r="AO55" s="32" t="e">
        <f>AL55+AN55</f>
        <v>#REF!</v>
      </c>
      <c r="AQ55" s="52">
        <v>0</v>
      </c>
      <c r="AR55" s="50">
        <v>0</v>
      </c>
      <c r="AS55" s="52">
        <v>0</v>
      </c>
      <c r="AT55" s="50">
        <v>0</v>
      </c>
      <c r="AU55" s="52">
        <v>0</v>
      </c>
      <c r="AV55" s="54">
        <v>0</v>
      </c>
      <c r="AW55" s="52">
        <v>0</v>
      </c>
      <c r="AX55" s="50">
        <v>0</v>
      </c>
      <c r="AY55" s="52">
        <v>0</v>
      </c>
      <c r="AZ55" s="50">
        <v>0</v>
      </c>
      <c r="BA55" s="52">
        <v>0</v>
      </c>
      <c r="BB55" s="50">
        <v>0</v>
      </c>
      <c r="BC55" s="50"/>
      <c r="BD55" s="52">
        <v>0</v>
      </c>
      <c r="BE55" s="50">
        <v>0</v>
      </c>
      <c r="BF55" s="52">
        <v>0</v>
      </c>
      <c r="BG55" s="50">
        <v>0</v>
      </c>
      <c r="BH55" s="52">
        <v>0</v>
      </c>
      <c r="BI55" s="52">
        <v>0</v>
      </c>
      <c r="BJ55" s="50">
        <v>0</v>
      </c>
    </row>
    <row r="56" spans="1:62" ht="15.75" customHeight="1" x14ac:dyDescent="0.2">
      <c r="B56" s="36">
        <v>100</v>
      </c>
      <c r="C56" s="36"/>
      <c r="D56" s="37">
        <v>0.7</v>
      </c>
      <c r="E56" s="51">
        <v>5</v>
      </c>
      <c r="F56" s="35">
        <v>10</v>
      </c>
      <c r="G56" s="35"/>
      <c r="Q56" s="41" t="s">
        <v>51</v>
      </c>
      <c r="R56" s="41"/>
      <c r="S56" s="42">
        <v>20</v>
      </c>
      <c r="T56" s="42"/>
      <c r="U56" s="42"/>
      <c r="V56" s="59"/>
      <c r="W56" s="59"/>
      <c r="X56" s="59"/>
      <c r="AA56" s="38"/>
      <c r="AB56" s="38"/>
      <c r="AC56" s="65"/>
      <c r="AD56" s="65"/>
      <c r="AE56" s="39"/>
      <c r="AF56" s="32"/>
      <c r="AG56" s="38"/>
      <c r="AH56" s="38"/>
      <c r="AI56" s="38"/>
      <c r="AJ56" s="38"/>
      <c r="AK56" s="39"/>
      <c r="AL56" s="39" t="e">
        <f t="shared" ref="AL56:AO56" si="9">AL55</f>
        <v>#REF!</v>
      </c>
      <c r="AM56" s="39"/>
      <c r="AN56" s="39" t="e">
        <f t="shared" si="9"/>
        <v>#REF!</v>
      </c>
      <c r="AO56" s="39" t="e">
        <f t="shared" si="9"/>
        <v>#REF!</v>
      </c>
      <c r="AQ56" s="40">
        <f>AQ55</f>
        <v>0</v>
      </c>
      <c r="AR56" s="51">
        <f t="shared" ref="AR56:AT56" si="10">AR55</f>
        <v>0</v>
      </c>
      <c r="AS56" s="40">
        <f t="shared" si="10"/>
        <v>0</v>
      </c>
      <c r="AT56" s="51">
        <f t="shared" si="10"/>
        <v>0</v>
      </c>
      <c r="AU56" s="40">
        <f>AU55</f>
        <v>0</v>
      </c>
      <c r="AV56" s="55">
        <f>AU56/U55</f>
        <v>0</v>
      </c>
      <c r="AW56" s="40">
        <f>AW55</f>
        <v>0</v>
      </c>
      <c r="AX56" s="51">
        <f t="shared" ref="AX56" si="11">AX55</f>
        <v>0</v>
      </c>
      <c r="AY56" s="40">
        <f t="shared" ref="AY56" si="12">AY55</f>
        <v>0</v>
      </c>
      <c r="AZ56" s="51">
        <f t="shared" ref="AZ56" si="13">AZ55</f>
        <v>0</v>
      </c>
      <c r="BA56" s="40">
        <f>BA55</f>
        <v>0</v>
      </c>
      <c r="BB56" s="51">
        <f t="shared" ref="BB56" si="14">BB55</f>
        <v>0</v>
      </c>
      <c r="BC56" s="50"/>
      <c r="BD56" s="40">
        <f>AQ56+AW56</f>
        <v>0</v>
      </c>
      <c r="BE56" s="51">
        <f t="shared" ref="BE56" si="15">BE55</f>
        <v>0</v>
      </c>
      <c r="BF56" s="40">
        <f t="shared" ref="BF56" si="16">BF55</f>
        <v>0</v>
      </c>
      <c r="BG56" s="51">
        <f t="shared" ref="BG56" si="17">BG55</f>
        <v>0</v>
      </c>
      <c r="BH56" s="65">
        <f>S56</f>
        <v>20</v>
      </c>
      <c r="BI56" s="65">
        <f>BD56+BF56+BH56</f>
        <v>20</v>
      </c>
      <c r="BJ56" s="55">
        <f>BI56/(AB55+AH55)</f>
        <v>0.1</v>
      </c>
    </row>
    <row r="57" spans="1:62" ht="15.75" customHeight="1" x14ac:dyDescent="0.2">
      <c r="B57" s="33">
        <v>300</v>
      </c>
      <c r="C57" s="33"/>
      <c r="D57" s="29">
        <v>0.7</v>
      </c>
      <c r="E57" s="50">
        <v>5</v>
      </c>
      <c r="F57">
        <v>10</v>
      </c>
      <c r="Q57" t="s">
        <v>33</v>
      </c>
      <c r="S57" s="33"/>
      <c r="T57" s="33"/>
      <c r="U57" s="33">
        <v>400</v>
      </c>
      <c r="V57" s="50" t="e">
        <f>U57/#REF!</f>
        <v>#REF!</v>
      </c>
      <c r="W57" s="50"/>
      <c r="X57" s="50"/>
      <c r="AA57" s="31" t="e">
        <f>AA55</f>
        <v>#REF!</v>
      </c>
      <c r="AB57" s="31">
        <v>140</v>
      </c>
      <c r="AC57" s="63" t="e">
        <f>(#REF!+(#REF!*(F55/100)))/(1-#REF!/100)</f>
        <v>#REF!</v>
      </c>
      <c r="AD57" s="63"/>
      <c r="AE57" s="32">
        <v>1.4</v>
      </c>
      <c r="AF57" s="32"/>
      <c r="AG57" s="31">
        <v>100</v>
      </c>
      <c r="AH57" s="31">
        <v>60.000000000000007</v>
      </c>
      <c r="AI57" s="63" t="e">
        <f>(#REF!+(#REF!*(F55/100)))/(1-#REF!/100)</f>
        <v>#REF!</v>
      </c>
      <c r="AJ57" s="63"/>
      <c r="AK57" s="32">
        <v>0.60000000000000009</v>
      </c>
      <c r="AL57" s="32" t="e">
        <f>AL56+AE58</f>
        <v>#REF!</v>
      </c>
      <c r="AM57" s="32"/>
      <c r="AN57" s="32" t="e">
        <f>AN56</f>
        <v>#REF!</v>
      </c>
      <c r="AO57" s="32" t="e">
        <f>AL57+AN57</f>
        <v>#REF!</v>
      </c>
      <c r="AQ57" s="52">
        <f>AQ56</f>
        <v>0</v>
      </c>
      <c r="AR57" s="50">
        <f>AR56</f>
        <v>0</v>
      </c>
      <c r="AS57" s="52">
        <f>AS56</f>
        <v>0</v>
      </c>
      <c r="AT57" s="50">
        <f>AT56</f>
        <v>0</v>
      </c>
      <c r="AU57" s="52">
        <f>AU56</f>
        <v>0</v>
      </c>
      <c r="AV57" s="64">
        <f>AU57 / (U55+U57)</f>
        <v>0</v>
      </c>
      <c r="AW57" s="52" t="e">
        <f>(B57*AL57)-(AB57+AB58)</f>
        <v>#REF!</v>
      </c>
      <c r="AX57" s="54" t="e">
        <f>AW57/(AB57+AB58)</f>
        <v>#REF!</v>
      </c>
      <c r="AY57" s="52" t="e">
        <f>(AN57*B57)-AH57</f>
        <v>#REF!</v>
      </c>
      <c r="AZ57" s="53" t="e">
        <f>AY57/(AG57*AK57)</f>
        <v>#REF!</v>
      </c>
      <c r="BA57" s="52" t="e">
        <f>AW57+AY57</f>
        <v>#REF!</v>
      </c>
      <c r="BB57" s="62" t="e">
        <f>BA57/(AB57+AB58+AH57)</f>
        <v>#REF!</v>
      </c>
      <c r="BC57" s="62"/>
      <c r="BD57" s="52" t="e">
        <f>AQ57+AW57</f>
        <v>#REF!</v>
      </c>
      <c r="BE57" s="54" t="e">
        <f>AX57</f>
        <v>#REF!</v>
      </c>
      <c r="BF57" s="52" t="e">
        <f>AS57+AY57</f>
        <v>#REF!</v>
      </c>
      <c r="BG57" s="53" t="e">
        <f>BF57/AH57</f>
        <v>#REF!</v>
      </c>
      <c r="BH57" s="63">
        <f>BH56</f>
        <v>20</v>
      </c>
      <c r="BI57" s="52" t="e">
        <f>BD57+BF57+BH57</f>
        <v>#REF!</v>
      </c>
      <c r="BJ57" s="54" t="e">
        <f>BI57/(AB57+AB58+AH57)</f>
        <v>#REF!</v>
      </c>
    </row>
    <row r="58" spans="1:62" ht="15.75" customHeight="1" x14ac:dyDescent="0.2">
      <c r="E58" s="50"/>
      <c r="V58" s="50"/>
      <c r="W58" s="50"/>
      <c r="X58" s="50"/>
      <c r="AA58" s="31" t="e">
        <f>#REF!</f>
        <v>#REF!</v>
      </c>
      <c r="AB58" s="31">
        <f>U57</f>
        <v>400</v>
      </c>
      <c r="AC58" s="63" t="e">
        <f>(#REF!+(#REF!*(F57/100)))/(1-#REF!/100)</f>
        <v>#REF!</v>
      </c>
      <c r="AD58" s="63"/>
      <c r="AE58" s="32" t="e">
        <f>AB58/AA58</f>
        <v>#REF!</v>
      </c>
      <c r="AF58" s="32"/>
      <c r="AG58" s="49" t="s">
        <v>34</v>
      </c>
      <c r="AH58" s="49" t="s">
        <v>34</v>
      </c>
      <c r="AI58" s="49" t="s">
        <v>34</v>
      </c>
      <c r="AJ58" s="49"/>
      <c r="AK58" s="49" t="s">
        <v>34</v>
      </c>
      <c r="AR58" s="50"/>
      <c r="AT58" s="50"/>
      <c r="AV58" s="54"/>
      <c r="AW58" s="31"/>
      <c r="AX58" s="54"/>
      <c r="AZ58" s="50"/>
      <c r="BB58" s="50"/>
      <c r="BC58" s="50"/>
      <c r="BE58" s="50"/>
      <c r="BG58" s="50"/>
      <c r="BH58" s="63"/>
      <c r="BJ58" s="50"/>
    </row>
    <row r="59" spans="1:62" ht="15.75" customHeight="1" x14ac:dyDescent="0.2">
      <c r="B59" s="36">
        <v>910</v>
      </c>
      <c r="C59" s="36"/>
      <c r="D59" s="37">
        <v>0.7</v>
      </c>
      <c r="E59" s="51">
        <v>5</v>
      </c>
      <c r="F59" s="35">
        <v>10</v>
      </c>
      <c r="G59" s="35"/>
      <c r="Q59" s="35" t="s">
        <v>35</v>
      </c>
      <c r="R59" s="35"/>
      <c r="S59" s="36"/>
      <c r="T59" s="36"/>
      <c r="U59" s="36">
        <v>350</v>
      </c>
      <c r="V59" s="51" t="e">
        <f>U59/#REF!</f>
        <v>#REF!</v>
      </c>
      <c r="W59" s="51"/>
      <c r="X59" s="51"/>
      <c r="AA59" s="38" t="e">
        <f>AA57</f>
        <v>#REF!</v>
      </c>
      <c r="AB59" s="38">
        <v>140</v>
      </c>
      <c r="AC59" s="65" t="e">
        <f>AC57</f>
        <v>#REF!</v>
      </c>
      <c r="AD59" s="65"/>
      <c r="AE59" s="39">
        <v>1.4</v>
      </c>
      <c r="AF59" s="32"/>
      <c r="AG59" s="38">
        <v>100</v>
      </c>
      <c r="AH59" s="38">
        <v>60.000000000000007</v>
      </c>
      <c r="AI59" s="65" t="e">
        <f>AI57</f>
        <v>#REF!</v>
      </c>
      <c r="AJ59" s="65"/>
      <c r="AK59" s="39">
        <v>0.60000000000000009</v>
      </c>
      <c r="AL59" s="39" t="e">
        <f>AL57</f>
        <v>#REF!</v>
      </c>
      <c r="AM59" s="39"/>
      <c r="AN59" s="39" t="e">
        <f>AN57+AK60</f>
        <v>#REF!</v>
      </c>
      <c r="AO59" s="39" t="e">
        <f>AL59+AN59</f>
        <v>#REF!</v>
      </c>
      <c r="AQ59" s="40">
        <f t="shared" ref="AQ59:AV59" si="18">AQ57</f>
        <v>0</v>
      </c>
      <c r="AR59" s="51">
        <f t="shared" si="18"/>
        <v>0</v>
      </c>
      <c r="AS59" s="40">
        <f t="shared" si="18"/>
        <v>0</v>
      </c>
      <c r="AT59" s="51">
        <f t="shared" si="18"/>
        <v>0</v>
      </c>
      <c r="AU59" s="40">
        <f t="shared" si="18"/>
        <v>0</v>
      </c>
      <c r="AV59" s="55">
        <f t="shared" si="18"/>
        <v>0</v>
      </c>
      <c r="AW59" s="40" t="e">
        <f>(B59*AL59)-(AB59+AB60)</f>
        <v>#REF!</v>
      </c>
      <c r="AX59" s="55" t="e">
        <f>AW59/(AB59+AB60)</f>
        <v>#REF!</v>
      </c>
      <c r="AY59" s="40" t="e">
        <f>(AN59*B59)-(AH59+AH60)</f>
        <v>#REF!</v>
      </c>
      <c r="AZ59" s="55" t="e">
        <f>AY59/(AH59+AH60)</f>
        <v>#REF!</v>
      </c>
      <c r="BA59" s="40" t="e">
        <f>AW59+AY59</f>
        <v>#REF!</v>
      </c>
      <c r="BB59" s="55" t="e">
        <f>BA59/(AB59+AB60+AH59+AH60)</f>
        <v>#REF!</v>
      </c>
      <c r="BC59" s="50"/>
      <c r="BD59" s="40" t="e">
        <f>AQ59+AW59</f>
        <v>#REF!</v>
      </c>
      <c r="BE59" s="55" t="e">
        <f>AX59</f>
        <v>#REF!</v>
      </c>
      <c r="BF59" s="40" t="e">
        <f>AS59+AY59</f>
        <v>#REF!</v>
      </c>
      <c r="BG59" s="55" t="e">
        <f>BF59/(AH59+AH60)</f>
        <v>#REF!</v>
      </c>
      <c r="BH59" s="65">
        <f>BH57</f>
        <v>20</v>
      </c>
      <c r="BI59" s="40" t="e">
        <f>BD59+BF59+BH59</f>
        <v>#REF!</v>
      </c>
      <c r="BJ59" s="55" t="e">
        <f>BI59/(AB59+AB60+AH59+AH60)</f>
        <v>#REF!</v>
      </c>
    </row>
    <row r="60" spans="1:62" ht="15.75" customHeight="1" x14ac:dyDescent="0.2">
      <c r="B60" s="35"/>
      <c r="C60" s="35"/>
      <c r="D60" s="35"/>
      <c r="E60" s="51"/>
      <c r="F60" s="35"/>
      <c r="G60" s="35"/>
      <c r="Q60" s="35"/>
      <c r="R60" s="35"/>
      <c r="S60" s="35"/>
      <c r="T60" s="35"/>
      <c r="U60" s="35"/>
      <c r="V60" s="51"/>
      <c r="W60" s="51"/>
      <c r="X60" s="51"/>
      <c r="AA60" s="38" t="e">
        <f>AA58</f>
        <v>#REF!</v>
      </c>
      <c r="AB60" s="38">
        <v>400</v>
      </c>
      <c r="AC60" s="65" t="e">
        <f>AC58</f>
        <v>#REF!</v>
      </c>
      <c r="AD60" s="65"/>
      <c r="AE60" s="39">
        <v>1.6</v>
      </c>
      <c r="AF60" s="32"/>
      <c r="AG60" s="36" t="e">
        <f>#REF!</f>
        <v>#REF!</v>
      </c>
      <c r="AH60" s="36">
        <f>U59</f>
        <v>350</v>
      </c>
      <c r="AI60" s="65" t="e">
        <f>(#REF!+(#REF!*(F59/100)))/(1-#REF!/100)</f>
        <v>#REF!</v>
      </c>
      <c r="AJ60" s="65"/>
      <c r="AK60" s="39" t="e">
        <f>AH60/AG60</f>
        <v>#REF!</v>
      </c>
      <c r="AR60" s="50"/>
      <c r="AT60" s="50"/>
      <c r="AV60" s="50"/>
      <c r="AX60" s="50"/>
      <c r="AZ60" s="50"/>
      <c r="BB60" s="50"/>
      <c r="BC60" s="50"/>
      <c r="BE60" s="50"/>
      <c r="BG60" s="50"/>
      <c r="BH60" s="63"/>
      <c r="BJ60" s="50"/>
    </row>
    <row r="61" spans="1:62" ht="15.75" customHeight="1" x14ac:dyDescent="0.2">
      <c r="B61" s="33">
        <v>910</v>
      </c>
      <c r="C61" s="33"/>
      <c r="D61" s="29">
        <v>0.7</v>
      </c>
      <c r="E61" s="50">
        <v>5</v>
      </c>
      <c r="F61">
        <v>10</v>
      </c>
      <c r="Q61" t="s">
        <v>49</v>
      </c>
      <c r="S61" s="33">
        <v>10</v>
      </c>
      <c r="T61" s="33"/>
      <c r="V61" s="50"/>
      <c r="W61" s="50"/>
      <c r="X61" s="50"/>
      <c r="AA61" s="31"/>
      <c r="AB61" s="31"/>
      <c r="AC61" s="31"/>
      <c r="AD61" s="31"/>
      <c r="AE61" s="31"/>
      <c r="AF61" s="31"/>
      <c r="AG61" s="33"/>
      <c r="AH61" s="33"/>
      <c r="AI61" s="31"/>
      <c r="AJ61" s="31"/>
      <c r="AK61" s="32"/>
      <c r="AL61" s="32" t="e">
        <f>AL59</f>
        <v>#REF!</v>
      </c>
      <c r="AM61" s="32"/>
      <c r="AN61" s="32" t="e">
        <f>AN59+AK62</f>
        <v>#REF!</v>
      </c>
      <c r="AO61" s="32" t="e">
        <f>AL61+AN61</f>
        <v>#REF!</v>
      </c>
      <c r="AQ61" s="52">
        <f t="shared" ref="AQ61:AV62" si="19">AQ59</f>
        <v>0</v>
      </c>
      <c r="AR61" s="50">
        <f t="shared" si="19"/>
        <v>0</v>
      </c>
      <c r="AS61" s="52">
        <f t="shared" si="19"/>
        <v>0</v>
      </c>
      <c r="AT61" s="50">
        <f t="shared" si="19"/>
        <v>0</v>
      </c>
      <c r="AU61" s="52">
        <f t="shared" si="19"/>
        <v>0</v>
      </c>
      <c r="AV61" s="62">
        <f t="shared" si="19"/>
        <v>0</v>
      </c>
      <c r="AW61" s="52" t="e">
        <f t="shared" ref="AW61:BB61" si="20">AW59</f>
        <v>#REF!</v>
      </c>
      <c r="AX61" s="62" t="e">
        <f t="shared" si="20"/>
        <v>#REF!</v>
      </c>
      <c r="AY61" s="52" t="e">
        <f t="shared" si="20"/>
        <v>#REF!</v>
      </c>
      <c r="AZ61" s="62" t="e">
        <f t="shared" si="20"/>
        <v>#REF!</v>
      </c>
      <c r="BA61" s="52" t="e">
        <f t="shared" si="20"/>
        <v>#REF!</v>
      </c>
      <c r="BB61" s="62" t="e">
        <f t="shared" si="20"/>
        <v>#REF!</v>
      </c>
      <c r="BC61" s="50"/>
      <c r="BD61" s="52" t="e">
        <f>BD59</f>
        <v>#REF!</v>
      </c>
      <c r="BE61" s="62" t="e">
        <f>BE59</f>
        <v>#REF!</v>
      </c>
      <c r="BF61" s="52" t="e">
        <f>BF59</f>
        <v>#REF!</v>
      </c>
      <c r="BG61" s="62" t="e">
        <f>BG59</f>
        <v>#REF!</v>
      </c>
      <c r="BH61" s="63">
        <f>BH59+S61</f>
        <v>30</v>
      </c>
      <c r="BI61" s="52" t="e">
        <f>BD61+BF61+BH61</f>
        <v>#REF!</v>
      </c>
      <c r="BJ61" s="62" t="e">
        <f>BI61/(AB59+AB60+AH59+AH60)</f>
        <v>#REF!</v>
      </c>
    </row>
    <row r="62" spans="1:62" ht="15.75" customHeight="1" x14ac:dyDescent="0.2">
      <c r="B62" s="36">
        <v>510</v>
      </c>
      <c r="C62" s="36"/>
      <c r="D62" s="37">
        <v>0.7</v>
      </c>
      <c r="E62" s="51">
        <v>5</v>
      </c>
      <c r="F62" s="35">
        <v>10</v>
      </c>
      <c r="G62" s="35"/>
      <c r="Q62" s="35" t="s">
        <v>36</v>
      </c>
      <c r="R62" s="35"/>
      <c r="S62" s="40"/>
      <c r="T62" s="40"/>
      <c r="U62" s="36">
        <v>100</v>
      </c>
      <c r="V62" s="51" t="e">
        <f>U62/#REF!</f>
        <v>#REF!</v>
      </c>
      <c r="W62" s="51"/>
      <c r="X62" s="51"/>
      <c r="AA62" s="38">
        <v>100</v>
      </c>
      <c r="AB62" s="38">
        <v>140</v>
      </c>
      <c r="AC62" s="38" t="e">
        <f>AC59</f>
        <v>#REF!</v>
      </c>
      <c r="AD62" s="38"/>
      <c r="AE62" s="39">
        <v>1.4</v>
      </c>
      <c r="AF62" s="32"/>
      <c r="AG62" s="38">
        <v>100</v>
      </c>
      <c r="AH62" s="38">
        <v>60.000000000000007</v>
      </c>
      <c r="AI62" s="38" t="e">
        <f>AI59</f>
        <v>#REF!</v>
      </c>
      <c r="AJ62" s="38"/>
      <c r="AK62" s="39">
        <v>0.60000000000000009</v>
      </c>
      <c r="AL62" s="39" t="e">
        <f>AE62+AE63+AE64</f>
        <v>#REF!</v>
      </c>
      <c r="AM62" s="39"/>
      <c r="AN62" s="39" t="e">
        <f>AK62+AK63+AK64</f>
        <v>#REF!</v>
      </c>
      <c r="AO62" s="39" t="e">
        <f>AL62+AN62</f>
        <v>#REF!</v>
      </c>
      <c r="AQ62" s="40">
        <f t="shared" si="19"/>
        <v>0</v>
      </c>
      <c r="AR62" s="51">
        <f t="shared" si="19"/>
        <v>0</v>
      </c>
      <c r="AS62" s="40">
        <f t="shared" si="19"/>
        <v>0</v>
      </c>
      <c r="AT62" s="51">
        <f t="shared" si="19"/>
        <v>0</v>
      </c>
      <c r="AU62" s="40">
        <f t="shared" si="19"/>
        <v>0</v>
      </c>
      <c r="AV62" s="55">
        <f t="shared" si="19"/>
        <v>0</v>
      </c>
      <c r="AW62" s="40" t="e">
        <f>(B62*AL62)-(AB62+AB63+AB64)</f>
        <v>#REF!</v>
      </c>
      <c r="AX62" s="55" t="e">
        <f>AW62/(AB62+AB63+AB64)</f>
        <v>#REF!</v>
      </c>
      <c r="AY62" s="40" t="e">
        <f>(AN62*B62)-(AH62+AH63+AH64)</f>
        <v>#REF!</v>
      </c>
      <c r="AZ62" s="55" t="e">
        <f>AY62/(AH62+AH63+AH64)</f>
        <v>#REF!</v>
      </c>
      <c r="BA62" s="40" t="e">
        <f>AW62+AY62</f>
        <v>#REF!</v>
      </c>
      <c r="BB62" s="55" t="e">
        <f>BA62/(AB62+AB63+AB64+AH62+AH63+AH64)</f>
        <v>#REF!</v>
      </c>
      <c r="BC62" s="50"/>
      <c r="BD62" s="40" t="e">
        <f>AQ62+AW62</f>
        <v>#REF!</v>
      </c>
      <c r="BE62" s="55" t="e">
        <f>AX62</f>
        <v>#REF!</v>
      </c>
      <c r="BF62" s="40" t="e">
        <f>AS62+AY62</f>
        <v>#REF!</v>
      </c>
      <c r="BG62" s="55" t="e">
        <f>BF62/(AH62+AH63+AH64)</f>
        <v>#REF!</v>
      </c>
      <c r="BH62" s="65">
        <f>BH61</f>
        <v>30</v>
      </c>
      <c r="BI62" s="40" t="e">
        <f>BD62+BF62+BH62</f>
        <v>#REF!</v>
      </c>
      <c r="BJ62" s="55" t="e">
        <f>BI62/(AB62+AB63+AB64+AH62+AH63+AH64)</f>
        <v>#REF!</v>
      </c>
    </row>
    <row r="63" spans="1:62" ht="15.75" customHeight="1" x14ac:dyDescent="0.2">
      <c r="B63" s="35"/>
      <c r="C63" s="35"/>
      <c r="D63" s="35"/>
      <c r="E63" s="51"/>
      <c r="F63" s="35"/>
      <c r="G63" s="35"/>
      <c r="Q63" s="35"/>
      <c r="R63" s="35"/>
      <c r="S63" s="35"/>
      <c r="T63" s="35"/>
      <c r="U63" s="35"/>
      <c r="V63" s="51"/>
      <c r="W63" s="51"/>
      <c r="X63" s="51"/>
      <c r="AA63" s="38">
        <v>250</v>
      </c>
      <c r="AB63" s="38">
        <v>400</v>
      </c>
      <c r="AC63" s="38" t="e">
        <f>AC60</f>
        <v>#REF!</v>
      </c>
      <c r="AD63" s="38"/>
      <c r="AE63" s="39">
        <v>1.6</v>
      </c>
      <c r="AF63" s="32"/>
      <c r="AG63" s="36">
        <v>900</v>
      </c>
      <c r="AH63" s="36">
        <v>350</v>
      </c>
      <c r="AI63" s="38" t="e">
        <f>AI60</f>
        <v>#REF!</v>
      </c>
      <c r="AJ63" s="38"/>
      <c r="AK63" s="39">
        <v>0.3888888888888889</v>
      </c>
      <c r="AL63" s="35"/>
      <c r="AM63" s="35"/>
      <c r="AN63" s="35"/>
      <c r="AO63" s="35"/>
      <c r="AQ63" s="35"/>
      <c r="AR63" s="51"/>
      <c r="AS63" s="35"/>
      <c r="AT63" s="51"/>
      <c r="AU63" s="35"/>
      <c r="AV63" s="51"/>
      <c r="AW63" s="35"/>
      <c r="AX63" s="51"/>
      <c r="AY63" s="35"/>
      <c r="AZ63" s="51"/>
      <c r="BA63" s="35"/>
      <c r="BB63" s="51"/>
      <c r="BC63" s="50"/>
      <c r="BD63" s="35"/>
      <c r="BE63" s="51"/>
      <c r="BF63" s="35"/>
      <c r="BG63" s="51"/>
      <c r="BH63" s="35"/>
      <c r="BI63" s="35"/>
      <c r="BJ63" s="51"/>
    </row>
    <row r="64" spans="1:62" ht="15.75" customHeight="1" x14ac:dyDescent="0.2">
      <c r="B64" s="35"/>
      <c r="C64" s="35"/>
      <c r="D64" s="35"/>
      <c r="E64" s="51"/>
      <c r="F64" s="35"/>
      <c r="G64" s="35"/>
      <c r="Q64" s="35"/>
      <c r="R64" s="35"/>
      <c r="S64" s="35"/>
      <c r="T64" s="35"/>
      <c r="U64" s="35"/>
      <c r="V64" s="51"/>
      <c r="W64" s="51"/>
      <c r="X64" s="51"/>
      <c r="AA64" s="40" t="e">
        <f>#REF!</f>
        <v>#REF!</v>
      </c>
      <c r="AB64" s="36">
        <f>U62*D62</f>
        <v>70</v>
      </c>
      <c r="AC64" s="65" t="e">
        <f>(#REF!+(#REF!*(F62/100)))/(1-#REF!/100)</f>
        <v>#REF!</v>
      </c>
      <c r="AD64" s="65"/>
      <c r="AE64" s="39" t="e">
        <f>AB64/AA64</f>
        <v>#REF!</v>
      </c>
      <c r="AF64" s="31"/>
      <c r="AG64" s="40" t="e">
        <f>#REF!</f>
        <v>#REF!</v>
      </c>
      <c r="AH64" s="36">
        <f>U62*(1-D62)</f>
        <v>30.000000000000004</v>
      </c>
      <c r="AI64" s="65" t="e">
        <f>(#REF!+(#REF!*(F62/100)))/(1-#REF!/100)</f>
        <v>#REF!</v>
      </c>
      <c r="AJ64" s="65"/>
      <c r="AK64" s="39" t="e">
        <f>AH64/AG64</f>
        <v>#REF!</v>
      </c>
      <c r="AL64" s="35"/>
      <c r="AM64" s="35"/>
      <c r="AN64" s="35"/>
      <c r="AO64" s="35"/>
      <c r="AQ64" s="35"/>
      <c r="AR64" s="51"/>
      <c r="AS64" s="35"/>
      <c r="AT64" s="51"/>
      <c r="AU64" s="35"/>
      <c r="AV64" s="51"/>
      <c r="AW64" s="35"/>
      <c r="AX64" s="51"/>
      <c r="AY64" s="35"/>
      <c r="AZ64" s="51"/>
      <c r="BA64" s="35"/>
      <c r="BB64" s="51"/>
      <c r="BC64" s="50"/>
      <c r="BD64" s="35"/>
      <c r="BE64" s="51"/>
      <c r="BF64" s="35"/>
      <c r="BG64" s="51"/>
      <c r="BH64" s="35"/>
      <c r="BI64" s="35"/>
      <c r="BJ64" s="51"/>
    </row>
    <row r="65" spans="2:62" ht="15.75" customHeight="1" x14ac:dyDescent="0.2">
      <c r="E65" s="50"/>
      <c r="V65" s="50"/>
      <c r="W65" s="50"/>
      <c r="X65" s="50"/>
      <c r="AA65" s="52"/>
      <c r="AB65" s="33"/>
      <c r="AC65" s="33"/>
      <c r="AD65" s="33"/>
      <c r="AE65" s="32"/>
      <c r="AF65" s="31"/>
      <c r="AG65" s="52"/>
      <c r="AH65" s="33"/>
      <c r="AI65" s="33"/>
      <c r="AJ65" s="33"/>
      <c r="AK65" s="32"/>
      <c r="AR65" s="50"/>
      <c r="AT65" s="50"/>
      <c r="AV65" s="50"/>
      <c r="AX65" s="50"/>
      <c r="AZ65" s="50"/>
      <c r="BB65" s="50"/>
      <c r="BC65" s="50"/>
      <c r="BE65" s="50"/>
      <c r="BG65" s="50"/>
      <c r="BJ65" s="50"/>
    </row>
    <row r="66" spans="2:62" ht="15.75" customHeight="1" x14ac:dyDescent="0.2">
      <c r="B66" s="186" t="s">
        <v>67</v>
      </c>
      <c r="C66" s="34"/>
      <c r="AA66" s="56" t="s">
        <v>27</v>
      </c>
      <c r="AB66" s="12"/>
      <c r="AC66" s="12"/>
      <c r="AD66" s="12"/>
      <c r="AE66" s="12"/>
      <c r="AF66" s="12"/>
      <c r="AG66" s="56" t="s">
        <v>28</v>
      </c>
      <c r="AH66" s="12"/>
      <c r="AI66" s="12"/>
      <c r="AJ66" s="12"/>
      <c r="AK66" s="12"/>
      <c r="AQ66" s="34" t="s">
        <v>52</v>
      </c>
      <c r="AW66" s="34" t="s">
        <v>53</v>
      </c>
      <c r="BD66" s="34" t="s">
        <v>65</v>
      </c>
    </row>
    <row r="67" spans="2:62" ht="15.75" customHeight="1" x14ac:dyDescent="0.2">
      <c r="B67" s="28" t="s">
        <v>61</v>
      </c>
      <c r="C67" s="28"/>
      <c r="D67" s="28" t="s">
        <v>29</v>
      </c>
      <c r="E67" s="57" t="s">
        <v>63</v>
      </c>
      <c r="F67" s="57" t="s">
        <v>72</v>
      </c>
      <c r="G67" s="57"/>
      <c r="H67" s="102"/>
      <c r="I67" s="102"/>
      <c r="J67" s="102"/>
      <c r="K67" s="102"/>
      <c r="L67" s="102"/>
      <c r="M67" s="102"/>
      <c r="N67" s="102"/>
      <c r="O67" s="102"/>
      <c r="Q67" s="28" t="s">
        <v>3</v>
      </c>
      <c r="R67" s="28"/>
      <c r="S67" s="57" t="s">
        <v>50</v>
      </c>
      <c r="T67" s="57" t="s">
        <v>70</v>
      </c>
      <c r="U67" s="28" t="s">
        <v>1</v>
      </c>
      <c r="V67" s="57" t="s">
        <v>62</v>
      </c>
      <c r="W67" s="57" t="s">
        <v>9</v>
      </c>
      <c r="X67" s="57"/>
      <c r="AA67" s="28" t="s">
        <v>30</v>
      </c>
      <c r="AB67" s="28" t="s">
        <v>1</v>
      </c>
      <c r="AC67" s="57" t="s">
        <v>10</v>
      </c>
      <c r="AD67" s="57"/>
      <c r="AE67" s="57" t="s">
        <v>64</v>
      </c>
      <c r="AF67" s="60"/>
      <c r="AG67" s="28" t="s">
        <v>30</v>
      </c>
      <c r="AH67" s="28" t="s">
        <v>1</v>
      </c>
      <c r="AI67" s="57" t="s">
        <v>10</v>
      </c>
      <c r="AJ67" s="57"/>
      <c r="AK67" s="57" t="s">
        <v>64</v>
      </c>
      <c r="AL67" s="28" t="s">
        <v>58</v>
      </c>
      <c r="AM67" s="28"/>
      <c r="AN67" s="28" t="s">
        <v>59</v>
      </c>
      <c r="AO67" s="28" t="s">
        <v>60</v>
      </c>
      <c r="AQ67" s="61" t="s">
        <v>54</v>
      </c>
      <c r="AR67" s="61" t="s">
        <v>57</v>
      </c>
      <c r="AS67" s="61" t="s">
        <v>55</v>
      </c>
      <c r="AT67" s="61" t="s">
        <v>57</v>
      </c>
      <c r="AU67" s="61" t="s">
        <v>56</v>
      </c>
      <c r="AV67" s="61" t="s">
        <v>57</v>
      </c>
      <c r="AW67" s="28" t="s">
        <v>54</v>
      </c>
      <c r="AX67" s="28" t="s">
        <v>57</v>
      </c>
      <c r="AY67" s="28" t="s">
        <v>55</v>
      </c>
      <c r="AZ67" s="28" t="s">
        <v>57</v>
      </c>
      <c r="BA67" s="28" t="s">
        <v>56</v>
      </c>
      <c r="BB67" s="28" t="s">
        <v>57</v>
      </c>
      <c r="BC67" s="60"/>
      <c r="BD67" s="61" t="s">
        <v>54</v>
      </c>
      <c r="BE67" s="61" t="s">
        <v>57</v>
      </c>
      <c r="BF67" s="61" t="s">
        <v>55</v>
      </c>
      <c r="BG67" s="61" t="s">
        <v>57</v>
      </c>
      <c r="BH67" s="61" t="s">
        <v>66</v>
      </c>
      <c r="BI67" s="61" t="s">
        <v>56</v>
      </c>
      <c r="BJ67" s="61" t="s">
        <v>57</v>
      </c>
    </row>
    <row r="68" spans="2:62" ht="15.75" customHeight="1" x14ac:dyDescent="0.2">
      <c r="B68" s="33">
        <v>200</v>
      </c>
      <c r="C68" s="33"/>
      <c r="D68" s="29">
        <v>0.6</v>
      </c>
      <c r="E68" s="50">
        <v>5</v>
      </c>
      <c r="F68">
        <v>10</v>
      </c>
      <c r="Q68" s="12" t="s">
        <v>68</v>
      </c>
      <c r="R68" s="12"/>
      <c r="S68" s="13"/>
      <c r="T68" s="13"/>
      <c r="U68" s="13">
        <v>400</v>
      </c>
      <c r="V68" s="58" t="e">
        <f>U68/#REF!</f>
        <v>#REF!</v>
      </c>
      <c r="W68" s="58"/>
      <c r="X68" s="58"/>
      <c r="AA68" s="31" t="e">
        <f>#REF!</f>
        <v>#REF!</v>
      </c>
      <c r="AB68" s="31">
        <f>U68*D68</f>
        <v>240</v>
      </c>
      <c r="AC68" s="63" t="e">
        <f>(#REF!+(#REF!*(F68/100)))/(1-#REF!/100)</f>
        <v>#REF!</v>
      </c>
      <c r="AD68" s="63"/>
      <c r="AE68" s="32" t="e">
        <f>AB68/AA68</f>
        <v>#REF!</v>
      </c>
      <c r="AF68" s="32"/>
      <c r="AG68" s="31" t="e">
        <f>#REF!</f>
        <v>#REF!</v>
      </c>
      <c r="AH68" s="31">
        <f>U68*(1-D68)</f>
        <v>160</v>
      </c>
      <c r="AI68" s="63" t="e">
        <f>(#REF!+(#REF!*(F68/100)))/(1-#REF!/100)</f>
        <v>#REF!</v>
      </c>
      <c r="AJ68" s="63"/>
      <c r="AK68" s="32" t="e">
        <f>AH68/AG68</f>
        <v>#REF!</v>
      </c>
      <c r="AL68" s="32" t="e">
        <f>AE68</f>
        <v>#REF!</v>
      </c>
      <c r="AM68" s="32"/>
      <c r="AN68" s="32" t="e">
        <f>AK68</f>
        <v>#REF!</v>
      </c>
      <c r="AO68" s="32" t="e">
        <f>AL68+AN68</f>
        <v>#REF!</v>
      </c>
      <c r="AQ68" s="52">
        <v>0</v>
      </c>
      <c r="AR68" s="50">
        <v>0</v>
      </c>
      <c r="AS68" s="52">
        <v>0</v>
      </c>
      <c r="AT68" s="50">
        <v>0</v>
      </c>
      <c r="AU68" s="52">
        <v>0</v>
      </c>
      <c r="AV68" s="54">
        <v>0</v>
      </c>
      <c r="AW68" s="52">
        <v>0</v>
      </c>
      <c r="AX68" s="50">
        <v>0</v>
      </c>
      <c r="AY68" s="52">
        <v>0</v>
      </c>
      <c r="AZ68" s="50">
        <v>0</v>
      </c>
      <c r="BA68" s="52">
        <v>0</v>
      </c>
      <c r="BB68" s="50">
        <v>0</v>
      </c>
      <c r="BC68" s="50"/>
      <c r="BD68" s="52">
        <v>0</v>
      </c>
      <c r="BE68" s="50">
        <v>0</v>
      </c>
      <c r="BF68" s="52">
        <v>0</v>
      </c>
      <c r="BG68" s="50">
        <v>0</v>
      </c>
      <c r="BH68" s="52">
        <v>0</v>
      </c>
      <c r="BI68" s="52">
        <v>0</v>
      </c>
      <c r="BJ68" s="50">
        <v>0</v>
      </c>
    </row>
    <row r="69" spans="2:62" ht="15.75" customHeight="1" x14ac:dyDescent="0.2">
      <c r="B69" s="36">
        <v>100</v>
      </c>
      <c r="C69" s="36"/>
      <c r="D69" s="37">
        <v>0.6</v>
      </c>
      <c r="E69" s="51">
        <v>5</v>
      </c>
      <c r="F69" s="35">
        <v>10</v>
      </c>
      <c r="G69" s="35"/>
      <c r="Q69" s="41" t="s">
        <v>69</v>
      </c>
      <c r="R69" s="41"/>
      <c r="S69" s="35"/>
      <c r="T69" s="59">
        <v>2</v>
      </c>
      <c r="U69" s="42"/>
      <c r="V69" s="59"/>
      <c r="W69" s="59"/>
      <c r="X69" s="59"/>
      <c r="AA69" s="38" t="e">
        <f>AA68/T69</f>
        <v>#REF!</v>
      </c>
      <c r="AB69" s="38">
        <f>AB68</f>
        <v>240</v>
      </c>
      <c r="AC69" s="65" t="e">
        <f>AC68/T69</f>
        <v>#REF!</v>
      </c>
      <c r="AD69" s="65"/>
      <c r="AE69" s="39" t="e">
        <f>AE68*T69</f>
        <v>#REF!</v>
      </c>
      <c r="AF69" s="32"/>
      <c r="AG69" s="38" t="e">
        <f>AG68/T69</f>
        <v>#REF!</v>
      </c>
      <c r="AH69" s="38">
        <f>AH68</f>
        <v>160</v>
      </c>
      <c r="AI69" s="65" t="e">
        <f>AI68/T69</f>
        <v>#REF!</v>
      </c>
      <c r="AJ69" s="65"/>
      <c r="AK69" s="39" t="e">
        <f>AK68*T69</f>
        <v>#REF!</v>
      </c>
      <c r="AL69" s="39" t="e">
        <f>AL68*T69</f>
        <v>#REF!</v>
      </c>
      <c r="AM69" s="39"/>
      <c r="AN69" s="39" t="e">
        <f>AN68*T69</f>
        <v>#REF!</v>
      </c>
      <c r="AO69" s="39" t="e">
        <f>AL69+AN69</f>
        <v>#REF!</v>
      </c>
      <c r="AQ69" s="40">
        <f t="shared" ref="AQ69:AV69" si="21">AQ68</f>
        <v>0</v>
      </c>
      <c r="AR69" s="51">
        <f t="shared" si="21"/>
        <v>0</v>
      </c>
      <c r="AS69" s="40">
        <f t="shared" si="21"/>
        <v>0</v>
      </c>
      <c r="AT69" s="51">
        <f t="shared" si="21"/>
        <v>0</v>
      </c>
      <c r="AU69" s="40">
        <f t="shared" si="21"/>
        <v>0</v>
      </c>
      <c r="AV69" s="55">
        <f t="shared" si="21"/>
        <v>0</v>
      </c>
      <c r="AW69" s="40">
        <f t="shared" ref="AW69:BB69" si="22">AW68</f>
        <v>0</v>
      </c>
      <c r="AX69" s="51">
        <f t="shared" si="22"/>
        <v>0</v>
      </c>
      <c r="AY69" s="40">
        <f t="shared" si="22"/>
        <v>0</v>
      </c>
      <c r="AZ69" s="51">
        <f t="shared" si="22"/>
        <v>0</v>
      </c>
      <c r="BA69" s="40">
        <f t="shared" si="22"/>
        <v>0</v>
      </c>
      <c r="BB69" s="51">
        <f t="shared" si="22"/>
        <v>0</v>
      </c>
      <c r="BC69" s="50"/>
      <c r="BD69" s="40">
        <f t="shared" ref="BD69:BJ69" si="23">BD68</f>
        <v>0</v>
      </c>
      <c r="BE69" s="51">
        <f t="shared" si="23"/>
        <v>0</v>
      </c>
      <c r="BF69" s="40">
        <f t="shared" si="23"/>
        <v>0</v>
      </c>
      <c r="BG69" s="51">
        <f t="shared" si="23"/>
        <v>0</v>
      </c>
      <c r="BH69" s="40">
        <f t="shared" si="23"/>
        <v>0</v>
      </c>
      <c r="BI69" s="40">
        <f t="shared" si="23"/>
        <v>0</v>
      </c>
      <c r="BJ69" s="51">
        <f t="shared" si="23"/>
        <v>0</v>
      </c>
    </row>
    <row r="70" spans="2:62" ht="15.75" customHeight="1" x14ac:dyDescent="0.2">
      <c r="B70" s="33">
        <v>100</v>
      </c>
      <c r="C70" s="33"/>
      <c r="D70" s="29">
        <v>0.6</v>
      </c>
      <c r="E70" s="50">
        <v>5</v>
      </c>
      <c r="F70">
        <v>10</v>
      </c>
      <c r="Q70" s="12" t="s">
        <v>71</v>
      </c>
      <c r="R70" s="12"/>
      <c r="S70" s="13"/>
      <c r="T70" s="13"/>
      <c r="U70" s="13">
        <v>300</v>
      </c>
      <c r="V70" s="58" t="e">
        <f>U70/#REF!</f>
        <v>#REF!</v>
      </c>
      <c r="W70" s="58"/>
      <c r="X70" s="58"/>
      <c r="AA70" s="31" t="e">
        <f>#REF!</f>
        <v>#REF!</v>
      </c>
      <c r="AB70" s="31">
        <f>U70*D70</f>
        <v>180</v>
      </c>
      <c r="AC70" s="63" t="e">
        <f>(#REF!+(#REF!*(F70/100)))/(1-#REF!/100)</f>
        <v>#REF!</v>
      </c>
      <c r="AD70" s="63"/>
      <c r="AE70" s="32" t="e">
        <f>AB70/AA70</f>
        <v>#REF!</v>
      </c>
      <c r="AF70" s="32"/>
      <c r="AG70" s="31" t="e">
        <f>#REF!</f>
        <v>#REF!</v>
      </c>
      <c r="AH70" s="31">
        <f>U70*(1-D70)</f>
        <v>120</v>
      </c>
      <c r="AI70" s="63" t="e">
        <f>(#REF!+(#REF!*(F70/100)))/(1-#REF!/100)</f>
        <v>#REF!</v>
      </c>
      <c r="AJ70" s="63"/>
      <c r="AK70" s="32" t="e">
        <f>AH70/AG70</f>
        <v>#REF!</v>
      </c>
      <c r="AL70" s="32" t="e">
        <f>AE70+AE71</f>
        <v>#REF!</v>
      </c>
      <c r="AM70" s="32"/>
      <c r="AN70" s="32" t="e">
        <f>AK70+AK71</f>
        <v>#REF!</v>
      </c>
      <c r="AO70" s="32" t="e">
        <f>AL70+AN70</f>
        <v>#REF!</v>
      </c>
      <c r="AQ70" s="52">
        <f>AQ68</f>
        <v>0</v>
      </c>
      <c r="AR70" s="50">
        <f t="shared" ref="AR70:AT70" si="24">AR68</f>
        <v>0</v>
      </c>
      <c r="AS70" s="52">
        <f t="shared" si="24"/>
        <v>0</v>
      </c>
      <c r="AT70" s="50">
        <f t="shared" si="24"/>
        <v>0</v>
      </c>
      <c r="AU70" s="52">
        <f>AU68</f>
        <v>0</v>
      </c>
      <c r="AV70" s="62">
        <f>AU70/U68</f>
        <v>0</v>
      </c>
      <c r="AW70" s="63" t="e">
        <f>(B70*AL70)-(AB70+AB71)</f>
        <v>#REF!</v>
      </c>
      <c r="AX70" s="62" t="e">
        <f>AW70/(AB70+AB71)</f>
        <v>#REF!</v>
      </c>
      <c r="AY70" s="63" t="e">
        <f>(AN70*B70)-(AH70+AH71)</f>
        <v>#REF!</v>
      </c>
      <c r="AZ70" s="62" t="e">
        <f>AY70/(AH70+AH71)</f>
        <v>#REF!</v>
      </c>
      <c r="BA70" s="63" t="e">
        <f>AW70+AY70</f>
        <v>#REF!</v>
      </c>
      <c r="BB70" s="62" t="e">
        <f>BA70/(AB70+AB71+AH70+AH71)</f>
        <v>#REF!</v>
      </c>
      <c r="BC70" s="50"/>
      <c r="BD70" s="63" t="e">
        <f>AQ70+AW70</f>
        <v>#REF!</v>
      </c>
      <c r="BE70" s="62" t="e">
        <f>AX70</f>
        <v>#REF!</v>
      </c>
      <c r="BF70" s="63" t="e">
        <f>AS70+AY70</f>
        <v>#REF!</v>
      </c>
      <c r="BG70" s="62" t="e">
        <f>BF70/(AH70+AH71)</f>
        <v>#REF!</v>
      </c>
      <c r="BH70" s="63">
        <f>BH68</f>
        <v>0</v>
      </c>
      <c r="BI70" s="63" t="e">
        <f>BD70+BF70+BH70</f>
        <v>#REF!</v>
      </c>
      <c r="BJ70" s="62" t="e">
        <f>BI70/(AB70+AB71+AH70+AH71)</f>
        <v>#REF!</v>
      </c>
    </row>
    <row r="71" spans="2:62" ht="15.75" customHeight="1" x14ac:dyDescent="0.2">
      <c r="B71" s="33"/>
      <c r="C71" s="33"/>
      <c r="D71" s="29"/>
      <c r="E71" s="50"/>
      <c r="Q71" s="12"/>
      <c r="R71" s="12"/>
      <c r="S71" s="13"/>
      <c r="T71" s="13"/>
      <c r="U71" s="13"/>
      <c r="V71" s="58"/>
      <c r="W71" s="58"/>
      <c r="X71" s="58"/>
      <c r="AA71" s="31" t="e">
        <f>AA69</f>
        <v>#REF!</v>
      </c>
      <c r="AB71" s="31">
        <f>AB69</f>
        <v>240</v>
      </c>
      <c r="AC71" s="63" t="e">
        <f>AC69</f>
        <v>#REF!</v>
      </c>
      <c r="AD71" s="63"/>
      <c r="AE71" s="32" t="e">
        <f>AE69</f>
        <v>#REF!</v>
      </c>
      <c r="AF71" s="32"/>
      <c r="AG71" s="31" t="e">
        <f>AG69</f>
        <v>#REF!</v>
      </c>
      <c r="AH71" s="31">
        <f>AH69</f>
        <v>160</v>
      </c>
      <c r="AI71" s="63" t="e">
        <f>AI69</f>
        <v>#REF!</v>
      </c>
      <c r="AJ71" s="63"/>
      <c r="AK71" s="32" t="e">
        <f>AK69</f>
        <v>#REF!</v>
      </c>
      <c r="AL71" s="32"/>
      <c r="AM71" s="32"/>
      <c r="AN71" s="32"/>
      <c r="AO71" s="32"/>
      <c r="AQ71" s="52"/>
      <c r="AR71" s="50"/>
      <c r="AS71" s="52"/>
      <c r="AT71" s="50"/>
      <c r="AU71" s="52"/>
      <c r="AV71" s="62"/>
      <c r="AW71" s="52"/>
      <c r="AX71" s="50"/>
      <c r="AY71" s="52"/>
      <c r="AZ71" s="50"/>
      <c r="BA71" s="52"/>
      <c r="BB71" s="50"/>
      <c r="BC71" s="50"/>
      <c r="BD71" s="52"/>
      <c r="BE71" s="50"/>
      <c r="BF71" s="52"/>
      <c r="BG71" s="50"/>
      <c r="BH71" s="63"/>
      <c r="BI71" s="63"/>
      <c r="BJ71" s="62"/>
    </row>
    <row r="72" spans="2:62" ht="15.75" customHeight="1" x14ac:dyDescent="0.2">
      <c r="B72" s="33"/>
      <c r="C72" s="33"/>
      <c r="D72" s="29"/>
      <c r="E72" s="50"/>
      <c r="Q72" s="12"/>
      <c r="R72" s="12"/>
      <c r="S72" s="13"/>
      <c r="T72" s="13"/>
      <c r="U72" s="13"/>
      <c r="V72" s="58"/>
      <c r="W72" s="58"/>
      <c r="X72" s="58"/>
      <c r="AA72" s="31"/>
      <c r="AB72" s="31"/>
      <c r="AC72" s="63"/>
      <c r="AD72" s="63"/>
      <c r="AE72" s="32"/>
      <c r="AF72" s="32"/>
      <c r="AG72" s="31"/>
      <c r="AH72" s="31"/>
      <c r="AI72" s="63"/>
      <c r="AJ72" s="63"/>
      <c r="AK72" s="32"/>
      <c r="AL72" s="32"/>
      <c r="AM72" s="32"/>
      <c r="AN72" s="32"/>
      <c r="AO72" s="32"/>
      <c r="AQ72" s="52"/>
      <c r="AR72" s="50"/>
      <c r="AS72" s="52"/>
      <c r="AT72" s="50"/>
      <c r="AU72" s="52"/>
      <c r="AV72" s="62"/>
      <c r="AW72" s="52"/>
      <c r="AX72" s="50"/>
      <c r="AY72" s="52"/>
      <c r="AZ72" s="50"/>
      <c r="BA72" s="52"/>
      <c r="BB72" s="50"/>
      <c r="BC72" s="50"/>
      <c r="BD72" s="52"/>
      <c r="BE72" s="50"/>
      <c r="BF72" s="52"/>
      <c r="BG72" s="50"/>
      <c r="BH72" s="63"/>
      <c r="BI72" s="63"/>
      <c r="BJ72" s="62"/>
    </row>
    <row r="73" spans="2:62" ht="15.75" customHeight="1" x14ac:dyDescent="0.2">
      <c r="B73" s="187" t="s">
        <v>37</v>
      </c>
      <c r="C73" s="110"/>
      <c r="S73" s="12"/>
      <c r="T73" s="12"/>
      <c r="U73" s="12"/>
      <c r="V73" s="12"/>
      <c r="W73" s="12"/>
      <c r="X73" s="12"/>
      <c r="Y73" s="12"/>
      <c r="Z73" s="12"/>
      <c r="AA73" s="56" t="s">
        <v>27</v>
      </c>
      <c r="AB73" s="12"/>
      <c r="AC73" s="12"/>
      <c r="AD73" s="12"/>
      <c r="AE73" s="12"/>
      <c r="AF73" s="12"/>
      <c r="AG73" s="56" t="s">
        <v>28</v>
      </c>
      <c r="AH73" s="12"/>
      <c r="AI73" s="12"/>
      <c r="AJ73" s="12"/>
      <c r="AK73" s="12"/>
      <c r="AR73" s="33"/>
      <c r="AW73" s="63"/>
    </row>
    <row r="74" spans="2:62" ht="15.75" customHeight="1" x14ac:dyDescent="0.2">
      <c r="B74" s="28" t="s">
        <v>61</v>
      </c>
      <c r="C74" s="28"/>
      <c r="D74" s="28" t="s">
        <v>29</v>
      </c>
      <c r="E74" s="57" t="s">
        <v>63</v>
      </c>
      <c r="F74" s="57" t="s">
        <v>72</v>
      </c>
      <c r="G74" s="57"/>
      <c r="H74" s="102"/>
      <c r="I74" s="102"/>
      <c r="J74" s="102"/>
      <c r="K74" s="102"/>
      <c r="L74" s="102"/>
      <c r="M74" s="102"/>
      <c r="N74" s="102"/>
      <c r="O74" s="102"/>
      <c r="Q74" s="28" t="s">
        <v>3</v>
      </c>
      <c r="R74" s="28"/>
      <c r="S74" s="57" t="s">
        <v>50</v>
      </c>
      <c r="T74" s="57" t="s">
        <v>70</v>
      </c>
      <c r="U74" s="28" t="s">
        <v>1</v>
      </c>
      <c r="V74" s="57" t="s">
        <v>62</v>
      </c>
      <c r="W74" s="57" t="s">
        <v>9</v>
      </c>
      <c r="X74" s="57"/>
      <c r="Y74" s="60"/>
      <c r="Z74" s="12"/>
      <c r="AA74" s="28" t="s">
        <v>30</v>
      </c>
      <c r="AB74" s="28" t="s">
        <v>1</v>
      </c>
      <c r="AC74" s="57" t="s">
        <v>10</v>
      </c>
      <c r="AD74" s="57"/>
      <c r="AE74" s="57" t="s">
        <v>64</v>
      </c>
      <c r="AF74" s="60"/>
      <c r="AG74" s="28" t="s">
        <v>30</v>
      </c>
      <c r="AH74" s="28" t="s">
        <v>1</v>
      </c>
      <c r="AI74" s="57" t="s">
        <v>10</v>
      </c>
      <c r="AJ74" s="57"/>
      <c r="AK74" s="57" t="s">
        <v>64</v>
      </c>
      <c r="AR74" s="33"/>
    </row>
    <row r="75" spans="2:62" ht="15.75" customHeight="1" x14ac:dyDescent="0.2">
      <c r="B75" s="33">
        <v>100</v>
      </c>
      <c r="C75" s="33"/>
      <c r="D75" s="29">
        <v>0.6</v>
      </c>
      <c r="E75" s="50">
        <v>5</v>
      </c>
      <c r="F75">
        <v>10</v>
      </c>
      <c r="Q75" t="s">
        <v>38</v>
      </c>
      <c r="S75" s="33"/>
      <c r="T75" s="33"/>
      <c r="U75" s="33">
        <v>200</v>
      </c>
      <c r="V75" s="33"/>
      <c r="W75" s="33"/>
      <c r="X75" s="33"/>
      <c r="Y75" s="67"/>
      <c r="AA75" s="33" t="e">
        <f>#REF!</f>
        <v>#REF!</v>
      </c>
      <c r="AB75" s="33">
        <f>U75*D75</f>
        <v>120</v>
      </c>
      <c r="AC75" s="33"/>
      <c r="AD75" s="33"/>
      <c r="AE75" s="44" t="e">
        <f>AB75/AA75</f>
        <v>#REF!</v>
      </c>
      <c r="AF75" s="44"/>
      <c r="AG75" s="33" t="e">
        <f>#REF!</f>
        <v>#REF!</v>
      </c>
      <c r="AH75" s="31">
        <f>U75*(1-D75)</f>
        <v>80</v>
      </c>
      <c r="AI75" s="33"/>
      <c r="AJ75" s="33"/>
      <c r="AK75" s="32" t="e">
        <f>AH75/AG75</f>
        <v>#REF!</v>
      </c>
    </row>
    <row r="76" spans="2:62" ht="15.75" customHeight="1" x14ac:dyDescent="0.2">
      <c r="B76" s="36">
        <v>100</v>
      </c>
      <c r="C76" s="36"/>
      <c r="D76" s="37">
        <v>0.6</v>
      </c>
      <c r="E76" s="51">
        <v>5</v>
      </c>
      <c r="F76" s="35">
        <v>10</v>
      </c>
      <c r="G76" s="35"/>
      <c r="Q76" s="35" t="s">
        <v>39</v>
      </c>
      <c r="R76" s="35"/>
      <c r="S76" s="35"/>
      <c r="T76" s="35"/>
      <c r="U76" s="35"/>
      <c r="V76" s="35"/>
      <c r="W76" s="35"/>
      <c r="X76" s="35"/>
      <c r="AA76" s="38" t="s">
        <v>34</v>
      </c>
      <c r="AB76" s="38" t="s">
        <v>34</v>
      </c>
      <c r="AC76" s="38"/>
      <c r="AD76" s="38"/>
      <c r="AE76" s="38" t="s">
        <v>34</v>
      </c>
      <c r="AF76" s="31"/>
      <c r="AG76" s="38" t="s">
        <v>34</v>
      </c>
      <c r="AH76" s="38" t="s">
        <v>34</v>
      </c>
      <c r="AI76" s="38"/>
      <c r="AJ76" s="38"/>
      <c r="AK76" s="38" t="s">
        <v>34</v>
      </c>
    </row>
    <row r="77" spans="2:62" ht="15.75" customHeight="1" x14ac:dyDescent="0.2">
      <c r="B77" s="33">
        <v>100</v>
      </c>
      <c r="C77" s="33"/>
      <c r="D77" s="29">
        <v>0.6</v>
      </c>
      <c r="E77" s="50">
        <v>5</v>
      </c>
      <c r="F77">
        <v>10</v>
      </c>
      <c r="Q77" t="s">
        <v>40</v>
      </c>
      <c r="S77" s="33"/>
      <c r="T77" s="33"/>
      <c r="U77" s="33">
        <v>500</v>
      </c>
      <c r="V77" s="33"/>
      <c r="W77" s="33"/>
      <c r="X77" s="33"/>
      <c r="Y77" s="67"/>
      <c r="AA77" s="33" t="e">
        <f>#REF!</f>
        <v>#REF!</v>
      </c>
      <c r="AB77" s="33">
        <f>U77</f>
        <v>500</v>
      </c>
      <c r="AC77" s="33"/>
      <c r="AD77" s="33"/>
      <c r="AE77" s="44" t="e">
        <f>AB77/AA77</f>
        <v>#REF!</v>
      </c>
      <c r="AF77" s="44"/>
      <c r="AG77" s="31" t="s">
        <v>34</v>
      </c>
      <c r="AH77" s="31" t="s">
        <v>34</v>
      </c>
      <c r="AI77" s="33"/>
      <c r="AJ77" s="33"/>
      <c r="AK77" s="31" t="s">
        <v>34</v>
      </c>
    </row>
    <row r="78" spans="2:62" ht="15.75" customHeight="1" x14ac:dyDescent="0.2">
      <c r="B78" s="36">
        <v>100</v>
      </c>
      <c r="C78" s="36"/>
      <c r="D78" s="37">
        <v>0.6</v>
      </c>
      <c r="E78" s="51">
        <v>5</v>
      </c>
      <c r="F78" s="35">
        <v>10</v>
      </c>
      <c r="G78" s="35"/>
      <c r="Q78" s="35" t="s">
        <v>41</v>
      </c>
      <c r="R78" s="35"/>
      <c r="S78" s="35"/>
      <c r="T78" s="35"/>
      <c r="U78" s="35"/>
      <c r="V78" s="35"/>
      <c r="W78" s="35"/>
      <c r="X78" s="35"/>
      <c r="AA78" s="38" t="s">
        <v>34</v>
      </c>
      <c r="AB78" s="38" t="s">
        <v>34</v>
      </c>
      <c r="AC78" s="38"/>
      <c r="AD78" s="38"/>
      <c r="AE78" s="38" t="s">
        <v>34</v>
      </c>
      <c r="AF78" s="31"/>
      <c r="AG78" s="38" t="s">
        <v>34</v>
      </c>
      <c r="AH78" s="38" t="s">
        <v>34</v>
      </c>
      <c r="AI78" s="38"/>
      <c r="AJ78" s="38"/>
      <c r="AK78" s="38" t="s">
        <v>34</v>
      </c>
    </row>
    <row r="79" spans="2:62" ht="15.75" customHeight="1" x14ac:dyDescent="0.2">
      <c r="B79" s="33">
        <v>100</v>
      </c>
      <c r="C79" s="33"/>
      <c r="D79" s="29">
        <v>0.6</v>
      </c>
      <c r="E79" s="50">
        <v>5</v>
      </c>
      <c r="F79">
        <v>10</v>
      </c>
      <c r="Q79" t="s">
        <v>42</v>
      </c>
      <c r="S79" s="33"/>
      <c r="T79" s="33"/>
      <c r="U79" s="33">
        <v>350</v>
      </c>
      <c r="V79" s="33"/>
      <c r="W79" s="33"/>
      <c r="X79" s="33"/>
      <c r="Y79" s="67"/>
      <c r="AA79" s="31" t="s">
        <v>34</v>
      </c>
      <c r="AB79" s="31" t="s">
        <v>34</v>
      </c>
      <c r="AC79" s="31"/>
      <c r="AD79" s="31"/>
      <c r="AE79" s="31" t="s">
        <v>34</v>
      </c>
      <c r="AF79" s="31"/>
      <c r="AG79" s="33" t="e">
        <f>#REF!</f>
        <v>#REF!</v>
      </c>
      <c r="AH79" s="31">
        <f>U79*(1-D79)</f>
        <v>140</v>
      </c>
      <c r="AI79" s="31"/>
      <c r="AJ79" s="31"/>
      <c r="AK79" s="32" t="e">
        <f>AH79/AG79</f>
        <v>#REF!</v>
      </c>
    </row>
    <row r="80" spans="2:62" ht="15.75" customHeight="1" x14ac:dyDescent="0.2">
      <c r="B80" s="36">
        <v>100</v>
      </c>
      <c r="C80" s="36"/>
      <c r="D80" s="37">
        <v>0.6</v>
      </c>
      <c r="E80" s="51">
        <v>5</v>
      </c>
      <c r="F80" s="35">
        <v>10</v>
      </c>
      <c r="G80" s="35"/>
      <c r="Q80" s="35" t="s">
        <v>43</v>
      </c>
      <c r="R80" s="35"/>
      <c r="S80" s="35"/>
      <c r="T80" s="35"/>
      <c r="U80" s="35"/>
      <c r="V80" s="35"/>
      <c r="W80" s="35"/>
      <c r="X80" s="35"/>
      <c r="AA80" s="38" t="s">
        <v>34</v>
      </c>
      <c r="AB80" s="38" t="s">
        <v>34</v>
      </c>
      <c r="AC80" s="38"/>
      <c r="AD80" s="38"/>
      <c r="AE80" s="38" t="s">
        <v>34</v>
      </c>
      <c r="AF80" s="31"/>
      <c r="AG80" s="38" t="s">
        <v>34</v>
      </c>
      <c r="AH80" s="38" t="s">
        <v>34</v>
      </c>
      <c r="AI80" s="38"/>
      <c r="AJ80" s="38"/>
      <c r="AK80" s="38" t="s">
        <v>34</v>
      </c>
    </row>
    <row r="82" spans="2:42" ht="15.75" customHeight="1" x14ac:dyDescent="0.2">
      <c r="B82" s="186" t="s">
        <v>44</v>
      </c>
      <c r="C82" s="34"/>
      <c r="AA82" s="56" t="s">
        <v>27</v>
      </c>
      <c r="AB82" s="12"/>
      <c r="AC82" s="12"/>
      <c r="AD82" s="12"/>
      <c r="AE82" s="12"/>
      <c r="AF82" s="12"/>
      <c r="AG82" s="56" t="s">
        <v>28</v>
      </c>
      <c r="AI82" s="12"/>
      <c r="AJ82" s="12"/>
    </row>
    <row r="83" spans="2:42" ht="15.75" customHeight="1" x14ac:dyDescent="0.2">
      <c r="B83" s="28" t="s">
        <v>61</v>
      </c>
      <c r="C83" s="28"/>
      <c r="D83" s="28" t="s">
        <v>29</v>
      </c>
      <c r="E83" s="57" t="s">
        <v>63</v>
      </c>
      <c r="F83" s="57" t="s">
        <v>72</v>
      </c>
      <c r="G83" s="57"/>
      <c r="H83" s="102"/>
      <c r="I83" s="102"/>
      <c r="J83" s="102"/>
      <c r="K83" s="102"/>
      <c r="L83" s="102"/>
      <c r="M83" s="102"/>
      <c r="N83" s="102"/>
      <c r="O83" s="102"/>
      <c r="Q83" s="28" t="s">
        <v>3</v>
      </c>
      <c r="R83" s="28"/>
      <c r="S83" s="57" t="s">
        <v>50</v>
      </c>
      <c r="T83" s="57" t="s">
        <v>70</v>
      </c>
      <c r="U83" s="28" t="s">
        <v>1</v>
      </c>
      <c r="V83" s="57" t="s">
        <v>62</v>
      </c>
      <c r="W83" s="57" t="s">
        <v>9</v>
      </c>
      <c r="X83" s="57"/>
      <c r="Y83" s="60"/>
      <c r="Z83" s="12"/>
      <c r="AA83" s="28" t="s">
        <v>30</v>
      </c>
      <c r="AB83" s="28" t="s">
        <v>1</v>
      </c>
      <c r="AC83" s="57" t="s">
        <v>10</v>
      </c>
      <c r="AD83" s="57"/>
      <c r="AE83" s="57" t="s">
        <v>64</v>
      </c>
      <c r="AF83" s="60"/>
      <c r="AG83" s="28" t="s">
        <v>30</v>
      </c>
      <c r="AH83" s="28" t="s">
        <v>1</v>
      </c>
      <c r="AI83" s="57" t="s">
        <v>10</v>
      </c>
      <c r="AJ83" s="57"/>
      <c r="AK83" s="57" t="s">
        <v>64</v>
      </c>
    </row>
    <row r="84" spans="2:42" ht="15.75" customHeight="1" x14ac:dyDescent="0.2">
      <c r="B84" s="33">
        <v>100</v>
      </c>
      <c r="C84" s="33"/>
      <c r="D84" s="29">
        <v>0.3</v>
      </c>
      <c r="E84" s="50">
        <v>5</v>
      </c>
      <c r="F84">
        <v>10</v>
      </c>
      <c r="Q84" s="45" t="s">
        <v>47</v>
      </c>
      <c r="R84" s="45"/>
      <c r="S84" s="33"/>
      <c r="T84" s="33"/>
      <c r="U84" s="33">
        <v>200</v>
      </c>
      <c r="V84" s="33"/>
      <c r="W84" s="33"/>
      <c r="X84" s="33"/>
      <c r="Y84" s="67"/>
      <c r="AA84" s="33" t="e">
        <f>#REF!</f>
        <v>#REF!</v>
      </c>
      <c r="AB84" s="33">
        <f>U84*D84</f>
        <v>60</v>
      </c>
      <c r="AC84" s="33"/>
      <c r="AD84" s="33"/>
      <c r="AE84" s="44" t="e">
        <f>AB84/AA84</f>
        <v>#REF!</v>
      </c>
      <c r="AF84" s="44"/>
      <c r="AG84" s="33" t="e">
        <f>#REF!</f>
        <v>#REF!</v>
      </c>
      <c r="AH84" s="31">
        <f>U84*(1-D84)</f>
        <v>140</v>
      </c>
      <c r="AI84" s="33"/>
      <c r="AJ84" s="33"/>
      <c r="AK84" s="32" t="e">
        <f>AH84/AG84</f>
        <v>#REF!</v>
      </c>
    </row>
    <row r="85" spans="2:42" ht="15.75" customHeight="1" x14ac:dyDescent="0.2">
      <c r="B85" s="36">
        <v>100</v>
      </c>
      <c r="C85" s="36"/>
      <c r="D85" s="37">
        <v>0.3</v>
      </c>
      <c r="E85" s="51">
        <v>5</v>
      </c>
      <c r="F85" s="35">
        <v>10</v>
      </c>
      <c r="G85" s="35"/>
      <c r="Q85" s="47" t="s">
        <v>45</v>
      </c>
      <c r="R85" s="47"/>
      <c r="S85" s="36"/>
      <c r="T85" s="36"/>
      <c r="U85" s="36">
        <v>300</v>
      </c>
      <c r="V85" s="36"/>
      <c r="W85" s="36"/>
      <c r="X85" s="36"/>
      <c r="Y85" s="67"/>
      <c r="AA85" s="36" t="e">
        <f>#REF!</f>
        <v>#REF!</v>
      </c>
      <c r="AB85" s="36">
        <f>U85+AB84</f>
        <v>360</v>
      </c>
      <c r="AC85" s="36"/>
      <c r="AD85" s="36"/>
      <c r="AE85" s="48" t="e">
        <f>AB85/AA85</f>
        <v>#REF!</v>
      </c>
      <c r="AF85" s="44"/>
      <c r="AG85" s="36">
        <v>100</v>
      </c>
      <c r="AH85" s="38">
        <f>AH84</f>
        <v>140</v>
      </c>
      <c r="AI85" s="36"/>
      <c r="AJ85" s="36"/>
      <c r="AK85" s="39">
        <v>1.4</v>
      </c>
    </row>
    <row r="86" spans="2:42" ht="15.75" customHeight="1" x14ac:dyDescent="0.2">
      <c r="B86" s="33">
        <v>100</v>
      </c>
      <c r="C86" s="33"/>
      <c r="D86" s="29">
        <v>0.3</v>
      </c>
      <c r="E86" s="50">
        <v>5</v>
      </c>
      <c r="F86">
        <v>10</v>
      </c>
      <c r="Q86" s="45" t="s">
        <v>46</v>
      </c>
      <c r="R86" s="45"/>
      <c r="S86" s="33"/>
      <c r="T86" s="33"/>
      <c r="U86" s="33">
        <v>400</v>
      </c>
      <c r="V86" s="33"/>
      <c r="W86" s="33"/>
      <c r="X86" s="33"/>
      <c r="AA86" s="33">
        <v>100</v>
      </c>
      <c r="AB86" s="33">
        <f>AB85</f>
        <v>360</v>
      </c>
      <c r="AC86" s="33"/>
      <c r="AD86" s="33"/>
      <c r="AE86" s="44">
        <v>3.6</v>
      </c>
      <c r="AF86" s="44"/>
      <c r="AG86" s="33" t="e">
        <f>#REF!</f>
        <v>#REF!</v>
      </c>
      <c r="AH86" s="33">
        <f>U86+AH85</f>
        <v>540</v>
      </c>
      <c r="AI86" s="33"/>
      <c r="AJ86" s="33"/>
      <c r="AK86" s="32" t="e">
        <f>AH86/AG86</f>
        <v>#REF!</v>
      </c>
    </row>
    <row r="87" spans="2:42" ht="15.75" customHeight="1" x14ac:dyDescent="0.2">
      <c r="B87" s="36">
        <v>100</v>
      </c>
      <c r="C87" s="36"/>
      <c r="D87" s="37">
        <v>0.3</v>
      </c>
      <c r="E87" s="51">
        <v>5</v>
      </c>
      <c r="F87" s="35">
        <v>10</v>
      </c>
      <c r="G87" s="35"/>
      <c r="Q87" s="47" t="s">
        <v>48</v>
      </c>
      <c r="R87" s="47"/>
      <c r="S87" s="36"/>
      <c r="T87" s="36"/>
      <c r="U87" s="36">
        <v>500</v>
      </c>
      <c r="V87" s="36"/>
      <c r="W87" s="36"/>
      <c r="X87" s="36"/>
      <c r="Y87" s="67"/>
      <c r="AA87" s="36" t="e">
        <f>#REF!</f>
        <v>#REF!</v>
      </c>
      <c r="AB87" s="36">
        <f>AB86+(U87*D87)</f>
        <v>510</v>
      </c>
      <c r="AC87" s="36"/>
      <c r="AD87" s="36"/>
      <c r="AE87" s="48" t="e">
        <f>AB87/AA87</f>
        <v>#REF!</v>
      </c>
      <c r="AF87" s="44"/>
      <c r="AG87" s="36" t="e">
        <f>#REF!</f>
        <v>#REF!</v>
      </c>
      <c r="AH87" s="36">
        <f>AH86+(U87*(1-D87))</f>
        <v>890</v>
      </c>
      <c r="AI87" s="36"/>
      <c r="AJ87" s="36"/>
      <c r="AK87" s="39" t="e">
        <f>AH87/AG87</f>
        <v>#REF!</v>
      </c>
    </row>
    <row r="89" spans="2:42" ht="15.75" customHeight="1" x14ac:dyDescent="0.2">
      <c r="B89" s="186" t="s">
        <v>98</v>
      </c>
      <c r="C89" s="34"/>
      <c r="AA89" s="56" t="s">
        <v>27</v>
      </c>
      <c r="AB89" s="12"/>
      <c r="AC89" s="12"/>
      <c r="AD89" s="12"/>
      <c r="AE89" s="12"/>
      <c r="AF89" s="12"/>
      <c r="AG89" s="56" t="s">
        <v>28</v>
      </c>
      <c r="AI89" s="12"/>
      <c r="AJ89" s="12"/>
      <c r="AM89" s="34" t="s">
        <v>179</v>
      </c>
    </row>
    <row r="90" spans="2:42" ht="15.75" customHeight="1" x14ac:dyDescent="0.2">
      <c r="B90" s="28" t="s">
        <v>61</v>
      </c>
      <c r="C90" s="28"/>
      <c r="D90" s="28" t="s">
        <v>29</v>
      </c>
      <c r="E90" s="57" t="s">
        <v>63</v>
      </c>
      <c r="F90" s="57" t="s">
        <v>72</v>
      </c>
      <c r="G90" s="57" t="s">
        <v>99</v>
      </c>
      <c r="H90" s="102"/>
      <c r="I90" s="102"/>
      <c r="J90" s="102"/>
      <c r="K90" s="102"/>
      <c r="L90" s="102"/>
      <c r="M90" s="102"/>
      <c r="N90" s="102"/>
      <c r="O90" s="102"/>
      <c r="Q90" s="28" t="s">
        <v>3</v>
      </c>
      <c r="R90" s="28"/>
      <c r="S90" s="57" t="s">
        <v>50</v>
      </c>
      <c r="T90" s="57" t="s">
        <v>70</v>
      </c>
      <c r="U90" s="28" t="s">
        <v>1</v>
      </c>
      <c r="V90" s="57" t="s">
        <v>62</v>
      </c>
      <c r="W90" s="57" t="s">
        <v>9</v>
      </c>
      <c r="X90" s="57"/>
      <c r="Y90" s="60"/>
      <c r="Z90" s="12"/>
      <c r="AA90" s="28" t="s">
        <v>30</v>
      </c>
      <c r="AB90" s="28" t="s">
        <v>1</v>
      </c>
      <c r="AC90" s="57" t="s">
        <v>72</v>
      </c>
      <c r="AD90" s="57" t="s">
        <v>100</v>
      </c>
      <c r="AE90" s="57" t="s">
        <v>64</v>
      </c>
      <c r="AF90" s="60"/>
      <c r="AG90" s="28" t="s">
        <v>30</v>
      </c>
      <c r="AH90" s="28" t="s">
        <v>1</v>
      </c>
      <c r="AI90" s="57" t="s">
        <v>99</v>
      </c>
      <c r="AJ90" s="57" t="s">
        <v>101</v>
      </c>
      <c r="AK90" s="57" t="s">
        <v>64</v>
      </c>
      <c r="AM90" s="28" t="s">
        <v>100</v>
      </c>
      <c r="AN90" s="57" t="s">
        <v>101</v>
      </c>
      <c r="AO90" s="102"/>
      <c r="AP90" s="102"/>
    </row>
    <row r="91" spans="2:42" ht="15.75" customHeight="1" x14ac:dyDescent="0.2">
      <c r="B91" s="33">
        <v>100</v>
      </c>
      <c r="C91" s="33" t="s">
        <v>187</v>
      </c>
      <c r="D91" s="29">
        <v>0.5</v>
      </c>
      <c r="E91" s="50">
        <v>5</v>
      </c>
      <c r="F91">
        <v>10</v>
      </c>
      <c r="G91">
        <v>20</v>
      </c>
      <c r="Q91" s="45" t="s">
        <v>102</v>
      </c>
      <c r="R91" s="45"/>
      <c r="S91" s="33"/>
      <c r="T91" s="33"/>
      <c r="U91" s="33">
        <v>200</v>
      </c>
      <c r="V91" s="50" t="e">
        <f>U91/#REF!</f>
        <v>#REF!</v>
      </c>
      <c r="W91" s="33"/>
      <c r="X91" s="33"/>
      <c r="Y91" s="67"/>
      <c r="AA91" s="33" t="e">
        <f>#REF!</f>
        <v>#REF!</v>
      </c>
      <c r="AB91" s="33">
        <f>U91*D91</f>
        <v>100</v>
      </c>
      <c r="AC91" s="52" t="e">
        <f>AA91*(1+F91/100)/(1-#REF!/100)</f>
        <v>#REF!</v>
      </c>
      <c r="AD91" s="96" t="e">
        <f t="shared" ref="AD91:AD99" si="25">(B91-AC91)/AC91</f>
        <v>#REF!</v>
      </c>
      <c r="AE91" s="44" t="e">
        <f>AB91/AA91</f>
        <v>#REF!</v>
      </c>
      <c r="AF91" s="44"/>
      <c r="AG91" s="33" t="e">
        <f>#REF!</f>
        <v>#REF!</v>
      </c>
      <c r="AH91" s="31">
        <f>U91*(1-D91)</f>
        <v>100</v>
      </c>
      <c r="AI91" s="52" t="e">
        <f>AG91*(1+G91/100)/(1-#REF!/100)</f>
        <v>#REF!</v>
      </c>
      <c r="AJ91" s="54" t="e">
        <f t="shared" ref="AJ91:AJ99" si="26">(B91-AI91)/AI91</f>
        <v>#REF!</v>
      </c>
      <c r="AK91" s="32" t="e">
        <f>AH91/AG91</f>
        <v>#REF!</v>
      </c>
      <c r="AM91" s="54" t="e">
        <f t="shared" ref="AM91:AM99" si="27">(B91-AC91)/AC91</f>
        <v>#REF!</v>
      </c>
      <c r="AN91" s="54" t="e">
        <f t="shared" ref="AN91:AN99" si="28">(B91-AI91)/AI91</f>
        <v>#REF!</v>
      </c>
    </row>
    <row r="92" spans="2:42" ht="15.75" customHeight="1" x14ac:dyDescent="0.2">
      <c r="B92" s="36">
        <v>109</v>
      </c>
      <c r="C92" s="36" t="s">
        <v>187</v>
      </c>
      <c r="D92" s="37">
        <v>0.5</v>
      </c>
      <c r="E92" s="51">
        <v>5</v>
      </c>
      <c r="F92" s="35">
        <v>10</v>
      </c>
      <c r="G92" s="35">
        <v>20</v>
      </c>
      <c r="Q92" s="47"/>
      <c r="R92" s="47"/>
      <c r="S92" s="36"/>
      <c r="T92" s="36"/>
      <c r="U92" s="36"/>
      <c r="V92" s="51"/>
      <c r="W92" s="36"/>
      <c r="X92" s="36"/>
      <c r="Y92" s="67"/>
      <c r="AA92" s="36" t="e">
        <f t="shared" ref="AA92:AC94" si="29">AA91</f>
        <v>#REF!</v>
      </c>
      <c r="AB92" s="36">
        <f t="shared" si="29"/>
        <v>100</v>
      </c>
      <c r="AC92" s="40" t="e">
        <f t="shared" si="29"/>
        <v>#REF!</v>
      </c>
      <c r="AD92" s="117" t="e">
        <f t="shared" si="25"/>
        <v>#REF!</v>
      </c>
      <c r="AE92" s="48" t="e">
        <f>AE91</f>
        <v>#REF!</v>
      </c>
      <c r="AF92" s="44"/>
      <c r="AG92" s="36">
        <v>100</v>
      </c>
      <c r="AH92" s="38">
        <f t="shared" ref="AH92:AI94" si="30">AH91</f>
        <v>100</v>
      </c>
      <c r="AI92" s="40" t="e">
        <f t="shared" si="30"/>
        <v>#REF!</v>
      </c>
      <c r="AJ92" s="55" t="e">
        <f t="shared" si="26"/>
        <v>#REF!</v>
      </c>
      <c r="AK92" s="39" t="e">
        <f>AK91</f>
        <v>#REF!</v>
      </c>
      <c r="AM92" s="116" t="e">
        <f t="shared" si="27"/>
        <v>#REF!</v>
      </c>
      <c r="AN92" s="55" t="e">
        <f t="shared" si="28"/>
        <v>#REF!</v>
      </c>
    </row>
    <row r="93" spans="2:42" ht="15.75" customHeight="1" x14ac:dyDescent="0.2">
      <c r="B93" s="33">
        <v>115</v>
      </c>
      <c r="C93" s="33" t="s">
        <v>187</v>
      </c>
      <c r="D93" s="29">
        <v>0.5</v>
      </c>
      <c r="E93" s="50">
        <v>5</v>
      </c>
      <c r="F93">
        <v>10</v>
      </c>
      <c r="G93">
        <v>20</v>
      </c>
      <c r="Q93" s="45"/>
      <c r="R93" s="45"/>
      <c r="S93" s="33"/>
      <c r="T93" s="33"/>
      <c r="U93" s="33"/>
      <c r="V93" s="50"/>
      <c r="W93" s="33"/>
      <c r="X93" s="33"/>
      <c r="AA93" s="33" t="e">
        <f t="shared" si="29"/>
        <v>#REF!</v>
      </c>
      <c r="AB93" s="33">
        <f t="shared" si="29"/>
        <v>100</v>
      </c>
      <c r="AC93" s="119" t="e">
        <f t="shared" si="29"/>
        <v>#REF!</v>
      </c>
      <c r="AD93" s="114" t="e">
        <f t="shared" si="25"/>
        <v>#REF!</v>
      </c>
      <c r="AE93" s="44" t="e">
        <f>AE92</f>
        <v>#REF!</v>
      </c>
      <c r="AF93" s="44"/>
      <c r="AG93" s="33">
        <v>100</v>
      </c>
      <c r="AH93" s="31">
        <f t="shared" si="30"/>
        <v>100</v>
      </c>
      <c r="AI93" s="52" t="e">
        <f t="shared" si="30"/>
        <v>#REF!</v>
      </c>
      <c r="AJ93" s="62" t="e">
        <f t="shared" si="26"/>
        <v>#REF!</v>
      </c>
      <c r="AK93" s="32" t="e">
        <f>AK92</f>
        <v>#REF!</v>
      </c>
      <c r="AM93" s="118" t="e">
        <f t="shared" si="27"/>
        <v>#REF!</v>
      </c>
      <c r="AN93" s="54" t="e">
        <f t="shared" si="28"/>
        <v>#REF!</v>
      </c>
    </row>
    <row r="94" spans="2:42" ht="15.75" customHeight="1" x14ac:dyDescent="0.2">
      <c r="B94" s="36">
        <v>122</v>
      </c>
      <c r="C94" s="36" t="s">
        <v>187</v>
      </c>
      <c r="D94" s="37">
        <v>0.5</v>
      </c>
      <c r="E94" s="51">
        <v>5</v>
      </c>
      <c r="F94" s="35">
        <v>10</v>
      </c>
      <c r="G94" s="35">
        <v>20</v>
      </c>
      <c r="Q94" s="47"/>
      <c r="R94" s="47"/>
      <c r="S94" s="36"/>
      <c r="T94" s="36"/>
      <c r="U94" s="36"/>
      <c r="V94" s="51"/>
      <c r="W94" s="36"/>
      <c r="X94" s="36"/>
      <c r="Y94" s="67"/>
      <c r="AA94" s="36" t="e">
        <f t="shared" si="29"/>
        <v>#REF!</v>
      </c>
      <c r="AB94" s="36">
        <f t="shared" si="29"/>
        <v>100</v>
      </c>
      <c r="AC94" s="120" t="e">
        <f t="shared" si="29"/>
        <v>#REF!</v>
      </c>
      <c r="AD94" s="115" t="e">
        <f t="shared" si="25"/>
        <v>#REF!</v>
      </c>
      <c r="AE94" s="48" t="e">
        <f>AE93</f>
        <v>#REF!</v>
      </c>
      <c r="AF94" s="44"/>
      <c r="AG94" s="36">
        <v>100</v>
      </c>
      <c r="AH94" s="38">
        <f t="shared" si="30"/>
        <v>100</v>
      </c>
      <c r="AI94" s="120" t="e">
        <f t="shared" si="30"/>
        <v>#REF!</v>
      </c>
      <c r="AJ94" s="115" t="e">
        <f t="shared" si="26"/>
        <v>#REF!</v>
      </c>
      <c r="AK94" s="39" t="e">
        <f>AK93</f>
        <v>#REF!</v>
      </c>
      <c r="AM94" s="115" t="e">
        <f t="shared" si="27"/>
        <v>#REF!</v>
      </c>
      <c r="AN94" s="115" t="e">
        <f t="shared" si="28"/>
        <v>#REF!</v>
      </c>
    </row>
    <row r="95" spans="2:42" ht="15.75" customHeight="1" x14ac:dyDescent="0.2">
      <c r="B95" s="33">
        <v>100</v>
      </c>
      <c r="C95" s="33" t="s">
        <v>188</v>
      </c>
      <c r="D95" s="29">
        <v>0.5</v>
      </c>
      <c r="E95" s="50">
        <v>5</v>
      </c>
      <c r="F95">
        <v>10</v>
      </c>
      <c r="G95">
        <v>20</v>
      </c>
      <c r="Q95" s="45" t="s">
        <v>102</v>
      </c>
      <c r="R95" s="45"/>
      <c r="S95" s="33"/>
      <c r="T95" s="33"/>
      <c r="U95" s="33">
        <v>200</v>
      </c>
      <c r="V95" s="50" t="e">
        <f>U95/#REF!</f>
        <v>#REF!</v>
      </c>
      <c r="W95" s="33"/>
      <c r="X95" s="33"/>
      <c r="Y95" s="67"/>
      <c r="AA95" s="33" t="e">
        <f>#REF!</f>
        <v>#REF!</v>
      </c>
      <c r="AB95" s="33">
        <f>U95*D95</f>
        <v>100</v>
      </c>
      <c r="AC95" s="52" t="e">
        <f>AA95*(1+F95/100)/(1-#REF!/100)</f>
        <v>#REF!</v>
      </c>
      <c r="AD95" s="96" t="e">
        <f t="shared" si="25"/>
        <v>#REF!</v>
      </c>
      <c r="AE95" s="44" t="e">
        <f>AB95/AA95</f>
        <v>#REF!</v>
      </c>
      <c r="AF95" s="44"/>
      <c r="AG95" s="33" t="e">
        <f>#REF!</f>
        <v>#REF!</v>
      </c>
      <c r="AH95" s="31">
        <f>U95*(1-D95)</f>
        <v>100</v>
      </c>
      <c r="AI95" s="52" t="e">
        <f>AG95*(1+G95/100)/(1-#REF!/100)</f>
        <v>#REF!</v>
      </c>
      <c r="AJ95" s="54" t="e">
        <f t="shared" si="26"/>
        <v>#REF!</v>
      </c>
      <c r="AK95" s="32" t="e">
        <f>AH95/AG95</f>
        <v>#REF!</v>
      </c>
      <c r="AM95" s="54" t="e">
        <f t="shared" si="27"/>
        <v>#REF!</v>
      </c>
      <c r="AN95" s="54" t="e">
        <f t="shared" si="28"/>
        <v>#REF!</v>
      </c>
    </row>
    <row r="96" spans="2:42" ht="15.75" customHeight="1" x14ac:dyDescent="0.2">
      <c r="B96" s="36">
        <v>109</v>
      </c>
      <c r="C96" s="36" t="s">
        <v>188</v>
      </c>
      <c r="D96" s="37">
        <v>0.5</v>
      </c>
      <c r="E96" s="51">
        <v>5</v>
      </c>
      <c r="F96" s="35">
        <v>10</v>
      </c>
      <c r="G96" s="35">
        <v>20</v>
      </c>
      <c r="Q96" s="47"/>
      <c r="R96" s="47"/>
      <c r="S96" s="36"/>
      <c r="T96" s="36"/>
      <c r="U96" s="36"/>
      <c r="V96" s="51"/>
      <c r="W96" s="36"/>
      <c r="X96" s="36"/>
      <c r="Y96" s="67"/>
      <c r="AA96" s="36" t="e">
        <f t="shared" ref="AA96:AC96" si="31">AA95</f>
        <v>#REF!</v>
      </c>
      <c r="AB96" s="36">
        <f t="shared" si="31"/>
        <v>100</v>
      </c>
      <c r="AC96" s="40" t="e">
        <f t="shared" si="31"/>
        <v>#REF!</v>
      </c>
      <c r="AD96" s="55" t="e">
        <f t="shared" si="25"/>
        <v>#REF!</v>
      </c>
      <c r="AE96" s="48" t="e">
        <f>AE95</f>
        <v>#REF!</v>
      </c>
      <c r="AF96" s="44"/>
      <c r="AG96" s="36">
        <v>100</v>
      </c>
      <c r="AH96" s="38">
        <f t="shared" ref="AH96:AI96" si="32">AH95</f>
        <v>100</v>
      </c>
      <c r="AI96" s="40" t="e">
        <f t="shared" si="32"/>
        <v>#REF!</v>
      </c>
      <c r="AJ96" s="55" t="e">
        <f t="shared" si="26"/>
        <v>#REF!</v>
      </c>
      <c r="AK96" s="39" t="e">
        <f>AK95</f>
        <v>#REF!</v>
      </c>
      <c r="AM96" s="55" t="e">
        <f t="shared" si="27"/>
        <v>#REF!</v>
      </c>
      <c r="AN96" s="55" t="e">
        <f t="shared" si="28"/>
        <v>#REF!</v>
      </c>
    </row>
    <row r="97" spans="2:40" ht="15.75" customHeight="1" x14ac:dyDescent="0.2">
      <c r="B97" s="33">
        <v>115</v>
      </c>
      <c r="C97" s="33" t="s">
        <v>188</v>
      </c>
      <c r="D97" s="29">
        <v>0.5</v>
      </c>
      <c r="E97" s="50">
        <v>5</v>
      </c>
      <c r="F97">
        <v>10</v>
      </c>
      <c r="G97">
        <v>20</v>
      </c>
      <c r="Q97" s="45"/>
      <c r="R97" s="45"/>
      <c r="S97" s="33"/>
      <c r="T97" s="33"/>
      <c r="U97" s="33"/>
      <c r="V97" s="50"/>
      <c r="W97" s="33"/>
      <c r="X97" s="33"/>
      <c r="Y97" s="67"/>
      <c r="AA97" s="33" t="e">
        <f t="shared" ref="AA97:AC97" si="33">AA96</f>
        <v>#REF!</v>
      </c>
      <c r="AB97" s="33">
        <f t="shared" si="33"/>
        <v>100</v>
      </c>
      <c r="AC97" s="119" t="e">
        <f t="shared" si="33"/>
        <v>#REF!</v>
      </c>
      <c r="AD97" s="114" t="e">
        <f t="shared" si="25"/>
        <v>#REF!</v>
      </c>
      <c r="AE97" s="44" t="e">
        <f>AE96</f>
        <v>#REF!</v>
      </c>
      <c r="AF97" s="44"/>
      <c r="AG97" s="33">
        <v>100</v>
      </c>
      <c r="AH97" s="31">
        <f t="shared" ref="AH97:AI97" si="34">AH96</f>
        <v>100</v>
      </c>
      <c r="AI97" s="52" t="e">
        <f t="shared" si="34"/>
        <v>#REF!</v>
      </c>
      <c r="AJ97" s="62" t="e">
        <f t="shared" si="26"/>
        <v>#REF!</v>
      </c>
      <c r="AK97" s="32" t="e">
        <f>AK96</f>
        <v>#REF!</v>
      </c>
      <c r="AM97" s="118" t="e">
        <f t="shared" si="27"/>
        <v>#REF!</v>
      </c>
      <c r="AN97" s="54" t="e">
        <f t="shared" si="28"/>
        <v>#REF!</v>
      </c>
    </row>
    <row r="98" spans="2:40" ht="15.75" customHeight="1" x14ac:dyDescent="0.2">
      <c r="B98" s="36">
        <v>122</v>
      </c>
      <c r="C98" s="122" t="s">
        <v>188</v>
      </c>
      <c r="D98" s="37">
        <v>0.5</v>
      </c>
      <c r="E98" s="51">
        <v>5</v>
      </c>
      <c r="F98" s="35">
        <v>10</v>
      </c>
      <c r="G98" s="35">
        <v>20</v>
      </c>
      <c r="Q98" s="47"/>
      <c r="R98" s="47"/>
      <c r="S98" s="36"/>
      <c r="T98" s="36"/>
      <c r="U98" s="36"/>
      <c r="V98" s="51"/>
      <c r="W98" s="36"/>
      <c r="X98" s="36"/>
      <c r="Y98" s="67"/>
      <c r="AA98" s="36" t="e">
        <f t="shared" ref="AA98:AC98" si="35">AA97</f>
        <v>#REF!</v>
      </c>
      <c r="AB98" s="36">
        <f t="shared" si="35"/>
        <v>100</v>
      </c>
      <c r="AC98" s="120" t="e">
        <f t="shared" si="35"/>
        <v>#REF!</v>
      </c>
      <c r="AD98" s="115" t="e">
        <f t="shared" si="25"/>
        <v>#REF!</v>
      </c>
      <c r="AE98" s="48" t="e">
        <f>AE97</f>
        <v>#REF!</v>
      </c>
      <c r="AF98" s="44"/>
      <c r="AG98" s="36">
        <v>100</v>
      </c>
      <c r="AH98" s="38">
        <f t="shared" ref="AH98:AI98" si="36">AH97</f>
        <v>100</v>
      </c>
      <c r="AI98" s="120" t="e">
        <f t="shared" si="36"/>
        <v>#REF!</v>
      </c>
      <c r="AJ98" s="115" t="e">
        <f t="shared" si="26"/>
        <v>#REF!</v>
      </c>
      <c r="AK98" s="39" t="e">
        <f>AK97</f>
        <v>#REF!</v>
      </c>
      <c r="AM98" s="115" t="e">
        <f t="shared" si="27"/>
        <v>#REF!</v>
      </c>
      <c r="AN98" s="115" t="e">
        <f t="shared" si="28"/>
        <v>#REF!</v>
      </c>
    </row>
    <row r="99" spans="2:40" ht="15.75" customHeight="1" x14ac:dyDescent="0.2">
      <c r="B99" s="33">
        <v>122</v>
      </c>
      <c r="C99" s="33" t="s">
        <v>188</v>
      </c>
      <c r="D99" s="29">
        <v>0.5</v>
      </c>
      <c r="E99" s="50">
        <v>5</v>
      </c>
      <c r="F99">
        <v>10</v>
      </c>
      <c r="G99">
        <v>20</v>
      </c>
      <c r="Q99" s="45" t="s">
        <v>189</v>
      </c>
      <c r="R99" s="45"/>
      <c r="S99" s="33"/>
      <c r="T99" s="33"/>
      <c r="U99" s="33">
        <v>200</v>
      </c>
      <c r="V99" s="50" t="e">
        <f>U99/#REF!</f>
        <v>#REF!</v>
      </c>
      <c r="W99" s="33"/>
      <c r="X99" s="33"/>
      <c r="Y99" s="67"/>
      <c r="AA99" s="33" t="e">
        <f>#REF!</f>
        <v>#REF!</v>
      </c>
      <c r="AB99" s="33">
        <f>U99*D99</f>
        <v>100</v>
      </c>
      <c r="AC99" s="119" t="e">
        <f>AA99*(1+F99/100)/(1-#REF!/100)</f>
        <v>#REF!</v>
      </c>
      <c r="AD99" s="114" t="e">
        <f t="shared" si="25"/>
        <v>#REF!</v>
      </c>
      <c r="AE99" s="44" t="e">
        <f>AE98</f>
        <v>#REF!</v>
      </c>
      <c r="AF99" s="44"/>
      <c r="AG99" s="33" t="e">
        <f>#REF!</f>
        <v>#REF!</v>
      </c>
      <c r="AH99" s="31">
        <f>U99*(1-D99)</f>
        <v>100</v>
      </c>
      <c r="AI99" s="52" t="e">
        <f>AG99*(1+G99/100)/(1-#REF!/100)</f>
        <v>#REF!</v>
      </c>
      <c r="AJ99" s="54" t="e">
        <f t="shared" si="26"/>
        <v>#REF!</v>
      </c>
      <c r="AK99" s="32" t="e">
        <f>AH99/AG99</f>
        <v>#REF!</v>
      </c>
      <c r="AM99" s="118" t="e">
        <f t="shared" si="27"/>
        <v>#REF!</v>
      </c>
      <c r="AN99" s="54" t="e">
        <f t="shared" si="28"/>
        <v>#REF!</v>
      </c>
    </row>
    <row r="100" spans="2:40" ht="15.75" customHeight="1" x14ac:dyDescent="0.2">
      <c r="B100" s="33"/>
      <c r="C100" s="33"/>
      <c r="D100" s="29"/>
      <c r="E100" s="50"/>
      <c r="Q100" s="45"/>
      <c r="R100" s="45"/>
      <c r="S100" s="33"/>
      <c r="T100" s="33"/>
      <c r="U100" s="33"/>
      <c r="V100" s="50"/>
      <c r="W100" s="33"/>
      <c r="X100" s="33"/>
      <c r="Y100" s="67"/>
      <c r="AA100" s="33"/>
      <c r="AB100" s="33"/>
      <c r="AC100" s="52"/>
      <c r="AD100" s="62"/>
      <c r="AE100" s="44"/>
      <c r="AF100" s="44"/>
      <c r="AG100" s="33"/>
      <c r="AH100" s="31"/>
      <c r="AI100" s="33"/>
      <c r="AJ100" s="62"/>
      <c r="AK100" s="32"/>
    </row>
    <row r="101" spans="2:40" ht="15.75" customHeight="1" x14ac:dyDescent="0.2"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</row>
    <row r="102" spans="2:40" ht="15.75" customHeight="1" x14ac:dyDescent="0.2">
      <c r="B102" s="95" t="s">
        <v>103</v>
      </c>
      <c r="C102" s="34"/>
      <c r="AA102" s="111"/>
      <c r="AB102" s="111"/>
      <c r="AC102" s="112"/>
      <c r="AD102" s="111"/>
      <c r="AE102" s="111"/>
      <c r="AF102" s="111"/>
      <c r="AG102" s="111"/>
      <c r="AH102" s="111"/>
      <c r="AI102" s="111"/>
      <c r="AJ102" s="111"/>
      <c r="AK102" s="111"/>
      <c r="AL102" s="111"/>
    </row>
    <row r="103" spans="2:40" ht="15.75" customHeight="1" x14ac:dyDescent="0.2">
      <c r="B103" s="28" t="s">
        <v>61</v>
      </c>
      <c r="C103" s="28"/>
      <c r="D103" s="28" t="s">
        <v>29</v>
      </c>
      <c r="E103" s="57" t="s">
        <v>63</v>
      </c>
      <c r="F103" s="57" t="s">
        <v>72</v>
      </c>
      <c r="G103" s="57" t="s">
        <v>99</v>
      </c>
      <c r="H103" s="102"/>
      <c r="I103" s="102"/>
      <c r="J103" s="102"/>
      <c r="K103" s="102"/>
      <c r="L103" s="102"/>
      <c r="M103" s="102"/>
      <c r="N103" s="102"/>
      <c r="O103" s="102"/>
      <c r="AA103" s="111"/>
      <c r="AB103" s="111"/>
      <c r="AC103" s="113"/>
      <c r="AD103" s="111"/>
      <c r="AE103" s="111"/>
      <c r="AF103" s="111"/>
      <c r="AG103" s="111"/>
      <c r="AH103" s="111"/>
      <c r="AI103" s="111"/>
      <c r="AJ103" s="111"/>
      <c r="AK103" s="111"/>
      <c r="AL103" s="111"/>
    </row>
    <row r="104" spans="2:40" ht="15.75" customHeight="1" x14ac:dyDescent="0.2">
      <c r="B104" s="33">
        <v>100</v>
      </c>
      <c r="C104" s="33"/>
      <c r="D104" s="29">
        <v>0.5</v>
      </c>
      <c r="E104" s="50">
        <v>5</v>
      </c>
      <c r="F104">
        <v>10</v>
      </c>
      <c r="G104">
        <v>20</v>
      </c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</row>
    <row r="105" spans="2:40" ht="15.75" customHeight="1" x14ac:dyDescent="0.2">
      <c r="B105" s="36">
        <v>109</v>
      </c>
      <c r="C105" s="36"/>
      <c r="D105" s="37">
        <v>0.5</v>
      </c>
      <c r="E105" s="51">
        <v>5</v>
      </c>
      <c r="F105" s="35">
        <v>10</v>
      </c>
      <c r="G105" s="35">
        <v>20</v>
      </c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</row>
    <row r="106" spans="2:40" ht="15.75" customHeight="1" x14ac:dyDescent="0.2">
      <c r="B106" s="33">
        <v>115</v>
      </c>
      <c r="C106" s="33"/>
      <c r="D106" s="29">
        <v>0.5</v>
      </c>
      <c r="E106" s="50">
        <v>5</v>
      </c>
      <c r="F106">
        <v>10</v>
      </c>
      <c r="G106">
        <v>20</v>
      </c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</row>
    <row r="107" spans="2:40" ht="15.75" customHeight="1" x14ac:dyDescent="0.2">
      <c r="B107" s="36">
        <v>122</v>
      </c>
      <c r="C107" s="36"/>
      <c r="D107" s="37">
        <v>0.5</v>
      </c>
      <c r="E107" s="51">
        <v>5</v>
      </c>
      <c r="F107" s="35">
        <v>10</v>
      </c>
      <c r="G107" s="35">
        <v>20</v>
      </c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</row>
    <row r="108" spans="2:40" ht="15.75" customHeight="1" x14ac:dyDescent="0.2">
      <c r="AL108" s="121"/>
    </row>
    <row r="109" spans="2:40" ht="15.75" customHeight="1" x14ac:dyDescent="0.2">
      <c r="B109" s="186" t="s">
        <v>175</v>
      </c>
      <c r="C109" s="34"/>
      <c r="AA109" s="56" t="s">
        <v>186</v>
      </c>
      <c r="AB109" s="12"/>
      <c r="AC109" s="12"/>
      <c r="AD109" s="34" t="s">
        <v>179</v>
      </c>
      <c r="AG109" s="46"/>
      <c r="AH109" s="45"/>
      <c r="AI109" s="46"/>
      <c r="AJ109" s="46"/>
      <c r="AK109" s="45"/>
    </row>
    <row r="110" spans="2:40" ht="15.75" customHeight="1" x14ac:dyDescent="0.2">
      <c r="B110" s="28" t="s">
        <v>110</v>
      </c>
      <c r="C110" s="28" t="s">
        <v>114</v>
      </c>
      <c r="D110" s="28" t="s">
        <v>29</v>
      </c>
      <c r="E110" s="57" t="s">
        <v>63</v>
      </c>
      <c r="F110" s="57" t="s">
        <v>72</v>
      </c>
      <c r="G110" s="57" t="s">
        <v>99</v>
      </c>
      <c r="H110" s="102"/>
      <c r="I110" s="102"/>
      <c r="J110" s="102"/>
      <c r="K110" s="102"/>
      <c r="L110" s="102"/>
      <c r="M110" s="102"/>
      <c r="N110" s="102"/>
      <c r="O110" s="102"/>
      <c r="Q110" s="28" t="s">
        <v>3</v>
      </c>
      <c r="R110" s="28"/>
      <c r="S110" s="28"/>
      <c r="T110" s="57" t="s">
        <v>70</v>
      </c>
      <c r="U110" s="28" t="s">
        <v>1</v>
      </c>
      <c r="V110" s="57" t="s">
        <v>62</v>
      </c>
      <c r="W110" s="102"/>
      <c r="X110" s="102"/>
      <c r="AA110" s="57" t="s">
        <v>0</v>
      </c>
      <c r="AB110" s="57" t="s">
        <v>9</v>
      </c>
      <c r="AC110" s="102"/>
      <c r="AD110" s="57" t="s">
        <v>182</v>
      </c>
      <c r="AE110" s="57" t="s">
        <v>183</v>
      </c>
      <c r="AF110" s="57" t="s">
        <v>181</v>
      </c>
      <c r="AG110" s="102"/>
      <c r="AH110" s="102"/>
      <c r="AI110" s="102"/>
      <c r="AJ110" s="102"/>
      <c r="AK110" s="102"/>
    </row>
    <row r="111" spans="2:40" ht="15.75" customHeight="1" x14ac:dyDescent="0.2">
      <c r="B111" s="33">
        <v>100</v>
      </c>
      <c r="C111" s="100" t="s">
        <v>176</v>
      </c>
      <c r="D111" s="29">
        <v>0.5</v>
      </c>
      <c r="E111" s="50">
        <v>5</v>
      </c>
      <c r="F111">
        <v>10</v>
      </c>
      <c r="G111">
        <v>20</v>
      </c>
      <c r="Q111" s="45" t="s">
        <v>75</v>
      </c>
      <c r="R111" s="45"/>
      <c r="S111" s="33"/>
      <c r="T111" s="33"/>
      <c r="U111" s="33">
        <v>500</v>
      </c>
      <c r="V111" s="50" t="e">
        <f>U111/#REF!</f>
        <v>#REF!</v>
      </c>
      <c r="W111" s="52"/>
      <c r="X111" s="52"/>
      <c r="AA111" s="33"/>
      <c r="AB111" s="33"/>
      <c r="AC111" s="33"/>
      <c r="AD111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1" s="92" t="s">
        <v>34</v>
      </c>
      <c r="AF111" t="s">
        <v>184</v>
      </c>
      <c r="AG111" s="100"/>
      <c r="AH111" s="103"/>
      <c r="AI111" s="100"/>
      <c r="AJ111" s="104"/>
      <c r="AK111" s="105"/>
    </row>
    <row r="112" spans="2:40" ht="15.75" customHeight="1" x14ac:dyDescent="0.2">
      <c r="B112" s="36"/>
      <c r="C112" s="36"/>
      <c r="D112" s="37"/>
      <c r="E112" s="51"/>
      <c r="F112" s="35"/>
      <c r="G112" s="35"/>
      <c r="Q112" s="47" t="s">
        <v>75</v>
      </c>
      <c r="R112" s="47"/>
      <c r="S112" s="36"/>
      <c r="T112" s="36"/>
      <c r="U112" s="36">
        <v>200</v>
      </c>
      <c r="V112" s="51" t="e">
        <f>U112/#REF!</f>
        <v>#REF!</v>
      </c>
      <c r="W112" s="52"/>
      <c r="X112" s="52"/>
      <c r="AA112" s="36"/>
      <c r="AB112" s="36"/>
      <c r="AC112" s="33"/>
      <c r="AD112" s="108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2" s="106" t="s">
        <v>34</v>
      </c>
      <c r="AF112" s="35" t="e">
        <f>#REF!</f>
        <v>#REF!</v>
      </c>
      <c r="AG112" s="100"/>
      <c r="AH112" s="103"/>
      <c r="AI112" s="100"/>
      <c r="AJ112" s="104"/>
      <c r="AK112" s="105"/>
    </row>
    <row r="113" spans="2:43" ht="15.75" customHeight="1" x14ac:dyDescent="0.2">
      <c r="B113" s="33">
        <v>50</v>
      </c>
      <c r="C113" s="100" t="s">
        <v>185</v>
      </c>
      <c r="D113" s="29">
        <v>0.5</v>
      </c>
      <c r="E113" s="50">
        <v>8</v>
      </c>
      <c r="F113">
        <v>10</v>
      </c>
      <c r="G113">
        <v>20</v>
      </c>
      <c r="Q113" s="45" t="s">
        <v>75</v>
      </c>
      <c r="R113" s="45"/>
      <c r="S113" s="33"/>
      <c r="T113" s="33"/>
      <c r="U113" s="33">
        <v>600</v>
      </c>
      <c r="V113" s="50" t="e">
        <f>U113/#REF!</f>
        <v>#REF!</v>
      </c>
      <c r="W113" s="52"/>
      <c r="X113" s="52"/>
      <c r="AA113" s="33" t="e">
        <f>#REF!</f>
        <v>#REF!</v>
      </c>
      <c r="AB113" s="52" t="e">
        <f>AA113 * (1 - $E$113%)</f>
        <v>#REF!</v>
      </c>
      <c r="AC113" s="33"/>
      <c r="AE113" s="54" t="e">
        <f>($B$113 -#REF!) /#REF!</f>
        <v>#REF!</v>
      </c>
      <c r="AF113" t="e">
        <f>#REF!</f>
        <v>#REF!</v>
      </c>
      <c r="AG113" s="100"/>
      <c r="AH113" s="103"/>
      <c r="AI113" s="100"/>
      <c r="AJ113" s="104"/>
      <c r="AK113" s="105"/>
    </row>
    <row r="114" spans="2:43" ht="15.75" customHeight="1" x14ac:dyDescent="0.2">
      <c r="B114" s="36"/>
      <c r="C114" s="36"/>
      <c r="D114" s="37"/>
      <c r="E114" s="51"/>
      <c r="F114" s="35"/>
      <c r="G114" s="35"/>
      <c r="Q114" s="47" t="s">
        <v>75</v>
      </c>
      <c r="R114" s="47"/>
      <c r="S114" s="36"/>
      <c r="T114" s="36"/>
      <c r="U114" s="36">
        <v>520</v>
      </c>
      <c r="V114" s="51" t="e">
        <f>U114/#REF!</f>
        <v>#REF!</v>
      </c>
      <c r="W114" s="52"/>
      <c r="X114" s="52"/>
      <c r="AA114" s="36" t="e">
        <f>#REF!</f>
        <v>#REF!</v>
      </c>
      <c r="AB114" s="40" t="e">
        <f t="shared" ref="AB114:AB115" si="37">AA114 * (1 - $E$113%)</f>
        <v>#REF!</v>
      </c>
      <c r="AC114" s="33"/>
      <c r="AD114" s="35"/>
      <c r="AE114" s="55" t="e">
        <f>($B$113 -#REF!) /#REF!</f>
        <v>#REF!</v>
      </c>
      <c r="AF114" s="35" t="e">
        <f>#REF!</f>
        <v>#REF!</v>
      </c>
      <c r="AG114" s="100"/>
      <c r="AH114" s="103"/>
      <c r="AI114" s="100"/>
      <c r="AJ114" s="104"/>
      <c r="AK114" s="105"/>
    </row>
    <row r="115" spans="2:43" ht="15.75" customHeight="1" x14ac:dyDescent="0.2">
      <c r="B115" s="33"/>
      <c r="C115" s="33"/>
      <c r="D115" s="29"/>
      <c r="E115" s="50"/>
      <c r="Q115" t="s">
        <v>75</v>
      </c>
      <c r="U115" s="33">
        <v>700</v>
      </c>
      <c r="V115" s="50" t="e">
        <f>U115/#REF!</f>
        <v>#REF!</v>
      </c>
      <c r="W115" s="52"/>
      <c r="X115" s="52"/>
      <c r="AA115" s="33" t="e">
        <f>#REF!</f>
        <v>#REF!</v>
      </c>
      <c r="AB115" s="52" t="e">
        <f t="shared" si="37"/>
        <v>#REF!</v>
      </c>
      <c r="AE115" s="54" t="e">
        <f>($B$113 -#REF!) /#REF!</f>
        <v>#REF!</v>
      </c>
      <c r="AF115" t="e">
        <f>#REF!</f>
        <v>#REF!</v>
      </c>
      <c r="AG115" s="45"/>
      <c r="AH115" s="45"/>
      <c r="AI115" s="45"/>
      <c r="AJ115" s="45"/>
      <c r="AK115" s="45"/>
    </row>
    <row r="116" spans="2:43" ht="15.75" customHeight="1" x14ac:dyDescent="0.2">
      <c r="B116" s="100" t="s">
        <v>177</v>
      </c>
      <c r="C116" s="33"/>
      <c r="D116" s="29"/>
      <c r="E116" s="50"/>
      <c r="Q116" s="47" t="s">
        <v>75</v>
      </c>
      <c r="R116" s="47"/>
      <c r="S116" s="35"/>
      <c r="T116" s="35"/>
      <c r="U116" s="36">
        <v>255</v>
      </c>
      <c r="V116" s="51" t="e">
        <f>U116/#REF!</f>
        <v>#REF!</v>
      </c>
      <c r="AA116" s="36" t="e">
        <f>#REF!</f>
        <v>#REF!</v>
      </c>
      <c r="AB116" s="40" t="e">
        <f>(AA116 * (1 - $E$113%)) / (1 +#REF! %)</f>
        <v>#REF!</v>
      </c>
      <c r="AD116" s="35"/>
      <c r="AE116" s="107" t="e">
        <f>($B$113 -#REF!) /#REF!</f>
        <v>#REF!</v>
      </c>
      <c r="AF116" s="35" t="e">
        <f>#REF!</f>
        <v>#REF!</v>
      </c>
    </row>
    <row r="117" spans="2:43" ht="15.75" customHeight="1" x14ac:dyDescent="0.2">
      <c r="B117" s="57" t="s">
        <v>2</v>
      </c>
      <c r="C117" s="57" t="s">
        <v>178</v>
      </c>
      <c r="D117" s="57" t="s">
        <v>180</v>
      </c>
      <c r="Q117" s="45" t="s">
        <v>75</v>
      </c>
      <c r="R117" s="45"/>
      <c r="U117" s="33">
        <v>1100</v>
      </c>
      <c r="V117" s="50" t="e">
        <f>U117/#REF!</f>
        <v>#REF!</v>
      </c>
      <c r="AA117" s="33" t="e">
        <f>#REF!</f>
        <v>#REF!</v>
      </c>
      <c r="AD117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7" s="109" t="e">
        <f>($B$111 -#REF!) /#REF!</f>
        <v>#REF!</v>
      </c>
      <c r="AF117" t="e">
        <f>#REF!</f>
        <v>#REF!</v>
      </c>
    </row>
    <row r="118" spans="2:43" ht="15.75" customHeight="1" x14ac:dyDescent="0.2">
      <c r="B118" s="99">
        <v>45924</v>
      </c>
      <c r="C118" s="98">
        <v>106</v>
      </c>
    </row>
    <row r="119" spans="2:43" ht="15.75" customHeight="1" x14ac:dyDescent="0.2">
      <c r="B119" s="99">
        <v>45923</v>
      </c>
      <c r="C119" s="98">
        <v>105</v>
      </c>
    </row>
    <row r="120" spans="2:43" ht="15.75" customHeight="1" x14ac:dyDescent="0.2">
      <c r="B120" s="99">
        <v>45922</v>
      </c>
      <c r="C120" s="98">
        <v>108</v>
      </c>
    </row>
    <row r="121" spans="2:43" ht="15.75" customHeight="1" x14ac:dyDescent="0.2">
      <c r="B121" s="99">
        <v>45921</v>
      </c>
      <c r="C121" s="98">
        <v>107</v>
      </c>
    </row>
    <row r="122" spans="2:43" ht="15.75" customHeight="1" x14ac:dyDescent="0.2">
      <c r="B122" s="99">
        <v>45920</v>
      </c>
      <c r="C122" s="98">
        <v>104</v>
      </c>
      <c r="P122" s="45"/>
      <c r="AB122" s="68"/>
    </row>
    <row r="123" spans="2:43" ht="15.75" customHeight="1" x14ac:dyDescent="0.2">
      <c r="P123" s="45"/>
    </row>
    <row r="124" spans="2:43" ht="15.75" customHeight="1" x14ac:dyDescent="0.2">
      <c r="P124" s="45"/>
    </row>
    <row r="125" spans="2:43" ht="15.75" customHeight="1" x14ac:dyDescent="0.2">
      <c r="P125" s="92"/>
      <c r="AB125" s="45" t="s">
        <v>74</v>
      </c>
      <c r="AL125" s="45" t="s">
        <v>94</v>
      </c>
    </row>
    <row r="126" spans="2:43" ht="15.75" customHeight="1" x14ac:dyDescent="0.2">
      <c r="AB126" s="69" t="s">
        <v>2</v>
      </c>
      <c r="AC126" s="70" t="s">
        <v>3</v>
      </c>
      <c r="AD126" s="70"/>
      <c r="AE126" s="70" t="s">
        <v>76</v>
      </c>
      <c r="AF126" s="70" t="s">
        <v>4</v>
      </c>
      <c r="AG126" s="70" t="s">
        <v>0</v>
      </c>
      <c r="AH126" s="70" t="s">
        <v>1</v>
      </c>
      <c r="AI126" s="70" t="s">
        <v>62</v>
      </c>
      <c r="AJ126" s="70"/>
      <c r="AK126" s="70" t="s">
        <v>77</v>
      </c>
      <c r="AL126" s="70" t="s">
        <v>84</v>
      </c>
      <c r="AM126" s="70" t="s">
        <v>83</v>
      </c>
      <c r="AN126" s="70" t="s">
        <v>7</v>
      </c>
      <c r="AO126" s="70" t="s">
        <v>81</v>
      </c>
      <c r="AP126" s="70" t="s">
        <v>79</v>
      </c>
      <c r="AQ126" s="70" t="s">
        <v>82</v>
      </c>
    </row>
    <row r="127" spans="2:43" ht="15.75" customHeight="1" x14ac:dyDescent="0.2">
      <c r="AB127" s="78">
        <v>45658</v>
      </c>
      <c r="AC127" s="79" t="s">
        <v>75</v>
      </c>
      <c r="AD127" s="79"/>
      <c r="AE127" s="80" t="s">
        <v>85</v>
      </c>
      <c r="AF127" s="79" t="s">
        <v>78</v>
      </c>
      <c r="AG127" s="81">
        <v>200</v>
      </c>
      <c r="AH127" s="81">
        <v>200</v>
      </c>
      <c r="AI127" s="82">
        <f>AH127/AG127</f>
        <v>1</v>
      </c>
      <c r="AJ127" s="82"/>
      <c r="AK127" s="79"/>
      <c r="AL127" s="82">
        <v>1</v>
      </c>
      <c r="AM127" s="82">
        <f>AL127/2</f>
        <v>0.5</v>
      </c>
      <c r="AN127" s="83">
        <f>AL127/2</f>
        <v>0.5</v>
      </c>
      <c r="AO127" s="81">
        <v>0</v>
      </c>
      <c r="AP127" s="84">
        <f>ABS(AO127-AH127)</f>
        <v>200</v>
      </c>
      <c r="AQ127" s="85">
        <f>((AO127+(AI127*AG127)-AP127)/AP127)</f>
        <v>0</v>
      </c>
    </row>
    <row r="128" spans="2:43" ht="15.75" customHeight="1" x14ac:dyDescent="0.2">
      <c r="AB128" s="71">
        <v>45659</v>
      </c>
      <c r="AC128" s="72" t="s">
        <v>73</v>
      </c>
      <c r="AD128" s="72"/>
      <c r="AE128" s="74" t="s">
        <v>86</v>
      </c>
      <c r="AF128" s="72" t="s">
        <v>10</v>
      </c>
      <c r="AG128" s="73">
        <v>220</v>
      </c>
      <c r="AH128" s="72"/>
      <c r="AI128" s="75">
        <f>AM127</f>
        <v>0.5</v>
      </c>
      <c r="AJ128" s="75"/>
      <c r="AK128" s="73">
        <f>AG128*AI128</f>
        <v>110</v>
      </c>
      <c r="AL128" s="75">
        <v>0.5</v>
      </c>
      <c r="AM128" s="75">
        <v>0</v>
      </c>
      <c r="AN128" s="75">
        <v>0.5</v>
      </c>
      <c r="AO128" s="73">
        <f>AK128+AO127</f>
        <v>110</v>
      </c>
      <c r="AP128" s="73">
        <f>AP127</f>
        <v>200</v>
      </c>
      <c r="AQ128" s="77">
        <f t="shared" ref="AQ128:AQ136" si="38">((AO128+(AL128*AG128)-AP128)/AP128)</f>
        <v>0.1</v>
      </c>
    </row>
    <row r="129" spans="25:43" ht="15.75" customHeight="1" x14ac:dyDescent="0.2">
      <c r="AB129" s="78">
        <v>45660</v>
      </c>
      <c r="AC129" s="79" t="s">
        <v>75</v>
      </c>
      <c r="AD129" s="79"/>
      <c r="AE129" s="80" t="s">
        <v>87</v>
      </c>
      <c r="AF129" s="79" t="s">
        <v>80</v>
      </c>
      <c r="AG129" s="81">
        <v>220</v>
      </c>
      <c r="AH129" s="81">
        <v>220</v>
      </c>
      <c r="AI129" s="82">
        <f>AH129/AG129</f>
        <v>1</v>
      </c>
      <c r="AJ129" s="82"/>
      <c r="AK129" s="79"/>
      <c r="AL129" s="82">
        <f>AI129+AL128</f>
        <v>1.5</v>
      </c>
      <c r="AM129" s="82">
        <f>AM128+(AI129/2)</f>
        <v>0.5</v>
      </c>
      <c r="AN129" s="82">
        <f>AN128+(AI129/2)</f>
        <v>1</v>
      </c>
      <c r="AO129" s="81">
        <v>0</v>
      </c>
      <c r="AP129" s="81">
        <f>AP128+(AH129-AO128)</f>
        <v>310</v>
      </c>
      <c r="AQ129" s="85">
        <f t="shared" si="38"/>
        <v>6.4516129032258063E-2</v>
      </c>
    </row>
    <row r="130" spans="25:43" ht="15.75" customHeight="1" x14ac:dyDescent="0.2">
      <c r="AB130" s="71">
        <v>45661</v>
      </c>
      <c r="AC130" s="72" t="s">
        <v>73</v>
      </c>
      <c r="AD130" s="72"/>
      <c r="AE130" s="74" t="s">
        <v>88</v>
      </c>
      <c r="AF130" s="72" t="s">
        <v>80</v>
      </c>
      <c r="AG130" s="73">
        <v>190</v>
      </c>
      <c r="AH130" s="72"/>
      <c r="AI130" s="75">
        <v>0.5</v>
      </c>
      <c r="AJ130" s="75"/>
      <c r="AK130" s="73">
        <f>AG130*AI130</f>
        <v>95</v>
      </c>
      <c r="AL130" s="75">
        <f>AL129-AI130</f>
        <v>1</v>
      </c>
      <c r="AM130" s="75">
        <f>AM129</f>
        <v>0.5</v>
      </c>
      <c r="AN130" s="75">
        <f>AN129-AI130</f>
        <v>0.5</v>
      </c>
      <c r="AO130" s="73">
        <f>AO129+AK130</f>
        <v>95</v>
      </c>
      <c r="AP130" s="73">
        <f>AP129</f>
        <v>310</v>
      </c>
      <c r="AQ130" s="77">
        <f t="shared" si="38"/>
        <v>-8.0645161290322578E-2</v>
      </c>
    </row>
    <row r="131" spans="25:43" ht="15.75" customHeight="1" x14ac:dyDescent="0.2">
      <c r="AB131" s="78">
        <v>45662</v>
      </c>
      <c r="AC131" s="79" t="s">
        <v>75</v>
      </c>
      <c r="AD131" s="79"/>
      <c r="AE131" s="80" t="s">
        <v>89</v>
      </c>
      <c r="AF131" s="79" t="s">
        <v>80</v>
      </c>
      <c r="AG131" s="81">
        <v>200</v>
      </c>
      <c r="AH131" s="81">
        <v>200</v>
      </c>
      <c r="AI131" s="82">
        <f>AH131/AG131</f>
        <v>1</v>
      </c>
      <c r="AJ131" s="82"/>
      <c r="AK131" s="79"/>
      <c r="AL131" s="82">
        <f>AL130+AI131</f>
        <v>2</v>
      </c>
      <c r="AM131" s="82">
        <f>AM130+(AI131/2)</f>
        <v>1</v>
      </c>
      <c r="AN131" s="82">
        <f>AN130+(AI131/2)</f>
        <v>1</v>
      </c>
      <c r="AO131" s="81">
        <v>0</v>
      </c>
      <c r="AP131" s="81">
        <f>AP130+(AH131-AO130)</f>
        <v>415</v>
      </c>
      <c r="AQ131" s="85">
        <f t="shared" si="38"/>
        <v>-3.614457831325301E-2</v>
      </c>
    </row>
    <row r="132" spans="25:43" ht="15.75" customHeight="1" x14ac:dyDescent="0.2">
      <c r="AB132" s="71">
        <v>45663</v>
      </c>
      <c r="AC132" s="72" t="s">
        <v>73</v>
      </c>
      <c r="AD132" s="72"/>
      <c r="AE132" s="74" t="s">
        <v>90</v>
      </c>
      <c r="AF132" s="72" t="s">
        <v>80</v>
      </c>
      <c r="AG132" s="73">
        <v>210</v>
      </c>
      <c r="AH132" s="72"/>
      <c r="AI132" s="75">
        <v>0.5</v>
      </c>
      <c r="AJ132" s="75"/>
      <c r="AK132" s="73">
        <f>AG132*AI132</f>
        <v>105</v>
      </c>
      <c r="AL132" s="75">
        <f>AL131-AI132</f>
        <v>1.5</v>
      </c>
      <c r="AM132" s="75">
        <f>AM131-AI132</f>
        <v>0.5</v>
      </c>
      <c r="AN132" s="75">
        <f>AN131</f>
        <v>1</v>
      </c>
      <c r="AO132" s="73">
        <f>AO131+AK132</f>
        <v>105</v>
      </c>
      <c r="AP132" s="73">
        <f>AP131</f>
        <v>415</v>
      </c>
      <c r="AQ132" s="77">
        <f t="shared" si="38"/>
        <v>1.2048192771084338E-2</v>
      </c>
    </row>
    <row r="133" spans="25:43" ht="15.75" customHeight="1" x14ac:dyDescent="0.2">
      <c r="AB133" s="71">
        <v>45664</v>
      </c>
      <c r="AC133" s="72" t="s">
        <v>73</v>
      </c>
      <c r="AD133" s="72"/>
      <c r="AE133" s="74" t="s">
        <v>91</v>
      </c>
      <c r="AF133" s="72" t="s">
        <v>80</v>
      </c>
      <c r="AG133" s="73">
        <v>210</v>
      </c>
      <c r="AH133" s="72"/>
      <c r="AI133" s="75">
        <v>0.5</v>
      </c>
      <c r="AJ133" s="75"/>
      <c r="AK133" s="73">
        <f>AG133/2</f>
        <v>105</v>
      </c>
      <c r="AL133" s="75">
        <f>AL132-AI133</f>
        <v>1</v>
      </c>
      <c r="AM133" s="75">
        <f>AM132</f>
        <v>0.5</v>
      </c>
      <c r="AN133" s="75">
        <f>AN132-AI133</f>
        <v>0.5</v>
      </c>
      <c r="AO133" s="73">
        <f>AK133+AO132</f>
        <v>210</v>
      </c>
      <c r="AP133" s="73">
        <f>AP132</f>
        <v>415</v>
      </c>
      <c r="AQ133" s="77">
        <f t="shared" si="38"/>
        <v>1.2048192771084338E-2</v>
      </c>
    </row>
    <row r="134" spans="25:43" ht="15.75" customHeight="1" x14ac:dyDescent="0.2">
      <c r="Y134" s="92"/>
      <c r="AB134" s="78">
        <v>45665</v>
      </c>
      <c r="AC134" s="80" t="s">
        <v>75</v>
      </c>
      <c r="AD134" s="80"/>
      <c r="AE134" s="80" t="s">
        <v>92</v>
      </c>
      <c r="AF134" s="80" t="s">
        <v>80</v>
      </c>
      <c r="AG134" s="81">
        <v>200</v>
      </c>
      <c r="AH134" s="81">
        <v>200</v>
      </c>
      <c r="AI134" s="82">
        <v>1</v>
      </c>
      <c r="AJ134" s="82"/>
      <c r="AK134" s="79"/>
      <c r="AL134" s="82">
        <f>AL133+AI134</f>
        <v>2</v>
      </c>
      <c r="AM134" s="82">
        <f>AI134+AM133</f>
        <v>1.5</v>
      </c>
      <c r="AN134" s="83">
        <f>AN133</f>
        <v>0.5</v>
      </c>
      <c r="AO134" s="81">
        <f>AO133-AH134</f>
        <v>10</v>
      </c>
      <c r="AP134" s="81">
        <f>AP132</f>
        <v>415</v>
      </c>
      <c r="AQ134" s="85">
        <f t="shared" si="38"/>
        <v>-1.2048192771084338E-2</v>
      </c>
    </row>
    <row r="135" spans="25:43" ht="15.75" customHeight="1" x14ac:dyDescent="0.2">
      <c r="Y135" s="93"/>
      <c r="AB135" s="71">
        <v>45666</v>
      </c>
      <c r="AC135" s="74" t="s">
        <v>73</v>
      </c>
      <c r="AD135" s="74"/>
      <c r="AE135" s="74" t="s">
        <v>92</v>
      </c>
      <c r="AF135" s="74" t="s">
        <v>80</v>
      </c>
      <c r="AG135" s="73">
        <v>230</v>
      </c>
      <c r="AH135" s="72"/>
      <c r="AI135" s="75">
        <v>0.5</v>
      </c>
      <c r="AJ135" s="75"/>
      <c r="AK135" s="73">
        <f>AG135/2</f>
        <v>115</v>
      </c>
      <c r="AL135" s="75">
        <f>AL134-AI135</f>
        <v>1.5</v>
      </c>
      <c r="AM135" s="75">
        <f>AM134-AI135</f>
        <v>1</v>
      </c>
      <c r="AN135" s="75">
        <f>AN134</f>
        <v>0.5</v>
      </c>
      <c r="AO135" s="73">
        <f>AO134+AK135</f>
        <v>125</v>
      </c>
      <c r="AP135" s="73">
        <f>AP134</f>
        <v>415</v>
      </c>
      <c r="AQ135" s="77">
        <f t="shared" si="38"/>
        <v>0.13253012048192772</v>
      </c>
    </row>
    <row r="136" spans="25:43" ht="15.75" customHeight="1" x14ac:dyDescent="0.2">
      <c r="Y136" s="93"/>
      <c r="AB136" s="78">
        <v>45667</v>
      </c>
      <c r="AC136" s="80" t="s">
        <v>75</v>
      </c>
      <c r="AD136" s="80"/>
      <c r="AE136" s="80" t="s">
        <v>93</v>
      </c>
      <c r="AF136" s="80" t="s">
        <v>80</v>
      </c>
      <c r="AG136" s="81">
        <v>230</v>
      </c>
      <c r="AH136" s="81">
        <v>230</v>
      </c>
      <c r="AI136" s="82">
        <v>1</v>
      </c>
      <c r="AJ136" s="82"/>
      <c r="AK136" s="79"/>
      <c r="AL136" s="82">
        <f>AL135+AI136</f>
        <v>2.5</v>
      </c>
      <c r="AM136" s="82">
        <f>AM135</f>
        <v>1</v>
      </c>
      <c r="AN136" s="82">
        <f>AN135+AI136</f>
        <v>1.5</v>
      </c>
      <c r="AO136" s="81">
        <v>0</v>
      </c>
      <c r="AP136" s="81">
        <f>AP135+(AH136-AO135)</f>
        <v>520</v>
      </c>
      <c r="AQ136" s="85">
        <f t="shared" si="38"/>
        <v>0.10576923076923077</v>
      </c>
    </row>
    <row r="137" spans="25:43" ht="15.75" customHeight="1" x14ac:dyDescent="0.2">
      <c r="Y137" s="93"/>
    </row>
    <row r="138" spans="25:43" ht="15.75" customHeight="1" x14ac:dyDescent="0.2">
      <c r="Y138" s="93"/>
    </row>
    <row r="139" spans="25:43" ht="12.75" x14ac:dyDescent="0.2">
      <c r="AB139" s="45" t="s">
        <v>74</v>
      </c>
      <c r="AL139" s="45" t="s">
        <v>94</v>
      </c>
    </row>
    <row r="140" spans="25:43" ht="15.75" customHeight="1" x14ac:dyDescent="0.2">
      <c r="Y140" s="54"/>
      <c r="AB140" s="69" t="s">
        <v>2</v>
      </c>
      <c r="AC140" s="70" t="s">
        <v>3</v>
      </c>
      <c r="AD140" s="70"/>
      <c r="AE140" s="70" t="s">
        <v>76</v>
      </c>
      <c r="AF140" s="70" t="s">
        <v>4</v>
      </c>
      <c r="AG140" s="70" t="s">
        <v>0</v>
      </c>
      <c r="AH140" s="70" t="s">
        <v>1</v>
      </c>
      <c r="AI140" s="70" t="s">
        <v>62</v>
      </c>
      <c r="AJ140" s="70"/>
      <c r="AK140" s="70" t="s">
        <v>77</v>
      </c>
      <c r="AL140" s="70" t="s">
        <v>84</v>
      </c>
      <c r="AM140" s="70" t="s">
        <v>83</v>
      </c>
      <c r="AN140" s="70" t="s">
        <v>7</v>
      </c>
      <c r="AO140" s="70" t="s">
        <v>81</v>
      </c>
      <c r="AP140" s="70" t="s">
        <v>79</v>
      </c>
      <c r="AQ140" s="70" t="s">
        <v>82</v>
      </c>
    </row>
    <row r="141" spans="25:43" ht="15.75" customHeight="1" x14ac:dyDescent="0.2">
      <c r="Y141" s="94"/>
      <c r="AB141" s="78"/>
      <c r="AC141" s="79" t="s">
        <v>75</v>
      </c>
      <c r="AD141" s="79"/>
      <c r="AE141" s="80" t="s">
        <v>70</v>
      </c>
      <c r="AF141" s="79" t="s">
        <v>78</v>
      </c>
      <c r="AG141" s="89">
        <v>232.37</v>
      </c>
      <c r="AH141" s="81">
        <v>1000</v>
      </c>
      <c r="AI141" s="86">
        <f t="shared" ref="AI141:AI146" si="39">AH141/AG141</f>
        <v>4.3034815165468867</v>
      </c>
      <c r="AJ141" s="86"/>
      <c r="AK141" s="89"/>
      <c r="AL141" s="86">
        <f>AI141</f>
        <v>4.3034815165468867</v>
      </c>
      <c r="AM141" s="86">
        <f>AL141/2</f>
        <v>2.1517407582734434</v>
      </c>
      <c r="AN141" s="88">
        <f>AL141/2</f>
        <v>2.1517407582734434</v>
      </c>
      <c r="AO141" s="89">
        <v>0</v>
      </c>
      <c r="AP141" s="91">
        <f>ABS(AO141-AH141)</f>
        <v>1000</v>
      </c>
      <c r="AQ141" s="85">
        <f>((AO141+(AI141*AG141)-AP141)/AP141)</f>
        <v>1.1368683772161603E-16</v>
      </c>
    </row>
    <row r="142" spans="25:43" ht="15.75" customHeight="1" x14ac:dyDescent="0.2">
      <c r="AB142" s="78"/>
      <c r="AC142" s="79" t="s">
        <v>75</v>
      </c>
      <c r="AD142" s="79"/>
      <c r="AE142" s="80" t="s">
        <v>70</v>
      </c>
      <c r="AF142" s="79" t="s">
        <v>80</v>
      </c>
      <c r="AG142" s="89">
        <v>205.6</v>
      </c>
      <c r="AH142" s="81">
        <v>500</v>
      </c>
      <c r="AI142" s="86">
        <f t="shared" si="39"/>
        <v>2.4319066147859925</v>
      </c>
      <c r="AJ142" s="86"/>
      <c r="AK142" s="89"/>
      <c r="AL142" s="86">
        <f>AI142+AL141</f>
        <v>6.7353881313328792</v>
      </c>
      <c r="AM142" s="86">
        <f>AM141+(AI142/2)</f>
        <v>3.3676940656664396</v>
      </c>
      <c r="AN142" s="86">
        <f>AN141+(AI142/2)</f>
        <v>3.3676940656664396</v>
      </c>
      <c r="AO142" s="89">
        <v>0</v>
      </c>
      <c r="AP142" s="89">
        <f>AP141+(AH142-AO141)</f>
        <v>1500</v>
      </c>
      <c r="AQ142" s="85">
        <f t="shared" ref="AQ142:AQ152" si="40">((AO142+(AL142*AG142)-AP142)/AP142)</f>
        <v>-7.6802800131973381E-2</v>
      </c>
    </row>
    <row r="143" spans="25:43" ht="15.75" customHeight="1" x14ac:dyDescent="0.2">
      <c r="AB143" s="78"/>
      <c r="AC143" s="79" t="s">
        <v>75</v>
      </c>
      <c r="AD143" s="79"/>
      <c r="AE143" s="80" t="s">
        <v>70</v>
      </c>
      <c r="AF143" s="79" t="s">
        <v>80</v>
      </c>
      <c r="AG143" s="89">
        <v>199.37</v>
      </c>
      <c r="AH143" s="81">
        <v>500</v>
      </c>
      <c r="AI143" s="86">
        <f t="shared" si="39"/>
        <v>2.5078998846366054</v>
      </c>
      <c r="AJ143" s="86"/>
      <c r="AK143" s="89"/>
      <c r="AL143" s="86">
        <f>AI143+AL142</f>
        <v>9.243288015969485</v>
      </c>
      <c r="AM143" s="86">
        <f>AM142+(AI143/2)</f>
        <v>4.6216440079847425</v>
      </c>
      <c r="AN143" s="86">
        <f>AN142+(AI143/2)</f>
        <v>4.6216440079847425</v>
      </c>
      <c r="AO143" s="89">
        <v>0</v>
      </c>
      <c r="AP143" s="89">
        <f>AP142+(AH143-AO142)</f>
        <v>2000</v>
      </c>
      <c r="AQ143" s="85">
        <f t="shared" si="40"/>
        <v>-7.858283412808191E-2</v>
      </c>
    </row>
    <row r="144" spans="25:43" ht="15.75" customHeight="1" x14ac:dyDescent="0.2">
      <c r="AB144" s="78"/>
      <c r="AC144" s="79" t="s">
        <v>75</v>
      </c>
      <c r="AD144" s="79"/>
      <c r="AE144" s="80" t="s">
        <v>70</v>
      </c>
      <c r="AF144" s="79" t="s">
        <v>80</v>
      </c>
      <c r="AG144" s="89">
        <v>196.54</v>
      </c>
      <c r="AH144" s="81">
        <v>500</v>
      </c>
      <c r="AI144" s="86">
        <f t="shared" si="39"/>
        <v>2.5440113971710594</v>
      </c>
      <c r="AJ144" s="86"/>
      <c r="AK144" s="89"/>
      <c r="AL144" s="86">
        <f>AI144+AL143</f>
        <v>11.787299413140545</v>
      </c>
      <c r="AM144" s="86">
        <f>AM143+(AI144/2)</f>
        <v>5.8936497065702724</v>
      </c>
      <c r="AN144" s="86">
        <f>AN143+(AI144/2)</f>
        <v>5.8936497065702724</v>
      </c>
      <c r="AO144" s="89">
        <v>0</v>
      </c>
      <c r="AP144" s="89">
        <f>AP143+(AH144-AO143)</f>
        <v>2500</v>
      </c>
      <c r="AQ144" s="85">
        <f t="shared" si="40"/>
        <v>-7.3329669336542974E-2</v>
      </c>
    </row>
    <row r="145" spans="28:43" ht="15.75" customHeight="1" x14ac:dyDescent="0.2">
      <c r="AB145" s="78"/>
      <c r="AC145" s="79" t="s">
        <v>75</v>
      </c>
      <c r="AD145" s="79"/>
      <c r="AE145" s="80" t="s">
        <v>70</v>
      </c>
      <c r="AF145" s="79" t="s">
        <v>80</v>
      </c>
      <c r="AG145" s="89">
        <v>184.88</v>
      </c>
      <c r="AH145" s="81">
        <v>50</v>
      </c>
      <c r="AI145" s="86">
        <f t="shared" si="39"/>
        <v>0.27044569450454348</v>
      </c>
      <c r="AJ145" s="86"/>
      <c r="AK145" s="89"/>
      <c r="AL145" s="86">
        <f>AI145+AL144</f>
        <v>12.057745107645088</v>
      </c>
      <c r="AM145" s="86">
        <f>AM144+(AI145/2)</f>
        <v>6.0288725538225441</v>
      </c>
      <c r="AN145" s="86">
        <f>AN144+(AI145/2)</f>
        <v>6.0288725538225441</v>
      </c>
      <c r="AO145" s="89">
        <v>0</v>
      </c>
      <c r="AP145" s="89">
        <f>AP144+(AH145-AO144)</f>
        <v>2550</v>
      </c>
      <c r="AQ145" s="85">
        <f t="shared" si="40"/>
        <v>-0.12578983705826521</v>
      </c>
    </row>
    <row r="146" spans="28:43" ht="15.75" customHeight="1" x14ac:dyDescent="0.2">
      <c r="AB146" s="78"/>
      <c r="AC146" s="79" t="s">
        <v>75</v>
      </c>
      <c r="AD146" s="79"/>
      <c r="AE146" s="80" t="s">
        <v>70</v>
      </c>
      <c r="AF146" s="79" t="s">
        <v>80</v>
      </c>
      <c r="AG146" s="89">
        <v>180.62</v>
      </c>
      <c r="AH146" s="81">
        <v>50</v>
      </c>
      <c r="AI146" s="86">
        <f t="shared" si="39"/>
        <v>0.27682427195216475</v>
      </c>
      <c r="AJ146" s="86"/>
      <c r="AK146" s="89"/>
      <c r="AL146" s="86">
        <f>AI146+AL145</f>
        <v>12.334569379597253</v>
      </c>
      <c r="AM146" s="86">
        <f>AM145+(AI146/2)</f>
        <v>6.1672846897986267</v>
      </c>
      <c r="AN146" s="86">
        <f>AN145+(AI146/2)</f>
        <v>6.1672846897986267</v>
      </c>
      <c r="AO146" s="89">
        <v>0</v>
      </c>
      <c r="AP146" s="89">
        <f>AP145+(AH146-AO145)</f>
        <v>2600</v>
      </c>
      <c r="AQ146" s="85">
        <f t="shared" si="40"/>
        <v>-0.14312695332967085</v>
      </c>
    </row>
    <row r="147" spans="28:43" ht="15.75" customHeight="1" x14ac:dyDescent="0.2">
      <c r="AB147" s="71"/>
      <c r="AC147" s="72" t="s">
        <v>73</v>
      </c>
      <c r="AD147" s="72"/>
      <c r="AE147" s="74" t="s">
        <v>27</v>
      </c>
      <c r="AF147" s="72" t="s">
        <v>10</v>
      </c>
      <c r="AG147" s="90">
        <v>208.59</v>
      </c>
      <c r="AH147" s="72"/>
      <c r="AI147" s="87">
        <v>0.13841000000000001</v>
      </c>
      <c r="AJ147" s="87"/>
      <c r="AK147" s="90">
        <f>AG147*AI147</f>
        <v>28.870941900000002</v>
      </c>
      <c r="AL147" s="87">
        <f>AL146-AI147</f>
        <v>12.196159379597253</v>
      </c>
      <c r="AM147" s="87">
        <f>AM146-AI147</f>
        <v>6.0288746897986263</v>
      </c>
      <c r="AN147" s="87">
        <f>AN146</f>
        <v>6.1672846897986267</v>
      </c>
      <c r="AO147" s="90">
        <f>AK147+AO141</f>
        <v>28.870941900000002</v>
      </c>
      <c r="AP147" s="90">
        <f>AP146</f>
        <v>2600</v>
      </c>
      <c r="AQ147" s="77">
        <f t="shared" si="40"/>
        <v>-1.0435451196080277E-2</v>
      </c>
    </row>
    <row r="148" spans="28:43" ht="15.75" customHeight="1" x14ac:dyDescent="0.2">
      <c r="AB148" s="78"/>
      <c r="AC148" s="72" t="s">
        <v>73</v>
      </c>
      <c r="AD148" s="72"/>
      <c r="AE148" s="74" t="s">
        <v>27</v>
      </c>
      <c r="AF148" s="72" t="s">
        <v>10</v>
      </c>
      <c r="AG148" s="90">
        <v>208.54</v>
      </c>
      <c r="AH148" s="72"/>
      <c r="AI148" s="87">
        <v>0.13522000000000001</v>
      </c>
      <c r="AJ148" s="87"/>
      <c r="AK148" s="90">
        <f>AG148*AI148</f>
        <v>28.198778799999999</v>
      </c>
      <c r="AL148" s="87">
        <f>AL147-AI148</f>
        <v>12.060939379597253</v>
      </c>
      <c r="AM148" s="87">
        <f>AM147-AI148</f>
        <v>5.8936546897986259</v>
      </c>
      <c r="AN148" s="87">
        <f>AN147</f>
        <v>6.1672846897986267</v>
      </c>
      <c r="AO148" s="90">
        <f>AK148+AO142</f>
        <v>28.198778799999999</v>
      </c>
      <c r="AP148" s="90">
        <f>AP147</f>
        <v>2600</v>
      </c>
      <c r="AQ148" s="85">
        <f t="shared" si="40"/>
        <v>-2.1774201145688038E-2</v>
      </c>
    </row>
    <row r="149" spans="28:43" ht="15.75" customHeight="1" x14ac:dyDescent="0.2">
      <c r="AB149" s="71"/>
      <c r="AC149" s="72" t="s">
        <v>73</v>
      </c>
      <c r="AD149" s="72"/>
      <c r="AE149" s="74" t="s">
        <v>95</v>
      </c>
      <c r="AF149" s="72" t="s">
        <v>80</v>
      </c>
      <c r="AG149" s="90">
        <v>28.25</v>
      </c>
      <c r="AH149" s="72"/>
      <c r="AI149" s="87">
        <f>AM148</f>
        <v>5.8936546897986259</v>
      </c>
      <c r="AJ149" s="87"/>
      <c r="AK149" s="90">
        <f>AG149*AI149</f>
        <v>166.49574498681119</v>
      </c>
      <c r="AL149" s="87">
        <f>AL148-AI149</f>
        <v>6.1672846897986267</v>
      </c>
      <c r="AM149" s="87">
        <f>AM148-AI149</f>
        <v>0</v>
      </c>
      <c r="AN149" s="87">
        <f>AN148</f>
        <v>6.1672846897986267</v>
      </c>
      <c r="AO149" s="90">
        <f>AO148+AK149</f>
        <v>194.6945237868112</v>
      </c>
      <c r="AP149" s="90">
        <f>AP148</f>
        <v>2600</v>
      </c>
      <c r="AQ149" s="77">
        <f t="shared" si="40"/>
        <v>-0.85810757066399135</v>
      </c>
    </row>
    <row r="150" spans="28:43" ht="15.75" customHeight="1" x14ac:dyDescent="0.2">
      <c r="AB150" s="78"/>
      <c r="AC150" s="79" t="s">
        <v>75</v>
      </c>
      <c r="AD150" s="79"/>
      <c r="AE150" s="80" t="s">
        <v>89</v>
      </c>
      <c r="AF150" s="79" t="s">
        <v>80</v>
      </c>
      <c r="AG150" s="89">
        <v>28.39</v>
      </c>
      <c r="AH150" s="81">
        <v>200</v>
      </c>
      <c r="AI150" s="86">
        <f>AH150/AG150</f>
        <v>7.0447340612891862</v>
      </c>
      <c r="AJ150" s="86"/>
      <c r="AK150" s="89"/>
      <c r="AL150" s="86">
        <f>AL149+AI150</f>
        <v>13.212018751087813</v>
      </c>
      <c r="AM150" s="86">
        <f>AM149+(AI150/2)</f>
        <v>3.5223670306445931</v>
      </c>
      <c r="AN150" s="86">
        <f>AN149+(AI150/2)</f>
        <v>9.6896517204432193</v>
      </c>
      <c r="AO150" s="89">
        <v>0</v>
      </c>
      <c r="AP150" s="89">
        <f>AP149+(AH150-AO149)</f>
        <v>2605.3054762131887</v>
      </c>
      <c r="AQ150" s="85">
        <f t="shared" si="40"/>
        <v>-0.85602870152156774</v>
      </c>
    </row>
    <row r="151" spans="28:43" ht="15.75" customHeight="1" x14ac:dyDescent="0.2">
      <c r="AB151" s="78"/>
      <c r="AC151" s="80" t="s">
        <v>75</v>
      </c>
      <c r="AD151" s="80"/>
      <c r="AE151" s="80" t="s">
        <v>96</v>
      </c>
      <c r="AF151" s="80" t="s">
        <v>80</v>
      </c>
      <c r="AG151" s="89">
        <v>27.28</v>
      </c>
      <c r="AH151" s="81">
        <v>200</v>
      </c>
      <c r="AI151" s="86">
        <f>AH151/AG151</f>
        <v>7.3313782991202343</v>
      </c>
      <c r="AJ151" s="86"/>
      <c r="AK151" s="89"/>
      <c r="AL151" s="86">
        <f>AL150+AI151</f>
        <v>20.543397050208046</v>
      </c>
      <c r="AM151" s="86">
        <f>AM150+(AI151/2)</f>
        <v>7.1880561802047103</v>
      </c>
      <c r="AN151" s="86">
        <f>AN150+(AI151/2)</f>
        <v>13.355340870003337</v>
      </c>
      <c r="AO151" s="89">
        <v>0</v>
      </c>
      <c r="AP151" s="89">
        <f>AP150+(AH151-AO150)</f>
        <v>2805.3054762131887</v>
      </c>
      <c r="AQ151" s="85">
        <f t="shared" si="40"/>
        <v>-0.80022714949169182</v>
      </c>
    </row>
    <row r="152" spans="28:43" ht="15.75" customHeight="1" x14ac:dyDescent="0.2">
      <c r="AB152" s="78"/>
      <c r="AC152" s="80" t="s">
        <v>75</v>
      </c>
      <c r="AD152" s="80"/>
      <c r="AE152" s="80" t="s">
        <v>97</v>
      </c>
      <c r="AF152" s="80" t="s">
        <v>80</v>
      </c>
      <c r="AG152" s="89">
        <v>27.38</v>
      </c>
      <c r="AH152" s="81">
        <v>200</v>
      </c>
      <c r="AI152" s="86">
        <f>AH152/AG152</f>
        <v>7.3046018991964941</v>
      </c>
      <c r="AJ152" s="86"/>
      <c r="AK152" s="89"/>
      <c r="AL152" s="86">
        <f>AL151+AI152</f>
        <v>27.847998949404541</v>
      </c>
      <c r="AM152" s="86">
        <f>AM151+(AI152/2)</f>
        <v>10.840357129802957</v>
      </c>
      <c r="AN152" s="86">
        <f>AN151+(AI152/2)</f>
        <v>17.007641819601584</v>
      </c>
      <c r="AO152" s="89">
        <v>0</v>
      </c>
      <c r="AP152" s="89">
        <f>AP151+(AH152-AO151)</f>
        <v>3005.3054762131887</v>
      </c>
      <c r="AQ152" s="85">
        <f t="shared" si="40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57 AA58 AN59 AO56 BE57 BE59 BE62 AK69 AE69 BE70 AA69:AC69 AG69:AI69 AD92:AD93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7" t="s">
        <v>34</v>
      </c>
      <c r="K12" s="33">
        <v>1200</v>
      </c>
      <c r="L12" s="97" t="s">
        <v>34</v>
      </c>
      <c r="M12" s="97" t="s">
        <v>34</v>
      </c>
      <c r="N12" s="97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7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7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7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7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7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7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7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7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8">
        <f>I16+I21+I22+I27</f>
        <v>5800</v>
      </c>
      <c r="D34" s="97" t="s">
        <v>34</v>
      </c>
      <c r="E34" s="97" t="s">
        <v>34</v>
      </c>
      <c r="F34" s="97" t="s">
        <v>34</v>
      </c>
      <c r="G34" s="97" t="s">
        <v>34</v>
      </c>
    </row>
    <row r="35" spans="2:7" x14ac:dyDescent="0.2">
      <c r="B35" s="45" t="s">
        <v>129</v>
      </c>
      <c r="C35" s="98">
        <f>I18+I26+I28</f>
        <v>4100</v>
      </c>
      <c r="D35" s="97" t="s">
        <v>34</v>
      </c>
      <c r="E35" s="97" t="s">
        <v>34</v>
      </c>
      <c r="F35" s="97" t="s">
        <v>34</v>
      </c>
      <c r="G35" s="97" t="s">
        <v>34</v>
      </c>
    </row>
    <row r="36" spans="2:7" x14ac:dyDescent="0.2">
      <c r="B36" s="45" t="s">
        <v>130</v>
      </c>
      <c r="C36" s="98">
        <f>I17+I19+I23+I24+I29</f>
        <v>6900</v>
      </c>
      <c r="D36" s="97" t="s">
        <v>34</v>
      </c>
      <c r="E36" s="97" t="s">
        <v>34</v>
      </c>
      <c r="F36" s="97" t="s">
        <v>34</v>
      </c>
      <c r="G36" s="97" t="s">
        <v>34</v>
      </c>
    </row>
    <row r="37" spans="2:7" x14ac:dyDescent="0.2">
      <c r="B37" s="45" t="s">
        <v>115</v>
      </c>
      <c r="C37" s="98">
        <f>I4+I20+I25</f>
        <v>3600</v>
      </c>
      <c r="D37" s="97" t="s">
        <v>34</v>
      </c>
      <c r="E37" s="97" t="s">
        <v>34</v>
      </c>
      <c r="F37" s="97" t="s">
        <v>34</v>
      </c>
      <c r="G37" s="97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7" t="s">
        <v>34</v>
      </c>
      <c r="E41" s="97" t="s">
        <v>34</v>
      </c>
      <c r="F41" s="97" t="s">
        <v>34</v>
      </c>
      <c r="G41" s="97" t="s">
        <v>34</v>
      </c>
    </row>
    <row r="42" spans="2:7" x14ac:dyDescent="0.2">
      <c r="B42" s="45" t="s">
        <v>154</v>
      </c>
      <c r="C42" s="63">
        <f>I22</f>
        <v>1300</v>
      </c>
      <c r="D42" s="97" t="s">
        <v>34</v>
      </c>
      <c r="E42" s="97" t="s">
        <v>34</v>
      </c>
      <c r="F42" s="97" t="s">
        <v>34</v>
      </c>
      <c r="G42" s="97" t="s">
        <v>34</v>
      </c>
    </row>
    <row r="43" spans="2:7" x14ac:dyDescent="0.2">
      <c r="B43" s="45" t="s">
        <v>137</v>
      </c>
      <c r="C43" s="63">
        <f>I19+I21</f>
        <v>1500</v>
      </c>
      <c r="D43" s="97" t="s">
        <v>34</v>
      </c>
      <c r="E43" s="97" t="s">
        <v>34</v>
      </c>
      <c r="F43" s="97" t="s">
        <v>34</v>
      </c>
      <c r="G43" s="97" t="s">
        <v>34</v>
      </c>
    </row>
    <row r="44" spans="2:7" x14ac:dyDescent="0.2">
      <c r="B44" s="45" t="s">
        <v>160</v>
      </c>
      <c r="C44" s="63">
        <f>I17+I24</f>
        <v>4600</v>
      </c>
      <c r="D44" s="97" t="s">
        <v>34</v>
      </c>
      <c r="E44" s="97" t="s">
        <v>34</v>
      </c>
      <c r="F44" s="97" t="s">
        <v>34</v>
      </c>
      <c r="G44" s="97" t="s">
        <v>34</v>
      </c>
    </row>
    <row r="45" spans="2:7" x14ac:dyDescent="0.2">
      <c r="B45" s="45" t="s">
        <v>136</v>
      </c>
      <c r="C45" s="63">
        <v>0</v>
      </c>
      <c r="D45" s="97" t="s">
        <v>34</v>
      </c>
      <c r="E45" s="97" t="s">
        <v>34</v>
      </c>
      <c r="F45" s="97" t="s">
        <v>34</v>
      </c>
      <c r="G45" s="97" t="s">
        <v>34</v>
      </c>
    </row>
    <row r="46" spans="2:7" x14ac:dyDescent="0.2">
      <c r="B46" s="45" t="s">
        <v>157</v>
      </c>
      <c r="C46" s="63">
        <f>I23+I29</f>
        <v>1800</v>
      </c>
      <c r="D46" s="97" t="s">
        <v>34</v>
      </c>
      <c r="E46" s="97" t="s">
        <v>34</v>
      </c>
      <c r="F46" s="97" t="s">
        <v>34</v>
      </c>
      <c r="G46" s="97" t="s">
        <v>34</v>
      </c>
    </row>
    <row r="47" spans="2:7" x14ac:dyDescent="0.2">
      <c r="B47" s="45" t="s">
        <v>166</v>
      </c>
      <c r="C47" s="63">
        <f>I26+I28</f>
        <v>2600</v>
      </c>
      <c r="D47" s="97" t="s">
        <v>34</v>
      </c>
      <c r="E47" s="97" t="s">
        <v>34</v>
      </c>
      <c r="F47" s="97" t="s">
        <v>34</v>
      </c>
      <c r="G47" s="97" t="s">
        <v>34</v>
      </c>
    </row>
    <row r="48" spans="2:7" x14ac:dyDescent="0.2">
      <c r="B48" s="45" t="s">
        <v>163</v>
      </c>
      <c r="C48" s="63">
        <f>I25</f>
        <v>1200</v>
      </c>
      <c r="D48" s="97" t="s">
        <v>34</v>
      </c>
      <c r="E48" s="97" t="s">
        <v>34</v>
      </c>
      <c r="F48" s="97" t="s">
        <v>34</v>
      </c>
      <c r="G48" s="97" t="s">
        <v>34</v>
      </c>
    </row>
    <row r="49" spans="2:7" x14ac:dyDescent="0.2">
      <c r="B49" s="45" t="s">
        <v>118</v>
      </c>
      <c r="C49" s="63">
        <f>I4+I18</f>
        <v>2700</v>
      </c>
      <c r="D49" s="97" t="s">
        <v>34</v>
      </c>
      <c r="E49" s="97" t="s">
        <v>34</v>
      </c>
      <c r="F49" s="97" t="s">
        <v>34</v>
      </c>
      <c r="G49" s="97" t="s">
        <v>34</v>
      </c>
    </row>
    <row r="50" spans="2:7" x14ac:dyDescent="0.2">
      <c r="B50" s="45" t="s">
        <v>116</v>
      </c>
      <c r="C50" s="63">
        <f>I20</f>
        <v>1200</v>
      </c>
      <c r="D50" s="97" t="s">
        <v>34</v>
      </c>
      <c r="E50" s="97" t="s">
        <v>34</v>
      </c>
      <c r="F50" s="97" t="s">
        <v>34</v>
      </c>
      <c r="G50" s="97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2026-01-03T00:33:22Z</dcterms:modified>
</cp:coreProperties>
</file>