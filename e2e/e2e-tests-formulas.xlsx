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4E260301-17A3-44B0-88E7-B0C3657C66C8}" xr6:coauthVersionLast="47" xr6:coauthVersionMax="47" xr10:uidLastSave="{00000000-0000-0000-0000-000000000000}"/>
  <bookViews>
    <workbookView xWindow="5655" yWindow="330" windowWidth="46980"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90" i="14" l="1"/>
  <c r="AU90" i="14"/>
  <c r="AT90" i="14"/>
  <c r="AL90" i="14"/>
  <c r="AK90" i="14"/>
  <c r="AJ90" i="14"/>
  <c r="AI90" i="14"/>
  <c r="AH90" i="14"/>
  <c r="AF90" i="14"/>
  <c r="AE90" i="14"/>
  <c r="AD90" i="14"/>
  <c r="AC90" i="14"/>
  <c r="AB90" i="14"/>
  <c r="AV83" i="14"/>
  <c r="AU83" i="14"/>
  <c r="AT83" i="14"/>
  <c r="AF83" i="14"/>
  <c r="AE83" i="14"/>
  <c r="AD83" i="14"/>
  <c r="AC83" i="14"/>
  <c r="AB83" i="14"/>
  <c r="AL83" i="14"/>
  <c r="AK83" i="14"/>
  <c r="AJ83" i="14"/>
  <c r="AI83" i="14"/>
  <c r="AH83" i="14"/>
  <c r="AL81" i="14"/>
  <c r="AK81" i="14"/>
  <c r="AJ81" i="14"/>
  <c r="AI81" i="14"/>
  <c r="AH81" i="14"/>
  <c r="AF81" i="14"/>
  <c r="AE81" i="14"/>
  <c r="AD81" i="14"/>
  <c r="AC81" i="14"/>
  <c r="AW81" i="14"/>
  <c r="AV81" i="14"/>
  <c r="AU81" i="14"/>
  <c r="AB81" i="14"/>
  <c r="Z81" i="14"/>
  <c r="Y81" i="14"/>
  <c r="V81" i="14"/>
  <c r="U81" i="14"/>
  <c r="W79" i="14"/>
  <c r="AP79" i="14" s="1"/>
  <c r="U79" i="14"/>
  <c r="AH79" i="14" s="1"/>
  <c r="AK79" i="14" s="1"/>
  <c r="AL79" i="14" s="1"/>
  <c r="W68" i="14"/>
  <c r="AJ68" i="14" s="1"/>
  <c r="AJ71" i="14" s="1"/>
  <c r="U68" i="14"/>
  <c r="W66" i="14"/>
  <c r="AJ66" i="14" s="1"/>
  <c r="AJ69" i="14" s="1"/>
  <c r="AJ72" i="14" s="1"/>
  <c r="U66" i="14"/>
  <c r="AN66" i="14" s="1"/>
  <c r="AQ66" i="14" s="1"/>
  <c r="AR66" i="14" s="1"/>
  <c r="U71" i="14"/>
  <c r="W65" i="14"/>
  <c r="U65" i="14"/>
  <c r="AB65" i="14" s="1"/>
  <c r="AE65" i="14" s="1"/>
  <c r="AF65" i="14" s="1"/>
  <c r="AE60" i="14"/>
  <c r="AF60" i="14" s="1"/>
  <c r="W60" i="14"/>
  <c r="U60" i="14"/>
  <c r="X60" i="14" s="1"/>
  <c r="W54" i="14"/>
  <c r="AP54" i="14" s="1"/>
  <c r="AP56" i="14" s="1"/>
  <c r="U54" i="14"/>
  <c r="X54" i="14" s="1"/>
  <c r="U53" i="14"/>
  <c r="AE51" i="14"/>
  <c r="W56" i="14"/>
  <c r="AJ51" i="14"/>
  <c r="AJ52" i="14" s="1"/>
  <c r="AP51" i="14"/>
  <c r="AP52" i="14" s="1"/>
  <c r="AO51" i="14"/>
  <c r="AO52" i="14" s="1"/>
  <c r="AN51" i="14"/>
  <c r="AQ51" i="14" s="1"/>
  <c r="AI51" i="14"/>
  <c r="AI52" i="14" s="1"/>
  <c r="AD51" i="14"/>
  <c r="AD52" i="14" s="1"/>
  <c r="AC51" i="14"/>
  <c r="V52" i="14" s="1"/>
  <c r="AB51" i="14"/>
  <c r="W51" i="14"/>
  <c r="U51" i="14"/>
  <c r="X51" i="14" s="1"/>
  <c r="L52" i="14"/>
  <c r="U52" i="14" s="1"/>
  <c r="S45" i="14"/>
  <c r="S44" i="14"/>
  <c r="S43" i="14"/>
  <c r="AP41" i="14"/>
  <c r="AP42" i="14" s="1"/>
  <c r="AP43" i="14" s="1"/>
  <c r="AP44" i="14" s="1"/>
  <c r="AP45" i="14" s="1"/>
  <c r="AO41" i="14"/>
  <c r="AW41" i="14" s="1"/>
  <c r="AN41" i="14"/>
  <c r="AN42" i="14" s="1"/>
  <c r="AJ41" i="14"/>
  <c r="AJ42" i="14" s="1"/>
  <c r="AJ43" i="14" s="1"/>
  <c r="AJ44" i="14" s="1"/>
  <c r="AJ45" i="14" s="1"/>
  <c r="AI41" i="14"/>
  <c r="AV41" i="14" s="1"/>
  <c r="AD41" i="14"/>
  <c r="AD42" i="14" s="1"/>
  <c r="AD43" i="14" s="1"/>
  <c r="AD44" i="14" s="1"/>
  <c r="AD45" i="14" s="1"/>
  <c r="AC41" i="14"/>
  <c r="AC42" i="14" s="1"/>
  <c r="AB41" i="14"/>
  <c r="AB42" i="14" s="1"/>
  <c r="S42" i="14"/>
  <c r="S41" i="14"/>
  <c r="AH41" i="14" s="1"/>
  <c r="S32" i="14"/>
  <c r="R32" i="14"/>
  <c r="S33" i="14"/>
  <c r="R33" i="14"/>
  <c r="S34" i="14"/>
  <c r="R34" i="14"/>
  <c r="G32" i="14"/>
  <c r="F32" i="14"/>
  <c r="E32" i="14"/>
  <c r="D32" i="14"/>
  <c r="C32" i="14"/>
  <c r="B32" i="14"/>
  <c r="S25" i="14"/>
  <c r="R25" i="14"/>
  <c r="U25" i="14"/>
  <c r="U29" i="14" s="1"/>
  <c r="U33" i="14" s="1"/>
  <c r="Z31" i="14"/>
  <c r="Y31" i="14"/>
  <c r="T31" i="14"/>
  <c r="X30" i="14"/>
  <c r="T30" i="14"/>
  <c r="X29" i="14"/>
  <c r="W28" i="14"/>
  <c r="W32" i="14" s="1"/>
  <c r="U28" i="14"/>
  <c r="S24" i="14"/>
  <c r="R24" i="14"/>
  <c r="S23" i="14"/>
  <c r="R23" i="14"/>
  <c r="U22" i="14"/>
  <c r="U20" i="14"/>
  <c r="U23" i="14" s="1"/>
  <c r="U30"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53" i="14"/>
  <c r="AH153" i="14"/>
  <c r="AJ153" i="14" s="1"/>
  <c r="AC153" i="14"/>
  <c r="AB153" i="14"/>
  <c r="AD153" i="14" s="1"/>
  <c r="AN153" i="14" s="1"/>
  <c r="W153" i="14"/>
  <c r="AI149" i="14"/>
  <c r="AI150" i="14" s="1"/>
  <c r="AI151" i="14" s="1"/>
  <c r="AI152" i="14" s="1"/>
  <c r="AH149" i="14"/>
  <c r="AJ149" i="14" s="1"/>
  <c r="AO149" i="14" s="1"/>
  <c r="AC149" i="14"/>
  <c r="AC150" i="14" s="1"/>
  <c r="AC151" i="14" s="1"/>
  <c r="AC152" i="14" s="1"/>
  <c r="AB149" i="14"/>
  <c r="AD149" i="14" s="1"/>
  <c r="W149" i="14"/>
  <c r="AB170" i="14"/>
  <c r="AC170" i="14" s="1"/>
  <c r="AF171" i="14"/>
  <c r="AE171" i="14"/>
  <c r="W171" i="14"/>
  <c r="AB171" i="14"/>
  <c r="AG171" i="14"/>
  <c r="AG167" i="14"/>
  <c r="AG168" i="14"/>
  <c r="AG170" i="14"/>
  <c r="AF170" i="14"/>
  <c r="W170" i="14"/>
  <c r="AB169" i="14"/>
  <c r="AC169" i="14" s="1"/>
  <c r="AB168" i="14"/>
  <c r="AC168" i="14" s="1"/>
  <c r="AB167" i="14"/>
  <c r="AC167" i="14" s="1"/>
  <c r="AG169" i="14"/>
  <c r="AF168" i="14"/>
  <c r="AF169" i="14"/>
  <c r="AF167" i="14"/>
  <c r="W169" i="14"/>
  <c r="W168" i="14"/>
  <c r="W167" i="14"/>
  <c r="AG166" i="14"/>
  <c r="AE166" i="14"/>
  <c r="AE165" i="14"/>
  <c r="W166" i="14"/>
  <c r="W165" i="14"/>
  <c r="C50" i="15"/>
  <c r="C49" i="15"/>
  <c r="C48" i="15"/>
  <c r="C47" i="15"/>
  <c r="C46" i="15"/>
  <c r="C44" i="15"/>
  <c r="C43" i="15"/>
  <c r="C42" i="15"/>
  <c r="C41" i="15"/>
  <c r="C37" i="15"/>
  <c r="C36" i="15"/>
  <c r="C35" i="15"/>
  <c r="C34" i="15"/>
  <c r="W145" i="14"/>
  <c r="AI145" i="14"/>
  <c r="AI146" i="14" s="1"/>
  <c r="AI147" i="14" s="1"/>
  <c r="AI148" i="14" s="1"/>
  <c r="AH145" i="14"/>
  <c r="AJ145" i="14" s="1"/>
  <c r="AO145" i="14" s="1"/>
  <c r="AC145" i="14"/>
  <c r="AC146" i="14" s="1"/>
  <c r="AC147" i="14" s="1"/>
  <c r="AC148" i="14" s="1"/>
  <c r="AB145" i="14"/>
  <c r="AB146" i="14" s="1"/>
  <c r="AB147" i="14" s="1"/>
  <c r="AB148" i="14" s="1"/>
  <c r="AL202" i="14"/>
  <c r="AP202" i="14" s="1"/>
  <c r="AJ200" i="14"/>
  <c r="AJ199" i="14"/>
  <c r="AJ198" i="14"/>
  <c r="AJ197" i="14"/>
  <c r="AJ196" i="14"/>
  <c r="AJ206" i="14"/>
  <c r="AJ205" i="14"/>
  <c r="AJ204" i="14"/>
  <c r="AQ195" i="14"/>
  <c r="AJ195" i="14"/>
  <c r="AL189" i="14"/>
  <c r="AL187" i="14"/>
  <c r="AO181" i="14"/>
  <c r="AN181" i="14"/>
  <c r="AJ182" i="14" s="1"/>
  <c r="AL182" i="14" s="1"/>
  <c r="AP182" i="14" s="1"/>
  <c r="AQ181" i="14"/>
  <c r="AL186" i="14"/>
  <c r="AP186" i="14" s="1"/>
  <c r="AJ185" i="14"/>
  <c r="AL184" i="14"/>
  <c r="AP184" i="14" s="1"/>
  <c r="AJ183" i="14"/>
  <c r="AM183" i="14" s="1"/>
  <c r="AM184" i="14" s="1"/>
  <c r="AJ181" i="14"/>
  <c r="AI138" i="14"/>
  <c r="AI139" i="14" s="1"/>
  <c r="AI140" i="14" s="1"/>
  <c r="AI141" i="14" s="1"/>
  <c r="AC138" i="14"/>
  <c r="AC139" i="14" s="1"/>
  <c r="AC140" i="14" s="1"/>
  <c r="AC141" i="14" s="1"/>
  <c r="AC131" i="14"/>
  <c r="AI133" i="14"/>
  <c r="AI129" i="14"/>
  <c r="AC129" i="14"/>
  <c r="AJ124" i="14"/>
  <c r="AJ122" i="14"/>
  <c r="AJ123" i="14" s="1"/>
  <c r="AJ125" i="14" s="1"/>
  <c r="AD124" i="14"/>
  <c r="AD122" i="14"/>
  <c r="AJ118" i="14"/>
  <c r="AJ114" i="14"/>
  <c r="AJ117" i="14" s="1"/>
  <c r="AD118" i="14"/>
  <c r="AJ111" i="14"/>
  <c r="AJ113" i="14" s="1"/>
  <c r="AJ116" i="14" s="1"/>
  <c r="AJ109" i="14"/>
  <c r="AD112" i="14"/>
  <c r="AD114" i="14" s="1"/>
  <c r="AD117" i="14" s="1"/>
  <c r="AD111" i="14"/>
  <c r="AD113" i="14" s="1"/>
  <c r="AD116" i="14" s="1"/>
  <c r="AD109" i="14"/>
  <c r="BI124" i="14"/>
  <c r="AH124" i="14"/>
  <c r="AC124" i="14"/>
  <c r="AB124" i="14"/>
  <c r="AI124" i="14"/>
  <c r="W124" i="14"/>
  <c r="BK123" i="14"/>
  <c r="BJ123" i="14"/>
  <c r="BI123" i="14"/>
  <c r="BH123" i="14"/>
  <c r="BG123" i="14"/>
  <c r="BF123" i="14"/>
  <c r="BE123" i="14"/>
  <c r="BC123" i="14"/>
  <c r="BB123" i="14"/>
  <c r="BA123" i="14"/>
  <c r="AZ123" i="14"/>
  <c r="AY123" i="14"/>
  <c r="AX123" i="14"/>
  <c r="AW123" i="14"/>
  <c r="AV123" i="14"/>
  <c r="AU123" i="14"/>
  <c r="AT123" i="14"/>
  <c r="AS123" i="14"/>
  <c r="AR123" i="14"/>
  <c r="AV124" i="14"/>
  <c r="AW124" i="14" s="1"/>
  <c r="AU124" i="14"/>
  <c r="AT124" i="14"/>
  <c r="AS124" i="14"/>
  <c r="AR124" i="14"/>
  <c r="AI122" i="14"/>
  <c r="AI123" i="14" s="1"/>
  <c r="AI125" i="14" s="1"/>
  <c r="AH122" i="14"/>
  <c r="AH123" i="14" s="1"/>
  <c r="AH125" i="14" s="1"/>
  <c r="AC122" i="14"/>
  <c r="AC123" i="14" s="1"/>
  <c r="AC125" i="14" s="1"/>
  <c r="AB122" i="14"/>
  <c r="W122" i="14"/>
  <c r="AW116" i="14"/>
  <c r="AV116" i="14"/>
  <c r="AU116" i="14"/>
  <c r="AT116" i="14"/>
  <c r="AS116" i="14"/>
  <c r="AR116" i="14"/>
  <c r="BI110" i="14"/>
  <c r="BI111" i="14" s="1"/>
  <c r="BI113" i="14" s="1"/>
  <c r="BI115" i="14" s="1"/>
  <c r="BI116" i="14" s="1"/>
  <c r="AV110" i="14"/>
  <c r="AV111" i="14" s="1"/>
  <c r="W116" i="14"/>
  <c r="W113" i="14"/>
  <c r="W111" i="14"/>
  <c r="W109" i="14"/>
  <c r="BG110" i="14"/>
  <c r="BF110" i="14"/>
  <c r="BC110" i="14"/>
  <c r="BB110" i="14"/>
  <c r="BA110" i="14"/>
  <c r="AZ110" i="14"/>
  <c r="AY110" i="14"/>
  <c r="AX110" i="14"/>
  <c r="BH110" i="14"/>
  <c r="AU110" i="14"/>
  <c r="AU111" i="14" s="1"/>
  <c r="AU113" i="14" s="1"/>
  <c r="AU115" i="14" s="1"/>
  <c r="AS110" i="14"/>
  <c r="AS111" i="14" s="1"/>
  <c r="AS113" i="14" s="1"/>
  <c r="AS115" i="14" s="1"/>
  <c r="AT110" i="14"/>
  <c r="AT111" i="14" s="1"/>
  <c r="AT113" i="14" s="1"/>
  <c r="AR110" i="14"/>
  <c r="AR111" i="14" s="1"/>
  <c r="AR113" i="14" s="1"/>
  <c r="AH141" i="14"/>
  <c r="AB141" i="14"/>
  <c r="AH140" i="14"/>
  <c r="AB139" i="14"/>
  <c r="AH138" i="14"/>
  <c r="AB138" i="14"/>
  <c r="AH133" i="14"/>
  <c r="AB131" i="14"/>
  <c r="AH129" i="14"/>
  <c r="AB129" i="14"/>
  <c r="AI118" i="14"/>
  <c r="AH118" i="14"/>
  <c r="AC118" i="14"/>
  <c r="AB118" i="14"/>
  <c r="AI114" i="14"/>
  <c r="AH114" i="14"/>
  <c r="AC112" i="14"/>
  <c r="AB112" i="14"/>
  <c r="AB114" i="14" s="1"/>
  <c r="AI109" i="14"/>
  <c r="AH109" i="14"/>
  <c r="AC109" i="14"/>
  <c r="AB109" i="14"/>
  <c r="AB111" i="14" s="1"/>
  <c r="AB113"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T81" i="14" l="1"/>
  <c r="W81" i="14"/>
  <c r="AB79" i="14"/>
  <c r="AE79" i="14" s="1"/>
  <c r="AF79" i="14" s="1"/>
  <c r="AD79" i="14"/>
  <c r="AJ79" i="14"/>
  <c r="V79" i="14"/>
  <c r="AN79" i="14"/>
  <c r="AQ79" i="14" s="1"/>
  <c r="AR79" i="14" s="1"/>
  <c r="X79" i="14"/>
  <c r="AN69" i="14"/>
  <c r="AN72" i="14" s="1"/>
  <c r="AQ72" i="14" s="1"/>
  <c r="AQ69" i="14"/>
  <c r="AR69" i="14" s="1"/>
  <c r="AD68" i="14"/>
  <c r="AD71" i="14" s="1"/>
  <c r="AP68" i="14"/>
  <c r="AP71" i="14" s="1"/>
  <c r="V68" i="14"/>
  <c r="AH68" i="14"/>
  <c r="AH71" i="14" s="1"/>
  <c r="AK71" i="14" s="1"/>
  <c r="AL71" i="14" s="1"/>
  <c r="AN68" i="14"/>
  <c r="AN71" i="14" s="1"/>
  <c r="AQ71" i="14" s="1"/>
  <c r="AR71" i="14" s="1"/>
  <c r="AC68" i="14"/>
  <c r="AO68" i="14"/>
  <c r="AO71" i="14" s="1"/>
  <c r="AI68" i="14"/>
  <c r="AI71" i="14" s="1"/>
  <c r="X68" i="14"/>
  <c r="AB68" i="14"/>
  <c r="AB67" i="14"/>
  <c r="AB70" i="14" s="1"/>
  <c r="AB73" i="14" s="1"/>
  <c r="AE73" i="14" s="1"/>
  <c r="AF73" i="14" s="1"/>
  <c r="AP66" i="14"/>
  <c r="AP69" i="14" s="1"/>
  <c r="AP72" i="14" s="1"/>
  <c r="V66" i="14"/>
  <c r="AD66" i="14"/>
  <c r="AD69" i="14" s="1"/>
  <c r="AD72" i="14" s="1"/>
  <c r="AB66" i="14"/>
  <c r="AH66" i="14"/>
  <c r="X66" i="14"/>
  <c r="AD65" i="14"/>
  <c r="AJ65" i="14"/>
  <c r="V65" i="14"/>
  <c r="AH65" i="14"/>
  <c r="AN65" i="14"/>
  <c r="AP65" i="14"/>
  <c r="X65" i="14"/>
  <c r="V60" i="14"/>
  <c r="AP58" i="14"/>
  <c r="AP60" i="14" s="1"/>
  <c r="AU56" i="14"/>
  <c r="AU58" i="14" s="1"/>
  <c r="AI53" i="14"/>
  <c r="AI55" i="14" s="1"/>
  <c r="AI57" i="14" s="1"/>
  <c r="AI59" i="14" s="1"/>
  <c r="AI61" i="14" s="1"/>
  <c r="AJ53" i="14"/>
  <c r="AJ55" i="14" s="1"/>
  <c r="AJ57" i="14" s="1"/>
  <c r="AJ59" i="14" s="1"/>
  <c r="AJ61" i="14" s="1"/>
  <c r="AJ54" i="14"/>
  <c r="AJ56" i="14" s="1"/>
  <c r="AJ58" i="14" s="1"/>
  <c r="AJ60" i="14" s="1"/>
  <c r="AN54" i="14"/>
  <c r="V54" i="14"/>
  <c r="AD54" i="14"/>
  <c r="AD56" i="14" s="1"/>
  <c r="AD58" i="14" s="1"/>
  <c r="AD60" i="14" s="1"/>
  <c r="AB54" i="14"/>
  <c r="AH54" i="14"/>
  <c r="AO53" i="14"/>
  <c r="AO55" i="14" s="1"/>
  <c r="AO57" i="14" s="1"/>
  <c r="AO59" i="14" s="1"/>
  <c r="AO61" i="14" s="1"/>
  <c r="AP53" i="14"/>
  <c r="AP55" i="14" s="1"/>
  <c r="AP57" i="14" s="1"/>
  <c r="AP59" i="14" s="1"/>
  <c r="AP61" i="14" s="1"/>
  <c r="AF51" i="14"/>
  <c r="AR51" i="14"/>
  <c r="AQ41" i="14"/>
  <c r="AR41" i="14" s="1"/>
  <c r="AU41" i="14"/>
  <c r="AE41" i="14"/>
  <c r="AF41" i="14" s="1"/>
  <c r="W41" i="14" s="1"/>
  <c r="AT41" i="14"/>
  <c r="AT51" i="14"/>
  <c r="AC52" i="14"/>
  <c r="V53" i="14" s="1"/>
  <c r="W53" i="14" s="1"/>
  <c r="Y53" i="14" s="1"/>
  <c r="Z53" i="14" s="1"/>
  <c r="V51" i="14"/>
  <c r="AB52" i="14"/>
  <c r="AH51" i="14"/>
  <c r="AK51" i="14" s="1"/>
  <c r="AN52" i="14"/>
  <c r="AN53" i="14" s="1"/>
  <c r="AN55" i="14" s="1"/>
  <c r="AN57" i="14" s="1"/>
  <c r="AN59" i="14" s="1"/>
  <c r="AN61" i="14" s="1"/>
  <c r="W52" i="14"/>
  <c r="AH42" i="14"/>
  <c r="AH43" i="14" s="1"/>
  <c r="AK43" i="14" s="1"/>
  <c r="AL43" i="14" s="1"/>
  <c r="AK41" i="14"/>
  <c r="AL41" i="14" s="1"/>
  <c r="X7" i="14"/>
  <c r="X10" i="14" s="1"/>
  <c r="X13" i="14" s="1"/>
  <c r="AU42" i="14"/>
  <c r="AC43" i="14"/>
  <c r="AQ42" i="14"/>
  <c r="AR42" i="14" s="1"/>
  <c r="AN43" i="14"/>
  <c r="AB43" i="14"/>
  <c r="AE42" i="14"/>
  <c r="AF42" i="14" s="1"/>
  <c r="W42" i="14" s="1"/>
  <c r="AI42" i="14"/>
  <c r="AO42" i="14"/>
  <c r="U34" i="14"/>
  <c r="U32" i="14"/>
  <c r="U26" i="14"/>
  <c r="S26" i="14"/>
  <c r="S27" i="14"/>
  <c r="S35" i="14" s="1"/>
  <c r="R26" i="14"/>
  <c r="R27" i="14"/>
  <c r="R35" i="14" s="1"/>
  <c r="X28" i="14"/>
  <c r="V28" i="14"/>
  <c r="V32" i="14" s="1"/>
  <c r="AH28" i="14"/>
  <c r="AH32" i="14" s="1"/>
  <c r="AN28" i="14"/>
  <c r="AN32" i="14" s="1"/>
  <c r="V19" i="14"/>
  <c r="AI19" i="14" s="1"/>
  <c r="AI20" i="14" s="1"/>
  <c r="V25" i="14" s="1"/>
  <c r="X19" i="14"/>
  <c r="AB19" i="14"/>
  <c r="AE19" i="14" s="1"/>
  <c r="AF19" i="14" s="1"/>
  <c r="AH19" i="14"/>
  <c r="AK19" i="14" s="1"/>
  <c r="AL19" i="14" s="1"/>
  <c r="AJ19" i="14"/>
  <c r="AJ20" i="14" s="1"/>
  <c r="AJ22" i="14" s="1"/>
  <c r="W21" i="14"/>
  <c r="W24" i="14" s="1"/>
  <c r="W27" i="14" s="1"/>
  <c r="W35" i="14" s="1"/>
  <c r="AD19" i="14"/>
  <c r="AD20" i="14" s="1"/>
  <c r="AD22" i="14" s="1"/>
  <c r="AD25" i="14" s="1"/>
  <c r="U21" i="14"/>
  <c r="AN19" i="14"/>
  <c r="AQ19" i="14" s="1"/>
  <c r="AR19" i="14" s="1"/>
  <c r="AP19" i="14"/>
  <c r="AP20" i="14" s="1"/>
  <c r="AP22" i="14" s="1"/>
  <c r="AP25" i="14" s="1"/>
  <c r="AP28" i="14" s="1"/>
  <c r="AP32"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53" i="14"/>
  <c r="AO153" i="14"/>
  <c r="AK153" i="14"/>
  <c r="AE153" i="14"/>
  <c r="AN149" i="14"/>
  <c r="AE149" i="14"/>
  <c r="AF149" i="14"/>
  <c r="AF150" i="14" s="1"/>
  <c r="AF151" i="14" s="1"/>
  <c r="AF152" i="14" s="1"/>
  <c r="AF153" i="14" s="1"/>
  <c r="AB150" i="14"/>
  <c r="AB151" i="14" s="1"/>
  <c r="AB152" i="14" s="1"/>
  <c r="AD145" i="14"/>
  <c r="AD146" i="14" s="1"/>
  <c r="AK149" i="14"/>
  <c r="AJ146" i="14"/>
  <c r="AO146" i="14" s="1"/>
  <c r="AD150" i="14"/>
  <c r="AL149" i="14"/>
  <c r="AL150" i="14" s="1"/>
  <c r="AL151" i="14" s="1"/>
  <c r="AL152" i="14" s="1"/>
  <c r="AJ150" i="14"/>
  <c r="AO150" i="14" s="1"/>
  <c r="AM185" i="14"/>
  <c r="AM186" i="14" s="1"/>
  <c r="AP187" i="14"/>
  <c r="AP188" i="14" s="1"/>
  <c r="AK145" i="14"/>
  <c r="AF145" i="14"/>
  <c r="AF146" i="14" s="1"/>
  <c r="AF147" i="14" s="1"/>
  <c r="AF148" i="14" s="1"/>
  <c r="AL145" i="14"/>
  <c r="AL146" i="14" s="1"/>
  <c r="AL147" i="14" s="1"/>
  <c r="AL148" i="14" s="1"/>
  <c r="AF124" i="14"/>
  <c r="AR181" i="14"/>
  <c r="AQ196" i="14"/>
  <c r="AQ197" i="14" s="1"/>
  <c r="AQ198" i="14" s="1"/>
  <c r="AQ199" i="14" s="1"/>
  <c r="AQ200" i="14" s="1"/>
  <c r="AQ201" i="14" s="1"/>
  <c r="AQ202" i="14" s="1"/>
  <c r="AR195" i="14"/>
  <c r="AM195" i="14"/>
  <c r="AM196" i="14" s="1"/>
  <c r="AM197" i="14" s="1"/>
  <c r="AN183" i="14"/>
  <c r="AN184" i="14" s="1"/>
  <c r="AN185" i="14" s="1"/>
  <c r="AN186" i="14" s="1"/>
  <c r="AN187" i="14" s="1"/>
  <c r="AN188" i="14" s="1"/>
  <c r="AN189" i="14" s="1"/>
  <c r="AN190" i="14" s="1"/>
  <c r="AO183" i="14"/>
  <c r="AO184" i="14" s="1"/>
  <c r="AO185" i="14" s="1"/>
  <c r="AO186" i="14" s="1"/>
  <c r="AO187" i="14" s="1"/>
  <c r="AO188" i="14" s="1"/>
  <c r="AO189" i="14" s="1"/>
  <c r="AO190" i="14" s="1"/>
  <c r="AQ182" i="14"/>
  <c r="AL124" i="14"/>
  <c r="AD123" i="14"/>
  <c r="AD125" i="14" s="1"/>
  <c r="AB123" i="14"/>
  <c r="AB125" i="14" s="1"/>
  <c r="AF122" i="14"/>
  <c r="AF123" i="14" s="1"/>
  <c r="AF125" i="14" s="1"/>
  <c r="AL122" i="14"/>
  <c r="AL123" i="14" s="1"/>
  <c r="AL125" i="14" s="1"/>
  <c r="AR115" i="14"/>
  <c r="BE110" i="14"/>
  <c r="BJ110" i="14" s="1"/>
  <c r="BK110" i="14" s="1"/>
  <c r="AT115" i="14"/>
  <c r="AW110" i="14"/>
  <c r="AL141" i="14"/>
  <c r="AF139" i="14"/>
  <c r="AL140" i="14"/>
  <c r="AF141" i="14"/>
  <c r="AF129" i="14"/>
  <c r="AF138" i="14"/>
  <c r="AL129" i="14"/>
  <c r="AF131" i="14"/>
  <c r="AL133" i="14"/>
  <c r="AL138" i="14"/>
  <c r="AL118" i="14"/>
  <c r="AO116" i="14" s="1"/>
  <c r="AZ116" i="14" s="1"/>
  <c r="BA116" i="14" s="1"/>
  <c r="AF118" i="14"/>
  <c r="AM116" i="14" s="1"/>
  <c r="AL114" i="14"/>
  <c r="AL109" i="14"/>
  <c r="AO109" i="14" s="1"/>
  <c r="AO110" i="14" s="1"/>
  <c r="AO111" i="14" s="1"/>
  <c r="AF109" i="14"/>
  <c r="AM109" i="14" s="1"/>
  <c r="AF112" i="14"/>
  <c r="O8" i="12"/>
  <c r="O7" i="12" s="1"/>
  <c r="O8" i="9"/>
  <c r="O7" i="9" s="1"/>
  <c r="O8" i="11"/>
  <c r="O7" i="11" s="1"/>
  <c r="O8" i="6"/>
  <c r="O7" i="6" s="1"/>
  <c r="J3" i="9"/>
  <c r="J3" i="12"/>
  <c r="J4" i="6"/>
  <c r="J4" i="12"/>
  <c r="J4" i="9"/>
  <c r="J5" i="12"/>
  <c r="J5" i="9"/>
  <c r="J6" i="12"/>
  <c r="AC79" i="14" l="1"/>
  <c r="AO79" i="14"/>
  <c r="AW79" i="14" s="1"/>
  <c r="AI79" i="14"/>
  <c r="AV79" i="14" s="1"/>
  <c r="AE68" i="14"/>
  <c r="AF68" i="14" s="1"/>
  <c r="AB71" i="14"/>
  <c r="AE71" i="14" s="1"/>
  <c r="AF71" i="14" s="1"/>
  <c r="AK66" i="14"/>
  <c r="AH69" i="14"/>
  <c r="AH72" i="14" s="1"/>
  <c r="AK72" i="14" s="1"/>
  <c r="AE66" i="14"/>
  <c r="AB69" i="14"/>
  <c r="AB72" i="14" s="1"/>
  <c r="AE72" i="14" s="1"/>
  <c r="V71" i="14"/>
  <c r="AC71" i="14" s="1"/>
  <c r="AQ68" i="14"/>
  <c r="AR68" i="14" s="1"/>
  <c r="AK68" i="14"/>
  <c r="AL68" i="14" s="1"/>
  <c r="AE67" i="14"/>
  <c r="AK65" i="14"/>
  <c r="AL65" i="14" s="1"/>
  <c r="AH67" i="14"/>
  <c r="AH70" i="14" s="1"/>
  <c r="AH73" i="14" s="1"/>
  <c r="AK73" i="14" s="1"/>
  <c r="AL73" i="14" s="1"/>
  <c r="AP67" i="14"/>
  <c r="AP70" i="14" s="1"/>
  <c r="AP73" i="14" s="1"/>
  <c r="AQ65" i="14"/>
  <c r="AR65" i="14" s="1"/>
  <c r="AN67" i="14"/>
  <c r="AN70" i="14" s="1"/>
  <c r="AN73" i="14" s="1"/>
  <c r="AQ73" i="14" s="1"/>
  <c r="AR73" i="14" s="1"/>
  <c r="AJ67" i="14"/>
  <c r="AJ70" i="14" s="1"/>
  <c r="AJ73" i="14" s="1"/>
  <c r="AD67" i="14"/>
  <c r="AD70" i="14" s="1"/>
  <c r="AD73" i="14" s="1"/>
  <c r="AI66" i="14"/>
  <c r="AI69" i="14" s="1"/>
  <c r="AC66" i="14"/>
  <c r="AC69" i="14" s="1"/>
  <c r="AO66" i="14"/>
  <c r="AO69" i="14" s="1"/>
  <c r="AO65" i="14"/>
  <c r="AO67" i="14" s="1"/>
  <c r="AO70" i="14" s="1"/>
  <c r="AO73" i="14" s="1"/>
  <c r="AI65" i="14"/>
  <c r="AI67" i="14" s="1"/>
  <c r="AI70" i="14" s="1"/>
  <c r="AI73" i="14" s="1"/>
  <c r="AC65" i="14"/>
  <c r="AC67" i="14" s="1"/>
  <c r="AC70" i="14" s="1"/>
  <c r="AC73" i="14" s="1"/>
  <c r="AE54" i="14"/>
  <c r="AB56" i="14"/>
  <c r="AB58" i="14" s="1"/>
  <c r="AB60" i="14" s="1"/>
  <c r="AQ54" i="14"/>
  <c r="AN56" i="14"/>
  <c r="AN58" i="14" s="1"/>
  <c r="AN60" i="14" s="1"/>
  <c r="AQ60" i="14" s="1"/>
  <c r="AR60" i="14" s="1"/>
  <c r="AK54" i="14"/>
  <c r="AH56" i="14"/>
  <c r="AC54" i="14"/>
  <c r="AC56" i="14" s="1"/>
  <c r="AI54" i="14"/>
  <c r="AI56" i="14" s="1"/>
  <c r="AI58" i="14" s="1"/>
  <c r="AI60" i="14" s="1"/>
  <c r="AO54" i="14"/>
  <c r="AO56" i="14" s="1"/>
  <c r="AO58" i="14" s="1"/>
  <c r="AO60" i="14" s="1"/>
  <c r="AT52" i="14"/>
  <c r="AX51" i="14"/>
  <c r="AU52" i="14"/>
  <c r="AU53" i="14" s="1"/>
  <c r="AV53" i="14"/>
  <c r="AK42" i="14"/>
  <c r="AL42" i="14" s="1"/>
  <c r="AQ52" i="14"/>
  <c r="AQ53" i="14" s="1"/>
  <c r="AH44" i="14"/>
  <c r="AH45" i="14" s="1"/>
  <c r="AK45" i="14" s="1"/>
  <c r="AL45" i="14" s="1"/>
  <c r="W45" i="14" s="1"/>
  <c r="AT42" i="14"/>
  <c r="AE52" i="14"/>
  <c r="AV52" i="14"/>
  <c r="AV51" i="14"/>
  <c r="AW51" i="14" s="1"/>
  <c r="AH52" i="14"/>
  <c r="AH53" i="14" s="1"/>
  <c r="Y52" i="14"/>
  <c r="AO43" i="14"/>
  <c r="AW42" i="14"/>
  <c r="AC19" i="14"/>
  <c r="V20" i="14" s="1"/>
  <c r="AC20" i="14" s="1"/>
  <c r="AC22" i="14" s="1"/>
  <c r="AJ147" i="14"/>
  <c r="AO147" i="14" s="1"/>
  <c r="AK146" i="14"/>
  <c r="AO19" i="14"/>
  <c r="AO20" i="14" s="1"/>
  <c r="AO22" i="14" s="1"/>
  <c r="AW22" i="14" s="1"/>
  <c r="AQ43" i="14"/>
  <c r="AR43" i="14" s="1"/>
  <c r="AN44" i="14"/>
  <c r="AU43" i="14"/>
  <c r="AC44" i="14"/>
  <c r="AI43" i="14"/>
  <c r="AV42" i="14"/>
  <c r="V21" i="14"/>
  <c r="V24" i="14" s="1"/>
  <c r="V27" i="14" s="1"/>
  <c r="V35" i="14" s="1"/>
  <c r="AE43" i="14"/>
  <c r="AF43" i="14" s="1"/>
  <c r="W43" i="14" s="1"/>
  <c r="AB44" i="14"/>
  <c r="X32" i="14"/>
  <c r="W25" i="14"/>
  <c r="W29" i="14" s="1"/>
  <c r="W33" i="14" s="1"/>
  <c r="V29" i="14"/>
  <c r="V33" i="14" s="1"/>
  <c r="AJ25" i="14"/>
  <c r="AJ28" i="14" s="1"/>
  <c r="AV19" i="14"/>
  <c r="W31" i="14"/>
  <c r="AD28" i="14"/>
  <c r="AD32" i="14" s="1"/>
  <c r="AQ28" i="14"/>
  <c r="AQ32" i="14" s="1"/>
  <c r="AK28" i="14"/>
  <c r="AK32" i="14" s="1"/>
  <c r="V22" i="14"/>
  <c r="AI22" i="14"/>
  <c r="AI7" i="14"/>
  <c r="AI11" i="14" s="1"/>
  <c r="AN20" i="14"/>
  <c r="AH20" i="14"/>
  <c r="AB20" i="14"/>
  <c r="U24" i="14"/>
  <c r="U27" i="14" s="1"/>
  <c r="U35" i="14" s="1"/>
  <c r="AC7" i="14"/>
  <c r="AC11" i="14" s="1"/>
  <c r="X21" i="14"/>
  <c r="X24" i="14" s="1"/>
  <c r="X27" i="14" s="1"/>
  <c r="X35"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24" i="14"/>
  <c r="AZ124" i="14" s="1"/>
  <c r="BG124" i="14" s="1"/>
  <c r="BH124" i="14" s="1"/>
  <c r="AM124" i="14"/>
  <c r="AN150" i="14"/>
  <c r="AE150" i="14"/>
  <c r="AN146" i="14"/>
  <c r="AE146" i="14"/>
  <c r="AN145" i="14"/>
  <c r="AE145" i="14"/>
  <c r="AK150" i="14"/>
  <c r="AJ151" i="14"/>
  <c r="AO151" i="14" s="1"/>
  <c r="AD151" i="14"/>
  <c r="AD147" i="14"/>
  <c r="AR197" i="14"/>
  <c r="AM198" i="14"/>
  <c r="AR196" i="14"/>
  <c r="AO195" i="14"/>
  <c r="AN195" i="14"/>
  <c r="AN196" i="14" s="1"/>
  <c r="AN197" i="14" s="1"/>
  <c r="AN198" i="14" s="1"/>
  <c r="AN199" i="14" s="1"/>
  <c r="AN200" i="14" s="1"/>
  <c r="AN201" i="14" s="1"/>
  <c r="AN202" i="14" s="1"/>
  <c r="AQ183" i="14"/>
  <c r="AQ184" i="14" s="1"/>
  <c r="AR184" i="14" s="1"/>
  <c r="AM187" i="14"/>
  <c r="AM188" i="14" s="1"/>
  <c r="AM189" i="14" s="1"/>
  <c r="AM190" i="14" s="1"/>
  <c r="AP189" i="14"/>
  <c r="AR182" i="14"/>
  <c r="AO122" i="14"/>
  <c r="AO123" i="14" s="1"/>
  <c r="AM122" i="14"/>
  <c r="AM123" i="14" s="1"/>
  <c r="AZ111" i="14"/>
  <c r="BG111" i="14" s="1"/>
  <c r="BH111" i="14" s="1"/>
  <c r="AO113" i="14"/>
  <c r="AX116" i="14"/>
  <c r="AP116" i="14"/>
  <c r="BG116" i="14"/>
  <c r="BH116" i="14" s="1"/>
  <c r="AW111" i="14"/>
  <c r="AW113" i="14" s="1"/>
  <c r="AW115" i="14" s="1"/>
  <c r="AV113" i="14"/>
  <c r="AV115" i="14" s="1"/>
  <c r="AP109" i="14"/>
  <c r="AP110" i="14" s="1"/>
  <c r="AM110" i="14"/>
  <c r="AM111" i="14" s="1"/>
  <c r="AX111" i="14" s="1"/>
  <c r="AY111" i="14" s="1"/>
  <c r="AU79" i="14" l="1"/>
  <c r="AT79" i="14"/>
  <c r="AW68" i="14"/>
  <c r="AO72" i="14"/>
  <c r="AU68" i="14"/>
  <c r="AC72" i="14"/>
  <c r="AV68" i="14"/>
  <c r="AI72" i="14"/>
  <c r="AF67" i="14"/>
  <c r="AE70" i="14"/>
  <c r="AF66" i="14"/>
  <c r="AE69" i="14"/>
  <c r="AF69" i="14" s="1"/>
  <c r="AU71" i="14"/>
  <c r="AV71" i="14"/>
  <c r="AW71" i="14"/>
  <c r="AL66" i="14"/>
  <c r="AK69" i="14"/>
  <c r="AL69" i="14" s="1"/>
  <c r="AT68" i="14"/>
  <c r="AQ67" i="14"/>
  <c r="AK67" i="14"/>
  <c r="AV66" i="14"/>
  <c r="AW66" i="14"/>
  <c r="AU66" i="14"/>
  <c r="AT66" i="14" s="1"/>
  <c r="AW52" i="14"/>
  <c r="W71" i="14"/>
  <c r="AU65" i="14"/>
  <c r="AT65" i="14"/>
  <c r="AV65" i="14"/>
  <c r="AW65" i="14"/>
  <c r="AV56" i="14"/>
  <c r="AR54" i="14"/>
  <c r="AQ56" i="14"/>
  <c r="AR56" i="14" s="1"/>
  <c r="AL54" i="14"/>
  <c r="AK56" i="14"/>
  <c r="AL56" i="14" s="1"/>
  <c r="AK44" i="14"/>
  <c r="AL44" i="14" s="1"/>
  <c r="AF54" i="14"/>
  <c r="AE56" i="14"/>
  <c r="AF56" i="14" s="1"/>
  <c r="AU19" i="14"/>
  <c r="AK53" i="14"/>
  <c r="AH55" i="14"/>
  <c r="AH57" i="14" s="1"/>
  <c r="AH59" i="14" s="1"/>
  <c r="AH61" i="14" s="1"/>
  <c r="AR53" i="14"/>
  <c r="AQ55" i="14"/>
  <c r="AV54" i="14"/>
  <c r="Z52" i="14"/>
  <c r="AT53" i="14"/>
  <c r="AX52" i="14"/>
  <c r="AH58" i="14"/>
  <c r="AH60" i="14" s="1"/>
  <c r="AK60" i="14" s="1"/>
  <c r="AL60" i="14" s="1"/>
  <c r="AK52" i="14"/>
  <c r="AR52" i="14"/>
  <c r="AP124" i="14"/>
  <c r="AC58" i="14"/>
  <c r="V31" i="14"/>
  <c r="AF52" i="14"/>
  <c r="AJ148" i="14"/>
  <c r="AK148" i="14" s="1"/>
  <c r="AK147" i="14"/>
  <c r="AO25" i="14"/>
  <c r="AO28" i="14" s="1"/>
  <c r="AO32" i="14" s="1"/>
  <c r="AL51" i="14"/>
  <c r="AW19" i="14"/>
  <c r="AW20" i="14"/>
  <c r="AT19" i="14"/>
  <c r="AE44" i="14"/>
  <c r="AF44" i="14" s="1"/>
  <c r="W44" i="14" s="1"/>
  <c r="AB45" i="14"/>
  <c r="AE45" i="14" s="1"/>
  <c r="AF45" i="14" s="1"/>
  <c r="AC45" i="14"/>
  <c r="AU44" i="14"/>
  <c r="AV43" i="14"/>
  <c r="AI44" i="14"/>
  <c r="AT43" i="14"/>
  <c r="AQ44" i="14"/>
  <c r="AR44" i="14" s="1"/>
  <c r="AN45" i="14"/>
  <c r="AQ45" i="14" s="1"/>
  <c r="AR45" i="14" s="1"/>
  <c r="AW43" i="14"/>
  <c r="AO44" i="14"/>
  <c r="AJ32" i="14"/>
  <c r="AC25" i="14"/>
  <c r="AU25" i="14" s="1"/>
  <c r="AI25" i="14"/>
  <c r="Y25" i="14"/>
  <c r="AT4" i="14"/>
  <c r="X31" i="14"/>
  <c r="U31" i="14"/>
  <c r="AR28" i="14"/>
  <c r="AL28" i="14"/>
  <c r="AK20" i="14"/>
  <c r="AH22" i="14"/>
  <c r="AQ20" i="14"/>
  <c r="AN22" i="14"/>
  <c r="AE20" i="14"/>
  <c r="AB22" i="14"/>
  <c r="AB25" i="14" s="1"/>
  <c r="AU22" i="14"/>
  <c r="AC28" i="14"/>
  <c r="AC32" i="14" s="1"/>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24" i="14"/>
  <c r="AX124" i="14"/>
  <c r="BB124" i="14" s="1"/>
  <c r="BC124" i="14" s="1"/>
  <c r="AC5" i="14"/>
  <c r="AU4" i="14"/>
  <c r="AN147" i="14"/>
  <c r="AE147" i="14"/>
  <c r="AN151" i="14"/>
  <c r="AE151" i="14"/>
  <c r="AJ152" i="14"/>
  <c r="AK151" i="14"/>
  <c r="AD152" i="14"/>
  <c r="AR183" i="14"/>
  <c r="AP123" i="14"/>
  <c r="AD148" i="14"/>
  <c r="AR198" i="14"/>
  <c r="AM199" i="14"/>
  <c r="AO196" i="14"/>
  <c r="AO197" i="14" s="1"/>
  <c r="AO198" i="14" s="1"/>
  <c r="AO199" i="14" s="1"/>
  <c r="AO200" i="14" s="1"/>
  <c r="AO201" i="14" s="1"/>
  <c r="AO202" i="14" s="1"/>
  <c r="AO203" i="14" s="1"/>
  <c r="AO204" i="14" s="1"/>
  <c r="AQ185" i="14"/>
  <c r="AQ186" i="14" s="1"/>
  <c r="AQ187" i="14" s="1"/>
  <c r="AR187" i="14" s="1"/>
  <c r="AP122" i="14"/>
  <c r="BA111" i="14"/>
  <c r="AY116" i="14"/>
  <c r="BF116" i="14" s="1"/>
  <c r="BE116" i="14"/>
  <c r="BJ116" i="14" s="1"/>
  <c r="BK116" i="14" s="1"/>
  <c r="BB116" i="14"/>
  <c r="BC116" i="14" s="1"/>
  <c r="AO115" i="14"/>
  <c r="AZ113" i="14"/>
  <c r="BE111" i="14"/>
  <c r="BJ111" i="14" s="1"/>
  <c r="BK111" i="14" s="1"/>
  <c r="AM113" i="14"/>
  <c r="AP111" i="14"/>
  <c r="AR67" i="14" l="1"/>
  <c r="AQ70" i="14"/>
  <c r="Y71" i="14"/>
  <c r="Z71" i="14" s="1"/>
  <c r="AL67" i="14"/>
  <c r="AK70" i="14"/>
  <c r="AF72" i="14"/>
  <c r="AF70" i="14"/>
  <c r="AT71" i="14"/>
  <c r="AQ58" i="14"/>
  <c r="AR58" i="14" s="1"/>
  <c r="AQ57" i="14"/>
  <c r="AR55" i="14"/>
  <c r="AE58" i="14"/>
  <c r="AF58" i="14" s="1"/>
  <c r="AV58" i="14"/>
  <c r="AC60" i="14"/>
  <c r="AV60" i="14" s="1"/>
  <c r="AX53" i="14"/>
  <c r="AT54" i="14"/>
  <c r="AW54" i="14" s="1"/>
  <c r="AL53" i="14"/>
  <c r="AK55" i="14"/>
  <c r="AW53" i="14"/>
  <c r="AW25" i="14"/>
  <c r="AL52" i="14"/>
  <c r="AK58" i="14"/>
  <c r="AL58" i="14" s="1"/>
  <c r="AW28" i="14"/>
  <c r="AO148" i="14"/>
  <c r="AV44" i="14"/>
  <c r="AI45" i="14"/>
  <c r="AV45" i="14" s="1"/>
  <c r="AT44" i="14"/>
  <c r="AW44" i="14"/>
  <c r="AO45" i="14"/>
  <c r="AW45" i="14" s="1"/>
  <c r="AU32" i="14"/>
  <c r="AW32" i="14"/>
  <c r="AL32" i="14"/>
  <c r="AR32" i="14"/>
  <c r="Z25" i="14"/>
  <c r="Z29" i="14" s="1"/>
  <c r="Z33" i="14" s="1"/>
  <c r="Y29" i="14"/>
  <c r="Y33" i="14" s="1"/>
  <c r="AV25" i="14"/>
  <c r="AI28" i="14"/>
  <c r="AI32" i="14" s="1"/>
  <c r="AN25" i="14"/>
  <c r="AH25" i="14"/>
  <c r="AK25" i="14" s="1"/>
  <c r="AL25" i="14" s="1"/>
  <c r="AB28" i="14"/>
  <c r="V30" i="14"/>
  <c r="AU28" i="14"/>
  <c r="Y22" i="14"/>
  <c r="W23" i="14"/>
  <c r="W26" i="14" s="1"/>
  <c r="AE22" i="14"/>
  <c r="AE25" i="14" s="1"/>
  <c r="AF25" i="14" s="1"/>
  <c r="AF20" i="14"/>
  <c r="AQ22" i="14"/>
  <c r="AQ25" i="14" s="1"/>
  <c r="AR20" i="14"/>
  <c r="AK22" i="14"/>
  <c r="AL20" i="14"/>
  <c r="AL22" i="14" s="1"/>
  <c r="AT22" i="14"/>
  <c r="AY124" i="14"/>
  <c r="BF124" i="14" s="1"/>
  <c r="BE124" i="14"/>
  <c r="BJ124" i="14" s="1"/>
  <c r="BK124" i="14" s="1"/>
  <c r="AO14" i="14"/>
  <c r="AW13" i="14" s="1"/>
  <c r="AC14" i="14"/>
  <c r="AU13" i="14" s="1"/>
  <c r="AI14" i="14"/>
  <c r="AV13" i="14" s="1"/>
  <c r="AI8" i="14"/>
  <c r="AV7" i="14" s="1"/>
  <c r="AV5" i="14"/>
  <c r="AC8" i="14"/>
  <c r="AC12" i="14" s="1"/>
  <c r="AU10" i="14" s="1"/>
  <c r="AT10" i="14" s="1"/>
  <c r="AU5" i="14"/>
  <c r="AT5" i="14"/>
  <c r="AN148" i="14"/>
  <c r="AE148" i="14"/>
  <c r="AN152" i="14"/>
  <c r="AE152" i="14"/>
  <c r="AK152" i="14"/>
  <c r="AO152" i="14"/>
  <c r="AR185" i="14"/>
  <c r="AR199" i="14"/>
  <c r="AM200" i="14"/>
  <c r="AJ203" i="14"/>
  <c r="AL203" i="14" s="1"/>
  <c r="AP203" i="14" s="1"/>
  <c r="AO205" i="14"/>
  <c r="AO206" i="14" s="1"/>
  <c r="AL201" i="14"/>
  <c r="AP201" i="14" s="1"/>
  <c r="AQ188" i="14"/>
  <c r="AR186" i="14"/>
  <c r="AX113" i="14"/>
  <c r="BB113" i="14" s="1"/>
  <c r="AP113" i="14"/>
  <c r="AM115" i="14"/>
  <c r="AP115" i="14" s="1"/>
  <c r="BA113" i="14"/>
  <c r="BA115" i="14" s="1"/>
  <c r="AZ115" i="14"/>
  <c r="BG113" i="14"/>
  <c r="BB111" i="14"/>
  <c r="BC111" i="14" s="1"/>
  <c r="BF111" i="14"/>
  <c r="AT25" i="14" l="1"/>
  <c r="AR70" i="14"/>
  <c r="AR72" i="14"/>
  <c r="AL70" i="14"/>
  <c r="AL72" i="14"/>
  <c r="AQ59" i="14"/>
  <c r="AR57" i="14"/>
  <c r="AK57" i="14"/>
  <c r="AL55" i="14"/>
  <c r="AX54" i="14"/>
  <c r="AT56" i="14"/>
  <c r="AT58" i="14" s="1"/>
  <c r="AT45" i="14"/>
  <c r="AV32" i="14"/>
  <c r="AT32" i="14" s="1"/>
  <c r="AE28" i="14"/>
  <c r="AB32" i="14"/>
  <c r="V34" i="14"/>
  <c r="AV28" i="14"/>
  <c r="AT28" i="14" s="1"/>
  <c r="AF22" i="14"/>
  <c r="AR22" i="14"/>
  <c r="W30" i="14"/>
  <c r="W34" i="14" s="1"/>
  <c r="Z20" i="14"/>
  <c r="Z23" i="14" s="1"/>
  <c r="Z26" i="14" s="1"/>
  <c r="Y23" i="14"/>
  <c r="Y26" i="14" s="1"/>
  <c r="Z22" i="14"/>
  <c r="AT13" i="14"/>
  <c r="AU7" i="14"/>
  <c r="AT7" i="14" s="1"/>
  <c r="AR200" i="14"/>
  <c r="AM201" i="14"/>
  <c r="AM202" i="14" s="1"/>
  <c r="AM203" i="14" s="1"/>
  <c r="AN203" i="14"/>
  <c r="AN204" i="14" s="1"/>
  <c r="AN205" i="14" s="1"/>
  <c r="AN206" i="14" s="1"/>
  <c r="AQ203" i="14"/>
  <c r="AQ204" i="14" s="1"/>
  <c r="AQ205" i="14" s="1"/>
  <c r="AQ206" i="14" s="1"/>
  <c r="AR201" i="14"/>
  <c r="AQ189" i="14"/>
  <c r="AQ190" i="14" s="1"/>
  <c r="AR190" i="14" s="1"/>
  <c r="AR188" i="14"/>
  <c r="BH113" i="14"/>
  <c r="BH115" i="14" s="1"/>
  <c r="BG115" i="14"/>
  <c r="BC113" i="14"/>
  <c r="BC115" i="14" s="1"/>
  <c r="BB115" i="14"/>
  <c r="AY113" i="14"/>
  <c r="AX115" i="14"/>
  <c r="BE113" i="14"/>
  <c r="AT60" i="14" l="1"/>
  <c r="AW60" i="14" s="1"/>
  <c r="AQ61" i="14"/>
  <c r="AR59" i="14"/>
  <c r="AR61" i="14" s="1"/>
  <c r="AK59" i="14"/>
  <c r="AL57" i="14"/>
  <c r="AX58" i="14"/>
  <c r="AW58" i="14"/>
  <c r="AX56" i="14"/>
  <c r="AW56" i="14"/>
  <c r="AF28" i="14"/>
  <c r="AF32" i="14" s="1"/>
  <c r="AE32" i="14"/>
  <c r="AR25" i="14"/>
  <c r="Z30" i="14"/>
  <c r="Y30" i="14"/>
  <c r="AR202" i="14"/>
  <c r="AM204" i="14"/>
  <c r="AR203" i="14"/>
  <c r="AR189" i="14"/>
  <c r="BJ113" i="14"/>
  <c r="BK113" i="14" s="1"/>
  <c r="BE115" i="14"/>
  <c r="BJ115" i="14" s="1"/>
  <c r="BK115" i="14" s="1"/>
  <c r="BF113" i="14"/>
  <c r="BF115" i="14" s="1"/>
  <c r="AY115" i="14"/>
  <c r="AX60" i="14" l="1"/>
  <c r="AL59" i="14"/>
  <c r="AL61" i="14" s="1"/>
  <c r="AK61" i="14"/>
  <c r="Y34" i="14"/>
  <c r="Z34" i="14"/>
  <c r="AR204" i="14"/>
  <c r="AM205" i="14"/>
  <c r="AM206" i="14" s="1"/>
  <c r="AR206" i="14" s="1"/>
  <c r="AR205"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40"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40"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40"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50"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50"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4"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64"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E78"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78"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R110"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10"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10"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10"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10"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10"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10"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10"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10"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10"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10"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10"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10"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11"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11"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11"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11"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11"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11"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24"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24"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24"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24"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24"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24"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24"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24"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24"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24"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24"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24"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66"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69"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70"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<sst xmlns="http://schemas.openxmlformats.org/spreadsheetml/2006/main" count="1401" uniqueCount="269">
  <si>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</si>
  <si>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</si>
  <si>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</si>
  <si>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</si>
  <si>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</si>
  <si>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</si>
  <si>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</si>
  <si>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</si>
  <si>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</si>
  <si>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</si>
  <si>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</si>
  <si>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</si>
  <si>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</si>
  <si>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</si>
  <si>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</si>
  <si>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</si>
  <si>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</si>
  <si>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</si>
  <si>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</si>
  <si>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</si>
  <si>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</si>
  <si>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</si>
  <si>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</si>
  <si>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</si>
  <si>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</si>
  <si>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</si>
  <si>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</si>
  <si>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</si>
  <si>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</si>
  <si>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</si>
  <si>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</si>
  <si>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</si>
  <si>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</si>
  <si>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</si>
  <si>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</si>
  <si>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</si>
  <si>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</si>
  <si>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</si>
  <si>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</si>
  <si>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</si>
  <si>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</si>
  <si>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</si>
  <si>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</si>
  <si>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</si>
  <si>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</si>
  <si>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</si>
  <si>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</si>
  <si>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</si>
  <si>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</si>
  <si>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</si>
  <si>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</si>
  <si>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</si>
  <si>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</si>
  <si>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</si>
  <si>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</si>
  <si>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</si>
  <si>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</si>
  <si>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</si>
  <si>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</si>
  <si>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</si>
  <si>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</si>
  <si>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</si>
  <si>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</si>
  <si>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</si>
  <si>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</si>
  <si>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</si>
  <si>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</si>
  <si>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</si>
  <si>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</si>
  <si>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</si>
  <si>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</si>
  <si>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</si>
  <si>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</si>
  <si>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</si>
  <si>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</si>
  <si>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</si>
  <si>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</si>
  <si>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</si>
  <si>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</si>
  <si>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</si>
  <si>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</si>
  <si>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</si>
  <si>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</si>
  <si>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</si>
  <si>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</si>
  <si>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</si>
  <si>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</si>
  <si>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</si>
  <si>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</si>
  <si>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</si>
  <si>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</si>
  <si>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</si>
  <si>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</si>
  <si>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</si>
  <si>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</si>
  <si>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</si>
  <si>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</si>
  <si>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</si>
  <si>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</si>
  <si>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</si>
  <si>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</si>
  <si>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</si>
  <si>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</si>
  <si>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</si>
  <si>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</si>
  <si>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</si>
  <si>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</si>
  <si>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</si>
  <si>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</si>
  <si>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</si>
  <si>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</si>
  <si>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</si>
  <si>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</si>
  <si>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</si>
  <si>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</si>
  <si>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</si>
  <si>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</si>
  <si>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</si>
  <si>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</si>
  <si>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</si>
  <si>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</si>
  <si>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</si>
  <si>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</si>
  <si>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</si>
  <si>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</si>
  <si>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</si>
  <si>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</si>
  <si>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</si>
  <si>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</si>
  <si>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</si>
  <si>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</si>
  <si>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</si>
  <si>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</si>
  <si>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</si>
  <si>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</si>
  <si>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</si>
  <si>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</si>
  <si>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</si>
  <si>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</si>
  <si>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</si>
  <si>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</si>
  <si>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</si>
  <si>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</si>
  <si>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</si>
  <si>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</si>
  <si>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</si>
  <si>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</si>
  <si>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</si>
  <si>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</si>
  <si>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</si>
  <si>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</si>
  <si>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</si>
  <si>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</si>
  <si>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</si>
  <si>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</si>
  <si>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</si>
  <si>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</si>
  <si>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</si>
  <si>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</si>
  <si>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</si>
  <si>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</si>
  <si>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</si>
  <si>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</si>
  <si>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</si>
  <si>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</si>
  <si>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</si>
  <si>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</si>
  <si>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</si>
  <si>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</si>
  <si>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</si>
  <si>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</si>
  <si>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</si>
  <si>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</si>
  <si>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</si>
  <si>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</si>
  <si>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</si>
  <si>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</si>
  <si>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</si>
  <si>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</si>
  <si>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</si>
  <si>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</si>
  <si>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</si>
  <si>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</si>
  <si>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</si>
  <si>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</si>
  <si>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</si>
  <si>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</si>
  <si>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</si>
  <si>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</si>
  <si>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</si>
  <si>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</si>
  <si>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</si>
  <si>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</si>
  <si>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</si>
  <si>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</si>
  <si>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</si>
  <si>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</si>
  <si>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</si>
  <si>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</si>
  <si>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</si>
  <si>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</si>
  <si>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</si>
  <si>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</si>
  <si>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</si>
  <si>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</si>
  <si>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</si>
  <si>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</si>
  <si>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</si>
  <si>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</si>
  <si>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</si>
  <si>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</si>
  <si>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</si>
  <si>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</si>
  <si>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</si>
  <si>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</si>
  <si>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</si>
  <si>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</si>
  <si>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</si>
  <si>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</si>
  <si>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</si>
  <si>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</si>
  <si>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</si>
  <si>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</si>
  <si>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</si>
  <si>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</si>
  <si>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</si>
  <si>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</si>
  <si>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</si>
  <si>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</si>
  <si>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</si>
  <si>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</si>
  <si>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</si>
  <si>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</si>
  <si>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</si>
  <si>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</si>
  <si>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</si>
  <si>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</si>
  <si>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</si>
  <si>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</si>
  <si>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</si>
  <si>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</si>
  <si>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</si>
  <si>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</si>
  <si>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</si>
  <si>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</si>
  <si>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</si>
  <si>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</si>
  <si>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</si>
  <si>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</si>
  <si>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</si>
  <si>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Sell and Buy while changing ET, PTs and comm</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</si>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</sst>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22">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64" fontId="10" fillId="0" borderId="0" xfId="0" applyNumberFormat="1" applyFont="1" applyAlignment="1">
      <alignment horizontal="right"/>
    </xf>
    <xf numFmtId="166" fontId="10" fillId="0" borderId="0" xfId="0" applyNumberFormat="1" applyFont="1" applyAlignment="1">
      <alignment horizontal="right"/>
    </xf>
    <xf numFmtId="10" fontId="10" fillId="0" borderId="0" xfId="1" applyNumberFormat="1" applyFont="1" applyFill="1" applyAlignment="1">
      <alignment horizontal="right"/>
    </xf>
    <xf numFmtId="164" fontId="3" fillId="0" borderId="0" xfId="0" applyNumberFormat="1" applyFont="1" applyAlignment="1">
      <alignment horizontal="center"/>
    </xf>
    <xf numFmtId="10" fontId="10" fillId="3" borderId="0" xfId="0" applyNumberFormat="1" applyFont="1" applyFill="1" applyAlignment="1">
      <alignment horizontal="right"/>
    </xf>
    <xf numFmtId="164" fontId="28" fillId="3" borderId="0" xfId="0" applyNumberFormat="1" applyFont="1" applyFill="1" applyAlignment="1">
      <alignment horizontal="right"/>
    </xf>
    <xf numFmtId="164" fontId="26" fillId="3" borderId="0" xfId="0" quotePrefix="1" applyNumberFormat="1" applyFont="1" applyFill="1" applyAlignment="1">
      <alignment horizontal="right"/>
    </xf>
    <xf numFmtId="10" fontId="26" fillId="3" borderId="0" xfId="1" quotePrefix="1"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0" fillId="0" borderId="0" xfId="0"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06"/>
  <sheetViews>
    <sheetView tabSelected="1" topLeftCell="A63" workbookViewId="0">
      <selection activeCell="A78" sqref="A78"/>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bestFit="1"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267</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268</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84"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84"/>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84"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80">
        <f>(B25 - AE25) / AE25</f>
        <v>-0.14326923076923079</v>
      </c>
      <c r="AG25" s="43"/>
      <c r="AH25" s="126">
        <f>AH22</f>
        <v>100</v>
      </c>
      <c r="AI25" s="43">
        <f>AI22*O25</f>
        <v>0.89999999999999991</v>
      </c>
      <c r="AJ25" s="128">
        <f>AJ22*O25</f>
        <v>90</v>
      </c>
      <c r="AK25" s="128">
        <f>AH25 * (1 + E25) / (1 - G25)</f>
        <v>109.09090909090909</v>
      </c>
      <c r="AL25" s="180">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84"/>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84"/>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110" t="s">
        <v>216</v>
      </c>
      <c r="B28" s="52">
        <v>100</v>
      </c>
      <c r="C28" s="62">
        <v>0.02</v>
      </c>
      <c r="D28" s="124">
        <v>0.04</v>
      </c>
      <c r="E28" s="95">
        <v>0.08</v>
      </c>
      <c r="F28" s="95">
        <v>0.16</v>
      </c>
      <c r="G28" s="95">
        <v>0.01</v>
      </c>
      <c r="H28" s="95"/>
      <c r="J28" s="45" t="s">
        <v>75</v>
      </c>
      <c r="K28" s="45" t="s">
        <v>214</v>
      </c>
      <c r="L28" s="52">
        <v>100</v>
      </c>
      <c r="M28" s="52">
        <v>400</v>
      </c>
      <c r="N28" s="124">
        <v>0.4</v>
      </c>
      <c r="O28" s="95">
        <v>0.4</v>
      </c>
      <c r="P28" s="95">
        <v>0.2</v>
      </c>
      <c r="R28" s="46" t="s">
        <v>216</v>
      </c>
      <c r="S28" s="46" t="s">
        <v>75</v>
      </c>
      <c r="T28" s="46" t="s">
        <v>214</v>
      </c>
      <c r="U28" s="137">
        <f>L28</f>
        <v>100</v>
      </c>
      <c r="V28" s="138">
        <f>W28/U28</f>
        <v>4</v>
      </c>
      <c r="W28" s="137">
        <f>M28</f>
        <v>400</v>
      </c>
      <c r="X28" s="137">
        <f>U28 * (1 - ABS(C28))</f>
        <v>98</v>
      </c>
      <c r="Y28" s="152" t="s">
        <v>34</v>
      </c>
      <c r="Z28" s="152" t="s">
        <v>34</v>
      </c>
      <c r="AA28" s="12"/>
      <c r="AB28" s="176">
        <f>AB22</f>
        <v>100</v>
      </c>
      <c r="AC28" s="177">
        <f>AC22+(V28*N28)</f>
        <v>3.1</v>
      </c>
      <c r="AD28" s="176">
        <f>AD22+(W28*N28)</f>
        <v>310</v>
      </c>
      <c r="AE28" s="176">
        <f>AB28 * (1 + D28) / (1 - G28)</f>
        <v>105.05050505050505</v>
      </c>
      <c r="AF28" s="178">
        <f>(B28 - AE28) / AE28</f>
        <v>-4.8076923076923087E-2</v>
      </c>
      <c r="AG28" s="177"/>
      <c r="AH28" s="176">
        <f>U28</f>
        <v>100</v>
      </c>
      <c r="AI28" s="177">
        <f>AI25+(V28*O28)</f>
        <v>2.5</v>
      </c>
      <c r="AJ28" s="176">
        <f>AJ25+(W28*N28)</f>
        <v>250</v>
      </c>
      <c r="AK28" s="176">
        <f>AH28 * (1 + E28) / (1 - G28)</f>
        <v>109.09090909090909</v>
      </c>
      <c r="AL28" s="178">
        <f>(B28 - AK28) / AK28</f>
        <v>-8.3333333333333356E-2</v>
      </c>
      <c r="AM28" s="45"/>
      <c r="AN28" s="176">
        <f>U28</f>
        <v>100</v>
      </c>
      <c r="AO28" s="177">
        <f>AO25+(V28*P28)</f>
        <v>2</v>
      </c>
      <c r="AP28" s="176">
        <f>AP25+(W28*P28)</f>
        <v>200</v>
      </c>
      <c r="AQ28" s="176">
        <f>AN28 * (1 + F28) / (1 - G28)</f>
        <v>117.17171717171716</v>
      </c>
      <c r="AR28" s="124">
        <f>(B28 - AQ28) / AQ28</f>
        <v>-0.14655172413793097</v>
      </c>
      <c r="AS28" s="45"/>
      <c r="AT28" s="104">
        <f>AU28+AV28+AW28</f>
        <v>7.6</v>
      </c>
      <c r="AU28" s="104">
        <f>AC28</f>
        <v>3.1</v>
      </c>
      <c r="AV28" s="104">
        <f>AI28</f>
        <v>2.5</v>
      </c>
      <c r="AW28" s="104">
        <f>AO28</f>
        <v>2</v>
      </c>
    </row>
    <row r="29" spans="1:49" ht="12.75" x14ac:dyDescent="0.2">
      <c r="A29" s="45"/>
      <c r="B29" s="52"/>
      <c r="C29" s="95"/>
      <c r="D29" s="124"/>
      <c r="E29" s="95"/>
      <c r="F29" s="95"/>
      <c r="G29" s="95"/>
      <c r="H29" s="95"/>
      <c r="L29" s="52"/>
      <c r="M29" s="52"/>
      <c r="N29" s="124"/>
      <c r="O29" s="95"/>
      <c r="P29" s="95"/>
      <c r="R29" s="46" t="s">
        <v>221</v>
      </c>
      <c r="S29" s="46" t="s">
        <v>73</v>
      </c>
      <c r="T29" s="46" t="s">
        <v>211</v>
      </c>
      <c r="U29" s="137">
        <f>U25</f>
        <v>95</v>
      </c>
      <c r="V29" s="138">
        <f>V25</f>
        <v>0.89999999999999991</v>
      </c>
      <c r="W29" s="137">
        <f>W25</f>
        <v>84.644999999999982</v>
      </c>
      <c r="X29" s="179" t="str">
        <f>X22</f>
        <v>-</v>
      </c>
      <c r="Y29" s="152">
        <f>Y25</f>
        <v>-5.355000000000004</v>
      </c>
      <c r="Z29" s="161">
        <f>Z25</f>
        <v>-5.9500000000000053E-2</v>
      </c>
      <c r="AA29" s="12"/>
      <c r="AB29" s="176"/>
      <c r="AC29" s="177"/>
      <c r="AD29" s="176"/>
      <c r="AE29" s="157"/>
      <c r="AF29" s="124"/>
      <c r="AG29" s="177"/>
      <c r="AH29" s="176"/>
      <c r="AI29" s="177"/>
      <c r="AJ29" s="176"/>
      <c r="AK29" s="176"/>
      <c r="AL29" s="124"/>
      <c r="AM29" s="45"/>
      <c r="AN29" s="158"/>
      <c r="AO29" s="159"/>
      <c r="AP29" s="159"/>
      <c r="AQ29" s="159"/>
      <c r="AR29" s="159"/>
      <c r="AS29" s="45"/>
      <c r="AT29" s="45"/>
      <c r="AU29" s="104"/>
      <c r="AV29" s="104"/>
      <c r="AW29" s="104"/>
    </row>
    <row r="30" spans="1:49" ht="12.75" x14ac:dyDescent="0.2">
      <c r="A30" s="45"/>
      <c r="B30" s="52"/>
      <c r="C30" s="95"/>
      <c r="D30" s="124"/>
      <c r="E30" s="95"/>
      <c r="F30" s="95"/>
      <c r="G30" s="95"/>
      <c r="H30" s="95"/>
      <c r="L30" s="52"/>
      <c r="M30" s="52"/>
      <c r="N30" s="124"/>
      <c r="O30" s="95"/>
      <c r="P30" s="95"/>
      <c r="R30" s="46" t="s">
        <v>218</v>
      </c>
      <c r="S30" s="46" t="s">
        <v>73</v>
      </c>
      <c r="T30" s="131" t="str">
        <f t="shared" ref="T30:W31" si="5">T23</f>
        <v>Profit Target</v>
      </c>
      <c r="U30" s="137">
        <f t="shared" si="5"/>
        <v>110</v>
      </c>
      <c r="V30" s="138">
        <f t="shared" si="5"/>
        <v>1.5</v>
      </c>
      <c r="W30" s="137">
        <f t="shared" si="5"/>
        <v>163.35</v>
      </c>
      <c r="X30" s="179" t="str">
        <f>X23</f>
        <v>-</v>
      </c>
      <c r="Y30" s="152">
        <f>Y23</f>
        <v>13.349999999999994</v>
      </c>
      <c r="Z30" s="161">
        <f>Z23</f>
        <v>8.8999999999999968E-2</v>
      </c>
      <c r="AA30" s="12"/>
      <c r="AB30" s="176"/>
      <c r="AC30" s="177"/>
      <c r="AD30" s="176"/>
      <c r="AE30" s="157"/>
      <c r="AF30" s="124"/>
      <c r="AG30" s="177"/>
      <c r="AH30" s="176"/>
      <c r="AI30" s="177"/>
      <c r="AJ30" s="176"/>
      <c r="AK30" s="176"/>
      <c r="AL30" s="62"/>
      <c r="AM30" s="45"/>
      <c r="AN30" s="176"/>
      <c r="AO30" s="177"/>
      <c r="AP30" s="176"/>
      <c r="AQ30" s="176"/>
      <c r="AR30" s="124"/>
      <c r="AS30" s="45"/>
      <c r="AT30" s="45"/>
      <c r="AU30" s="104"/>
      <c r="AV30" s="104"/>
      <c r="AW30" s="104"/>
    </row>
    <row r="31" spans="1:49" ht="12.75" x14ac:dyDescent="0.2">
      <c r="A31" s="45"/>
      <c r="B31" s="52"/>
      <c r="C31" s="62"/>
      <c r="D31" s="124"/>
      <c r="E31" s="95"/>
      <c r="F31" s="95"/>
      <c r="G31" s="95"/>
      <c r="H31" s="95"/>
      <c r="J31" s="146"/>
      <c r="K31" s="146"/>
      <c r="L31" s="147"/>
      <c r="M31" s="147"/>
      <c r="N31" s="148"/>
      <c r="O31" s="149"/>
      <c r="P31" s="149"/>
      <c r="R31" s="46" t="s">
        <v>215</v>
      </c>
      <c r="S31" s="46" t="s">
        <v>75</v>
      </c>
      <c r="T31" s="131" t="str">
        <f t="shared" si="5"/>
        <v>Initial</v>
      </c>
      <c r="U31" s="137">
        <f t="shared" si="5"/>
        <v>100</v>
      </c>
      <c r="V31" s="138">
        <f t="shared" si="5"/>
        <v>6</v>
      </c>
      <c r="W31" s="137">
        <f t="shared" si="5"/>
        <v>600</v>
      </c>
      <c r="X31" s="137">
        <f>X24</f>
        <v>98</v>
      </c>
      <c r="Y31" s="152" t="str">
        <f>Y24</f>
        <v>-</v>
      </c>
      <c r="Z31" s="152" t="str">
        <f>Z24</f>
        <v>-</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s="35" customFormat="1" ht="12.75" x14ac:dyDescent="0.2">
      <c r="A32" s="47" t="s">
        <v>223</v>
      </c>
      <c r="B32" s="40">
        <f t="shared" ref="B32:G32" si="6">B28</f>
        <v>100</v>
      </c>
      <c r="C32" s="55">
        <f t="shared" si="6"/>
        <v>0.02</v>
      </c>
      <c r="D32" s="129">
        <f t="shared" si="6"/>
        <v>0.04</v>
      </c>
      <c r="E32" s="125">
        <f t="shared" si="6"/>
        <v>0.08</v>
      </c>
      <c r="F32" s="125">
        <f t="shared" si="6"/>
        <v>0.16</v>
      </c>
      <c r="G32" s="125">
        <f t="shared" si="6"/>
        <v>0.01</v>
      </c>
      <c r="H32" s="125"/>
      <c r="J32" s="47" t="s">
        <v>222</v>
      </c>
      <c r="K32" s="153" t="s">
        <v>34</v>
      </c>
      <c r="L32" s="153" t="s">
        <v>34</v>
      </c>
      <c r="M32" s="153" t="s">
        <v>34</v>
      </c>
      <c r="N32" s="153" t="s">
        <v>34</v>
      </c>
      <c r="O32" s="153" t="s">
        <v>34</v>
      </c>
      <c r="P32" s="153" t="s">
        <v>34</v>
      </c>
      <c r="R32" s="47" t="str">
        <f t="shared" ref="R32:S34" si="7">R28</f>
        <v>BuyB</v>
      </c>
      <c r="S32" s="47" t="str">
        <f t="shared" si="7"/>
        <v>Buy</v>
      </c>
      <c r="T32" s="132" t="s">
        <v>214</v>
      </c>
      <c r="U32" s="126">
        <f>U28</f>
        <v>100</v>
      </c>
      <c r="V32" s="43">
        <f>V28</f>
        <v>4</v>
      </c>
      <c r="W32" s="126">
        <f>W28</f>
        <v>400</v>
      </c>
      <c r="X32" s="181">
        <f>X28</f>
        <v>98</v>
      </c>
      <c r="Y32" s="153" t="s">
        <v>34</v>
      </c>
      <c r="Z32" s="153" t="s">
        <v>34</v>
      </c>
      <c r="AA32" s="41"/>
      <c r="AB32" s="126">
        <f>AB28</f>
        <v>100</v>
      </c>
      <c r="AC32" s="43">
        <f>AC28</f>
        <v>3.1</v>
      </c>
      <c r="AD32" s="128">
        <f>AD28</f>
        <v>310</v>
      </c>
      <c r="AE32" s="128">
        <f>AE28</f>
        <v>105.05050505050505</v>
      </c>
      <c r="AF32" s="129">
        <f>AF28</f>
        <v>-4.8076923076923087E-2</v>
      </c>
      <c r="AG32" s="170"/>
      <c r="AH32" s="126">
        <f>AH28</f>
        <v>100</v>
      </c>
      <c r="AI32" s="43">
        <f>AI28+AI25</f>
        <v>3.4</v>
      </c>
      <c r="AJ32" s="128">
        <f>AJ28+AJ25</f>
        <v>340</v>
      </c>
      <c r="AK32" s="128">
        <f>AK28</f>
        <v>109.09090909090909</v>
      </c>
      <c r="AL32" s="129">
        <f>AL28</f>
        <v>-8.3333333333333356E-2</v>
      </c>
      <c r="AN32" s="126">
        <f>AN28</f>
        <v>100</v>
      </c>
      <c r="AO32" s="43">
        <f>AO28</f>
        <v>2</v>
      </c>
      <c r="AP32" s="128">
        <f>AP28</f>
        <v>200</v>
      </c>
      <c r="AQ32" s="128">
        <f>AQ28</f>
        <v>117.17171717171716</v>
      </c>
      <c r="AR32" s="129">
        <f>AR28</f>
        <v>-0.14655172413793097</v>
      </c>
      <c r="AT32" s="39">
        <f>AU32+AV32+AW32</f>
        <v>8.5</v>
      </c>
      <c r="AU32" s="39">
        <f>AC32</f>
        <v>3.1</v>
      </c>
      <c r="AV32" s="39">
        <f>AI32</f>
        <v>3.4</v>
      </c>
      <c r="AW32" s="39">
        <f>AO32</f>
        <v>2</v>
      </c>
    </row>
    <row r="33" spans="1:49" s="35" customFormat="1" ht="12.75" x14ac:dyDescent="0.2">
      <c r="A33" s="47"/>
      <c r="B33" s="40"/>
      <c r="C33" s="55"/>
      <c r="D33" s="129"/>
      <c r="E33" s="125"/>
      <c r="F33" s="125"/>
      <c r="G33" s="125"/>
      <c r="H33" s="125"/>
      <c r="J33" s="166"/>
      <c r="K33" s="166"/>
      <c r="L33" s="167"/>
      <c r="M33" s="167"/>
      <c r="N33" s="168"/>
      <c r="O33" s="169"/>
      <c r="P33" s="169"/>
      <c r="R33" s="166" t="str">
        <f t="shared" si="7"/>
        <v>SellB</v>
      </c>
      <c r="S33" s="166" t="str">
        <f t="shared" si="7"/>
        <v>Sell</v>
      </c>
      <c r="T33" s="173" t="s">
        <v>211</v>
      </c>
      <c r="U33" s="174">
        <f t="shared" ref="U33:W34" si="8">U29</f>
        <v>95</v>
      </c>
      <c r="V33" s="175">
        <f t="shared" si="8"/>
        <v>0.89999999999999991</v>
      </c>
      <c r="W33" s="174">
        <f t="shared" si="8"/>
        <v>84.644999999999982</v>
      </c>
      <c r="X33" s="153" t="s">
        <v>34</v>
      </c>
      <c r="Y33" s="182">
        <f>Y29</f>
        <v>-5.355000000000004</v>
      </c>
      <c r="Z33" s="183">
        <f>Z29</f>
        <v>-5.9500000000000053E-2</v>
      </c>
      <c r="AA33" s="41"/>
      <c r="AB33" s="126"/>
      <c r="AC33" s="43"/>
      <c r="AD33" s="128"/>
      <c r="AE33" s="128"/>
      <c r="AF33" s="129"/>
      <c r="AG33" s="170"/>
      <c r="AH33" s="126"/>
      <c r="AI33" s="43"/>
      <c r="AJ33" s="128"/>
      <c r="AK33" s="128"/>
      <c r="AL33" s="129"/>
      <c r="AN33" s="127"/>
      <c r="AO33" s="144"/>
      <c r="AP33" s="144"/>
      <c r="AQ33" s="144"/>
      <c r="AR33" s="144"/>
      <c r="AT33" s="39"/>
      <c r="AU33" s="39"/>
      <c r="AV33" s="39"/>
      <c r="AW33" s="39"/>
    </row>
    <row r="34" spans="1:49" s="35" customFormat="1" ht="12.75" x14ac:dyDescent="0.2">
      <c r="A34" s="47"/>
      <c r="B34" s="40"/>
      <c r="C34" s="55"/>
      <c r="D34" s="129"/>
      <c r="E34" s="125"/>
      <c r="F34" s="125"/>
      <c r="G34" s="125"/>
      <c r="H34" s="125"/>
      <c r="J34" s="166"/>
      <c r="K34" s="166"/>
      <c r="L34" s="167"/>
      <c r="M34" s="167"/>
      <c r="N34" s="168"/>
      <c r="O34" s="169"/>
      <c r="P34" s="169"/>
      <c r="R34" s="47" t="str">
        <f t="shared" si="7"/>
        <v>SellA</v>
      </c>
      <c r="S34" s="47" t="str">
        <f t="shared" si="7"/>
        <v>Sell</v>
      </c>
      <c r="T34" s="132" t="s">
        <v>219</v>
      </c>
      <c r="U34" s="126">
        <f t="shared" si="8"/>
        <v>110</v>
      </c>
      <c r="V34" s="43">
        <f t="shared" si="8"/>
        <v>1.5</v>
      </c>
      <c r="W34" s="126">
        <f t="shared" si="8"/>
        <v>163.35</v>
      </c>
      <c r="X34" s="153" t="s">
        <v>34</v>
      </c>
      <c r="Y34" s="127">
        <f>Y30</f>
        <v>13.349999999999994</v>
      </c>
      <c r="Z34" s="151">
        <f>Z30</f>
        <v>8.8999999999999968E-2</v>
      </c>
      <c r="AA34" s="41"/>
      <c r="AB34" s="126"/>
      <c r="AC34" s="43"/>
      <c r="AD34" s="128"/>
      <c r="AE34" s="128"/>
      <c r="AF34" s="129"/>
      <c r="AG34" s="170"/>
      <c r="AH34" s="126"/>
      <c r="AI34" s="43"/>
      <c r="AJ34" s="128"/>
      <c r="AK34" s="128"/>
      <c r="AL34" s="129"/>
      <c r="AN34" s="127"/>
      <c r="AO34" s="144"/>
      <c r="AP34" s="144"/>
      <c r="AQ34" s="144"/>
      <c r="AR34" s="144"/>
      <c r="AT34" s="39"/>
      <c r="AU34" s="39"/>
      <c r="AV34" s="39"/>
      <c r="AW34" s="39"/>
    </row>
    <row r="35" spans="1:49" s="35" customFormat="1" ht="12.75" x14ac:dyDescent="0.2">
      <c r="A35" s="47"/>
      <c r="B35" s="40"/>
      <c r="C35" s="55"/>
      <c r="D35" s="129"/>
      <c r="E35" s="125"/>
      <c r="F35" s="125"/>
      <c r="G35" s="125"/>
      <c r="H35" s="125"/>
      <c r="J35" s="166"/>
      <c r="K35" s="166"/>
      <c r="L35" s="167"/>
      <c r="M35" s="167"/>
      <c r="N35" s="168"/>
      <c r="O35" s="169"/>
      <c r="P35" s="169"/>
      <c r="R35" s="47" t="str">
        <f>R27</f>
        <v>BuyA</v>
      </c>
      <c r="S35" s="47" t="str">
        <f>S27</f>
        <v>Buy</v>
      </c>
      <c r="T35" s="132" t="s">
        <v>78</v>
      </c>
      <c r="U35" s="126">
        <f>U27</f>
        <v>100</v>
      </c>
      <c r="V35" s="43">
        <f>V27</f>
        <v>6</v>
      </c>
      <c r="W35" s="126">
        <f>W27</f>
        <v>600</v>
      </c>
      <c r="X35" s="181">
        <f>X27</f>
        <v>98</v>
      </c>
      <c r="Y35" s="153" t="s">
        <v>34</v>
      </c>
      <c r="Z35" s="153" t="s">
        <v>34</v>
      </c>
      <c r="AA35" s="41"/>
      <c r="AB35" s="126"/>
      <c r="AC35" s="43"/>
      <c r="AD35" s="128"/>
      <c r="AE35" s="128"/>
      <c r="AF35" s="129"/>
      <c r="AG35" s="170"/>
      <c r="AH35" s="126"/>
      <c r="AI35" s="43"/>
      <c r="AJ35" s="128"/>
      <c r="AK35" s="128"/>
      <c r="AL35" s="129"/>
      <c r="AN35" s="127"/>
      <c r="AO35" s="144"/>
      <c r="AP35" s="144"/>
      <c r="AQ35" s="144"/>
      <c r="AR35" s="144"/>
      <c r="AT35" s="39"/>
      <c r="AU35" s="39"/>
      <c r="AV35" s="39"/>
      <c r="AW35" s="39"/>
    </row>
    <row r="36" spans="1:49"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49" ht="12.75" x14ac:dyDescent="0.2">
      <c r="A37" s="150"/>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49" ht="25.5" x14ac:dyDescent="0.2">
      <c r="A38" s="202" t="s">
        <v>233</v>
      </c>
      <c r="B38" s="33"/>
      <c r="C38" s="67"/>
      <c r="D38" s="124"/>
      <c r="E38" s="95"/>
      <c r="F38" s="95"/>
      <c r="G38" s="95"/>
      <c r="H38" s="95"/>
      <c r="L38" s="93"/>
      <c r="M38" s="93"/>
      <c r="N38" s="124"/>
      <c r="O38" s="95"/>
      <c r="P38" s="95"/>
      <c r="R38" s="12"/>
      <c r="S38" s="12"/>
      <c r="T38" s="12"/>
      <c r="U38" s="137"/>
      <c r="V38" s="138"/>
      <c r="W38" s="137"/>
      <c r="X38" s="137"/>
      <c r="Y38" s="12"/>
      <c r="Z38" s="12"/>
      <c r="AA38" s="12"/>
      <c r="AB38" s="139"/>
      <c r="AC38" s="139"/>
      <c r="AD38" s="139"/>
      <c r="AE38" s="139"/>
      <c r="AF38" s="140"/>
      <c r="AG38" s="140"/>
      <c r="AH38" s="139"/>
      <c r="AI38" s="139"/>
      <c r="AJ38" s="139"/>
      <c r="AK38" s="139"/>
      <c r="AL38" s="140"/>
      <c r="AN38" s="139"/>
      <c r="AO38" s="139"/>
      <c r="AP38" s="139"/>
      <c r="AQ38" s="139"/>
      <c r="AR38" s="140"/>
    </row>
    <row r="39" spans="1:49" ht="12.75" x14ac:dyDescent="0.2">
      <c r="B39" s="45" t="s">
        <v>204</v>
      </c>
      <c r="C39" s="109"/>
      <c r="J39" s="45" t="s">
        <v>202</v>
      </c>
      <c r="R39" s="45" t="s">
        <v>226</v>
      </c>
      <c r="T39" s="12"/>
      <c r="U39" s="12"/>
      <c r="V39" s="12"/>
      <c r="W39" s="12"/>
      <c r="X39" s="12"/>
      <c r="Y39" s="12"/>
      <c r="Z39" s="12"/>
      <c r="AA39" s="12"/>
      <c r="AB39" s="130" t="s">
        <v>205</v>
      </c>
      <c r="AC39" s="46"/>
      <c r="AD39" s="46"/>
      <c r="AE39" s="46"/>
      <c r="AF39" s="46"/>
      <c r="AG39" s="46"/>
      <c r="AH39" s="130" t="s">
        <v>207</v>
      </c>
      <c r="AI39" s="46"/>
      <c r="AJ39" s="46"/>
      <c r="AK39" s="46"/>
      <c r="AL39" s="46"/>
      <c r="AM39" s="45"/>
      <c r="AN39" s="130" t="s">
        <v>208</v>
      </c>
      <c r="AO39" s="12"/>
      <c r="AP39" s="12"/>
      <c r="AQ39" s="12"/>
      <c r="AR39" s="12"/>
      <c r="AT39" s="130" t="s">
        <v>206</v>
      </c>
    </row>
    <row r="40" spans="1:49" ht="12.75" x14ac:dyDescent="0.2">
      <c r="A40" s="150"/>
      <c r="B40" s="57" t="s">
        <v>209</v>
      </c>
      <c r="C40" s="28" t="s">
        <v>190</v>
      </c>
      <c r="D40" s="57" t="s">
        <v>191</v>
      </c>
      <c r="E40" s="28" t="s">
        <v>192</v>
      </c>
      <c r="F40" s="28" t="s">
        <v>193</v>
      </c>
      <c r="G40" s="57" t="s">
        <v>112</v>
      </c>
      <c r="H40" s="57"/>
      <c r="I40" s="101"/>
      <c r="J40" s="28" t="s">
        <v>76</v>
      </c>
      <c r="K40" s="28" t="s">
        <v>4</v>
      </c>
      <c r="L40" s="57" t="s">
        <v>0</v>
      </c>
      <c r="M40" s="57" t="s">
        <v>1</v>
      </c>
      <c r="N40" s="28" t="s">
        <v>191</v>
      </c>
      <c r="O40" s="28" t="s">
        <v>192</v>
      </c>
      <c r="P40" s="28" t="s">
        <v>193</v>
      </c>
      <c r="R40" s="28" t="s">
        <v>232</v>
      </c>
      <c r="S40" s="28" t="s">
        <v>0</v>
      </c>
      <c r="T40" s="28" t="s">
        <v>229</v>
      </c>
      <c r="U40" s="57" t="s">
        <v>230</v>
      </c>
      <c r="V40" s="28" t="s">
        <v>228</v>
      </c>
      <c r="W40" s="57" t="s">
        <v>231</v>
      </c>
      <c r="X40" s="57"/>
      <c r="Y40" s="57"/>
      <c r="Z40" s="28"/>
      <c r="AA40" s="12"/>
      <c r="AB40" s="28" t="s">
        <v>0</v>
      </c>
      <c r="AC40" s="28" t="s">
        <v>196</v>
      </c>
      <c r="AD40" s="57" t="s">
        <v>1</v>
      </c>
      <c r="AE40" s="57" t="s">
        <v>197</v>
      </c>
      <c r="AF40" s="57" t="s">
        <v>231</v>
      </c>
      <c r="AG40" s="60"/>
      <c r="AH40" s="28" t="s">
        <v>0</v>
      </c>
      <c r="AI40" s="28" t="s">
        <v>196</v>
      </c>
      <c r="AJ40" s="57" t="s">
        <v>1</v>
      </c>
      <c r="AK40" s="57" t="s">
        <v>197</v>
      </c>
      <c r="AL40" s="57" t="s">
        <v>231</v>
      </c>
      <c r="AN40" s="28" t="s">
        <v>0</v>
      </c>
      <c r="AO40" s="28" t="s">
        <v>196</v>
      </c>
      <c r="AP40" s="57" t="s">
        <v>1</v>
      </c>
      <c r="AQ40" s="57" t="s">
        <v>197</v>
      </c>
      <c r="AR40" s="57" t="s">
        <v>231</v>
      </c>
      <c r="AT40" s="57" t="s">
        <v>199</v>
      </c>
      <c r="AU40" s="28" t="s">
        <v>191</v>
      </c>
      <c r="AV40" s="28" t="s">
        <v>192</v>
      </c>
      <c r="AW40" s="28" t="s">
        <v>193</v>
      </c>
    </row>
    <row r="41" spans="1:49" ht="12.75" x14ac:dyDescent="0.2">
      <c r="A41" s="150" t="s">
        <v>215</v>
      </c>
      <c r="B41" s="52">
        <v>100</v>
      </c>
      <c r="C41" s="54">
        <v>0.02</v>
      </c>
      <c r="D41" s="124">
        <v>0.04</v>
      </c>
      <c r="E41" s="95">
        <v>0.08</v>
      </c>
      <c r="F41" s="95">
        <v>0.16</v>
      </c>
      <c r="G41" s="95">
        <v>5.0000000000000001E-3</v>
      </c>
      <c r="H41" s="95"/>
      <c r="I41" s="95"/>
      <c r="J41" s="133" t="s">
        <v>75</v>
      </c>
      <c r="K41" s="133" t="s">
        <v>78</v>
      </c>
      <c r="L41" s="52">
        <v>100</v>
      </c>
      <c r="M41" s="52">
        <v>600</v>
      </c>
      <c r="N41" s="124">
        <v>0.5</v>
      </c>
      <c r="O41" s="95">
        <v>0.3</v>
      </c>
      <c r="P41" s="95">
        <v>0.2</v>
      </c>
      <c r="R41" s="45" t="s">
        <v>227</v>
      </c>
      <c r="S41" s="187">
        <f>L41</f>
        <v>100</v>
      </c>
      <c r="T41" s="152" t="s">
        <v>34</v>
      </c>
      <c r="U41" s="152" t="s">
        <v>34</v>
      </c>
      <c r="V41" s="188">
        <v>0</v>
      </c>
      <c r="W41" s="197">
        <f>AF41</f>
        <v>-4.3269230769230817E-2</v>
      </c>
      <c r="X41" s="122"/>
      <c r="Y41" s="152"/>
      <c r="Z41" s="152"/>
      <c r="AA41" s="12"/>
      <c r="AB41" s="122">
        <f>L41</f>
        <v>100</v>
      </c>
      <c r="AC41" s="30">
        <f>M41/L41*N41</f>
        <v>3</v>
      </c>
      <c r="AD41" s="123">
        <f>M41*N41</f>
        <v>300</v>
      </c>
      <c r="AE41" s="123">
        <f>AB41 * (1 + D41) / (1 - G41)</f>
        <v>104.52261306532664</v>
      </c>
      <c r="AF41" s="124">
        <f>(B41 - AE41) / AE41</f>
        <v>-4.3269230769230817E-2</v>
      </c>
      <c r="AG41" s="30"/>
      <c r="AH41" s="122">
        <f>S41</f>
        <v>100</v>
      </c>
      <c r="AI41" s="30">
        <f>M41/L41*O41</f>
        <v>1.7999999999999998</v>
      </c>
      <c r="AJ41" s="123">
        <f>M41*N41</f>
        <v>300</v>
      </c>
      <c r="AK41" s="123">
        <f>AH41 * (1 + E41) / (1 - G41)</f>
        <v>108.5427135678392</v>
      </c>
      <c r="AL41" s="124">
        <f>(B41 - AK41) / AK41</f>
        <v>-7.8703703703703748E-2</v>
      </c>
      <c r="AN41" s="122">
        <f>L41</f>
        <v>100</v>
      </c>
      <c r="AO41" s="30">
        <f>M41/L41*P41</f>
        <v>1.2000000000000002</v>
      </c>
      <c r="AP41" s="123">
        <f>M41*P41</f>
        <v>120</v>
      </c>
      <c r="AQ41" s="123">
        <f>AN41 * (1 + F41) / (1 - G41)</f>
        <v>116.58291457286431</v>
      </c>
      <c r="AR41" s="124">
        <f>(B41 - AQ41) / AQ41</f>
        <v>-0.14224137931034475</v>
      </c>
      <c r="AT41" s="32">
        <f>AC41+AI41+AO41</f>
        <v>6</v>
      </c>
      <c r="AU41" s="32">
        <f>AC41</f>
        <v>3</v>
      </c>
      <c r="AV41" s="32">
        <f>AI41</f>
        <v>1.7999999999999998</v>
      </c>
      <c r="AW41" s="32">
        <f>AO41</f>
        <v>1.2000000000000002</v>
      </c>
    </row>
    <row r="42" spans="1:49" ht="12.75" x14ac:dyDescent="0.2">
      <c r="A42" s="189" t="s">
        <v>236</v>
      </c>
      <c r="B42" s="40">
        <v>104</v>
      </c>
      <c r="C42" s="55">
        <v>0.02</v>
      </c>
      <c r="D42" s="129">
        <v>0.04</v>
      </c>
      <c r="E42" s="125">
        <v>0.08</v>
      </c>
      <c r="F42" s="125">
        <v>0.16</v>
      </c>
      <c r="G42" s="125">
        <v>5.0000000000000001E-3</v>
      </c>
      <c r="H42" s="125"/>
      <c r="I42" s="125"/>
      <c r="J42" s="134"/>
      <c r="K42" s="134"/>
      <c r="L42" s="40"/>
      <c r="M42" s="40"/>
      <c r="N42" s="129"/>
      <c r="O42" s="125"/>
      <c r="P42" s="125"/>
      <c r="Q42" s="35"/>
      <c r="R42" s="47" t="s">
        <v>227</v>
      </c>
      <c r="S42" s="190">
        <f>B42</f>
        <v>104</v>
      </c>
      <c r="T42" s="153" t="s">
        <v>34</v>
      </c>
      <c r="U42" s="153" t="s">
        <v>34</v>
      </c>
      <c r="V42" s="191">
        <v>0</v>
      </c>
      <c r="W42" s="196">
        <f>AF42</f>
        <v>-5.0000000000000469E-3</v>
      </c>
      <c r="X42" s="126"/>
      <c r="Y42" s="153"/>
      <c r="Z42" s="153"/>
      <c r="AA42" s="41"/>
      <c r="AB42" s="126">
        <f t="shared" ref="AB42:AD45" si="9">AB41</f>
        <v>100</v>
      </c>
      <c r="AC42" s="43">
        <f t="shared" si="9"/>
        <v>3</v>
      </c>
      <c r="AD42" s="128">
        <f t="shared" si="9"/>
        <v>300</v>
      </c>
      <c r="AE42" s="128">
        <f>AB42 * (1 + D42) / (1 - G42)</f>
        <v>104.52261306532664</v>
      </c>
      <c r="AF42" s="195">
        <f>(B42 - AE42) / AE42</f>
        <v>-5.0000000000000469E-3</v>
      </c>
      <c r="AG42" s="43"/>
      <c r="AH42" s="126">
        <f t="shared" ref="AH42:AJ45" si="10">AH41</f>
        <v>100</v>
      </c>
      <c r="AI42" s="43">
        <f t="shared" si="10"/>
        <v>1.7999999999999998</v>
      </c>
      <c r="AJ42" s="128">
        <f t="shared" si="10"/>
        <v>300</v>
      </c>
      <c r="AK42" s="128">
        <f>AH42 * (1 + E42) / (1 - G42)</f>
        <v>108.5427135678392</v>
      </c>
      <c r="AL42" s="129">
        <f>(B42 - AK42) / AK42</f>
        <v>-4.185185185185189E-2</v>
      </c>
      <c r="AM42" s="35"/>
      <c r="AN42" s="126">
        <f t="shared" ref="AN42:AP45" si="11">AN41</f>
        <v>100</v>
      </c>
      <c r="AO42" s="43">
        <f t="shared" si="11"/>
        <v>1.2000000000000002</v>
      </c>
      <c r="AP42" s="128">
        <f t="shared" si="11"/>
        <v>120</v>
      </c>
      <c r="AQ42" s="128">
        <f>AN42 * (1 + F42) / (1 - G42)</f>
        <v>116.58291457286431</v>
      </c>
      <c r="AR42" s="129">
        <f>(B42 - AQ42) / AQ42</f>
        <v>-0.10793103448275854</v>
      </c>
      <c r="AS42" s="35"/>
      <c r="AT42" s="39">
        <f>AC42+AI42+AO42</f>
        <v>6</v>
      </c>
      <c r="AU42" s="39">
        <f>AC42</f>
        <v>3</v>
      </c>
      <c r="AV42" s="39">
        <f>AI42</f>
        <v>1.7999999999999998</v>
      </c>
      <c r="AW42" s="39">
        <f>AO42</f>
        <v>1.2000000000000002</v>
      </c>
    </row>
    <row r="43" spans="1:49" ht="12.75" x14ac:dyDescent="0.2">
      <c r="A43" s="150" t="s">
        <v>237</v>
      </c>
      <c r="B43" s="52">
        <v>104.7</v>
      </c>
      <c r="C43" s="54">
        <v>0.02</v>
      </c>
      <c r="D43" s="124">
        <v>0.04</v>
      </c>
      <c r="E43" s="95">
        <v>0.08</v>
      </c>
      <c r="F43" s="95">
        <v>0.16</v>
      </c>
      <c r="G43" s="95">
        <v>5.0000000000000001E-3</v>
      </c>
      <c r="H43" s="95"/>
      <c r="I43" s="95"/>
      <c r="J43" s="133"/>
      <c r="K43" s="133"/>
      <c r="L43" s="52"/>
      <c r="M43" s="52"/>
      <c r="N43" s="124"/>
      <c r="O43" s="95"/>
      <c r="P43" s="95"/>
      <c r="R43" s="45" t="s">
        <v>227</v>
      </c>
      <c r="S43" s="187">
        <f>B43</f>
        <v>104.7</v>
      </c>
      <c r="T43" s="152" t="s">
        <v>34</v>
      </c>
      <c r="U43" s="152" t="s">
        <v>34</v>
      </c>
      <c r="V43" s="188">
        <v>0</v>
      </c>
      <c r="W43" s="192">
        <f>AF43</f>
        <v>1.6971153846153646E-3</v>
      </c>
      <c r="X43" s="122"/>
      <c r="Y43" s="152"/>
      <c r="Z43" s="152"/>
      <c r="AA43" s="12"/>
      <c r="AB43" s="122">
        <f t="shared" si="9"/>
        <v>100</v>
      </c>
      <c r="AC43" s="30">
        <f t="shared" si="9"/>
        <v>3</v>
      </c>
      <c r="AD43" s="157">
        <f t="shared" si="9"/>
        <v>300</v>
      </c>
      <c r="AE43" s="157">
        <f>AB43 * (1 + D43) / (1 - G43)</f>
        <v>104.52261306532664</v>
      </c>
      <c r="AF43" s="193">
        <f>(B43 - AE43) / AE43</f>
        <v>1.6971153846153646E-3</v>
      </c>
      <c r="AG43" s="30"/>
      <c r="AH43" s="122">
        <f t="shared" si="10"/>
        <v>100</v>
      </c>
      <c r="AI43" s="30">
        <f t="shared" si="10"/>
        <v>1.7999999999999998</v>
      </c>
      <c r="AJ43" s="157">
        <f t="shared" si="10"/>
        <v>300</v>
      </c>
      <c r="AK43" s="157">
        <f>AH43 * (1 + E43) / (1 - G43)</f>
        <v>108.5427135678392</v>
      </c>
      <c r="AL43" s="124">
        <f>(B43 - AK43) / AK43</f>
        <v>-3.540277777777779E-2</v>
      </c>
      <c r="AN43" s="122">
        <f t="shared" si="11"/>
        <v>100</v>
      </c>
      <c r="AO43" s="30">
        <f t="shared" si="11"/>
        <v>1.2000000000000002</v>
      </c>
      <c r="AP43" s="157">
        <f t="shared" si="11"/>
        <v>120</v>
      </c>
      <c r="AQ43" s="157">
        <f>AN43 * (1 + F43) / (1 - G43)</f>
        <v>116.58291457286431</v>
      </c>
      <c r="AR43" s="124">
        <f>(B43 - AQ43) / AQ43</f>
        <v>-0.10192672413793093</v>
      </c>
      <c r="AT43" s="32">
        <f>AC43+AI43+AO43</f>
        <v>6</v>
      </c>
      <c r="AU43" s="32">
        <f>AC43</f>
        <v>3</v>
      </c>
      <c r="AV43" s="32">
        <f>AI43</f>
        <v>1.7999999999999998</v>
      </c>
      <c r="AW43" s="32">
        <f>AO43</f>
        <v>1.2000000000000002</v>
      </c>
    </row>
    <row r="44" spans="1:49" ht="12.75" x14ac:dyDescent="0.2">
      <c r="A44" s="189" t="s">
        <v>238</v>
      </c>
      <c r="B44" s="40">
        <v>108.5</v>
      </c>
      <c r="C44" s="55">
        <v>0.02</v>
      </c>
      <c r="D44" s="129">
        <v>0.04</v>
      </c>
      <c r="E44" s="125">
        <v>0.08</v>
      </c>
      <c r="F44" s="125">
        <v>0.16</v>
      </c>
      <c r="G44" s="125">
        <v>5.0000000000000001E-3</v>
      </c>
      <c r="H44" s="125"/>
      <c r="I44" s="125"/>
      <c r="J44" s="134"/>
      <c r="K44" s="134"/>
      <c r="L44" s="40"/>
      <c r="M44" s="40"/>
      <c r="N44" s="129"/>
      <c r="O44" s="125"/>
      <c r="P44" s="125"/>
      <c r="Q44" s="35"/>
      <c r="R44" s="47" t="s">
        <v>227</v>
      </c>
      <c r="S44" s="190">
        <f>B44</f>
        <v>108.5</v>
      </c>
      <c r="T44" s="153" t="s">
        <v>34</v>
      </c>
      <c r="U44" s="153" t="s">
        <v>34</v>
      </c>
      <c r="V44" s="191">
        <v>0</v>
      </c>
      <c r="W44" s="194">
        <f>AF44</f>
        <v>3.8052884615384565E-2</v>
      </c>
      <c r="X44" s="126"/>
      <c r="Y44" s="153"/>
      <c r="Z44" s="153"/>
      <c r="AA44" s="41"/>
      <c r="AB44" s="126">
        <f t="shared" si="9"/>
        <v>100</v>
      </c>
      <c r="AC44" s="43">
        <f t="shared" si="9"/>
        <v>3</v>
      </c>
      <c r="AD44" s="128">
        <f t="shared" si="9"/>
        <v>300</v>
      </c>
      <c r="AE44" s="128">
        <f>AB44 * (1 + D44) / (1 - G44)</f>
        <v>104.52261306532664</v>
      </c>
      <c r="AF44" s="156">
        <f>(B44 - AE44) / AE44</f>
        <v>3.8052884615384565E-2</v>
      </c>
      <c r="AG44" s="43"/>
      <c r="AH44" s="126">
        <f t="shared" si="10"/>
        <v>100</v>
      </c>
      <c r="AI44" s="43">
        <f t="shared" si="10"/>
        <v>1.7999999999999998</v>
      </c>
      <c r="AJ44" s="128">
        <f t="shared" si="10"/>
        <v>300</v>
      </c>
      <c r="AK44" s="128">
        <f>AH44 * (1 + E44) / (1 - G44)</f>
        <v>108.5427135678392</v>
      </c>
      <c r="AL44" s="195">
        <f>(B44 - AK44) / AK44</f>
        <v>-3.9351851851856059E-4</v>
      </c>
      <c r="AM44" s="35"/>
      <c r="AN44" s="126">
        <f t="shared" si="11"/>
        <v>100</v>
      </c>
      <c r="AO44" s="43">
        <f t="shared" si="11"/>
        <v>1.2000000000000002</v>
      </c>
      <c r="AP44" s="128">
        <f t="shared" si="11"/>
        <v>120</v>
      </c>
      <c r="AQ44" s="128">
        <f>AN44 * (1 + F44) / (1 - G44)</f>
        <v>116.58291457286431</v>
      </c>
      <c r="AR44" s="129">
        <f>(B44 - AQ44) / AQ44</f>
        <v>-6.9331896551724059E-2</v>
      </c>
      <c r="AS44" s="35"/>
      <c r="AT44" s="39">
        <f>AC44+AI44+AO44</f>
        <v>6</v>
      </c>
      <c r="AU44" s="39">
        <f>AC44</f>
        <v>3</v>
      </c>
      <c r="AV44" s="39">
        <f>AI44</f>
        <v>1.7999999999999998</v>
      </c>
      <c r="AW44" s="39">
        <f>AO44</f>
        <v>1.2000000000000002</v>
      </c>
    </row>
    <row r="45" spans="1:49" ht="12.75" x14ac:dyDescent="0.2">
      <c r="A45" s="150" t="s">
        <v>218</v>
      </c>
      <c r="B45" s="52">
        <v>108.5</v>
      </c>
      <c r="C45" s="62">
        <v>0.02</v>
      </c>
      <c r="D45" s="124">
        <v>0.04</v>
      </c>
      <c r="E45" s="95">
        <v>0.08</v>
      </c>
      <c r="F45" s="95">
        <v>0.16</v>
      </c>
      <c r="G45" s="95">
        <v>5.0000000000000001E-3</v>
      </c>
      <c r="H45" s="95"/>
      <c r="I45" s="95"/>
      <c r="J45" s="45" t="s">
        <v>73</v>
      </c>
      <c r="K45" s="45" t="s">
        <v>219</v>
      </c>
      <c r="L45" s="52">
        <v>108.5</v>
      </c>
      <c r="M45" s="152" t="s">
        <v>34</v>
      </c>
      <c r="N45" s="124">
        <v>1</v>
      </c>
      <c r="O45" s="152" t="s">
        <v>34</v>
      </c>
      <c r="P45" s="152" t="s">
        <v>34</v>
      </c>
      <c r="R45" s="45" t="s">
        <v>227</v>
      </c>
      <c r="S45" s="187">
        <f>B45</f>
        <v>108.5</v>
      </c>
      <c r="T45" s="152" t="s">
        <v>34</v>
      </c>
      <c r="U45" s="152" t="s">
        <v>34</v>
      </c>
      <c r="V45" s="188">
        <v>0</v>
      </c>
      <c r="W45" s="199">
        <f>AL45</f>
        <v>-3.9351851851856059E-4</v>
      </c>
      <c r="X45" s="122"/>
      <c r="Y45" s="152"/>
      <c r="Z45" s="152"/>
      <c r="AA45" s="12"/>
      <c r="AB45" s="162">
        <f t="shared" si="9"/>
        <v>100</v>
      </c>
      <c r="AC45" s="163">
        <f t="shared" si="9"/>
        <v>3</v>
      </c>
      <c r="AD45" s="200">
        <f t="shared" si="9"/>
        <v>300</v>
      </c>
      <c r="AE45" s="200">
        <f>AB45 * (1 + D45) / (1 - G45)</f>
        <v>104.52261306532664</v>
      </c>
      <c r="AF45" s="201">
        <f>(B45 - AE45) / AE45</f>
        <v>3.8052884615384565E-2</v>
      </c>
      <c r="AG45" s="30"/>
      <c r="AH45" s="122">
        <f t="shared" si="10"/>
        <v>100</v>
      </c>
      <c r="AI45" s="30">
        <f t="shared" si="10"/>
        <v>1.7999999999999998</v>
      </c>
      <c r="AJ45" s="157">
        <f t="shared" si="10"/>
        <v>300</v>
      </c>
      <c r="AK45" s="157">
        <f>AH45 * (1 + E45) / (1 - G45)</f>
        <v>108.5427135678392</v>
      </c>
      <c r="AL45" s="198">
        <f>(B45 - AK45) / AK45</f>
        <v>-3.9351851851856059E-4</v>
      </c>
      <c r="AN45" s="122">
        <f t="shared" si="11"/>
        <v>100</v>
      </c>
      <c r="AO45" s="30">
        <f t="shared" si="11"/>
        <v>1.2000000000000002</v>
      </c>
      <c r="AP45" s="157">
        <f t="shared" si="11"/>
        <v>120</v>
      </c>
      <c r="AQ45" s="157">
        <f>AN45 * (1 + F45) / (1 - G45)</f>
        <v>116.58291457286431</v>
      </c>
      <c r="AR45" s="124">
        <f>(B45 - AQ45) / AQ45</f>
        <v>-6.9331896551724059E-2</v>
      </c>
      <c r="AT45" s="32">
        <f>AU45+AV45+AW45</f>
        <v>3</v>
      </c>
      <c r="AU45" s="32">
        <v>0</v>
      </c>
      <c r="AV45" s="32">
        <f>AI45</f>
        <v>1.7999999999999998</v>
      </c>
      <c r="AW45" s="32">
        <f>AO45</f>
        <v>1.2000000000000002</v>
      </c>
    </row>
    <row r="46" spans="1:49" ht="12.75" x14ac:dyDescent="0.2">
      <c r="A46" s="150"/>
      <c r="B46" s="52"/>
      <c r="C46" s="54"/>
      <c r="D46" s="124"/>
      <c r="E46" s="95"/>
      <c r="F46" s="95"/>
      <c r="G46" s="95"/>
      <c r="H46" s="95"/>
      <c r="I46" s="95"/>
      <c r="J46" s="133" t="s">
        <v>75</v>
      </c>
      <c r="K46" s="133" t="s">
        <v>78</v>
      </c>
      <c r="L46" s="52">
        <v>100</v>
      </c>
      <c r="M46" s="52">
        <v>600</v>
      </c>
      <c r="N46" s="124">
        <v>0.5</v>
      </c>
      <c r="O46" s="95">
        <v>0.3</v>
      </c>
      <c r="P46" s="95">
        <v>0.2</v>
      </c>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49" ht="12.75" x14ac:dyDescent="0.2">
      <c r="A47" s="150"/>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49" ht="12.75" x14ac:dyDescent="0.2">
      <c r="A48" s="215" t="s">
        <v>251</v>
      </c>
      <c r="B48" s="52"/>
      <c r="C48" s="54"/>
      <c r="D48" s="124"/>
      <c r="E48" s="95"/>
      <c r="F48" s="95"/>
      <c r="G48" s="95"/>
      <c r="H48" s="95"/>
      <c r="I48" s="95"/>
      <c r="J48" s="133"/>
      <c r="K48" s="133"/>
      <c r="L48" s="52"/>
      <c r="M48" s="52"/>
      <c r="N48" s="124"/>
      <c r="O48" s="95"/>
      <c r="P48" s="95"/>
      <c r="R48" s="45"/>
      <c r="S48" s="45"/>
      <c r="T48" s="131"/>
      <c r="U48" s="122"/>
      <c r="V48" s="30"/>
      <c r="W48" s="122"/>
      <c r="X48" s="122"/>
      <c r="Y48" s="152"/>
      <c r="Z48" s="152"/>
      <c r="AA48" s="12"/>
      <c r="AB48" s="122"/>
      <c r="AC48" s="30"/>
      <c r="AD48" s="123"/>
      <c r="AE48" s="123"/>
      <c r="AF48" s="124"/>
      <c r="AG48" s="30"/>
      <c r="AH48" s="122"/>
      <c r="AI48" s="30"/>
      <c r="AJ48" s="123"/>
      <c r="AK48" s="123"/>
      <c r="AL48" s="124"/>
      <c r="AN48" s="122"/>
      <c r="AO48" s="30"/>
      <c r="AP48" s="123"/>
      <c r="AQ48" s="123"/>
      <c r="AR48" s="124"/>
      <c r="AT48" s="32"/>
      <c r="AU48" s="32"/>
      <c r="AV48" s="32"/>
      <c r="AW48" s="32"/>
    </row>
    <row r="49" spans="1:54" ht="12.75" x14ac:dyDescent="0.2">
      <c r="A49" s="150"/>
      <c r="B49" s="45" t="s">
        <v>204</v>
      </c>
      <c r="C49" s="109"/>
      <c r="J49" s="45" t="s">
        <v>202</v>
      </c>
      <c r="R49" s="45" t="s">
        <v>203</v>
      </c>
      <c r="T49" s="12"/>
      <c r="U49" s="12"/>
      <c r="V49" s="12"/>
      <c r="W49" s="12"/>
      <c r="X49" s="12"/>
      <c r="Y49" s="12"/>
      <c r="Z49" s="12"/>
      <c r="AA49" s="12"/>
      <c r="AB49" s="130" t="s">
        <v>205</v>
      </c>
      <c r="AC49" s="46"/>
      <c r="AD49" s="46"/>
      <c r="AE49" s="46"/>
      <c r="AF49" s="46"/>
      <c r="AG49" s="46"/>
      <c r="AH49" s="130" t="s">
        <v>207</v>
      </c>
      <c r="AI49" s="46"/>
      <c r="AJ49" s="46"/>
      <c r="AK49" s="46"/>
      <c r="AL49" s="46"/>
      <c r="AM49" s="45"/>
      <c r="AN49" s="130" t="s">
        <v>208</v>
      </c>
      <c r="AO49" s="12"/>
      <c r="AP49" s="12"/>
      <c r="AQ49" s="12"/>
      <c r="AR49" s="12"/>
      <c r="AS49" s="110"/>
      <c r="AT49" s="45" t="s">
        <v>206</v>
      </c>
      <c r="AV49" s="12"/>
      <c r="AW49" s="12"/>
      <c r="AX49" s="12"/>
      <c r="AY49" s="12"/>
      <c r="AZ49" s="12"/>
      <c r="BA49" s="12"/>
      <c r="BB49" s="12"/>
    </row>
    <row r="50" spans="1:54" ht="12.75" x14ac:dyDescent="0.2">
      <c r="A50" s="150"/>
      <c r="B50" s="57" t="s">
        <v>209</v>
      </c>
      <c r="C50" s="28" t="s">
        <v>190</v>
      </c>
      <c r="D50" s="57" t="s">
        <v>191</v>
      </c>
      <c r="E50" s="57" t="s">
        <v>192</v>
      </c>
      <c r="F50" s="28" t="s">
        <v>193</v>
      </c>
      <c r="G50" s="57" t="s">
        <v>112</v>
      </c>
      <c r="H50" s="57" t="s">
        <v>244</v>
      </c>
      <c r="I50" s="101"/>
      <c r="J50" s="28" t="s">
        <v>76</v>
      </c>
      <c r="K50" s="28" t="s">
        <v>4</v>
      </c>
      <c r="L50" s="57" t="s">
        <v>0</v>
      </c>
      <c r="M50" s="57" t="s">
        <v>1</v>
      </c>
      <c r="N50" s="28" t="s">
        <v>191</v>
      </c>
      <c r="O50" s="28" t="s">
        <v>192</v>
      </c>
      <c r="P50" s="28" t="s">
        <v>193</v>
      </c>
      <c r="R50" s="28"/>
      <c r="S50" s="28" t="s">
        <v>76</v>
      </c>
      <c r="T50" s="28" t="s">
        <v>4</v>
      </c>
      <c r="U50" s="57" t="s">
        <v>0</v>
      </c>
      <c r="V50" s="28" t="s">
        <v>62</v>
      </c>
      <c r="W50" s="57" t="s">
        <v>220</v>
      </c>
      <c r="X50" s="57" t="s">
        <v>190</v>
      </c>
      <c r="Y50" s="57" t="s">
        <v>194</v>
      </c>
      <c r="Z50" s="28" t="s">
        <v>195</v>
      </c>
      <c r="AA50" s="12"/>
      <c r="AB50" s="28" t="s">
        <v>0</v>
      </c>
      <c r="AC50" s="28" t="s">
        <v>196</v>
      </c>
      <c r="AD50" s="57" t="s">
        <v>1</v>
      </c>
      <c r="AE50" s="57" t="s">
        <v>197</v>
      </c>
      <c r="AF50" s="57" t="s">
        <v>231</v>
      </c>
      <c r="AG50" s="60"/>
      <c r="AH50" s="28" t="s">
        <v>0</v>
      </c>
      <c r="AI50" s="28" t="s">
        <v>196</v>
      </c>
      <c r="AJ50" s="57" t="s">
        <v>1</v>
      </c>
      <c r="AK50" s="57" t="s">
        <v>197</v>
      </c>
      <c r="AL50" s="57" t="s">
        <v>231</v>
      </c>
      <c r="AN50" s="28" t="s">
        <v>0</v>
      </c>
      <c r="AO50" s="28" t="s">
        <v>196</v>
      </c>
      <c r="AP50" s="57" t="s">
        <v>1</v>
      </c>
      <c r="AQ50" s="57" t="s">
        <v>197</v>
      </c>
      <c r="AR50" s="57" t="s">
        <v>231</v>
      </c>
      <c r="AT50" s="57" t="s">
        <v>79</v>
      </c>
      <c r="AU50" s="57" t="s">
        <v>242</v>
      </c>
      <c r="AV50" s="57" t="s">
        <v>241</v>
      </c>
      <c r="AW50" s="57" t="s">
        <v>252</v>
      </c>
      <c r="AX50" s="57" t="s">
        <v>243</v>
      </c>
      <c r="AY50" s="57"/>
      <c r="AZ50" s="57"/>
      <c r="BA50" s="57"/>
      <c r="BB50" s="28"/>
    </row>
    <row r="51" spans="1:54" ht="12.75" x14ac:dyDescent="0.2">
      <c r="A51" s="150" t="s">
        <v>215</v>
      </c>
      <c r="B51" s="52">
        <v>100</v>
      </c>
      <c r="C51" s="54">
        <v>0.02</v>
      </c>
      <c r="D51" s="124">
        <v>0.04</v>
      </c>
      <c r="E51" s="95">
        <v>0.08</v>
      </c>
      <c r="F51" s="95">
        <v>0.16</v>
      </c>
      <c r="G51" s="95">
        <v>5.0000000000000001E-3</v>
      </c>
      <c r="H51" s="63">
        <v>1200</v>
      </c>
      <c r="I51" s="95"/>
      <c r="J51" s="133" t="s">
        <v>75</v>
      </c>
      <c r="K51" s="133" t="s">
        <v>78</v>
      </c>
      <c r="L51" s="52">
        <v>100</v>
      </c>
      <c r="M51" s="52">
        <v>600</v>
      </c>
      <c r="N51" s="124">
        <v>0.5</v>
      </c>
      <c r="O51" s="95">
        <v>0.3</v>
      </c>
      <c r="P51" s="95">
        <v>0.2</v>
      </c>
      <c r="R51" s="45" t="s">
        <v>215</v>
      </c>
      <c r="S51" s="45" t="s">
        <v>75</v>
      </c>
      <c r="T51" s="131" t="s">
        <v>78</v>
      </c>
      <c r="U51" s="122">
        <f>L51</f>
        <v>100</v>
      </c>
      <c r="V51" s="30">
        <f>W51/U51</f>
        <v>6</v>
      </c>
      <c r="W51" s="122">
        <f>M51</f>
        <v>600</v>
      </c>
      <c r="X51" s="122">
        <f>U51 * (1 - ABS(C51))</f>
        <v>98</v>
      </c>
      <c r="Y51" s="152" t="s">
        <v>34</v>
      </c>
      <c r="Z51" s="152" t="s">
        <v>34</v>
      </c>
      <c r="AA51" s="12"/>
      <c r="AB51" s="122">
        <f>L51</f>
        <v>100</v>
      </c>
      <c r="AC51" s="30">
        <f>M51/L51*N51</f>
        <v>3</v>
      </c>
      <c r="AD51" s="123">
        <f>M51*N51</f>
        <v>300</v>
      </c>
      <c r="AE51" s="123">
        <f>B51 * (1 + D51) / (1 - G51)</f>
        <v>104.52261306532664</v>
      </c>
      <c r="AF51" s="124">
        <f>(B51 - AE51) / AE51</f>
        <v>-4.3269230769230817E-2</v>
      </c>
      <c r="AG51" s="30"/>
      <c r="AH51" s="122">
        <f>U51</f>
        <v>100</v>
      </c>
      <c r="AI51" s="30">
        <f>M51/L51*O51</f>
        <v>1.7999999999999998</v>
      </c>
      <c r="AJ51" s="123">
        <f>M51*O51</f>
        <v>180</v>
      </c>
      <c r="AK51" s="123">
        <f>AH51 * (1 + E51) / (1 - G51)</f>
        <v>108.5427135678392</v>
      </c>
      <c r="AL51" s="124">
        <f>(B51 - AK51) / AK51</f>
        <v>-7.8703703703703748E-2</v>
      </c>
      <c r="AN51" s="122">
        <f>L51</f>
        <v>100</v>
      </c>
      <c r="AO51" s="30">
        <f>M51/L51*P51</f>
        <v>1.2000000000000002</v>
      </c>
      <c r="AP51" s="123">
        <f>M51*P51</f>
        <v>120</v>
      </c>
      <c r="AQ51" s="123">
        <f>AN51 * (1 + F51) / (1 - G51)</f>
        <v>116.58291457286431</v>
      </c>
      <c r="AR51" s="124">
        <f>(B51 - AQ51) / AQ51</f>
        <v>-0.14224137931034475</v>
      </c>
      <c r="AT51" s="203">
        <f>W51</f>
        <v>600</v>
      </c>
      <c r="AU51" s="63">
        <v>0</v>
      </c>
      <c r="AV51" s="122">
        <f>V51*B51</f>
        <v>600</v>
      </c>
      <c r="AW51" s="204">
        <f>(AU51+AV51-AT51)/AT51</f>
        <v>0</v>
      </c>
      <c r="AX51" s="63">
        <f>H51-AT51+AU51</f>
        <v>600</v>
      </c>
      <c r="AY51" s="122"/>
      <c r="AZ51" s="122"/>
      <c r="BA51" s="152"/>
      <c r="BB51" s="152"/>
    </row>
    <row r="52" spans="1:54" ht="12.75" x14ac:dyDescent="0.2">
      <c r="A52" s="189" t="s">
        <v>218</v>
      </c>
      <c r="B52" s="40">
        <v>90</v>
      </c>
      <c r="C52" s="55">
        <v>0.02</v>
      </c>
      <c r="D52" s="129">
        <v>0.04</v>
      </c>
      <c r="E52" s="125">
        <v>0.08</v>
      </c>
      <c r="F52" s="125">
        <v>0.16</v>
      </c>
      <c r="G52" s="125">
        <v>5.0000000000000001E-3</v>
      </c>
      <c r="H52" s="65">
        <v>1200</v>
      </c>
      <c r="I52" s="125"/>
      <c r="J52" s="134" t="s">
        <v>73</v>
      </c>
      <c r="K52" s="134" t="s">
        <v>80</v>
      </c>
      <c r="L52" s="40">
        <f>B52</f>
        <v>90</v>
      </c>
      <c r="M52" s="153"/>
      <c r="N52" s="129">
        <v>0.5</v>
      </c>
      <c r="O52" s="153"/>
      <c r="P52" s="153"/>
      <c r="Q52" s="35"/>
      <c r="R52" s="205" t="s">
        <v>218</v>
      </c>
      <c r="S52" s="47" t="s">
        <v>73</v>
      </c>
      <c r="T52" s="47" t="s">
        <v>80</v>
      </c>
      <c r="U52" s="126">
        <f>L52</f>
        <v>90</v>
      </c>
      <c r="V52" s="43">
        <f>AC51*N52</f>
        <v>1.5</v>
      </c>
      <c r="W52" s="126">
        <f>U52*V52-(U52*V52*G52)</f>
        <v>134.32499999999999</v>
      </c>
      <c r="X52" s="153" t="s">
        <v>34</v>
      </c>
      <c r="Y52" s="153">
        <f>W52-(U51*V52)</f>
        <v>-15.675000000000011</v>
      </c>
      <c r="Z52" s="206">
        <f>Y52/(U51*V52)</f>
        <v>-0.10450000000000008</v>
      </c>
      <c r="AA52" s="41"/>
      <c r="AB52" s="65">
        <f>AB51</f>
        <v>100</v>
      </c>
      <c r="AC52" s="39">
        <f>AC51-V52</f>
        <v>1.5</v>
      </c>
      <c r="AD52" s="65">
        <f>AD51*N52</f>
        <v>150</v>
      </c>
      <c r="AE52" s="128">
        <f>AB52 * (1 + D52) / (1 - G52)</f>
        <v>104.52261306532664</v>
      </c>
      <c r="AF52" s="129">
        <f>(B52 - AE52) / AE52</f>
        <v>-0.13894230769230773</v>
      </c>
      <c r="AG52" s="35"/>
      <c r="AH52" s="207">
        <f t="shared" ref="AH52:AJ53" si="12">AH51</f>
        <v>100</v>
      </c>
      <c r="AI52" s="39">
        <f t="shared" si="12"/>
        <v>1.7999999999999998</v>
      </c>
      <c r="AJ52" s="65">
        <f t="shared" si="12"/>
        <v>180</v>
      </c>
      <c r="AK52" s="128">
        <f>AH52 * (1 + E52) / (1 - G52)</f>
        <v>108.5427135678392</v>
      </c>
      <c r="AL52" s="129">
        <f>(B52 - AK52) / AK52</f>
        <v>-0.17083333333333336</v>
      </c>
      <c r="AM52" s="35"/>
      <c r="AN52" s="65">
        <f t="shared" ref="AN52:AP53" si="13">AN51</f>
        <v>100</v>
      </c>
      <c r="AO52" s="39">
        <f t="shared" si="13"/>
        <v>1.2000000000000002</v>
      </c>
      <c r="AP52" s="65">
        <f t="shared" si="13"/>
        <v>120</v>
      </c>
      <c r="AQ52" s="128">
        <f>AN52 * (1 + F52) / (1 - G52)</f>
        <v>116.58291457286431</v>
      </c>
      <c r="AR52" s="129">
        <f>(B52 - AQ52) / AQ52</f>
        <v>-0.22801724137931029</v>
      </c>
      <c r="AS52" s="35"/>
      <c r="AT52" s="208">
        <f>AT51</f>
        <v>600</v>
      </c>
      <c r="AU52" s="65">
        <f>AU51+W52</f>
        <v>134.32499999999999</v>
      </c>
      <c r="AV52" s="126">
        <f>(AC52+AI52+AO52)*B52</f>
        <v>405</v>
      </c>
      <c r="AW52" s="209">
        <f>(AU52+AV52-AT52)/AT52</f>
        <v>-0.10112499999999992</v>
      </c>
      <c r="AX52" s="65">
        <f>H52-AT52+AU52</f>
        <v>734.32500000000005</v>
      </c>
      <c r="AY52" s="122"/>
      <c r="AZ52" s="122"/>
      <c r="BA52" s="152"/>
      <c r="BB52" s="152"/>
    </row>
    <row r="53" spans="1:54" ht="12.75" x14ac:dyDescent="0.2">
      <c r="A53" s="150" t="s">
        <v>221</v>
      </c>
      <c r="B53" s="52">
        <v>120</v>
      </c>
      <c r="C53" s="54">
        <v>0.02</v>
      </c>
      <c r="D53" s="124">
        <v>0.04</v>
      </c>
      <c r="E53" s="95">
        <v>0.08</v>
      </c>
      <c r="F53" s="95">
        <v>0.16</v>
      </c>
      <c r="G53" s="95">
        <v>5.0000000000000001E-3</v>
      </c>
      <c r="H53" s="63">
        <v>1200</v>
      </c>
      <c r="I53" s="95"/>
      <c r="J53" s="133" t="s">
        <v>73</v>
      </c>
      <c r="K53" s="133" t="s">
        <v>219</v>
      </c>
      <c r="L53" s="52">
        <v>120</v>
      </c>
      <c r="M53" s="52"/>
      <c r="N53" s="124">
        <v>1</v>
      </c>
      <c r="O53" s="95"/>
      <c r="P53" s="95"/>
      <c r="R53" s="45" t="s">
        <v>221</v>
      </c>
      <c r="S53" s="45" t="s">
        <v>73</v>
      </c>
      <c r="T53" s="130" t="s">
        <v>219</v>
      </c>
      <c r="U53" s="122">
        <f>L53</f>
        <v>120</v>
      </c>
      <c r="V53" s="30">
        <f>AC52+(AI52*O53)</f>
        <v>1.5</v>
      </c>
      <c r="W53" s="122">
        <f>U53*V53-(U53*V53*G53)</f>
        <v>179.1</v>
      </c>
      <c r="X53" s="152" t="s">
        <v>34</v>
      </c>
      <c r="Y53" s="152">
        <f>W53-(U51*V53)</f>
        <v>29.099999999999994</v>
      </c>
      <c r="Z53" s="161">
        <f>Y53/(U51*V53)</f>
        <v>0.19399999999999995</v>
      </c>
      <c r="AA53" s="12"/>
      <c r="AB53" s="152"/>
      <c r="AC53" s="152"/>
      <c r="AD53" s="152"/>
      <c r="AE53" s="152"/>
      <c r="AF53" s="152"/>
      <c r="AH53" s="212">
        <f t="shared" si="12"/>
        <v>100</v>
      </c>
      <c r="AI53" s="32">
        <f t="shared" si="12"/>
        <v>1.7999999999999998</v>
      </c>
      <c r="AJ53" s="63">
        <f t="shared" si="12"/>
        <v>180</v>
      </c>
      <c r="AK53" s="157">
        <f>AH53 * (1 + E53) / (1 - G53)</f>
        <v>108.5427135678392</v>
      </c>
      <c r="AL53" s="124">
        <f>(B53 - AK53) / AK53</f>
        <v>0.10555555555555551</v>
      </c>
      <c r="AN53" s="63">
        <f t="shared" si="13"/>
        <v>100</v>
      </c>
      <c r="AO53" s="32">
        <f t="shared" si="13"/>
        <v>1.2000000000000002</v>
      </c>
      <c r="AP53" s="63">
        <f t="shared" si="13"/>
        <v>120</v>
      </c>
      <c r="AQ53" s="157">
        <f>AQ52</f>
        <v>116.58291457286431</v>
      </c>
      <c r="AR53" s="124">
        <f>(B53 - AQ53) / AQ53</f>
        <v>2.9310344827586297E-2</v>
      </c>
      <c r="AT53" s="203">
        <f>AT52</f>
        <v>600</v>
      </c>
      <c r="AU53" s="63">
        <f>AU52+W53</f>
        <v>313.42499999999995</v>
      </c>
      <c r="AV53" s="122">
        <f>(AC53+AI53+AO53)*B53</f>
        <v>360</v>
      </c>
      <c r="AW53" s="213">
        <f>(AU53+AV53-AT53)/AT53</f>
        <v>0.12237499999999993</v>
      </c>
      <c r="AX53" s="63">
        <f>H53-AT53+AU53</f>
        <v>913.42499999999995</v>
      </c>
    </row>
    <row r="54" spans="1:54" ht="12.75" x14ac:dyDescent="0.2">
      <c r="A54" s="189" t="s">
        <v>216</v>
      </c>
      <c r="B54" s="40">
        <v>115</v>
      </c>
      <c r="C54" s="55">
        <v>0.02</v>
      </c>
      <c r="D54" s="129">
        <v>0.04</v>
      </c>
      <c r="E54" s="125">
        <v>0.08</v>
      </c>
      <c r="F54" s="125">
        <v>0.16</v>
      </c>
      <c r="G54" s="125">
        <v>5.0000000000000001E-3</v>
      </c>
      <c r="H54" s="65">
        <v>1200</v>
      </c>
      <c r="I54" s="125"/>
      <c r="J54" s="134" t="s">
        <v>75</v>
      </c>
      <c r="K54" s="134" t="s">
        <v>25</v>
      </c>
      <c r="L54" s="40">
        <v>115</v>
      </c>
      <c r="M54" s="40">
        <v>400</v>
      </c>
      <c r="N54" s="129">
        <v>0.5</v>
      </c>
      <c r="O54" s="125">
        <v>0.3</v>
      </c>
      <c r="P54" s="125">
        <v>0.2</v>
      </c>
      <c r="Q54" s="35"/>
      <c r="R54" s="47" t="s">
        <v>216</v>
      </c>
      <c r="S54" s="47" t="s">
        <v>75</v>
      </c>
      <c r="T54" s="132" t="s">
        <v>25</v>
      </c>
      <c r="U54" s="126">
        <f>L54</f>
        <v>115</v>
      </c>
      <c r="V54" s="43">
        <f>W54/U54</f>
        <v>3.4782608695652173</v>
      </c>
      <c r="W54" s="126">
        <f>M54</f>
        <v>400</v>
      </c>
      <c r="X54" s="126">
        <f>U54 * (1 - ABS(C54))</f>
        <v>112.7</v>
      </c>
      <c r="Y54" s="153" t="s">
        <v>34</v>
      </c>
      <c r="Z54" s="153" t="s">
        <v>34</v>
      </c>
      <c r="AA54" s="41"/>
      <c r="AB54" s="65">
        <f>U54</f>
        <v>115</v>
      </c>
      <c r="AC54" s="39">
        <f>V54*N54</f>
        <v>1.7391304347826086</v>
      </c>
      <c r="AD54" s="65">
        <f>W54*N54</f>
        <v>200</v>
      </c>
      <c r="AE54" s="128">
        <f>AB54 * (1 + D54) / (1 - G54)</f>
        <v>120.20100502512564</v>
      </c>
      <c r="AF54" s="129">
        <f>(B54 - AE54) / AE54</f>
        <v>-4.3269230769230851E-2</v>
      </c>
      <c r="AG54" s="35"/>
      <c r="AH54" s="65">
        <f>U54</f>
        <v>115</v>
      </c>
      <c r="AI54" s="39">
        <f>V54*O54</f>
        <v>1.0434782608695652</v>
      </c>
      <c r="AJ54" s="65">
        <f>W54*O54</f>
        <v>120</v>
      </c>
      <c r="AK54" s="128">
        <f>AH54 * (1 + E54) / (1 - G54)</f>
        <v>124.82412060301507</v>
      </c>
      <c r="AL54" s="129">
        <f>(B54 - AK54) / AK54</f>
        <v>-7.8703703703703706E-2</v>
      </c>
      <c r="AM54" s="35"/>
      <c r="AN54" s="65">
        <f>U54</f>
        <v>115</v>
      </c>
      <c r="AO54" s="35">
        <f>V54*P54</f>
        <v>0.69565217391304346</v>
      </c>
      <c r="AP54" s="65">
        <f>W54*P54</f>
        <v>80</v>
      </c>
      <c r="AQ54" s="128">
        <f>AN54 * (1 + F54) / (1 - G54)</f>
        <v>134.07035175879395</v>
      </c>
      <c r="AR54" s="129">
        <f>(B54 - AQ54) / AQ54</f>
        <v>-0.1422413793103447</v>
      </c>
      <c r="AS54" s="35"/>
      <c r="AT54" s="208">
        <f>AT53+W54-AU53</f>
        <v>686.57500000000005</v>
      </c>
      <c r="AU54" s="65">
        <v>0</v>
      </c>
      <c r="AV54" s="126">
        <f>(AC54+AI54+AI55+AO54+AO55)*B54</f>
        <v>745</v>
      </c>
      <c r="AW54" s="209">
        <f>(AU54+AV54-AT54)/AT54</f>
        <v>8.5096311400793725E-2</v>
      </c>
      <c r="AX54" s="65">
        <f>H54-AT54+AU54</f>
        <v>513.42499999999995</v>
      </c>
    </row>
    <row r="55" spans="1:54" ht="12.75" x14ac:dyDescent="0.2">
      <c r="A55" s="189"/>
      <c r="B55" s="40"/>
      <c r="C55" s="55"/>
      <c r="D55" s="129"/>
      <c r="E55" s="125"/>
      <c r="F55" s="125"/>
      <c r="G55" s="125"/>
      <c r="H55" s="125"/>
      <c r="I55" s="125"/>
      <c r="J55" s="134"/>
      <c r="K55" s="134"/>
      <c r="L55" s="40"/>
      <c r="M55" s="40"/>
      <c r="N55" s="129"/>
      <c r="O55" s="125"/>
      <c r="P55" s="125"/>
      <c r="Q55" s="35"/>
      <c r="R55" s="47"/>
      <c r="S55" s="47"/>
      <c r="T55" s="210"/>
      <c r="U55" s="126"/>
      <c r="V55" s="43"/>
      <c r="W55" s="126"/>
      <c r="X55" s="126"/>
      <c r="Y55" s="153"/>
      <c r="Z55" s="153"/>
      <c r="AA55" s="41"/>
      <c r="AB55" s="35"/>
      <c r="AC55" s="35"/>
      <c r="AD55" s="35"/>
      <c r="AE55" s="35"/>
      <c r="AF55" s="35"/>
      <c r="AG55" s="35"/>
      <c r="AH55" s="65">
        <f t="shared" ref="AH55:AK59" si="14">AH53</f>
        <v>100</v>
      </c>
      <c r="AI55" s="39">
        <f t="shared" si="14"/>
        <v>1.7999999999999998</v>
      </c>
      <c r="AJ55" s="65">
        <f t="shared" si="14"/>
        <v>180</v>
      </c>
      <c r="AK55" s="128">
        <f t="shared" si="14"/>
        <v>108.5427135678392</v>
      </c>
      <c r="AL55" s="129">
        <f>(B54 - AK55) / AK55</f>
        <v>5.9490740740740698E-2</v>
      </c>
      <c r="AM55" s="35"/>
      <c r="AN55" s="65">
        <f t="shared" ref="AN55:AQ59" si="15">AN53</f>
        <v>100</v>
      </c>
      <c r="AO55" s="39">
        <f t="shared" si="15"/>
        <v>1.2000000000000002</v>
      </c>
      <c r="AP55" s="65">
        <f t="shared" si="15"/>
        <v>120</v>
      </c>
      <c r="AQ55" s="65">
        <f t="shared" si="15"/>
        <v>116.58291457286431</v>
      </c>
      <c r="AR55" s="129">
        <f>(B54 - AQ55) / AQ55</f>
        <v>-1.3577586206896464E-2</v>
      </c>
      <c r="AS55" s="35"/>
      <c r="AT55" s="35"/>
      <c r="AU55" s="35"/>
      <c r="AV55" s="39"/>
      <c r="AW55" s="39"/>
      <c r="AX55" s="35"/>
    </row>
    <row r="56" spans="1:54" ht="12.75" x14ac:dyDescent="0.2">
      <c r="A56" s="150" t="s">
        <v>245</v>
      </c>
      <c r="B56" s="52">
        <v>90</v>
      </c>
      <c r="C56" s="62">
        <v>0.02</v>
      </c>
      <c r="D56" s="124">
        <v>0.04</v>
      </c>
      <c r="E56" s="95">
        <v>0.08</v>
      </c>
      <c r="F56" s="95">
        <v>0.16</v>
      </c>
      <c r="G56" s="95">
        <v>5.0000000000000001E-3</v>
      </c>
      <c r="H56" s="63">
        <v>1200</v>
      </c>
      <c r="I56" s="95"/>
      <c r="J56" s="133" t="s">
        <v>246</v>
      </c>
      <c r="K56" s="152"/>
      <c r="L56" s="52"/>
      <c r="M56" s="152">
        <v>20</v>
      </c>
      <c r="N56" s="124"/>
      <c r="O56" s="152"/>
      <c r="P56" s="152"/>
      <c r="R56" t="s">
        <v>245</v>
      </c>
      <c r="S56" t="s">
        <v>247</v>
      </c>
      <c r="T56" s="152" t="s">
        <v>34</v>
      </c>
      <c r="U56" s="152" t="s">
        <v>34</v>
      </c>
      <c r="V56" s="152" t="s">
        <v>34</v>
      </c>
      <c r="W56" s="122">
        <f>M56</f>
        <v>20</v>
      </c>
      <c r="X56" s="152" t="s">
        <v>34</v>
      </c>
      <c r="Y56" s="152" t="s">
        <v>34</v>
      </c>
      <c r="Z56" s="152" t="s">
        <v>34</v>
      </c>
      <c r="AA56" s="12"/>
      <c r="AB56" s="63">
        <f>AB54</f>
        <v>115</v>
      </c>
      <c r="AC56" s="32">
        <f>AC54</f>
        <v>1.7391304347826086</v>
      </c>
      <c r="AD56" s="63">
        <f>AD54</f>
        <v>200</v>
      </c>
      <c r="AE56" s="157">
        <f>AE54</f>
        <v>120.20100502512564</v>
      </c>
      <c r="AF56" s="124">
        <f>(B56 - AE56) / AE56</f>
        <v>-0.25125418060200677</v>
      </c>
      <c r="AH56" s="212">
        <f t="shared" si="14"/>
        <v>115</v>
      </c>
      <c r="AI56" s="32">
        <f t="shared" si="14"/>
        <v>1.0434782608695652</v>
      </c>
      <c r="AJ56" s="63">
        <f t="shared" si="14"/>
        <v>120</v>
      </c>
      <c r="AK56" s="157">
        <f t="shared" si="14"/>
        <v>124.82412060301507</v>
      </c>
      <c r="AL56" s="124">
        <f>(B56 - AK56) / AK56</f>
        <v>-0.27898550724637683</v>
      </c>
      <c r="AN56" s="63">
        <f t="shared" si="15"/>
        <v>115</v>
      </c>
      <c r="AO56" s="32">
        <f t="shared" si="15"/>
        <v>0.69565217391304346</v>
      </c>
      <c r="AP56" s="63">
        <f t="shared" si="15"/>
        <v>80</v>
      </c>
      <c r="AQ56" s="63">
        <f t="shared" si="15"/>
        <v>134.07035175879395</v>
      </c>
      <c r="AR56" s="124">
        <f>(B56 - AQ56) / AQ56</f>
        <v>-0.32871064467766103</v>
      </c>
      <c r="AT56" s="203">
        <f>AT54</f>
        <v>686.57500000000005</v>
      </c>
      <c r="AU56" s="63">
        <f>AU54+W56</f>
        <v>20</v>
      </c>
      <c r="AV56" s="122">
        <f>(AC56+AI56+AI57+AO56+AO57)*B56</f>
        <v>583.04347826086962</v>
      </c>
      <c r="AW56" s="213">
        <f>(AU56+AV56-AT56)/AT56</f>
        <v>-0.12166408875815522</v>
      </c>
      <c r="AX56" s="63">
        <f>H56-AT56+AU56</f>
        <v>533.42499999999995</v>
      </c>
    </row>
    <row r="57" spans="1:54" ht="12.75" x14ac:dyDescent="0.2">
      <c r="B57" s="52"/>
      <c r="C57" s="62"/>
      <c r="D57" s="124"/>
      <c r="E57" s="95"/>
      <c r="F57" s="95"/>
      <c r="G57" s="95"/>
      <c r="H57" s="95"/>
      <c r="I57" s="95"/>
      <c r="J57" s="133"/>
      <c r="K57" s="133"/>
      <c r="L57" s="52"/>
      <c r="M57" s="52"/>
      <c r="N57" s="124"/>
      <c r="O57" s="95"/>
      <c r="P57" s="95"/>
      <c r="R57" s="211"/>
      <c r="S57" s="45"/>
      <c r="T57" s="45"/>
      <c r="U57" s="122"/>
      <c r="V57" s="30"/>
      <c r="W57" s="122"/>
      <c r="X57" s="152"/>
      <c r="Y57" s="152"/>
      <c r="Z57" s="161"/>
      <c r="AA57" s="12"/>
      <c r="AH57" s="63">
        <f t="shared" si="14"/>
        <v>100</v>
      </c>
      <c r="AI57" s="32">
        <f t="shared" si="14"/>
        <v>1.7999999999999998</v>
      </c>
      <c r="AJ57" s="63">
        <f t="shared" si="14"/>
        <v>180</v>
      </c>
      <c r="AK57" s="157">
        <f t="shared" si="14"/>
        <v>108.5427135678392</v>
      </c>
      <c r="AL57" s="124">
        <f>(B56 - AK57) / AK57</f>
        <v>-0.17083333333333336</v>
      </c>
      <c r="AN57" s="63">
        <f t="shared" si="15"/>
        <v>100</v>
      </c>
      <c r="AO57" s="32">
        <f t="shared" si="15"/>
        <v>1.2000000000000002</v>
      </c>
      <c r="AP57" s="63">
        <f t="shared" si="15"/>
        <v>120</v>
      </c>
      <c r="AQ57" s="63">
        <f t="shared" si="15"/>
        <v>116.58291457286431</v>
      </c>
      <c r="AR57" s="124">
        <f>(B56 - AQ57) / AQ57</f>
        <v>-0.22801724137931029</v>
      </c>
      <c r="AV57" s="32"/>
      <c r="AW57" s="32"/>
    </row>
    <row r="58" spans="1:54" ht="12.75" x14ac:dyDescent="0.2">
      <c r="A58" s="189" t="s">
        <v>248</v>
      </c>
      <c r="B58" s="40">
        <v>80</v>
      </c>
      <c r="C58" s="55">
        <v>0.02</v>
      </c>
      <c r="D58" s="129">
        <v>0.04</v>
      </c>
      <c r="E58" s="125">
        <v>0.08</v>
      </c>
      <c r="F58" s="125">
        <v>0.16</v>
      </c>
      <c r="G58" s="125">
        <v>5.0000000000000001E-3</v>
      </c>
      <c r="H58" s="65">
        <v>1200</v>
      </c>
      <c r="I58" s="125"/>
      <c r="J58" s="134" t="s">
        <v>249</v>
      </c>
      <c r="K58" s="153"/>
      <c r="L58" s="40"/>
      <c r="M58" s="153">
        <v>40</v>
      </c>
      <c r="N58" s="129"/>
      <c r="O58" s="153"/>
      <c r="P58" s="153"/>
      <c r="Q58" s="35"/>
      <c r="R58" s="35" t="s">
        <v>248</v>
      </c>
      <c r="S58" s="35" t="s">
        <v>249</v>
      </c>
      <c r="T58" s="153" t="s">
        <v>34</v>
      </c>
      <c r="U58" s="153" t="s">
        <v>34</v>
      </c>
      <c r="V58" s="153" t="s">
        <v>34</v>
      </c>
      <c r="W58" s="65">
        <v>40</v>
      </c>
      <c r="X58" s="153" t="s">
        <v>34</v>
      </c>
      <c r="Y58" s="153" t="s">
        <v>34</v>
      </c>
      <c r="Z58" s="153" t="s">
        <v>34</v>
      </c>
      <c r="AA58" s="41"/>
      <c r="AB58" s="65">
        <f>AB56</f>
        <v>115</v>
      </c>
      <c r="AC58" s="39">
        <f>AC56</f>
        <v>1.7391304347826086</v>
      </c>
      <c r="AD58" s="65">
        <f>AD56</f>
        <v>200</v>
      </c>
      <c r="AE58" s="128">
        <f>AE56</f>
        <v>120.20100502512564</v>
      </c>
      <c r="AF58" s="129">
        <f>(B58 - AE58) / AE58</f>
        <v>-0.33444816053511711</v>
      </c>
      <c r="AG58" s="35"/>
      <c r="AH58" s="207">
        <f t="shared" si="14"/>
        <v>115</v>
      </c>
      <c r="AI58" s="39">
        <f t="shared" si="14"/>
        <v>1.0434782608695652</v>
      </c>
      <c r="AJ58" s="65">
        <f t="shared" si="14"/>
        <v>120</v>
      </c>
      <c r="AK58" s="128">
        <f t="shared" si="14"/>
        <v>124.82412060301507</v>
      </c>
      <c r="AL58" s="129">
        <f>(B58 - AK58) / AK58</f>
        <v>-0.35909822866344604</v>
      </c>
      <c r="AM58" s="35"/>
      <c r="AN58" s="65">
        <f t="shared" si="15"/>
        <v>115</v>
      </c>
      <c r="AO58" s="39">
        <f t="shared" si="15"/>
        <v>0.69565217391304346</v>
      </c>
      <c r="AP58" s="65">
        <f t="shared" si="15"/>
        <v>80</v>
      </c>
      <c r="AQ58" s="65">
        <f t="shared" si="15"/>
        <v>134.07035175879395</v>
      </c>
      <c r="AR58" s="129">
        <f>(B58 - AQ58) / AQ58</f>
        <v>-0.40329835082458759</v>
      </c>
      <c r="AS58" s="35"/>
      <c r="AT58" s="208">
        <f>AT56</f>
        <v>686.57500000000005</v>
      </c>
      <c r="AU58" s="65">
        <f>AU56+W58</f>
        <v>60</v>
      </c>
      <c r="AV58" s="126">
        <f>(AC58+AI58+AI59+AO58+AO59)*B58</f>
        <v>518.26086956521738</v>
      </c>
      <c r="AW58" s="209">
        <f>(AU58+AV58-AT58)/AT58</f>
        <v>-0.15776008511055989</v>
      </c>
      <c r="AX58" s="65">
        <f>H58-AT58+AU58</f>
        <v>573.42499999999995</v>
      </c>
    </row>
    <row r="59" spans="1:54" ht="12.75" x14ac:dyDescent="0.2">
      <c r="A59" s="189"/>
      <c r="B59" s="40"/>
      <c r="C59" s="55"/>
      <c r="D59" s="129"/>
      <c r="E59" s="125"/>
      <c r="F59" s="125"/>
      <c r="G59" s="125"/>
      <c r="H59" s="125"/>
      <c r="I59" s="125"/>
      <c r="J59" s="134"/>
      <c r="K59" s="134"/>
      <c r="L59" s="40"/>
      <c r="M59" s="40"/>
      <c r="N59" s="129"/>
      <c r="O59" s="125"/>
      <c r="P59" s="125"/>
      <c r="Q59" s="35"/>
      <c r="R59" s="35"/>
      <c r="S59" s="35"/>
      <c r="T59" s="153"/>
      <c r="U59" s="153"/>
      <c r="V59" s="153"/>
      <c r="W59" s="126"/>
      <c r="X59" s="153"/>
      <c r="Y59" s="153"/>
      <c r="Z59" s="153"/>
      <c r="AA59" s="41"/>
      <c r="AB59" s="126"/>
      <c r="AC59" s="43"/>
      <c r="AD59" s="128"/>
      <c r="AE59" s="128"/>
      <c r="AF59" s="129"/>
      <c r="AG59" s="43"/>
      <c r="AH59" s="126">
        <f t="shared" si="14"/>
        <v>100</v>
      </c>
      <c r="AI59" s="43">
        <f t="shared" si="14"/>
        <v>1.7999999999999998</v>
      </c>
      <c r="AJ59" s="128">
        <f t="shared" si="14"/>
        <v>180</v>
      </c>
      <c r="AK59" s="128">
        <f t="shared" si="14"/>
        <v>108.5427135678392</v>
      </c>
      <c r="AL59" s="129">
        <f>(B58 - AK59) / AK59</f>
        <v>-0.26296296296296301</v>
      </c>
      <c r="AM59" s="35"/>
      <c r="AN59" s="126">
        <f t="shared" si="15"/>
        <v>100</v>
      </c>
      <c r="AO59" s="43">
        <f t="shared" si="15"/>
        <v>1.2000000000000002</v>
      </c>
      <c r="AP59" s="128">
        <f t="shared" si="15"/>
        <v>120</v>
      </c>
      <c r="AQ59" s="128">
        <f t="shared" si="15"/>
        <v>116.58291457286431</v>
      </c>
      <c r="AR59" s="129">
        <f>(B58 - AQ59) / AQ59</f>
        <v>-0.31379310344827582</v>
      </c>
      <c r="AS59" s="35"/>
      <c r="AT59" s="39"/>
      <c r="AU59" s="39"/>
      <c r="AV59" s="39"/>
      <c r="AW59" s="39"/>
      <c r="AX59" s="35"/>
    </row>
    <row r="60" spans="1:54" ht="12.75" x14ac:dyDescent="0.2">
      <c r="A60" s="150" t="s">
        <v>217</v>
      </c>
      <c r="B60" s="52">
        <v>115</v>
      </c>
      <c r="C60" s="62">
        <v>0.02</v>
      </c>
      <c r="D60" s="124">
        <v>0.04</v>
      </c>
      <c r="E60" s="95">
        <v>0.08</v>
      </c>
      <c r="F60" s="95">
        <v>0.16</v>
      </c>
      <c r="G60" s="95">
        <v>5.0000000000000001E-3</v>
      </c>
      <c r="H60" s="63">
        <v>1200</v>
      </c>
      <c r="I60" s="95"/>
      <c r="J60" s="133" t="s">
        <v>75</v>
      </c>
      <c r="K60" s="133" t="s">
        <v>211</v>
      </c>
      <c r="L60" s="52">
        <v>115</v>
      </c>
      <c r="M60" s="52">
        <v>700</v>
      </c>
      <c r="N60" s="124">
        <v>0.5</v>
      </c>
      <c r="O60" s="95">
        <v>0.3</v>
      </c>
      <c r="P60" s="95">
        <v>0.2</v>
      </c>
      <c r="R60" s="45" t="s">
        <v>217</v>
      </c>
      <c r="S60" s="45" t="s">
        <v>75</v>
      </c>
      <c r="T60" s="130" t="s">
        <v>211</v>
      </c>
      <c r="U60" s="122">
        <f>L60</f>
        <v>115</v>
      </c>
      <c r="V60" s="30">
        <f>W60/U60</f>
        <v>6.0869565217391308</v>
      </c>
      <c r="W60" s="122">
        <f>M60</f>
        <v>700</v>
      </c>
      <c r="X60" s="122">
        <f>U60 * (1 - ABS(C60))</f>
        <v>112.7</v>
      </c>
      <c r="Y60" s="152" t="s">
        <v>34</v>
      </c>
      <c r="Z60" s="152" t="s">
        <v>34</v>
      </c>
      <c r="AA60" s="12"/>
      <c r="AB60" s="63">
        <f>AB58</f>
        <v>115</v>
      </c>
      <c r="AC60" s="32">
        <f>AC58+(V60*N60)</f>
        <v>4.7826086956521738</v>
      </c>
      <c r="AD60" s="63">
        <f>AD58+(W60*N60)</f>
        <v>550</v>
      </c>
      <c r="AE60" s="123">
        <f>B60 * (1 + D60) / (1 - G60)</f>
        <v>120.20100502512564</v>
      </c>
      <c r="AF60" s="124">
        <f>(B60 - AE60) / AE60</f>
        <v>-4.3269230769230851E-2</v>
      </c>
      <c r="AH60" s="212">
        <f>AH58</f>
        <v>115</v>
      </c>
      <c r="AI60" s="32">
        <f>AI58+(V60*O60)</f>
        <v>2.8695652173913047</v>
      </c>
      <c r="AJ60" s="63">
        <f>AJ58+(W60*O60)</f>
        <v>330</v>
      </c>
      <c r="AK60" s="123">
        <f>AH60 * (1 + E60) / (1 - G60)</f>
        <v>124.82412060301507</v>
      </c>
      <c r="AL60" s="124">
        <f>(B60 - AK60) / AK60</f>
        <v>-7.8703703703703706E-2</v>
      </c>
      <c r="AN60" s="63">
        <f>AN58</f>
        <v>115</v>
      </c>
      <c r="AO60" s="32">
        <f>AO58+(V60*P60)</f>
        <v>1.9130434782608696</v>
      </c>
      <c r="AP60" s="63">
        <f>AP58+(W60*P60)</f>
        <v>220</v>
      </c>
      <c r="AQ60" s="123">
        <f>AN60 * (1 + F60) / (1 - G60)</f>
        <v>134.07035175879395</v>
      </c>
      <c r="AR60" s="124">
        <f>(B60 - AQ60) / AQ60</f>
        <v>-0.1422413793103447</v>
      </c>
      <c r="AT60" s="203">
        <f>AT58+W60-AU58</f>
        <v>1326.575</v>
      </c>
      <c r="AU60" s="63">
        <v>0</v>
      </c>
      <c r="AV60" s="122">
        <f>(AC60+AI60+AI61+AO60+AO61)*B60</f>
        <v>1445</v>
      </c>
      <c r="AW60" s="213">
        <f>(AU60+AV60-AT60)/AT60</f>
        <v>8.9271243616078966E-2</v>
      </c>
      <c r="AX60" s="63">
        <f>H60-AT60+AU60</f>
        <v>-126.57500000000005</v>
      </c>
    </row>
    <row r="61" spans="1:54" ht="12.75" x14ac:dyDescent="0.2">
      <c r="A61" s="150"/>
      <c r="B61" s="33"/>
      <c r="C61" s="67"/>
      <c r="D61" s="124"/>
      <c r="E61" s="95"/>
      <c r="F61" s="95"/>
      <c r="G61" s="95"/>
      <c r="H61" s="95"/>
      <c r="L61" s="214"/>
      <c r="M61" s="214"/>
      <c r="N61" s="124"/>
      <c r="O61" s="95"/>
      <c r="P61" s="95"/>
      <c r="T61" s="152"/>
      <c r="U61" s="152"/>
      <c r="V61" s="152"/>
      <c r="W61" s="122"/>
      <c r="X61" s="152"/>
      <c r="Y61" s="152"/>
      <c r="Z61" s="152"/>
      <c r="AA61" s="12"/>
      <c r="AB61" s="122"/>
      <c r="AC61" s="30"/>
      <c r="AD61" s="157"/>
      <c r="AE61" s="157"/>
      <c r="AF61" s="124"/>
      <c r="AG61" s="30"/>
      <c r="AH61" s="122">
        <f>AH59</f>
        <v>100</v>
      </c>
      <c r="AI61" s="30">
        <f>AI59</f>
        <v>1.7999999999999998</v>
      </c>
      <c r="AJ61" s="157">
        <f>AJ59</f>
        <v>180</v>
      </c>
      <c r="AK61" s="157">
        <f>AK59</f>
        <v>108.5427135678392</v>
      </c>
      <c r="AL61" s="124">
        <f>AL59</f>
        <v>-0.26296296296296301</v>
      </c>
      <c r="AN61" s="122">
        <f>AN59</f>
        <v>100</v>
      </c>
      <c r="AO61" s="30">
        <f>AO59</f>
        <v>1.2000000000000002</v>
      </c>
      <c r="AP61" s="157">
        <f>AP59</f>
        <v>120</v>
      </c>
      <c r="AQ61" s="157">
        <f>AQ59</f>
        <v>116.58291457286431</v>
      </c>
      <c r="AR61" s="124">
        <f>AR59</f>
        <v>-0.31379310344827582</v>
      </c>
      <c r="AT61" s="32"/>
      <c r="AU61" s="32"/>
      <c r="AV61" s="32"/>
      <c r="AW61" s="32"/>
    </row>
    <row r="62" spans="1:54" ht="12.75" x14ac:dyDescent="0.2">
      <c r="A62" s="216" t="s">
        <v>253</v>
      </c>
      <c r="B62" s="33"/>
      <c r="C62" s="67"/>
      <c r="D62" s="124"/>
      <c r="E62" s="95"/>
      <c r="F62" s="95"/>
      <c r="G62" s="95"/>
      <c r="H62" s="95"/>
      <c r="L62" s="33"/>
      <c r="M62" s="33"/>
      <c r="N62" s="124"/>
      <c r="O62" s="95"/>
      <c r="P62" s="95"/>
      <c r="R62" s="12"/>
      <c r="S62" s="12"/>
      <c r="T62" s="12"/>
      <c r="U62" s="137"/>
      <c r="V62" s="138"/>
      <c r="W62" s="137"/>
      <c r="X62" s="137"/>
      <c r="Y62" s="12"/>
      <c r="Z62" s="12"/>
      <c r="AA62" s="12"/>
      <c r="AB62" s="139"/>
      <c r="AC62" s="139"/>
      <c r="AD62" s="139"/>
      <c r="AE62" s="139"/>
      <c r="AF62" s="140"/>
      <c r="AG62" s="140"/>
      <c r="AH62" s="139"/>
      <c r="AI62" s="139"/>
      <c r="AJ62" s="139"/>
      <c r="AK62" s="139"/>
      <c r="AL62" s="140"/>
      <c r="AN62" s="139"/>
      <c r="AO62" s="139"/>
      <c r="AP62" s="139"/>
      <c r="AQ62" s="139"/>
      <c r="AR62" s="140"/>
    </row>
    <row r="63" spans="1:54" ht="12.75" x14ac:dyDescent="0.2">
      <c r="B63" s="45" t="s">
        <v>204</v>
      </c>
      <c r="C63" s="109"/>
      <c r="J63" s="45" t="s">
        <v>202</v>
      </c>
      <c r="R63" s="45" t="s">
        <v>203</v>
      </c>
      <c r="T63" s="12"/>
      <c r="U63" s="12"/>
      <c r="V63" s="12"/>
      <c r="W63" s="12"/>
      <c r="X63" s="12"/>
      <c r="Y63" s="12"/>
      <c r="Z63" s="12"/>
      <c r="AA63" s="12"/>
      <c r="AB63" s="130" t="s">
        <v>205</v>
      </c>
      <c r="AC63" s="46"/>
      <c r="AD63" s="46"/>
      <c r="AE63" s="46"/>
      <c r="AF63" s="46"/>
      <c r="AG63" s="46"/>
      <c r="AH63" s="130" t="s">
        <v>207</v>
      </c>
      <c r="AI63" s="46"/>
      <c r="AJ63" s="46"/>
      <c r="AK63" s="46"/>
      <c r="AL63" s="46"/>
      <c r="AM63" s="45"/>
      <c r="AN63" s="130" t="s">
        <v>208</v>
      </c>
      <c r="AO63" s="12"/>
      <c r="AP63" s="12"/>
      <c r="AQ63" s="12"/>
      <c r="AR63" s="12"/>
      <c r="AT63" s="130" t="s">
        <v>206</v>
      </c>
    </row>
    <row r="64" spans="1:54" ht="12.75" x14ac:dyDescent="0.2">
      <c r="B64" s="57" t="s">
        <v>209</v>
      </c>
      <c r="C64" s="28" t="s">
        <v>190</v>
      </c>
      <c r="D64" s="57" t="s">
        <v>191</v>
      </c>
      <c r="E64" s="28" t="s">
        <v>192</v>
      </c>
      <c r="F64" s="28" t="s">
        <v>193</v>
      </c>
      <c r="G64" s="57" t="s">
        <v>112</v>
      </c>
      <c r="H64" s="57"/>
      <c r="I64" s="101"/>
      <c r="J64" s="28" t="s">
        <v>76</v>
      </c>
      <c r="K64" s="28" t="s">
        <v>4</v>
      </c>
      <c r="L64" s="57" t="s">
        <v>0</v>
      </c>
      <c r="M64" s="57" t="s">
        <v>1</v>
      </c>
      <c r="N64" s="28" t="s">
        <v>191</v>
      </c>
      <c r="O64" s="28" t="s">
        <v>192</v>
      </c>
      <c r="P64" s="28" t="s">
        <v>193</v>
      </c>
      <c r="R64" s="28"/>
      <c r="S64" s="28" t="s">
        <v>76</v>
      </c>
      <c r="T64" s="28" t="s">
        <v>4</v>
      </c>
      <c r="U64" s="57" t="s">
        <v>0</v>
      </c>
      <c r="V64" s="28" t="s">
        <v>62</v>
      </c>
      <c r="W64" s="57" t="s">
        <v>220</v>
      </c>
      <c r="X64" s="57" t="s">
        <v>190</v>
      </c>
      <c r="Y64" s="57" t="s">
        <v>194</v>
      </c>
      <c r="Z64" s="28" t="s">
        <v>195</v>
      </c>
      <c r="AA64" s="12"/>
      <c r="AB64" s="28" t="s">
        <v>0</v>
      </c>
      <c r="AC64" s="28" t="s">
        <v>196</v>
      </c>
      <c r="AD64" s="57" t="s">
        <v>1</v>
      </c>
      <c r="AE64" s="57" t="s">
        <v>197</v>
      </c>
      <c r="AF64" s="57" t="s">
        <v>198</v>
      </c>
      <c r="AG64" s="60"/>
      <c r="AH64" s="28" t="s">
        <v>0</v>
      </c>
      <c r="AI64" s="28" t="s">
        <v>196</v>
      </c>
      <c r="AJ64" s="57" t="s">
        <v>1</v>
      </c>
      <c r="AK64" s="57" t="s">
        <v>197</v>
      </c>
      <c r="AL64" s="57" t="s">
        <v>198</v>
      </c>
      <c r="AN64" s="28" t="s">
        <v>0</v>
      </c>
      <c r="AO64" s="28" t="s">
        <v>196</v>
      </c>
      <c r="AP64" s="57" t="s">
        <v>1</v>
      </c>
      <c r="AQ64" s="57" t="s">
        <v>197</v>
      </c>
      <c r="AR64" s="57" t="s">
        <v>198</v>
      </c>
      <c r="AT64" s="57" t="s">
        <v>199</v>
      </c>
      <c r="AU64" s="28" t="s">
        <v>191</v>
      </c>
      <c r="AV64" s="28" t="s">
        <v>192</v>
      </c>
      <c r="AW64" s="28" t="s">
        <v>193</v>
      </c>
    </row>
    <row r="65" spans="1:49" ht="12.75" x14ac:dyDescent="0.2">
      <c r="A65" s="110" t="s">
        <v>215</v>
      </c>
      <c r="B65" s="52">
        <v>100</v>
      </c>
      <c r="C65" s="54">
        <v>0.02</v>
      </c>
      <c r="D65" s="124">
        <v>0.04</v>
      </c>
      <c r="E65" s="95">
        <v>0.08</v>
      </c>
      <c r="F65" s="95">
        <v>0.16</v>
      </c>
      <c r="G65" s="95">
        <v>0.01</v>
      </c>
      <c r="H65" s="95"/>
      <c r="I65" s="95"/>
      <c r="J65" s="133" t="s">
        <v>75</v>
      </c>
      <c r="K65" s="133" t="s">
        <v>78</v>
      </c>
      <c r="L65" s="52">
        <v>100</v>
      </c>
      <c r="M65" s="52">
        <v>200</v>
      </c>
      <c r="N65" s="124">
        <v>0.5</v>
      </c>
      <c r="O65" s="95">
        <v>0.3</v>
      </c>
      <c r="P65" s="95">
        <v>0.2</v>
      </c>
      <c r="R65" s="45" t="s">
        <v>215</v>
      </c>
      <c r="S65" s="45" t="s">
        <v>75</v>
      </c>
      <c r="T65" s="131" t="s">
        <v>78</v>
      </c>
      <c r="U65" s="122">
        <f>L65</f>
        <v>100</v>
      </c>
      <c r="V65" s="30">
        <f>W65/U65</f>
        <v>2</v>
      </c>
      <c r="W65" s="122">
        <f>M65</f>
        <v>200</v>
      </c>
      <c r="X65" s="122">
        <f>U65 * (1 - ABS(C65))</f>
        <v>98</v>
      </c>
      <c r="Y65" s="152" t="s">
        <v>34</v>
      </c>
      <c r="Z65" s="152" t="s">
        <v>34</v>
      </c>
      <c r="AA65" s="12"/>
      <c r="AB65" s="122">
        <f>U65</f>
        <v>100</v>
      </c>
      <c r="AC65" s="30">
        <f>V65*N65</f>
        <v>1</v>
      </c>
      <c r="AD65" s="123">
        <f>W65*N65</f>
        <v>100</v>
      </c>
      <c r="AE65" s="123">
        <f>AB65 * (1 + D65) / (1 - G65)</f>
        <v>105.05050505050505</v>
      </c>
      <c r="AF65" s="124">
        <f>(B65 - AE65) / AE65</f>
        <v>-4.8076923076923087E-2</v>
      </c>
      <c r="AG65" s="30"/>
      <c r="AH65" s="122">
        <f>U65</f>
        <v>100</v>
      </c>
      <c r="AI65" s="30">
        <f>V65*O65</f>
        <v>0.6</v>
      </c>
      <c r="AJ65" s="123">
        <f>W65*O65</f>
        <v>60</v>
      </c>
      <c r="AK65" s="123">
        <f>AH65 * (1 + E65) / (1 - G65)</f>
        <v>109.09090909090909</v>
      </c>
      <c r="AL65" s="124">
        <f>(B65 - AK65) / AK65</f>
        <v>-8.3333333333333356E-2</v>
      </c>
      <c r="AN65" s="122">
        <f>U65</f>
        <v>100</v>
      </c>
      <c r="AO65" s="30">
        <f>V65*P65</f>
        <v>0.4</v>
      </c>
      <c r="AP65" s="123">
        <f>W65*P65</f>
        <v>40</v>
      </c>
      <c r="AQ65" s="123">
        <f>AN65 * (1 + F65) / (1 - G65)</f>
        <v>117.17171717171716</v>
      </c>
      <c r="AR65" s="124">
        <f>(B65 - AQ65) / AQ65</f>
        <v>-0.14655172413793097</v>
      </c>
      <c r="AT65" s="32">
        <f>AC65+AI65+AO65</f>
        <v>2</v>
      </c>
      <c r="AU65" s="32">
        <f>AC65</f>
        <v>1</v>
      </c>
      <c r="AV65" s="32">
        <f>AI65</f>
        <v>0.6</v>
      </c>
      <c r="AW65" s="32">
        <f>AO65</f>
        <v>0.4</v>
      </c>
    </row>
    <row r="66" spans="1:49" s="35" customFormat="1" ht="12.75" x14ac:dyDescent="0.2">
      <c r="A66" s="184" t="s">
        <v>216</v>
      </c>
      <c r="B66" s="40">
        <v>110</v>
      </c>
      <c r="C66" s="55">
        <v>0.04</v>
      </c>
      <c r="D66" s="129">
        <v>0.04</v>
      </c>
      <c r="E66" s="125">
        <v>0.08</v>
      </c>
      <c r="F66" s="125">
        <v>0.16</v>
      </c>
      <c r="G66" s="125">
        <v>0.01</v>
      </c>
      <c r="H66" s="125"/>
      <c r="I66" s="125"/>
      <c r="J66" s="134" t="s">
        <v>75</v>
      </c>
      <c r="K66" s="134" t="s">
        <v>211</v>
      </c>
      <c r="L66" s="40">
        <v>110</v>
      </c>
      <c r="M66" s="40">
        <v>300</v>
      </c>
      <c r="N66" s="129">
        <v>0.5</v>
      </c>
      <c r="O66" s="125">
        <v>0.3</v>
      </c>
      <c r="P66" s="125">
        <v>0.2</v>
      </c>
      <c r="R66" s="47" t="s">
        <v>216</v>
      </c>
      <c r="S66" s="47" t="s">
        <v>75</v>
      </c>
      <c r="T66" s="210" t="s">
        <v>211</v>
      </c>
      <c r="U66" s="126">
        <f>L66</f>
        <v>110</v>
      </c>
      <c r="V66" s="43">
        <f>W66/U66</f>
        <v>2.7272727272727271</v>
      </c>
      <c r="W66" s="126">
        <f>M66</f>
        <v>300</v>
      </c>
      <c r="X66" s="126">
        <f>U66 * (1 - ABS(C66))</f>
        <v>105.6</v>
      </c>
      <c r="Y66" s="153" t="s">
        <v>34</v>
      </c>
      <c r="Z66" s="153" t="s">
        <v>34</v>
      </c>
      <c r="AA66" s="41"/>
      <c r="AB66" s="126">
        <f>U66</f>
        <v>110</v>
      </c>
      <c r="AC66" s="43">
        <f>V66*N66</f>
        <v>1.3636363636363635</v>
      </c>
      <c r="AD66" s="128">
        <f>W66*N66</f>
        <v>150</v>
      </c>
      <c r="AE66" s="128">
        <f>AB66 * (1 + D66) / (1 - G66)</f>
        <v>115.55555555555556</v>
      </c>
      <c r="AF66" s="129">
        <f>(B66 - AE66) / AE66</f>
        <v>-4.8076923076923087E-2</v>
      </c>
      <c r="AG66" s="43"/>
      <c r="AH66" s="126">
        <f>U66</f>
        <v>110</v>
      </c>
      <c r="AI66" s="43">
        <f>V66*O66</f>
        <v>0.81818181818181812</v>
      </c>
      <c r="AJ66" s="128">
        <f>W66*O66</f>
        <v>90</v>
      </c>
      <c r="AK66" s="128">
        <f>AH66 * (1 + E66) / (1 - G66)</f>
        <v>120.00000000000001</v>
      </c>
      <c r="AL66" s="129">
        <f>(B66 - AK66) / AK66</f>
        <v>-8.333333333333344E-2</v>
      </c>
      <c r="AN66" s="126">
        <f>U66</f>
        <v>110</v>
      </c>
      <c r="AO66" s="43">
        <f>V66*P66</f>
        <v>0.54545454545454541</v>
      </c>
      <c r="AP66" s="128">
        <f>W66*P66</f>
        <v>60</v>
      </c>
      <c r="AQ66" s="128">
        <f>AN66 * (1 + F66) / (1 - G66)</f>
        <v>128.88888888888889</v>
      </c>
      <c r="AR66" s="129">
        <f>(B66 - AQ66) / AQ66</f>
        <v>-0.14655172413793102</v>
      </c>
      <c r="AT66" s="39">
        <f>AU66+AV66+AW66</f>
        <v>4.7272727272727266</v>
      </c>
      <c r="AU66" s="39">
        <f>AC66+AC67</f>
        <v>2.3636363636363633</v>
      </c>
      <c r="AV66" s="39">
        <f>AI66+AI67</f>
        <v>1.418181818181818</v>
      </c>
      <c r="AW66" s="39">
        <f>AO66+AO67</f>
        <v>0.94545454545454544</v>
      </c>
    </row>
    <row r="67" spans="1:49" s="35" customFormat="1" ht="12.75" x14ac:dyDescent="0.2">
      <c r="A67" s="184"/>
      <c r="B67" s="40"/>
      <c r="C67" s="55"/>
      <c r="D67" s="129"/>
      <c r="E67" s="125"/>
      <c r="F67" s="125"/>
      <c r="G67" s="125"/>
      <c r="H67" s="125"/>
      <c r="I67" s="125"/>
      <c r="J67" s="134"/>
      <c r="K67" s="134"/>
      <c r="L67" s="40"/>
      <c r="M67" s="40"/>
      <c r="N67" s="129"/>
      <c r="O67" s="125"/>
      <c r="P67" s="125"/>
      <c r="R67" s="47"/>
      <c r="S67" s="47"/>
      <c r="T67" s="210"/>
      <c r="U67" s="126"/>
      <c r="V67" s="43"/>
      <c r="W67" s="126"/>
      <c r="X67" s="126"/>
      <c r="Y67" s="153"/>
      <c r="Z67" s="153"/>
      <c r="AA67" s="41"/>
      <c r="AB67" s="126">
        <f>AB65</f>
        <v>100</v>
      </c>
      <c r="AC67" s="43">
        <f>AC65</f>
        <v>1</v>
      </c>
      <c r="AD67" s="128">
        <f>AD65</f>
        <v>100</v>
      </c>
      <c r="AE67" s="128">
        <f>AB67 * (1 + D66) / (1 - G66)</f>
        <v>105.05050505050505</v>
      </c>
      <c r="AF67" s="129">
        <f>(B66 - AE67) / AE67</f>
        <v>4.7115384615384601E-2</v>
      </c>
      <c r="AG67" s="43"/>
      <c r="AH67" s="126">
        <f>AH65</f>
        <v>100</v>
      </c>
      <c r="AI67" s="43">
        <f>AI65</f>
        <v>0.6</v>
      </c>
      <c r="AJ67" s="128">
        <f>AJ65</f>
        <v>60</v>
      </c>
      <c r="AK67" s="128">
        <f>AH67 * (1 + E66) / (1 - G66)</f>
        <v>109.09090909090909</v>
      </c>
      <c r="AL67" s="129">
        <f>(B66 - AK67) / AK67</f>
        <v>8.3333333333333089E-3</v>
      </c>
      <c r="AN67" s="126">
        <f>AN65</f>
        <v>100</v>
      </c>
      <c r="AO67" s="43">
        <f>AO65</f>
        <v>0.4</v>
      </c>
      <c r="AP67" s="128">
        <f>AP65</f>
        <v>40</v>
      </c>
      <c r="AQ67" s="128">
        <f>AN67 * (1 + F66) / (1 - G66)</f>
        <v>117.17171717171716</v>
      </c>
      <c r="AR67" s="129">
        <f>(B66 - AQ67) / AQ67</f>
        <v>-6.1206896551724066E-2</v>
      </c>
      <c r="AU67" s="39"/>
      <c r="AV67" s="39"/>
      <c r="AW67" s="39"/>
    </row>
    <row r="68" spans="1:49" ht="12.75" x14ac:dyDescent="0.2">
      <c r="A68" s="110" t="s">
        <v>217</v>
      </c>
      <c r="B68" s="52">
        <v>120</v>
      </c>
      <c r="C68" s="62">
        <v>0.04</v>
      </c>
      <c r="D68" s="124">
        <v>0.04</v>
      </c>
      <c r="E68" s="95">
        <v>0.08</v>
      </c>
      <c r="F68" s="95">
        <v>0.16</v>
      </c>
      <c r="G68" s="95">
        <v>0.01</v>
      </c>
      <c r="H68" s="95"/>
      <c r="I68" s="95"/>
      <c r="J68" s="133" t="s">
        <v>75</v>
      </c>
      <c r="K68" s="133" t="s">
        <v>214</v>
      </c>
      <c r="L68" s="52">
        <v>120</v>
      </c>
      <c r="M68" s="52">
        <v>400</v>
      </c>
      <c r="N68" s="124">
        <v>0.4</v>
      </c>
      <c r="O68" s="95">
        <v>0.4</v>
      </c>
      <c r="P68" s="95">
        <v>0.2</v>
      </c>
      <c r="R68" s="45" t="s">
        <v>217</v>
      </c>
      <c r="S68" s="45" t="s">
        <v>75</v>
      </c>
      <c r="T68" s="133" t="s">
        <v>214</v>
      </c>
      <c r="U68" s="122">
        <f>L68</f>
        <v>120</v>
      </c>
      <c r="V68" s="30">
        <f>W68/U68</f>
        <v>3.3333333333333335</v>
      </c>
      <c r="W68" s="122">
        <f>M68</f>
        <v>400</v>
      </c>
      <c r="X68" s="122">
        <f>U68 * (1 - ABS(C68))</f>
        <v>115.19999999999999</v>
      </c>
      <c r="Y68" s="152" t="s">
        <v>34</v>
      </c>
      <c r="Z68" s="152" t="s">
        <v>34</v>
      </c>
      <c r="AA68" s="12"/>
      <c r="AB68" s="122">
        <f>U68</f>
        <v>120</v>
      </c>
      <c r="AC68" s="30">
        <f>V68*N68</f>
        <v>1.3333333333333335</v>
      </c>
      <c r="AD68" s="157">
        <f>W68*N68</f>
        <v>160</v>
      </c>
      <c r="AE68" s="157">
        <f>AB68 * (1 + D68) / (1 - G68)</f>
        <v>126.06060606060608</v>
      </c>
      <c r="AF68" s="124">
        <f>(B68 - AE68) / AE68</f>
        <v>-4.8076923076923198E-2</v>
      </c>
      <c r="AG68" s="30"/>
      <c r="AH68" s="122">
        <f>U68</f>
        <v>120</v>
      </c>
      <c r="AI68" s="30">
        <f>V68*O68</f>
        <v>1.3333333333333335</v>
      </c>
      <c r="AJ68" s="157">
        <f>W68*O68</f>
        <v>160</v>
      </c>
      <c r="AK68" s="157">
        <f>AH68 * (1 + E68) / (1 - G68)</f>
        <v>130.90909090909093</v>
      </c>
      <c r="AL68" s="124">
        <f>(B68 - AK68) / AK68</f>
        <v>-8.3333333333333509E-2</v>
      </c>
      <c r="AN68" s="122">
        <f>U68</f>
        <v>120</v>
      </c>
      <c r="AO68" s="30">
        <f>V68*P68</f>
        <v>0.66666666666666674</v>
      </c>
      <c r="AP68" s="157">
        <f>W68*P68</f>
        <v>80</v>
      </c>
      <c r="AQ68" s="157">
        <f>AN68 * (1 + F68) / (1 - G68)</f>
        <v>140.60606060606059</v>
      </c>
      <c r="AR68" s="124">
        <f>(B68 - AQ68) / AQ68</f>
        <v>-0.14655172413793097</v>
      </c>
      <c r="AT68" s="32">
        <f>AU68+AV68+AW68</f>
        <v>8.0606060606060623</v>
      </c>
      <c r="AU68" s="32">
        <f>AC68+AC69+AC70</f>
        <v>3.6969696969696972</v>
      </c>
      <c r="AV68" s="32">
        <f>AI68+AI69+AI70</f>
        <v>2.7515151515151515</v>
      </c>
      <c r="AW68" s="32">
        <f>AO68+AO69+AO70</f>
        <v>1.6121212121212123</v>
      </c>
    </row>
    <row r="69" spans="1:49" ht="12.75" x14ac:dyDescent="0.2">
      <c r="A69" s="110"/>
      <c r="B69" s="52"/>
      <c r="C69" s="62"/>
      <c r="D69" s="124"/>
      <c r="E69" s="95"/>
      <c r="F69" s="95"/>
      <c r="G69" s="95"/>
      <c r="H69" s="95"/>
      <c r="I69" s="95"/>
      <c r="J69" s="133"/>
      <c r="K69" s="133"/>
      <c r="L69" s="52"/>
      <c r="M69" s="52"/>
      <c r="N69" s="124"/>
      <c r="O69" s="95"/>
      <c r="P69" s="95"/>
      <c r="R69" s="45"/>
      <c r="S69" s="45"/>
      <c r="T69" s="131"/>
      <c r="U69" s="122"/>
      <c r="V69" s="30"/>
      <c r="W69" s="122"/>
      <c r="X69" s="122"/>
      <c r="Y69" s="152"/>
      <c r="Z69" s="152"/>
      <c r="AA69" s="12"/>
      <c r="AB69" s="122">
        <f t="shared" ref="AB69:AE70" si="16">AB66</f>
        <v>110</v>
      </c>
      <c r="AC69" s="30">
        <f t="shared" si="16"/>
        <v>1.3636363636363635</v>
      </c>
      <c r="AD69" s="157">
        <f t="shared" si="16"/>
        <v>150</v>
      </c>
      <c r="AE69" s="157">
        <f t="shared" si="16"/>
        <v>115.55555555555556</v>
      </c>
      <c r="AF69" s="124">
        <f>(B68 - AE69) / AE69</f>
        <v>3.846153846153845E-2</v>
      </c>
      <c r="AG69" s="30"/>
      <c r="AH69" s="122">
        <f t="shared" ref="AH69:AK70" si="17">AH66</f>
        <v>110</v>
      </c>
      <c r="AI69" s="30">
        <f t="shared" si="17"/>
        <v>0.81818181818181812</v>
      </c>
      <c r="AJ69" s="157">
        <f t="shared" si="17"/>
        <v>90</v>
      </c>
      <c r="AK69" s="157">
        <f t="shared" si="17"/>
        <v>120.00000000000001</v>
      </c>
      <c r="AL69" s="124">
        <f>(B68 - AK69) / AK69</f>
        <v>-1.1842378929335E-16</v>
      </c>
      <c r="AN69" s="122">
        <f t="shared" ref="AN69:AQ70" si="18">AN66</f>
        <v>110</v>
      </c>
      <c r="AO69" s="30">
        <f t="shared" si="18"/>
        <v>0.54545454545454541</v>
      </c>
      <c r="AP69" s="157">
        <f t="shared" si="18"/>
        <v>60</v>
      </c>
      <c r="AQ69" s="157">
        <f t="shared" si="18"/>
        <v>128.88888888888889</v>
      </c>
      <c r="AR69" s="124">
        <f>(B68 - AQ69) / AQ69</f>
        <v>-6.8965517241379282E-2</v>
      </c>
      <c r="AU69" s="32"/>
      <c r="AV69" s="32"/>
      <c r="AW69" s="32"/>
    </row>
    <row r="70" spans="1:49" ht="12.75" x14ac:dyDescent="0.2">
      <c r="A70" s="110"/>
      <c r="B70" s="52"/>
      <c r="C70" s="62"/>
      <c r="D70" s="124"/>
      <c r="E70" s="95"/>
      <c r="F70" s="95"/>
      <c r="G70" s="95"/>
      <c r="H70" s="95"/>
      <c r="I70" s="95"/>
      <c r="J70" s="133"/>
      <c r="K70" s="133"/>
      <c r="L70" s="52"/>
      <c r="M70" s="52"/>
      <c r="N70" s="124"/>
      <c r="O70" s="95"/>
      <c r="P70" s="95"/>
      <c r="R70" s="45"/>
      <c r="S70" s="45"/>
      <c r="T70" s="131"/>
      <c r="U70" s="122"/>
      <c r="V70" s="30"/>
      <c r="W70" s="122"/>
      <c r="X70" s="122"/>
      <c r="Y70" s="152"/>
      <c r="Z70" s="152"/>
      <c r="AA70" s="12"/>
      <c r="AB70" s="122">
        <f t="shared" si="16"/>
        <v>100</v>
      </c>
      <c r="AC70" s="30">
        <f t="shared" si="16"/>
        <v>1</v>
      </c>
      <c r="AD70" s="157">
        <f t="shared" si="16"/>
        <v>100</v>
      </c>
      <c r="AE70" s="157">
        <f t="shared" si="16"/>
        <v>105.05050505050505</v>
      </c>
      <c r="AF70" s="124">
        <f>(B68 - AE70) / AE70</f>
        <v>0.1423076923076923</v>
      </c>
      <c r="AG70" s="30"/>
      <c r="AH70" s="122">
        <f t="shared" si="17"/>
        <v>100</v>
      </c>
      <c r="AI70" s="30">
        <f t="shared" si="17"/>
        <v>0.6</v>
      </c>
      <c r="AJ70" s="157">
        <f t="shared" si="17"/>
        <v>60</v>
      </c>
      <c r="AK70" s="157">
        <f t="shared" si="17"/>
        <v>109.09090909090909</v>
      </c>
      <c r="AL70" s="124">
        <f>(B68 - AK70) / AK70</f>
        <v>9.9999999999999978E-2</v>
      </c>
      <c r="AN70" s="122">
        <f t="shared" si="18"/>
        <v>100</v>
      </c>
      <c r="AO70" s="30">
        <f t="shared" si="18"/>
        <v>0.4</v>
      </c>
      <c r="AP70" s="157">
        <f t="shared" si="18"/>
        <v>40</v>
      </c>
      <c r="AQ70" s="157">
        <f t="shared" si="18"/>
        <v>117.17171717171716</v>
      </c>
      <c r="AR70" s="124">
        <f>(B68 - AQ70) / AQ70</f>
        <v>2.4137931034482842E-2</v>
      </c>
      <c r="AU70" s="32"/>
      <c r="AV70" s="32"/>
      <c r="AW70" s="32"/>
    </row>
    <row r="71" spans="1:49" s="35" customFormat="1" ht="12.75" x14ac:dyDescent="0.2">
      <c r="A71" s="184" t="s">
        <v>218</v>
      </c>
      <c r="B71" s="40">
        <v>130</v>
      </c>
      <c r="C71" s="55">
        <v>0.04</v>
      </c>
      <c r="D71" s="129">
        <v>0.04</v>
      </c>
      <c r="E71" s="125">
        <v>0.08</v>
      </c>
      <c r="F71" s="125">
        <v>0.16</v>
      </c>
      <c r="G71" s="125">
        <v>5.0000000000000001E-3</v>
      </c>
      <c r="H71" s="125"/>
      <c r="I71" s="125"/>
      <c r="J71" s="134" t="s">
        <v>73</v>
      </c>
      <c r="K71" s="134" t="s">
        <v>219</v>
      </c>
      <c r="L71" s="40">
        <v>130</v>
      </c>
      <c r="M71" s="153" t="s">
        <v>34</v>
      </c>
      <c r="N71" s="129">
        <v>0.4</v>
      </c>
      <c r="O71" s="153" t="s">
        <v>34</v>
      </c>
      <c r="P71" s="153" t="s">
        <v>34</v>
      </c>
      <c r="R71" s="47" t="s">
        <v>218</v>
      </c>
      <c r="S71" s="47" t="s">
        <v>73</v>
      </c>
      <c r="T71" s="132" t="s">
        <v>219</v>
      </c>
      <c r="U71" s="126">
        <f>L71</f>
        <v>130</v>
      </c>
      <c r="V71" s="43">
        <f>AC68*N71</f>
        <v>0.53333333333333344</v>
      </c>
      <c r="W71" s="126">
        <f>U71*V71-(U71*V71*G71)</f>
        <v>68.986666666666679</v>
      </c>
      <c r="X71" s="153" t="s">
        <v>34</v>
      </c>
      <c r="Y71" s="127">
        <f>W71-(U68*V71)</f>
        <v>4.9866666666666646</v>
      </c>
      <c r="Z71" s="151">
        <f>Y71/(U68*V71)</f>
        <v>7.791666666666662E-2</v>
      </c>
      <c r="AA71" s="41"/>
      <c r="AB71" s="126">
        <f>AB68</f>
        <v>120</v>
      </c>
      <c r="AC71" s="43">
        <f>AC68-V71</f>
        <v>0.8</v>
      </c>
      <c r="AD71" s="128">
        <f>AD68-(AD68*N71)</f>
        <v>96</v>
      </c>
      <c r="AE71" s="128">
        <f>AB71 * (1 + D71) / (1 - G71)</f>
        <v>125.42713567839198</v>
      </c>
      <c r="AF71" s="129">
        <f>(B71 - AE71) / AE71</f>
        <v>3.645833333333319E-2</v>
      </c>
      <c r="AG71" s="43"/>
      <c r="AH71" s="126">
        <f t="shared" ref="AH71:AJ73" si="19">AH68</f>
        <v>120</v>
      </c>
      <c r="AI71" s="43">
        <f t="shared" si="19"/>
        <v>1.3333333333333335</v>
      </c>
      <c r="AJ71" s="128">
        <f t="shared" si="19"/>
        <v>160</v>
      </c>
      <c r="AK71" s="128">
        <f>AH71 * (1 + E71) / (1 - G71)</f>
        <v>130.25125628140705</v>
      </c>
      <c r="AL71" s="129">
        <f>(B71 - AK71) / AK71</f>
        <v>-1.9290123456791415E-3</v>
      </c>
      <c r="AN71" s="126">
        <f t="shared" ref="AN71:AP73" si="20">AN68</f>
        <v>120</v>
      </c>
      <c r="AO71" s="43">
        <f t="shared" si="20"/>
        <v>0.66666666666666674</v>
      </c>
      <c r="AP71" s="128">
        <f t="shared" si="20"/>
        <v>80</v>
      </c>
      <c r="AQ71" s="128">
        <f>AN71 * (1 + F71) / (1 - G71)</f>
        <v>139.89949748743717</v>
      </c>
      <c r="AR71" s="129">
        <f>(B71 - AQ71) / AQ71</f>
        <v>-7.076149425287348E-2</v>
      </c>
      <c r="AT71" s="39">
        <f>AU71+AV71+AW71</f>
        <v>7.5272727272727273</v>
      </c>
      <c r="AU71" s="39">
        <f>AC71+AC72+AC73</f>
        <v>3.1636363636363636</v>
      </c>
      <c r="AV71" s="39">
        <f>AI71+AI72+AI73</f>
        <v>2.7515151515151515</v>
      </c>
      <c r="AW71" s="39">
        <f>AO71+AO72+AO73</f>
        <v>1.6121212121212123</v>
      </c>
    </row>
    <row r="72" spans="1:49" s="35" customFormat="1" ht="12.75" x14ac:dyDescent="0.2">
      <c r="A72" s="184"/>
      <c r="B72" s="40"/>
      <c r="C72" s="55"/>
      <c r="D72" s="129"/>
      <c r="E72" s="125"/>
      <c r="F72" s="125"/>
      <c r="G72" s="125"/>
      <c r="H72" s="125"/>
      <c r="I72" s="125"/>
      <c r="J72" s="134"/>
      <c r="K72" s="134"/>
      <c r="L72" s="40"/>
      <c r="M72" s="40"/>
      <c r="N72" s="129"/>
      <c r="O72" s="125"/>
      <c r="P72" s="125"/>
      <c r="R72" s="47"/>
      <c r="S72" s="47"/>
      <c r="T72" s="132"/>
      <c r="U72" s="126"/>
      <c r="V72" s="43"/>
      <c r="W72" s="126"/>
      <c r="X72" s="126"/>
      <c r="Y72" s="153"/>
      <c r="Z72" s="153"/>
      <c r="AA72" s="41"/>
      <c r="AB72" s="126">
        <f>AB69</f>
        <v>110</v>
      </c>
      <c r="AC72" s="43">
        <f>AC69</f>
        <v>1.3636363636363635</v>
      </c>
      <c r="AD72" s="128">
        <f>AD69</f>
        <v>150</v>
      </c>
      <c r="AE72" s="128">
        <f>AB72 * (1 + D71) / (1 - G71)</f>
        <v>114.9748743718593</v>
      </c>
      <c r="AF72" s="129">
        <f>(B71 - AE72) / AE72</f>
        <v>0.13068181818181815</v>
      </c>
      <c r="AG72" s="43"/>
      <c r="AH72" s="126">
        <f t="shared" si="19"/>
        <v>110</v>
      </c>
      <c r="AI72" s="43">
        <f t="shared" si="19"/>
        <v>0.81818181818181812</v>
      </c>
      <c r="AJ72" s="128">
        <f t="shared" si="19"/>
        <v>90</v>
      </c>
      <c r="AK72" s="128">
        <f>AH72 * (1 + E71) / (1 - G71)</f>
        <v>119.39698492462313</v>
      </c>
      <c r="AL72" s="129">
        <f>(B71 - AK72) / AK72</f>
        <v>8.8804713804713706E-2</v>
      </c>
      <c r="AN72" s="126">
        <f t="shared" si="20"/>
        <v>110</v>
      </c>
      <c r="AO72" s="43">
        <f t="shared" si="20"/>
        <v>0.54545454545454541</v>
      </c>
      <c r="AP72" s="128">
        <f t="shared" si="20"/>
        <v>60</v>
      </c>
      <c r="AQ72" s="128">
        <f>AN72 * (1 + F71) / (1 - G71)</f>
        <v>128.24120603015075</v>
      </c>
      <c r="AR72" s="129">
        <f>(B71 - AQ72) / AQ72</f>
        <v>1.3714733542319783E-2</v>
      </c>
      <c r="AU72" s="39"/>
      <c r="AV72" s="39"/>
      <c r="AW72" s="39"/>
    </row>
    <row r="73" spans="1:49" s="35" customFormat="1" ht="12.75" x14ac:dyDescent="0.2">
      <c r="A73" s="189"/>
      <c r="B73" s="36"/>
      <c r="C73" s="217"/>
      <c r="D73" s="129"/>
      <c r="E73" s="125"/>
      <c r="F73" s="125"/>
      <c r="G73" s="125"/>
      <c r="H73" s="125"/>
      <c r="L73" s="218"/>
      <c r="M73" s="218"/>
      <c r="N73" s="129"/>
      <c r="O73" s="125"/>
      <c r="P73" s="125"/>
      <c r="Q73" s="36"/>
      <c r="R73" s="47"/>
      <c r="S73" s="36"/>
      <c r="T73" s="121"/>
      <c r="U73" s="132"/>
      <c r="V73" s="209"/>
      <c r="W73" s="126"/>
      <c r="X73" s="126"/>
      <c r="Y73" s="153"/>
      <c r="Z73" s="153"/>
      <c r="AA73" s="41"/>
      <c r="AB73" s="126">
        <f>AB70</f>
        <v>100</v>
      </c>
      <c r="AC73" s="43">
        <f>AC70</f>
        <v>1</v>
      </c>
      <c r="AD73" s="128">
        <f>AD70</f>
        <v>100</v>
      </c>
      <c r="AE73" s="128">
        <f>AB73 * (1 + D71) / (1 - G71)</f>
        <v>104.52261306532664</v>
      </c>
      <c r="AF73" s="129">
        <f>(B71 - AE73) / AE73</f>
        <v>0.24374999999999994</v>
      </c>
      <c r="AG73" s="43"/>
      <c r="AH73" s="126">
        <f t="shared" si="19"/>
        <v>100</v>
      </c>
      <c r="AI73" s="43">
        <f t="shared" si="19"/>
        <v>0.6</v>
      </c>
      <c r="AJ73" s="128">
        <f t="shared" si="19"/>
        <v>60</v>
      </c>
      <c r="AK73" s="128">
        <f>AH73 * (1 + E71) / (1 - G71)</f>
        <v>108.5427135678392</v>
      </c>
      <c r="AL73" s="129">
        <f>(B71 - AK73) / AK73</f>
        <v>0.19768518518518513</v>
      </c>
      <c r="AN73" s="126">
        <f t="shared" si="20"/>
        <v>100</v>
      </c>
      <c r="AO73" s="43">
        <f t="shared" si="20"/>
        <v>0.4</v>
      </c>
      <c r="AP73" s="128">
        <f t="shared" si="20"/>
        <v>40</v>
      </c>
      <c r="AQ73" s="128">
        <f>AN73 * (1 + F71) / (1 - G71)</f>
        <v>116.58291457286431</v>
      </c>
      <c r="AR73" s="129">
        <f>(B71 - AQ73) / AQ73</f>
        <v>0.11508620689655183</v>
      </c>
      <c r="AU73" s="39"/>
      <c r="AV73" s="39"/>
      <c r="AW73" s="39"/>
    </row>
    <row r="74" spans="1:49" ht="12.75" x14ac:dyDescent="0.2">
      <c r="A74" s="150" t="s">
        <v>254</v>
      </c>
      <c r="B74" s="52">
        <v>130</v>
      </c>
      <c r="C74" s="62">
        <v>0.04</v>
      </c>
      <c r="D74" s="124">
        <v>0.04</v>
      </c>
      <c r="E74" s="95">
        <v>0.08</v>
      </c>
      <c r="F74" s="95">
        <v>0.16</v>
      </c>
      <c r="G74" s="95">
        <v>5.0000000000000001E-3</v>
      </c>
      <c r="H74" s="95"/>
      <c r="J74" s="133" t="s">
        <v>75</v>
      </c>
      <c r="K74" s="133" t="s">
        <v>78</v>
      </c>
      <c r="L74" s="52">
        <v>100</v>
      </c>
      <c r="M74" s="52">
        <v>300</v>
      </c>
      <c r="N74" s="124">
        <v>0.5</v>
      </c>
      <c r="O74" s="95">
        <v>0.3</v>
      </c>
      <c r="P74" s="95">
        <v>0.2</v>
      </c>
      <c r="Q74" s="99"/>
      <c r="R74" s="45"/>
      <c r="S74" s="45"/>
      <c r="T74" s="131"/>
      <c r="U74" s="122"/>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49" ht="12.75" x14ac:dyDescent="0.2">
      <c r="A75" s="150"/>
      <c r="B75" s="33"/>
      <c r="C75" s="67"/>
      <c r="D75" s="124"/>
      <c r="E75" s="95"/>
      <c r="F75" s="95"/>
      <c r="G75" s="95"/>
      <c r="H75" s="95"/>
      <c r="L75" s="214"/>
      <c r="M75" s="214"/>
      <c r="N75" s="124"/>
      <c r="O75" s="95"/>
      <c r="P75" s="95"/>
      <c r="Q75" s="45"/>
      <c r="R75" s="45"/>
      <c r="V75" s="30"/>
      <c r="W75" s="122"/>
      <c r="X75" s="122"/>
      <c r="Y75" s="152"/>
      <c r="Z75" s="152"/>
      <c r="AA75" s="12"/>
      <c r="AB75" s="139"/>
      <c r="AC75" s="139"/>
      <c r="AD75" s="139"/>
      <c r="AE75" s="139"/>
      <c r="AF75" s="140"/>
      <c r="AG75" s="140"/>
      <c r="AH75" s="139"/>
      <c r="AI75" s="139"/>
      <c r="AJ75" s="139"/>
      <c r="AK75" s="139"/>
      <c r="AL75" s="140"/>
      <c r="AN75" s="139"/>
      <c r="AO75" s="139"/>
      <c r="AP75" s="139"/>
      <c r="AQ75" s="139"/>
      <c r="AR75" s="140"/>
    </row>
    <row r="76" spans="1:49" ht="12.75" x14ac:dyDescent="0.2">
      <c r="A76" s="215" t="s">
        <v>260</v>
      </c>
      <c r="B76" s="33"/>
      <c r="C76" s="67"/>
      <c r="D76" s="124"/>
      <c r="E76" s="95"/>
      <c r="F76" s="95"/>
      <c r="G76" s="95"/>
      <c r="H76" s="95"/>
      <c r="L76" s="214"/>
      <c r="M76" s="214"/>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49" ht="12.75" x14ac:dyDescent="0.2">
      <c r="B77" s="45" t="s">
        <v>204</v>
      </c>
      <c r="C77" s="109"/>
      <c r="J77" s="45" t="s">
        <v>202</v>
      </c>
      <c r="R77" s="45" t="s">
        <v>203</v>
      </c>
      <c r="T77" s="12"/>
      <c r="U77" s="12"/>
      <c r="V77" s="12"/>
      <c r="W77" s="12"/>
      <c r="X77" s="12"/>
      <c r="Y77" s="12"/>
      <c r="Z77" s="12"/>
      <c r="AA77" s="12"/>
      <c r="AB77" s="130" t="s">
        <v>205</v>
      </c>
      <c r="AC77" s="46"/>
      <c r="AD77" s="46"/>
      <c r="AE77" s="46"/>
      <c r="AF77" s="46"/>
      <c r="AG77" s="46"/>
      <c r="AH77" s="130" t="s">
        <v>207</v>
      </c>
      <c r="AI77" s="46"/>
      <c r="AJ77" s="46"/>
      <c r="AK77" s="46"/>
      <c r="AL77" s="46"/>
      <c r="AM77" s="45"/>
      <c r="AN77" s="130" t="s">
        <v>208</v>
      </c>
      <c r="AO77" s="12"/>
      <c r="AP77" s="12"/>
      <c r="AQ77" s="12"/>
      <c r="AR77" s="12"/>
      <c r="AT77" s="130" t="s">
        <v>206</v>
      </c>
    </row>
    <row r="78" spans="1:49" ht="12.75" x14ac:dyDescent="0.2">
      <c r="B78" s="57" t="s">
        <v>209</v>
      </c>
      <c r="C78" s="28" t="s">
        <v>190</v>
      </c>
      <c r="D78" s="57" t="s">
        <v>191</v>
      </c>
      <c r="E78" s="28" t="s">
        <v>192</v>
      </c>
      <c r="F78" s="28" t="s">
        <v>193</v>
      </c>
      <c r="G78" s="57" t="s">
        <v>112</v>
      </c>
      <c r="H78" s="57"/>
      <c r="I78" s="101"/>
      <c r="J78" s="28" t="s">
        <v>76</v>
      </c>
      <c r="K78" s="28" t="s">
        <v>4</v>
      </c>
      <c r="L78" s="57" t="s">
        <v>0</v>
      </c>
      <c r="M78" s="57" t="s">
        <v>1</v>
      </c>
      <c r="N78" s="28" t="s">
        <v>191</v>
      </c>
      <c r="O78" s="28" t="s">
        <v>192</v>
      </c>
      <c r="P78" s="28" t="s">
        <v>193</v>
      </c>
      <c r="R78" s="28"/>
      <c r="S78" s="28" t="s">
        <v>76</v>
      </c>
      <c r="T78" s="28" t="s">
        <v>4</v>
      </c>
      <c r="U78" s="57" t="s">
        <v>0</v>
      </c>
      <c r="V78" s="28" t="s">
        <v>62</v>
      </c>
      <c r="W78" s="57" t="s">
        <v>220</v>
      </c>
      <c r="X78" s="57" t="s">
        <v>190</v>
      </c>
      <c r="Y78" s="57" t="s">
        <v>194</v>
      </c>
      <c r="Z78" s="28" t="s">
        <v>195</v>
      </c>
      <c r="AA78" s="12"/>
      <c r="AB78" s="28" t="s">
        <v>0</v>
      </c>
      <c r="AC78" s="28" t="s">
        <v>196</v>
      </c>
      <c r="AD78" s="57" t="s">
        <v>1</v>
      </c>
      <c r="AE78" s="57" t="s">
        <v>197</v>
      </c>
      <c r="AF78" s="57" t="s">
        <v>198</v>
      </c>
      <c r="AG78" s="60"/>
      <c r="AH78" s="28" t="s">
        <v>0</v>
      </c>
      <c r="AI78" s="28" t="s">
        <v>196</v>
      </c>
      <c r="AJ78" s="57" t="s">
        <v>1</v>
      </c>
      <c r="AK78" s="57" t="s">
        <v>197</v>
      </c>
      <c r="AL78" s="57" t="s">
        <v>198</v>
      </c>
      <c r="AN78" s="28" t="s">
        <v>0</v>
      </c>
      <c r="AO78" s="28" t="s">
        <v>196</v>
      </c>
      <c r="AP78" s="57" t="s">
        <v>1</v>
      </c>
      <c r="AQ78" s="57" t="s">
        <v>197</v>
      </c>
      <c r="AR78" s="57" t="s">
        <v>198</v>
      </c>
      <c r="AT78" s="57" t="s">
        <v>199</v>
      </c>
      <c r="AU78" s="28" t="s">
        <v>191</v>
      </c>
      <c r="AV78" s="28" t="s">
        <v>192</v>
      </c>
      <c r="AW78" s="28" t="s">
        <v>193</v>
      </c>
    </row>
    <row r="79" spans="1:49" ht="12.75" x14ac:dyDescent="0.2">
      <c r="A79" s="110" t="s">
        <v>215</v>
      </c>
      <c r="B79" s="52">
        <v>100</v>
      </c>
      <c r="C79" s="54">
        <v>0.04</v>
      </c>
      <c r="D79" s="124">
        <v>0.04</v>
      </c>
      <c r="E79" s="95">
        <v>0.08</v>
      </c>
      <c r="F79" s="95">
        <v>0.16</v>
      </c>
      <c r="G79" s="95">
        <v>0.01</v>
      </c>
      <c r="H79" s="95"/>
      <c r="I79" s="95"/>
      <c r="J79" s="133" t="s">
        <v>75</v>
      </c>
      <c r="K79" s="133" t="s">
        <v>78</v>
      </c>
      <c r="L79" s="52">
        <v>100</v>
      </c>
      <c r="M79" s="52">
        <v>100</v>
      </c>
      <c r="N79" s="124">
        <v>0.5</v>
      </c>
      <c r="O79" s="95">
        <v>0.3</v>
      </c>
      <c r="P79" s="95">
        <v>0.2</v>
      </c>
      <c r="R79" s="45" t="s">
        <v>215</v>
      </c>
      <c r="S79" s="45" t="s">
        <v>75</v>
      </c>
      <c r="T79" s="131" t="s">
        <v>78</v>
      </c>
      <c r="U79" s="122">
        <f>L79</f>
        <v>100</v>
      </c>
      <c r="V79" s="30">
        <f>W79/U79</f>
        <v>1</v>
      </c>
      <c r="W79" s="122">
        <f>M79</f>
        <v>100</v>
      </c>
      <c r="X79" s="122">
        <f>U79 * (1 - ABS(C79))</f>
        <v>96</v>
      </c>
      <c r="Y79" s="152" t="s">
        <v>34</v>
      </c>
      <c r="Z79" s="152" t="s">
        <v>34</v>
      </c>
      <c r="AA79" s="12"/>
      <c r="AB79" s="122">
        <f>U79</f>
        <v>100</v>
      </c>
      <c r="AC79" s="30">
        <f>V79*N79</f>
        <v>0.5</v>
      </c>
      <c r="AD79" s="123">
        <f>W79*N79</f>
        <v>50</v>
      </c>
      <c r="AE79" s="123">
        <f>AB79 * (1 + D79) / (1 - G79)</f>
        <v>105.05050505050505</v>
      </c>
      <c r="AF79" s="124">
        <f>(B79 - AE79) / AE79</f>
        <v>-4.8076923076923087E-2</v>
      </c>
      <c r="AG79" s="30"/>
      <c r="AH79" s="122">
        <f>U79</f>
        <v>100</v>
      </c>
      <c r="AI79" s="30">
        <f>V79*O79</f>
        <v>0.3</v>
      </c>
      <c r="AJ79" s="123">
        <f>W79*O79</f>
        <v>30</v>
      </c>
      <c r="AK79" s="123">
        <f>AH79 * (1 + E79) / (1 - G79)</f>
        <v>109.09090909090909</v>
      </c>
      <c r="AL79" s="124">
        <f>(B79 - AK79) / AK79</f>
        <v>-8.3333333333333356E-2</v>
      </c>
      <c r="AN79" s="122">
        <f>U79</f>
        <v>100</v>
      </c>
      <c r="AO79" s="30">
        <f>V79*P79</f>
        <v>0.2</v>
      </c>
      <c r="AP79" s="123">
        <f>W79*P79</f>
        <v>20</v>
      </c>
      <c r="AQ79" s="123">
        <f>AN79 * (1 + F79) / (1 - G79)</f>
        <v>117.17171717171716</v>
      </c>
      <c r="AR79" s="124">
        <f>(B79 - AQ79) / AQ79</f>
        <v>-0.14655172413793097</v>
      </c>
      <c r="AT79" s="32">
        <f>AC79+AI79+AO79</f>
        <v>1</v>
      </c>
      <c r="AU79" s="32">
        <f>AC79</f>
        <v>0.5</v>
      </c>
      <c r="AV79" s="32">
        <f>AI79</f>
        <v>0.3</v>
      </c>
      <c r="AW79" s="32">
        <f>AO79</f>
        <v>0.2</v>
      </c>
    </row>
    <row r="80" spans="1:49" ht="12.75" x14ac:dyDescent="0.2">
      <c r="A80" s="189" t="s">
        <v>262</v>
      </c>
      <c r="B80" s="36"/>
      <c r="C80" s="217"/>
      <c r="D80" s="129"/>
      <c r="E80" s="125"/>
      <c r="F80" s="125"/>
      <c r="G80" s="125"/>
      <c r="H80" s="125"/>
      <c r="I80" s="35"/>
      <c r="J80" s="35"/>
      <c r="K80" s="35"/>
      <c r="L80" s="218"/>
      <c r="M80" s="218"/>
      <c r="N80" s="129"/>
      <c r="O80" s="125"/>
      <c r="P80" s="125"/>
      <c r="Q80" s="47"/>
      <c r="R80" s="47"/>
      <c r="S80" s="35"/>
      <c r="T80" s="35"/>
      <c r="U80" s="35"/>
      <c r="V80" s="43"/>
      <c r="W80" s="126"/>
      <c r="X80" s="126"/>
      <c r="Y80" s="153"/>
      <c r="Z80" s="153"/>
      <c r="AA80" s="41"/>
      <c r="AB80" s="220"/>
      <c r="AC80" s="220"/>
      <c r="AD80" s="220"/>
      <c r="AE80" s="220"/>
      <c r="AF80" s="170"/>
      <c r="AG80" s="170"/>
      <c r="AH80" s="220"/>
      <c r="AI80" s="220"/>
      <c r="AJ80" s="220"/>
      <c r="AK80" s="220"/>
      <c r="AL80" s="170"/>
      <c r="AM80" s="35"/>
      <c r="AN80" s="220"/>
      <c r="AO80" s="220"/>
      <c r="AP80" s="220"/>
      <c r="AQ80" s="220"/>
      <c r="AR80" s="170"/>
      <c r="AS80" s="35"/>
      <c r="AT80" s="35"/>
      <c r="AU80" s="35"/>
      <c r="AV80" s="35"/>
      <c r="AW80" s="35"/>
    </row>
    <row r="81" spans="1:49" ht="12.75" x14ac:dyDescent="0.2">
      <c r="A81" s="150" t="s">
        <v>218</v>
      </c>
      <c r="B81" s="52">
        <v>100</v>
      </c>
      <c r="C81" s="54">
        <v>0.04</v>
      </c>
      <c r="D81" s="124">
        <v>0.04</v>
      </c>
      <c r="E81" s="95">
        <v>0.08</v>
      </c>
      <c r="F81" s="95">
        <v>0.16</v>
      </c>
      <c r="G81" s="95">
        <v>0.01</v>
      </c>
      <c r="H81" s="95"/>
      <c r="J81" s="133" t="s">
        <v>73</v>
      </c>
      <c r="K81" s="130" t="s">
        <v>211</v>
      </c>
      <c r="L81" s="52">
        <v>100</v>
      </c>
      <c r="M81" s="152" t="s">
        <v>34</v>
      </c>
      <c r="N81" s="152" t="s">
        <v>34</v>
      </c>
      <c r="O81" s="152" t="s">
        <v>34</v>
      </c>
      <c r="P81" s="95">
        <v>1</v>
      </c>
      <c r="R81" s="45" t="s">
        <v>218</v>
      </c>
      <c r="S81" s="45" t="s">
        <v>73</v>
      </c>
      <c r="T81" s="130" t="s">
        <v>211</v>
      </c>
      <c r="U81" s="122">
        <f>L81</f>
        <v>100</v>
      </c>
      <c r="V81" s="30">
        <f>AO79*P81</f>
        <v>0.2</v>
      </c>
      <c r="W81" s="122">
        <f>U81*V81-(U81*V81*G81)</f>
        <v>19.8</v>
      </c>
      <c r="X81" s="152" t="s">
        <v>34</v>
      </c>
      <c r="Y81" s="158">
        <f>W81-(U79*V81)</f>
        <v>-0.19999999999999929</v>
      </c>
      <c r="Z81" s="219">
        <f>Y81/(U79*V81)</f>
        <v>-9.9999999999999638E-3</v>
      </c>
      <c r="AA81" s="12"/>
      <c r="AB81" s="122">
        <f>U81</f>
        <v>100</v>
      </c>
      <c r="AC81" s="30">
        <f>AC79</f>
        <v>0.5</v>
      </c>
      <c r="AD81" s="123">
        <f>AD79</f>
        <v>50</v>
      </c>
      <c r="AE81" s="123">
        <f>AE79</f>
        <v>105.05050505050505</v>
      </c>
      <c r="AF81" s="124">
        <f>AF79</f>
        <v>-4.8076923076923087E-2</v>
      </c>
      <c r="AG81" s="30"/>
      <c r="AH81" s="122">
        <f>AH79</f>
        <v>100</v>
      </c>
      <c r="AI81" s="30">
        <f>AI79</f>
        <v>0.3</v>
      </c>
      <c r="AJ81" s="123">
        <f>AJ79</f>
        <v>30</v>
      </c>
      <c r="AK81" s="123">
        <f>AK79</f>
        <v>109.09090909090909</v>
      </c>
      <c r="AL81" s="124">
        <f>AL79</f>
        <v>-8.3333333333333356E-2</v>
      </c>
      <c r="AN81" s="162"/>
      <c r="AO81" s="163"/>
      <c r="AP81" s="164"/>
      <c r="AQ81" s="164"/>
      <c r="AR81" s="148"/>
      <c r="AT81" s="32">
        <f>AC81+AI81+AO81</f>
        <v>0.8</v>
      </c>
      <c r="AU81" s="32">
        <f>AC81</f>
        <v>0.5</v>
      </c>
      <c r="AV81" s="32">
        <f>AI81</f>
        <v>0.3</v>
      </c>
      <c r="AW81" s="32">
        <f>AO81</f>
        <v>0</v>
      </c>
    </row>
    <row r="82" spans="1:49" ht="12.75" x14ac:dyDescent="0.2">
      <c r="A82" s="189" t="s">
        <v>261</v>
      </c>
      <c r="B82" s="36"/>
      <c r="C82" s="217"/>
      <c r="D82" s="129"/>
      <c r="E82" s="125"/>
      <c r="F82" s="125"/>
      <c r="G82" s="125"/>
      <c r="H82" s="125"/>
      <c r="I82" s="35"/>
      <c r="J82" s="35"/>
      <c r="K82" s="35"/>
      <c r="L82" s="218"/>
      <c r="M82" s="218"/>
      <c r="N82" s="129"/>
      <c r="O82" s="125"/>
      <c r="P82" s="125"/>
      <c r="Q82" s="47"/>
      <c r="R82" s="47"/>
      <c r="S82" s="35"/>
      <c r="T82" s="35"/>
      <c r="U82" s="35"/>
      <c r="V82" s="43"/>
      <c r="W82" s="126"/>
      <c r="X82" s="126"/>
      <c r="Y82" s="153"/>
      <c r="Z82" s="153"/>
      <c r="AA82" s="41"/>
      <c r="AB82" s="220"/>
      <c r="AC82" s="220"/>
      <c r="AD82" s="220"/>
      <c r="AE82" s="220"/>
      <c r="AF82" s="170"/>
      <c r="AG82" s="170"/>
      <c r="AH82" s="220"/>
      <c r="AI82" s="220"/>
      <c r="AJ82" s="220"/>
      <c r="AK82" s="220"/>
      <c r="AL82" s="170"/>
      <c r="AM82" s="35"/>
      <c r="AN82" s="220"/>
      <c r="AO82" s="220"/>
      <c r="AP82" s="220"/>
      <c r="AQ82" s="220"/>
      <c r="AR82" s="170"/>
      <c r="AS82" s="35"/>
      <c r="AT82" s="35"/>
      <c r="AU82" s="35"/>
      <c r="AV82" s="35"/>
      <c r="AW82" s="35"/>
    </row>
    <row r="83" spans="1:49" ht="12.75" x14ac:dyDescent="0.2">
      <c r="A83" s="150" t="s">
        <v>263</v>
      </c>
      <c r="B83" s="52">
        <v>100</v>
      </c>
      <c r="C83" s="54">
        <v>0.04</v>
      </c>
      <c r="D83" s="124">
        <v>0.04</v>
      </c>
      <c r="E83" s="95">
        <v>0.08</v>
      </c>
      <c r="F83" s="95"/>
      <c r="G83" s="95">
        <v>0.01</v>
      </c>
      <c r="H83" s="95"/>
      <c r="J83" s="133"/>
      <c r="K83" s="130"/>
      <c r="L83" s="52"/>
      <c r="M83" s="152"/>
      <c r="N83" s="152"/>
      <c r="O83" s="152"/>
      <c r="P83" s="95"/>
      <c r="R83" s="45"/>
      <c r="S83" s="45"/>
      <c r="T83" s="130"/>
      <c r="U83" s="122"/>
      <c r="V83" s="30"/>
      <c r="W83" s="122"/>
      <c r="X83" s="152"/>
      <c r="Y83" s="158"/>
      <c r="Z83" s="219"/>
      <c r="AA83" s="12"/>
      <c r="AB83" s="122">
        <f>AB81</f>
        <v>100</v>
      </c>
      <c r="AC83" s="30">
        <f>AC81</f>
        <v>0.5</v>
      </c>
      <c r="AD83" s="123">
        <f>AD81</f>
        <v>50</v>
      </c>
      <c r="AE83" s="123">
        <f>AE81</f>
        <v>105.05050505050505</v>
      </c>
      <c r="AF83" s="124">
        <f>AF81</f>
        <v>-4.8076923076923087E-2</v>
      </c>
      <c r="AG83" s="30"/>
      <c r="AH83" s="122">
        <f>AH81</f>
        <v>100</v>
      </c>
      <c r="AI83" s="30">
        <f>AI81</f>
        <v>0.3</v>
      </c>
      <c r="AJ83" s="123">
        <f>AJ81</f>
        <v>30</v>
      </c>
      <c r="AK83" s="123">
        <f>AK81</f>
        <v>109.09090909090909</v>
      </c>
      <c r="AL83" s="124">
        <f>AL81</f>
        <v>-8.3333333333333356E-2</v>
      </c>
      <c r="AN83" s="211" t="s">
        <v>264</v>
      </c>
      <c r="AO83" s="163"/>
      <c r="AP83" s="164"/>
      <c r="AQ83" s="164"/>
      <c r="AR83" s="148"/>
      <c r="AT83" s="32">
        <f>AC83+AI83+AO83</f>
        <v>0.8</v>
      </c>
      <c r="AU83" s="32">
        <f>AC83</f>
        <v>0.5</v>
      </c>
      <c r="AV83" s="32">
        <f>AI83</f>
        <v>0.3</v>
      </c>
      <c r="AW83" s="32"/>
    </row>
    <row r="84" spans="1:49" ht="25.5" x14ac:dyDescent="0.2">
      <c r="A84" s="150" t="s">
        <v>265</v>
      </c>
      <c r="B84" s="33"/>
      <c r="C84" s="67"/>
      <c r="D84" s="124"/>
      <c r="E84" s="95"/>
      <c r="F84" s="95"/>
      <c r="G84" s="95"/>
      <c r="H84" s="95"/>
      <c r="L84" s="214"/>
      <c r="M84" s="214"/>
      <c r="N84" s="124"/>
      <c r="O84" s="95"/>
      <c r="P84" s="95"/>
      <c r="Q84" s="45"/>
      <c r="R84" s="45"/>
      <c r="V84" s="30"/>
      <c r="W84" s="122"/>
      <c r="X84" s="122"/>
      <c r="Y84" s="152"/>
      <c r="Z84" s="152"/>
      <c r="AA84" s="12"/>
      <c r="AB84" s="139"/>
      <c r="AC84" s="139"/>
      <c r="AD84" s="139"/>
      <c r="AE84" s="139"/>
      <c r="AF84" s="140"/>
      <c r="AG84" s="140"/>
      <c r="AH84" s="139"/>
      <c r="AI84" s="139"/>
      <c r="AJ84" s="139"/>
      <c r="AK84" s="139"/>
      <c r="AL84" s="140"/>
      <c r="AN84" s="139"/>
      <c r="AO84" s="139"/>
      <c r="AP84" s="139"/>
      <c r="AQ84" s="139"/>
      <c r="AR84" s="140"/>
    </row>
    <row r="85" spans="1:49" ht="12.75" x14ac:dyDescent="0.2">
      <c r="A85" t="s">
        <v>257</v>
      </c>
      <c r="C85" s="67"/>
      <c r="D85" s="124"/>
      <c r="E85" s="95"/>
      <c r="F85" s="95"/>
      <c r="G85" s="95"/>
      <c r="H85" s="95"/>
      <c r="L85" s="214"/>
      <c r="M85" s="214"/>
      <c r="N85" s="124"/>
      <c r="O85" s="95"/>
      <c r="P85" s="95"/>
      <c r="Q85" s="45"/>
      <c r="R85" s="45"/>
      <c r="V85" s="30"/>
      <c r="W85" s="122"/>
      <c r="X85" s="122"/>
      <c r="Y85" s="152"/>
      <c r="Z85" s="152"/>
      <c r="AA85" s="12"/>
      <c r="AB85" s="139"/>
      <c r="AC85" s="139"/>
      <c r="AD85" s="139"/>
      <c r="AE85" s="139"/>
      <c r="AF85" s="140"/>
      <c r="AG85" s="140"/>
      <c r="AH85" s="139"/>
      <c r="AI85" s="139"/>
      <c r="AJ85" s="139"/>
      <c r="AK85" s="139"/>
      <c r="AL85" s="140"/>
      <c r="AN85" s="139"/>
      <c r="AO85" s="139"/>
      <c r="AP85" s="139"/>
      <c r="AQ85" s="139"/>
      <c r="AR85" s="140"/>
    </row>
    <row r="86" spans="1:49" ht="12.75" x14ac:dyDescent="0.2">
      <c r="A86" t="s">
        <v>258</v>
      </c>
      <c r="C86" s="67"/>
      <c r="D86" s="124"/>
      <c r="E86" s="95"/>
      <c r="F86" s="95"/>
      <c r="G86" s="95"/>
      <c r="H86" s="95"/>
      <c r="L86" s="214"/>
      <c r="M86" s="214"/>
      <c r="N86" s="124"/>
      <c r="O86" s="95"/>
      <c r="P86" s="95"/>
      <c r="Q86" s="45"/>
      <c r="R86" s="45"/>
      <c r="V86" s="30"/>
      <c r="W86" s="122"/>
      <c r="X86" s="122"/>
      <c r="Y86" s="152"/>
      <c r="Z86" s="152"/>
      <c r="AA86" s="12"/>
      <c r="AB86" s="139"/>
      <c r="AC86" s="139"/>
      <c r="AD86" s="139"/>
      <c r="AE86" s="139"/>
      <c r="AF86" s="140"/>
      <c r="AG86" s="140"/>
      <c r="AH86" s="139"/>
      <c r="AI86" s="139"/>
      <c r="AJ86" s="139"/>
      <c r="AK86" s="139"/>
      <c r="AL86" s="140"/>
      <c r="AN86" s="139"/>
      <c r="AO86" s="139"/>
      <c r="AP86" s="139"/>
      <c r="AQ86" s="139"/>
      <c r="AR86" s="140"/>
    </row>
    <row r="87" spans="1:49" ht="12.75" x14ac:dyDescent="0.2">
      <c r="A87" t="s">
        <v>255</v>
      </c>
      <c r="C87" s="67"/>
      <c r="D87" s="124"/>
      <c r="E87" s="95"/>
      <c r="F87" s="95"/>
      <c r="G87" s="95"/>
      <c r="H87" s="95"/>
      <c r="L87" s="214"/>
      <c r="M87" s="214"/>
      <c r="N87" s="124"/>
      <c r="O87" s="95"/>
      <c r="P87" s="95"/>
      <c r="Q87" s="45"/>
      <c r="R87" s="45"/>
      <c r="V87" s="30"/>
      <c r="W87" s="122"/>
      <c r="X87" s="122"/>
      <c r="Y87" s="152"/>
      <c r="Z87" s="152"/>
      <c r="AA87" s="12"/>
      <c r="AB87" s="139"/>
      <c r="AC87" s="139"/>
      <c r="AD87" s="139"/>
      <c r="AE87" s="139"/>
      <c r="AF87" s="140"/>
      <c r="AG87" s="140"/>
      <c r="AH87" s="139"/>
      <c r="AI87" s="139"/>
      <c r="AJ87" s="139"/>
      <c r="AK87" s="139"/>
      <c r="AL87" s="140"/>
      <c r="AN87" s="139"/>
      <c r="AO87" s="139"/>
      <c r="AP87" s="139"/>
      <c r="AQ87" s="139"/>
      <c r="AR87" s="140"/>
    </row>
    <row r="88" spans="1:49" ht="12.75" x14ac:dyDescent="0.2">
      <c r="A88" t="s">
        <v>256</v>
      </c>
      <c r="C88" s="67"/>
      <c r="D88" s="124"/>
      <c r="E88" s="95"/>
      <c r="F88" s="95"/>
      <c r="G88" s="95"/>
      <c r="H88" s="95"/>
      <c r="L88" s="214"/>
      <c r="M88" s="214"/>
      <c r="N88" s="124"/>
      <c r="O88" s="95"/>
      <c r="P88" s="95"/>
      <c r="Q88" s="45"/>
      <c r="R88" s="45"/>
      <c r="V88" s="30"/>
      <c r="W88" s="122"/>
      <c r="X88" s="122"/>
      <c r="Y88" s="152"/>
      <c r="Z88" s="152"/>
      <c r="AA88" s="12"/>
      <c r="AB88" s="139"/>
      <c r="AC88" s="139"/>
      <c r="AD88" s="139"/>
      <c r="AE88" s="139"/>
      <c r="AF88" s="140"/>
      <c r="AG88" s="140"/>
      <c r="AH88" s="139"/>
      <c r="AI88" s="139"/>
      <c r="AJ88" s="139"/>
      <c r="AK88" s="139"/>
      <c r="AL88" s="140"/>
      <c r="AN88" s="139"/>
      <c r="AO88" s="139"/>
      <c r="AP88" s="139"/>
      <c r="AQ88" s="139"/>
      <c r="AR88" s="140"/>
    </row>
    <row r="89" spans="1:49" ht="12.75" x14ac:dyDescent="0.2">
      <c r="A89" s="221" t="s">
        <v>259</v>
      </c>
      <c r="C89" s="67"/>
      <c r="D89" s="124"/>
      <c r="E89" s="95"/>
      <c r="F89" s="95"/>
      <c r="G89" s="95"/>
      <c r="H89" s="95"/>
      <c r="L89" s="214"/>
      <c r="M89" s="214"/>
      <c r="N89" s="124"/>
      <c r="O89" s="95"/>
      <c r="P89" s="95"/>
      <c r="Q89" s="45"/>
      <c r="R89" s="45"/>
      <c r="V89" s="30"/>
      <c r="W89" s="122"/>
      <c r="X89" s="122"/>
      <c r="Y89" s="152"/>
      <c r="Z89" s="152"/>
      <c r="AA89" s="12"/>
      <c r="AB89" s="139"/>
      <c r="AC89" s="139"/>
      <c r="AD89" s="139"/>
      <c r="AE89" s="139"/>
      <c r="AF89" s="140"/>
      <c r="AG89" s="140"/>
      <c r="AH89" s="139"/>
      <c r="AI89" s="139"/>
      <c r="AJ89" s="139"/>
      <c r="AK89" s="139"/>
      <c r="AL89" s="140"/>
      <c r="AN89" s="139"/>
      <c r="AO89" s="139"/>
      <c r="AP89" s="139"/>
      <c r="AQ89" s="139"/>
      <c r="AR89" s="140"/>
    </row>
    <row r="90" spans="1:49" ht="12.75" x14ac:dyDescent="0.2">
      <c r="A90" s="189" t="s">
        <v>266</v>
      </c>
      <c r="B90" s="40">
        <v>100</v>
      </c>
      <c r="C90" s="55">
        <v>0.04</v>
      </c>
      <c r="D90" s="129">
        <v>0.05</v>
      </c>
      <c r="E90" s="125">
        <v>0.08</v>
      </c>
      <c r="F90" s="125"/>
      <c r="G90" s="125">
        <v>0.01</v>
      </c>
      <c r="H90" s="125"/>
      <c r="I90" s="35"/>
      <c r="J90" s="35"/>
      <c r="K90" s="35"/>
      <c r="L90" s="218"/>
      <c r="M90" s="218"/>
      <c r="N90" s="129"/>
      <c r="O90" s="125"/>
      <c r="P90" s="125"/>
      <c r="Q90" s="47"/>
      <c r="R90" s="47"/>
      <c r="S90" s="35"/>
      <c r="T90" s="35"/>
      <c r="U90" s="35"/>
      <c r="V90" s="43"/>
      <c r="W90" s="126"/>
      <c r="X90" s="126"/>
      <c r="Y90" s="153"/>
      <c r="Z90" s="153"/>
      <c r="AA90" s="41"/>
      <c r="AB90" s="126">
        <f>AB83</f>
        <v>100</v>
      </c>
      <c r="AC90" s="43">
        <f>AC83</f>
        <v>0.5</v>
      </c>
      <c r="AD90" s="128">
        <f>AD83</f>
        <v>50</v>
      </c>
      <c r="AE90" s="128">
        <f>AB90 * (1 + D90) / (1 - G90)</f>
        <v>106.06060606060606</v>
      </c>
      <c r="AF90" s="129">
        <f>(B90 - AE90) / AE90</f>
        <v>-5.7142857142857155E-2</v>
      </c>
      <c r="AG90" s="43"/>
      <c r="AH90" s="126">
        <f>AH83</f>
        <v>100</v>
      </c>
      <c r="AI90" s="43">
        <f>AI83</f>
        <v>0.3</v>
      </c>
      <c r="AJ90" s="128">
        <f>AJ83</f>
        <v>30</v>
      </c>
      <c r="AK90" s="128">
        <f>AK83</f>
        <v>109.09090909090909</v>
      </c>
      <c r="AL90" s="129">
        <f>AL83</f>
        <v>-8.3333333333333356E-2</v>
      </c>
      <c r="AM90" s="35"/>
      <c r="AN90" s="220"/>
      <c r="AO90" s="220"/>
      <c r="AP90" s="220"/>
      <c r="AQ90" s="220"/>
      <c r="AR90" s="170"/>
      <c r="AS90" s="35"/>
      <c r="AT90" s="39">
        <f>AC90+AI90+AO90</f>
        <v>0.8</v>
      </c>
      <c r="AU90" s="39">
        <f>AC90</f>
        <v>0.5</v>
      </c>
      <c r="AV90" s="39">
        <f>AI90</f>
        <v>0.3</v>
      </c>
      <c r="AW90" s="35"/>
    </row>
    <row r="91" spans="1:49" ht="12.75" x14ac:dyDescent="0.2">
      <c r="A91" s="150"/>
      <c r="B91" s="33"/>
      <c r="C91" s="67"/>
      <c r="D91" s="124"/>
      <c r="E91" s="95"/>
      <c r="F91" s="95"/>
      <c r="G91" s="95"/>
      <c r="H91" s="95"/>
      <c r="L91" s="214"/>
      <c r="M91" s="214"/>
      <c r="N91" s="124"/>
      <c r="O91" s="95"/>
      <c r="P91" s="95"/>
      <c r="Q91" s="45"/>
      <c r="R91" s="45"/>
      <c r="V91" s="30"/>
      <c r="W91" s="122"/>
      <c r="X91" s="122"/>
      <c r="Y91" s="152"/>
      <c r="Z91" s="152"/>
      <c r="AA91" s="12"/>
      <c r="AB91" s="139"/>
      <c r="AC91" s="139"/>
      <c r="AD91" s="139"/>
      <c r="AE91" s="139"/>
      <c r="AF91" s="140"/>
      <c r="AG91" s="140"/>
      <c r="AH91" s="139"/>
      <c r="AI91" s="139"/>
      <c r="AJ91" s="139"/>
      <c r="AK91" s="139"/>
      <c r="AL91" s="140"/>
      <c r="AN91" s="139"/>
      <c r="AO91" s="139"/>
      <c r="AP91" s="139"/>
      <c r="AQ91" s="139"/>
      <c r="AR91" s="140"/>
    </row>
    <row r="92" spans="1:49" ht="12.75" x14ac:dyDescent="0.2">
      <c r="A92" s="150"/>
      <c r="B92" s="33"/>
      <c r="C92" s="67"/>
      <c r="D92" s="124"/>
      <c r="E92" s="95"/>
      <c r="F92" s="95"/>
      <c r="G92" s="95"/>
      <c r="H92" s="95"/>
      <c r="L92" s="214"/>
      <c r="M92" s="214"/>
      <c r="N92" s="124"/>
      <c r="O92" s="95"/>
      <c r="P92" s="95"/>
      <c r="Q92" s="45"/>
      <c r="R92" s="45"/>
      <c r="V92" s="30"/>
      <c r="W92" s="122"/>
      <c r="X92" s="122"/>
      <c r="Y92" s="152"/>
      <c r="Z92" s="152"/>
      <c r="AA92" s="12"/>
      <c r="AB92" s="139"/>
      <c r="AC92" s="139"/>
      <c r="AD92" s="139"/>
      <c r="AE92" s="139"/>
      <c r="AF92" s="140"/>
      <c r="AG92" s="140"/>
      <c r="AH92" s="139"/>
      <c r="AI92" s="139"/>
      <c r="AJ92" s="139"/>
      <c r="AK92" s="139"/>
      <c r="AL92" s="140"/>
      <c r="AN92" s="139"/>
      <c r="AO92" s="139"/>
      <c r="AP92" s="139"/>
      <c r="AQ92" s="139"/>
      <c r="AR92" s="140"/>
    </row>
    <row r="93" spans="1:49" ht="12.75" x14ac:dyDescent="0.2">
      <c r="A93" s="150"/>
      <c r="B93" s="33"/>
      <c r="C93" s="67"/>
      <c r="D93" s="124"/>
      <c r="E93" s="95"/>
      <c r="F93" s="95"/>
      <c r="G93" s="95"/>
      <c r="H93" s="95"/>
      <c r="L93" s="214"/>
      <c r="M93" s="214"/>
      <c r="N93" s="124"/>
      <c r="O93" s="95"/>
      <c r="P93" s="95"/>
      <c r="Q93" s="45"/>
      <c r="R93" s="45"/>
      <c r="V93" s="30"/>
      <c r="W93" s="122"/>
      <c r="X93" s="122"/>
      <c r="Y93" s="152"/>
      <c r="Z93" s="152"/>
      <c r="AA93" s="12"/>
      <c r="AB93" s="139"/>
      <c r="AC93" s="139"/>
      <c r="AD93" s="139"/>
      <c r="AE93" s="139"/>
      <c r="AF93" s="140"/>
      <c r="AG93" s="140"/>
      <c r="AH93" s="139"/>
      <c r="AI93" s="139"/>
      <c r="AJ93" s="139"/>
      <c r="AK93" s="139"/>
      <c r="AL93" s="140"/>
      <c r="AN93" s="139"/>
      <c r="AO93" s="139"/>
      <c r="AP93" s="139"/>
      <c r="AQ93" s="139"/>
      <c r="AR93" s="140"/>
    </row>
    <row r="94" spans="1:49" ht="12.75" x14ac:dyDescent="0.2">
      <c r="A94" s="150"/>
      <c r="B94" s="33"/>
      <c r="C94" s="67"/>
      <c r="D94" s="124"/>
      <c r="E94" s="95"/>
      <c r="F94" s="95"/>
      <c r="G94" s="95"/>
      <c r="H94" s="95"/>
      <c r="L94" s="214"/>
      <c r="M94" s="214"/>
      <c r="N94" s="124"/>
      <c r="O94" s="95"/>
      <c r="P94" s="95"/>
      <c r="Q94" s="45"/>
      <c r="R94" s="45"/>
      <c r="V94" s="30"/>
      <c r="W94" s="122"/>
      <c r="X94" s="122"/>
      <c r="Y94" s="152"/>
      <c r="Z94" s="152"/>
      <c r="AA94" s="12"/>
      <c r="AB94" s="139"/>
      <c r="AC94" s="139"/>
      <c r="AD94" s="139"/>
      <c r="AE94" s="139"/>
      <c r="AF94" s="140"/>
      <c r="AG94" s="140"/>
      <c r="AH94" s="139"/>
      <c r="AI94" s="139"/>
      <c r="AJ94" s="139"/>
      <c r="AK94" s="139"/>
      <c r="AL94" s="140"/>
      <c r="AN94" s="139"/>
      <c r="AO94" s="139"/>
      <c r="AP94" s="139"/>
      <c r="AQ94" s="139"/>
      <c r="AR94" s="140"/>
    </row>
    <row r="95" spans="1:49" ht="12.75" x14ac:dyDescent="0.2">
      <c r="A95" s="150"/>
      <c r="B95" s="33"/>
      <c r="C95" s="67"/>
      <c r="D95" s="124"/>
      <c r="E95" s="95"/>
      <c r="F95" s="95"/>
      <c r="G95" s="95"/>
      <c r="H95" s="95"/>
      <c r="L95" s="214"/>
      <c r="M95" s="214"/>
      <c r="N95" s="124"/>
      <c r="O95" s="95"/>
      <c r="P95" s="95"/>
      <c r="Q95" s="45"/>
      <c r="R95" s="45"/>
      <c r="V95" s="30"/>
      <c r="W95" s="122"/>
      <c r="X95" s="122"/>
      <c r="Y95" s="152"/>
      <c r="Z95" s="152"/>
      <c r="AA95" s="12"/>
      <c r="AB95" s="139"/>
      <c r="AC95" s="139"/>
      <c r="AD95" s="139"/>
      <c r="AE95" s="139"/>
      <c r="AF95" s="140"/>
      <c r="AG95" s="140"/>
      <c r="AH95" s="139"/>
      <c r="AI95" s="139"/>
      <c r="AJ95" s="139"/>
      <c r="AK95" s="139"/>
      <c r="AL95" s="140"/>
      <c r="AN95" s="139"/>
      <c r="AO95" s="139"/>
      <c r="AP95" s="139"/>
      <c r="AQ95" s="139"/>
      <c r="AR95" s="140"/>
    </row>
    <row r="96" spans="1:49" ht="12.75" x14ac:dyDescent="0.2">
      <c r="A96" s="150"/>
      <c r="B96" s="33"/>
      <c r="C96" s="67"/>
      <c r="D96" s="124"/>
      <c r="E96" s="95"/>
      <c r="F96" s="95"/>
      <c r="G96" s="95"/>
      <c r="H96" s="95"/>
      <c r="L96" s="214"/>
      <c r="M96" s="214"/>
      <c r="N96" s="124"/>
      <c r="O96" s="95"/>
      <c r="P96" s="95"/>
      <c r="Q96" s="45"/>
      <c r="R96" s="45"/>
      <c r="V96" s="30"/>
      <c r="W96" s="122"/>
      <c r="X96" s="122"/>
      <c r="Y96" s="152"/>
      <c r="Z96" s="152"/>
      <c r="AA96" s="12"/>
      <c r="AB96" s="139"/>
      <c r="AC96" s="139"/>
      <c r="AD96" s="139"/>
      <c r="AE96" s="139"/>
      <c r="AF96" s="140"/>
      <c r="AG96" s="140"/>
      <c r="AH96" s="139"/>
      <c r="AI96" s="139"/>
      <c r="AJ96" s="139"/>
      <c r="AK96" s="139"/>
      <c r="AL96" s="140"/>
      <c r="AN96" s="139"/>
      <c r="AO96" s="139"/>
      <c r="AP96" s="139"/>
      <c r="AQ96" s="139"/>
      <c r="AR96" s="140"/>
    </row>
    <row r="97" spans="1:63" ht="12.75" x14ac:dyDescent="0.2">
      <c r="A97" s="150"/>
      <c r="B97" s="33"/>
      <c r="C97" s="67"/>
      <c r="D97" s="124"/>
      <c r="E97" s="95"/>
      <c r="F97" s="95"/>
      <c r="G97" s="95"/>
      <c r="H97" s="95"/>
      <c r="L97" s="214"/>
      <c r="M97" s="214"/>
      <c r="N97" s="124"/>
      <c r="O97" s="95"/>
      <c r="P97" s="95"/>
      <c r="Q97" s="45"/>
      <c r="R97" s="45"/>
      <c r="V97" s="30"/>
      <c r="W97" s="122"/>
      <c r="X97" s="122"/>
      <c r="Y97" s="152"/>
      <c r="Z97" s="152"/>
      <c r="AA97" s="12"/>
      <c r="AB97" s="139"/>
      <c r="AC97" s="139"/>
      <c r="AD97" s="139"/>
      <c r="AE97" s="139"/>
      <c r="AF97" s="140"/>
      <c r="AG97" s="140"/>
      <c r="AH97" s="139"/>
      <c r="AI97" s="139"/>
      <c r="AJ97" s="139"/>
      <c r="AK97" s="139"/>
      <c r="AL97" s="140"/>
      <c r="AN97" s="139"/>
      <c r="AO97" s="139"/>
      <c r="AP97" s="139"/>
      <c r="AQ97" s="139"/>
      <c r="AR97" s="140"/>
    </row>
    <row r="98" spans="1:63" ht="12.75" x14ac:dyDescent="0.2">
      <c r="A98" s="150"/>
      <c r="B98" s="33"/>
      <c r="C98" s="67"/>
      <c r="D98" s="124"/>
      <c r="E98" s="95"/>
      <c r="F98" s="95"/>
      <c r="G98" s="95"/>
      <c r="H98" s="95"/>
      <c r="L98" s="214"/>
      <c r="M98" s="214"/>
      <c r="N98" s="124"/>
      <c r="O98" s="95"/>
      <c r="P98" s="95"/>
      <c r="Q98" s="45"/>
      <c r="R98" s="45"/>
      <c r="V98" s="30"/>
      <c r="W98" s="122"/>
      <c r="X98" s="122"/>
      <c r="Y98" s="152"/>
      <c r="Z98" s="152"/>
      <c r="AA98" s="12"/>
      <c r="AB98" s="139"/>
      <c r="AC98" s="139"/>
      <c r="AD98" s="139"/>
      <c r="AE98" s="139"/>
      <c r="AF98" s="140"/>
      <c r="AG98" s="140"/>
      <c r="AH98" s="139"/>
      <c r="AI98" s="139"/>
      <c r="AJ98" s="139"/>
      <c r="AK98" s="139"/>
      <c r="AL98" s="140"/>
      <c r="AN98" s="139"/>
      <c r="AO98" s="139"/>
      <c r="AP98" s="139"/>
      <c r="AQ98" s="139"/>
      <c r="AR98" s="140"/>
    </row>
    <row r="99" spans="1:63" ht="12.75" x14ac:dyDescent="0.2">
      <c r="A99" s="150"/>
      <c r="B99" s="33"/>
      <c r="C99" s="67"/>
      <c r="D99" s="124"/>
      <c r="E99" s="95"/>
      <c r="F99" s="95"/>
      <c r="G99" s="95"/>
      <c r="H99" s="95"/>
      <c r="L99" s="214"/>
      <c r="M99" s="214"/>
      <c r="N99" s="124"/>
      <c r="O99" s="95"/>
      <c r="P99" s="95"/>
      <c r="R99" s="45"/>
      <c r="S99" s="45"/>
      <c r="T99" s="131"/>
      <c r="U99" s="122"/>
      <c r="V99" s="30"/>
      <c r="W99" s="122"/>
      <c r="X99" s="122"/>
      <c r="Y99" s="152"/>
      <c r="Z99" s="152"/>
      <c r="AA99" s="12"/>
      <c r="AB99" s="139"/>
      <c r="AC99" s="139"/>
      <c r="AD99" s="139"/>
      <c r="AE99" s="139"/>
      <c r="AF99" s="140"/>
      <c r="AG99" s="140"/>
      <c r="AH99" s="139"/>
      <c r="AI99" s="139"/>
      <c r="AJ99" s="139"/>
      <c r="AK99" s="139"/>
      <c r="AL99" s="140"/>
      <c r="AN99" s="139"/>
      <c r="AO99" s="139"/>
      <c r="AP99" s="139"/>
      <c r="AQ99" s="139"/>
      <c r="AR99" s="140"/>
    </row>
    <row r="100" spans="1:63" ht="12.75" x14ac:dyDescent="0.2">
      <c r="A100" s="150"/>
      <c r="B100" s="33"/>
      <c r="C100" s="67"/>
      <c r="D100" s="124"/>
      <c r="E100" s="95"/>
      <c r="F100" s="95"/>
      <c r="G100" s="95"/>
      <c r="H100" s="95"/>
      <c r="I100" t="s">
        <v>257</v>
      </c>
      <c r="L100" s="214"/>
      <c r="M100" s="214"/>
      <c r="N100" s="124"/>
      <c r="O100" s="95"/>
      <c r="P100" s="95"/>
      <c r="R100" s="45"/>
      <c r="S100" s="45"/>
      <c r="T100" s="131"/>
      <c r="U100" s="122"/>
      <c r="V100" s="30"/>
      <c r="W100" s="122"/>
      <c r="X100" s="122"/>
      <c r="Y100" s="152"/>
      <c r="Z100" s="152"/>
      <c r="AA100" s="12"/>
      <c r="AB100" s="139"/>
      <c r="AC100" s="139"/>
      <c r="AD100" s="139"/>
      <c r="AE100" s="139"/>
      <c r="AF100" s="140"/>
      <c r="AG100" s="140"/>
      <c r="AH100" s="139"/>
      <c r="AI100" s="139"/>
      <c r="AJ100" s="139"/>
      <c r="AK100" s="139"/>
      <c r="AL100" s="140"/>
      <c r="AN100" s="139"/>
      <c r="AO100" s="139"/>
      <c r="AP100" s="139"/>
      <c r="AQ100" s="139"/>
      <c r="AR100" s="140"/>
    </row>
    <row r="101" spans="1:63" ht="38.25" x14ac:dyDescent="0.2">
      <c r="A101" s="150" t="s">
        <v>250</v>
      </c>
      <c r="B101" s="33"/>
      <c r="C101" s="67"/>
      <c r="D101" s="124"/>
      <c r="E101" s="95"/>
      <c r="F101" s="95"/>
      <c r="G101" s="95"/>
      <c r="H101" s="95"/>
      <c r="I101" t="s">
        <v>258</v>
      </c>
      <c r="L101" s="214"/>
      <c r="M101" s="214"/>
      <c r="N101" s="124"/>
      <c r="O101" s="95"/>
      <c r="P101" s="95"/>
      <c r="R101" s="45"/>
      <c r="S101" s="45"/>
      <c r="T101" s="131"/>
      <c r="U101" s="122"/>
      <c r="V101" s="30"/>
      <c r="W101" s="122"/>
      <c r="X101" s="122"/>
      <c r="Y101" s="152"/>
      <c r="Z101" s="152"/>
      <c r="AA101" s="12"/>
      <c r="AB101" s="139"/>
      <c r="AC101" s="139"/>
      <c r="AD101" s="139"/>
      <c r="AE101" s="139"/>
      <c r="AF101" s="140"/>
      <c r="AG101" s="140"/>
      <c r="AH101" s="139"/>
      <c r="AI101" s="139"/>
      <c r="AJ101" s="139"/>
      <c r="AK101" s="139"/>
      <c r="AL101" s="140"/>
      <c r="AN101" s="139"/>
      <c r="AO101" s="139"/>
      <c r="AP101" s="139"/>
      <c r="AQ101" s="139"/>
      <c r="AR101" s="140"/>
    </row>
    <row r="102" spans="1:63" ht="25.5" x14ac:dyDescent="0.2">
      <c r="A102" s="150" t="s">
        <v>240</v>
      </c>
      <c r="B102" s="33"/>
      <c r="C102" s="67"/>
      <c r="D102" s="124"/>
      <c r="E102" s="95"/>
      <c r="F102" s="95"/>
      <c r="G102" s="95"/>
      <c r="H102" s="95"/>
      <c r="I102" t="s">
        <v>255</v>
      </c>
      <c r="L102" s="93"/>
      <c r="M102" s="93"/>
      <c r="N102" s="124"/>
      <c r="O102" s="95"/>
      <c r="P102" s="95"/>
      <c r="R102" s="12"/>
      <c r="S102" s="12"/>
      <c r="T102" s="12"/>
      <c r="U102" s="137"/>
      <c r="V102" s="138"/>
      <c r="W102" s="137"/>
      <c r="X102" s="137"/>
      <c r="Y102" s="12"/>
      <c r="Z102" s="12"/>
      <c r="AA102" s="12"/>
      <c r="AB102" s="139"/>
      <c r="AC102" s="139"/>
      <c r="AD102" s="139"/>
      <c r="AE102" s="139"/>
      <c r="AF102" s="140"/>
      <c r="AG102" s="140"/>
      <c r="AH102" s="139"/>
      <c r="AI102" s="139"/>
      <c r="AJ102" s="139"/>
      <c r="AK102" s="139"/>
      <c r="AL102" s="140"/>
      <c r="AN102" s="139"/>
      <c r="AO102" s="139"/>
      <c r="AP102" s="139"/>
      <c r="AQ102" s="139"/>
      <c r="AR102" s="140"/>
    </row>
    <row r="103" spans="1:63" ht="12.75" x14ac:dyDescent="0.2">
      <c r="A103" s="45" t="s">
        <v>234</v>
      </c>
      <c r="B103" s="33"/>
      <c r="C103" s="67"/>
      <c r="D103" s="124"/>
      <c r="E103" s="95"/>
      <c r="F103" s="95"/>
      <c r="G103" s="95"/>
      <c r="H103" s="95"/>
      <c r="I103" t="s">
        <v>256</v>
      </c>
      <c r="L103" s="33"/>
      <c r="M103" s="33"/>
      <c r="N103" s="124"/>
      <c r="O103" s="95"/>
      <c r="P103" s="95"/>
      <c r="R103" s="12"/>
      <c r="S103" s="12"/>
      <c r="T103" s="12"/>
      <c r="U103" s="137"/>
      <c r="V103" s="138"/>
      <c r="W103" s="137"/>
      <c r="X103" s="137"/>
      <c r="Y103" s="12"/>
      <c r="Z103" s="12"/>
      <c r="AA103" s="12"/>
      <c r="AB103" s="139"/>
      <c r="AC103" s="139"/>
      <c r="AD103" s="139"/>
      <c r="AE103" s="139"/>
      <c r="AF103" s="140"/>
      <c r="AG103" s="140"/>
      <c r="AH103" s="139"/>
      <c r="AI103" s="139"/>
      <c r="AJ103" s="139"/>
      <c r="AK103" s="139"/>
      <c r="AL103" s="140"/>
      <c r="AN103" s="139"/>
      <c r="AO103" s="139"/>
      <c r="AP103" s="139"/>
      <c r="AQ103" s="139"/>
      <c r="AR103" s="140"/>
    </row>
    <row r="104" spans="1:63" ht="12.75" x14ac:dyDescent="0.2">
      <c r="A104" s="45" t="s">
        <v>235</v>
      </c>
      <c r="I104" t="s">
        <v>259</v>
      </c>
      <c r="R104" s="12"/>
      <c r="S104" s="12"/>
      <c r="T104" s="12"/>
      <c r="U104" s="12"/>
      <c r="V104" s="12"/>
      <c r="W104" s="12"/>
      <c r="X104" s="12"/>
      <c r="Y104" s="12"/>
      <c r="Z104" s="12"/>
      <c r="AA104" s="12"/>
      <c r="AB104" s="13"/>
      <c r="AC104" s="13"/>
      <c r="AD104" s="13"/>
      <c r="AE104" s="13"/>
      <c r="AF104" s="30"/>
      <c r="AG104" s="30"/>
      <c r="AH104" s="13"/>
      <c r="AI104" s="13"/>
      <c r="AJ104" s="13"/>
      <c r="AK104" s="13"/>
      <c r="AL104" s="30"/>
      <c r="AN104" s="13"/>
      <c r="AO104" s="13"/>
      <c r="AP104" s="13"/>
      <c r="AQ104" s="13"/>
      <c r="AR104" s="30"/>
    </row>
    <row r="105" spans="1:63" ht="12.75" x14ac:dyDescent="0.2">
      <c r="A105" s="45" t="s">
        <v>70</v>
      </c>
      <c r="R105" s="12"/>
      <c r="S105" s="12"/>
      <c r="T105" s="12"/>
      <c r="U105" s="12"/>
      <c r="V105" s="12"/>
      <c r="W105" s="12"/>
      <c r="X105" s="12"/>
      <c r="Y105" s="12"/>
      <c r="Z105" s="12"/>
      <c r="AA105" s="12"/>
      <c r="AB105" s="13"/>
      <c r="AC105" s="13"/>
      <c r="AD105" s="13"/>
      <c r="AE105" s="13"/>
      <c r="AF105" s="30"/>
      <c r="AG105" s="30"/>
      <c r="AH105" s="13"/>
      <c r="AI105" s="13"/>
      <c r="AJ105" s="13"/>
      <c r="AK105" s="13"/>
      <c r="AL105" s="30"/>
      <c r="AN105" s="13"/>
      <c r="AO105" s="13"/>
      <c r="AP105" s="13"/>
      <c r="AQ105" s="13"/>
      <c r="AR105" s="30"/>
    </row>
    <row r="106" spans="1:63" ht="15.75" customHeight="1" x14ac:dyDescent="0.2">
      <c r="A106" s="45" t="s">
        <v>239</v>
      </c>
    </row>
    <row r="107" spans="1:63" ht="15.75" customHeight="1" x14ac:dyDescent="0.2">
      <c r="B107" s="185" t="s">
        <v>31</v>
      </c>
      <c r="C107" s="34"/>
      <c r="AB107" s="56" t="s">
        <v>27</v>
      </c>
      <c r="AC107" s="12"/>
      <c r="AD107" s="12"/>
      <c r="AE107" s="12"/>
      <c r="AF107" s="12"/>
      <c r="AG107" s="12"/>
      <c r="AH107" s="56" t="s">
        <v>28</v>
      </c>
      <c r="AI107" s="12"/>
      <c r="AJ107" s="12"/>
      <c r="AK107" s="12"/>
      <c r="AL107" s="12"/>
      <c r="AR107" s="34" t="s">
        <v>52</v>
      </c>
      <c r="AX107" s="34" t="s">
        <v>53</v>
      </c>
      <c r="BE107" s="34" t="s">
        <v>65</v>
      </c>
    </row>
    <row r="108" spans="1:63" ht="15.75" customHeight="1" x14ac:dyDescent="0.2">
      <c r="B108" s="28" t="s">
        <v>61</v>
      </c>
      <c r="C108" s="28"/>
      <c r="D108" s="28" t="s">
        <v>29</v>
      </c>
      <c r="E108" s="57" t="s">
        <v>63</v>
      </c>
      <c r="F108" s="57" t="s">
        <v>72</v>
      </c>
      <c r="G108" s="57"/>
      <c r="H108" s="57"/>
      <c r="I108" s="101"/>
      <c r="J108" s="101"/>
      <c r="K108" s="101"/>
      <c r="L108" s="101"/>
      <c r="M108" s="101"/>
      <c r="N108" s="101"/>
      <c r="O108" s="101"/>
      <c r="P108" s="101"/>
      <c r="R108" s="28" t="s">
        <v>3</v>
      </c>
      <c r="S108" s="28"/>
      <c r="T108" s="57" t="s">
        <v>50</v>
      </c>
      <c r="U108" s="57" t="s">
        <v>70</v>
      </c>
      <c r="V108" s="28" t="s">
        <v>1</v>
      </c>
      <c r="W108" s="57" t="s">
        <v>62</v>
      </c>
      <c r="X108" s="57" t="s">
        <v>9</v>
      </c>
      <c r="Y108" s="57"/>
      <c r="AB108" s="28" t="s">
        <v>30</v>
      </c>
      <c r="AC108" s="28" t="s">
        <v>1</v>
      </c>
      <c r="AD108" s="57" t="s">
        <v>10</v>
      </c>
      <c r="AE108" s="57"/>
      <c r="AF108" s="57" t="s">
        <v>64</v>
      </c>
      <c r="AG108" s="60"/>
      <c r="AH108" s="28" t="s">
        <v>30</v>
      </c>
      <c r="AI108" s="28" t="s">
        <v>1</v>
      </c>
      <c r="AJ108" s="57" t="s">
        <v>10</v>
      </c>
      <c r="AK108" s="57"/>
      <c r="AL108" s="57" t="s">
        <v>64</v>
      </c>
      <c r="AM108" s="28" t="s">
        <v>58</v>
      </c>
      <c r="AN108" s="28"/>
      <c r="AO108" s="28" t="s">
        <v>59</v>
      </c>
      <c r="AP108" s="28" t="s">
        <v>60</v>
      </c>
      <c r="AR108" s="61" t="s">
        <v>54</v>
      </c>
      <c r="AS108" s="61" t="s">
        <v>57</v>
      </c>
      <c r="AT108" s="61" t="s">
        <v>55</v>
      </c>
      <c r="AU108" s="61" t="s">
        <v>57</v>
      </c>
      <c r="AV108" s="61" t="s">
        <v>56</v>
      </c>
      <c r="AW108" s="61" t="s">
        <v>57</v>
      </c>
      <c r="AX108" s="28" t="s">
        <v>54</v>
      </c>
      <c r="AY108" s="28" t="s">
        <v>57</v>
      </c>
      <c r="AZ108" s="28" t="s">
        <v>55</v>
      </c>
      <c r="BA108" s="28" t="s">
        <v>57</v>
      </c>
      <c r="BB108" s="28" t="s">
        <v>56</v>
      </c>
      <c r="BC108" s="28" t="s">
        <v>57</v>
      </c>
      <c r="BD108" s="60"/>
      <c r="BE108" s="61" t="s">
        <v>54</v>
      </c>
      <c r="BF108" s="61" t="s">
        <v>57</v>
      </c>
      <c r="BG108" s="61" t="s">
        <v>55</v>
      </c>
      <c r="BH108" s="61" t="s">
        <v>57</v>
      </c>
      <c r="BI108" s="61" t="s">
        <v>66</v>
      </c>
      <c r="BJ108" s="61" t="s">
        <v>56</v>
      </c>
      <c r="BK108" s="61" t="s">
        <v>57</v>
      </c>
    </row>
    <row r="109" spans="1:63" ht="15.75" customHeight="1" x14ac:dyDescent="0.2">
      <c r="B109" s="33">
        <v>100</v>
      </c>
      <c r="C109" s="33"/>
      <c r="D109" s="29">
        <v>0.7</v>
      </c>
      <c r="E109" s="50">
        <v>5</v>
      </c>
      <c r="F109">
        <v>10</v>
      </c>
      <c r="R109" s="12" t="s">
        <v>32</v>
      </c>
      <c r="S109" s="12"/>
      <c r="T109" s="13"/>
      <c r="U109" s="13"/>
      <c r="V109" s="13">
        <v>200</v>
      </c>
      <c r="W109" s="58" t="e">
        <f>V109/#REF!</f>
        <v>#REF!</v>
      </c>
      <c r="X109" s="58"/>
      <c r="Y109" s="58"/>
      <c r="AB109" s="31" t="e">
        <f>#REF!</f>
        <v>#REF!</v>
      </c>
      <c r="AC109" s="31">
        <f>V109*D109</f>
        <v>140</v>
      </c>
      <c r="AD109" s="63" t="e">
        <f>(#REF!+(#REF!*(F109/100)))/(1-#REF!/100)</f>
        <v>#REF!</v>
      </c>
      <c r="AE109" s="63"/>
      <c r="AF109" s="32" t="e">
        <f>AC109/AB109</f>
        <v>#REF!</v>
      </c>
      <c r="AG109" s="32"/>
      <c r="AH109" s="31" t="e">
        <f>#REF!</f>
        <v>#REF!</v>
      </c>
      <c r="AI109" s="31">
        <f>V109*(1-D109)</f>
        <v>60.000000000000007</v>
      </c>
      <c r="AJ109" s="63" t="e">
        <f>(#REF!+(#REF!*(F109/100)))/(1-#REF!/100)</f>
        <v>#REF!</v>
      </c>
      <c r="AK109" s="63"/>
      <c r="AL109" s="32" t="e">
        <f>AI109/AH109</f>
        <v>#REF!</v>
      </c>
      <c r="AM109" s="32" t="e">
        <f>AF109</f>
        <v>#REF!</v>
      </c>
      <c r="AN109" s="32"/>
      <c r="AO109" s="32" t="e">
        <f>AL109</f>
        <v>#REF!</v>
      </c>
      <c r="AP109" s="32" t="e">
        <f>AM109+AO109</f>
        <v>#REF!</v>
      </c>
      <c r="AR109" s="52">
        <v>0</v>
      </c>
      <c r="AS109" s="50">
        <v>0</v>
      </c>
      <c r="AT109" s="52">
        <v>0</v>
      </c>
      <c r="AU109" s="50">
        <v>0</v>
      </c>
      <c r="AV109" s="52">
        <v>0</v>
      </c>
      <c r="AW109" s="54">
        <v>0</v>
      </c>
      <c r="AX109" s="52">
        <v>0</v>
      </c>
      <c r="AY109" s="50">
        <v>0</v>
      </c>
      <c r="AZ109" s="52">
        <v>0</v>
      </c>
      <c r="BA109" s="50">
        <v>0</v>
      </c>
      <c r="BB109" s="52">
        <v>0</v>
      </c>
      <c r="BC109" s="50">
        <v>0</v>
      </c>
      <c r="BD109" s="50"/>
      <c r="BE109" s="52">
        <v>0</v>
      </c>
      <c r="BF109" s="50">
        <v>0</v>
      </c>
      <c r="BG109" s="52">
        <v>0</v>
      </c>
      <c r="BH109" s="50">
        <v>0</v>
      </c>
      <c r="BI109" s="52">
        <v>0</v>
      </c>
      <c r="BJ109" s="52">
        <v>0</v>
      </c>
      <c r="BK109" s="50">
        <v>0</v>
      </c>
    </row>
    <row r="110" spans="1:63" ht="15.75" customHeight="1" x14ac:dyDescent="0.2">
      <c r="B110" s="36">
        <v>100</v>
      </c>
      <c r="C110" s="36"/>
      <c r="D110" s="37">
        <v>0.7</v>
      </c>
      <c r="E110" s="51">
        <v>5</v>
      </c>
      <c r="F110" s="35">
        <v>10</v>
      </c>
      <c r="G110" s="35"/>
      <c r="H110" s="35"/>
      <c r="R110" s="41" t="s">
        <v>51</v>
      </c>
      <c r="S110" s="41"/>
      <c r="T110" s="42">
        <v>20</v>
      </c>
      <c r="U110" s="42"/>
      <c r="V110" s="42"/>
      <c r="W110" s="59"/>
      <c r="X110" s="59"/>
      <c r="Y110" s="59"/>
      <c r="AB110" s="38"/>
      <c r="AC110" s="38"/>
      <c r="AD110" s="65"/>
      <c r="AE110" s="65"/>
      <c r="AF110" s="39"/>
      <c r="AG110" s="32"/>
      <c r="AH110" s="38"/>
      <c r="AI110" s="38"/>
      <c r="AJ110" s="38"/>
      <c r="AK110" s="38"/>
      <c r="AL110" s="39"/>
      <c r="AM110" s="39" t="e">
        <f t="shared" ref="AM110:AP110" si="21">AM109</f>
        <v>#REF!</v>
      </c>
      <c r="AN110" s="39"/>
      <c r="AO110" s="39" t="e">
        <f t="shared" si="21"/>
        <v>#REF!</v>
      </c>
      <c r="AP110" s="39" t="e">
        <f t="shared" si="21"/>
        <v>#REF!</v>
      </c>
      <c r="AR110" s="40">
        <f>AR109</f>
        <v>0</v>
      </c>
      <c r="AS110" s="51">
        <f t="shared" ref="AS110:AU110" si="22">AS109</f>
        <v>0</v>
      </c>
      <c r="AT110" s="40">
        <f t="shared" si="22"/>
        <v>0</v>
      </c>
      <c r="AU110" s="51">
        <f t="shared" si="22"/>
        <v>0</v>
      </c>
      <c r="AV110" s="40">
        <f>AV109</f>
        <v>0</v>
      </c>
      <c r="AW110" s="55">
        <f>AV110/V109</f>
        <v>0</v>
      </c>
      <c r="AX110" s="40">
        <f>AX109</f>
        <v>0</v>
      </c>
      <c r="AY110" s="51">
        <f t="shared" ref="AY110" si="23">AY109</f>
        <v>0</v>
      </c>
      <c r="AZ110" s="40">
        <f t="shared" ref="AZ110" si="24">AZ109</f>
        <v>0</v>
      </c>
      <c r="BA110" s="51">
        <f t="shared" ref="BA110" si="25">BA109</f>
        <v>0</v>
      </c>
      <c r="BB110" s="40">
        <f>BB109</f>
        <v>0</v>
      </c>
      <c r="BC110" s="51">
        <f t="shared" ref="BC110" si="26">BC109</f>
        <v>0</v>
      </c>
      <c r="BD110" s="50"/>
      <c r="BE110" s="40">
        <f>AR110+AX110</f>
        <v>0</v>
      </c>
      <c r="BF110" s="51">
        <f t="shared" ref="BF110" si="27">BF109</f>
        <v>0</v>
      </c>
      <c r="BG110" s="40">
        <f t="shared" ref="BG110" si="28">BG109</f>
        <v>0</v>
      </c>
      <c r="BH110" s="51">
        <f t="shared" ref="BH110" si="29">BH109</f>
        <v>0</v>
      </c>
      <c r="BI110" s="65">
        <f>T110</f>
        <v>20</v>
      </c>
      <c r="BJ110" s="65">
        <f>BE110+BG110+BI110</f>
        <v>20</v>
      </c>
      <c r="BK110" s="55">
        <f>BJ110/(AC109+AI109)</f>
        <v>0.1</v>
      </c>
    </row>
    <row r="111" spans="1:63" ht="15.75" customHeight="1" x14ac:dyDescent="0.2">
      <c r="B111" s="33">
        <v>300</v>
      </c>
      <c r="C111" s="33"/>
      <c r="D111" s="29">
        <v>0.7</v>
      </c>
      <c r="E111" s="50">
        <v>5</v>
      </c>
      <c r="F111">
        <v>10</v>
      </c>
      <c r="R111" t="s">
        <v>33</v>
      </c>
      <c r="T111" s="33"/>
      <c r="U111" s="33"/>
      <c r="V111" s="33">
        <v>400</v>
      </c>
      <c r="W111" s="50" t="e">
        <f>V111/#REF!</f>
        <v>#REF!</v>
      </c>
      <c r="X111" s="50"/>
      <c r="Y111" s="50"/>
      <c r="AB111" s="31" t="e">
        <f>AB109</f>
        <v>#REF!</v>
      </c>
      <c r="AC111" s="31">
        <v>140</v>
      </c>
      <c r="AD111" s="63" t="e">
        <f>(#REF!+(#REF!*(F109/100)))/(1-#REF!/100)</f>
        <v>#REF!</v>
      </c>
      <c r="AE111" s="63"/>
      <c r="AF111" s="32">
        <v>1.4</v>
      </c>
      <c r="AG111" s="32"/>
      <c r="AH111" s="31">
        <v>100</v>
      </c>
      <c r="AI111" s="31">
        <v>60.000000000000007</v>
      </c>
      <c r="AJ111" s="63" t="e">
        <f>(#REF!+(#REF!*(F109/100)))/(1-#REF!/100)</f>
        <v>#REF!</v>
      </c>
      <c r="AK111" s="63"/>
      <c r="AL111" s="32">
        <v>0.60000000000000009</v>
      </c>
      <c r="AM111" s="32" t="e">
        <f>AM110+AF112</f>
        <v>#REF!</v>
      </c>
      <c r="AN111" s="32"/>
      <c r="AO111" s="32" t="e">
        <f>AO110</f>
        <v>#REF!</v>
      </c>
      <c r="AP111" s="32" t="e">
        <f>AM111+AO111</f>
        <v>#REF!</v>
      </c>
      <c r="AR111" s="52">
        <f>AR110</f>
        <v>0</v>
      </c>
      <c r="AS111" s="50">
        <f>AS110</f>
        <v>0</v>
      </c>
      <c r="AT111" s="52">
        <f>AT110</f>
        <v>0</v>
      </c>
      <c r="AU111" s="50">
        <f>AU110</f>
        <v>0</v>
      </c>
      <c r="AV111" s="52">
        <f>AV110</f>
        <v>0</v>
      </c>
      <c r="AW111" s="64">
        <f>AV111 / (V109+V111)</f>
        <v>0</v>
      </c>
      <c r="AX111" s="52" t="e">
        <f>(B111*AM111)-(AC111+AC112)</f>
        <v>#REF!</v>
      </c>
      <c r="AY111" s="54" t="e">
        <f>AX111/(AC111+AC112)</f>
        <v>#REF!</v>
      </c>
      <c r="AZ111" s="52" t="e">
        <f>(AO111*B111)-AI111</f>
        <v>#REF!</v>
      </c>
      <c r="BA111" s="53" t="e">
        <f>AZ111/(AH111*AL111)</f>
        <v>#REF!</v>
      </c>
      <c r="BB111" s="52" t="e">
        <f>AX111+AZ111</f>
        <v>#REF!</v>
      </c>
      <c r="BC111" s="62" t="e">
        <f>BB111/(AC111+AC112+AI111)</f>
        <v>#REF!</v>
      </c>
      <c r="BD111" s="62"/>
      <c r="BE111" s="52" t="e">
        <f>AR111+AX111</f>
        <v>#REF!</v>
      </c>
      <c r="BF111" s="54" t="e">
        <f>AY111</f>
        <v>#REF!</v>
      </c>
      <c r="BG111" s="52" t="e">
        <f>AT111+AZ111</f>
        <v>#REF!</v>
      </c>
      <c r="BH111" s="53" t="e">
        <f>BG111/AI111</f>
        <v>#REF!</v>
      </c>
      <c r="BI111" s="63">
        <f>BI110</f>
        <v>20</v>
      </c>
      <c r="BJ111" s="52" t="e">
        <f>BE111+BG111+BI111</f>
        <v>#REF!</v>
      </c>
      <c r="BK111" s="54" t="e">
        <f>BJ111/(AC111+AC112+AI111)</f>
        <v>#REF!</v>
      </c>
    </row>
    <row r="112" spans="1:63" ht="15.75" customHeight="1" x14ac:dyDescent="0.2">
      <c r="E112" s="50"/>
      <c r="W112" s="50"/>
      <c r="X112" s="50"/>
      <c r="Y112" s="50"/>
      <c r="AB112" s="31" t="e">
        <f>#REF!</f>
        <v>#REF!</v>
      </c>
      <c r="AC112" s="31">
        <f>V111</f>
        <v>400</v>
      </c>
      <c r="AD112" s="63" t="e">
        <f>(#REF!+(#REF!*(F111/100)))/(1-#REF!/100)</f>
        <v>#REF!</v>
      </c>
      <c r="AE112" s="63"/>
      <c r="AF112" s="32" t="e">
        <f>AC112/AB112</f>
        <v>#REF!</v>
      </c>
      <c r="AG112" s="32"/>
      <c r="AH112" s="49" t="s">
        <v>34</v>
      </c>
      <c r="AI112" s="49" t="s">
        <v>34</v>
      </c>
      <c r="AJ112" s="49" t="s">
        <v>34</v>
      </c>
      <c r="AK112" s="49"/>
      <c r="AL112" s="49" t="s">
        <v>34</v>
      </c>
      <c r="AS112" s="50"/>
      <c r="AU112" s="50"/>
      <c r="AW112" s="54"/>
      <c r="AX112" s="31"/>
      <c r="AY112" s="54"/>
      <c r="BA112" s="50"/>
      <c r="BC112" s="50"/>
      <c r="BD112" s="50"/>
      <c r="BF112" s="50"/>
      <c r="BH112" s="50"/>
      <c r="BI112" s="63"/>
      <c r="BK112" s="50"/>
    </row>
    <row r="113" spans="2:63" ht="15.75" customHeight="1" x14ac:dyDescent="0.2">
      <c r="B113" s="36">
        <v>910</v>
      </c>
      <c r="C113" s="36"/>
      <c r="D113" s="37">
        <v>0.7</v>
      </c>
      <c r="E113" s="51">
        <v>5</v>
      </c>
      <c r="F113" s="35">
        <v>10</v>
      </c>
      <c r="G113" s="35"/>
      <c r="H113" s="35"/>
      <c r="R113" s="35" t="s">
        <v>35</v>
      </c>
      <c r="S113" s="35"/>
      <c r="T113" s="36"/>
      <c r="U113" s="36"/>
      <c r="V113" s="36">
        <v>350</v>
      </c>
      <c r="W113" s="51" t="e">
        <f>V113/#REF!</f>
        <v>#REF!</v>
      </c>
      <c r="X113" s="51"/>
      <c r="Y113" s="51"/>
      <c r="AB113" s="38" t="e">
        <f>AB111</f>
        <v>#REF!</v>
      </c>
      <c r="AC113" s="38">
        <v>140</v>
      </c>
      <c r="AD113" s="65" t="e">
        <f>AD111</f>
        <v>#REF!</v>
      </c>
      <c r="AE113" s="65"/>
      <c r="AF113" s="39">
        <v>1.4</v>
      </c>
      <c r="AG113" s="32"/>
      <c r="AH113" s="38">
        <v>100</v>
      </c>
      <c r="AI113" s="38">
        <v>60.000000000000007</v>
      </c>
      <c r="AJ113" s="65" t="e">
        <f>AJ111</f>
        <v>#REF!</v>
      </c>
      <c r="AK113" s="65"/>
      <c r="AL113" s="39">
        <v>0.60000000000000009</v>
      </c>
      <c r="AM113" s="39" t="e">
        <f>AM111</f>
        <v>#REF!</v>
      </c>
      <c r="AN113" s="39"/>
      <c r="AO113" s="39" t="e">
        <f>AO111+AL114</f>
        <v>#REF!</v>
      </c>
      <c r="AP113" s="39" t="e">
        <f>AM113+AO113</f>
        <v>#REF!</v>
      </c>
      <c r="AR113" s="40">
        <f t="shared" ref="AR113:AW113" si="30">AR111</f>
        <v>0</v>
      </c>
      <c r="AS113" s="51">
        <f t="shared" si="30"/>
        <v>0</v>
      </c>
      <c r="AT113" s="40">
        <f t="shared" si="30"/>
        <v>0</v>
      </c>
      <c r="AU113" s="51">
        <f t="shared" si="30"/>
        <v>0</v>
      </c>
      <c r="AV113" s="40">
        <f t="shared" si="30"/>
        <v>0</v>
      </c>
      <c r="AW113" s="55">
        <f t="shared" si="30"/>
        <v>0</v>
      </c>
      <c r="AX113" s="40" t="e">
        <f>(B113*AM113)-(AC113+AC114)</f>
        <v>#REF!</v>
      </c>
      <c r="AY113" s="55" t="e">
        <f>AX113/(AC113+AC114)</f>
        <v>#REF!</v>
      </c>
      <c r="AZ113" s="40" t="e">
        <f>(AO113*B113)-(AI113+AI114)</f>
        <v>#REF!</v>
      </c>
      <c r="BA113" s="55" t="e">
        <f>AZ113/(AI113+AI114)</f>
        <v>#REF!</v>
      </c>
      <c r="BB113" s="40" t="e">
        <f>AX113+AZ113</f>
        <v>#REF!</v>
      </c>
      <c r="BC113" s="55" t="e">
        <f>BB113/(AC113+AC114+AI113+AI114)</f>
        <v>#REF!</v>
      </c>
      <c r="BD113" s="50"/>
      <c r="BE113" s="40" t="e">
        <f>AR113+AX113</f>
        <v>#REF!</v>
      </c>
      <c r="BF113" s="55" t="e">
        <f>AY113</f>
        <v>#REF!</v>
      </c>
      <c r="BG113" s="40" t="e">
        <f>AT113+AZ113</f>
        <v>#REF!</v>
      </c>
      <c r="BH113" s="55" t="e">
        <f>BG113/(AI113+AI114)</f>
        <v>#REF!</v>
      </c>
      <c r="BI113" s="65">
        <f>BI111</f>
        <v>20</v>
      </c>
      <c r="BJ113" s="40" t="e">
        <f>BE113+BG113+BI113</f>
        <v>#REF!</v>
      </c>
      <c r="BK113" s="55" t="e">
        <f>BJ113/(AC113+AC114+AI113+AI114)</f>
        <v>#REF!</v>
      </c>
    </row>
    <row r="114" spans="2:63" ht="15.75" customHeight="1" x14ac:dyDescent="0.2">
      <c r="B114" s="35"/>
      <c r="C114" s="35"/>
      <c r="D114" s="35"/>
      <c r="E114" s="51"/>
      <c r="F114" s="35"/>
      <c r="G114" s="35"/>
      <c r="H114" s="35"/>
      <c r="R114" s="35"/>
      <c r="S114" s="35"/>
      <c r="T114" s="35"/>
      <c r="U114" s="35"/>
      <c r="V114" s="35"/>
      <c r="W114" s="51"/>
      <c r="X114" s="51"/>
      <c r="Y114" s="51"/>
      <c r="AB114" s="38" t="e">
        <f>AB112</f>
        <v>#REF!</v>
      </c>
      <c r="AC114" s="38">
        <v>400</v>
      </c>
      <c r="AD114" s="65" t="e">
        <f>AD112</f>
        <v>#REF!</v>
      </c>
      <c r="AE114" s="65"/>
      <c r="AF114" s="39">
        <v>1.6</v>
      </c>
      <c r="AG114" s="32"/>
      <c r="AH114" s="36" t="e">
        <f>#REF!</f>
        <v>#REF!</v>
      </c>
      <c r="AI114" s="36">
        <f>V113</f>
        <v>350</v>
      </c>
      <c r="AJ114" s="65" t="e">
        <f>(#REF!+(#REF!*(F113/100)))/(1-#REF!/100)</f>
        <v>#REF!</v>
      </c>
      <c r="AK114" s="65"/>
      <c r="AL114" s="39" t="e">
        <f>AI114/AH114</f>
        <v>#REF!</v>
      </c>
      <c r="AS114" s="50"/>
      <c r="AU114" s="50"/>
      <c r="AW114" s="50"/>
      <c r="AY114" s="50"/>
      <c r="BA114" s="50"/>
      <c r="BC114" s="50"/>
      <c r="BD114" s="50"/>
      <c r="BF114" s="50"/>
      <c r="BH114" s="50"/>
      <c r="BI114" s="63"/>
      <c r="BK114" s="50"/>
    </row>
    <row r="115" spans="2:63" ht="15.75" customHeight="1" x14ac:dyDescent="0.2">
      <c r="B115" s="33">
        <v>910</v>
      </c>
      <c r="C115" s="33"/>
      <c r="D115" s="29">
        <v>0.7</v>
      </c>
      <c r="E115" s="50">
        <v>5</v>
      </c>
      <c r="F115">
        <v>10</v>
      </c>
      <c r="R115" t="s">
        <v>49</v>
      </c>
      <c r="T115" s="33">
        <v>10</v>
      </c>
      <c r="U115" s="33"/>
      <c r="W115" s="50"/>
      <c r="X115" s="50"/>
      <c r="Y115" s="50"/>
      <c r="AB115" s="31"/>
      <c r="AC115" s="31"/>
      <c r="AD115" s="31"/>
      <c r="AE115" s="31"/>
      <c r="AF115" s="31"/>
      <c r="AG115" s="31"/>
      <c r="AH115" s="33"/>
      <c r="AI115" s="33"/>
      <c r="AJ115" s="31"/>
      <c r="AK115" s="31"/>
      <c r="AL115" s="32"/>
      <c r="AM115" s="32" t="e">
        <f>AM113</f>
        <v>#REF!</v>
      </c>
      <c r="AN115" s="32"/>
      <c r="AO115" s="32" t="e">
        <f>AO113+AL116</f>
        <v>#REF!</v>
      </c>
      <c r="AP115" s="32" t="e">
        <f>AM115+AO115</f>
        <v>#REF!</v>
      </c>
      <c r="AR115" s="52">
        <f t="shared" ref="AR115:AW116" si="31">AR113</f>
        <v>0</v>
      </c>
      <c r="AS115" s="50">
        <f t="shared" si="31"/>
        <v>0</v>
      </c>
      <c r="AT115" s="52">
        <f t="shared" si="31"/>
        <v>0</v>
      </c>
      <c r="AU115" s="50">
        <f t="shared" si="31"/>
        <v>0</v>
      </c>
      <c r="AV115" s="52">
        <f t="shared" si="31"/>
        <v>0</v>
      </c>
      <c r="AW115" s="62">
        <f t="shared" si="31"/>
        <v>0</v>
      </c>
      <c r="AX115" s="52" t="e">
        <f t="shared" ref="AX115:BC115" si="32">AX113</f>
        <v>#REF!</v>
      </c>
      <c r="AY115" s="62" t="e">
        <f t="shared" si="32"/>
        <v>#REF!</v>
      </c>
      <c r="AZ115" s="52" t="e">
        <f t="shared" si="32"/>
        <v>#REF!</v>
      </c>
      <c r="BA115" s="62" t="e">
        <f t="shared" si="32"/>
        <v>#REF!</v>
      </c>
      <c r="BB115" s="52" t="e">
        <f t="shared" si="32"/>
        <v>#REF!</v>
      </c>
      <c r="BC115" s="62" t="e">
        <f t="shared" si="32"/>
        <v>#REF!</v>
      </c>
      <c r="BD115" s="50"/>
      <c r="BE115" s="52" t="e">
        <f>BE113</f>
        <v>#REF!</v>
      </c>
      <c r="BF115" s="62" t="e">
        <f>BF113</f>
        <v>#REF!</v>
      </c>
      <c r="BG115" s="52" t="e">
        <f>BG113</f>
        <v>#REF!</v>
      </c>
      <c r="BH115" s="62" t="e">
        <f>BH113</f>
        <v>#REF!</v>
      </c>
      <c r="BI115" s="63">
        <f>BI113+T115</f>
        <v>30</v>
      </c>
      <c r="BJ115" s="52" t="e">
        <f>BE115+BG115+BI115</f>
        <v>#REF!</v>
      </c>
      <c r="BK115" s="62" t="e">
        <f>BJ115/(AC113+AC114+AI113+AI114)</f>
        <v>#REF!</v>
      </c>
    </row>
    <row r="116" spans="2:63" ht="15.75" customHeight="1" x14ac:dyDescent="0.2">
      <c r="B116" s="36">
        <v>510</v>
      </c>
      <c r="C116" s="36"/>
      <c r="D116" s="37">
        <v>0.7</v>
      </c>
      <c r="E116" s="51">
        <v>5</v>
      </c>
      <c r="F116" s="35">
        <v>10</v>
      </c>
      <c r="G116" s="35"/>
      <c r="H116" s="35"/>
      <c r="R116" s="35" t="s">
        <v>36</v>
      </c>
      <c r="S116" s="35"/>
      <c r="T116" s="40"/>
      <c r="U116" s="40"/>
      <c r="V116" s="36">
        <v>100</v>
      </c>
      <c r="W116" s="51" t="e">
        <f>V116/#REF!</f>
        <v>#REF!</v>
      </c>
      <c r="X116" s="51"/>
      <c r="Y116" s="51"/>
      <c r="AB116" s="38">
        <v>100</v>
      </c>
      <c r="AC116" s="38">
        <v>140</v>
      </c>
      <c r="AD116" s="38" t="e">
        <f>AD113</f>
        <v>#REF!</v>
      </c>
      <c r="AE116" s="38"/>
      <c r="AF116" s="39">
        <v>1.4</v>
      </c>
      <c r="AG116" s="32"/>
      <c r="AH116" s="38">
        <v>100</v>
      </c>
      <c r="AI116" s="38">
        <v>60.000000000000007</v>
      </c>
      <c r="AJ116" s="38" t="e">
        <f>AJ113</f>
        <v>#REF!</v>
      </c>
      <c r="AK116" s="38"/>
      <c r="AL116" s="39">
        <v>0.60000000000000009</v>
      </c>
      <c r="AM116" s="39" t="e">
        <f>AF116+AF117+AF118</f>
        <v>#REF!</v>
      </c>
      <c r="AN116" s="39"/>
      <c r="AO116" s="39" t="e">
        <f>AL116+AL117+AL118</f>
        <v>#REF!</v>
      </c>
      <c r="AP116" s="39" t="e">
        <f>AM116+AO116</f>
        <v>#REF!</v>
      </c>
      <c r="AR116" s="40">
        <f t="shared" si="31"/>
        <v>0</v>
      </c>
      <c r="AS116" s="51">
        <f t="shared" si="31"/>
        <v>0</v>
      </c>
      <c r="AT116" s="40">
        <f t="shared" si="31"/>
        <v>0</v>
      </c>
      <c r="AU116" s="51">
        <f t="shared" si="31"/>
        <v>0</v>
      </c>
      <c r="AV116" s="40">
        <f t="shared" si="31"/>
        <v>0</v>
      </c>
      <c r="AW116" s="55">
        <f t="shared" si="31"/>
        <v>0</v>
      </c>
      <c r="AX116" s="40" t="e">
        <f>(B116*AM116)-(AC116+AC117+AC118)</f>
        <v>#REF!</v>
      </c>
      <c r="AY116" s="55" t="e">
        <f>AX116/(AC116+AC117+AC118)</f>
        <v>#REF!</v>
      </c>
      <c r="AZ116" s="40" t="e">
        <f>(AO116*B116)-(AI116+AI117+AI118)</f>
        <v>#REF!</v>
      </c>
      <c r="BA116" s="55" t="e">
        <f>AZ116/(AI116+AI117+AI118)</f>
        <v>#REF!</v>
      </c>
      <c r="BB116" s="40" t="e">
        <f>AX116+AZ116</f>
        <v>#REF!</v>
      </c>
      <c r="BC116" s="55" t="e">
        <f>BB116/(AC116+AC117+AC118+AI116+AI117+AI118)</f>
        <v>#REF!</v>
      </c>
      <c r="BD116" s="50"/>
      <c r="BE116" s="40" t="e">
        <f>AR116+AX116</f>
        <v>#REF!</v>
      </c>
      <c r="BF116" s="55" t="e">
        <f>AY116</f>
        <v>#REF!</v>
      </c>
      <c r="BG116" s="40" t="e">
        <f>AT116+AZ116</f>
        <v>#REF!</v>
      </c>
      <c r="BH116" s="55" t="e">
        <f>BG116/(AI116+AI117+AI118)</f>
        <v>#REF!</v>
      </c>
      <c r="BI116" s="65">
        <f>BI115</f>
        <v>30</v>
      </c>
      <c r="BJ116" s="40" t="e">
        <f>BE116+BG116+BI116</f>
        <v>#REF!</v>
      </c>
      <c r="BK116" s="55" t="e">
        <f>BJ116/(AC116+AC117+AC118+AI116+AI117+AI118)</f>
        <v>#REF!</v>
      </c>
    </row>
    <row r="117" spans="2:63" ht="15.75" customHeight="1" x14ac:dyDescent="0.2">
      <c r="B117" s="35"/>
      <c r="C117" s="35"/>
      <c r="D117" s="35"/>
      <c r="E117" s="51"/>
      <c r="F117" s="35"/>
      <c r="G117" s="35"/>
      <c r="H117" s="35"/>
      <c r="R117" s="35"/>
      <c r="S117" s="35"/>
      <c r="T117" s="35"/>
      <c r="U117" s="35"/>
      <c r="V117" s="35"/>
      <c r="W117" s="51"/>
      <c r="X117" s="51"/>
      <c r="Y117" s="51"/>
      <c r="AB117" s="38">
        <v>250</v>
      </c>
      <c r="AC117" s="38">
        <v>400</v>
      </c>
      <c r="AD117" s="38" t="e">
        <f>AD114</f>
        <v>#REF!</v>
      </c>
      <c r="AE117" s="38"/>
      <c r="AF117" s="39">
        <v>1.6</v>
      </c>
      <c r="AG117" s="32"/>
      <c r="AH117" s="36">
        <v>900</v>
      </c>
      <c r="AI117" s="36">
        <v>350</v>
      </c>
      <c r="AJ117" s="38" t="e">
        <f>AJ114</f>
        <v>#REF!</v>
      </c>
      <c r="AK117" s="38"/>
      <c r="AL117" s="39">
        <v>0.3888888888888889</v>
      </c>
      <c r="AM117" s="35"/>
      <c r="AN117" s="35"/>
      <c r="AO117" s="35"/>
      <c r="AP117" s="35"/>
      <c r="AR117" s="35"/>
      <c r="AS117" s="51"/>
      <c r="AT117" s="35"/>
      <c r="AU117" s="51"/>
      <c r="AV117" s="35"/>
      <c r="AW117" s="51"/>
      <c r="AX117" s="35"/>
      <c r="AY117" s="51"/>
      <c r="AZ117" s="35"/>
      <c r="BA117" s="51"/>
      <c r="BB117" s="35"/>
      <c r="BC117" s="51"/>
      <c r="BD117" s="50"/>
      <c r="BE117" s="35"/>
      <c r="BF117" s="51"/>
      <c r="BG117" s="35"/>
      <c r="BH117" s="51"/>
      <c r="BI117" s="35"/>
      <c r="BJ117" s="35"/>
      <c r="BK117" s="51"/>
    </row>
    <row r="118" spans="2:63" ht="15.75" customHeight="1" x14ac:dyDescent="0.2">
      <c r="B118" s="35"/>
      <c r="C118" s="35"/>
      <c r="D118" s="35"/>
      <c r="E118" s="51"/>
      <c r="F118" s="35"/>
      <c r="G118" s="35"/>
      <c r="H118" s="35"/>
      <c r="R118" s="35"/>
      <c r="S118" s="35"/>
      <c r="T118" s="35"/>
      <c r="U118" s="35"/>
      <c r="V118" s="35"/>
      <c r="W118" s="51"/>
      <c r="X118" s="51"/>
      <c r="Y118" s="51"/>
      <c r="AB118" s="40" t="e">
        <f>#REF!</f>
        <v>#REF!</v>
      </c>
      <c r="AC118" s="36">
        <f>V116*D116</f>
        <v>70</v>
      </c>
      <c r="AD118" s="65" t="e">
        <f>(#REF!+(#REF!*(F116/100)))/(1-#REF!/100)</f>
        <v>#REF!</v>
      </c>
      <c r="AE118" s="65"/>
      <c r="AF118" s="39" t="e">
        <f>AC118/AB118</f>
        <v>#REF!</v>
      </c>
      <c r="AG118" s="31"/>
      <c r="AH118" s="40" t="e">
        <f>#REF!</f>
        <v>#REF!</v>
      </c>
      <c r="AI118" s="36">
        <f>V116*(1-D116)</f>
        <v>30.000000000000004</v>
      </c>
      <c r="AJ118" s="65" t="e">
        <f>(#REF!+(#REF!*(F116/100)))/(1-#REF!/100)</f>
        <v>#REF!</v>
      </c>
      <c r="AK118" s="65"/>
      <c r="AL118" s="39" t="e">
        <f>AI118/AH118</f>
        <v>#REF!</v>
      </c>
      <c r="AM118" s="35"/>
      <c r="AN118" s="35"/>
      <c r="AO118" s="35"/>
      <c r="AP118" s="35"/>
      <c r="AR118" s="35"/>
      <c r="AS118" s="51"/>
      <c r="AT118" s="35"/>
      <c r="AU118" s="51"/>
      <c r="AV118" s="35"/>
      <c r="AW118" s="51"/>
      <c r="AX118" s="35"/>
      <c r="AY118" s="51"/>
      <c r="AZ118" s="35"/>
      <c r="BA118" s="51"/>
      <c r="BB118" s="35"/>
      <c r="BC118" s="51"/>
      <c r="BD118" s="50"/>
      <c r="BE118" s="35"/>
      <c r="BF118" s="51"/>
      <c r="BG118" s="35"/>
      <c r="BH118" s="51"/>
      <c r="BI118" s="35"/>
      <c r="BJ118" s="35"/>
      <c r="BK118" s="51"/>
    </row>
    <row r="119" spans="2:63" ht="15.75" customHeight="1" x14ac:dyDescent="0.2">
      <c r="E119" s="50"/>
      <c r="W119" s="50"/>
      <c r="X119" s="50"/>
      <c r="Y119" s="50"/>
      <c r="AB119" s="52"/>
      <c r="AC119" s="33"/>
      <c r="AD119" s="33"/>
      <c r="AE119" s="33"/>
      <c r="AF119" s="32"/>
      <c r="AG119" s="31"/>
      <c r="AH119" s="52"/>
      <c r="AI119" s="33"/>
      <c r="AJ119" s="33"/>
      <c r="AK119" s="33"/>
      <c r="AL119" s="32"/>
      <c r="AS119" s="50"/>
      <c r="AU119" s="50"/>
      <c r="AW119" s="50"/>
      <c r="AY119" s="50"/>
      <c r="BA119" s="50"/>
      <c r="BC119" s="50"/>
      <c r="BD119" s="50"/>
      <c r="BF119" s="50"/>
      <c r="BH119" s="50"/>
      <c r="BK119" s="50"/>
    </row>
    <row r="120" spans="2:63" ht="15.75" customHeight="1" x14ac:dyDescent="0.2">
      <c r="B120" s="185" t="s">
        <v>67</v>
      </c>
      <c r="C120" s="34"/>
      <c r="AB120" s="56" t="s">
        <v>27</v>
      </c>
      <c r="AC120" s="12"/>
      <c r="AD120" s="12"/>
      <c r="AE120" s="12"/>
      <c r="AF120" s="12"/>
      <c r="AG120" s="12"/>
      <c r="AH120" s="56" t="s">
        <v>28</v>
      </c>
      <c r="AI120" s="12"/>
      <c r="AJ120" s="12"/>
      <c r="AK120" s="12"/>
      <c r="AL120" s="12"/>
      <c r="AR120" s="34" t="s">
        <v>52</v>
      </c>
      <c r="AX120" s="34" t="s">
        <v>53</v>
      </c>
      <c r="BE120" s="34" t="s">
        <v>65</v>
      </c>
    </row>
    <row r="121" spans="2:63" ht="15.75" customHeight="1" x14ac:dyDescent="0.2">
      <c r="B121" s="28" t="s">
        <v>61</v>
      </c>
      <c r="C121" s="28"/>
      <c r="D121" s="28" t="s">
        <v>29</v>
      </c>
      <c r="E121" s="57" t="s">
        <v>63</v>
      </c>
      <c r="F121" s="57" t="s">
        <v>72</v>
      </c>
      <c r="G121" s="57"/>
      <c r="H121" s="57"/>
      <c r="I121" s="101"/>
      <c r="J121" s="101"/>
      <c r="K121" s="101"/>
      <c r="L121" s="101"/>
      <c r="M121" s="101"/>
      <c r="N121" s="101"/>
      <c r="O121" s="101"/>
      <c r="P121" s="101"/>
      <c r="R121" s="28" t="s">
        <v>3</v>
      </c>
      <c r="S121" s="28"/>
      <c r="T121" s="57" t="s">
        <v>50</v>
      </c>
      <c r="U121" s="57" t="s">
        <v>70</v>
      </c>
      <c r="V121" s="28" t="s">
        <v>1</v>
      </c>
      <c r="W121" s="57" t="s">
        <v>62</v>
      </c>
      <c r="X121" s="57" t="s">
        <v>9</v>
      </c>
      <c r="Y121" s="57"/>
      <c r="AB121" s="28" t="s">
        <v>30</v>
      </c>
      <c r="AC121" s="28" t="s">
        <v>1</v>
      </c>
      <c r="AD121" s="57" t="s">
        <v>10</v>
      </c>
      <c r="AE121" s="57"/>
      <c r="AF121" s="57" t="s">
        <v>64</v>
      </c>
      <c r="AG121" s="60"/>
      <c r="AH121" s="28" t="s">
        <v>30</v>
      </c>
      <c r="AI121" s="28" t="s">
        <v>1</v>
      </c>
      <c r="AJ121" s="57" t="s">
        <v>10</v>
      </c>
      <c r="AK121" s="57"/>
      <c r="AL121" s="57" t="s">
        <v>64</v>
      </c>
      <c r="AM121" s="28" t="s">
        <v>58</v>
      </c>
      <c r="AN121" s="28"/>
      <c r="AO121" s="28" t="s">
        <v>59</v>
      </c>
      <c r="AP121" s="28" t="s">
        <v>60</v>
      </c>
      <c r="AR121" s="61" t="s">
        <v>54</v>
      </c>
      <c r="AS121" s="61" t="s">
        <v>57</v>
      </c>
      <c r="AT121" s="61" t="s">
        <v>55</v>
      </c>
      <c r="AU121" s="61" t="s">
        <v>57</v>
      </c>
      <c r="AV121" s="61" t="s">
        <v>56</v>
      </c>
      <c r="AW121" s="61" t="s">
        <v>57</v>
      </c>
      <c r="AX121" s="28" t="s">
        <v>54</v>
      </c>
      <c r="AY121" s="28" t="s">
        <v>57</v>
      </c>
      <c r="AZ121" s="28" t="s">
        <v>55</v>
      </c>
      <c r="BA121" s="28" t="s">
        <v>57</v>
      </c>
      <c r="BB121" s="28" t="s">
        <v>56</v>
      </c>
      <c r="BC121" s="28" t="s">
        <v>57</v>
      </c>
      <c r="BD121" s="60"/>
      <c r="BE121" s="61" t="s">
        <v>54</v>
      </c>
      <c r="BF121" s="61" t="s">
        <v>57</v>
      </c>
      <c r="BG121" s="61" t="s">
        <v>55</v>
      </c>
      <c r="BH121" s="61" t="s">
        <v>57</v>
      </c>
      <c r="BI121" s="61" t="s">
        <v>66</v>
      </c>
      <c r="BJ121" s="61" t="s">
        <v>56</v>
      </c>
      <c r="BK121" s="61" t="s">
        <v>57</v>
      </c>
    </row>
    <row r="122" spans="2:63" ht="15.75" customHeight="1" x14ac:dyDescent="0.2">
      <c r="B122" s="33">
        <v>200</v>
      </c>
      <c r="C122" s="33"/>
      <c r="D122" s="29">
        <v>0.6</v>
      </c>
      <c r="E122" s="50">
        <v>5</v>
      </c>
      <c r="F122">
        <v>10</v>
      </c>
      <c r="R122" s="12" t="s">
        <v>68</v>
      </c>
      <c r="S122" s="12"/>
      <c r="T122" s="13"/>
      <c r="U122" s="13"/>
      <c r="V122" s="13">
        <v>400</v>
      </c>
      <c r="W122" s="58" t="e">
        <f>V122/#REF!</f>
        <v>#REF!</v>
      </c>
      <c r="X122" s="58"/>
      <c r="Y122" s="58"/>
      <c r="AB122" s="31" t="e">
        <f>#REF!</f>
        <v>#REF!</v>
      </c>
      <c r="AC122" s="31">
        <f>V122*D122</f>
        <v>240</v>
      </c>
      <c r="AD122" s="63" t="e">
        <f>(#REF!+(#REF!*(F122/100)))/(1-#REF!/100)</f>
        <v>#REF!</v>
      </c>
      <c r="AE122" s="63"/>
      <c r="AF122" s="32" t="e">
        <f>AC122/AB122</f>
        <v>#REF!</v>
      </c>
      <c r="AG122" s="32"/>
      <c r="AH122" s="31" t="e">
        <f>#REF!</f>
        <v>#REF!</v>
      </c>
      <c r="AI122" s="31">
        <f>V122*(1-D122)</f>
        <v>160</v>
      </c>
      <c r="AJ122" s="63" t="e">
        <f>(#REF!+(#REF!*(F122/100)))/(1-#REF!/100)</f>
        <v>#REF!</v>
      </c>
      <c r="AK122" s="63"/>
      <c r="AL122" s="32" t="e">
        <f>AI122/AH122</f>
        <v>#REF!</v>
      </c>
      <c r="AM122" s="32" t="e">
        <f>AF122</f>
        <v>#REF!</v>
      </c>
      <c r="AN122" s="32"/>
      <c r="AO122" s="32" t="e">
        <f>AL122</f>
        <v>#REF!</v>
      </c>
      <c r="AP122" s="32" t="e">
        <f>AM122+AO122</f>
        <v>#REF!</v>
      </c>
      <c r="AR122" s="52">
        <v>0</v>
      </c>
      <c r="AS122" s="50">
        <v>0</v>
      </c>
      <c r="AT122" s="52">
        <v>0</v>
      </c>
      <c r="AU122" s="50">
        <v>0</v>
      </c>
      <c r="AV122" s="52">
        <v>0</v>
      </c>
      <c r="AW122" s="54">
        <v>0</v>
      </c>
      <c r="AX122" s="52">
        <v>0</v>
      </c>
      <c r="AY122" s="50">
        <v>0</v>
      </c>
      <c r="AZ122" s="52">
        <v>0</v>
      </c>
      <c r="BA122" s="50">
        <v>0</v>
      </c>
      <c r="BB122" s="52">
        <v>0</v>
      </c>
      <c r="BC122" s="50">
        <v>0</v>
      </c>
      <c r="BD122" s="50"/>
      <c r="BE122" s="52">
        <v>0</v>
      </c>
      <c r="BF122" s="50">
        <v>0</v>
      </c>
      <c r="BG122" s="52">
        <v>0</v>
      </c>
      <c r="BH122" s="50">
        <v>0</v>
      </c>
      <c r="BI122" s="52">
        <v>0</v>
      </c>
      <c r="BJ122" s="52">
        <v>0</v>
      </c>
      <c r="BK122" s="50">
        <v>0</v>
      </c>
    </row>
    <row r="123" spans="2:63" ht="15.75" customHeight="1" x14ac:dyDescent="0.2">
      <c r="B123" s="36">
        <v>100</v>
      </c>
      <c r="C123" s="36"/>
      <c r="D123" s="37">
        <v>0.6</v>
      </c>
      <c r="E123" s="51">
        <v>5</v>
      </c>
      <c r="F123" s="35">
        <v>10</v>
      </c>
      <c r="G123" s="35"/>
      <c r="H123" s="35"/>
      <c r="R123" s="41" t="s">
        <v>69</v>
      </c>
      <c r="S123" s="41"/>
      <c r="T123" s="35"/>
      <c r="U123" s="59">
        <v>2</v>
      </c>
      <c r="V123" s="42"/>
      <c r="W123" s="59"/>
      <c r="X123" s="59"/>
      <c r="Y123" s="59"/>
      <c r="AB123" s="38" t="e">
        <f>AB122/U123</f>
        <v>#REF!</v>
      </c>
      <c r="AC123" s="38">
        <f>AC122</f>
        <v>240</v>
      </c>
      <c r="AD123" s="65" t="e">
        <f>AD122/U123</f>
        <v>#REF!</v>
      </c>
      <c r="AE123" s="65"/>
      <c r="AF123" s="39" t="e">
        <f>AF122*U123</f>
        <v>#REF!</v>
      </c>
      <c r="AG123" s="32"/>
      <c r="AH123" s="38" t="e">
        <f>AH122/U123</f>
        <v>#REF!</v>
      </c>
      <c r="AI123" s="38">
        <f>AI122</f>
        <v>160</v>
      </c>
      <c r="AJ123" s="65" t="e">
        <f>AJ122/U123</f>
        <v>#REF!</v>
      </c>
      <c r="AK123" s="65"/>
      <c r="AL123" s="39" t="e">
        <f>AL122*U123</f>
        <v>#REF!</v>
      </c>
      <c r="AM123" s="39" t="e">
        <f>AM122*U123</f>
        <v>#REF!</v>
      </c>
      <c r="AN123" s="39"/>
      <c r="AO123" s="39" t="e">
        <f>AO122*U123</f>
        <v>#REF!</v>
      </c>
      <c r="AP123" s="39" t="e">
        <f>AM123+AO123</f>
        <v>#REF!</v>
      </c>
      <c r="AR123" s="40">
        <f t="shared" ref="AR123:AW123" si="33">AR122</f>
        <v>0</v>
      </c>
      <c r="AS123" s="51">
        <f t="shared" si="33"/>
        <v>0</v>
      </c>
      <c r="AT123" s="40">
        <f t="shared" si="33"/>
        <v>0</v>
      </c>
      <c r="AU123" s="51">
        <f t="shared" si="33"/>
        <v>0</v>
      </c>
      <c r="AV123" s="40">
        <f t="shared" si="33"/>
        <v>0</v>
      </c>
      <c r="AW123" s="55">
        <f t="shared" si="33"/>
        <v>0</v>
      </c>
      <c r="AX123" s="40">
        <f t="shared" ref="AX123:BC123" si="34">AX122</f>
        <v>0</v>
      </c>
      <c r="AY123" s="51">
        <f t="shared" si="34"/>
        <v>0</v>
      </c>
      <c r="AZ123" s="40">
        <f t="shared" si="34"/>
        <v>0</v>
      </c>
      <c r="BA123" s="51">
        <f t="shared" si="34"/>
        <v>0</v>
      </c>
      <c r="BB123" s="40">
        <f t="shared" si="34"/>
        <v>0</v>
      </c>
      <c r="BC123" s="51">
        <f t="shared" si="34"/>
        <v>0</v>
      </c>
      <c r="BD123" s="50"/>
      <c r="BE123" s="40">
        <f t="shared" ref="BE123:BK123" si="35">BE122</f>
        <v>0</v>
      </c>
      <c r="BF123" s="51">
        <f t="shared" si="35"/>
        <v>0</v>
      </c>
      <c r="BG123" s="40">
        <f t="shared" si="35"/>
        <v>0</v>
      </c>
      <c r="BH123" s="51">
        <f t="shared" si="35"/>
        <v>0</v>
      </c>
      <c r="BI123" s="40">
        <f t="shared" si="35"/>
        <v>0</v>
      </c>
      <c r="BJ123" s="40">
        <f t="shared" si="35"/>
        <v>0</v>
      </c>
      <c r="BK123" s="51">
        <f t="shared" si="35"/>
        <v>0</v>
      </c>
    </row>
    <row r="124" spans="2:63" ht="15.75" customHeight="1" x14ac:dyDescent="0.2">
      <c r="B124" s="33">
        <v>100</v>
      </c>
      <c r="C124" s="33"/>
      <c r="D124" s="29">
        <v>0.6</v>
      </c>
      <c r="E124" s="50">
        <v>5</v>
      </c>
      <c r="F124">
        <v>10</v>
      </c>
      <c r="R124" s="12" t="s">
        <v>71</v>
      </c>
      <c r="S124" s="12"/>
      <c r="T124" s="13"/>
      <c r="U124" s="13"/>
      <c r="V124" s="13">
        <v>300</v>
      </c>
      <c r="W124" s="58" t="e">
        <f>V124/#REF!</f>
        <v>#REF!</v>
      </c>
      <c r="X124" s="58"/>
      <c r="Y124" s="58"/>
      <c r="AB124" s="31" t="e">
        <f>#REF!</f>
        <v>#REF!</v>
      </c>
      <c r="AC124" s="31">
        <f>V124*D124</f>
        <v>180</v>
      </c>
      <c r="AD124" s="63" t="e">
        <f>(#REF!+(#REF!*(F124/100)))/(1-#REF!/100)</f>
        <v>#REF!</v>
      </c>
      <c r="AE124" s="63"/>
      <c r="AF124" s="32" t="e">
        <f>AC124/AB124</f>
        <v>#REF!</v>
      </c>
      <c r="AG124" s="32"/>
      <c r="AH124" s="31" t="e">
        <f>#REF!</f>
        <v>#REF!</v>
      </c>
      <c r="AI124" s="31">
        <f>V124*(1-D124)</f>
        <v>120</v>
      </c>
      <c r="AJ124" s="63" t="e">
        <f>(#REF!+(#REF!*(F124/100)))/(1-#REF!/100)</f>
        <v>#REF!</v>
      </c>
      <c r="AK124" s="63"/>
      <c r="AL124" s="32" t="e">
        <f>AI124/AH124</f>
        <v>#REF!</v>
      </c>
      <c r="AM124" s="32" t="e">
        <f>AF124+AF125</f>
        <v>#REF!</v>
      </c>
      <c r="AN124" s="32"/>
      <c r="AO124" s="32" t="e">
        <f>AL124+AL125</f>
        <v>#REF!</v>
      </c>
      <c r="AP124" s="32" t="e">
        <f>AM124+AO124</f>
        <v>#REF!</v>
      </c>
      <c r="AR124" s="52">
        <f>AR122</f>
        <v>0</v>
      </c>
      <c r="AS124" s="50">
        <f t="shared" ref="AS124:AU124" si="36">AS122</f>
        <v>0</v>
      </c>
      <c r="AT124" s="52">
        <f t="shared" si="36"/>
        <v>0</v>
      </c>
      <c r="AU124" s="50">
        <f t="shared" si="36"/>
        <v>0</v>
      </c>
      <c r="AV124" s="52">
        <f>AV122</f>
        <v>0</v>
      </c>
      <c r="AW124" s="62">
        <f>AV124/V122</f>
        <v>0</v>
      </c>
      <c r="AX124" s="63" t="e">
        <f>(B124*AM124)-(AC124+AC125)</f>
        <v>#REF!</v>
      </c>
      <c r="AY124" s="62" t="e">
        <f>AX124/(AC124+AC125)</f>
        <v>#REF!</v>
      </c>
      <c r="AZ124" s="63" t="e">
        <f>(AO124*B124)-(AI124+AI125)</f>
        <v>#REF!</v>
      </c>
      <c r="BA124" s="62" t="e">
        <f>AZ124/(AI124+AI125)</f>
        <v>#REF!</v>
      </c>
      <c r="BB124" s="63" t="e">
        <f>AX124+AZ124</f>
        <v>#REF!</v>
      </c>
      <c r="BC124" s="62" t="e">
        <f>BB124/(AC124+AC125+AI124+AI125)</f>
        <v>#REF!</v>
      </c>
      <c r="BD124" s="50"/>
      <c r="BE124" s="63" t="e">
        <f>AR124+AX124</f>
        <v>#REF!</v>
      </c>
      <c r="BF124" s="62" t="e">
        <f>AY124</f>
        <v>#REF!</v>
      </c>
      <c r="BG124" s="63" t="e">
        <f>AT124+AZ124</f>
        <v>#REF!</v>
      </c>
      <c r="BH124" s="62" t="e">
        <f>BG124/(AI124+AI125)</f>
        <v>#REF!</v>
      </c>
      <c r="BI124" s="63">
        <f>BI122</f>
        <v>0</v>
      </c>
      <c r="BJ124" s="63" t="e">
        <f>BE124+BG124+BI124</f>
        <v>#REF!</v>
      </c>
      <c r="BK124" s="62" t="e">
        <f>BJ124/(AC124+AC125+AI124+AI125)</f>
        <v>#REF!</v>
      </c>
    </row>
    <row r="125" spans="2:63" ht="15.75" customHeight="1" x14ac:dyDescent="0.2">
      <c r="B125" s="33"/>
      <c r="C125" s="33"/>
      <c r="D125" s="29"/>
      <c r="E125" s="50"/>
      <c r="R125" s="12"/>
      <c r="S125" s="12"/>
      <c r="T125" s="13"/>
      <c r="U125" s="13"/>
      <c r="V125" s="13"/>
      <c r="W125" s="58"/>
      <c r="X125" s="58"/>
      <c r="Y125" s="58"/>
      <c r="AB125" s="31" t="e">
        <f>AB123</f>
        <v>#REF!</v>
      </c>
      <c r="AC125" s="31">
        <f>AC123</f>
        <v>240</v>
      </c>
      <c r="AD125" s="63" t="e">
        <f>AD123</f>
        <v>#REF!</v>
      </c>
      <c r="AE125" s="63"/>
      <c r="AF125" s="32" t="e">
        <f>AF123</f>
        <v>#REF!</v>
      </c>
      <c r="AG125" s="32"/>
      <c r="AH125" s="31" t="e">
        <f>AH123</f>
        <v>#REF!</v>
      </c>
      <c r="AI125" s="31">
        <f>AI123</f>
        <v>160</v>
      </c>
      <c r="AJ125" s="63" t="e">
        <f>AJ123</f>
        <v>#REF!</v>
      </c>
      <c r="AK125" s="63"/>
      <c r="AL125" s="32" t="e">
        <f>AL123</f>
        <v>#REF!</v>
      </c>
      <c r="AM125" s="32"/>
      <c r="AN125" s="32"/>
      <c r="AO125" s="32"/>
      <c r="AP125" s="32"/>
      <c r="AR125" s="52"/>
      <c r="AS125" s="50"/>
      <c r="AT125" s="52"/>
      <c r="AU125" s="50"/>
      <c r="AV125" s="52"/>
      <c r="AW125" s="62"/>
      <c r="AX125" s="52"/>
      <c r="AY125" s="50"/>
      <c r="AZ125" s="52"/>
      <c r="BA125" s="50"/>
      <c r="BB125" s="52"/>
      <c r="BC125" s="50"/>
      <c r="BD125" s="50"/>
      <c r="BE125" s="52"/>
      <c r="BF125" s="50"/>
      <c r="BG125" s="52"/>
      <c r="BH125" s="50"/>
      <c r="BI125" s="63"/>
      <c r="BJ125" s="63"/>
      <c r="BK125" s="62"/>
    </row>
    <row r="126" spans="2:63" ht="15.75" customHeight="1" x14ac:dyDescent="0.2">
      <c r="B126" s="33"/>
      <c r="C126" s="33"/>
      <c r="D126" s="29"/>
      <c r="E126" s="50"/>
      <c r="R126" s="12"/>
      <c r="S126" s="12"/>
      <c r="T126" s="13"/>
      <c r="U126" s="13"/>
      <c r="V126" s="13"/>
      <c r="W126" s="58"/>
      <c r="X126" s="58"/>
      <c r="Y126" s="58"/>
      <c r="AB126" s="31"/>
      <c r="AC126" s="31"/>
      <c r="AD126" s="63"/>
      <c r="AE126" s="63"/>
      <c r="AF126" s="32"/>
      <c r="AG126" s="32"/>
      <c r="AH126" s="31"/>
      <c r="AI126" s="31"/>
      <c r="AJ126" s="63"/>
      <c r="AK126" s="63"/>
      <c r="AL126" s="32"/>
      <c r="AM126" s="32"/>
      <c r="AN126" s="32"/>
      <c r="AO126" s="32"/>
      <c r="AP126" s="32"/>
      <c r="AR126" s="52"/>
      <c r="AS126" s="50"/>
      <c r="AT126" s="52"/>
      <c r="AU126" s="50"/>
      <c r="AV126" s="52"/>
      <c r="AW126" s="62"/>
      <c r="AX126" s="52"/>
      <c r="AY126" s="50"/>
      <c r="AZ126" s="52"/>
      <c r="BA126" s="50"/>
      <c r="BB126" s="52"/>
      <c r="BC126" s="50"/>
      <c r="BD126" s="50"/>
      <c r="BE126" s="52"/>
      <c r="BF126" s="50"/>
      <c r="BG126" s="52"/>
      <c r="BH126" s="50"/>
      <c r="BI126" s="63"/>
      <c r="BJ126" s="63"/>
      <c r="BK126" s="62"/>
    </row>
    <row r="127" spans="2:63" ht="15.75" customHeight="1" x14ac:dyDescent="0.2">
      <c r="B127" s="186" t="s">
        <v>37</v>
      </c>
      <c r="C127" s="109"/>
      <c r="T127" s="12"/>
      <c r="U127" s="12"/>
      <c r="V127" s="12"/>
      <c r="W127" s="12"/>
      <c r="X127" s="12"/>
      <c r="Y127" s="12"/>
      <c r="Z127" s="12"/>
      <c r="AA127" s="12"/>
      <c r="AB127" s="56" t="s">
        <v>27</v>
      </c>
      <c r="AC127" s="12"/>
      <c r="AD127" s="12"/>
      <c r="AE127" s="12"/>
      <c r="AF127" s="12"/>
      <c r="AG127" s="12"/>
      <c r="AH127" s="56" t="s">
        <v>28</v>
      </c>
      <c r="AI127" s="12"/>
      <c r="AJ127" s="12"/>
      <c r="AK127" s="12"/>
      <c r="AL127" s="12"/>
      <c r="AS127" s="33"/>
      <c r="AX127" s="63"/>
    </row>
    <row r="128" spans="2:63" ht="15.75" customHeight="1" x14ac:dyDescent="0.2">
      <c r="B128" s="28" t="s">
        <v>61</v>
      </c>
      <c r="C128" s="28"/>
      <c r="D128" s="28" t="s">
        <v>29</v>
      </c>
      <c r="E128" s="57" t="s">
        <v>63</v>
      </c>
      <c r="F128" s="57" t="s">
        <v>72</v>
      </c>
      <c r="G128" s="57"/>
      <c r="H128" s="57"/>
      <c r="I128" s="101"/>
      <c r="J128" s="101"/>
      <c r="K128" s="101"/>
      <c r="L128" s="101"/>
      <c r="M128" s="101"/>
      <c r="N128" s="101"/>
      <c r="O128" s="101"/>
      <c r="P128" s="101"/>
      <c r="R128" s="28" t="s">
        <v>3</v>
      </c>
      <c r="S128" s="28"/>
      <c r="T128" s="57" t="s">
        <v>50</v>
      </c>
      <c r="U128" s="57" t="s">
        <v>70</v>
      </c>
      <c r="V128" s="28" t="s">
        <v>1</v>
      </c>
      <c r="W128" s="57" t="s">
        <v>62</v>
      </c>
      <c r="X128" s="57" t="s">
        <v>9</v>
      </c>
      <c r="Y128" s="57"/>
      <c r="Z128" s="60"/>
      <c r="AA128" s="12"/>
      <c r="AB128" s="28" t="s">
        <v>30</v>
      </c>
      <c r="AC128" s="28" t="s">
        <v>1</v>
      </c>
      <c r="AD128" s="57" t="s">
        <v>10</v>
      </c>
      <c r="AE128" s="57"/>
      <c r="AF128" s="57" t="s">
        <v>64</v>
      </c>
      <c r="AG128" s="60"/>
      <c r="AH128" s="28" t="s">
        <v>30</v>
      </c>
      <c r="AI128" s="28" t="s">
        <v>1</v>
      </c>
      <c r="AJ128" s="57" t="s">
        <v>10</v>
      </c>
      <c r="AK128" s="57"/>
      <c r="AL128" s="57" t="s">
        <v>64</v>
      </c>
      <c r="AS128" s="33"/>
    </row>
    <row r="129" spans="2:43" ht="15.75" customHeight="1" x14ac:dyDescent="0.2">
      <c r="B129" s="33">
        <v>100</v>
      </c>
      <c r="C129" s="33"/>
      <c r="D129" s="29">
        <v>0.6</v>
      </c>
      <c r="E129" s="50">
        <v>5</v>
      </c>
      <c r="F129">
        <v>10</v>
      </c>
      <c r="R129" t="s">
        <v>38</v>
      </c>
      <c r="T129" s="33"/>
      <c r="U129" s="33"/>
      <c r="V129" s="33">
        <v>200</v>
      </c>
      <c r="W129" s="33"/>
      <c r="X129" s="33"/>
      <c r="Y129" s="33"/>
      <c r="Z129" s="67"/>
      <c r="AB129" s="33" t="e">
        <f>#REF!</f>
        <v>#REF!</v>
      </c>
      <c r="AC129" s="33">
        <f>V129*D129</f>
        <v>120</v>
      </c>
      <c r="AD129" s="33"/>
      <c r="AE129" s="33"/>
      <c r="AF129" s="44" t="e">
        <f>AC129/AB129</f>
        <v>#REF!</v>
      </c>
      <c r="AG129" s="44"/>
      <c r="AH129" s="33" t="e">
        <f>#REF!</f>
        <v>#REF!</v>
      </c>
      <c r="AI129" s="31">
        <f>V129*(1-D129)</f>
        <v>80</v>
      </c>
      <c r="AJ129" s="33"/>
      <c r="AK129" s="33"/>
      <c r="AL129" s="32" t="e">
        <f>AI129/AH129</f>
        <v>#REF!</v>
      </c>
    </row>
    <row r="130" spans="2:43" ht="15.75" customHeight="1" x14ac:dyDescent="0.2">
      <c r="B130" s="36">
        <v>100</v>
      </c>
      <c r="C130" s="36"/>
      <c r="D130" s="37">
        <v>0.6</v>
      </c>
      <c r="E130" s="51">
        <v>5</v>
      </c>
      <c r="F130" s="35">
        <v>10</v>
      </c>
      <c r="G130" s="35"/>
      <c r="H130" s="35"/>
      <c r="R130" s="35" t="s">
        <v>39</v>
      </c>
      <c r="S130" s="35"/>
      <c r="T130" s="35"/>
      <c r="U130" s="35"/>
      <c r="V130" s="35"/>
      <c r="W130" s="35"/>
      <c r="X130" s="35"/>
      <c r="Y130" s="35"/>
      <c r="AB130" s="38" t="s">
        <v>34</v>
      </c>
      <c r="AC130" s="38" t="s">
        <v>34</v>
      </c>
      <c r="AD130" s="38"/>
      <c r="AE130" s="38"/>
      <c r="AF130" s="38" t="s">
        <v>34</v>
      </c>
      <c r="AG130" s="31"/>
      <c r="AH130" s="38" t="s">
        <v>34</v>
      </c>
      <c r="AI130" s="38" t="s">
        <v>34</v>
      </c>
      <c r="AJ130" s="38"/>
      <c r="AK130" s="38"/>
      <c r="AL130" s="38" t="s">
        <v>34</v>
      </c>
    </row>
    <row r="131" spans="2:43" ht="15.75" customHeight="1" x14ac:dyDescent="0.2">
      <c r="B131" s="33">
        <v>100</v>
      </c>
      <c r="C131" s="33"/>
      <c r="D131" s="29">
        <v>0.6</v>
      </c>
      <c r="E131" s="50">
        <v>5</v>
      </c>
      <c r="F131">
        <v>10</v>
      </c>
      <c r="R131" t="s">
        <v>40</v>
      </c>
      <c r="T131" s="33"/>
      <c r="U131" s="33"/>
      <c r="V131" s="33">
        <v>500</v>
      </c>
      <c r="W131" s="33"/>
      <c r="X131" s="33"/>
      <c r="Y131" s="33"/>
      <c r="Z131" s="67"/>
      <c r="AB131" s="33" t="e">
        <f>#REF!</f>
        <v>#REF!</v>
      </c>
      <c r="AC131" s="33">
        <f>V131</f>
        <v>500</v>
      </c>
      <c r="AD131" s="33"/>
      <c r="AE131" s="33"/>
      <c r="AF131" s="44" t="e">
        <f>AC131/AB131</f>
        <v>#REF!</v>
      </c>
      <c r="AG131" s="44"/>
      <c r="AH131" s="31" t="s">
        <v>34</v>
      </c>
      <c r="AI131" s="31" t="s">
        <v>34</v>
      </c>
      <c r="AJ131" s="33"/>
      <c r="AK131" s="33"/>
      <c r="AL131" s="31" t="s">
        <v>34</v>
      </c>
    </row>
    <row r="132" spans="2:43" ht="15.75" customHeight="1" x14ac:dyDescent="0.2">
      <c r="B132" s="36">
        <v>100</v>
      </c>
      <c r="C132" s="36"/>
      <c r="D132" s="37">
        <v>0.6</v>
      </c>
      <c r="E132" s="51">
        <v>5</v>
      </c>
      <c r="F132" s="35">
        <v>10</v>
      </c>
      <c r="G132" s="35"/>
      <c r="H132" s="35"/>
      <c r="R132" s="35" t="s">
        <v>41</v>
      </c>
      <c r="S132" s="35"/>
      <c r="T132" s="35"/>
      <c r="U132" s="35"/>
      <c r="V132" s="35"/>
      <c r="W132" s="35"/>
      <c r="X132" s="35"/>
      <c r="Y132" s="35"/>
      <c r="AB132" s="38" t="s">
        <v>34</v>
      </c>
      <c r="AC132" s="38" t="s">
        <v>34</v>
      </c>
      <c r="AD132" s="38"/>
      <c r="AE132" s="38"/>
      <c r="AF132" s="38" t="s">
        <v>34</v>
      </c>
      <c r="AG132" s="31"/>
      <c r="AH132" s="38" t="s">
        <v>34</v>
      </c>
      <c r="AI132" s="38" t="s">
        <v>34</v>
      </c>
      <c r="AJ132" s="38"/>
      <c r="AK132" s="38"/>
      <c r="AL132" s="38" t="s">
        <v>34</v>
      </c>
    </row>
    <row r="133" spans="2:43" ht="15.75" customHeight="1" x14ac:dyDescent="0.2">
      <c r="B133" s="33">
        <v>100</v>
      </c>
      <c r="C133" s="33"/>
      <c r="D133" s="29">
        <v>0.6</v>
      </c>
      <c r="E133" s="50">
        <v>5</v>
      </c>
      <c r="F133">
        <v>10</v>
      </c>
      <c r="R133" t="s">
        <v>42</v>
      </c>
      <c r="T133" s="33"/>
      <c r="U133" s="33"/>
      <c r="V133" s="33">
        <v>350</v>
      </c>
      <c r="W133" s="33"/>
      <c r="X133" s="33"/>
      <c r="Y133" s="33"/>
      <c r="Z133" s="67"/>
      <c r="AB133" s="31" t="s">
        <v>34</v>
      </c>
      <c r="AC133" s="31" t="s">
        <v>34</v>
      </c>
      <c r="AD133" s="31"/>
      <c r="AE133" s="31"/>
      <c r="AF133" s="31" t="s">
        <v>34</v>
      </c>
      <c r="AG133" s="31"/>
      <c r="AH133" s="33" t="e">
        <f>#REF!</f>
        <v>#REF!</v>
      </c>
      <c r="AI133" s="31">
        <f>V133*(1-D133)</f>
        <v>140</v>
      </c>
      <c r="AJ133" s="31"/>
      <c r="AK133" s="31"/>
      <c r="AL133" s="32" t="e">
        <f>AI133/AH133</f>
        <v>#REF!</v>
      </c>
    </row>
    <row r="134" spans="2:43" ht="15.75" customHeight="1" x14ac:dyDescent="0.2">
      <c r="B134" s="36">
        <v>100</v>
      </c>
      <c r="C134" s="36"/>
      <c r="D134" s="37">
        <v>0.6</v>
      </c>
      <c r="E134" s="51">
        <v>5</v>
      </c>
      <c r="F134" s="35">
        <v>10</v>
      </c>
      <c r="G134" s="35"/>
      <c r="H134" s="35"/>
      <c r="R134" s="35" t="s">
        <v>43</v>
      </c>
      <c r="S134" s="35"/>
      <c r="T134" s="35"/>
      <c r="U134" s="35"/>
      <c r="V134" s="35"/>
      <c r="W134" s="35"/>
      <c r="X134" s="35"/>
      <c r="Y134" s="35"/>
      <c r="AB134" s="38" t="s">
        <v>34</v>
      </c>
      <c r="AC134" s="38" t="s">
        <v>34</v>
      </c>
      <c r="AD134" s="38"/>
      <c r="AE134" s="38"/>
      <c r="AF134" s="38" t="s">
        <v>34</v>
      </c>
      <c r="AG134" s="31"/>
      <c r="AH134" s="38" t="s">
        <v>34</v>
      </c>
      <c r="AI134" s="38" t="s">
        <v>34</v>
      </c>
      <c r="AJ134" s="38"/>
      <c r="AK134" s="38"/>
      <c r="AL134" s="38" t="s">
        <v>34</v>
      </c>
    </row>
    <row r="136" spans="2:43" ht="15.75" customHeight="1" x14ac:dyDescent="0.2">
      <c r="B136" s="185" t="s">
        <v>44</v>
      </c>
      <c r="C136" s="34"/>
      <c r="AB136" s="56" t="s">
        <v>27</v>
      </c>
      <c r="AC136" s="12"/>
      <c r="AD136" s="12"/>
      <c r="AE136" s="12"/>
      <c r="AF136" s="12"/>
      <c r="AG136" s="12"/>
      <c r="AH136" s="56" t="s">
        <v>28</v>
      </c>
      <c r="AJ136" s="12"/>
      <c r="AK136" s="12"/>
    </row>
    <row r="137" spans="2:43" ht="15.75" customHeight="1" x14ac:dyDescent="0.2">
      <c r="B137" s="28" t="s">
        <v>61</v>
      </c>
      <c r="C137" s="28"/>
      <c r="D137" s="28" t="s">
        <v>29</v>
      </c>
      <c r="E137" s="57" t="s">
        <v>63</v>
      </c>
      <c r="F137" s="57" t="s">
        <v>72</v>
      </c>
      <c r="G137" s="57"/>
      <c r="H137" s="57"/>
      <c r="I137" s="101"/>
      <c r="J137" s="101"/>
      <c r="K137" s="101"/>
      <c r="L137" s="101"/>
      <c r="M137" s="101"/>
      <c r="N137" s="101"/>
      <c r="O137" s="101"/>
      <c r="P137" s="101"/>
      <c r="R137" s="28" t="s">
        <v>3</v>
      </c>
      <c r="S137" s="28"/>
      <c r="T137" s="57" t="s">
        <v>50</v>
      </c>
      <c r="U137" s="57" t="s">
        <v>70</v>
      </c>
      <c r="V137" s="28" t="s">
        <v>1</v>
      </c>
      <c r="W137" s="57" t="s">
        <v>62</v>
      </c>
      <c r="X137" s="57" t="s">
        <v>9</v>
      </c>
      <c r="Y137" s="57"/>
      <c r="Z137" s="60"/>
      <c r="AA137" s="12"/>
      <c r="AB137" s="28" t="s">
        <v>30</v>
      </c>
      <c r="AC137" s="28" t="s">
        <v>1</v>
      </c>
      <c r="AD137" s="57" t="s">
        <v>10</v>
      </c>
      <c r="AE137" s="57"/>
      <c r="AF137" s="57" t="s">
        <v>64</v>
      </c>
      <c r="AG137" s="60"/>
      <c r="AH137" s="28" t="s">
        <v>30</v>
      </c>
      <c r="AI137" s="28" t="s">
        <v>1</v>
      </c>
      <c r="AJ137" s="57" t="s">
        <v>10</v>
      </c>
      <c r="AK137" s="57"/>
      <c r="AL137" s="57" t="s">
        <v>64</v>
      </c>
    </row>
    <row r="138" spans="2:43" ht="15.75" customHeight="1" x14ac:dyDescent="0.2">
      <c r="B138" s="33">
        <v>100</v>
      </c>
      <c r="C138" s="33"/>
      <c r="D138" s="29">
        <v>0.3</v>
      </c>
      <c r="E138" s="50">
        <v>5</v>
      </c>
      <c r="F138">
        <v>10</v>
      </c>
      <c r="R138" s="45" t="s">
        <v>47</v>
      </c>
      <c r="S138" s="45"/>
      <c r="T138" s="33"/>
      <c r="U138" s="33"/>
      <c r="V138" s="33">
        <v>200</v>
      </c>
      <c r="W138" s="33"/>
      <c r="X138" s="33"/>
      <c r="Y138" s="33"/>
      <c r="Z138" s="67"/>
      <c r="AB138" s="33" t="e">
        <f>#REF!</f>
        <v>#REF!</v>
      </c>
      <c r="AC138" s="33">
        <f>V138*D138</f>
        <v>60</v>
      </c>
      <c r="AD138" s="33"/>
      <c r="AE138" s="33"/>
      <c r="AF138" s="44" t="e">
        <f>AC138/AB138</f>
        <v>#REF!</v>
      </c>
      <c r="AG138" s="44"/>
      <c r="AH138" s="33" t="e">
        <f>#REF!</f>
        <v>#REF!</v>
      </c>
      <c r="AI138" s="31">
        <f>V138*(1-D138)</f>
        <v>140</v>
      </c>
      <c r="AJ138" s="33"/>
      <c r="AK138" s="33"/>
      <c r="AL138" s="32" t="e">
        <f>AI138/AH138</f>
        <v>#REF!</v>
      </c>
    </row>
    <row r="139" spans="2:43" ht="15.75" customHeight="1" x14ac:dyDescent="0.2">
      <c r="B139" s="36">
        <v>100</v>
      </c>
      <c r="C139" s="36"/>
      <c r="D139" s="37">
        <v>0.3</v>
      </c>
      <c r="E139" s="51">
        <v>5</v>
      </c>
      <c r="F139" s="35">
        <v>10</v>
      </c>
      <c r="G139" s="35"/>
      <c r="H139" s="35"/>
      <c r="R139" s="47" t="s">
        <v>45</v>
      </c>
      <c r="S139" s="47"/>
      <c r="T139" s="36"/>
      <c r="U139" s="36"/>
      <c r="V139" s="36">
        <v>300</v>
      </c>
      <c r="W139" s="36"/>
      <c r="X139" s="36"/>
      <c r="Y139" s="36"/>
      <c r="Z139" s="67"/>
      <c r="AB139" s="36" t="e">
        <f>#REF!</f>
        <v>#REF!</v>
      </c>
      <c r="AC139" s="36">
        <f>V139+AC138</f>
        <v>360</v>
      </c>
      <c r="AD139" s="36"/>
      <c r="AE139" s="36"/>
      <c r="AF139" s="48" t="e">
        <f>AC139/AB139</f>
        <v>#REF!</v>
      </c>
      <c r="AG139" s="44"/>
      <c r="AH139" s="36">
        <v>100</v>
      </c>
      <c r="AI139" s="38">
        <f>AI138</f>
        <v>140</v>
      </c>
      <c r="AJ139" s="36"/>
      <c r="AK139" s="36"/>
      <c r="AL139" s="39">
        <v>1.4</v>
      </c>
    </row>
    <row r="140" spans="2:43" ht="15.75" customHeight="1" x14ac:dyDescent="0.2">
      <c r="B140" s="33">
        <v>100</v>
      </c>
      <c r="C140" s="33"/>
      <c r="D140" s="29">
        <v>0.3</v>
      </c>
      <c r="E140" s="50">
        <v>5</v>
      </c>
      <c r="F140">
        <v>10</v>
      </c>
      <c r="R140" s="45" t="s">
        <v>46</v>
      </c>
      <c r="S140" s="45"/>
      <c r="T140" s="33"/>
      <c r="U140" s="33"/>
      <c r="V140" s="33">
        <v>400</v>
      </c>
      <c r="W140" s="33"/>
      <c r="X140" s="33"/>
      <c r="Y140" s="33"/>
      <c r="AB140" s="33">
        <v>100</v>
      </c>
      <c r="AC140" s="33">
        <f>AC139</f>
        <v>360</v>
      </c>
      <c r="AD140" s="33"/>
      <c r="AE140" s="33"/>
      <c r="AF140" s="44">
        <v>3.6</v>
      </c>
      <c r="AG140" s="44"/>
      <c r="AH140" s="33" t="e">
        <f>#REF!</f>
        <v>#REF!</v>
      </c>
      <c r="AI140" s="33">
        <f>V140+AI139</f>
        <v>540</v>
      </c>
      <c r="AJ140" s="33"/>
      <c r="AK140" s="33"/>
      <c r="AL140" s="32" t="e">
        <f>AI140/AH140</f>
        <v>#REF!</v>
      </c>
    </row>
    <row r="141" spans="2:43" ht="15.75" customHeight="1" x14ac:dyDescent="0.2">
      <c r="B141" s="36">
        <v>100</v>
      </c>
      <c r="C141" s="36"/>
      <c r="D141" s="37">
        <v>0.3</v>
      </c>
      <c r="E141" s="51">
        <v>5</v>
      </c>
      <c r="F141" s="35">
        <v>10</v>
      </c>
      <c r="G141" s="35"/>
      <c r="H141" s="35"/>
      <c r="R141" s="47" t="s">
        <v>48</v>
      </c>
      <c r="S141" s="47"/>
      <c r="T141" s="36"/>
      <c r="U141" s="36"/>
      <c r="V141" s="36">
        <v>500</v>
      </c>
      <c r="W141" s="36"/>
      <c r="X141" s="36"/>
      <c r="Y141" s="36"/>
      <c r="Z141" s="67"/>
      <c r="AB141" s="36" t="e">
        <f>#REF!</f>
        <v>#REF!</v>
      </c>
      <c r="AC141" s="36">
        <f>AC140+(V141*D141)</f>
        <v>510</v>
      </c>
      <c r="AD141" s="36"/>
      <c r="AE141" s="36"/>
      <c r="AF141" s="48" t="e">
        <f>AC141/AB141</f>
        <v>#REF!</v>
      </c>
      <c r="AG141" s="44"/>
      <c r="AH141" s="36" t="e">
        <f>#REF!</f>
        <v>#REF!</v>
      </c>
      <c r="AI141" s="36">
        <f>AI140+(V141*(1-D141))</f>
        <v>890</v>
      </c>
      <c r="AJ141" s="36"/>
      <c r="AK141" s="36"/>
      <c r="AL141" s="39" t="e">
        <f>AI141/AH141</f>
        <v>#REF!</v>
      </c>
    </row>
    <row r="143" spans="2:43" ht="15.75" customHeight="1" x14ac:dyDescent="0.2">
      <c r="B143" s="185" t="s">
        <v>98</v>
      </c>
      <c r="C143" s="34"/>
      <c r="AB143" s="56" t="s">
        <v>27</v>
      </c>
      <c r="AC143" s="12"/>
      <c r="AD143" s="12"/>
      <c r="AE143" s="12"/>
      <c r="AF143" s="12"/>
      <c r="AG143" s="12"/>
      <c r="AH143" s="56" t="s">
        <v>28</v>
      </c>
      <c r="AJ143" s="12"/>
      <c r="AK143" s="12"/>
      <c r="AN143" s="34" t="s">
        <v>179</v>
      </c>
    </row>
    <row r="144" spans="2:43" ht="15.75" customHeight="1" x14ac:dyDescent="0.2">
      <c r="B144" s="28" t="s">
        <v>61</v>
      </c>
      <c r="C144" s="28"/>
      <c r="D144" s="28" t="s">
        <v>29</v>
      </c>
      <c r="E144" s="57" t="s">
        <v>63</v>
      </c>
      <c r="F144" s="57" t="s">
        <v>72</v>
      </c>
      <c r="G144" s="57" t="s">
        <v>99</v>
      </c>
      <c r="H144" s="57"/>
      <c r="I144" s="101"/>
      <c r="J144" s="101"/>
      <c r="K144" s="101"/>
      <c r="L144" s="101"/>
      <c r="M144" s="101"/>
      <c r="N144" s="101"/>
      <c r="O144" s="101"/>
      <c r="P144" s="101"/>
      <c r="R144" s="28" t="s">
        <v>3</v>
      </c>
      <c r="S144" s="28"/>
      <c r="T144" s="57" t="s">
        <v>50</v>
      </c>
      <c r="U144" s="57" t="s">
        <v>70</v>
      </c>
      <c r="V144" s="28" t="s">
        <v>1</v>
      </c>
      <c r="W144" s="57" t="s">
        <v>62</v>
      </c>
      <c r="X144" s="57" t="s">
        <v>9</v>
      </c>
      <c r="Y144" s="57"/>
      <c r="Z144" s="60"/>
      <c r="AA144" s="12"/>
      <c r="AB144" s="28" t="s">
        <v>30</v>
      </c>
      <c r="AC144" s="28" t="s">
        <v>1</v>
      </c>
      <c r="AD144" s="57" t="s">
        <v>72</v>
      </c>
      <c r="AE144" s="57" t="s">
        <v>100</v>
      </c>
      <c r="AF144" s="57" t="s">
        <v>64</v>
      </c>
      <c r="AG144" s="60"/>
      <c r="AH144" s="28" t="s">
        <v>30</v>
      </c>
      <c r="AI144" s="28" t="s">
        <v>1</v>
      </c>
      <c r="AJ144" s="57" t="s">
        <v>99</v>
      </c>
      <c r="AK144" s="57" t="s">
        <v>101</v>
      </c>
      <c r="AL144" s="57" t="s">
        <v>64</v>
      </c>
      <c r="AN144" s="28" t="s">
        <v>100</v>
      </c>
      <c r="AO144" s="57" t="s">
        <v>101</v>
      </c>
      <c r="AP144" s="101"/>
      <c r="AQ144" s="101"/>
    </row>
    <row r="145" spans="2:41" ht="15.75" customHeight="1" x14ac:dyDescent="0.2">
      <c r="B145" s="33">
        <v>100</v>
      </c>
      <c r="C145" s="33" t="s">
        <v>187</v>
      </c>
      <c r="D145" s="29">
        <v>0.5</v>
      </c>
      <c r="E145" s="50">
        <v>5</v>
      </c>
      <c r="F145">
        <v>10</v>
      </c>
      <c r="G145">
        <v>20</v>
      </c>
      <c r="R145" s="45" t="s">
        <v>102</v>
      </c>
      <c r="S145" s="45"/>
      <c r="T145" s="33"/>
      <c r="U145" s="33"/>
      <c r="V145" s="33">
        <v>200</v>
      </c>
      <c r="W145" s="50" t="e">
        <f>V145/#REF!</f>
        <v>#REF!</v>
      </c>
      <c r="X145" s="33"/>
      <c r="Y145" s="33"/>
      <c r="Z145" s="67"/>
      <c r="AB145" s="33" t="e">
        <f>#REF!</f>
        <v>#REF!</v>
      </c>
      <c r="AC145" s="33">
        <f>V145*D145</f>
        <v>100</v>
      </c>
      <c r="AD145" s="52" t="e">
        <f>AB145*(1+F145/100)/(1-#REF!/100)</f>
        <v>#REF!</v>
      </c>
      <c r="AE145" s="95" t="e">
        <f t="shared" ref="AE145:AE153" si="37">(B145-AD145)/AD145</f>
        <v>#REF!</v>
      </c>
      <c r="AF145" s="44" t="e">
        <f>AC145/AB145</f>
        <v>#REF!</v>
      </c>
      <c r="AG145" s="44"/>
      <c r="AH145" s="33" t="e">
        <f>#REF!</f>
        <v>#REF!</v>
      </c>
      <c r="AI145" s="31">
        <f>V145*(1-D145)</f>
        <v>100</v>
      </c>
      <c r="AJ145" s="52" t="e">
        <f>AH145*(1+G145/100)/(1-#REF!/100)</f>
        <v>#REF!</v>
      </c>
      <c r="AK145" s="54" t="e">
        <f t="shared" ref="AK145:AK153" si="38">(B145-AJ145)/AJ145</f>
        <v>#REF!</v>
      </c>
      <c r="AL145" s="32" t="e">
        <f>AI145/AH145</f>
        <v>#REF!</v>
      </c>
      <c r="AN145" s="54" t="e">
        <f t="shared" ref="AN145:AN153" si="39">(B145-AD145)/AD145</f>
        <v>#REF!</v>
      </c>
      <c r="AO145" s="54" t="e">
        <f t="shared" ref="AO145:AO153" si="40">(B145-AJ145)/AJ145</f>
        <v>#REF!</v>
      </c>
    </row>
    <row r="146" spans="2:41" ht="15.75" customHeight="1" x14ac:dyDescent="0.2">
      <c r="B146" s="36">
        <v>109</v>
      </c>
      <c r="C146" s="36" t="s">
        <v>187</v>
      </c>
      <c r="D146" s="37">
        <v>0.5</v>
      </c>
      <c r="E146" s="51">
        <v>5</v>
      </c>
      <c r="F146" s="35">
        <v>10</v>
      </c>
      <c r="G146" s="35">
        <v>20</v>
      </c>
      <c r="H146" s="35"/>
      <c r="R146" s="47"/>
      <c r="S146" s="47"/>
      <c r="T146" s="36"/>
      <c r="U146" s="36"/>
      <c r="V146" s="36"/>
      <c r="W146" s="51"/>
      <c r="X146" s="36"/>
      <c r="Y146" s="36"/>
      <c r="Z146" s="67"/>
      <c r="AB146" s="36" t="e">
        <f t="shared" ref="AB146:AD148" si="41">AB145</f>
        <v>#REF!</v>
      </c>
      <c r="AC146" s="36">
        <f t="shared" si="41"/>
        <v>100</v>
      </c>
      <c r="AD146" s="40" t="e">
        <f t="shared" si="41"/>
        <v>#REF!</v>
      </c>
      <c r="AE146" s="116" t="e">
        <f t="shared" si="37"/>
        <v>#REF!</v>
      </c>
      <c r="AF146" s="48" t="e">
        <f>AF145</f>
        <v>#REF!</v>
      </c>
      <c r="AG146" s="44"/>
      <c r="AH146" s="36">
        <v>100</v>
      </c>
      <c r="AI146" s="38">
        <f t="shared" ref="AI146:AJ148" si="42">AI145</f>
        <v>100</v>
      </c>
      <c r="AJ146" s="40" t="e">
        <f t="shared" si="42"/>
        <v>#REF!</v>
      </c>
      <c r="AK146" s="55" t="e">
        <f t="shared" si="38"/>
        <v>#REF!</v>
      </c>
      <c r="AL146" s="39" t="e">
        <f>AL145</f>
        <v>#REF!</v>
      </c>
      <c r="AN146" s="115" t="e">
        <f t="shared" si="39"/>
        <v>#REF!</v>
      </c>
      <c r="AO146" s="55" t="e">
        <f t="shared" si="40"/>
        <v>#REF!</v>
      </c>
    </row>
    <row r="147" spans="2:41" ht="15.75" customHeight="1" x14ac:dyDescent="0.2">
      <c r="B147" s="33">
        <v>115</v>
      </c>
      <c r="C147" s="33" t="s">
        <v>187</v>
      </c>
      <c r="D147" s="29">
        <v>0.5</v>
      </c>
      <c r="E147" s="50">
        <v>5</v>
      </c>
      <c r="F147">
        <v>10</v>
      </c>
      <c r="G147">
        <v>20</v>
      </c>
      <c r="R147" s="45"/>
      <c r="S147" s="45"/>
      <c r="T147" s="33"/>
      <c r="U147" s="33"/>
      <c r="V147" s="33"/>
      <c r="W147" s="50"/>
      <c r="X147" s="33"/>
      <c r="Y147" s="33"/>
      <c r="AB147" s="33" t="e">
        <f t="shared" si="41"/>
        <v>#REF!</v>
      </c>
      <c r="AC147" s="33">
        <f t="shared" si="41"/>
        <v>100</v>
      </c>
      <c r="AD147" s="118" t="e">
        <f t="shared" si="41"/>
        <v>#REF!</v>
      </c>
      <c r="AE147" s="113" t="e">
        <f t="shared" si="37"/>
        <v>#REF!</v>
      </c>
      <c r="AF147" s="44" t="e">
        <f>AF146</f>
        <v>#REF!</v>
      </c>
      <c r="AG147" s="44"/>
      <c r="AH147" s="33">
        <v>100</v>
      </c>
      <c r="AI147" s="31">
        <f t="shared" si="42"/>
        <v>100</v>
      </c>
      <c r="AJ147" s="52" t="e">
        <f t="shared" si="42"/>
        <v>#REF!</v>
      </c>
      <c r="AK147" s="62" t="e">
        <f t="shared" si="38"/>
        <v>#REF!</v>
      </c>
      <c r="AL147" s="32" t="e">
        <f>AL146</f>
        <v>#REF!</v>
      </c>
      <c r="AN147" s="117" t="e">
        <f t="shared" si="39"/>
        <v>#REF!</v>
      </c>
      <c r="AO147" s="54" t="e">
        <f t="shared" si="40"/>
        <v>#REF!</v>
      </c>
    </row>
    <row r="148" spans="2:41" ht="15.75" customHeight="1" x14ac:dyDescent="0.2">
      <c r="B148" s="36">
        <v>122</v>
      </c>
      <c r="C148" s="36" t="s">
        <v>187</v>
      </c>
      <c r="D148" s="37">
        <v>0.5</v>
      </c>
      <c r="E148" s="51">
        <v>5</v>
      </c>
      <c r="F148" s="35">
        <v>10</v>
      </c>
      <c r="G148" s="35">
        <v>20</v>
      </c>
      <c r="H148" s="35"/>
      <c r="R148" s="47"/>
      <c r="S148" s="47"/>
      <c r="T148" s="36"/>
      <c r="U148" s="36"/>
      <c r="V148" s="36"/>
      <c r="W148" s="51"/>
      <c r="X148" s="36"/>
      <c r="Y148" s="36"/>
      <c r="Z148" s="67"/>
      <c r="AB148" s="36" t="e">
        <f t="shared" si="41"/>
        <v>#REF!</v>
      </c>
      <c r="AC148" s="36">
        <f t="shared" si="41"/>
        <v>100</v>
      </c>
      <c r="AD148" s="119" t="e">
        <f t="shared" si="41"/>
        <v>#REF!</v>
      </c>
      <c r="AE148" s="114" t="e">
        <f t="shared" si="37"/>
        <v>#REF!</v>
      </c>
      <c r="AF148" s="48" t="e">
        <f>AF147</f>
        <v>#REF!</v>
      </c>
      <c r="AG148" s="44"/>
      <c r="AH148" s="36">
        <v>100</v>
      </c>
      <c r="AI148" s="38">
        <f t="shared" si="42"/>
        <v>100</v>
      </c>
      <c r="AJ148" s="119" t="e">
        <f t="shared" si="42"/>
        <v>#REF!</v>
      </c>
      <c r="AK148" s="114" t="e">
        <f t="shared" si="38"/>
        <v>#REF!</v>
      </c>
      <c r="AL148" s="39" t="e">
        <f>AL147</f>
        <v>#REF!</v>
      </c>
      <c r="AN148" s="114" t="e">
        <f t="shared" si="39"/>
        <v>#REF!</v>
      </c>
      <c r="AO148" s="114" t="e">
        <f t="shared" si="40"/>
        <v>#REF!</v>
      </c>
    </row>
    <row r="149" spans="2:41" ht="15.75" customHeight="1" x14ac:dyDescent="0.2">
      <c r="B149" s="33">
        <v>100</v>
      </c>
      <c r="C149" s="33" t="s">
        <v>188</v>
      </c>
      <c r="D149" s="29">
        <v>0.5</v>
      </c>
      <c r="E149" s="50">
        <v>5</v>
      </c>
      <c r="F149">
        <v>10</v>
      </c>
      <c r="G149">
        <v>20</v>
      </c>
      <c r="R149" s="45" t="s">
        <v>102</v>
      </c>
      <c r="S149" s="45"/>
      <c r="T149" s="33"/>
      <c r="U149" s="33"/>
      <c r="V149" s="33">
        <v>200</v>
      </c>
      <c r="W149" s="50" t="e">
        <f>V149/#REF!</f>
        <v>#REF!</v>
      </c>
      <c r="X149" s="33"/>
      <c r="Y149" s="33"/>
      <c r="Z149" s="67"/>
      <c r="AB149" s="33" t="e">
        <f>#REF!</f>
        <v>#REF!</v>
      </c>
      <c r="AC149" s="33">
        <f>V149*D149</f>
        <v>100</v>
      </c>
      <c r="AD149" s="52" t="e">
        <f>AB149*(1+F149/100)/(1-#REF!/100)</f>
        <v>#REF!</v>
      </c>
      <c r="AE149" s="95" t="e">
        <f t="shared" si="37"/>
        <v>#REF!</v>
      </c>
      <c r="AF149" s="44" t="e">
        <f>AC149/AB149</f>
        <v>#REF!</v>
      </c>
      <c r="AG149" s="44"/>
      <c r="AH149" s="33" t="e">
        <f>#REF!</f>
        <v>#REF!</v>
      </c>
      <c r="AI149" s="31">
        <f>V149*(1-D149)</f>
        <v>100</v>
      </c>
      <c r="AJ149" s="52" t="e">
        <f>AH149*(1+G149/100)/(1-#REF!/100)</f>
        <v>#REF!</v>
      </c>
      <c r="AK149" s="54" t="e">
        <f t="shared" si="38"/>
        <v>#REF!</v>
      </c>
      <c r="AL149" s="32" t="e">
        <f>AI149/AH149</f>
        <v>#REF!</v>
      </c>
      <c r="AN149" s="54" t="e">
        <f t="shared" si="39"/>
        <v>#REF!</v>
      </c>
      <c r="AO149" s="54" t="e">
        <f t="shared" si="40"/>
        <v>#REF!</v>
      </c>
    </row>
    <row r="150" spans="2:41" ht="15.75" customHeight="1" x14ac:dyDescent="0.2">
      <c r="B150" s="36">
        <v>109</v>
      </c>
      <c r="C150" s="36" t="s">
        <v>188</v>
      </c>
      <c r="D150" s="37">
        <v>0.5</v>
      </c>
      <c r="E150" s="51">
        <v>5</v>
      </c>
      <c r="F150" s="35">
        <v>10</v>
      </c>
      <c r="G150" s="35">
        <v>20</v>
      </c>
      <c r="H150" s="35"/>
      <c r="R150" s="47"/>
      <c r="S150" s="47"/>
      <c r="T150" s="36"/>
      <c r="U150" s="36"/>
      <c r="V150" s="36"/>
      <c r="W150" s="51"/>
      <c r="X150" s="36"/>
      <c r="Y150" s="36"/>
      <c r="Z150" s="67"/>
      <c r="AB150" s="36" t="e">
        <f t="shared" ref="AB150:AD150" si="43">AB149</f>
        <v>#REF!</v>
      </c>
      <c r="AC150" s="36">
        <f t="shared" si="43"/>
        <v>100</v>
      </c>
      <c r="AD150" s="40" t="e">
        <f t="shared" si="43"/>
        <v>#REF!</v>
      </c>
      <c r="AE150" s="55" t="e">
        <f t="shared" si="37"/>
        <v>#REF!</v>
      </c>
      <c r="AF150" s="48" t="e">
        <f>AF149</f>
        <v>#REF!</v>
      </c>
      <c r="AG150" s="44"/>
      <c r="AH150" s="36">
        <v>100</v>
      </c>
      <c r="AI150" s="38">
        <f t="shared" ref="AI150:AJ150" si="44">AI149</f>
        <v>100</v>
      </c>
      <c r="AJ150" s="40" t="e">
        <f t="shared" si="44"/>
        <v>#REF!</v>
      </c>
      <c r="AK150" s="55" t="e">
        <f t="shared" si="38"/>
        <v>#REF!</v>
      </c>
      <c r="AL150" s="39" t="e">
        <f>AL149</f>
        <v>#REF!</v>
      </c>
      <c r="AN150" s="55" t="e">
        <f t="shared" si="39"/>
        <v>#REF!</v>
      </c>
      <c r="AO150" s="55" t="e">
        <f t="shared" si="40"/>
        <v>#REF!</v>
      </c>
    </row>
    <row r="151" spans="2:41" ht="15.75" customHeight="1" x14ac:dyDescent="0.2">
      <c r="B151" s="33">
        <v>115</v>
      </c>
      <c r="C151" s="33" t="s">
        <v>188</v>
      </c>
      <c r="D151" s="29">
        <v>0.5</v>
      </c>
      <c r="E151" s="50">
        <v>5</v>
      </c>
      <c r="F151">
        <v>10</v>
      </c>
      <c r="G151">
        <v>20</v>
      </c>
      <c r="R151" s="45"/>
      <c r="S151" s="45"/>
      <c r="T151" s="33"/>
      <c r="U151" s="33"/>
      <c r="V151" s="33"/>
      <c r="W151" s="50"/>
      <c r="X151" s="33"/>
      <c r="Y151" s="33"/>
      <c r="Z151" s="67"/>
      <c r="AB151" s="33" t="e">
        <f t="shared" ref="AB151:AD151" si="45">AB150</f>
        <v>#REF!</v>
      </c>
      <c r="AC151" s="33">
        <f t="shared" si="45"/>
        <v>100</v>
      </c>
      <c r="AD151" s="118" t="e">
        <f t="shared" si="45"/>
        <v>#REF!</v>
      </c>
      <c r="AE151" s="113" t="e">
        <f t="shared" si="37"/>
        <v>#REF!</v>
      </c>
      <c r="AF151" s="44" t="e">
        <f>AF150</f>
        <v>#REF!</v>
      </c>
      <c r="AG151" s="44"/>
      <c r="AH151" s="33">
        <v>100</v>
      </c>
      <c r="AI151" s="31">
        <f t="shared" ref="AI151:AJ151" si="46">AI150</f>
        <v>100</v>
      </c>
      <c r="AJ151" s="52" t="e">
        <f t="shared" si="46"/>
        <v>#REF!</v>
      </c>
      <c r="AK151" s="62" t="e">
        <f t="shared" si="38"/>
        <v>#REF!</v>
      </c>
      <c r="AL151" s="32" t="e">
        <f>AL150</f>
        <v>#REF!</v>
      </c>
      <c r="AN151" s="117" t="e">
        <f t="shared" si="39"/>
        <v>#REF!</v>
      </c>
      <c r="AO151" s="54" t="e">
        <f t="shared" si="40"/>
        <v>#REF!</v>
      </c>
    </row>
    <row r="152" spans="2:41" ht="15.75" customHeight="1" x14ac:dyDescent="0.2">
      <c r="B152" s="36">
        <v>122</v>
      </c>
      <c r="C152" s="121" t="s">
        <v>188</v>
      </c>
      <c r="D152" s="37">
        <v>0.5</v>
      </c>
      <c r="E152" s="51">
        <v>5</v>
      </c>
      <c r="F152" s="35">
        <v>10</v>
      </c>
      <c r="G152" s="35">
        <v>20</v>
      </c>
      <c r="H152" s="35"/>
      <c r="R152" s="47"/>
      <c r="S152" s="47"/>
      <c r="T152" s="36"/>
      <c r="U152" s="36"/>
      <c r="V152" s="36"/>
      <c r="W152" s="51"/>
      <c r="X152" s="36"/>
      <c r="Y152" s="36"/>
      <c r="Z152" s="67"/>
      <c r="AB152" s="36" t="e">
        <f t="shared" ref="AB152:AD152" si="47">AB151</f>
        <v>#REF!</v>
      </c>
      <c r="AC152" s="36">
        <f t="shared" si="47"/>
        <v>100</v>
      </c>
      <c r="AD152" s="119" t="e">
        <f t="shared" si="47"/>
        <v>#REF!</v>
      </c>
      <c r="AE152" s="114" t="e">
        <f t="shared" si="37"/>
        <v>#REF!</v>
      </c>
      <c r="AF152" s="48" t="e">
        <f>AF151</f>
        <v>#REF!</v>
      </c>
      <c r="AG152" s="44"/>
      <c r="AH152" s="36">
        <v>100</v>
      </c>
      <c r="AI152" s="38">
        <f t="shared" ref="AI152:AJ152" si="48">AI151</f>
        <v>100</v>
      </c>
      <c r="AJ152" s="119" t="e">
        <f t="shared" si="48"/>
        <v>#REF!</v>
      </c>
      <c r="AK152" s="114" t="e">
        <f t="shared" si="38"/>
        <v>#REF!</v>
      </c>
      <c r="AL152" s="39" t="e">
        <f>AL151</f>
        <v>#REF!</v>
      </c>
      <c r="AN152" s="114" t="e">
        <f t="shared" si="39"/>
        <v>#REF!</v>
      </c>
      <c r="AO152" s="114" t="e">
        <f t="shared" si="40"/>
        <v>#REF!</v>
      </c>
    </row>
    <row r="153" spans="2:41" ht="15.75" customHeight="1" x14ac:dyDescent="0.2">
      <c r="B153" s="33">
        <v>122</v>
      </c>
      <c r="C153" s="33" t="s">
        <v>188</v>
      </c>
      <c r="D153" s="29">
        <v>0.5</v>
      </c>
      <c r="E153" s="50">
        <v>5</v>
      </c>
      <c r="F153">
        <v>10</v>
      </c>
      <c r="G153">
        <v>20</v>
      </c>
      <c r="R153" s="45" t="s">
        <v>189</v>
      </c>
      <c r="S153" s="45"/>
      <c r="T153" s="33"/>
      <c r="U153" s="33"/>
      <c r="V153" s="33">
        <v>200</v>
      </c>
      <c r="W153" s="50" t="e">
        <f>V153/#REF!</f>
        <v>#REF!</v>
      </c>
      <c r="X153" s="33"/>
      <c r="Y153" s="33"/>
      <c r="Z153" s="67"/>
      <c r="AB153" s="33" t="e">
        <f>#REF!</f>
        <v>#REF!</v>
      </c>
      <c r="AC153" s="33">
        <f>V153*D153</f>
        <v>100</v>
      </c>
      <c r="AD153" s="118" t="e">
        <f>AB153*(1+F153/100)/(1-#REF!/100)</f>
        <v>#REF!</v>
      </c>
      <c r="AE153" s="113" t="e">
        <f t="shared" si="37"/>
        <v>#REF!</v>
      </c>
      <c r="AF153" s="44" t="e">
        <f>AF152</f>
        <v>#REF!</v>
      </c>
      <c r="AG153" s="44"/>
      <c r="AH153" s="33" t="e">
        <f>#REF!</f>
        <v>#REF!</v>
      </c>
      <c r="AI153" s="31">
        <f>V153*(1-D153)</f>
        <v>100</v>
      </c>
      <c r="AJ153" s="52" t="e">
        <f>AH153*(1+G153/100)/(1-#REF!/100)</f>
        <v>#REF!</v>
      </c>
      <c r="AK153" s="54" t="e">
        <f t="shared" si="38"/>
        <v>#REF!</v>
      </c>
      <c r="AL153" s="32" t="e">
        <f>AI153/AH153</f>
        <v>#REF!</v>
      </c>
      <c r="AN153" s="117" t="e">
        <f t="shared" si="39"/>
        <v>#REF!</v>
      </c>
      <c r="AO153" s="54" t="e">
        <f t="shared" si="40"/>
        <v>#REF!</v>
      </c>
    </row>
    <row r="154" spans="2:41" ht="15.75" customHeight="1" x14ac:dyDescent="0.2">
      <c r="B154" s="33"/>
      <c r="C154" s="33"/>
      <c r="D154" s="29"/>
      <c r="E154" s="50"/>
      <c r="R154" s="45"/>
      <c r="S154" s="45"/>
      <c r="T154" s="33"/>
      <c r="U154" s="33"/>
      <c r="V154" s="33"/>
      <c r="W154" s="50"/>
      <c r="X154" s="33"/>
      <c r="Y154" s="33"/>
      <c r="Z154" s="67"/>
      <c r="AB154" s="33"/>
      <c r="AC154" s="33"/>
      <c r="AD154" s="52"/>
      <c r="AE154" s="62"/>
      <c r="AF154" s="44"/>
      <c r="AG154" s="44"/>
      <c r="AH154" s="33"/>
      <c r="AI154" s="31"/>
      <c r="AJ154" s="33"/>
      <c r="AK154" s="62"/>
      <c r="AL154" s="32"/>
    </row>
    <row r="155" spans="2:41" ht="15.75" customHeight="1" x14ac:dyDescent="0.2">
      <c r="AB155" s="110"/>
      <c r="AC155" s="110"/>
      <c r="AD155" s="110"/>
      <c r="AE155" s="110"/>
      <c r="AF155" s="110"/>
      <c r="AG155" s="110"/>
      <c r="AH155" s="110"/>
      <c r="AI155" s="110"/>
      <c r="AJ155" s="110"/>
      <c r="AK155" s="110"/>
      <c r="AL155" s="110"/>
      <c r="AM155" s="110"/>
    </row>
    <row r="156" spans="2:41" ht="15.75" customHeight="1" x14ac:dyDescent="0.2">
      <c r="B156" s="185" t="s">
        <v>103</v>
      </c>
      <c r="C156" s="34"/>
      <c r="AB156" s="110"/>
      <c r="AC156" s="110"/>
      <c r="AD156" s="111"/>
      <c r="AE156" s="110"/>
      <c r="AF156" s="110"/>
      <c r="AG156" s="110"/>
      <c r="AH156" s="110"/>
      <c r="AI156" s="110"/>
      <c r="AJ156" s="110"/>
      <c r="AK156" s="110"/>
      <c r="AL156" s="110"/>
      <c r="AM156" s="110"/>
    </row>
    <row r="157" spans="2:41" ht="15.75" customHeight="1" x14ac:dyDescent="0.2">
      <c r="B157" s="28" t="s">
        <v>61</v>
      </c>
      <c r="C157" s="28"/>
      <c r="D157" s="28" t="s">
        <v>29</v>
      </c>
      <c r="E157" s="57" t="s">
        <v>63</v>
      </c>
      <c r="F157" s="57" t="s">
        <v>72</v>
      </c>
      <c r="G157" s="57" t="s">
        <v>99</v>
      </c>
      <c r="H157" s="57"/>
      <c r="I157" s="101"/>
      <c r="J157" s="101"/>
      <c r="K157" s="101"/>
      <c r="L157" s="101"/>
      <c r="M157" s="101"/>
      <c r="N157" s="101"/>
      <c r="O157" s="101"/>
      <c r="P157" s="101"/>
      <c r="AB157" s="110"/>
      <c r="AC157" s="110"/>
      <c r="AD157" s="112"/>
      <c r="AE157" s="110"/>
      <c r="AF157" s="110"/>
      <c r="AG157" s="110"/>
      <c r="AH157" s="110"/>
      <c r="AI157" s="110"/>
      <c r="AJ157" s="110"/>
      <c r="AK157" s="110"/>
      <c r="AL157" s="110"/>
      <c r="AM157" s="110"/>
    </row>
    <row r="158" spans="2:41" ht="15.75" customHeight="1" x14ac:dyDescent="0.2">
      <c r="B158" s="33">
        <v>100</v>
      </c>
      <c r="C158" s="33"/>
      <c r="D158" s="29">
        <v>0.5</v>
      </c>
      <c r="E158" s="50">
        <v>5</v>
      </c>
      <c r="F158">
        <v>10</v>
      </c>
      <c r="G158">
        <v>20</v>
      </c>
      <c r="AB158" s="110"/>
      <c r="AC158" s="110"/>
      <c r="AD158" s="110"/>
      <c r="AE158" s="110"/>
      <c r="AF158" s="110"/>
      <c r="AG158" s="110"/>
      <c r="AH158" s="110"/>
      <c r="AI158" s="110"/>
      <c r="AJ158" s="110"/>
      <c r="AK158" s="110"/>
      <c r="AL158" s="110"/>
      <c r="AM158" s="110"/>
    </row>
    <row r="159" spans="2:41" ht="15.75" customHeight="1" x14ac:dyDescent="0.2">
      <c r="B159" s="36">
        <v>109</v>
      </c>
      <c r="C159" s="36"/>
      <c r="D159" s="37">
        <v>0.5</v>
      </c>
      <c r="E159" s="51">
        <v>5</v>
      </c>
      <c r="F159" s="35">
        <v>10</v>
      </c>
      <c r="G159" s="35">
        <v>20</v>
      </c>
      <c r="H159" s="35"/>
      <c r="AB159" s="110"/>
      <c r="AC159" s="110"/>
      <c r="AD159" s="110"/>
      <c r="AE159" s="110"/>
      <c r="AF159" s="110"/>
      <c r="AG159" s="110"/>
      <c r="AH159" s="110"/>
      <c r="AI159" s="110"/>
      <c r="AJ159" s="110"/>
      <c r="AK159" s="110"/>
      <c r="AL159" s="110"/>
      <c r="AM159" s="110"/>
    </row>
    <row r="160" spans="2:41" ht="15.75" customHeight="1" x14ac:dyDescent="0.2">
      <c r="B160" s="33">
        <v>115</v>
      </c>
      <c r="C160" s="33"/>
      <c r="D160" s="29">
        <v>0.5</v>
      </c>
      <c r="E160" s="50">
        <v>5</v>
      </c>
      <c r="F160">
        <v>10</v>
      </c>
      <c r="G160">
        <v>20</v>
      </c>
      <c r="AB160" s="110"/>
      <c r="AC160" s="110"/>
      <c r="AD160" s="110"/>
      <c r="AE160" s="110"/>
      <c r="AF160" s="110"/>
      <c r="AG160" s="110"/>
      <c r="AH160" s="110"/>
      <c r="AI160" s="110"/>
      <c r="AJ160" s="110"/>
      <c r="AK160" s="110"/>
      <c r="AL160" s="110"/>
      <c r="AM160" s="110"/>
    </row>
    <row r="161" spans="2:39" ht="15.75" customHeight="1" x14ac:dyDescent="0.2">
      <c r="B161" s="36">
        <v>122</v>
      </c>
      <c r="C161" s="36"/>
      <c r="D161" s="37">
        <v>0.5</v>
      </c>
      <c r="E161" s="51">
        <v>5</v>
      </c>
      <c r="F161" s="35">
        <v>10</v>
      </c>
      <c r="G161" s="35">
        <v>20</v>
      </c>
      <c r="H161" s="35"/>
      <c r="AB161" s="110"/>
      <c r="AC161" s="110"/>
      <c r="AD161" s="110"/>
      <c r="AE161" s="110"/>
      <c r="AF161" s="110"/>
      <c r="AG161" s="110"/>
      <c r="AH161" s="110"/>
      <c r="AI161" s="110"/>
      <c r="AJ161" s="110"/>
      <c r="AK161" s="110"/>
      <c r="AL161" s="110"/>
      <c r="AM161" s="110"/>
    </row>
    <row r="162" spans="2:39" ht="15.75" customHeight="1" x14ac:dyDescent="0.2">
      <c r="AM162" s="120"/>
    </row>
    <row r="163" spans="2:39" ht="15.75" customHeight="1" x14ac:dyDescent="0.2">
      <c r="B163" s="185" t="s">
        <v>175</v>
      </c>
      <c r="C163" s="34"/>
      <c r="AB163" s="56" t="s">
        <v>186</v>
      </c>
      <c r="AC163" s="12"/>
      <c r="AD163" s="12"/>
      <c r="AE163" s="34" t="s">
        <v>179</v>
      </c>
      <c r="AH163" s="46"/>
      <c r="AI163" s="45"/>
      <c r="AJ163" s="46"/>
      <c r="AK163" s="46"/>
      <c r="AL163" s="45"/>
    </row>
    <row r="164" spans="2:39" ht="15.75" customHeight="1" x14ac:dyDescent="0.2">
      <c r="B164" s="28" t="s">
        <v>110</v>
      </c>
      <c r="C164" s="28" t="s">
        <v>114</v>
      </c>
      <c r="D164" s="28" t="s">
        <v>29</v>
      </c>
      <c r="E164" s="57" t="s">
        <v>63</v>
      </c>
      <c r="F164" s="57" t="s">
        <v>72</v>
      </c>
      <c r="G164" s="57" t="s">
        <v>99</v>
      </c>
      <c r="H164" s="57"/>
      <c r="I164" s="101"/>
      <c r="J164" s="101"/>
      <c r="K164" s="101"/>
      <c r="L164" s="101"/>
      <c r="M164" s="101"/>
      <c r="N164" s="101"/>
      <c r="O164" s="101"/>
      <c r="P164" s="101"/>
      <c r="R164" s="28" t="s">
        <v>3</v>
      </c>
      <c r="S164" s="28"/>
      <c r="T164" s="28"/>
      <c r="U164" s="57" t="s">
        <v>70</v>
      </c>
      <c r="V164" s="28" t="s">
        <v>1</v>
      </c>
      <c r="W164" s="57" t="s">
        <v>62</v>
      </c>
      <c r="X164" s="101"/>
      <c r="Y164" s="101"/>
      <c r="AB164" s="57" t="s">
        <v>0</v>
      </c>
      <c r="AC164" s="57" t="s">
        <v>9</v>
      </c>
      <c r="AD164" s="101"/>
      <c r="AE164" s="57" t="s">
        <v>182</v>
      </c>
      <c r="AF164" s="57" t="s">
        <v>183</v>
      </c>
      <c r="AG164" s="57" t="s">
        <v>181</v>
      </c>
      <c r="AH164" s="101"/>
      <c r="AI164" s="101"/>
      <c r="AJ164" s="101"/>
      <c r="AK164" s="101"/>
      <c r="AL164" s="101"/>
    </row>
    <row r="165" spans="2:39" ht="15.75" customHeight="1" x14ac:dyDescent="0.2">
      <c r="B165" s="33">
        <v>100</v>
      </c>
      <c r="C165" s="99" t="s">
        <v>176</v>
      </c>
      <c r="D165" s="29">
        <v>0.5</v>
      </c>
      <c r="E165" s="50">
        <v>5</v>
      </c>
      <c r="F165">
        <v>10</v>
      </c>
      <c r="G165">
        <v>20</v>
      </c>
      <c r="R165" s="45" t="s">
        <v>75</v>
      </c>
      <c r="S165" s="45"/>
      <c r="T165" s="33"/>
      <c r="U165" s="33"/>
      <c r="V165" s="33">
        <v>500</v>
      </c>
      <c r="W165" s="50" t="e">
        <f>V165/#REF!</f>
        <v>#REF!</v>
      </c>
      <c r="X165" s="52"/>
      <c r="Y165" s="52"/>
      <c r="AB165" s="33"/>
      <c r="AC165" s="33"/>
      <c r="AD165" s="33"/>
      <c r="AE165" s="100" t="e">
        <f>IF(
      OR(
        (B165*(1+#REF!/100)/C172-1)*100 &lt;= -E165,
        (B165*(1+#REF!/100)/C173-1)*100 &lt;= -E165,
        (B165*(1+#REF!/100)/C174-1)*100 &lt;= -E165,
        (B165*(1+#REF!/100)/C175-1)*100 &lt;= -E165,
        (B165*(1+#REF!/100)/C176-1)*100 &lt;= -E165
      ),
      MIN(
        IF((B165*(1+#REF!/100)/C172-1)*100 &lt;= -E165, (B165*(1+#REF!/100)/C172-1)*100, 0),
        IF((B165*(1+#REF!/100)/C173-1)*100 &lt;= -E165, (B165*(1+#REF!/100)/C173-1)*100, 0),
        IF((B165*(1+#REF!/100)/C174-1)*100 &lt;= -E165, (B165*(1+#REF!/100)/C174-1)*100, 0),
        IF((B165*(1+#REF!/100)/C175-1)*100 &lt;= -E165, (B165*(1+#REF!/100)/C175-1)*100, 0),
        IF((B165*(1+#REF!/100)/C176-1)*100 &lt;= -E165, (B165*(1+#REF!/100)/C176-1)*100, 0)
      )/100,
      ""
    )</f>
        <v>#REF!</v>
      </c>
      <c r="AF165" s="92" t="s">
        <v>34</v>
      </c>
      <c r="AG165" t="s">
        <v>184</v>
      </c>
      <c r="AH165" s="99"/>
      <c r="AI165" s="102"/>
      <c r="AJ165" s="99"/>
      <c r="AK165" s="103"/>
      <c r="AL165" s="104"/>
    </row>
    <row r="166" spans="2:39" ht="15.75" customHeight="1" x14ac:dyDescent="0.2">
      <c r="B166" s="36"/>
      <c r="C166" s="36"/>
      <c r="D166" s="37"/>
      <c r="E166" s="51"/>
      <c r="F166" s="35"/>
      <c r="G166" s="35"/>
      <c r="H166" s="35"/>
      <c r="R166" s="47" t="s">
        <v>75</v>
      </c>
      <c r="S166" s="47"/>
      <c r="T166" s="36"/>
      <c r="U166" s="36"/>
      <c r="V166" s="36">
        <v>200</v>
      </c>
      <c r="W166" s="51" t="e">
        <f>V166/#REF!</f>
        <v>#REF!</v>
      </c>
      <c r="X166" s="52"/>
      <c r="Y166" s="52"/>
      <c r="AB166" s="36"/>
      <c r="AC166" s="36"/>
      <c r="AD166" s="33"/>
      <c r="AE166" s="107" t="e">
        <f>IF(
      OR(
        (B165*(1+#REF!/100)/C172-1)*100 &lt;= -E165,
        (B165*(1+#REF!/100)/C173-1)*100 &lt;= -E165,
        (B165*(1+#REF!/100)/C174-1)*100 &lt;= -E165,
        (B165*(1+#REF!/100)/C175-1)*100 &lt;= -E165,
        (B165*(1+#REF!/100)/C176-1)*100 &lt;= -E165
      ),
      MIN(
        IF((B165*(1+#REF!/100)/C172-1)*100 &lt;= -E165, (B165*(1+#REF!/100)/C172-1)*100, 0),
        IF((B165*(1+#REF!/100)/C173-1)*100 &lt;= -E165, (B165*(1+#REF!/100)/C173-1)*100, 0),
        IF((B165*(1+#REF!/100)/C174-1)*100 &lt;= -E165, (B165*(1+#REF!/100)/C174-1)*100, 0),
        IF((B165*(1+#REF!/100)/C175-1)*100 &lt;= -E165, (B165*(1+#REF!/100)/C175-1)*100, 0),
        IF((B165*(1+#REF!/100)/C176-1)*100 &lt;= -E165, (B165*(1+#REF!/100)/C176-1)*100, 0)
      )/100,
      ""
    )</f>
        <v>#REF!</v>
      </c>
      <c r="AF166" s="105" t="s">
        <v>34</v>
      </c>
      <c r="AG166" s="35" t="e">
        <f>#REF!</f>
        <v>#REF!</v>
      </c>
      <c r="AH166" s="99"/>
      <c r="AI166" s="102"/>
      <c r="AJ166" s="99"/>
      <c r="AK166" s="103"/>
      <c r="AL166" s="104"/>
    </row>
    <row r="167" spans="2:39" ht="15.75" customHeight="1" x14ac:dyDescent="0.2">
      <c r="B167" s="33">
        <v>50</v>
      </c>
      <c r="C167" s="99" t="s">
        <v>185</v>
      </c>
      <c r="D167" s="29">
        <v>0.5</v>
      </c>
      <c r="E167" s="50">
        <v>8</v>
      </c>
      <c r="F167">
        <v>10</v>
      </c>
      <c r="G167">
        <v>20</v>
      </c>
      <c r="R167" s="45" t="s">
        <v>75</v>
      </c>
      <c r="S167" s="45"/>
      <c r="T167" s="33"/>
      <c r="U167" s="33"/>
      <c r="V167" s="33">
        <v>600</v>
      </c>
      <c r="W167" s="50" t="e">
        <f>V167/#REF!</f>
        <v>#REF!</v>
      </c>
      <c r="X167" s="52"/>
      <c r="Y167" s="52"/>
      <c r="AB167" s="33" t="e">
        <f>#REF!</f>
        <v>#REF!</v>
      </c>
      <c r="AC167" s="52" t="e">
        <f>AB167 * (1 - $E$167%)</f>
        <v>#REF!</v>
      </c>
      <c r="AD167" s="33"/>
      <c r="AF167" s="54" t="e">
        <f>($B$167 -#REF!) /#REF!</f>
        <v>#REF!</v>
      </c>
      <c r="AG167" t="e">
        <f>#REF!</f>
        <v>#REF!</v>
      </c>
      <c r="AH167" s="99"/>
      <c r="AI167" s="102"/>
      <c r="AJ167" s="99"/>
      <c r="AK167" s="103"/>
      <c r="AL167" s="104"/>
    </row>
    <row r="168" spans="2:39" ht="15.75" customHeight="1" x14ac:dyDescent="0.2">
      <c r="B168" s="36"/>
      <c r="C168" s="36"/>
      <c r="D168" s="37"/>
      <c r="E168" s="51"/>
      <c r="F168" s="35"/>
      <c r="G168" s="35"/>
      <c r="H168" s="35"/>
      <c r="R168" s="47" t="s">
        <v>75</v>
      </c>
      <c r="S168" s="47"/>
      <c r="T168" s="36"/>
      <c r="U168" s="36"/>
      <c r="V168" s="36">
        <v>520</v>
      </c>
      <c r="W168" s="51" t="e">
        <f>V168/#REF!</f>
        <v>#REF!</v>
      </c>
      <c r="X168" s="52"/>
      <c r="Y168" s="52"/>
      <c r="AB168" s="36" t="e">
        <f>#REF!</f>
        <v>#REF!</v>
      </c>
      <c r="AC168" s="40" t="e">
        <f t="shared" ref="AC168:AC169" si="49">AB168 * (1 - $E$167%)</f>
        <v>#REF!</v>
      </c>
      <c r="AD168" s="33"/>
      <c r="AE168" s="35"/>
      <c r="AF168" s="55" t="e">
        <f>($B$167 -#REF!) /#REF!</f>
        <v>#REF!</v>
      </c>
      <c r="AG168" s="35" t="e">
        <f>#REF!</f>
        <v>#REF!</v>
      </c>
      <c r="AH168" s="99"/>
      <c r="AI168" s="102"/>
      <c r="AJ168" s="99"/>
      <c r="AK168" s="103"/>
      <c r="AL168" s="104"/>
    </row>
    <row r="169" spans="2:39" ht="15.75" customHeight="1" x14ac:dyDescent="0.2">
      <c r="B169" s="33"/>
      <c r="C169" s="33"/>
      <c r="D169" s="29"/>
      <c r="E169" s="50"/>
      <c r="R169" t="s">
        <v>75</v>
      </c>
      <c r="V169" s="33">
        <v>700</v>
      </c>
      <c r="W169" s="50" t="e">
        <f>V169/#REF!</f>
        <v>#REF!</v>
      </c>
      <c r="X169" s="52"/>
      <c r="Y169" s="52"/>
      <c r="AB169" s="33" t="e">
        <f>#REF!</f>
        <v>#REF!</v>
      </c>
      <c r="AC169" s="52" t="e">
        <f t="shared" si="49"/>
        <v>#REF!</v>
      </c>
      <c r="AF169" s="54" t="e">
        <f>($B$167 -#REF!) /#REF!</f>
        <v>#REF!</v>
      </c>
      <c r="AG169" t="e">
        <f>#REF!</f>
        <v>#REF!</v>
      </c>
      <c r="AH169" s="45"/>
      <c r="AI169" s="45"/>
      <c r="AJ169" s="45"/>
      <c r="AK169" s="45"/>
      <c r="AL169" s="45"/>
    </row>
    <row r="170" spans="2:39" ht="15.75" customHeight="1" x14ac:dyDescent="0.2">
      <c r="B170" s="99" t="s">
        <v>177</v>
      </c>
      <c r="C170" s="33"/>
      <c r="D170" s="29"/>
      <c r="E170" s="50"/>
      <c r="R170" s="47" t="s">
        <v>75</v>
      </c>
      <c r="S170" s="47"/>
      <c r="T170" s="35"/>
      <c r="U170" s="35"/>
      <c r="V170" s="36">
        <v>255</v>
      </c>
      <c r="W170" s="51" t="e">
        <f>V170/#REF!</f>
        <v>#REF!</v>
      </c>
      <c r="AB170" s="36" t="e">
        <f>#REF!</f>
        <v>#REF!</v>
      </c>
      <c r="AC170" s="40" t="e">
        <f>(AB170 * (1 - $E$167%)) / (1 +#REF! %)</f>
        <v>#REF!</v>
      </c>
      <c r="AE170" s="35"/>
      <c r="AF170" s="106" t="e">
        <f>($B$167 -#REF!) /#REF!</f>
        <v>#REF!</v>
      </c>
      <c r="AG170" s="35" t="e">
        <f>#REF!</f>
        <v>#REF!</v>
      </c>
    </row>
    <row r="171" spans="2:39" ht="15.75" customHeight="1" x14ac:dyDescent="0.2">
      <c r="B171" s="57" t="s">
        <v>2</v>
      </c>
      <c r="C171" s="57" t="s">
        <v>178</v>
      </c>
      <c r="D171" s="57" t="s">
        <v>180</v>
      </c>
      <c r="R171" s="45" t="s">
        <v>75</v>
      </c>
      <c r="S171" s="45"/>
      <c r="V171" s="33">
        <v>1100</v>
      </c>
      <c r="W171" s="50" t="e">
        <f>V171/#REF!</f>
        <v>#REF!</v>
      </c>
      <c r="AB171" s="33" t="e">
        <f>#REF!</f>
        <v>#REF!</v>
      </c>
      <c r="AE171" s="100" t="e">
        <f>IF(
      OR(
        (B165*(1+#REF!/100)/C172-1)*100 &lt;= -E165,
        (B165*(1+#REF!/100)/C173-1)*100 &lt;= -E165,
        (B165*(1+#REF!/100)/C174-1)*100 &lt;= -E165,
        (B165*(1+#REF!/100)/C175-1)*100 &lt;= -E165,
        (B165*(1+#REF!/100)/C176-1)*100 &lt;= -E165
      ),
      MIN(
        IF((B165*(1+#REF!/100)/C172-1)*100 &lt;= -E165, (B165*(1+#REF!/100)/C172-1)*100, 0),
        IF((B165*(1+#REF!/100)/C173-1)*100 &lt;= -E165, (B165*(1+#REF!/100)/C173-1)*100, 0),
        IF((B165*(1+#REF!/100)/C174-1)*100 &lt;= -E165, (B165*(1+#REF!/100)/C174-1)*100, 0),
        IF((B165*(1+#REF!/100)/C175-1)*100 &lt;= -E165, (B165*(1+#REF!/100)/C175-1)*100, 0),
        IF((B165*(1+#REF!/100)/C176-1)*100 &lt;= -E165, (B165*(1+#REF!/100)/C176-1)*100, 0)
      )/100,
      ""
    )</f>
        <v>#REF!</v>
      </c>
      <c r="AF171" s="108" t="e">
        <f>($B$165 -#REF!) /#REF!</f>
        <v>#REF!</v>
      </c>
      <c r="AG171" t="e">
        <f>#REF!</f>
        <v>#REF!</v>
      </c>
    </row>
    <row r="172" spans="2:39" ht="15.75" customHeight="1" x14ac:dyDescent="0.2">
      <c r="B172" s="98">
        <v>45924</v>
      </c>
      <c r="C172" s="97">
        <v>106</v>
      </c>
    </row>
    <row r="173" spans="2:39" ht="15.75" customHeight="1" x14ac:dyDescent="0.2">
      <c r="B173" s="98">
        <v>45923</v>
      </c>
      <c r="C173" s="97">
        <v>105</v>
      </c>
    </row>
    <row r="174" spans="2:39" ht="15.75" customHeight="1" x14ac:dyDescent="0.2">
      <c r="B174" s="98">
        <v>45922</v>
      </c>
      <c r="C174" s="97">
        <v>108</v>
      </c>
    </row>
    <row r="175" spans="2:39" ht="15.75" customHeight="1" x14ac:dyDescent="0.2">
      <c r="B175" s="98">
        <v>45921</v>
      </c>
      <c r="C175" s="97">
        <v>107</v>
      </c>
    </row>
    <row r="176" spans="2:39" ht="15.75" customHeight="1" x14ac:dyDescent="0.2">
      <c r="B176" s="98">
        <v>45920</v>
      </c>
      <c r="C176" s="97">
        <v>104</v>
      </c>
      <c r="Q176" s="45"/>
      <c r="AC176" s="68"/>
    </row>
    <row r="177" spans="17:44" ht="15.75" customHeight="1" x14ac:dyDescent="0.2">
      <c r="Q177" s="45"/>
    </row>
    <row r="178" spans="17:44" ht="15.75" customHeight="1" x14ac:dyDescent="0.2">
      <c r="Q178" s="45"/>
    </row>
    <row r="179" spans="17:44" ht="15.75" customHeight="1" x14ac:dyDescent="0.2">
      <c r="Q179" s="92"/>
      <c r="AC179" s="45" t="s">
        <v>74</v>
      </c>
      <c r="AM179" s="45" t="s">
        <v>94</v>
      </c>
    </row>
    <row r="180" spans="17:44" ht="15.75" customHeight="1" x14ac:dyDescent="0.2">
      <c r="AC180" s="69" t="s">
        <v>2</v>
      </c>
      <c r="AD180" s="70" t="s">
        <v>3</v>
      </c>
      <c r="AE180" s="70"/>
      <c r="AF180" s="70" t="s">
        <v>76</v>
      </c>
      <c r="AG180" s="70" t="s">
        <v>4</v>
      </c>
      <c r="AH180" s="70" t="s">
        <v>0</v>
      </c>
      <c r="AI180" s="70" t="s">
        <v>1</v>
      </c>
      <c r="AJ180" s="70" t="s">
        <v>62</v>
      </c>
      <c r="AK180" s="70"/>
      <c r="AL180" s="70" t="s">
        <v>77</v>
      </c>
      <c r="AM180" s="70" t="s">
        <v>84</v>
      </c>
      <c r="AN180" s="70" t="s">
        <v>83</v>
      </c>
      <c r="AO180" s="70" t="s">
        <v>7</v>
      </c>
      <c r="AP180" s="70" t="s">
        <v>81</v>
      </c>
      <c r="AQ180" s="70" t="s">
        <v>79</v>
      </c>
      <c r="AR180" s="70" t="s">
        <v>82</v>
      </c>
    </row>
    <row r="181" spans="17:44" ht="15.75" customHeight="1" x14ac:dyDescent="0.2">
      <c r="AC181" s="78">
        <v>45658</v>
      </c>
      <c r="AD181" s="79" t="s">
        <v>75</v>
      </c>
      <c r="AE181" s="79"/>
      <c r="AF181" s="80" t="s">
        <v>85</v>
      </c>
      <c r="AG181" s="79" t="s">
        <v>78</v>
      </c>
      <c r="AH181" s="81">
        <v>200</v>
      </c>
      <c r="AI181" s="81">
        <v>200</v>
      </c>
      <c r="AJ181" s="82">
        <f>AI181/AH181</f>
        <v>1</v>
      </c>
      <c r="AK181" s="82"/>
      <c r="AL181" s="79"/>
      <c r="AM181" s="82">
        <v>1</v>
      </c>
      <c r="AN181" s="82">
        <f>AM181/2</f>
        <v>0.5</v>
      </c>
      <c r="AO181" s="83">
        <f>AM181/2</f>
        <v>0.5</v>
      </c>
      <c r="AP181" s="81">
        <v>0</v>
      </c>
      <c r="AQ181" s="84">
        <f>ABS(AP181-AI181)</f>
        <v>200</v>
      </c>
      <c r="AR181" s="85">
        <f>((AP181+(AJ181*AH181)-AQ181)/AQ181)</f>
        <v>0</v>
      </c>
    </row>
    <row r="182" spans="17:44" ht="15.75" customHeight="1" x14ac:dyDescent="0.2">
      <c r="AC182" s="71">
        <v>45659</v>
      </c>
      <c r="AD182" s="72" t="s">
        <v>73</v>
      </c>
      <c r="AE182" s="72"/>
      <c r="AF182" s="74" t="s">
        <v>86</v>
      </c>
      <c r="AG182" s="72" t="s">
        <v>10</v>
      </c>
      <c r="AH182" s="73">
        <v>220</v>
      </c>
      <c r="AI182" s="72"/>
      <c r="AJ182" s="75">
        <f>AN181</f>
        <v>0.5</v>
      </c>
      <c r="AK182" s="75"/>
      <c r="AL182" s="73">
        <f>AH182*AJ182</f>
        <v>110</v>
      </c>
      <c r="AM182" s="75">
        <v>0.5</v>
      </c>
      <c r="AN182" s="75">
        <v>0</v>
      </c>
      <c r="AO182" s="75">
        <v>0.5</v>
      </c>
      <c r="AP182" s="73">
        <f>AL182+AP181</f>
        <v>110</v>
      </c>
      <c r="AQ182" s="73">
        <f>AQ181</f>
        <v>200</v>
      </c>
      <c r="AR182" s="77">
        <f t="shared" ref="AR182:AR190" si="50">((AP182+(AM182*AH182)-AQ182)/AQ182)</f>
        <v>0.1</v>
      </c>
    </row>
    <row r="183" spans="17:44" ht="15.75" customHeight="1" x14ac:dyDescent="0.2">
      <c r="AC183" s="78">
        <v>45660</v>
      </c>
      <c r="AD183" s="79" t="s">
        <v>75</v>
      </c>
      <c r="AE183" s="79"/>
      <c r="AF183" s="80" t="s">
        <v>87</v>
      </c>
      <c r="AG183" s="79" t="s">
        <v>80</v>
      </c>
      <c r="AH183" s="81">
        <v>220</v>
      </c>
      <c r="AI183" s="81">
        <v>220</v>
      </c>
      <c r="AJ183" s="82">
        <f>AI183/AH183</f>
        <v>1</v>
      </c>
      <c r="AK183" s="82"/>
      <c r="AL183" s="79"/>
      <c r="AM183" s="82">
        <f>AJ183+AM182</f>
        <v>1.5</v>
      </c>
      <c r="AN183" s="82">
        <f>AN182+(AJ183/2)</f>
        <v>0.5</v>
      </c>
      <c r="AO183" s="82">
        <f>AO182+(AJ183/2)</f>
        <v>1</v>
      </c>
      <c r="AP183" s="81">
        <v>0</v>
      </c>
      <c r="AQ183" s="81">
        <f>AQ182+(AI183-AP182)</f>
        <v>310</v>
      </c>
      <c r="AR183" s="85">
        <f t="shared" si="50"/>
        <v>6.4516129032258063E-2</v>
      </c>
    </row>
    <row r="184" spans="17:44" ht="15.75" customHeight="1" x14ac:dyDescent="0.2">
      <c r="AC184" s="71">
        <v>45661</v>
      </c>
      <c r="AD184" s="72" t="s">
        <v>73</v>
      </c>
      <c r="AE184" s="72"/>
      <c r="AF184" s="74" t="s">
        <v>88</v>
      </c>
      <c r="AG184" s="72" t="s">
        <v>80</v>
      </c>
      <c r="AH184" s="73">
        <v>190</v>
      </c>
      <c r="AI184" s="72"/>
      <c r="AJ184" s="75">
        <v>0.5</v>
      </c>
      <c r="AK184" s="75"/>
      <c r="AL184" s="73">
        <f>AH184*AJ184</f>
        <v>95</v>
      </c>
      <c r="AM184" s="75">
        <f>AM183-AJ184</f>
        <v>1</v>
      </c>
      <c r="AN184" s="75">
        <f>AN183</f>
        <v>0.5</v>
      </c>
      <c r="AO184" s="75">
        <f>AO183-AJ184</f>
        <v>0.5</v>
      </c>
      <c r="AP184" s="73">
        <f>AP183+AL184</f>
        <v>95</v>
      </c>
      <c r="AQ184" s="73">
        <f>AQ183</f>
        <v>310</v>
      </c>
      <c r="AR184" s="77">
        <f t="shared" si="50"/>
        <v>-8.0645161290322578E-2</v>
      </c>
    </row>
    <row r="185" spans="17:44" ht="15.75" customHeight="1" x14ac:dyDescent="0.2">
      <c r="AC185" s="78">
        <v>45662</v>
      </c>
      <c r="AD185" s="79" t="s">
        <v>75</v>
      </c>
      <c r="AE185" s="79"/>
      <c r="AF185" s="80" t="s">
        <v>89</v>
      </c>
      <c r="AG185" s="79" t="s">
        <v>80</v>
      </c>
      <c r="AH185" s="81">
        <v>200</v>
      </c>
      <c r="AI185" s="81">
        <v>200</v>
      </c>
      <c r="AJ185" s="82">
        <f>AI185/AH185</f>
        <v>1</v>
      </c>
      <c r="AK185" s="82"/>
      <c r="AL185" s="79"/>
      <c r="AM185" s="82">
        <f>AM184+AJ185</f>
        <v>2</v>
      </c>
      <c r="AN185" s="82">
        <f>AN184+(AJ185/2)</f>
        <v>1</v>
      </c>
      <c r="AO185" s="82">
        <f>AO184+(AJ185/2)</f>
        <v>1</v>
      </c>
      <c r="AP185" s="81">
        <v>0</v>
      </c>
      <c r="AQ185" s="81">
        <f>AQ184+(AI185-AP184)</f>
        <v>415</v>
      </c>
      <c r="AR185" s="85">
        <f t="shared" si="50"/>
        <v>-3.614457831325301E-2</v>
      </c>
    </row>
    <row r="186" spans="17:44" ht="15.75" customHeight="1" x14ac:dyDescent="0.2">
      <c r="AC186" s="71">
        <v>45663</v>
      </c>
      <c r="AD186" s="72" t="s">
        <v>73</v>
      </c>
      <c r="AE186" s="72"/>
      <c r="AF186" s="74" t="s">
        <v>90</v>
      </c>
      <c r="AG186" s="72" t="s">
        <v>80</v>
      </c>
      <c r="AH186" s="73">
        <v>210</v>
      </c>
      <c r="AI186" s="72"/>
      <c r="AJ186" s="75">
        <v>0.5</v>
      </c>
      <c r="AK186" s="75"/>
      <c r="AL186" s="73">
        <f>AH186*AJ186</f>
        <v>105</v>
      </c>
      <c r="AM186" s="75">
        <f>AM185-AJ186</f>
        <v>1.5</v>
      </c>
      <c r="AN186" s="75">
        <f>AN185-AJ186</f>
        <v>0.5</v>
      </c>
      <c r="AO186" s="75">
        <f>AO185</f>
        <v>1</v>
      </c>
      <c r="AP186" s="73">
        <f>AP185+AL186</f>
        <v>105</v>
      </c>
      <c r="AQ186" s="73">
        <f>AQ185</f>
        <v>415</v>
      </c>
      <c r="AR186" s="77">
        <f t="shared" si="50"/>
        <v>1.2048192771084338E-2</v>
      </c>
    </row>
    <row r="187" spans="17:44" ht="15.75" customHeight="1" x14ac:dyDescent="0.2">
      <c r="AC187" s="71">
        <v>45664</v>
      </c>
      <c r="AD187" s="72" t="s">
        <v>73</v>
      </c>
      <c r="AE187" s="72"/>
      <c r="AF187" s="74" t="s">
        <v>91</v>
      </c>
      <c r="AG187" s="72" t="s">
        <v>80</v>
      </c>
      <c r="AH187" s="73">
        <v>210</v>
      </c>
      <c r="AI187" s="72"/>
      <c r="AJ187" s="75">
        <v>0.5</v>
      </c>
      <c r="AK187" s="75"/>
      <c r="AL187" s="73">
        <f>AH187/2</f>
        <v>105</v>
      </c>
      <c r="AM187" s="75">
        <f>AM186-AJ187</f>
        <v>1</v>
      </c>
      <c r="AN187" s="75">
        <f>AN186</f>
        <v>0.5</v>
      </c>
      <c r="AO187" s="75">
        <f>AO186-AJ187</f>
        <v>0.5</v>
      </c>
      <c r="AP187" s="73">
        <f>AL187+AP186</f>
        <v>210</v>
      </c>
      <c r="AQ187" s="73">
        <f>AQ186</f>
        <v>415</v>
      </c>
      <c r="AR187" s="77">
        <f t="shared" si="50"/>
        <v>1.2048192771084338E-2</v>
      </c>
    </row>
    <row r="188" spans="17:44" ht="15.75" customHeight="1" x14ac:dyDescent="0.2">
      <c r="Z188" s="92"/>
      <c r="AC188" s="78">
        <v>45665</v>
      </c>
      <c r="AD188" s="80" t="s">
        <v>75</v>
      </c>
      <c r="AE188" s="80"/>
      <c r="AF188" s="80" t="s">
        <v>92</v>
      </c>
      <c r="AG188" s="80" t="s">
        <v>80</v>
      </c>
      <c r="AH188" s="81">
        <v>200</v>
      </c>
      <c r="AI188" s="81">
        <v>200</v>
      </c>
      <c r="AJ188" s="82">
        <v>1</v>
      </c>
      <c r="AK188" s="82"/>
      <c r="AL188" s="79"/>
      <c r="AM188" s="82">
        <f>AM187+AJ188</f>
        <v>2</v>
      </c>
      <c r="AN188" s="82">
        <f>AJ188+AN187</f>
        <v>1.5</v>
      </c>
      <c r="AO188" s="83">
        <f>AO187</f>
        <v>0.5</v>
      </c>
      <c r="AP188" s="81">
        <f>AP187-AI188</f>
        <v>10</v>
      </c>
      <c r="AQ188" s="81">
        <f>AQ186</f>
        <v>415</v>
      </c>
      <c r="AR188" s="85">
        <f t="shared" si="50"/>
        <v>-1.2048192771084338E-2</v>
      </c>
    </row>
    <row r="189" spans="17:44" ht="15.75" customHeight="1" x14ac:dyDescent="0.2">
      <c r="Z189" s="93"/>
      <c r="AC189" s="71">
        <v>45666</v>
      </c>
      <c r="AD189" s="74" t="s">
        <v>73</v>
      </c>
      <c r="AE189" s="74"/>
      <c r="AF189" s="74" t="s">
        <v>92</v>
      </c>
      <c r="AG189" s="74" t="s">
        <v>80</v>
      </c>
      <c r="AH189" s="73">
        <v>230</v>
      </c>
      <c r="AI189" s="72"/>
      <c r="AJ189" s="75">
        <v>0.5</v>
      </c>
      <c r="AK189" s="75"/>
      <c r="AL189" s="73">
        <f>AH189/2</f>
        <v>115</v>
      </c>
      <c r="AM189" s="75">
        <f>AM188-AJ189</f>
        <v>1.5</v>
      </c>
      <c r="AN189" s="75">
        <f>AN188-AJ189</f>
        <v>1</v>
      </c>
      <c r="AO189" s="75">
        <f>AO188</f>
        <v>0.5</v>
      </c>
      <c r="AP189" s="73">
        <f>AP188+AL189</f>
        <v>125</v>
      </c>
      <c r="AQ189" s="73">
        <f>AQ188</f>
        <v>415</v>
      </c>
      <c r="AR189" s="77">
        <f t="shared" si="50"/>
        <v>0.13253012048192772</v>
      </c>
    </row>
    <row r="190" spans="17:44" ht="15.75" customHeight="1" x14ac:dyDescent="0.2">
      <c r="Z190" s="93"/>
      <c r="AC190" s="78">
        <v>45667</v>
      </c>
      <c r="AD190" s="80" t="s">
        <v>75</v>
      </c>
      <c r="AE190" s="80"/>
      <c r="AF190" s="80" t="s">
        <v>93</v>
      </c>
      <c r="AG190" s="80" t="s">
        <v>80</v>
      </c>
      <c r="AH190" s="81">
        <v>230</v>
      </c>
      <c r="AI190" s="81">
        <v>230</v>
      </c>
      <c r="AJ190" s="82">
        <v>1</v>
      </c>
      <c r="AK190" s="82"/>
      <c r="AL190" s="79"/>
      <c r="AM190" s="82">
        <f>AM189+AJ190</f>
        <v>2.5</v>
      </c>
      <c r="AN190" s="82">
        <f>AN189</f>
        <v>1</v>
      </c>
      <c r="AO190" s="82">
        <f>AO189+AJ190</f>
        <v>1.5</v>
      </c>
      <c r="AP190" s="81">
        <v>0</v>
      </c>
      <c r="AQ190" s="81">
        <f>AQ189+(AI190-AP189)</f>
        <v>520</v>
      </c>
      <c r="AR190" s="85">
        <f t="shared" si="50"/>
        <v>0.10576923076923077</v>
      </c>
    </row>
    <row r="191" spans="17:44" ht="15.75" customHeight="1" x14ac:dyDescent="0.2">
      <c r="Z191" s="93"/>
    </row>
    <row r="192" spans="17:44" ht="15.75" customHeight="1" x14ac:dyDescent="0.2">
      <c r="Z192" s="93"/>
    </row>
    <row r="193" spans="26:44" ht="12.75" x14ac:dyDescent="0.2">
      <c r="AC193" s="45" t="s">
        <v>74</v>
      </c>
      <c r="AM193" s="45" t="s">
        <v>94</v>
      </c>
    </row>
    <row r="194" spans="26:44" ht="15.75" customHeight="1" x14ac:dyDescent="0.2">
      <c r="Z194" s="54"/>
      <c r="AC194" s="69" t="s">
        <v>2</v>
      </c>
      <c r="AD194" s="70" t="s">
        <v>3</v>
      </c>
      <c r="AE194" s="70"/>
      <c r="AF194" s="70" t="s">
        <v>76</v>
      </c>
      <c r="AG194" s="70" t="s">
        <v>4</v>
      </c>
      <c r="AH194" s="70" t="s">
        <v>0</v>
      </c>
      <c r="AI194" s="70" t="s">
        <v>1</v>
      </c>
      <c r="AJ194" s="70" t="s">
        <v>62</v>
      </c>
      <c r="AK194" s="70"/>
      <c r="AL194" s="70" t="s">
        <v>77</v>
      </c>
      <c r="AM194" s="70" t="s">
        <v>84</v>
      </c>
      <c r="AN194" s="70" t="s">
        <v>83</v>
      </c>
      <c r="AO194" s="70" t="s">
        <v>7</v>
      </c>
      <c r="AP194" s="70" t="s">
        <v>81</v>
      </c>
      <c r="AQ194" s="70" t="s">
        <v>79</v>
      </c>
      <c r="AR194" s="70" t="s">
        <v>82</v>
      </c>
    </row>
    <row r="195" spans="26:44" ht="15.75" customHeight="1" x14ac:dyDescent="0.2">
      <c r="Z195" s="94"/>
      <c r="AC195" s="78"/>
      <c r="AD195" s="79" t="s">
        <v>75</v>
      </c>
      <c r="AE195" s="79"/>
      <c r="AF195" s="80" t="s">
        <v>70</v>
      </c>
      <c r="AG195" s="79" t="s">
        <v>78</v>
      </c>
      <c r="AH195" s="89">
        <v>232.37</v>
      </c>
      <c r="AI195" s="81">
        <v>1000</v>
      </c>
      <c r="AJ195" s="86">
        <f t="shared" ref="AJ195:AJ200" si="51">AI195/AH195</f>
        <v>4.3034815165468867</v>
      </c>
      <c r="AK195" s="86"/>
      <c r="AL195" s="89"/>
      <c r="AM195" s="86">
        <f>AJ195</f>
        <v>4.3034815165468867</v>
      </c>
      <c r="AN195" s="86">
        <f>AM195/2</f>
        <v>2.1517407582734434</v>
      </c>
      <c r="AO195" s="88">
        <f>AM195/2</f>
        <v>2.1517407582734434</v>
      </c>
      <c r="AP195" s="89">
        <v>0</v>
      </c>
      <c r="AQ195" s="91">
        <f>ABS(AP195-AI195)</f>
        <v>1000</v>
      </c>
      <c r="AR195" s="85">
        <f>((AP195+(AJ195*AH195)-AQ195)/AQ195)</f>
        <v>1.1368683772161603E-16</v>
      </c>
    </row>
    <row r="196" spans="26:44" ht="15.75" customHeight="1" x14ac:dyDescent="0.2">
      <c r="AC196" s="78"/>
      <c r="AD196" s="79" t="s">
        <v>75</v>
      </c>
      <c r="AE196" s="79"/>
      <c r="AF196" s="80" t="s">
        <v>70</v>
      </c>
      <c r="AG196" s="79" t="s">
        <v>80</v>
      </c>
      <c r="AH196" s="89">
        <v>205.6</v>
      </c>
      <c r="AI196" s="81">
        <v>500</v>
      </c>
      <c r="AJ196" s="86">
        <f t="shared" si="51"/>
        <v>2.4319066147859925</v>
      </c>
      <c r="AK196" s="86"/>
      <c r="AL196" s="89"/>
      <c r="AM196" s="86">
        <f>AJ196+AM195</f>
        <v>6.7353881313328792</v>
      </c>
      <c r="AN196" s="86">
        <f>AN195+(AJ196/2)</f>
        <v>3.3676940656664396</v>
      </c>
      <c r="AO196" s="86">
        <f>AO195+(AJ196/2)</f>
        <v>3.3676940656664396</v>
      </c>
      <c r="AP196" s="89">
        <v>0</v>
      </c>
      <c r="AQ196" s="89">
        <f>AQ195+(AI196-AP195)</f>
        <v>1500</v>
      </c>
      <c r="AR196" s="85">
        <f t="shared" ref="AR196:AR206" si="52">((AP196+(AM196*AH196)-AQ196)/AQ196)</f>
        <v>-7.6802800131973381E-2</v>
      </c>
    </row>
    <row r="197" spans="26:44" ht="15.75" customHeight="1" x14ac:dyDescent="0.2">
      <c r="AC197" s="78"/>
      <c r="AD197" s="79" t="s">
        <v>75</v>
      </c>
      <c r="AE197" s="79"/>
      <c r="AF197" s="80" t="s">
        <v>70</v>
      </c>
      <c r="AG197" s="79" t="s">
        <v>80</v>
      </c>
      <c r="AH197" s="89">
        <v>199.37</v>
      </c>
      <c r="AI197" s="81">
        <v>500</v>
      </c>
      <c r="AJ197" s="86">
        <f t="shared" si="51"/>
        <v>2.5078998846366054</v>
      </c>
      <c r="AK197" s="86"/>
      <c r="AL197" s="89"/>
      <c r="AM197" s="86">
        <f>AJ197+AM196</f>
        <v>9.243288015969485</v>
      </c>
      <c r="AN197" s="86">
        <f>AN196+(AJ197/2)</f>
        <v>4.6216440079847425</v>
      </c>
      <c r="AO197" s="86">
        <f>AO196+(AJ197/2)</f>
        <v>4.6216440079847425</v>
      </c>
      <c r="AP197" s="89">
        <v>0</v>
      </c>
      <c r="AQ197" s="89">
        <f>AQ196+(AI197-AP196)</f>
        <v>2000</v>
      </c>
      <c r="AR197" s="85">
        <f t="shared" si="52"/>
        <v>-7.858283412808191E-2</v>
      </c>
    </row>
    <row r="198" spans="26:44" ht="15.75" customHeight="1" x14ac:dyDescent="0.2">
      <c r="AC198" s="78"/>
      <c r="AD198" s="79" t="s">
        <v>75</v>
      </c>
      <c r="AE198" s="79"/>
      <c r="AF198" s="80" t="s">
        <v>70</v>
      </c>
      <c r="AG198" s="79" t="s">
        <v>80</v>
      </c>
      <c r="AH198" s="89">
        <v>196.54</v>
      </c>
      <c r="AI198" s="81">
        <v>500</v>
      </c>
      <c r="AJ198" s="86">
        <f t="shared" si="51"/>
        <v>2.5440113971710594</v>
      </c>
      <c r="AK198" s="86"/>
      <c r="AL198" s="89"/>
      <c r="AM198" s="86">
        <f>AJ198+AM197</f>
        <v>11.787299413140545</v>
      </c>
      <c r="AN198" s="86">
        <f>AN197+(AJ198/2)</f>
        <v>5.8936497065702724</v>
      </c>
      <c r="AO198" s="86">
        <f>AO197+(AJ198/2)</f>
        <v>5.8936497065702724</v>
      </c>
      <c r="AP198" s="89">
        <v>0</v>
      </c>
      <c r="AQ198" s="89">
        <f>AQ197+(AI198-AP197)</f>
        <v>2500</v>
      </c>
      <c r="AR198" s="85">
        <f t="shared" si="52"/>
        <v>-7.3329669336542974E-2</v>
      </c>
    </row>
    <row r="199" spans="26:44" ht="15.75" customHeight="1" x14ac:dyDescent="0.2">
      <c r="AC199" s="78"/>
      <c r="AD199" s="79" t="s">
        <v>75</v>
      </c>
      <c r="AE199" s="79"/>
      <c r="AF199" s="80" t="s">
        <v>70</v>
      </c>
      <c r="AG199" s="79" t="s">
        <v>80</v>
      </c>
      <c r="AH199" s="89">
        <v>184.88</v>
      </c>
      <c r="AI199" s="81">
        <v>50</v>
      </c>
      <c r="AJ199" s="86">
        <f t="shared" si="51"/>
        <v>0.27044569450454348</v>
      </c>
      <c r="AK199" s="86"/>
      <c r="AL199" s="89"/>
      <c r="AM199" s="86">
        <f>AJ199+AM198</f>
        <v>12.057745107645088</v>
      </c>
      <c r="AN199" s="86">
        <f>AN198+(AJ199/2)</f>
        <v>6.0288725538225441</v>
      </c>
      <c r="AO199" s="86">
        <f>AO198+(AJ199/2)</f>
        <v>6.0288725538225441</v>
      </c>
      <c r="AP199" s="89">
        <v>0</v>
      </c>
      <c r="AQ199" s="89">
        <f>AQ198+(AI199-AP198)</f>
        <v>2550</v>
      </c>
      <c r="AR199" s="85">
        <f t="shared" si="52"/>
        <v>-0.12578983705826521</v>
      </c>
    </row>
    <row r="200" spans="26:44" ht="15.75" customHeight="1" x14ac:dyDescent="0.2">
      <c r="AC200" s="78"/>
      <c r="AD200" s="79" t="s">
        <v>75</v>
      </c>
      <c r="AE200" s="79"/>
      <c r="AF200" s="80" t="s">
        <v>70</v>
      </c>
      <c r="AG200" s="79" t="s">
        <v>80</v>
      </c>
      <c r="AH200" s="89">
        <v>180.62</v>
      </c>
      <c r="AI200" s="81">
        <v>50</v>
      </c>
      <c r="AJ200" s="86">
        <f t="shared" si="51"/>
        <v>0.27682427195216475</v>
      </c>
      <c r="AK200" s="86"/>
      <c r="AL200" s="89"/>
      <c r="AM200" s="86">
        <f>AJ200+AM199</f>
        <v>12.334569379597253</v>
      </c>
      <c r="AN200" s="86">
        <f>AN199+(AJ200/2)</f>
        <v>6.1672846897986267</v>
      </c>
      <c r="AO200" s="86">
        <f>AO199+(AJ200/2)</f>
        <v>6.1672846897986267</v>
      </c>
      <c r="AP200" s="89">
        <v>0</v>
      </c>
      <c r="AQ200" s="89">
        <f>AQ199+(AI200-AP199)</f>
        <v>2600</v>
      </c>
      <c r="AR200" s="85">
        <f t="shared" si="52"/>
        <v>-0.14312695332967085</v>
      </c>
    </row>
    <row r="201" spans="26:44" ht="15.75" customHeight="1" x14ac:dyDescent="0.2">
      <c r="AC201" s="71"/>
      <c r="AD201" s="72" t="s">
        <v>73</v>
      </c>
      <c r="AE201" s="72"/>
      <c r="AF201" s="74" t="s">
        <v>27</v>
      </c>
      <c r="AG201" s="72" t="s">
        <v>10</v>
      </c>
      <c r="AH201" s="90">
        <v>208.59</v>
      </c>
      <c r="AI201" s="72"/>
      <c r="AJ201" s="87">
        <v>0.13841000000000001</v>
      </c>
      <c r="AK201" s="87"/>
      <c r="AL201" s="90">
        <f>AH201*AJ201</f>
        <v>28.870941900000002</v>
      </c>
      <c r="AM201" s="87">
        <f>AM200-AJ201</f>
        <v>12.196159379597253</v>
      </c>
      <c r="AN201" s="87">
        <f>AN200-AJ201</f>
        <v>6.0288746897986263</v>
      </c>
      <c r="AO201" s="87">
        <f>AO200</f>
        <v>6.1672846897986267</v>
      </c>
      <c r="AP201" s="90">
        <f>AL201+AP195</f>
        <v>28.870941900000002</v>
      </c>
      <c r="AQ201" s="90">
        <f>AQ200</f>
        <v>2600</v>
      </c>
      <c r="AR201" s="77">
        <f t="shared" si="52"/>
        <v>-1.0435451196080277E-2</v>
      </c>
    </row>
    <row r="202" spans="26:44" ht="15.75" customHeight="1" x14ac:dyDescent="0.2">
      <c r="AC202" s="78"/>
      <c r="AD202" s="72" t="s">
        <v>73</v>
      </c>
      <c r="AE202" s="72"/>
      <c r="AF202" s="74" t="s">
        <v>27</v>
      </c>
      <c r="AG202" s="72" t="s">
        <v>10</v>
      </c>
      <c r="AH202" s="90">
        <v>208.54</v>
      </c>
      <c r="AI202" s="72"/>
      <c r="AJ202" s="87">
        <v>0.13522000000000001</v>
      </c>
      <c r="AK202" s="87"/>
      <c r="AL202" s="90">
        <f>AH202*AJ202</f>
        <v>28.198778799999999</v>
      </c>
      <c r="AM202" s="87">
        <f>AM201-AJ202</f>
        <v>12.060939379597253</v>
      </c>
      <c r="AN202" s="87">
        <f>AN201-AJ202</f>
        <v>5.8936546897986259</v>
      </c>
      <c r="AO202" s="87">
        <f>AO201</f>
        <v>6.1672846897986267</v>
      </c>
      <c r="AP202" s="90">
        <f>AL202+AP196</f>
        <v>28.198778799999999</v>
      </c>
      <c r="AQ202" s="90">
        <f>AQ201</f>
        <v>2600</v>
      </c>
      <c r="AR202" s="85">
        <f t="shared" si="52"/>
        <v>-2.1774201145688038E-2</v>
      </c>
    </row>
    <row r="203" spans="26:44" ht="15.75" customHeight="1" x14ac:dyDescent="0.2">
      <c r="AC203" s="71"/>
      <c r="AD203" s="72" t="s">
        <v>73</v>
      </c>
      <c r="AE203" s="72"/>
      <c r="AF203" s="74" t="s">
        <v>95</v>
      </c>
      <c r="AG203" s="72" t="s">
        <v>80</v>
      </c>
      <c r="AH203" s="90">
        <v>28.25</v>
      </c>
      <c r="AI203" s="72"/>
      <c r="AJ203" s="87">
        <f>AN202</f>
        <v>5.8936546897986259</v>
      </c>
      <c r="AK203" s="87"/>
      <c r="AL203" s="90">
        <f>AH203*AJ203</f>
        <v>166.49574498681119</v>
      </c>
      <c r="AM203" s="87">
        <f>AM202-AJ203</f>
        <v>6.1672846897986267</v>
      </c>
      <c r="AN203" s="87">
        <f>AN202-AJ203</f>
        <v>0</v>
      </c>
      <c r="AO203" s="87">
        <f>AO202</f>
        <v>6.1672846897986267</v>
      </c>
      <c r="AP203" s="90">
        <f>AP202+AL203</f>
        <v>194.6945237868112</v>
      </c>
      <c r="AQ203" s="90">
        <f>AQ202</f>
        <v>2600</v>
      </c>
      <c r="AR203" s="77">
        <f t="shared" si="52"/>
        <v>-0.85810757066399135</v>
      </c>
    </row>
    <row r="204" spans="26:44" ht="15.75" customHeight="1" x14ac:dyDescent="0.2">
      <c r="AC204" s="78"/>
      <c r="AD204" s="79" t="s">
        <v>75</v>
      </c>
      <c r="AE204" s="79"/>
      <c r="AF204" s="80" t="s">
        <v>89</v>
      </c>
      <c r="AG204" s="79" t="s">
        <v>80</v>
      </c>
      <c r="AH204" s="89">
        <v>28.39</v>
      </c>
      <c r="AI204" s="81">
        <v>200</v>
      </c>
      <c r="AJ204" s="86">
        <f>AI204/AH204</f>
        <v>7.0447340612891862</v>
      </c>
      <c r="AK204" s="86"/>
      <c r="AL204" s="89"/>
      <c r="AM204" s="86">
        <f>AM203+AJ204</f>
        <v>13.212018751087813</v>
      </c>
      <c r="AN204" s="86">
        <f>AN203+(AJ204/2)</f>
        <v>3.5223670306445931</v>
      </c>
      <c r="AO204" s="86">
        <f>AO203+(AJ204/2)</f>
        <v>9.6896517204432193</v>
      </c>
      <c r="AP204" s="89">
        <v>0</v>
      </c>
      <c r="AQ204" s="89">
        <f>AQ203+(AI204-AP203)</f>
        <v>2605.3054762131887</v>
      </c>
      <c r="AR204" s="85">
        <f t="shared" si="52"/>
        <v>-0.85602870152156774</v>
      </c>
    </row>
    <row r="205" spans="26:44" ht="15.75" customHeight="1" x14ac:dyDescent="0.2">
      <c r="AC205" s="78"/>
      <c r="AD205" s="80" t="s">
        <v>75</v>
      </c>
      <c r="AE205" s="80"/>
      <c r="AF205" s="80" t="s">
        <v>96</v>
      </c>
      <c r="AG205" s="80" t="s">
        <v>80</v>
      </c>
      <c r="AH205" s="89">
        <v>27.28</v>
      </c>
      <c r="AI205" s="81">
        <v>200</v>
      </c>
      <c r="AJ205" s="86">
        <f>AI205/AH205</f>
        <v>7.3313782991202343</v>
      </c>
      <c r="AK205" s="86"/>
      <c r="AL205" s="89"/>
      <c r="AM205" s="86">
        <f>AM204+AJ205</f>
        <v>20.543397050208046</v>
      </c>
      <c r="AN205" s="86">
        <f>AN204+(AJ205/2)</f>
        <v>7.1880561802047103</v>
      </c>
      <c r="AO205" s="86">
        <f>AO204+(AJ205/2)</f>
        <v>13.355340870003337</v>
      </c>
      <c r="AP205" s="89">
        <v>0</v>
      </c>
      <c r="AQ205" s="89">
        <f>AQ204+(AI205-AP204)</f>
        <v>2805.3054762131887</v>
      </c>
      <c r="AR205" s="85">
        <f t="shared" si="52"/>
        <v>-0.80022714949169182</v>
      </c>
    </row>
    <row r="206" spans="26:44" ht="15.75" customHeight="1" x14ac:dyDescent="0.2">
      <c r="AC206" s="78"/>
      <c r="AD206" s="80" t="s">
        <v>75</v>
      </c>
      <c r="AE206" s="80"/>
      <c r="AF206" s="80" t="s">
        <v>97</v>
      </c>
      <c r="AG206" s="80" t="s">
        <v>80</v>
      </c>
      <c r="AH206" s="89">
        <v>27.38</v>
      </c>
      <c r="AI206" s="81">
        <v>200</v>
      </c>
      <c r="AJ206" s="86">
        <f>AI206/AH206</f>
        <v>7.3046018991964941</v>
      </c>
      <c r="AK206" s="86"/>
      <c r="AL206" s="89"/>
      <c r="AM206" s="86">
        <f>AM205+AJ206</f>
        <v>27.847998949404541</v>
      </c>
      <c r="AN206" s="86">
        <f>AN205+(AJ206/2)</f>
        <v>10.840357129802957</v>
      </c>
      <c r="AO206" s="86">
        <f>AO205+(AJ206/2)</f>
        <v>17.007641819601584</v>
      </c>
      <c r="AP206" s="89">
        <v>0</v>
      </c>
      <c r="AQ206" s="89">
        <f>AQ205+(AI206-AP205)</f>
        <v>3005.3054762131887</v>
      </c>
      <c r="AR206" s="85">
        <f t="shared" si="52"/>
        <v>-0.74628928164884878</v>
      </c>
    </row>
  </sheetData>
  <pageMargins left="0.7" right="0.7" top="0.75" bottom="0.75" header="0.3" footer="0.3"/>
  <pageSetup orientation="portrait" horizontalDpi="300" verticalDpi="300" r:id="rId1"/>
  <ignoredErrors>
    <ignoredError sqref="AM111 AB112 AO113 AP110 BF111 BF113 BF116 AL123 AF123 BF124 AB123:AD123 AH123:AJ123 AE146:AE147"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2026-01-07T03:46:40Z</dcterms:modified>
</cp:coreProperties>
</file>