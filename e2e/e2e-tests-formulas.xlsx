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1FBC11F2-A83F-4EF7-A1B8-A9D1A96FC38F}" xr6:coauthVersionLast="47" xr6:coauthVersionMax="47" xr10:uidLastSave="{00000000-0000-0000-0000-000000000000}"/>
  <bookViews>
    <workbookView xWindow="4110" yWindow="165" windowWidth="53265" windowHeight="10230"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13" i="14" l="1"/>
  <c r="AJ113" i="14" s="1"/>
  <c r="AJ115" i="14" s="1"/>
  <c r="AJ117" i="14" s="1"/>
  <c r="U113" i="14"/>
  <c r="AH113" i="14" s="1"/>
  <c r="AK113" i="14" s="1"/>
  <c r="AL113" i="14" s="1"/>
  <c r="W112" i="14"/>
  <c r="AP112" i="14" s="1"/>
  <c r="AP114" i="14" s="1"/>
  <c r="AP116" i="14" s="1"/>
  <c r="AP118" i="14" s="1"/>
  <c r="U112" i="14"/>
  <c r="AN112" i="14" s="1"/>
  <c r="AQ112" i="14" s="1"/>
  <c r="AR112" i="14" s="1"/>
  <c r="BB133" i="14"/>
  <c r="AW133" i="14"/>
  <c r="AV133" i="14"/>
  <c r="AU133" i="14"/>
  <c r="M132" i="14"/>
  <c r="U128" i="14"/>
  <c r="U129" i="14" s="1"/>
  <c r="W127" i="14"/>
  <c r="W125" i="14"/>
  <c r="AY125" i="14" s="1"/>
  <c r="AY126" i="14" s="1"/>
  <c r="AX124" i="14"/>
  <c r="W124" i="14"/>
  <c r="AD124" i="14" s="1"/>
  <c r="AD125" i="14" s="1"/>
  <c r="AD126" i="14" s="1"/>
  <c r="AD127" i="14" s="1"/>
  <c r="AD128" i="14" s="1"/>
  <c r="U124" i="14"/>
  <c r="AN124" i="14" s="1"/>
  <c r="U100" i="14"/>
  <c r="U92" i="14"/>
  <c r="U94" i="14" s="1"/>
  <c r="W88" i="14"/>
  <c r="U88" i="14"/>
  <c r="X88" i="14" s="1"/>
  <c r="AY85" i="14"/>
  <c r="X87" i="14"/>
  <c r="W82" i="14"/>
  <c r="AJ82" i="14" s="1"/>
  <c r="AJ85" i="14" s="1"/>
  <c r="AJ88" i="14" s="1"/>
  <c r="AJ90" i="14" s="1"/>
  <c r="AJ94" i="14" s="1"/>
  <c r="AJ96" i="14" s="1"/>
  <c r="AJ100" i="14" s="1"/>
  <c r="AJ102" i="14" s="1"/>
  <c r="U82" i="14"/>
  <c r="U85" i="14" s="1"/>
  <c r="AX80" i="14"/>
  <c r="BB80" i="14" s="1"/>
  <c r="U81" i="14"/>
  <c r="U83" i="14" s="1"/>
  <c r="U86" i="14" s="1"/>
  <c r="W80" i="14"/>
  <c r="AD80" i="14" s="1"/>
  <c r="AD81" i="14" s="1"/>
  <c r="AD83" i="14" s="1"/>
  <c r="AD86" i="14" s="1"/>
  <c r="U80" i="14"/>
  <c r="AB80" i="14" s="1"/>
  <c r="AE80" i="14" s="1"/>
  <c r="AF80" i="14" s="1"/>
  <c r="AW66" i="14"/>
  <c r="U66" i="14"/>
  <c r="AB66" i="14" s="1"/>
  <c r="AB68" i="14" s="1"/>
  <c r="AB75" i="14" s="1"/>
  <c r="AE75" i="14" s="1"/>
  <c r="AF75" i="14" s="1"/>
  <c r="W64" i="14"/>
  <c r="AP64" i="14" s="1"/>
  <c r="U64" i="14"/>
  <c r="AH64" i="14" s="1"/>
  <c r="AK64" i="14" s="1"/>
  <c r="AL64" i="14" s="1"/>
  <c r="AL66" i="14" s="1"/>
  <c r="AL68" i="14" s="1"/>
  <c r="AL75" i="14" s="1"/>
  <c r="AE59" i="14"/>
  <c r="AF59" i="14" s="1"/>
  <c r="W59" i="14"/>
  <c r="U59" i="14"/>
  <c r="X59" i="14" s="1"/>
  <c r="W53" i="14"/>
  <c r="AP53" i="14" s="1"/>
  <c r="AP55" i="14" s="1"/>
  <c r="U53" i="14"/>
  <c r="X53" i="14" s="1"/>
  <c r="U52" i="14"/>
  <c r="AE50" i="14"/>
  <c r="W55" i="14"/>
  <c r="AJ50" i="14"/>
  <c r="AJ51" i="14" s="1"/>
  <c r="AP50" i="14"/>
  <c r="AP51" i="14" s="1"/>
  <c r="AO50" i="14"/>
  <c r="AO51" i="14" s="1"/>
  <c r="AN50" i="14"/>
  <c r="AQ50" i="14" s="1"/>
  <c r="AI50" i="14"/>
  <c r="AI51" i="14" s="1"/>
  <c r="AD50" i="14"/>
  <c r="AD51" i="14" s="1"/>
  <c r="AC50" i="14"/>
  <c r="V51" i="14" s="1"/>
  <c r="AB50" i="14"/>
  <c r="W50" i="14"/>
  <c r="U50" i="14"/>
  <c r="X50" i="14" s="1"/>
  <c r="L51" i="14"/>
  <c r="U51" i="14" s="1"/>
  <c r="S44" i="14"/>
  <c r="S43" i="14"/>
  <c r="S42" i="14"/>
  <c r="AP40" i="14"/>
  <c r="AP41" i="14" s="1"/>
  <c r="AP42" i="14" s="1"/>
  <c r="AP43" i="14" s="1"/>
  <c r="AP44" i="14" s="1"/>
  <c r="AO40" i="14"/>
  <c r="AW40" i="14" s="1"/>
  <c r="AN40" i="14"/>
  <c r="AN41" i="14" s="1"/>
  <c r="AJ40" i="14"/>
  <c r="AJ41" i="14" s="1"/>
  <c r="AJ42" i="14" s="1"/>
  <c r="AJ43" i="14" s="1"/>
  <c r="AJ44" i="14" s="1"/>
  <c r="AI40" i="14"/>
  <c r="AV40" i="14" s="1"/>
  <c r="AD40" i="14"/>
  <c r="AD41" i="14" s="1"/>
  <c r="AD42" i="14" s="1"/>
  <c r="AD43" i="14" s="1"/>
  <c r="AD44" i="14" s="1"/>
  <c r="AC40" i="14"/>
  <c r="AC41" i="14" s="1"/>
  <c r="AB40" i="14"/>
  <c r="AB41" i="14" s="1"/>
  <c r="S41" i="14"/>
  <c r="S40" i="14"/>
  <c r="AH40" i="14" s="1"/>
  <c r="S28" i="14"/>
  <c r="R28" i="14"/>
  <c r="S29" i="14"/>
  <c r="R29" i="14"/>
  <c r="S30" i="14"/>
  <c r="R30" i="14"/>
  <c r="S25" i="14"/>
  <c r="R25" i="14"/>
  <c r="U25" i="14"/>
  <c r="U33" i="14" s="1"/>
  <c r="U29" i="14" s="1"/>
  <c r="Z35" i="14"/>
  <c r="Y35" i="14"/>
  <c r="T35" i="14"/>
  <c r="X34" i="14"/>
  <c r="T34" i="14"/>
  <c r="X33" i="14"/>
  <c r="W32" i="14"/>
  <c r="W28" i="14" s="1"/>
  <c r="U32" i="14"/>
  <c r="S24" i="14"/>
  <c r="R24" i="14"/>
  <c r="S23" i="14"/>
  <c r="R23" i="14"/>
  <c r="U22" i="14"/>
  <c r="U20" i="14"/>
  <c r="U23" i="14" s="1"/>
  <c r="U34" i="14" s="1"/>
  <c r="W19" i="14"/>
  <c r="U19" i="14"/>
  <c r="AR14" i="14"/>
  <c r="T14" i="14"/>
  <c r="S14" i="14"/>
  <c r="T13" i="14"/>
  <c r="W12" i="14"/>
  <c r="AD10" i="14" s="1"/>
  <c r="U12" i="14"/>
  <c r="AB10" i="14" s="1"/>
  <c r="W7" i="14"/>
  <c r="W10" i="14" s="1"/>
  <c r="W13" i="14" s="1"/>
  <c r="AJ13" i="14" s="1"/>
  <c r="U7" i="14"/>
  <c r="AE7" i="14" s="1"/>
  <c r="AF7" i="14" s="1"/>
  <c r="AF11" i="14" s="1"/>
  <c r="W5" i="14"/>
  <c r="W8" i="14" s="1"/>
  <c r="U5" i="14"/>
  <c r="AB5" i="14" s="1"/>
  <c r="AB8" i="14" s="1"/>
  <c r="W4" i="14"/>
  <c r="AJ4" i="14" s="1"/>
  <c r="U4" i="14"/>
  <c r="AH4" i="14" s="1"/>
  <c r="AR7" i="14"/>
  <c r="AW7" i="14"/>
  <c r="AI190" i="14"/>
  <c r="AH190" i="14"/>
  <c r="AJ190" i="14" s="1"/>
  <c r="AC190" i="14"/>
  <c r="AB190" i="14"/>
  <c r="AD190" i="14" s="1"/>
  <c r="AN190" i="14" s="1"/>
  <c r="W190" i="14"/>
  <c r="AI186" i="14"/>
  <c r="AI187" i="14" s="1"/>
  <c r="AI188" i="14" s="1"/>
  <c r="AI189" i="14" s="1"/>
  <c r="AH186" i="14"/>
  <c r="AJ186" i="14" s="1"/>
  <c r="AO186" i="14" s="1"/>
  <c r="AC186" i="14"/>
  <c r="AC187" i="14" s="1"/>
  <c r="AC188" i="14" s="1"/>
  <c r="AC189" i="14" s="1"/>
  <c r="AB186" i="14"/>
  <c r="AD186" i="14" s="1"/>
  <c r="W186" i="14"/>
  <c r="AB207" i="14"/>
  <c r="AC207" i="14" s="1"/>
  <c r="AF208" i="14"/>
  <c r="AE208" i="14"/>
  <c r="W208" i="14"/>
  <c r="AB208" i="14"/>
  <c r="AG208" i="14"/>
  <c r="AG204" i="14"/>
  <c r="AG205" i="14"/>
  <c r="AG207" i="14"/>
  <c r="AF207" i="14"/>
  <c r="W207" i="14"/>
  <c r="AB206" i="14"/>
  <c r="AC206" i="14" s="1"/>
  <c r="AB205" i="14"/>
  <c r="AC205" i="14" s="1"/>
  <c r="AB204" i="14"/>
  <c r="AC204" i="14" s="1"/>
  <c r="AG206" i="14"/>
  <c r="AF205" i="14"/>
  <c r="AF206" i="14"/>
  <c r="AF204" i="14"/>
  <c r="W206" i="14"/>
  <c r="W205" i="14"/>
  <c r="W204" i="14"/>
  <c r="AG203" i="14"/>
  <c r="AE203" i="14"/>
  <c r="AE202" i="14"/>
  <c r="W203" i="14"/>
  <c r="W202" i="14"/>
  <c r="C50" i="15"/>
  <c r="C49" i="15"/>
  <c r="C48" i="15"/>
  <c r="C47" i="15"/>
  <c r="C46" i="15"/>
  <c r="C44" i="15"/>
  <c r="C43" i="15"/>
  <c r="C42" i="15"/>
  <c r="C41" i="15"/>
  <c r="C37" i="15"/>
  <c r="C36" i="15"/>
  <c r="C35" i="15"/>
  <c r="C34" i="15"/>
  <c r="W182" i="14"/>
  <c r="AI182" i="14"/>
  <c r="AI183" i="14" s="1"/>
  <c r="AI184" i="14" s="1"/>
  <c r="AI185" i="14" s="1"/>
  <c r="AH182" i="14"/>
  <c r="AJ182" i="14" s="1"/>
  <c r="AO182" i="14" s="1"/>
  <c r="AC182" i="14"/>
  <c r="AC183" i="14" s="1"/>
  <c r="AC184" i="14" s="1"/>
  <c r="AC185" i="14" s="1"/>
  <c r="AB182" i="14"/>
  <c r="AB183" i="14" s="1"/>
  <c r="AB184" i="14" s="1"/>
  <c r="AB185" i="14" s="1"/>
  <c r="AL239" i="14"/>
  <c r="AP239" i="14" s="1"/>
  <c r="AJ237" i="14"/>
  <c r="AJ236" i="14"/>
  <c r="AJ235" i="14"/>
  <c r="AJ234" i="14"/>
  <c r="AJ233" i="14"/>
  <c r="AJ243" i="14"/>
  <c r="AJ242" i="14"/>
  <c r="AJ241" i="14"/>
  <c r="AQ232" i="14"/>
  <c r="AJ232" i="14"/>
  <c r="AL226" i="14"/>
  <c r="AL224" i="14"/>
  <c r="AO218" i="14"/>
  <c r="AN218" i="14"/>
  <c r="AJ219" i="14" s="1"/>
  <c r="AL219" i="14" s="1"/>
  <c r="AP219" i="14" s="1"/>
  <c r="AQ218" i="14"/>
  <c r="AL223" i="14"/>
  <c r="AP223" i="14" s="1"/>
  <c r="AJ222" i="14"/>
  <c r="AL221" i="14"/>
  <c r="AP221" i="14" s="1"/>
  <c r="AJ220" i="14"/>
  <c r="AM220" i="14" s="1"/>
  <c r="AM221" i="14" s="1"/>
  <c r="AJ218" i="14"/>
  <c r="AI175" i="14"/>
  <c r="AI176" i="14" s="1"/>
  <c r="AI177" i="14" s="1"/>
  <c r="AI178" i="14" s="1"/>
  <c r="AC175" i="14"/>
  <c r="AC176" i="14" s="1"/>
  <c r="AC177" i="14" s="1"/>
  <c r="AC178" i="14" s="1"/>
  <c r="AC168" i="14"/>
  <c r="AI170" i="14"/>
  <c r="AI166" i="14"/>
  <c r="AC166" i="14"/>
  <c r="AJ161" i="14"/>
  <c r="AJ159" i="14"/>
  <c r="AJ160" i="14" s="1"/>
  <c r="AJ162" i="14" s="1"/>
  <c r="AD161" i="14"/>
  <c r="AD159" i="14"/>
  <c r="AJ155" i="14"/>
  <c r="AJ151" i="14"/>
  <c r="AJ154" i="14" s="1"/>
  <c r="AD155" i="14"/>
  <c r="AJ148" i="14"/>
  <c r="AJ150" i="14" s="1"/>
  <c r="AJ153" i="14" s="1"/>
  <c r="AJ146" i="14"/>
  <c r="AD149" i="14"/>
  <c r="AD151" i="14" s="1"/>
  <c r="AD154" i="14" s="1"/>
  <c r="AD148" i="14"/>
  <c r="AD150" i="14" s="1"/>
  <c r="AD153" i="14" s="1"/>
  <c r="AD146" i="14"/>
  <c r="BI161" i="14"/>
  <c r="AH161" i="14"/>
  <c r="AC161" i="14"/>
  <c r="AB161" i="14"/>
  <c r="AI161" i="14"/>
  <c r="W161" i="14"/>
  <c r="BK160" i="14"/>
  <c r="BJ160" i="14"/>
  <c r="BI160" i="14"/>
  <c r="BH160" i="14"/>
  <c r="BG160" i="14"/>
  <c r="BF160" i="14"/>
  <c r="BE160" i="14"/>
  <c r="BC160" i="14"/>
  <c r="BB160" i="14"/>
  <c r="BA160" i="14"/>
  <c r="AZ160" i="14"/>
  <c r="AY160" i="14"/>
  <c r="AX160" i="14"/>
  <c r="AW160" i="14"/>
  <c r="AV160" i="14"/>
  <c r="AU160" i="14"/>
  <c r="AT160" i="14"/>
  <c r="AS160" i="14"/>
  <c r="AR160" i="14"/>
  <c r="AV161" i="14"/>
  <c r="AW161" i="14" s="1"/>
  <c r="AU161" i="14"/>
  <c r="AT161" i="14"/>
  <c r="AS161" i="14"/>
  <c r="AR161" i="14"/>
  <c r="AI159" i="14"/>
  <c r="AI160" i="14" s="1"/>
  <c r="AI162" i="14" s="1"/>
  <c r="AH159" i="14"/>
  <c r="AH160" i="14" s="1"/>
  <c r="AH162" i="14" s="1"/>
  <c r="AC159" i="14"/>
  <c r="AC160" i="14" s="1"/>
  <c r="AC162" i="14" s="1"/>
  <c r="AB159" i="14"/>
  <c r="W159" i="14"/>
  <c r="AW153" i="14"/>
  <c r="AV153" i="14"/>
  <c r="AU153" i="14"/>
  <c r="AT153" i="14"/>
  <c r="AS153" i="14"/>
  <c r="AR153" i="14"/>
  <c r="BI147" i="14"/>
  <c r="BI148" i="14" s="1"/>
  <c r="BI150" i="14" s="1"/>
  <c r="BI152" i="14" s="1"/>
  <c r="BI153" i="14" s="1"/>
  <c r="AV147" i="14"/>
  <c r="AV148" i="14" s="1"/>
  <c r="W153" i="14"/>
  <c r="W150" i="14"/>
  <c r="W148" i="14"/>
  <c r="W146" i="14"/>
  <c r="BG147" i="14"/>
  <c r="BF147" i="14"/>
  <c r="BC147" i="14"/>
  <c r="BB147" i="14"/>
  <c r="BA147" i="14"/>
  <c r="AZ147" i="14"/>
  <c r="AY147" i="14"/>
  <c r="AX147" i="14"/>
  <c r="BH147" i="14"/>
  <c r="AU147" i="14"/>
  <c r="AU148" i="14" s="1"/>
  <c r="AU150" i="14" s="1"/>
  <c r="AU152" i="14" s="1"/>
  <c r="AS147" i="14"/>
  <c r="AS148" i="14" s="1"/>
  <c r="AS150" i="14" s="1"/>
  <c r="AS152" i="14" s="1"/>
  <c r="AT147" i="14"/>
  <c r="AT148" i="14" s="1"/>
  <c r="AT150" i="14" s="1"/>
  <c r="AR147" i="14"/>
  <c r="AR148" i="14" s="1"/>
  <c r="AR150" i="14" s="1"/>
  <c r="AH178" i="14"/>
  <c r="AB178" i="14"/>
  <c r="AH177" i="14"/>
  <c r="AB176" i="14"/>
  <c r="AH175" i="14"/>
  <c r="AB175" i="14"/>
  <c r="AH170" i="14"/>
  <c r="AB168" i="14"/>
  <c r="AH166" i="14"/>
  <c r="AB166" i="14"/>
  <c r="AI155" i="14"/>
  <c r="AH155" i="14"/>
  <c r="AC155" i="14"/>
  <c r="AB155" i="14"/>
  <c r="AI151" i="14"/>
  <c r="AH151" i="14"/>
  <c r="AC149" i="14"/>
  <c r="AB149" i="14"/>
  <c r="AB151" i="14" s="1"/>
  <c r="AI146" i="14"/>
  <c r="AH146" i="14"/>
  <c r="AC146" i="14"/>
  <c r="AB146" i="14"/>
  <c r="AB148" i="14" s="1"/>
  <c r="AB150"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U117" i="14" l="1"/>
  <c r="X117" i="14" s="1"/>
  <c r="W117" i="14"/>
  <c r="AH115" i="14"/>
  <c r="W118" i="14"/>
  <c r="U118" i="14"/>
  <c r="X118" i="14" s="1"/>
  <c r="AT133" i="14"/>
  <c r="AZ133" i="14" s="1"/>
  <c r="X112" i="14"/>
  <c r="AN114" i="14"/>
  <c r="V113" i="14"/>
  <c r="V118" i="14" s="1"/>
  <c r="AD113" i="14"/>
  <c r="AD115" i="14" s="1"/>
  <c r="AD117" i="14" s="1"/>
  <c r="AN113" i="14"/>
  <c r="AB113" i="14"/>
  <c r="AP113" i="14"/>
  <c r="AP115" i="14" s="1"/>
  <c r="AP117" i="14" s="1"/>
  <c r="X113" i="14"/>
  <c r="AB112" i="14"/>
  <c r="V112" i="14"/>
  <c r="V117" i="14" s="1"/>
  <c r="AD112" i="14"/>
  <c r="AD114" i="14" s="1"/>
  <c r="AD116" i="14" s="1"/>
  <c r="AD118" i="14" s="1"/>
  <c r="AH112" i="14"/>
  <c r="AJ112" i="14"/>
  <c r="AJ114" i="14" s="1"/>
  <c r="AJ116" i="14" s="1"/>
  <c r="AJ118" i="14" s="1"/>
  <c r="AD129" i="14"/>
  <c r="AD131" i="14" s="1"/>
  <c r="AD132" i="14" s="1"/>
  <c r="W133" i="14"/>
  <c r="U133" i="14"/>
  <c r="X133" i="14" s="1"/>
  <c r="AY127" i="14"/>
  <c r="BB124" i="14"/>
  <c r="AX125" i="14"/>
  <c r="AQ124" i="14"/>
  <c r="AR124" i="14" s="1"/>
  <c r="AN125" i="14"/>
  <c r="AB124" i="14"/>
  <c r="AJ124" i="14"/>
  <c r="AJ125" i="14" s="1"/>
  <c r="AJ126" i="14" s="1"/>
  <c r="AJ127" i="14" s="1"/>
  <c r="AJ128" i="14" s="1"/>
  <c r="AJ129" i="14" s="1"/>
  <c r="AP124" i="14"/>
  <c r="AP125" i="14" s="1"/>
  <c r="AP126" i="14" s="1"/>
  <c r="V124" i="14"/>
  <c r="V133" i="14" s="1"/>
  <c r="X124" i="14"/>
  <c r="AH124" i="14"/>
  <c r="AD89" i="14"/>
  <c r="AD91" i="14" s="1"/>
  <c r="AD93" i="14" s="1"/>
  <c r="AD95" i="14" s="1"/>
  <c r="AD97" i="14" s="1"/>
  <c r="AD99" i="14" s="1"/>
  <c r="AD101" i="14" s="1"/>
  <c r="AD103" i="14" s="1"/>
  <c r="AX81" i="14"/>
  <c r="W84" i="14"/>
  <c r="W87" i="14" s="1"/>
  <c r="W85" i="14"/>
  <c r="U84" i="14"/>
  <c r="U87" i="14" s="1"/>
  <c r="AN80" i="14"/>
  <c r="AB81" i="14"/>
  <c r="AB83" i="14" s="1"/>
  <c r="V88" i="14"/>
  <c r="V82" i="14"/>
  <c r="V85" i="14" s="1"/>
  <c r="X82" i="14"/>
  <c r="X85" i="14" s="1"/>
  <c r="AB82" i="14"/>
  <c r="AH82" i="14"/>
  <c r="AD82" i="14"/>
  <c r="AD85" i="14" s="1"/>
  <c r="AD88" i="14" s="1"/>
  <c r="AD90" i="14" s="1"/>
  <c r="AD92" i="14" s="1"/>
  <c r="AD94" i="14" s="1"/>
  <c r="AD96" i="14" s="1"/>
  <c r="AD98" i="14" s="1"/>
  <c r="AD100" i="14" s="1"/>
  <c r="AD102" i="14" s="1"/>
  <c r="AP80" i="14"/>
  <c r="AP81" i="14" s="1"/>
  <c r="AP82" i="14" s="1"/>
  <c r="AP85" i="14" s="1"/>
  <c r="AP88" i="14" s="1"/>
  <c r="AP90" i="14" s="1"/>
  <c r="AP92" i="14" s="1"/>
  <c r="AP94" i="14" s="1"/>
  <c r="AP96" i="14" s="1"/>
  <c r="AP98" i="14" s="1"/>
  <c r="AP100" i="14" s="1"/>
  <c r="AP102" i="14" s="1"/>
  <c r="X80" i="14"/>
  <c r="X84" i="14" s="1"/>
  <c r="V80" i="14"/>
  <c r="V84" i="14" s="1"/>
  <c r="V87" i="14" s="1"/>
  <c r="AH80" i="14"/>
  <c r="AJ80" i="14"/>
  <c r="AJ81" i="14" s="1"/>
  <c r="AJ83" i="14" s="1"/>
  <c r="AJ86" i="14" s="1"/>
  <c r="AJ89" i="14" s="1"/>
  <c r="AJ91" i="14" s="1"/>
  <c r="AJ93" i="14" s="1"/>
  <c r="AJ95" i="14" s="1"/>
  <c r="AJ97" i="14" s="1"/>
  <c r="AJ99" i="14" s="1"/>
  <c r="AJ101" i="14" s="1"/>
  <c r="AJ103" i="14" s="1"/>
  <c r="AH66" i="14"/>
  <c r="AH68" i="14" s="1"/>
  <c r="AH75" i="14" s="1"/>
  <c r="AK66" i="14"/>
  <c r="AK68" i="14" s="1"/>
  <c r="AK75" i="14" s="1"/>
  <c r="AB64" i="14"/>
  <c r="AE64" i="14" s="1"/>
  <c r="AD64" i="14"/>
  <c r="AD66" i="14" s="1"/>
  <c r="AD68" i="14" s="1"/>
  <c r="AD75" i="14" s="1"/>
  <c r="AJ64" i="14"/>
  <c r="AJ66" i="14" s="1"/>
  <c r="AJ68" i="14" s="1"/>
  <c r="AJ75" i="14" s="1"/>
  <c r="V64" i="14"/>
  <c r="AN64" i="14"/>
  <c r="AQ64" i="14" s="1"/>
  <c r="AR64" i="14" s="1"/>
  <c r="X64" i="14"/>
  <c r="V59" i="14"/>
  <c r="AP57" i="14"/>
  <c r="AP59" i="14" s="1"/>
  <c r="AU55" i="14"/>
  <c r="AU57" i="14" s="1"/>
  <c r="AI52" i="14"/>
  <c r="AI54" i="14" s="1"/>
  <c r="AI56" i="14" s="1"/>
  <c r="AI58" i="14" s="1"/>
  <c r="AJ52" i="14"/>
  <c r="AJ54" i="14" s="1"/>
  <c r="AJ56" i="14" s="1"/>
  <c r="AJ58" i="14" s="1"/>
  <c r="AJ53" i="14"/>
  <c r="AJ55" i="14" s="1"/>
  <c r="AJ57" i="14" s="1"/>
  <c r="AJ59" i="14" s="1"/>
  <c r="AN53" i="14"/>
  <c r="V53" i="14"/>
  <c r="AD53" i="14"/>
  <c r="AD55" i="14" s="1"/>
  <c r="AD57" i="14" s="1"/>
  <c r="AD59" i="14" s="1"/>
  <c r="AB53" i="14"/>
  <c r="AH53" i="14"/>
  <c r="AO52" i="14"/>
  <c r="AO54" i="14" s="1"/>
  <c r="AO56" i="14" s="1"/>
  <c r="AO58" i="14" s="1"/>
  <c r="AP52" i="14"/>
  <c r="AP54" i="14" s="1"/>
  <c r="AP56" i="14" s="1"/>
  <c r="AP58" i="14" s="1"/>
  <c r="AF50" i="14"/>
  <c r="AR50" i="14"/>
  <c r="AQ40" i="14"/>
  <c r="AR40" i="14" s="1"/>
  <c r="AU40" i="14"/>
  <c r="AE40" i="14"/>
  <c r="AF40" i="14" s="1"/>
  <c r="W40" i="14" s="1"/>
  <c r="AT40" i="14"/>
  <c r="AT50" i="14"/>
  <c r="AC51" i="14"/>
  <c r="V52" i="14" s="1"/>
  <c r="W52" i="14" s="1"/>
  <c r="Y52" i="14" s="1"/>
  <c r="Z52" i="14" s="1"/>
  <c r="V50" i="14"/>
  <c r="AB51" i="14"/>
  <c r="AH50" i="14"/>
  <c r="AK50" i="14" s="1"/>
  <c r="AN51" i="14"/>
  <c r="AN52" i="14" s="1"/>
  <c r="AN54" i="14" s="1"/>
  <c r="AN56" i="14" s="1"/>
  <c r="AN58" i="14" s="1"/>
  <c r="W51" i="14"/>
  <c r="AH41" i="14"/>
  <c r="AH42" i="14" s="1"/>
  <c r="AK42" i="14" s="1"/>
  <c r="AL42" i="14" s="1"/>
  <c r="AK40" i="14"/>
  <c r="AL40" i="14" s="1"/>
  <c r="X7" i="14"/>
  <c r="X10" i="14" s="1"/>
  <c r="X13" i="14" s="1"/>
  <c r="AU41" i="14"/>
  <c r="AC42" i="14"/>
  <c r="AQ41" i="14"/>
  <c r="AR41" i="14" s="1"/>
  <c r="AN42" i="14"/>
  <c r="AB42" i="14"/>
  <c r="AE41" i="14"/>
  <c r="AF41" i="14" s="1"/>
  <c r="W41" i="14" s="1"/>
  <c r="AI41" i="14"/>
  <c r="AO41" i="14"/>
  <c r="U30" i="14"/>
  <c r="U28" i="14"/>
  <c r="U26" i="14"/>
  <c r="S26" i="14"/>
  <c r="S27" i="14"/>
  <c r="S31" i="14" s="1"/>
  <c r="R26" i="14"/>
  <c r="R27" i="14"/>
  <c r="R31" i="14" s="1"/>
  <c r="X32" i="14"/>
  <c r="V32" i="14"/>
  <c r="V28" i="14" s="1"/>
  <c r="AH32" i="14"/>
  <c r="AH28" i="14" s="1"/>
  <c r="AK28" i="14" s="1"/>
  <c r="AL28" i="14" s="1"/>
  <c r="AN32" i="14"/>
  <c r="AN28" i="14" s="1"/>
  <c r="AQ28" i="14" s="1"/>
  <c r="AR28" i="14" s="1"/>
  <c r="V19" i="14"/>
  <c r="AI19" i="14" s="1"/>
  <c r="AI20" i="14" s="1"/>
  <c r="V25" i="14" s="1"/>
  <c r="X19" i="14"/>
  <c r="AB19" i="14"/>
  <c r="AE19" i="14" s="1"/>
  <c r="AF19" i="14" s="1"/>
  <c r="AH19" i="14"/>
  <c r="AK19" i="14" s="1"/>
  <c r="AL19" i="14" s="1"/>
  <c r="AJ19" i="14"/>
  <c r="AJ20" i="14" s="1"/>
  <c r="AJ22" i="14" s="1"/>
  <c r="AJ28" i="14" s="1"/>
  <c r="AJ32" i="14" s="1"/>
  <c r="W21" i="14"/>
  <c r="W24" i="14" s="1"/>
  <c r="W27" i="14" s="1"/>
  <c r="W31" i="14" s="1"/>
  <c r="AD19" i="14"/>
  <c r="AD20" i="14" s="1"/>
  <c r="AD22" i="14" s="1"/>
  <c r="AD25" i="14" s="1"/>
  <c r="AD28" i="14" s="1"/>
  <c r="AD32" i="14" s="1"/>
  <c r="U21" i="14"/>
  <c r="AN19" i="14"/>
  <c r="AQ19" i="14" s="1"/>
  <c r="AR19" i="14" s="1"/>
  <c r="AP19" i="14"/>
  <c r="AP20" i="14" s="1"/>
  <c r="AP22" i="14" s="1"/>
  <c r="AP25" i="14" s="1"/>
  <c r="W6" i="14"/>
  <c r="U6" i="14"/>
  <c r="X12" i="14"/>
  <c r="AD13" i="14"/>
  <c r="U8" i="14"/>
  <c r="U11" i="14" s="1"/>
  <c r="U14" i="14" s="1"/>
  <c r="V7" i="14"/>
  <c r="V10" i="14" s="1"/>
  <c r="V13" i="14" s="1"/>
  <c r="AH10" i="14"/>
  <c r="AN10" i="14"/>
  <c r="AJ5" i="14"/>
  <c r="AJ8" i="14" s="1"/>
  <c r="AP10" i="14"/>
  <c r="AJ10" i="14"/>
  <c r="AK10" i="14"/>
  <c r="AL10" i="14" s="1"/>
  <c r="AQ10" i="14"/>
  <c r="AR10" i="14" s="1"/>
  <c r="AE10" i="14"/>
  <c r="AF10" i="14" s="1"/>
  <c r="V12" i="14"/>
  <c r="AE11" i="14"/>
  <c r="V5" i="14"/>
  <c r="AJ7" i="14"/>
  <c r="AJ11" i="14" s="1"/>
  <c r="AK7" i="14"/>
  <c r="AQ4" i="14"/>
  <c r="U9" i="14"/>
  <c r="W11" i="14"/>
  <c r="W14" i="14" s="1"/>
  <c r="AH7" i="14"/>
  <c r="AH11" i="14" s="1"/>
  <c r="U10" i="14"/>
  <c r="AB7" i="14"/>
  <c r="AD7" i="14"/>
  <c r="AD11" i="14" s="1"/>
  <c r="AE4" i="14"/>
  <c r="AF4" i="14" s="1"/>
  <c r="AE5" i="14"/>
  <c r="AH5" i="14"/>
  <c r="AH8" i="14" s="1"/>
  <c r="AN4" i="14"/>
  <c r="AP4" i="14"/>
  <c r="AP5" i="14" s="1"/>
  <c r="AK5" i="14"/>
  <c r="V4" i="14"/>
  <c r="V6" i="14" s="1"/>
  <c r="X4" i="14"/>
  <c r="AQ5" i="14"/>
  <c r="AR5" i="14" s="1"/>
  <c r="AN5" i="14"/>
  <c r="W9" i="14"/>
  <c r="AD4" i="14"/>
  <c r="AD5" i="14" s="1"/>
  <c r="AD8" i="14" s="1"/>
  <c r="AK4" i="14"/>
  <c r="AL4" i="14" s="1"/>
  <c r="AB4" i="14"/>
  <c r="X5" i="14"/>
  <c r="AL190" i="14"/>
  <c r="AO190" i="14"/>
  <c r="AK190" i="14"/>
  <c r="AE190" i="14"/>
  <c r="AN186" i="14"/>
  <c r="AE186" i="14"/>
  <c r="AF186" i="14"/>
  <c r="AF187" i="14" s="1"/>
  <c r="AF188" i="14" s="1"/>
  <c r="AF189" i="14" s="1"/>
  <c r="AF190" i="14" s="1"/>
  <c r="AB187" i="14"/>
  <c r="AB188" i="14" s="1"/>
  <c r="AB189" i="14" s="1"/>
  <c r="AD182" i="14"/>
  <c r="AD183" i="14" s="1"/>
  <c r="AK186" i="14"/>
  <c r="AJ183" i="14"/>
  <c r="AO183" i="14" s="1"/>
  <c r="AD187" i="14"/>
  <c r="AL186" i="14"/>
  <c r="AL187" i="14" s="1"/>
  <c r="AL188" i="14" s="1"/>
  <c r="AL189" i="14" s="1"/>
  <c r="AJ187" i="14"/>
  <c r="AO187" i="14" s="1"/>
  <c r="AM222" i="14"/>
  <c r="AM223" i="14" s="1"/>
  <c r="AP224" i="14"/>
  <c r="AP225" i="14" s="1"/>
  <c r="AK182" i="14"/>
  <c r="AF182" i="14"/>
  <c r="AF183" i="14" s="1"/>
  <c r="AF184" i="14" s="1"/>
  <c r="AF185" i="14" s="1"/>
  <c r="AL182" i="14"/>
  <c r="AL183" i="14" s="1"/>
  <c r="AL184" i="14" s="1"/>
  <c r="AL185" i="14" s="1"/>
  <c r="AF161" i="14"/>
  <c r="AR218" i="14"/>
  <c r="AQ233" i="14"/>
  <c r="AQ234" i="14" s="1"/>
  <c r="AQ235" i="14" s="1"/>
  <c r="AQ236" i="14" s="1"/>
  <c r="AQ237" i="14" s="1"/>
  <c r="AQ238" i="14" s="1"/>
  <c r="AQ239" i="14" s="1"/>
  <c r="AR232" i="14"/>
  <c r="AM232" i="14"/>
  <c r="AM233" i="14" s="1"/>
  <c r="AM234" i="14" s="1"/>
  <c r="AN220" i="14"/>
  <c r="AN221" i="14" s="1"/>
  <c r="AN222" i="14" s="1"/>
  <c r="AN223" i="14" s="1"/>
  <c r="AN224" i="14" s="1"/>
  <c r="AN225" i="14" s="1"/>
  <c r="AN226" i="14" s="1"/>
  <c r="AN227" i="14" s="1"/>
  <c r="AO220" i="14"/>
  <c r="AO221" i="14" s="1"/>
  <c r="AO222" i="14" s="1"/>
  <c r="AO223" i="14" s="1"/>
  <c r="AO224" i="14" s="1"/>
  <c r="AO225" i="14" s="1"/>
  <c r="AO226" i="14" s="1"/>
  <c r="AO227" i="14" s="1"/>
  <c r="AQ219" i="14"/>
  <c r="AL161" i="14"/>
  <c r="AD160" i="14"/>
  <c r="AD162" i="14" s="1"/>
  <c r="AB160" i="14"/>
  <c r="AB162" i="14" s="1"/>
  <c r="AF159" i="14"/>
  <c r="AF160" i="14" s="1"/>
  <c r="AF162" i="14" s="1"/>
  <c r="AL159" i="14"/>
  <c r="AL160" i="14" s="1"/>
  <c r="AL162" i="14" s="1"/>
  <c r="AR152" i="14"/>
  <c r="BE147" i="14"/>
  <c r="BJ147" i="14" s="1"/>
  <c r="BK147" i="14" s="1"/>
  <c r="AT152" i="14"/>
  <c r="AW147" i="14"/>
  <c r="AL178" i="14"/>
  <c r="AF176" i="14"/>
  <c r="AL177" i="14"/>
  <c r="AF178" i="14"/>
  <c r="AF166" i="14"/>
  <c r="AF175" i="14"/>
  <c r="AL166" i="14"/>
  <c r="AF168" i="14"/>
  <c r="AL170" i="14"/>
  <c r="AL175" i="14"/>
  <c r="AL155" i="14"/>
  <c r="AO153" i="14" s="1"/>
  <c r="AZ153" i="14" s="1"/>
  <c r="BA153" i="14" s="1"/>
  <c r="AF155" i="14"/>
  <c r="AM153" i="14" s="1"/>
  <c r="AL151" i="14"/>
  <c r="AL146" i="14"/>
  <c r="AO146" i="14" s="1"/>
  <c r="AO147" i="14" s="1"/>
  <c r="AO148" i="14" s="1"/>
  <c r="AF146" i="14"/>
  <c r="AM146" i="14" s="1"/>
  <c r="AF149" i="14"/>
  <c r="O8" i="12"/>
  <c r="O7" i="12" s="1"/>
  <c r="O8" i="9"/>
  <c r="O7" i="9" s="1"/>
  <c r="O8" i="11"/>
  <c r="O7" i="11" s="1"/>
  <c r="O8" i="6"/>
  <c r="O7" i="6" s="1"/>
  <c r="J3" i="9"/>
  <c r="J3" i="12"/>
  <c r="J4" i="6"/>
  <c r="J4" i="12"/>
  <c r="J4" i="9"/>
  <c r="J5" i="12"/>
  <c r="J5" i="9"/>
  <c r="J6" i="12"/>
  <c r="AD130" i="14" l="1"/>
  <c r="AQ113" i="14"/>
  <c r="AR113" i="14" s="1"/>
  <c r="AN115" i="14"/>
  <c r="AH117" i="14"/>
  <c r="AK117" i="14" s="1"/>
  <c r="AL117" i="14" s="1"/>
  <c r="AK115" i="14"/>
  <c r="AL115" i="14" s="1"/>
  <c r="AE113" i="14"/>
  <c r="AF113" i="14" s="1"/>
  <c r="AB115" i="14"/>
  <c r="AQ114" i="14"/>
  <c r="AR114" i="14" s="1"/>
  <c r="AN116" i="14"/>
  <c r="AK112" i="14"/>
  <c r="AL112" i="14" s="1"/>
  <c r="AH114" i="14"/>
  <c r="AE112" i="14"/>
  <c r="AF112" i="14" s="1"/>
  <c r="AB114" i="14"/>
  <c r="AI113" i="14"/>
  <c r="AI115" i="14" s="1"/>
  <c r="AI117" i="14" s="1"/>
  <c r="AO113" i="14"/>
  <c r="AO115" i="14" s="1"/>
  <c r="AO117" i="14" s="1"/>
  <c r="AC113" i="14"/>
  <c r="AC115" i="14" s="1"/>
  <c r="AC117" i="14" s="1"/>
  <c r="AC112" i="14"/>
  <c r="AI112" i="14"/>
  <c r="AO112" i="14"/>
  <c r="AJ131" i="14"/>
  <c r="AJ132" i="14" s="1"/>
  <c r="AJ130" i="14"/>
  <c r="AE81" i="14"/>
  <c r="AF81" i="14" s="1"/>
  <c r="AI82" i="14"/>
  <c r="AI85" i="14" s="1"/>
  <c r="AI88" i="14" s="1"/>
  <c r="AX126" i="14"/>
  <c r="BB125" i="14"/>
  <c r="AN126" i="14"/>
  <c r="AQ125" i="14"/>
  <c r="AR125" i="14" s="1"/>
  <c r="AE124" i="14"/>
  <c r="AF124" i="14" s="1"/>
  <c r="AB125" i="14"/>
  <c r="AP128" i="14"/>
  <c r="AP127" i="14"/>
  <c r="AP129" i="14" s="1"/>
  <c r="AK124" i="14"/>
  <c r="AL124" i="14" s="1"/>
  <c r="AH125" i="14"/>
  <c r="AC124" i="14"/>
  <c r="AO124" i="14"/>
  <c r="AI124" i="14"/>
  <c r="AP32" i="14"/>
  <c r="AP28" i="14"/>
  <c r="AC82" i="14"/>
  <c r="AC85" i="14"/>
  <c r="AC88" i="14" s="1"/>
  <c r="AK80" i="14"/>
  <c r="AL80" i="14" s="1"/>
  <c r="AH81" i="14"/>
  <c r="AK82" i="14"/>
  <c r="AL82" i="14" s="1"/>
  <c r="AH85" i="14"/>
  <c r="AE82" i="14"/>
  <c r="AF82" i="14" s="1"/>
  <c r="AF85" i="14" s="1"/>
  <c r="AB85" i="14"/>
  <c r="AQ80" i="14"/>
  <c r="AR80" i="14" s="1"/>
  <c r="AN81" i="14"/>
  <c r="AE83" i="14"/>
  <c r="AF83" i="14" s="1"/>
  <c r="AF86" i="14" s="1"/>
  <c r="AB86" i="14"/>
  <c r="AC80" i="14"/>
  <c r="AO80" i="14"/>
  <c r="AI80" i="14"/>
  <c r="AF64" i="14"/>
  <c r="AF66" i="14" s="1"/>
  <c r="AF68" i="14" s="1"/>
  <c r="AE66" i="14"/>
  <c r="AE68" i="14" s="1"/>
  <c r="AC64" i="14"/>
  <c r="AC66" i="14" s="1"/>
  <c r="AO64" i="14"/>
  <c r="AI64" i="14"/>
  <c r="AE53" i="14"/>
  <c r="AB55" i="14"/>
  <c r="AB57" i="14" s="1"/>
  <c r="AB59" i="14" s="1"/>
  <c r="AQ53" i="14"/>
  <c r="AN55" i="14"/>
  <c r="AN57" i="14" s="1"/>
  <c r="AN59" i="14" s="1"/>
  <c r="AQ59" i="14" s="1"/>
  <c r="AR59" i="14" s="1"/>
  <c r="AK53" i="14"/>
  <c r="AH55" i="14"/>
  <c r="AC53" i="14"/>
  <c r="AC55" i="14" s="1"/>
  <c r="AI53" i="14"/>
  <c r="AI55" i="14" s="1"/>
  <c r="AI57" i="14" s="1"/>
  <c r="AI59" i="14" s="1"/>
  <c r="AO53" i="14"/>
  <c r="AO55" i="14" s="1"/>
  <c r="AO57" i="14" s="1"/>
  <c r="AO59" i="14" s="1"/>
  <c r="AT51" i="14"/>
  <c r="AX50" i="14"/>
  <c r="AU51" i="14"/>
  <c r="AU52" i="14" s="1"/>
  <c r="AV52" i="14"/>
  <c r="AK41" i="14"/>
  <c r="AL41" i="14" s="1"/>
  <c r="AQ51" i="14"/>
  <c r="AQ52" i="14" s="1"/>
  <c r="AH43" i="14"/>
  <c r="AH44" i="14" s="1"/>
  <c r="AK44" i="14" s="1"/>
  <c r="AL44" i="14" s="1"/>
  <c r="W44" i="14" s="1"/>
  <c r="AT41" i="14"/>
  <c r="AE51" i="14"/>
  <c r="AV51" i="14"/>
  <c r="AV50" i="14"/>
  <c r="AW50" i="14" s="1"/>
  <c r="AH51" i="14"/>
  <c r="AH52" i="14" s="1"/>
  <c r="Y51" i="14"/>
  <c r="AO42" i="14"/>
  <c r="AW41" i="14"/>
  <c r="AC19" i="14"/>
  <c r="V20" i="14" s="1"/>
  <c r="AC20" i="14" s="1"/>
  <c r="AC22" i="14" s="1"/>
  <c r="AJ184" i="14"/>
  <c r="AO184" i="14" s="1"/>
  <c r="AK183" i="14"/>
  <c r="AO19" i="14"/>
  <c r="AO20" i="14" s="1"/>
  <c r="AO22" i="14" s="1"/>
  <c r="AW22" i="14" s="1"/>
  <c r="AQ42" i="14"/>
  <c r="AR42" i="14" s="1"/>
  <c r="AN43" i="14"/>
  <c r="AU42" i="14"/>
  <c r="AC43" i="14"/>
  <c r="AI42" i="14"/>
  <c r="AV41" i="14"/>
  <c r="V21" i="14"/>
  <c r="V24" i="14" s="1"/>
  <c r="V27" i="14" s="1"/>
  <c r="V31" i="14" s="1"/>
  <c r="AE42" i="14"/>
  <c r="AF42" i="14" s="1"/>
  <c r="W42" i="14" s="1"/>
  <c r="AB43" i="14"/>
  <c r="X28" i="14"/>
  <c r="W25" i="14"/>
  <c r="W33" i="14" s="1"/>
  <c r="W29" i="14" s="1"/>
  <c r="V33" i="14"/>
  <c r="V29" i="14" s="1"/>
  <c r="AJ25" i="14"/>
  <c r="AV19" i="14"/>
  <c r="W35" i="14"/>
  <c r="AQ32" i="14"/>
  <c r="AK32" i="14"/>
  <c r="V22" i="14"/>
  <c r="AI22" i="14"/>
  <c r="AI28" i="14" s="1"/>
  <c r="AI7" i="14"/>
  <c r="AI11" i="14" s="1"/>
  <c r="AN20" i="14"/>
  <c r="AH20" i="14"/>
  <c r="AB20" i="14"/>
  <c r="U24" i="14"/>
  <c r="U27" i="14" s="1"/>
  <c r="U31" i="14" s="1"/>
  <c r="AC7" i="14"/>
  <c r="AC11" i="14" s="1"/>
  <c r="X21" i="14"/>
  <c r="X24" i="14" s="1"/>
  <c r="X27" i="14" s="1"/>
  <c r="X31" i="14" s="1"/>
  <c r="X9" i="14"/>
  <c r="X6" i="14"/>
  <c r="AR4" i="14"/>
  <c r="AB11" i="14"/>
  <c r="U13" i="14"/>
  <c r="V8" i="14"/>
  <c r="V11" i="14" s="1"/>
  <c r="AI13" i="14"/>
  <c r="AC13" i="14"/>
  <c r="X8" i="14"/>
  <c r="AP14" i="14"/>
  <c r="AJ14" i="14"/>
  <c r="AD14" i="14"/>
  <c r="AN14" i="14"/>
  <c r="AB14" i="14"/>
  <c r="AH14" i="14"/>
  <c r="AE14" i="14"/>
  <c r="AF14" i="14" s="1"/>
  <c r="AN12" i="14"/>
  <c r="AK12" i="14"/>
  <c r="AB12" i="14"/>
  <c r="AE12" i="14"/>
  <c r="AQ12" i="14"/>
  <c r="AR12" i="14" s="1"/>
  <c r="AH12" i="14"/>
  <c r="AL7" i="14"/>
  <c r="AL11" i="14" s="1"/>
  <c r="AK11" i="14"/>
  <c r="AJ12" i="14"/>
  <c r="AP12" i="14"/>
  <c r="AD12" i="14"/>
  <c r="AO10" i="14"/>
  <c r="AC10" i="14"/>
  <c r="AI10" i="14"/>
  <c r="AL5" i="14"/>
  <c r="AK8" i="14"/>
  <c r="AL8" i="14" s="1"/>
  <c r="AC4" i="14"/>
  <c r="V9" i="14"/>
  <c r="AI4" i="14"/>
  <c r="AO4" i="14"/>
  <c r="AF5" i="14"/>
  <c r="AE8" i="14"/>
  <c r="AF8" i="14" s="1"/>
  <c r="AF12" i="14" s="1"/>
  <c r="AO161" i="14"/>
  <c r="AZ161" i="14" s="1"/>
  <c r="BG161" i="14" s="1"/>
  <c r="BH161" i="14" s="1"/>
  <c r="AM161" i="14"/>
  <c r="AN187" i="14"/>
  <c r="AE187" i="14"/>
  <c r="AN183" i="14"/>
  <c r="AE183" i="14"/>
  <c r="AN182" i="14"/>
  <c r="AE182" i="14"/>
  <c r="AK187" i="14"/>
  <c r="AJ188" i="14"/>
  <c r="AO188" i="14" s="1"/>
  <c r="AD188" i="14"/>
  <c r="AD184" i="14"/>
  <c r="AR234" i="14"/>
  <c r="AM235" i="14"/>
  <c r="AR233" i="14"/>
  <c r="AO232" i="14"/>
  <c r="AN232" i="14"/>
  <c r="AN233" i="14" s="1"/>
  <c r="AN234" i="14" s="1"/>
  <c r="AN235" i="14" s="1"/>
  <c r="AN236" i="14" s="1"/>
  <c r="AN237" i="14" s="1"/>
  <c r="AN238" i="14" s="1"/>
  <c r="AN239" i="14" s="1"/>
  <c r="AQ220" i="14"/>
  <c r="AQ221" i="14" s="1"/>
  <c r="AR221" i="14" s="1"/>
  <c r="AM224" i="14"/>
  <c r="AM225" i="14" s="1"/>
  <c r="AM226" i="14" s="1"/>
  <c r="AM227" i="14" s="1"/>
  <c r="AP226" i="14"/>
  <c r="AR219" i="14"/>
  <c r="AO159" i="14"/>
  <c r="AO160" i="14" s="1"/>
  <c r="AM159" i="14"/>
  <c r="AM160" i="14" s="1"/>
  <c r="AZ148" i="14"/>
  <c r="BG148" i="14" s="1"/>
  <c r="BH148" i="14" s="1"/>
  <c r="AO150" i="14"/>
  <c r="AX153" i="14"/>
  <c r="AP153" i="14"/>
  <c r="BG153" i="14"/>
  <c r="BH153" i="14" s="1"/>
  <c r="AW148" i="14"/>
  <c r="AW150" i="14" s="1"/>
  <c r="AW152" i="14" s="1"/>
  <c r="AV150" i="14"/>
  <c r="AV152" i="14" s="1"/>
  <c r="AP146" i="14"/>
  <c r="AP147" i="14" s="1"/>
  <c r="AM147" i="14"/>
  <c r="AM148" i="14" s="1"/>
  <c r="AX148" i="14" s="1"/>
  <c r="AY148" i="14" s="1"/>
  <c r="AQ116" i="14" l="1"/>
  <c r="AR116" i="14" s="1"/>
  <c r="AN118" i="14"/>
  <c r="AQ118" i="14" s="1"/>
  <c r="AR118" i="14" s="1"/>
  <c r="AK114" i="14"/>
  <c r="AL114" i="14" s="1"/>
  <c r="AH116" i="14"/>
  <c r="AQ115" i="14"/>
  <c r="AR115" i="14" s="1"/>
  <c r="AN117" i="14"/>
  <c r="AQ117" i="14" s="1"/>
  <c r="AR117" i="14" s="1"/>
  <c r="AE114" i="14"/>
  <c r="AF114" i="14" s="1"/>
  <c r="AB116" i="14"/>
  <c r="AB117" i="14"/>
  <c r="AE117" i="14" s="1"/>
  <c r="AF117" i="14" s="1"/>
  <c r="AE115" i="14"/>
  <c r="AF115" i="14" s="1"/>
  <c r="AW112" i="14"/>
  <c r="AO114" i="14"/>
  <c r="AV112" i="14"/>
  <c r="AI114" i="14"/>
  <c r="AU112" i="14"/>
  <c r="AC114" i="14"/>
  <c r="AP131" i="14"/>
  <c r="AP130" i="14"/>
  <c r="AP132" i="14" s="1"/>
  <c r="AX128" i="14"/>
  <c r="AX127" i="14"/>
  <c r="BB126" i="14"/>
  <c r="AN128" i="14"/>
  <c r="AN127" i="14"/>
  <c r="AQ126" i="14"/>
  <c r="AR126" i="14" s="1"/>
  <c r="AE125" i="14"/>
  <c r="AF125" i="14" s="1"/>
  <c r="AB126" i="14"/>
  <c r="AH126" i="14"/>
  <c r="AK125" i="14"/>
  <c r="AL125" i="14" s="1"/>
  <c r="AU124" i="14"/>
  <c r="AC125" i="14"/>
  <c r="AW124" i="14"/>
  <c r="AO125" i="14"/>
  <c r="AV124" i="14"/>
  <c r="AI125" i="14"/>
  <c r="AT124" i="14"/>
  <c r="AZ124" i="14" s="1"/>
  <c r="BA124" i="14" s="1"/>
  <c r="AI32" i="14"/>
  <c r="AV28" i="14"/>
  <c r="AE86" i="14"/>
  <c r="AB89" i="14"/>
  <c r="AC90" i="14"/>
  <c r="AC92" i="14" s="1"/>
  <c r="AC94" i="14" s="1"/>
  <c r="AC96" i="14" s="1"/>
  <c r="AN82" i="14"/>
  <c r="AQ81" i="14"/>
  <c r="AR81" i="14" s="1"/>
  <c r="AH83" i="14"/>
  <c r="AK81" i="14"/>
  <c r="AL81" i="14" s="1"/>
  <c r="AE85" i="14"/>
  <c r="AB88" i="14"/>
  <c r="AE88" i="14" s="1"/>
  <c r="AF88" i="14" s="1"/>
  <c r="AK85" i="14"/>
  <c r="AL85" i="14" s="1"/>
  <c r="AH88" i="14"/>
  <c r="AI90" i="14"/>
  <c r="AV80" i="14"/>
  <c r="AI81" i="14"/>
  <c r="AW80" i="14"/>
  <c r="AO81" i="14"/>
  <c r="AU80" i="14"/>
  <c r="V81" i="14"/>
  <c r="AC81" i="14" s="1"/>
  <c r="AV64" i="14"/>
  <c r="AI66" i="14"/>
  <c r="AT66" i="14" s="1"/>
  <c r="AU66" i="14"/>
  <c r="AC68" i="14"/>
  <c r="AW64" i="14"/>
  <c r="V66" i="14"/>
  <c r="W66" i="14" s="1"/>
  <c r="Y66" i="14" s="1"/>
  <c r="Z66" i="14" s="1"/>
  <c r="AU64" i="14"/>
  <c r="AT64" i="14"/>
  <c r="AW51" i="14"/>
  <c r="AV55" i="14"/>
  <c r="AR53" i="14"/>
  <c r="AQ55" i="14"/>
  <c r="AR55" i="14" s="1"/>
  <c r="AL53" i="14"/>
  <c r="AK55" i="14"/>
  <c r="AL55" i="14" s="1"/>
  <c r="AK43" i="14"/>
  <c r="AL43" i="14" s="1"/>
  <c r="AF53" i="14"/>
  <c r="AE55" i="14"/>
  <c r="AF55" i="14" s="1"/>
  <c r="AU19" i="14"/>
  <c r="AK52" i="14"/>
  <c r="AH54" i="14"/>
  <c r="AH56" i="14" s="1"/>
  <c r="AH58" i="14" s="1"/>
  <c r="AR52" i="14"/>
  <c r="AQ54" i="14"/>
  <c r="AV53" i="14"/>
  <c r="Z51" i="14"/>
  <c r="AT52" i="14"/>
  <c r="AX51" i="14"/>
  <c r="AH57" i="14"/>
  <c r="AH59" i="14" s="1"/>
  <c r="AK59" i="14" s="1"/>
  <c r="AL59" i="14" s="1"/>
  <c r="AK51" i="14"/>
  <c r="AR51" i="14"/>
  <c r="AP161" i="14"/>
  <c r="AC57" i="14"/>
  <c r="V35" i="14"/>
  <c r="AF51" i="14"/>
  <c r="AJ185" i="14"/>
  <c r="AK185" i="14" s="1"/>
  <c r="AK184" i="14"/>
  <c r="AO25" i="14"/>
  <c r="AL50" i="14"/>
  <c r="AW19" i="14"/>
  <c r="AW20" i="14"/>
  <c r="AT19" i="14"/>
  <c r="AE43" i="14"/>
  <c r="AF43" i="14" s="1"/>
  <c r="W43" i="14" s="1"/>
  <c r="AB44" i="14"/>
  <c r="AE44" i="14" s="1"/>
  <c r="AF44" i="14" s="1"/>
  <c r="AC44" i="14"/>
  <c r="AU43" i="14"/>
  <c r="AV42" i="14"/>
  <c r="AI43" i="14"/>
  <c r="AT42" i="14"/>
  <c r="AQ43" i="14"/>
  <c r="AR43" i="14" s="1"/>
  <c r="AN44" i="14"/>
  <c r="AQ44" i="14" s="1"/>
  <c r="AR44" i="14" s="1"/>
  <c r="AW42" i="14"/>
  <c r="AO43" i="14"/>
  <c r="AC25" i="14"/>
  <c r="AI25" i="14"/>
  <c r="Y25" i="14"/>
  <c r="AT4" i="14"/>
  <c r="X35" i="14"/>
  <c r="U35" i="14"/>
  <c r="AR32" i="14"/>
  <c r="AL32" i="14"/>
  <c r="AK20" i="14"/>
  <c r="AH22" i="14"/>
  <c r="AQ20" i="14"/>
  <c r="AN22" i="14"/>
  <c r="AE20" i="14"/>
  <c r="AB22" i="14"/>
  <c r="AB25" i="14" s="1"/>
  <c r="AU22" i="14"/>
  <c r="V23" i="14"/>
  <c r="V26" i="14" s="1"/>
  <c r="W20" i="14"/>
  <c r="Y20" i="14" s="1"/>
  <c r="W22" i="14"/>
  <c r="AV20" i="14"/>
  <c r="AU20" i="14"/>
  <c r="AT20" i="14"/>
  <c r="X11" i="14"/>
  <c r="X14" i="14" s="1"/>
  <c r="V14" i="14"/>
  <c r="AI12" i="14"/>
  <c r="AV10" i="14" s="1"/>
  <c r="AO12" i="14"/>
  <c r="AW10" i="14" s="1"/>
  <c r="AK13" i="14"/>
  <c r="AL13" i="14" s="1"/>
  <c r="AH13" i="14"/>
  <c r="AB13" i="14"/>
  <c r="AE13" i="14"/>
  <c r="AF13" i="14" s="1"/>
  <c r="AL12" i="14"/>
  <c r="AK14" i="14"/>
  <c r="AL14" i="14" s="1"/>
  <c r="AO5" i="14"/>
  <c r="AW5" i="14" s="1"/>
  <c r="AW4" i="14"/>
  <c r="AI5" i="14"/>
  <c r="AV4" i="14"/>
  <c r="BA161" i="14"/>
  <c r="AX161" i="14"/>
  <c r="BB161" i="14" s="1"/>
  <c r="BC161" i="14" s="1"/>
  <c r="AC5" i="14"/>
  <c r="AU4" i="14"/>
  <c r="AN184" i="14"/>
  <c r="AE184" i="14"/>
  <c r="AN188" i="14"/>
  <c r="AE188" i="14"/>
  <c r="AJ189" i="14"/>
  <c r="AK188" i="14"/>
  <c r="AD189" i="14"/>
  <c r="AR220" i="14"/>
  <c r="AP160" i="14"/>
  <c r="AD185" i="14"/>
  <c r="AR235" i="14"/>
  <c r="AM236" i="14"/>
  <c r="AO233" i="14"/>
  <c r="AO234" i="14" s="1"/>
  <c r="AO235" i="14" s="1"/>
  <c r="AO236" i="14" s="1"/>
  <c r="AO237" i="14" s="1"/>
  <c r="AO238" i="14" s="1"/>
  <c r="AO239" i="14" s="1"/>
  <c r="AO240" i="14" s="1"/>
  <c r="AO241" i="14" s="1"/>
  <c r="AQ222" i="14"/>
  <c r="AQ223" i="14" s="1"/>
  <c r="AQ224" i="14" s="1"/>
  <c r="AR224" i="14" s="1"/>
  <c r="AP159" i="14"/>
  <c r="BA148" i="14"/>
  <c r="AY153" i="14"/>
  <c r="BF153" i="14" s="1"/>
  <c r="BE153" i="14"/>
  <c r="BJ153" i="14" s="1"/>
  <c r="BK153" i="14" s="1"/>
  <c r="BB153" i="14"/>
  <c r="BC153" i="14" s="1"/>
  <c r="AO152" i="14"/>
  <c r="AZ150" i="14"/>
  <c r="BE148" i="14"/>
  <c r="BJ148" i="14" s="1"/>
  <c r="BK148" i="14" s="1"/>
  <c r="AM150" i="14"/>
  <c r="AP148" i="14"/>
  <c r="AE116" i="14" l="1"/>
  <c r="AF116" i="14" s="1"/>
  <c r="AB118" i="14"/>
  <c r="AE118" i="14" s="1"/>
  <c r="AF118" i="14" s="1"/>
  <c r="AU113" i="14"/>
  <c r="AC116" i="14"/>
  <c r="AV113" i="14"/>
  <c r="AI116" i="14"/>
  <c r="AW113" i="14"/>
  <c r="AO116" i="14"/>
  <c r="AK116" i="14"/>
  <c r="AL116" i="14" s="1"/>
  <c r="AH118" i="14"/>
  <c r="AK118" i="14" s="1"/>
  <c r="AL118" i="14" s="1"/>
  <c r="AT113" i="14"/>
  <c r="AT112" i="14"/>
  <c r="AQ128" i="14"/>
  <c r="AR128" i="14" s="1"/>
  <c r="AN130" i="14"/>
  <c r="AX131" i="14"/>
  <c r="AX130" i="14"/>
  <c r="AQ127" i="14"/>
  <c r="AR127" i="14" s="1"/>
  <c r="AN129" i="14"/>
  <c r="BB127" i="14"/>
  <c r="AX129" i="14"/>
  <c r="AE126" i="14"/>
  <c r="AF126" i="14" s="1"/>
  <c r="AB128" i="14"/>
  <c r="AB127" i="14"/>
  <c r="AH127" i="14"/>
  <c r="AK126" i="14"/>
  <c r="AL126" i="14" s="1"/>
  <c r="AC126" i="14"/>
  <c r="AU125" i="14"/>
  <c r="AO126" i="14"/>
  <c r="AW125" i="14"/>
  <c r="AI126" i="14"/>
  <c r="AV125" i="14"/>
  <c r="AO32" i="14"/>
  <c r="AW32" i="14" s="1"/>
  <c r="AO28" i="14"/>
  <c r="AW28" i="14" s="1"/>
  <c r="AU25" i="14"/>
  <c r="AC28" i="14"/>
  <c r="AC98" i="14"/>
  <c r="AC100" i="14" s="1"/>
  <c r="V92" i="14"/>
  <c r="V94" i="14" s="1"/>
  <c r="W94" i="14" s="1"/>
  <c r="AI94" i="14"/>
  <c r="AI96" i="14" s="1"/>
  <c r="AI100" i="14" s="1"/>
  <c r="W81" i="14"/>
  <c r="Y81" i="14" s="1"/>
  <c r="V83" i="14"/>
  <c r="V86" i="14" s="1"/>
  <c r="AW81" i="14"/>
  <c r="AO82" i="14"/>
  <c r="AI83" i="14"/>
  <c r="AV81" i="14"/>
  <c r="AH86" i="14"/>
  <c r="AK83" i="14"/>
  <c r="AL83" i="14" s="1"/>
  <c r="AN85" i="14"/>
  <c r="AQ82" i="14"/>
  <c r="AR82" i="14" s="1"/>
  <c r="AT80" i="14"/>
  <c r="AZ80" i="14" s="1"/>
  <c r="BA80" i="14" s="1"/>
  <c r="AH90" i="14"/>
  <c r="AH94" i="14" s="1"/>
  <c r="AK88" i="14"/>
  <c r="AL88" i="14" s="1"/>
  <c r="AB90" i="14"/>
  <c r="AB91" i="14"/>
  <c r="AE89" i="14"/>
  <c r="AF89" i="14" s="1"/>
  <c r="AU81" i="14"/>
  <c r="AC83" i="14"/>
  <c r="AC75" i="14"/>
  <c r="AU68" i="14"/>
  <c r="AV66" i="14"/>
  <c r="AI68" i="14"/>
  <c r="AQ57" i="14"/>
  <c r="AR57" i="14" s="1"/>
  <c r="AQ56" i="14"/>
  <c r="AR54" i="14"/>
  <c r="AE57" i="14"/>
  <c r="AF57" i="14" s="1"/>
  <c r="AV57" i="14"/>
  <c r="AC59" i="14"/>
  <c r="AV59" i="14" s="1"/>
  <c r="AX52" i="14"/>
  <c r="AT53" i="14"/>
  <c r="AW53" i="14" s="1"/>
  <c r="AL52" i="14"/>
  <c r="AK54" i="14"/>
  <c r="AW52" i="14"/>
  <c r="AW25" i="14"/>
  <c r="AL51" i="14"/>
  <c r="AK57" i="14"/>
  <c r="AL57" i="14" s="1"/>
  <c r="AO185" i="14"/>
  <c r="AV43" i="14"/>
  <c r="AI44" i="14"/>
  <c r="AV44" i="14" s="1"/>
  <c r="AT43" i="14"/>
  <c r="AW43" i="14"/>
  <c r="AO44" i="14"/>
  <c r="AW44" i="14" s="1"/>
  <c r="Z25" i="14"/>
  <c r="Z33" i="14" s="1"/>
  <c r="Z29" i="14" s="1"/>
  <c r="Y33" i="14"/>
  <c r="Y29" i="14" s="1"/>
  <c r="AV25" i="14"/>
  <c r="AN25" i="14"/>
  <c r="AH25" i="14"/>
  <c r="AK25" i="14" s="1"/>
  <c r="AL25" i="14" s="1"/>
  <c r="AB32" i="14"/>
  <c r="V34" i="14"/>
  <c r="Y22" i="14"/>
  <c r="W23" i="14"/>
  <c r="W26" i="14" s="1"/>
  <c r="AE22" i="14"/>
  <c r="AE25" i="14" s="1"/>
  <c r="AF25" i="14" s="1"/>
  <c r="AF20" i="14"/>
  <c r="AQ22" i="14"/>
  <c r="AQ25" i="14" s="1"/>
  <c r="AR20" i="14"/>
  <c r="AK22" i="14"/>
  <c r="AL20" i="14"/>
  <c r="AL22" i="14" s="1"/>
  <c r="AT22" i="14"/>
  <c r="AY161" i="14"/>
  <c r="BF161" i="14" s="1"/>
  <c r="BE161" i="14"/>
  <c r="BJ161" i="14" s="1"/>
  <c r="BK161" i="14" s="1"/>
  <c r="AO14" i="14"/>
  <c r="AW13" i="14" s="1"/>
  <c r="AC14" i="14"/>
  <c r="AU13" i="14" s="1"/>
  <c r="AI14" i="14"/>
  <c r="AV13" i="14" s="1"/>
  <c r="AI8" i="14"/>
  <c r="AV7" i="14" s="1"/>
  <c r="AV5" i="14"/>
  <c r="AC8" i="14"/>
  <c r="AC12" i="14" s="1"/>
  <c r="AU10" i="14" s="1"/>
  <c r="AT10" i="14" s="1"/>
  <c r="AU5" i="14"/>
  <c r="AT5" i="14"/>
  <c r="AN185" i="14"/>
  <c r="AE185" i="14"/>
  <c r="AN189" i="14"/>
  <c r="AE189" i="14"/>
  <c r="AK189" i="14"/>
  <c r="AO189" i="14"/>
  <c r="AR222" i="14"/>
  <c r="AR236" i="14"/>
  <c r="AM237" i="14"/>
  <c r="AJ240" i="14"/>
  <c r="AL240" i="14" s="1"/>
  <c r="AP240" i="14" s="1"/>
  <c r="AO242" i="14"/>
  <c r="AO243" i="14" s="1"/>
  <c r="AL238" i="14"/>
  <c r="AP238" i="14" s="1"/>
  <c r="AQ225" i="14"/>
  <c r="AR223" i="14"/>
  <c r="AX150" i="14"/>
  <c r="BB150" i="14" s="1"/>
  <c r="AP150" i="14"/>
  <c r="AM152" i="14"/>
  <c r="AP152" i="14" s="1"/>
  <c r="BA150" i="14"/>
  <c r="BA152" i="14" s="1"/>
  <c r="AZ152" i="14"/>
  <c r="BG150" i="14"/>
  <c r="BB148" i="14"/>
  <c r="BC148" i="14" s="1"/>
  <c r="BF148" i="14"/>
  <c r="AO118" i="14" l="1"/>
  <c r="AW117" i="14" s="1"/>
  <c r="AW115" i="14"/>
  <c r="AC118" i="14"/>
  <c r="AU117" i="14" s="1"/>
  <c r="AU115" i="14"/>
  <c r="AI118" i="14"/>
  <c r="AV117" i="14" s="1"/>
  <c r="AV115" i="14"/>
  <c r="AE128" i="14"/>
  <c r="AF128" i="14" s="1"/>
  <c r="AB130" i="14"/>
  <c r="AX132" i="14"/>
  <c r="AQ130" i="14"/>
  <c r="AR130" i="14" s="1"/>
  <c r="AN131" i="14"/>
  <c r="AN132" i="14" s="1"/>
  <c r="AQ132" i="14" s="1"/>
  <c r="AR132" i="14" s="1"/>
  <c r="AE127" i="14"/>
  <c r="AF127" i="14" s="1"/>
  <c r="AB129" i="14"/>
  <c r="AQ129" i="14"/>
  <c r="AR129" i="14" s="1"/>
  <c r="AQ131" i="14"/>
  <c r="AR131" i="14" s="1"/>
  <c r="AH128" i="14"/>
  <c r="AK127" i="14"/>
  <c r="AL127" i="14" s="1"/>
  <c r="AC127" i="14"/>
  <c r="AC129" i="14" s="1"/>
  <c r="AC130" i="14" s="1"/>
  <c r="AU126" i="14"/>
  <c r="AO128" i="14"/>
  <c r="AO127" i="14"/>
  <c r="AW126" i="14"/>
  <c r="AI127" i="14"/>
  <c r="AV126" i="14"/>
  <c r="AT125" i="14"/>
  <c r="AZ125" i="14" s="1"/>
  <c r="BA125" i="14" s="1"/>
  <c r="AC32" i="14"/>
  <c r="AU32" i="14" s="1"/>
  <c r="AU28" i="14"/>
  <c r="AT28" i="14" s="1"/>
  <c r="AI102" i="14"/>
  <c r="AC102" i="14"/>
  <c r="AK94" i="14"/>
  <c r="AL94" i="14" s="1"/>
  <c r="AH96" i="14"/>
  <c r="V98" i="14"/>
  <c r="AE91" i="14"/>
  <c r="AF91" i="14" s="1"/>
  <c r="AB93" i="14"/>
  <c r="AB95" i="14" s="1"/>
  <c r="AE90" i="14"/>
  <c r="AF90" i="14" s="1"/>
  <c r="AB92" i="14"/>
  <c r="AB94" i="14" s="1"/>
  <c r="AK90" i="14"/>
  <c r="AL90" i="14" s="1"/>
  <c r="AI86" i="14"/>
  <c r="AV82" i="14"/>
  <c r="AW82" i="14"/>
  <c r="AO85" i="14"/>
  <c r="Z81" i="14"/>
  <c r="Z83" i="14" s="1"/>
  <c r="Z86" i="14" s="1"/>
  <c r="Y83" i="14"/>
  <c r="Y86" i="14" s="1"/>
  <c r="AQ85" i="14"/>
  <c r="AR85" i="14" s="1"/>
  <c r="AN88" i="14"/>
  <c r="AT81" i="14"/>
  <c r="AZ81" i="14" s="1"/>
  <c r="AC86" i="14"/>
  <c r="AU82" i="14"/>
  <c r="AH89" i="14"/>
  <c r="AK86" i="14"/>
  <c r="AL86" i="14" s="1"/>
  <c r="W83" i="14"/>
  <c r="W86" i="14" s="1"/>
  <c r="AY81" i="14"/>
  <c r="AI75" i="14"/>
  <c r="AV75" i="14" s="1"/>
  <c r="AV68" i="14"/>
  <c r="AT68" i="14"/>
  <c r="AU75" i="14"/>
  <c r="AT25" i="14"/>
  <c r="AQ58" i="14"/>
  <c r="AR56" i="14"/>
  <c r="AK56" i="14"/>
  <c r="AL54" i="14"/>
  <c r="AX53" i="14"/>
  <c r="AT55" i="14"/>
  <c r="AT57" i="14" s="1"/>
  <c r="AT44" i="14"/>
  <c r="AE32" i="14"/>
  <c r="AB28" i="14"/>
  <c r="AE28" i="14" s="1"/>
  <c r="AF28" i="14" s="1"/>
  <c r="V30" i="14"/>
  <c r="AV32" i="14"/>
  <c r="AF22" i="14"/>
  <c r="AR22" i="14"/>
  <c r="W34" i="14"/>
  <c r="W30" i="14" s="1"/>
  <c r="Z20" i="14"/>
  <c r="Z23" i="14" s="1"/>
  <c r="Z26" i="14" s="1"/>
  <c r="Y23" i="14"/>
  <c r="Y26" i="14" s="1"/>
  <c r="Z22" i="14"/>
  <c r="AT13" i="14"/>
  <c r="AU7" i="14"/>
  <c r="AT7" i="14" s="1"/>
  <c r="AR237" i="14"/>
  <c r="AM238" i="14"/>
  <c r="AM239" i="14" s="1"/>
  <c r="AM240" i="14" s="1"/>
  <c r="AN240" i="14"/>
  <c r="AN241" i="14" s="1"/>
  <c r="AN242" i="14" s="1"/>
  <c r="AN243" i="14" s="1"/>
  <c r="AQ240" i="14"/>
  <c r="AQ241" i="14" s="1"/>
  <c r="AQ242" i="14" s="1"/>
  <c r="AQ243" i="14" s="1"/>
  <c r="AQ226" i="14"/>
  <c r="AQ227" i="14" s="1"/>
  <c r="AR227" i="14" s="1"/>
  <c r="AR225" i="14"/>
  <c r="BH150" i="14"/>
  <c r="BH152" i="14" s="1"/>
  <c r="BG152" i="14"/>
  <c r="BC150" i="14"/>
  <c r="BC152" i="14" s="1"/>
  <c r="BB152" i="14"/>
  <c r="AY150" i="14"/>
  <c r="AX152" i="14"/>
  <c r="BE150" i="14"/>
  <c r="AT115" i="14" l="1"/>
  <c r="AT117" i="14"/>
  <c r="AW128" i="14"/>
  <c r="AO130" i="14"/>
  <c r="AU130" i="14"/>
  <c r="AC131" i="14"/>
  <c r="AC132" i="14" s="1"/>
  <c r="AU132" i="14" s="1"/>
  <c r="AE130" i="14"/>
  <c r="AF130" i="14" s="1"/>
  <c r="AB131" i="14"/>
  <c r="AB132" i="14" s="1"/>
  <c r="AE132" i="14" s="1"/>
  <c r="AF132" i="14" s="1"/>
  <c r="AW127" i="14"/>
  <c r="AO129" i="14"/>
  <c r="AU129" i="14"/>
  <c r="AU131" i="14"/>
  <c r="AE129" i="14"/>
  <c r="AF129" i="14" s="1"/>
  <c r="AE131" i="14"/>
  <c r="AF131" i="14" s="1"/>
  <c r="AK128" i="14"/>
  <c r="AL128" i="14" s="1"/>
  <c r="AH129" i="14"/>
  <c r="AH130" i="14" s="1"/>
  <c r="AT32" i="14"/>
  <c r="V128" i="14"/>
  <c r="AC128" i="14"/>
  <c r="AU128" i="14" s="1"/>
  <c r="AU127" i="14"/>
  <c r="AI128" i="14"/>
  <c r="AV127" i="14"/>
  <c r="AT127" i="14" s="1"/>
  <c r="AZ127" i="14" s="1"/>
  <c r="BA127" i="14" s="1"/>
  <c r="AT126" i="14"/>
  <c r="AZ126" i="14" s="1"/>
  <c r="BA126" i="14" s="1"/>
  <c r="AT75" i="14"/>
  <c r="AK96" i="14"/>
  <c r="AL96" i="14" s="1"/>
  <c r="AH100" i="14"/>
  <c r="W98" i="14"/>
  <c r="AY98" i="14" s="1"/>
  <c r="V100" i="14"/>
  <c r="W100" i="14" s="1"/>
  <c r="AE94" i="14"/>
  <c r="AF94" i="14" s="1"/>
  <c r="AB96" i="14"/>
  <c r="AE95" i="14"/>
  <c r="AF95" i="14" s="1"/>
  <c r="AB97" i="14"/>
  <c r="AE92" i="14"/>
  <c r="AF92" i="14" s="1"/>
  <c r="AE93" i="14"/>
  <c r="AF93" i="14" s="1"/>
  <c r="AC89" i="14"/>
  <c r="AU85" i="14"/>
  <c r="AT82" i="14"/>
  <c r="AZ82" i="14" s="1"/>
  <c r="BA81" i="14"/>
  <c r="AN90" i="14"/>
  <c r="AQ88" i="14"/>
  <c r="AR88" i="14" s="1"/>
  <c r="AO88" i="14"/>
  <c r="AW85" i="14"/>
  <c r="AX82" i="14"/>
  <c r="BB81" i="14"/>
  <c r="AK89" i="14"/>
  <c r="AL89" i="14" s="1"/>
  <c r="AH91" i="14"/>
  <c r="AI89" i="14"/>
  <c r="AV85" i="14"/>
  <c r="AR238" i="14"/>
  <c r="AT59" i="14"/>
  <c r="AW59" i="14" s="1"/>
  <c r="AR58" i="14"/>
  <c r="AK58" i="14"/>
  <c r="AL56" i="14"/>
  <c r="AX57" i="14"/>
  <c r="AW57" i="14"/>
  <c r="AX55" i="14"/>
  <c r="AW55" i="14"/>
  <c r="AF32" i="14"/>
  <c r="AR25" i="14"/>
  <c r="Z34" i="14"/>
  <c r="Y34" i="14"/>
  <c r="AR239" i="14"/>
  <c r="AM241" i="14"/>
  <c r="AR240" i="14"/>
  <c r="AR226" i="14"/>
  <c r="BJ150" i="14"/>
  <c r="BK150" i="14" s="1"/>
  <c r="BE152" i="14"/>
  <c r="BJ152" i="14" s="1"/>
  <c r="BK152" i="14" s="1"/>
  <c r="BF150" i="14"/>
  <c r="BF152" i="14" s="1"/>
  <c r="AY152" i="14"/>
  <c r="Y98" i="14" l="1"/>
  <c r="AK130" i="14"/>
  <c r="AL130" i="14" s="1"/>
  <c r="AH131" i="14"/>
  <c r="AH132" i="14" s="1"/>
  <c r="AK132" i="14" s="1"/>
  <c r="AL132" i="14" s="1"/>
  <c r="AW130" i="14"/>
  <c r="AO131" i="14"/>
  <c r="AO132" i="14" s="1"/>
  <c r="AW132" i="14" s="1"/>
  <c r="AI129" i="14"/>
  <c r="AI130" i="14" s="1"/>
  <c r="AV128" i="14"/>
  <c r="AT128" i="14" s="1"/>
  <c r="AZ128" i="14" s="1"/>
  <c r="AK129" i="14"/>
  <c r="AL129" i="14" s="1"/>
  <c r="AK131" i="14"/>
  <c r="AL131" i="14" s="1"/>
  <c r="W128" i="14"/>
  <c r="V129" i="14"/>
  <c r="W129" i="14" s="1"/>
  <c r="Y129" i="14" s="1"/>
  <c r="Z129" i="14" s="1"/>
  <c r="AW129" i="14"/>
  <c r="AW131" i="14"/>
  <c r="Y128" i="14"/>
  <c r="Z128" i="14" s="1"/>
  <c r="AY128" i="14"/>
  <c r="AY129" i="14" s="1"/>
  <c r="AY130" i="14" s="1"/>
  <c r="Z98" i="14"/>
  <c r="Z100" i="14" s="1"/>
  <c r="Y100" i="14"/>
  <c r="AK100" i="14"/>
  <c r="AL100" i="14" s="1"/>
  <c r="AH102" i="14"/>
  <c r="AK102" i="14" s="1"/>
  <c r="AL102" i="14" s="1"/>
  <c r="AB99" i="14"/>
  <c r="AE97" i="14"/>
  <c r="AF97" i="14" s="1"/>
  <c r="AE96" i="14"/>
  <c r="AF96" i="14" s="1"/>
  <c r="AB98" i="14"/>
  <c r="AQ90" i="14"/>
  <c r="AR90" i="14" s="1"/>
  <c r="AN92" i="14"/>
  <c r="AK91" i="14"/>
  <c r="AL91" i="14" s="1"/>
  <c r="AH93" i="14"/>
  <c r="AH95" i="14" s="1"/>
  <c r="AO90" i="14"/>
  <c r="AW88" i="14"/>
  <c r="AI91" i="14"/>
  <c r="AI93" i="14" s="1"/>
  <c r="AI95" i="14" s="1"/>
  <c r="AV88" i="14"/>
  <c r="BB82" i="14"/>
  <c r="AX85" i="14"/>
  <c r="AT85" i="14"/>
  <c r="AZ85" i="14" s="1"/>
  <c r="BA82" i="14"/>
  <c r="AC91" i="14"/>
  <c r="AU88" i="14"/>
  <c r="AX59" i="14"/>
  <c r="AL58" i="14"/>
  <c r="Y30" i="14"/>
  <c r="Z30" i="14"/>
  <c r="AR241" i="14"/>
  <c r="AM242" i="14"/>
  <c r="AM243" i="14" s="1"/>
  <c r="AR243" i="14" s="1"/>
  <c r="AY131" i="14" l="1"/>
  <c r="AY132" i="14" s="1"/>
  <c r="BB130" i="14"/>
  <c r="AV130" i="14"/>
  <c r="AI131" i="14"/>
  <c r="AI132" i="14" s="1"/>
  <c r="AV132" i="14" s="1"/>
  <c r="AT132" i="14" s="1"/>
  <c r="AZ132" i="14" s="1"/>
  <c r="AT130" i="14"/>
  <c r="AZ130" i="14" s="1"/>
  <c r="BA130" i="14" s="1"/>
  <c r="BA85" i="14"/>
  <c r="BB131" i="14"/>
  <c r="BB129" i="14"/>
  <c r="AV129" i="14"/>
  <c r="AT129" i="14" s="1"/>
  <c r="AZ129" i="14" s="1"/>
  <c r="BA129" i="14" s="1"/>
  <c r="AV131" i="14"/>
  <c r="AT131" i="14" s="1"/>
  <c r="AZ131" i="14" s="1"/>
  <c r="BA131" i="14" s="1"/>
  <c r="BB128" i="14"/>
  <c r="BA128" i="14"/>
  <c r="AE98" i="14"/>
  <c r="AF98" i="14" s="1"/>
  <c r="AB100" i="14"/>
  <c r="AE99" i="14"/>
  <c r="AF99" i="14" s="1"/>
  <c r="AB101" i="14"/>
  <c r="AV94" i="14"/>
  <c r="AI97" i="14"/>
  <c r="AK95" i="14"/>
  <c r="AL95" i="14" s="1"/>
  <c r="AH97" i="14"/>
  <c r="AU90" i="14"/>
  <c r="AC93" i="14"/>
  <c r="AK93" i="14"/>
  <c r="AL93" i="14" s="1"/>
  <c r="AQ92" i="14"/>
  <c r="AR92" i="14" s="1"/>
  <c r="AN94" i="14"/>
  <c r="AV90" i="14"/>
  <c r="AW90" i="14"/>
  <c r="AO92" i="14"/>
  <c r="AX88" i="14"/>
  <c r="BB85" i="14"/>
  <c r="AT88" i="14"/>
  <c r="AZ88" i="14" s="1"/>
  <c r="AR242" i="14"/>
  <c r="BA132" i="14" l="1"/>
  <c r="BB132" i="14"/>
  <c r="AE101" i="14"/>
  <c r="AF101" i="14" s="1"/>
  <c r="AB103" i="14"/>
  <c r="AE103" i="14" s="1"/>
  <c r="AF103" i="14" s="1"/>
  <c r="AE100" i="14"/>
  <c r="AF100" i="14" s="1"/>
  <c r="AB102" i="14"/>
  <c r="AE102" i="14" s="1"/>
  <c r="AF102" i="14" s="1"/>
  <c r="AQ94" i="14"/>
  <c r="AR94" i="14" s="1"/>
  <c r="AN96" i="14"/>
  <c r="AI99" i="14"/>
  <c r="AV96" i="14"/>
  <c r="AH99" i="14"/>
  <c r="AK97" i="14"/>
  <c r="AL97" i="14" s="1"/>
  <c r="AC95" i="14"/>
  <c r="AU92" i="14"/>
  <c r="AW92" i="14"/>
  <c r="AO94" i="14"/>
  <c r="AT90" i="14"/>
  <c r="AZ90" i="14" s="1"/>
  <c r="AV92" i="14"/>
  <c r="W92" i="14"/>
  <c r="Y92" i="14" s="1"/>
  <c r="BA88" i="14"/>
  <c r="AX90" i="14"/>
  <c r="BB88" i="14"/>
  <c r="AT92" i="14" l="1"/>
  <c r="AZ92" i="14" s="1"/>
  <c r="AK99" i="14"/>
  <c r="AL99" i="14" s="1"/>
  <c r="AH101" i="14"/>
  <c r="AV98" i="14"/>
  <c r="AI101" i="14"/>
  <c r="AW94" i="14"/>
  <c r="AO96" i="14"/>
  <c r="AU94" i="14"/>
  <c r="AC97" i="14"/>
  <c r="AQ96" i="14"/>
  <c r="AR96" i="14" s="1"/>
  <c r="AN98" i="14"/>
  <c r="Z92" i="14"/>
  <c r="Z94" i="14" s="1"/>
  <c r="Y94" i="14"/>
  <c r="BB90" i="14"/>
  <c r="AX92" i="14"/>
  <c r="AX94" i="14" s="1"/>
  <c r="AY92" i="14"/>
  <c r="BA90" i="14"/>
  <c r="AQ98" i="14" l="1"/>
  <c r="AR98" i="14" s="1"/>
  <c r="AN100" i="14"/>
  <c r="AI103" i="14"/>
  <c r="AV102" i="14" s="1"/>
  <c r="AV100" i="14"/>
  <c r="AK101" i="14"/>
  <c r="AL101" i="14" s="1"/>
  <c r="AH103" i="14"/>
  <c r="AK103" i="14" s="1"/>
  <c r="AL103" i="14" s="1"/>
  <c r="BB94" i="14"/>
  <c r="AX96" i="14"/>
  <c r="AC99" i="14"/>
  <c r="AU96" i="14"/>
  <c r="AW96" i="14"/>
  <c r="AT96" i="14" s="1"/>
  <c r="AZ96" i="14" s="1"/>
  <c r="BA96" i="14" s="1"/>
  <c r="AO98" i="14"/>
  <c r="AT94" i="14"/>
  <c r="AZ94" i="14" s="1"/>
  <c r="BA94" i="14" s="1"/>
  <c r="BB92" i="14"/>
  <c r="BA92" i="14"/>
  <c r="AW98" i="14" l="1"/>
  <c r="AO100" i="14"/>
  <c r="AU98" i="14"/>
  <c r="AC101" i="14"/>
  <c r="AQ100" i="14"/>
  <c r="AR100" i="14" s="1"/>
  <c r="AN102" i="14"/>
  <c r="AQ102" i="14" s="1"/>
  <c r="AR102" i="14" s="1"/>
  <c r="BB96" i="14"/>
  <c r="AX98" i="14"/>
  <c r="BB98" i="14" l="1"/>
  <c r="AX100" i="14"/>
  <c r="AC103" i="14"/>
  <c r="AU102" i="14" s="1"/>
  <c r="AU100" i="14"/>
  <c r="AW100" i="14"/>
  <c r="AT100" i="14" s="1"/>
  <c r="AZ100" i="14" s="1"/>
  <c r="BA100" i="14" s="1"/>
  <c r="AO102" i="14"/>
  <c r="AW102" i="14" s="1"/>
  <c r="AT98" i="14"/>
  <c r="AZ98" i="14" s="1"/>
  <c r="BA98" i="14" s="1"/>
  <c r="AT102" i="14" l="1"/>
  <c r="AZ102" i="14" s="1"/>
  <c r="BB100" i="14"/>
  <c r="AX102" i="14"/>
  <c r="BB102" i="14" s="1"/>
  <c r="BA102"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E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F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T7" authorId="0" shapeId="0" xr:uid="{3C30C841-0EFE-4AEA-A47F-9D7DA09CF2F3}">
      <text>
        <r>
          <rPr>
            <b/>
            <sz val="9"/>
            <color indexed="81"/>
            <rFont val="Tahoma"/>
            <family val="2"/>
          </rPr>
          <t>Marin Sarbulescu:</t>
        </r>
        <r>
          <rPr>
            <sz val="9"/>
            <color indexed="81"/>
            <rFont val="Tahoma"/>
            <family val="2"/>
          </rPr>
          <t xml:space="preserve">
Application rounds this up to 8.33334, so that's what we have in the json file.</t>
        </r>
      </text>
    </comment>
    <comment ref="AE18"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F18"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H25"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W39"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E39"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F39"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E49"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F49"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E63"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F63"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E79"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F79"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E107"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F107"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E123"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F123"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R147"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S147"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T147"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U147"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V147"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W147"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E147"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F147"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G147"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H147"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I147" authorId="0" shapeId="0" xr:uid="{44F6E4E3-EEED-4802-956A-284A28EABB1A}">
      <text>
        <r>
          <rPr>
            <b/>
            <sz val="9"/>
            <color indexed="81"/>
            <rFont val="Tahoma"/>
            <family val="2"/>
          </rPr>
          <t>Marin Sarbulescu:</t>
        </r>
        <r>
          <rPr>
            <sz val="9"/>
            <color indexed="81"/>
            <rFont val="Tahoma"/>
            <family val="2"/>
          </rPr>
          <t xml:space="preserve">
SUM(All_Div + All_SLP)</t>
        </r>
      </text>
    </comment>
    <comment ref="BJ147"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K147"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X148"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48"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48"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48"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48"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C148"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R161"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S161"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T161"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U161"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V161"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W161"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X161"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Y161"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Z161"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A161"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B161"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C161"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E203"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F206"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F207"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<sst xmlns="http://schemas.openxmlformats.org/spreadsheetml/2006/main" count="1668" uniqueCount="291">
  <si>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</si>
  <si>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</si>
  <si>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</si>
  <si>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</si>
  <si>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</si>
  <si>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</si>
  <si>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</si>
  <si>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</si>
  <si>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</si>
  <si>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</si>
  <si>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</si>
  <si>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</si>
  <si>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</si>
  <si>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</si>
  <si>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</si>
  <si>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</si>
  <si>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</si>
  <si>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</si>
  <si>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</si>
  <si>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</si>
  <si>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</si>
  <si>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</si>
  <si>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</si>
  <si>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</si>
  <si>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</si>
  <si>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</si>
  <si>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</si>
  <si>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</si>
  <si>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</si>
  <si>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</si>
  <si>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</si>
  <si>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</si>
  <si>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</si>
  <si>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</si>
  <si>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</si>
  <si>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</si>
  <si>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</si>
  <si>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</si>
  <si>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</si>
  <si>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</si>
  <si>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</si>
  <si>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</si>
  <si>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</si>
  <si>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</si>
  <si>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</si>
  <si>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</si>
  <si>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</si>
  <si>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</si>
  <si>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</si>
  <si>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</si>
  <si>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</si>
  <si>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</si>
  <si>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</si>
  <si>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</si>
  <si>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</si>
  <si>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</si>
  <si>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</si>
  <si>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</si>
  <si>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</si>
  <si>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</si>
  <si>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</si>
  <si>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</si>
  <si>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</si>
  <si>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</si>
  <si>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</si>
  <si>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</si>
  <si>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</si>
  <si>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</si>
  <si>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</si>
  <si>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</si>
  <si>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</si>
  <si>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</si>
  <si>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</si>
  <si>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</si>
  <si>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</si>
  <si>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</si>
  <si>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</si>
  <si>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</si>
  <si>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</si>
  <si>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</si>
  <si>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</si>
  <si>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</si>
  <si>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</si>
  <si>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</si>
  <si>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</si>
  <si>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</si>
  <si>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</si>
  <si>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</si>
  <si>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</si>
  <si>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</si>
  <si>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</si>
  <si>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</si>
  <si>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</si>
  <si>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</si>
  <si>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</si>
  <si>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</si>
  <si>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</si>
  <si>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</si>
  <si>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</si>
  <si>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</si>
  <si>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</si>
  <si>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</si>
  <si>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</si>
  <si>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</si>
  <si>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</si>
  <si>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</si>
  <si>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</si>
  <si>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</si>
  <si>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</si>
  <si>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</si>
  <si>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</si>
  <si>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</si>
  <si>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</si>
  <si>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</si>
  <si>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</si>
  <si>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</si>
  <si>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</si>
  <si>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</si>
  <si>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</si>
  <si>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</si>
  <si>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</si>
  <si>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</si>
  <si>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</si>
  <si>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</si>
  <si>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</si>
  <si>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</si>
  <si>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</si>
  <si>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</si>
  <si>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</si>
  <si>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</si>
  <si>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</si>
  <si>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</si>
  <si>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</si>
  <si>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</si>
  <si>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</si>
  <si>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</si>
  <si>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</si>
  <si>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</si>
  <si>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</si>
  <si>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</si>
  <si>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</si>
  <si>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</si>
  <si>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</si>
  <si>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</si>
  <si>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</si>
  <si>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</si>
  <si>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</si>
  <si>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</si>
  <si>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</si>
  <si>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</si>
  <si>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</si>
  <si>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</si>
  <si>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</si>
  <si>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</si>
  <si>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</si>
  <si>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</si>
  <si>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</si>
  <si>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</si>
  <si>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</si>
  <si>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</si>
  <si>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</si>
  <si>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</si>
  <si>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</si>
  <si>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</si>
  <si>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</si>
  <si>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</si>
  <si>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</si>
  <si>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</si>
  <si>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</si>
  <si>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</si>
  <si>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</si>
  <si>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</si>
  <si>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</si>
  <si>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</si>
  <si>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</si>
  <si>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</si>
  <si>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</si>
  <si>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</si>
  <si>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</si>
  <si>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</si>
  <si>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</si>
  <si>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</si>
  <si>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</si>
  <si>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</si>
  <si>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</si>
  <si>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</si>
  <si>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</si>
  <si>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</si>
  <si>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</si>
  <si>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</si>
  <si>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</si>
  <si>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</si>
  <si>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</si>
  <si>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</si>
  <si>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</si>
  <si>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</si>
  <si>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</si>
  <si>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</si>
  <si>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</si>
  <si>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</si>
  <si>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</si>
  <si>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</si>
  <si>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</si>
  <si>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</si>
  <si>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</si>
  <si>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</si>
  <si>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</si>
  <si>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</si>
  <si>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</si>
  <si>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</si>
  <si>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</si>
  <si>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</si>
  <si>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</si>
  <si>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</si>
  <si>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</si>
  <si>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</si>
  <si>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</si>
  <si>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</si>
  <si>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</si>
  <si>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</si>
  <si>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</si>
  <si>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</si>
  <si>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</si>
  <si>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</si>
  <si>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</si>
  <si>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</si>
  <si>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</si>
  <si>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</si>
  <si>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</si>
  <si>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</si>
  <si>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</si>
  <si>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</si>
  <si>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</si>
  <si>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</si>
  <si>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check PL when comm vs non-comm</t>
  </si>
  <si>
    <t>BTC has buy commission too</t>
  </si>
  <si>
    <t>PriceUpdateA</t>
  </si>
  <si>
    <t>PriceUpdateB</t>
  </si>
  <si>
    <t>UpdateC</t>
  </si>
  <si>
    <t>Overview</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</si>
  <si>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</si>
  <si>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</si>
  <si>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</si>
  <si>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</si>
  <si>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</si>
  <si>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</si>
  <si>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</si>
  <si>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</si>
  <si>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</si>
  <si>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</si>
  <si>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</si>
  <si>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</si>
  <si>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</si>
  <si>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</si>
  <si>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</si>
  <si>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</si>
  <si>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</si>
  <si>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</si>
  <si>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</si>
  <si>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</si>
  <si>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</si>
  <si>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</si>
  <si>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</si>
  <si>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</si>
  <si>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</si>
  <si>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transaction-split.spec.ts</t>
  </si>
  <si>
    <t>SellC</t>
  </si>
  <si>
    <t>EditSplitB to 2:1</t>
  </si>
  <si>
    <t>DelSellC</t>
  </si>
  <si>
    <t>DellSellC</t>
  </si>
  <si>
    <t>SellD</t>
  </si>
  <si>
    <t>DelSellD</t>
  </si>
  <si>
    <t>DellSellD</t>
  </si>
  <si>
    <t>DelSplitB</t>
  </si>
  <si>
    <t>EditSplitB</t>
  </si>
  <si>
    <t>asset-et-crud.spec.ts</t>
  </si>
  <si>
    <t>Add Buy, Div, SLP, Split, Sell then delete them in reverse order</t>
  </si>
  <si>
    <t>transaction-historical-reversal.spec.ts</t>
  </si>
  <si>
    <t>DivA</t>
  </si>
  <si>
    <t>Create BuyB</t>
  </si>
  <si>
    <t>Create BuyA</t>
  </si>
  <si>
    <t>DelSellA</t>
  </si>
  <si>
    <t>DelSplitA</t>
  </si>
  <si>
    <t>Del SLPA</t>
  </si>
  <si>
    <t>DelSLPA</t>
  </si>
  <si>
    <t>DelDivA</t>
  </si>
  <si>
    <t>DelBuyA</t>
  </si>
  <si>
    <t>Edit ET name and value, check ET table</t>
  </si>
  <si>
    <t>Create ET, check ET table</t>
  </si>
  <si>
    <t>Delete ET, check confirmation.</t>
  </si>
  <si>
    <t>EditETValue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</si>
</sst>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54">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65" fontId="3" fillId="0" borderId="0" xfId="0" quotePrefix="1" applyNumberFormat="1"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14" fillId="0" borderId="0" xfId="0" applyFont="1" applyFill="1"/>
    <xf numFmtId="0" fontId="18" fillId="0" borderId="0" xfId="0" applyFont="1" applyFill="1"/>
    <xf numFmtId="0" fontId="26" fillId="0" borderId="0" xfId="0" applyFont="1" applyFill="1"/>
    <xf numFmtId="0" fontId="11" fillId="0" borderId="0" xfId="0" applyFont="1" applyFill="1"/>
    <xf numFmtId="49" fontId="3" fillId="0" borderId="0" xfId="0" applyNumberFormat="1"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K243"/>
  <sheetViews>
    <sheetView tabSelected="1" workbookViewId="0">
      <selection activeCell="A11" sqref="A11:Q12"/>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6.42578125" bestFit="1" customWidth="1"/>
    <col min="8" max="8" width="9.140625" bestFit="1" customWidth="1"/>
    <col min="9" max="9" width="6.42578125" customWidth="1"/>
    <col min="10" max="10" width="7.5703125" customWidth="1"/>
    <col min="11" max="11" width="11.140625" customWidth="1"/>
    <col min="12" max="12" width="8.7109375" bestFit="1" customWidth="1"/>
    <col min="13" max="13" width="8.140625" bestFit="1" customWidth="1"/>
    <col min="14" max="15" width="8.28515625" bestFit="1" customWidth="1"/>
    <col min="16" max="16" width="8.7109375" bestFit="1" customWidth="1"/>
    <col min="17" max="17" width="6.42578125" customWidth="1"/>
    <col min="18" max="18" width="11.140625" customWidth="1"/>
    <col min="19" max="19" width="8.7109375" bestFit="1" customWidth="1"/>
    <col min="20" max="20" width="11.42578125" customWidth="1"/>
    <col min="21" max="21" width="8.85546875" customWidth="1"/>
    <col min="22" max="22" width="8.42578125" bestFit="1" customWidth="1"/>
    <col min="23" max="23" width="7.42578125" bestFit="1" customWidth="1"/>
    <col min="24" max="24" width="8" customWidth="1"/>
    <col min="25" max="25" width="8.42578125" bestFit="1" customWidth="1"/>
    <col min="26" max="26" width="7.85546875" bestFit="1" customWidth="1"/>
    <col min="27" max="27" width="4.85546875" customWidth="1"/>
    <col min="28" max="28" width="7.28515625" customWidth="1"/>
    <col min="29" max="29" width="8.42578125" customWidth="1"/>
    <col min="30" max="30" width="8.28515625" customWidth="1"/>
    <col min="31" max="31" width="8.42578125" customWidth="1"/>
    <col min="32" max="32" width="9.42578125" bestFit="1" customWidth="1"/>
    <col min="33" max="33" width="6.7109375" bestFit="1" customWidth="1"/>
    <col min="34" max="34" width="7.85546875" customWidth="1"/>
    <col min="35" max="35" width="9" customWidth="1"/>
    <col min="36" max="36" width="7.85546875" customWidth="1"/>
    <col min="37" max="37" width="9.140625" customWidth="1"/>
    <col min="38" max="38" width="7.85546875" customWidth="1"/>
    <col min="39" max="39" width="9.85546875" bestFit="1" customWidth="1"/>
    <col min="40" max="40" width="7.7109375" customWidth="1"/>
    <col min="41" max="41" width="8.42578125" bestFit="1" customWidth="1"/>
    <col min="42" max="42" width="8.140625" customWidth="1"/>
    <col min="43" max="43" width="9.7109375" bestFit="1" customWidth="1"/>
    <col min="44" max="44" width="8.5703125" customWidth="1"/>
    <col min="45" max="45" width="5.42578125" bestFit="1" customWidth="1"/>
    <col min="46" max="46" width="9.140625" bestFit="1" customWidth="1"/>
    <col min="47" max="47" width="8.28515625" customWidth="1"/>
    <col min="48" max="48" width="9.140625" customWidth="1"/>
    <col min="49" max="49" width="8.7109375" bestFit="1" customWidth="1"/>
    <col min="50" max="50" width="9.140625" customWidth="1"/>
    <col min="51" max="51" width="8.28515625" bestFit="1" customWidth="1"/>
    <col min="52" max="52" width="8.140625" bestFit="1" customWidth="1"/>
    <col min="53" max="53" width="8.28515625" bestFit="1" customWidth="1"/>
    <col min="54" max="54" width="9.7109375" bestFit="1" customWidth="1"/>
    <col min="55" max="55" width="8.28515625" bestFit="1" customWidth="1"/>
    <col min="56" max="56" width="4.7109375" customWidth="1"/>
    <col min="57" max="57" width="14" bestFit="1" customWidth="1"/>
    <col min="58" max="58" width="8.28515625" bestFit="1" customWidth="1"/>
    <col min="59" max="59" width="8.140625" bestFit="1" customWidth="1"/>
    <col min="60" max="60" width="8.28515625" bestFit="1" customWidth="1"/>
    <col min="61" max="61" width="8.42578125" bestFit="1" customWidth="1"/>
    <col min="62" max="62" width="9.7109375" bestFit="1" customWidth="1"/>
    <col min="63" max="63" width="9.28515625" bestFit="1" customWidth="1"/>
  </cols>
  <sheetData>
    <row r="1" spans="1:49" ht="12.75" x14ac:dyDescent="0.2">
      <c r="A1" s="66" t="s">
        <v>263</v>
      </c>
    </row>
    <row r="2" spans="1:49" ht="12.75" x14ac:dyDescent="0.2">
      <c r="B2" s="45" t="s">
        <v>204</v>
      </c>
      <c r="C2" s="109"/>
      <c r="J2" s="45" t="s">
        <v>202</v>
      </c>
      <c r="R2" s="45" t="s">
        <v>203</v>
      </c>
      <c r="T2" s="12"/>
      <c r="U2" s="12"/>
      <c r="V2" s="12"/>
      <c r="W2" s="12"/>
      <c r="X2" s="12"/>
      <c r="Y2" s="12"/>
      <c r="Z2" s="12"/>
      <c r="AA2" s="12"/>
      <c r="AB2" s="130" t="s">
        <v>205</v>
      </c>
      <c r="AC2" s="46"/>
      <c r="AD2" s="46"/>
      <c r="AE2" s="46"/>
      <c r="AF2" s="46"/>
      <c r="AG2" s="46"/>
      <c r="AH2" s="130" t="s">
        <v>207</v>
      </c>
      <c r="AI2" s="46"/>
      <c r="AJ2" s="46"/>
      <c r="AK2" s="46"/>
      <c r="AL2" s="46"/>
      <c r="AM2" s="45"/>
      <c r="AN2" s="130" t="s">
        <v>208</v>
      </c>
      <c r="AO2" s="12"/>
      <c r="AP2" s="12"/>
      <c r="AQ2" s="12"/>
      <c r="AR2" s="12"/>
      <c r="AT2" s="130" t="s">
        <v>206</v>
      </c>
    </row>
    <row r="3" spans="1:49" ht="12.75" x14ac:dyDescent="0.2">
      <c r="B3" s="57" t="s">
        <v>209</v>
      </c>
      <c r="C3" s="28" t="s">
        <v>190</v>
      </c>
      <c r="D3" s="57" t="s">
        <v>191</v>
      </c>
      <c r="E3" s="28" t="s">
        <v>192</v>
      </c>
      <c r="F3" s="28" t="s">
        <v>193</v>
      </c>
      <c r="G3" s="57" t="s">
        <v>112</v>
      </c>
      <c r="H3" s="57"/>
      <c r="I3" s="101"/>
      <c r="J3" s="28" t="s">
        <v>76</v>
      </c>
      <c r="K3" s="28" t="s">
        <v>4</v>
      </c>
      <c r="L3" s="57" t="s">
        <v>0</v>
      </c>
      <c r="M3" s="57" t="s">
        <v>1</v>
      </c>
      <c r="N3" s="28" t="s">
        <v>191</v>
      </c>
      <c r="O3" s="28" t="s">
        <v>192</v>
      </c>
      <c r="P3" s="28" t="s">
        <v>193</v>
      </c>
      <c r="R3" s="28"/>
      <c r="S3" s="28" t="s">
        <v>76</v>
      </c>
      <c r="T3" s="28" t="s">
        <v>4</v>
      </c>
      <c r="U3" s="57" t="s">
        <v>0</v>
      </c>
      <c r="V3" s="28" t="s">
        <v>62</v>
      </c>
      <c r="W3" s="57" t="s">
        <v>220</v>
      </c>
      <c r="X3" s="57" t="s">
        <v>190</v>
      </c>
      <c r="Y3" s="57" t="s">
        <v>194</v>
      </c>
      <c r="Z3" s="28" t="s">
        <v>195</v>
      </c>
      <c r="AA3" s="12"/>
      <c r="AB3" s="28" t="s">
        <v>0</v>
      </c>
      <c r="AC3" s="28" t="s">
        <v>196</v>
      </c>
      <c r="AD3" s="57" t="s">
        <v>1</v>
      </c>
      <c r="AE3" s="57" t="s">
        <v>197</v>
      </c>
      <c r="AF3" s="57" t="s">
        <v>198</v>
      </c>
      <c r="AG3" s="60"/>
      <c r="AH3" s="28" t="s">
        <v>0</v>
      </c>
      <c r="AI3" s="28" t="s">
        <v>196</v>
      </c>
      <c r="AJ3" s="57" t="s">
        <v>1</v>
      </c>
      <c r="AK3" s="57" t="s">
        <v>197</v>
      </c>
      <c r="AL3" s="57" t="s">
        <v>198</v>
      </c>
      <c r="AN3" s="28" t="s">
        <v>0</v>
      </c>
      <c r="AO3" s="28" t="s">
        <v>196</v>
      </c>
      <c r="AP3" s="57" t="s">
        <v>1</v>
      </c>
      <c r="AQ3" s="57" t="s">
        <v>197</v>
      </c>
      <c r="AR3" s="57" t="s">
        <v>198</v>
      </c>
      <c r="AT3" s="57" t="s">
        <v>199</v>
      </c>
      <c r="AU3" s="28" t="s">
        <v>191</v>
      </c>
      <c r="AV3" s="28" t="s">
        <v>192</v>
      </c>
      <c r="AW3" s="28" t="s">
        <v>193</v>
      </c>
    </row>
    <row r="4" spans="1:49" ht="12.75" x14ac:dyDescent="0.2">
      <c r="A4" s="45" t="s">
        <v>200</v>
      </c>
      <c r="B4" s="52">
        <v>100</v>
      </c>
      <c r="C4" s="54">
        <v>0.02</v>
      </c>
      <c r="D4" s="124">
        <v>0.04</v>
      </c>
      <c r="E4" s="95">
        <v>0.08</v>
      </c>
      <c r="F4" s="95">
        <v>0.16</v>
      </c>
      <c r="G4" s="95">
        <v>0.01</v>
      </c>
      <c r="H4" s="95"/>
      <c r="I4" s="95"/>
      <c r="J4" s="133" t="s">
        <v>75</v>
      </c>
      <c r="K4" s="133" t="s">
        <v>78</v>
      </c>
      <c r="L4" s="52">
        <v>100</v>
      </c>
      <c r="M4" s="52">
        <v>200</v>
      </c>
      <c r="N4" s="124">
        <v>0.5</v>
      </c>
      <c r="O4" s="95">
        <v>0.3</v>
      </c>
      <c r="P4" s="95">
        <v>0.2</v>
      </c>
      <c r="R4" s="45" t="s">
        <v>215</v>
      </c>
      <c r="S4" s="45" t="s">
        <v>75</v>
      </c>
      <c r="T4" s="131" t="s">
        <v>78</v>
      </c>
      <c r="U4" s="122">
        <f>L4</f>
        <v>100</v>
      </c>
      <c r="V4" s="30">
        <f>W4/U4</f>
        <v>2</v>
      </c>
      <c r="W4" s="122">
        <f>M4</f>
        <v>200</v>
      </c>
      <c r="X4" s="122">
        <f>U4 * (1 - ABS(C4))</f>
        <v>98</v>
      </c>
      <c r="Y4" s="152" t="s">
        <v>34</v>
      </c>
      <c r="Z4" s="152" t="s">
        <v>34</v>
      </c>
      <c r="AA4" s="12"/>
      <c r="AB4" s="122">
        <f>U4</f>
        <v>100</v>
      </c>
      <c r="AC4" s="30">
        <f>V4*N4</f>
        <v>1</v>
      </c>
      <c r="AD4" s="123">
        <f>W4*N4</f>
        <v>100</v>
      </c>
      <c r="AE4" s="123">
        <f>U4 * (1 + D4) / (1 - G4)</f>
        <v>105.05050505050505</v>
      </c>
      <c r="AF4" s="124">
        <f>(B4 - AE4) / AE4</f>
        <v>-4.8076923076923087E-2</v>
      </c>
      <c r="AG4" s="30"/>
      <c r="AH4" s="122">
        <f>U4</f>
        <v>100</v>
      </c>
      <c r="AI4" s="30">
        <f>V4*O4</f>
        <v>0.6</v>
      </c>
      <c r="AJ4" s="123">
        <f>W4*O4</f>
        <v>60</v>
      </c>
      <c r="AK4" s="123">
        <f>U4 * (1 + E4) / (1 - G4)</f>
        <v>109.09090909090909</v>
      </c>
      <c r="AL4" s="124">
        <f>(B4 - AK4) / AK4</f>
        <v>-8.3333333333333356E-2</v>
      </c>
      <c r="AN4" s="122">
        <f>U4</f>
        <v>100</v>
      </c>
      <c r="AO4" s="30">
        <f>V4*P4</f>
        <v>0.4</v>
      </c>
      <c r="AP4" s="123">
        <f>W4*P4</f>
        <v>40</v>
      </c>
      <c r="AQ4" s="123">
        <f>U4 * (1 + F4) / (1 - G4)</f>
        <v>117.17171717171716</v>
      </c>
      <c r="AR4" s="124">
        <f>(B4 - AQ4) / AQ4</f>
        <v>-0.14655172413793097</v>
      </c>
      <c r="AT4" s="32">
        <f>AC4+AI4+AO4</f>
        <v>2</v>
      </c>
      <c r="AU4" s="32">
        <f>AC4</f>
        <v>1</v>
      </c>
      <c r="AV4" s="32">
        <f>AI4</f>
        <v>0.6</v>
      </c>
      <c r="AW4" s="32">
        <f>AO4</f>
        <v>0.4</v>
      </c>
    </row>
    <row r="5" spans="1:49" ht="12.75" x14ac:dyDescent="0.2">
      <c r="A5" s="47" t="s">
        <v>210</v>
      </c>
      <c r="B5" s="40">
        <v>100</v>
      </c>
      <c r="C5" s="55">
        <v>0.02</v>
      </c>
      <c r="D5" s="129">
        <v>0.04</v>
      </c>
      <c r="E5" s="125">
        <v>0.08</v>
      </c>
      <c r="F5" s="125">
        <v>0.16</v>
      </c>
      <c r="G5" s="125">
        <v>0.01</v>
      </c>
      <c r="H5" s="125"/>
      <c r="I5" s="125"/>
      <c r="J5" s="134" t="s">
        <v>75</v>
      </c>
      <c r="K5" s="134" t="s">
        <v>211</v>
      </c>
      <c r="L5" s="40">
        <v>100</v>
      </c>
      <c r="M5" s="40">
        <v>300</v>
      </c>
      <c r="N5" s="129">
        <v>0.5</v>
      </c>
      <c r="O5" s="125">
        <v>0.25</v>
      </c>
      <c r="P5" s="125">
        <v>0.25</v>
      </c>
      <c r="Q5" s="35"/>
      <c r="R5" s="47" t="s">
        <v>216</v>
      </c>
      <c r="S5" s="47" t="s">
        <v>75</v>
      </c>
      <c r="T5" s="132" t="s">
        <v>211</v>
      </c>
      <c r="U5" s="126">
        <f>L5</f>
        <v>100</v>
      </c>
      <c r="V5" s="43">
        <f>W5/U5</f>
        <v>3</v>
      </c>
      <c r="W5" s="126">
        <f>M5</f>
        <v>300</v>
      </c>
      <c r="X5" s="126">
        <f>U5 * (1 - ABS(C5))</f>
        <v>98</v>
      </c>
      <c r="Y5" s="153" t="s">
        <v>34</v>
      </c>
      <c r="Z5" s="153" t="s">
        <v>34</v>
      </c>
      <c r="AA5" s="41"/>
      <c r="AB5" s="126">
        <f>U5</f>
        <v>100</v>
      </c>
      <c r="AC5" s="43">
        <f>AC4+(V5*N5)</f>
        <v>2.5</v>
      </c>
      <c r="AD5" s="128">
        <f>AD4+(W5*N5)</f>
        <v>250</v>
      </c>
      <c r="AE5" s="128">
        <f>U5 * (1 + D5) / (1 - G5)</f>
        <v>105.05050505050505</v>
      </c>
      <c r="AF5" s="129">
        <f>(B5 - AE5) / AE5</f>
        <v>-4.8076923076923087E-2</v>
      </c>
      <c r="AG5" s="43"/>
      <c r="AH5" s="126">
        <f>U5</f>
        <v>100</v>
      </c>
      <c r="AI5" s="43">
        <f>AI4+(V5*O5)</f>
        <v>1.35</v>
      </c>
      <c r="AJ5" s="128">
        <f>AJ4+(W5*O5)</f>
        <v>135</v>
      </c>
      <c r="AK5" s="128">
        <f>U5 * (1 + E5) / (1 - G5)</f>
        <v>109.09090909090909</v>
      </c>
      <c r="AL5" s="129">
        <f>(B5 - AK5) / AK5</f>
        <v>-8.3333333333333356E-2</v>
      </c>
      <c r="AM5" s="35"/>
      <c r="AN5" s="126">
        <f>U5</f>
        <v>100</v>
      </c>
      <c r="AO5" s="43">
        <f>AO4+(V5*P5)</f>
        <v>1.1499999999999999</v>
      </c>
      <c r="AP5" s="128">
        <f>AP4+(W5*P5)</f>
        <v>115</v>
      </c>
      <c r="AQ5" s="128">
        <f>U5 * (1 + F5) / (1 - G5)</f>
        <v>117.17171717171716</v>
      </c>
      <c r="AR5" s="129">
        <f>(B5 - AQ5) / AQ5</f>
        <v>-0.14655172413793097</v>
      </c>
      <c r="AS5" s="35"/>
      <c r="AT5" s="39">
        <f>AC5+AI5+AO5</f>
        <v>5</v>
      </c>
      <c r="AU5" s="39">
        <f>AC5</f>
        <v>2.5</v>
      </c>
      <c r="AV5" s="39">
        <f>AI5</f>
        <v>1.35</v>
      </c>
      <c r="AW5" s="39">
        <f>AO5</f>
        <v>1.1499999999999999</v>
      </c>
    </row>
    <row r="6" spans="1:49" ht="12.75" x14ac:dyDescent="0.2">
      <c r="A6" s="47"/>
      <c r="B6" s="40"/>
      <c r="C6" s="55"/>
      <c r="D6" s="129"/>
      <c r="E6" s="125"/>
      <c r="F6" s="125"/>
      <c r="G6" s="125"/>
      <c r="H6" s="125"/>
      <c r="I6" s="125"/>
      <c r="J6" s="134"/>
      <c r="K6" s="134"/>
      <c r="L6" s="40"/>
      <c r="M6" s="40"/>
      <c r="N6" s="129"/>
      <c r="O6" s="125"/>
      <c r="P6" s="125"/>
      <c r="Q6" s="35"/>
      <c r="R6" s="47" t="s">
        <v>215</v>
      </c>
      <c r="S6" s="47" t="s">
        <v>75</v>
      </c>
      <c r="T6" s="132" t="s">
        <v>78</v>
      </c>
      <c r="U6" s="126">
        <f>U4</f>
        <v>100</v>
      </c>
      <c r="V6" s="43">
        <f>V4</f>
        <v>2</v>
      </c>
      <c r="W6" s="126">
        <f>W4</f>
        <v>200</v>
      </c>
      <c r="X6" s="126">
        <f>X4</f>
        <v>98</v>
      </c>
      <c r="Y6" s="153"/>
      <c r="Z6" s="153"/>
      <c r="AA6" s="41"/>
      <c r="AB6" s="126"/>
      <c r="AC6" s="43"/>
      <c r="AD6" s="128"/>
      <c r="AE6" s="128"/>
      <c r="AF6" s="129"/>
      <c r="AG6" s="43"/>
      <c r="AH6" s="126"/>
      <c r="AI6" s="43"/>
      <c r="AJ6" s="128"/>
      <c r="AK6" s="128"/>
      <c r="AL6" s="129"/>
      <c r="AM6" s="35"/>
      <c r="AN6" s="126"/>
      <c r="AO6" s="43"/>
      <c r="AP6" s="128"/>
      <c r="AQ6" s="128"/>
      <c r="AR6" s="129"/>
      <c r="AS6" s="35"/>
      <c r="AT6" s="39"/>
      <c r="AU6" s="39"/>
      <c r="AV6" s="39"/>
      <c r="AW6" s="39"/>
    </row>
    <row r="7" spans="1:49" ht="12.75" x14ac:dyDescent="0.2">
      <c r="A7" s="45" t="s">
        <v>201</v>
      </c>
      <c r="B7" s="52">
        <v>120</v>
      </c>
      <c r="C7" s="54">
        <v>0.02</v>
      </c>
      <c r="D7" s="124">
        <v>0.04</v>
      </c>
      <c r="E7" s="95">
        <v>0.08</v>
      </c>
      <c r="F7" s="95">
        <v>0.16</v>
      </c>
      <c r="G7" s="95">
        <v>0.01</v>
      </c>
      <c r="H7" s="95"/>
      <c r="I7" s="95"/>
      <c r="J7" s="133" t="s">
        <v>75</v>
      </c>
      <c r="K7" s="133" t="s">
        <v>214</v>
      </c>
      <c r="L7" s="52">
        <v>120</v>
      </c>
      <c r="M7" s="52">
        <v>400</v>
      </c>
      <c r="N7" s="124">
        <v>0.5</v>
      </c>
      <c r="O7" s="95">
        <v>0.5</v>
      </c>
      <c r="P7" s="95">
        <v>0</v>
      </c>
      <c r="R7" s="45" t="s">
        <v>217</v>
      </c>
      <c r="S7" s="45" t="s">
        <v>75</v>
      </c>
      <c r="T7" s="130" t="s">
        <v>214</v>
      </c>
      <c r="U7" s="122">
        <f>L7</f>
        <v>120</v>
      </c>
      <c r="V7" s="30">
        <f>W7/U7</f>
        <v>3.3333333333333335</v>
      </c>
      <c r="W7" s="122">
        <f>M7</f>
        <v>400</v>
      </c>
      <c r="X7" s="122">
        <f>U7 * (1 - ABS(C7))</f>
        <v>117.6</v>
      </c>
      <c r="Y7" s="152" t="s">
        <v>34</v>
      </c>
      <c r="Z7" s="152" t="s">
        <v>34</v>
      </c>
      <c r="AA7" s="12"/>
      <c r="AB7" s="122">
        <f>U7</f>
        <v>120</v>
      </c>
      <c r="AC7" s="30">
        <f>V7*N7</f>
        <v>1.6666666666666667</v>
      </c>
      <c r="AD7" s="123">
        <f>W7*N7</f>
        <v>200</v>
      </c>
      <c r="AE7" s="123">
        <f>U7 * (1 + D7) / (1 - G7)</f>
        <v>126.06060606060608</v>
      </c>
      <c r="AF7" s="124">
        <f>(B7 - AE7) / AE7</f>
        <v>-4.8076923076923198E-2</v>
      </c>
      <c r="AG7" s="30"/>
      <c r="AH7" s="122">
        <f>U7</f>
        <v>120</v>
      </c>
      <c r="AI7" s="30">
        <f>V7*N7</f>
        <v>1.6666666666666667</v>
      </c>
      <c r="AJ7" s="123">
        <f>W7*N7</f>
        <v>200</v>
      </c>
      <c r="AK7" s="123">
        <f>U7 * (1 + E7) / (1 - G7)</f>
        <v>130.90909090909093</v>
      </c>
      <c r="AL7" s="124">
        <f>(B7 - AK7) / AK7</f>
        <v>-8.3333333333333509E-2</v>
      </c>
      <c r="AN7" s="122">
        <v>100</v>
      </c>
      <c r="AO7" s="30">
        <v>1.1499999999999999</v>
      </c>
      <c r="AP7" s="123">
        <v>115</v>
      </c>
      <c r="AQ7" s="123">
        <v>117.17171717171716</v>
      </c>
      <c r="AR7" s="124">
        <f>(B7 - AQ7) / AQ7</f>
        <v>2.4137931034482842E-2</v>
      </c>
      <c r="AT7" s="32">
        <f>AU7+AV7+AW7</f>
        <v>8.3333333333333339</v>
      </c>
      <c r="AU7" s="32">
        <f>AC8+AC7</f>
        <v>4.166666666666667</v>
      </c>
      <c r="AV7" s="32">
        <f>AI7+AI8</f>
        <v>3.0166666666666666</v>
      </c>
      <c r="AW7" s="32">
        <f>AO7</f>
        <v>1.1499999999999999</v>
      </c>
    </row>
    <row r="8" spans="1:49" ht="12.75" x14ac:dyDescent="0.2">
      <c r="B8" s="52"/>
      <c r="C8" s="95"/>
      <c r="I8" s="95"/>
      <c r="J8" s="95"/>
      <c r="K8" s="95"/>
      <c r="L8" s="52"/>
      <c r="M8" s="52"/>
      <c r="N8" s="95"/>
      <c r="O8" s="95"/>
      <c r="P8" s="95"/>
      <c r="R8" s="46" t="s">
        <v>216</v>
      </c>
      <c r="S8" s="46" t="s">
        <v>75</v>
      </c>
      <c r="T8" s="130" t="s">
        <v>211</v>
      </c>
      <c r="U8" s="122">
        <f>U5</f>
        <v>100</v>
      </c>
      <c r="V8" s="30">
        <f>V5</f>
        <v>3</v>
      </c>
      <c r="W8" s="122">
        <f>W5</f>
        <v>300</v>
      </c>
      <c r="X8" s="122">
        <f>X5</f>
        <v>98</v>
      </c>
      <c r="Y8" s="152" t="s">
        <v>34</v>
      </c>
      <c r="Z8" s="152" t="s">
        <v>34</v>
      </c>
      <c r="AA8" s="12"/>
      <c r="AB8" s="122">
        <f>AB5</f>
        <v>100</v>
      </c>
      <c r="AC8" s="30">
        <f>AC5</f>
        <v>2.5</v>
      </c>
      <c r="AD8" s="123">
        <f>AD5</f>
        <v>250</v>
      </c>
      <c r="AE8" s="123">
        <f>AE5</f>
        <v>105.05050505050505</v>
      </c>
      <c r="AF8" s="124">
        <f>(B7 - AE8) / AE8</f>
        <v>0.1423076923076923</v>
      </c>
      <c r="AG8" s="30"/>
      <c r="AH8" s="63">
        <f>AH5</f>
        <v>100</v>
      </c>
      <c r="AI8" s="32">
        <f>AI5</f>
        <v>1.35</v>
      </c>
      <c r="AJ8" s="63">
        <f>AJ5</f>
        <v>135</v>
      </c>
      <c r="AK8" s="63">
        <f>AK5</f>
        <v>109.09090909090909</v>
      </c>
      <c r="AL8" s="54">
        <f>(B10 - AK8) / AK8</f>
        <v>9.9999999999999978E-2</v>
      </c>
      <c r="AN8" s="152" t="s">
        <v>34</v>
      </c>
      <c r="AO8" s="155" t="s">
        <v>34</v>
      </c>
      <c r="AP8" s="155" t="s">
        <v>34</v>
      </c>
      <c r="AQ8" s="155" t="s">
        <v>34</v>
      </c>
      <c r="AR8" s="155" t="s">
        <v>34</v>
      </c>
    </row>
    <row r="9" spans="1:49" ht="12.75" x14ac:dyDescent="0.2">
      <c r="B9" s="52"/>
      <c r="C9" s="95"/>
      <c r="D9" s="29"/>
      <c r="E9" s="50"/>
      <c r="G9" s="50"/>
      <c r="H9" s="50"/>
      <c r="I9" s="50"/>
      <c r="J9" s="50"/>
      <c r="K9" s="50"/>
      <c r="L9" s="52"/>
      <c r="M9" s="52"/>
      <c r="N9" s="50"/>
      <c r="O9" s="50"/>
      <c r="P9" s="50"/>
      <c r="R9" s="46" t="s">
        <v>215</v>
      </c>
      <c r="S9" s="46" t="s">
        <v>75</v>
      </c>
      <c r="T9" s="130" t="s">
        <v>78</v>
      </c>
      <c r="U9" s="122">
        <f>U4</f>
        <v>100</v>
      </c>
      <c r="V9" s="30">
        <f>V4</f>
        <v>2</v>
      </c>
      <c r="W9" s="122">
        <f>W4</f>
        <v>200</v>
      </c>
      <c r="X9" s="122">
        <f>X4</f>
        <v>98</v>
      </c>
      <c r="Y9" s="152" t="s">
        <v>34</v>
      </c>
      <c r="Z9" s="152" t="s">
        <v>34</v>
      </c>
      <c r="AA9" s="12"/>
      <c r="AB9" s="63"/>
      <c r="AG9" s="30"/>
      <c r="AH9" s="13"/>
      <c r="AI9" s="13"/>
      <c r="AJ9" s="13"/>
      <c r="AK9" s="13"/>
      <c r="AL9" s="30"/>
      <c r="AN9" s="122"/>
      <c r="AO9" s="13"/>
      <c r="AP9" s="13"/>
      <c r="AQ9" s="13"/>
      <c r="AR9" s="30"/>
    </row>
    <row r="10" spans="1:49" ht="12.75" x14ac:dyDescent="0.2">
      <c r="A10" s="47" t="s">
        <v>212</v>
      </c>
      <c r="B10" s="40">
        <v>120</v>
      </c>
      <c r="C10" s="55">
        <v>0.02</v>
      </c>
      <c r="D10" s="129">
        <v>0.04</v>
      </c>
      <c r="E10" s="125">
        <v>0.08</v>
      </c>
      <c r="F10" s="125">
        <v>0.16</v>
      </c>
      <c r="G10" s="125">
        <v>0.01</v>
      </c>
      <c r="H10" s="125"/>
      <c r="I10" s="35"/>
      <c r="J10" s="35" t="s">
        <v>75</v>
      </c>
      <c r="K10" s="35" t="s">
        <v>78</v>
      </c>
      <c r="L10" s="40">
        <v>130</v>
      </c>
      <c r="M10" s="40">
        <v>600</v>
      </c>
      <c r="N10" s="129">
        <v>0.4</v>
      </c>
      <c r="O10" s="125">
        <v>0.5</v>
      </c>
      <c r="P10" s="125">
        <v>0.1</v>
      </c>
      <c r="Q10" s="35"/>
      <c r="R10" s="41" t="s">
        <v>217</v>
      </c>
      <c r="S10" s="41" t="s">
        <v>75</v>
      </c>
      <c r="T10" s="41" t="s">
        <v>214</v>
      </c>
      <c r="U10" s="135">
        <f t="shared" ref="U10:W11" si="0">U7</f>
        <v>120</v>
      </c>
      <c r="V10" s="136">
        <f t="shared" si="0"/>
        <v>3.3333333333333335</v>
      </c>
      <c r="W10" s="135">
        <f t="shared" si="0"/>
        <v>400</v>
      </c>
      <c r="X10" s="135">
        <f>X7</f>
        <v>117.6</v>
      </c>
      <c r="Y10" s="153" t="s">
        <v>34</v>
      </c>
      <c r="Z10" s="153" t="s">
        <v>34</v>
      </c>
      <c r="AA10" s="41"/>
      <c r="AB10" s="142">
        <f>U12</f>
        <v>130</v>
      </c>
      <c r="AC10" s="141">
        <f>V12*N10</f>
        <v>1.846153846153846</v>
      </c>
      <c r="AD10" s="142">
        <f>W12*N10</f>
        <v>240</v>
      </c>
      <c r="AE10" s="142">
        <f>U12 * (1 + D10) / (1 - G10)</f>
        <v>136.56565656565658</v>
      </c>
      <c r="AF10" s="143">
        <f>(B10 - AE10) / AE10</f>
        <v>-0.1213017751479291</v>
      </c>
      <c r="AG10" s="141"/>
      <c r="AH10" s="142">
        <f>U12</f>
        <v>130</v>
      </c>
      <c r="AI10" s="141">
        <f>V12*O10</f>
        <v>2.3076923076923075</v>
      </c>
      <c r="AJ10" s="142">
        <f>W12*O10</f>
        <v>300</v>
      </c>
      <c r="AK10" s="142">
        <f>U12 * (1 + E10) / (1 - G10)</f>
        <v>141.81818181818181</v>
      </c>
      <c r="AL10" s="143">
        <f>(B10 - AK10) / AK10</f>
        <v>-0.15384615384615383</v>
      </c>
      <c r="AM10" s="47"/>
      <c r="AN10" s="142">
        <f>U12</f>
        <v>130</v>
      </c>
      <c r="AO10" s="141">
        <f>V12*P10</f>
        <v>0.46153846153846151</v>
      </c>
      <c r="AP10" s="142">
        <f>W12*P10</f>
        <v>60</v>
      </c>
      <c r="AQ10" s="142">
        <f>U12 * (1 + F10) / (1 - G10)</f>
        <v>152.3232323232323</v>
      </c>
      <c r="AR10" s="129">
        <f>(B10 - AQ10) / AQ10</f>
        <v>-0.21220159151193624</v>
      </c>
      <c r="AS10" s="47"/>
      <c r="AT10" s="145">
        <f>AU10+AV10+AW10</f>
        <v>10.948717948717949</v>
      </c>
      <c r="AU10" s="145">
        <f>AC10+AC11+AC12</f>
        <v>5.0128205128205128</v>
      </c>
      <c r="AV10" s="145">
        <f>AI10+AI11+AI12</f>
        <v>4.7243589743589745</v>
      </c>
      <c r="AW10" s="145">
        <f>AO10+AO12</f>
        <v>1.2115384615384615</v>
      </c>
    </row>
    <row r="11" spans="1:49" ht="12.75" x14ac:dyDescent="0.2">
      <c r="A11" s="47"/>
      <c r="B11" s="40"/>
      <c r="C11" s="125"/>
      <c r="D11" s="129"/>
      <c r="E11" s="125"/>
      <c r="F11" s="125"/>
      <c r="G11" s="125"/>
      <c r="H11" s="125"/>
      <c r="I11" s="35"/>
      <c r="J11" s="35"/>
      <c r="K11" s="35"/>
      <c r="L11" s="40"/>
      <c r="M11" s="40"/>
      <c r="N11" s="129"/>
      <c r="O11" s="125"/>
      <c r="P11" s="125"/>
      <c r="Q11" s="35"/>
      <c r="R11" s="41" t="s">
        <v>216</v>
      </c>
      <c r="S11" s="41" t="s">
        <v>75</v>
      </c>
      <c r="T11" s="41" t="s">
        <v>211</v>
      </c>
      <c r="U11" s="135">
        <f t="shared" si="0"/>
        <v>100</v>
      </c>
      <c r="V11" s="136">
        <f t="shared" si="0"/>
        <v>3</v>
      </c>
      <c r="W11" s="135">
        <f t="shared" si="0"/>
        <v>300</v>
      </c>
      <c r="X11" s="135">
        <f>X8</f>
        <v>98</v>
      </c>
      <c r="Y11" s="153" t="s">
        <v>34</v>
      </c>
      <c r="Z11" s="153" t="s">
        <v>34</v>
      </c>
      <c r="AA11" s="41"/>
      <c r="AB11" s="142">
        <f>U10</f>
        <v>120</v>
      </c>
      <c r="AC11" s="141">
        <f>AC7</f>
        <v>1.6666666666666667</v>
      </c>
      <c r="AD11" s="142">
        <f>AD7</f>
        <v>200</v>
      </c>
      <c r="AE11" s="128">
        <f>AE7</f>
        <v>126.06060606060608</v>
      </c>
      <c r="AF11" s="129">
        <f>AF7</f>
        <v>-4.8076923076923198E-2</v>
      </c>
      <c r="AG11" s="141"/>
      <c r="AH11" s="142">
        <f>AH7</f>
        <v>120</v>
      </c>
      <c r="AI11" s="141">
        <f>AI7</f>
        <v>1.6666666666666667</v>
      </c>
      <c r="AJ11" s="142">
        <f>AJ7</f>
        <v>200</v>
      </c>
      <c r="AK11" s="142">
        <f>AK7</f>
        <v>130.90909090909093</v>
      </c>
      <c r="AL11" s="129">
        <f>AL7</f>
        <v>-8.3333333333333509E-2</v>
      </c>
      <c r="AM11" s="47"/>
      <c r="AN11" s="127" t="s">
        <v>34</v>
      </c>
      <c r="AO11" s="144" t="s">
        <v>34</v>
      </c>
      <c r="AP11" s="144" t="s">
        <v>34</v>
      </c>
      <c r="AQ11" s="144" t="s">
        <v>34</v>
      </c>
      <c r="AR11" s="144" t="s">
        <v>34</v>
      </c>
      <c r="AS11" s="47"/>
      <c r="AT11" s="47"/>
      <c r="AU11" s="145"/>
      <c r="AV11" s="145"/>
      <c r="AW11" s="145"/>
    </row>
    <row r="12" spans="1:49" ht="12.75" x14ac:dyDescent="0.2">
      <c r="A12" s="47"/>
      <c r="B12" s="40"/>
      <c r="C12" s="125"/>
      <c r="D12" s="129"/>
      <c r="E12" s="125"/>
      <c r="F12" s="125"/>
      <c r="G12" s="125"/>
      <c r="H12" s="125"/>
      <c r="I12" s="35"/>
      <c r="J12" s="35"/>
      <c r="K12" s="35"/>
      <c r="L12" s="40"/>
      <c r="M12" s="40"/>
      <c r="N12" s="129"/>
      <c r="O12" s="125"/>
      <c r="P12" s="125"/>
      <c r="Q12" s="35"/>
      <c r="R12" s="41" t="s">
        <v>215</v>
      </c>
      <c r="S12" s="41" t="s">
        <v>75</v>
      </c>
      <c r="T12" s="41" t="s">
        <v>78</v>
      </c>
      <c r="U12" s="135">
        <f>L10</f>
        <v>130</v>
      </c>
      <c r="V12" s="136">
        <f>W12/U12</f>
        <v>4.615384615384615</v>
      </c>
      <c r="W12" s="135">
        <f>M10</f>
        <v>600</v>
      </c>
      <c r="X12" s="135">
        <f>U12 * (1 - ABS(C10))</f>
        <v>127.39999999999999</v>
      </c>
      <c r="Y12" s="153" t="s">
        <v>34</v>
      </c>
      <c r="Z12" s="153" t="s">
        <v>34</v>
      </c>
      <c r="AA12" s="41"/>
      <c r="AB12" s="142">
        <f>U11</f>
        <v>100</v>
      </c>
      <c r="AC12" s="141">
        <f>AC8-AC4</f>
        <v>1.5</v>
      </c>
      <c r="AD12" s="142">
        <f>W11*N5</f>
        <v>150</v>
      </c>
      <c r="AE12" s="128">
        <f>U11 * (1 + D10) / (1 - G10)</f>
        <v>105.05050505050505</v>
      </c>
      <c r="AF12" s="129">
        <f>AF8</f>
        <v>0.1423076923076923</v>
      </c>
      <c r="AG12" s="141"/>
      <c r="AH12" s="142">
        <f>U11</f>
        <v>100</v>
      </c>
      <c r="AI12" s="141">
        <f>V11*O5</f>
        <v>0.75</v>
      </c>
      <c r="AJ12" s="142">
        <f>W11*O5</f>
        <v>75</v>
      </c>
      <c r="AK12" s="142">
        <f>U11 * (1 + E10) / (1 - G10)</f>
        <v>109.09090909090909</v>
      </c>
      <c r="AL12" s="55">
        <f>(B10 - AK12) / AK12</f>
        <v>9.9999999999999978E-2</v>
      </c>
      <c r="AM12" s="47"/>
      <c r="AN12" s="142">
        <f>U11</f>
        <v>100</v>
      </c>
      <c r="AO12" s="141">
        <f>V11*P5</f>
        <v>0.75</v>
      </c>
      <c r="AP12" s="142">
        <f>W11*P5</f>
        <v>75</v>
      </c>
      <c r="AQ12" s="142">
        <f>U11 * (1 + F10) / (1 - G10)</f>
        <v>117.17171717171716</v>
      </c>
      <c r="AR12" s="129">
        <f>(B10 - AQ12) / AQ12</f>
        <v>2.4137931034482842E-2</v>
      </c>
      <c r="AS12" s="47"/>
      <c r="AT12" s="47"/>
      <c r="AU12" s="145"/>
      <c r="AV12" s="145"/>
      <c r="AW12" s="145"/>
    </row>
    <row r="13" spans="1:49" ht="12.75" x14ac:dyDescent="0.2">
      <c r="A13" s="45" t="s">
        <v>213</v>
      </c>
      <c r="B13" s="52">
        <v>90</v>
      </c>
      <c r="C13" s="54">
        <v>0.02</v>
      </c>
      <c r="D13" s="124">
        <v>0.04</v>
      </c>
      <c r="E13" s="95">
        <v>0.08</v>
      </c>
      <c r="F13" s="95">
        <v>0.16</v>
      </c>
      <c r="G13" s="95">
        <v>0.01</v>
      </c>
      <c r="H13" s="95"/>
      <c r="J13" s="146" t="s">
        <v>75</v>
      </c>
      <c r="K13" s="146" t="s">
        <v>78</v>
      </c>
      <c r="L13" s="147">
        <v>130</v>
      </c>
      <c r="M13" s="147">
        <v>600</v>
      </c>
      <c r="N13" s="148">
        <v>0.4</v>
      </c>
      <c r="O13" s="149">
        <v>0.5</v>
      </c>
      <c r="P13" s="149">
        <v>0.1</v>
      </c>
      <c r="R13" s="12" t="s">
        <v>217</v>
      </c>
      <c r="S13" s="46" t="s">
        <v>75</v>
      </c>
      <c r="T13" s="12" t="str">
        <f t="shared" ref="T13:X14" si="1">T10</f>
        <v>Entry Target</v>
      </c>
      <c r="U13" s="137">
        <f t="shared" si="1"/>
        <v>120</v>
      </c>
      <c r="V13" s="138">
        <f t="shared" si="1"/>
        <v>3.3333333333333335</v>
      </c>
      <c r="W13" s="137">
        <f t="shared" si="1"/>
        <v>400</v>
      </c>
      <c r="X13" s="137">
        <f t="shared" si="1"/>
        <v>117.6</v>
      </c>
      <c r="Y13" s="152" t="s">
        <v>34</v>
      </c>
      <c r="Z13" s="152" t="s">
        <v>34</v>
      </c>
      <c r="AA13" s="12"/>
      <c r="AB13" s="122">
        <f>U13</f>
        <v>120</v>
      </c>
      <c r="AC13" s="30">
        <f>V13*N7</f>
        <v>1.6666666666666667</v>
      </c>
      <c r="AD13" s="123">
        <f>W13*N7</f>
        <v>200</v>
      </c>
      <c r="AE13" s="123">
        <f>U13 * (1 + D13) / (1 - G13)</f>
        <v>126.06060606060608</v>
      </c>
      <c r="AF13" s="124">
        <f>(B13 - AE13) / AE13</f>
        <v>-0.2860576923076924</v>
      </c>
      <c r="AG13" s="140"/>
      <c r="AH13" s="122">
        <f>U13</f>
        <v>120</v>
      </c>
      <c r="AI13" s="30">
        <f>V13*O7</f>
        <v>1.6666666666666667</v>
      </c>
      <c r="AJ13" s="123">
        <f>W13*O7</f>
        <v>200</v>
      </c>
      <c r="AK13" s="123">
        <f>U13 * (1 + E13) / (1 - G13)</f>
        <v>130.90909090909093</v>
      </c>
      <c r="AL13" s="124">
        <f>(B13 - AK13) / AK13</f>
        <v>-0.31250000000000011</v>
      </c>
      <c r="AN13" s="152" t="s">
        <v>34</v>
      </c>
      <c r="AO13" s="155" t="s">
        <v>34</v>
      </c>
      <c r="AP13" s="155" t="s">
        <v>34</v>
      </c>
      <c r="AQ13" s="155" t="s">
        <v>34</v>
      </c>
      <c r="AR13" s="155" t="s">
        <v>34</v>
      </c>
      <c r="AT13" s="32">
        <f>AU13+AV13+AW13</f>
        <v>6.3333333333333339</v>
      </c>
      <c r="AU13" s="32">
        <f>AC13+AC14</f>
        <v>3.166666666666667</v>
      </c>
      <c r="AV13" s="32">
        <f>AI13+AI14</f>
        <v>2.416666666666667</v>
      </c>
      <c r="AW13" s="32">
        <f>AO14</f>
        <v>0.75</v>
      </c>
    </row>
    <row r="14" spans="1:49" ht="12.75" x14ac:dyDescent="0.2">
      <c r="A14" s="45"/>
      <c r="B14" s="33"/>
      <c r="C14" s="67"/>
      <c r="D14" s="124"/>
      <c r="E14" s="95"/>
      <c r="F14" s="95"/>
      <c r="G14" s="95"/>
      <c r="H14" s="95"/>
      <c r="L14" s="33"/>
      <c r="M14" s="33"/>
      <c r="N14" s="124"/>
      <c r="O14" s="95"/>
      <c r="P14" s="95"/>
      <c r="R14" s="12" t="s">
        <v>216</v>
      </c>
      <c r="S14" s="12" t="str">
        <f>S11</f>
        <v>Buy</v>
      </c>
      <c r="T14" s="12" t="str">
        <f t="shared" si="1"/>
        <v>Custom</v>
      </c>
      <c r="U14" s="137">
        <f t="shared" si="1"/>
        <v>100</v>
      </c>
      <c r="V14" s="138">
        <f t="shared" si="1"/>
        <v>3</v>
      </c>
      <c r="W14" s="137">
        <f t="shared" si="1"/>
        <v>300</v>
      </c>
      <c r="X14" s="137">
        <f t="shared" si="1"/>
        <v>98</v>
      </c>
      <c r="Y14" s="152" t="s">
        <v>34</v>
      </c>
      <c r="Z14" s="152" t="s">
        <v>34</v>
      </c>
      <c r="AA14" s="12"/>
      <c r="AB14" s="122">
        <f>U14</f>
        <v>100</v>
      </c>
      <c r="AC14" s="30">
        <f>V14*N4</f>
        <v>1.5</v>
      </c>
      <c r="AD14" s="123">
        <f>W14*N4</f>
        <v>150</v>
      </c>
      <c r="AE14" s="123">
        <f>U14 * (1 + D13) / (1 - G13)</f>
        <v>105.05050505050505</v>
      </c>
      <c r="AF14" s="124">
        <f>(B13 - AE14) / AE14</f>
        <v>-0.14326923076923079</v>
      </c>
      <c r="AG14" s="140"/>
      <c r="AH14" s="63">
        <f>U14</f>
        <v>100</v>
      </c>
      <c r="AI14" s="32">
        <f>V14*O5</f>
        <v>0.75</v>
      </c>
      <c r="AJ14" s="63">
        <f>W14*O5</f>
        <v>75</v>
      </c>
      <c r="AK14" s="63">
        <f>AK12</f>
        <v>109.09090909090909</v>
      </c>
      <c r="AL14" s="54">
        <f>(B13 - AK14) / AK14</f>
        <v>-0.17500000000000002</v>
      </c>
      <c r="AN14" s="122">
        <f>U14</f>
        <v>100</v>
      </c>
      <c r="AO14" s="30">
        <f>V14*P5</f>
        <v>0.75</v>
      </c>
      <c r="AP14" s="123">
        <f>W14*P5</f>
        <v>75</v>
      </c>
      <c r="AQ14" s="123">
        <v>117.17171717171716</v>
      </c>
      <c r="AR14" s="124">
        <f>(B13 - AQ14) / AQ14</f>
        <v>-0.23189655172413787</v>
      </c>
    </row>
    <row r="15" spans="1:49" ht="12.75" x14ac:dyDescent="0.2">
      <c r="A15" s="45"/>
      <c r="B15" s="33"/>
      <c r="C15" s="67"/>
      <c r="D15" s="124"/>
      <c r="E15" s="95"/>
      <c r="F15" s="95"/>
      <c r="G15" s="95"/>
      <c r="H15" s="95"/>
      <c r="L15" s="33"/>
      <c r="M15" s="33"/>
      <c r="N15" s="124"/>
      <c r="O15" s="95"/>
      <c r="P15" s="95"/>
      <c r="R15" s="12"/>
      <c r="S15" s="12"/>
      <c r="T15" s="12"/>
      <c r="U15" s="137"/>
      <c r="V15" s="138"/>
      <c r="W15" s="137"/>
      <c r="X15" s="137"/>
      <c r="Y15" s="154"/>
      <c r="Z15" s="154"/>
      <c r="AA15" s="12"/>
      <c r="AB15" s="139"/>
      <c r="AC15" s="139"/>
      <c r="AD15" s="139"/>
      <c r="AE15" s="139"/>
      <c r="AF15" s="140"/>
      <c r="AG15" s="140"/>
      <c r="AH15" s="139"/>
      <c r="AI15" s="139"/>
      <c r="AJ15" s="139"/>
      <c r="AK15" s="139"/>
      <c r="AL15" s="140"/>
      <c r="AN15" s="139"/>
      <c r="AO15" s="139"/>
      <c r="AP15" s="139"/>
      <c r="AQ15" s="139"/>
      <c r="AR15" s="140"/>
    </row>
    <row r="16" spans="1:49" ht="12.75" x14ac:dyDescent="0.2">
      <c r="A16" s="66" t="s">
        <v>264</v>
      </c>
      <c r="B16" s="33"/>
      <c r="C16" s="67"/>
      <c r="D16" s="124"/>
      <c r="E16" s="95"/>
      <c r="F16" s="95"/>
      <c r="G16" s="95"/>
      <c r="H16" s="95"/>
      <c r="L16" s="33"/>
      <c r="M16" s="33"/>
      <c r="N16" s="124"/>
      <c r="O16" s="95"/>
      <c r="P16" s="95"/>
      <c r="R16" s="12"/>
      <c r="S16" s="12"/>
      <c r="T16" s="12"/>
      <c r="U16" s="137"/>
      <c r="V16" s="138"/>
      <c r="W16" s="137"/>
      <c r="X16" s="137"/>
      <c r="Y16" s="12"/>
      <c r="Z16" s="12"/>
      <c r="AA16" s="12"/>
      <c r="AB16" s="139"/>
      <c r="AC16" s="139"/>
      <c r="AD16" s="139"/>
      <c r="AE16" s="139"/>
      <c r="AF16" s="140"/>
      <c r="AG16" s="140"/>
      <c r="AH16" s="139"/>
      <c r="AI16" s="139"/>
      <c r="AJ16" s="139"/>
      <c r="AK16" s="139"/>
      <c r="AL16" s="140"/>
      <c r="AN16" s="139"/>
      <c r="AO16" s="139"/>
      <c r="AP16" s="139"/>
      <c r="AQ16" s="139"/>
      <c r="AR16" s="140"/>
    </row>
    <row r="17" spans="1:49" ht="12.75" x14ac:dyDescent="0.2">
      <c r="B17" s="45" t="s">
        <v>204</v>
      </c>
      <c r="C17" s="109"/>
      <c r="J17" s="45" t="s">
        <v>202</v>
      </c>
      <c r="R17" s="45" t="s">
        <v>203</v>
      </c>
      <c r="T17" s="12"/>
      <c r="U17" s="12"/>
      <c r="V17" s="12"/>
      <c r="W17" s="12"/>
      <c r="X17" s="12"/>
      <c r="Y17" s="12"/>
      <c r="Z17" s="12"/>
      <c r="AA17" s="12"/>
      <c r="AB17" s="130" t="s">
        <v>205</v>
      </c>
      <c r="AC17" s="46"/>
      <c r="AD17" s="46"/>
      <c r="AE17" s="46"/>
      <c r="AF17" s="46"/>
      <c r="AG17" s="46"/>
      <c r="AH17" s="130" t="s">
        <v>207</v>
      </c>
      <c r="AI17" s="46"/>
      <c r="AJ17" s="46"/>
      <c r="AK17" s="46"/>
      <c r="AL17" s="46"/>
      <c r="AM17" s="45"/>
      <c r="AN17" s="130" t="s">
        <v>208</v>
      </c>
      <c r="AO17" s="12"/>
      <c r="AP17" s="12"/>
      <c r="AQ17" s="12"/>
      <c r="AR17" s="12"/>
      <c r="AT17" s="130" t="s">
        <v>206</v>
      </c>
    </row>
    <row r="18" spans="1:49" ht="12.75" x14ac:dyDescent="0.2">
      <c r="B18" s="57" t="s">
        <v>209</v>
      </c>
      <c r="C18" s="28" t="s">
        <v>190</v>
      </c>
      <c r="D18" s="57" t="s">
        <v>191</v>
      </c>
      <c r="E18" s="28" t="s">
        <v>192</v>
      </c>
      <c r="F18" s="28" t="s">
        <v>193</v>
      </c>
      <c r="G18" s="57" t="s">
        <v>112</v>
      </c>
      <c r="H18" s="57"/>
      <c r="I18" s="101"/>
      <c r="J18" s="28" t="s">
        <v>76</v>
      </c>
      <c r="K18" s="28" t="s">
        <v>4</v>
      </c>
      <c r="L18" s="57" t="s">
        <v>0</v>
      </c>
      <c r="M18" s="57" t="s">
        <v>1</v>
      </c>
      <c r="N18" s="28" t="s">
        <v>191</v>
      </c>
      <c r="O18" s="28" t="s">
        <v>192</v>
      </c>
      <c r="P18" s="28" t="s">
        <v>193</v>
      </c>
      <c r="R18" s="28"/>
      <c r="S18" s="28" t="s">
        <v>76</v>
      </c>
      <c r="T18" s="28" t="s">
        <v>4</v>
      </c>
      <c r="U18" s="57" t="s">
        <v>0</v>
      </c>
      <c r="V18" s="28" t="s">
        <v>62</v>
      </c>
      <c r="W18" s="57" t="s">
        <v>220</v>
      </c>
      <c r="X18" s="57" t="s">
        <v>190</v>
      </c>
      <c r="Y18" s="57" t="s">
        <v>194</v>
      </c>
      <c r="Z18" s="28" t="s">
        <v>195</v>
      </c>
      <c r="AA18" s="12"/>
      <c r="AB18" s="28" t="s">
        <v>0</v>
      </c>
      <c r="AC18" s="28" t="s">
        <v>196</v>
      </c>
      <c r="AD18" s="57" t="s">
        <v>1</v>
      </c>
      <c r="AE18" s="57" t="s">
        <v>197</v>
      </c>
      <c r="AF18" s="57" t="s">
        <v>198</v>
      </c>
      <c r="AG18" s="60"/>
      <c r="AH18" s="28" t="s">
        <v>0</v>
      </c>
      <c r="AI18" s="28" t="s">
        <v>196</v>
      </c>
      <c r="AJ18" s="57" t="s">
        <v>1</v>
      </c>
      <c r="AK18" s="57" t="s">
        <v>197</v>
      </c>
      <c r="AL18" s="57" t="s">
        <v>198</v>
      </c>
      <c r="AN18" s="28" t="s">
        <v>0</v>
      </c>
      <c r="AO18" s="28" t="s">
        <v>196</v>
      </c>
      <c r="AP18" s="57" t="s">
        <v>1</v>
      </c>
      <c r="AQ18" s="57" t="s">
        <v>197</v>
      </c>
      <c r="AR18" s="57" t="s">
        <v>198</v>
      </c>
      <c r="AT18" s="57" t="s">
        <v>199</v>
      </c>
      <c r="AU18" s="28" t="s">
        <v>191</v>
      </c>
      <c r="AV18" s="28" t="s">
        <v>192</v>
      </c>
      <c r="AW18" s="28" t="s">
        <v>193</v>
      </c>
    </row>
    <row r="19" spans="1:49" ht="12.75" x14ac:dyDescent="0.2">
      <c r="A19" s="110" t="s">
        <v>215</v>
      </c>
      <c r="B19" s="52">
        <v>100</v>
      </c>
      <c r="C19" s="54">
        <v>0.02</v>
      </c>
      <c r="D19" s="124">
        <v>0.04</v>
      </c>
      <c r="E19" s="95">
        <v>0.08</v>
      </c>
      <c r="F19" s="95">
        <v>0.16</v>
      </c>
      <c r="G19" s="95">
        <v>0.01</v>
      </c>
      <c r="H19" s="95"/>
      <c r="I19" s="95"/>
      <c r="J19" s="133" t="s">
        <v>75</v>
      </c>
      <c r="K19" s="133" t="s">
        <v>78</v>
      </c>
      <c r="L19" s="52">
        <v>100</v>
      </c>
      <c r="M19" s="52">
        <v>600</v>
      </c>
      <c r="N19" s="124">
        <v>0.5</v>
      </c>
      <c r="O19" s="95">
        <v>0.3</v>
      </c>
      <c r="P19" s="95">
        <v>0.2</v>
      </c>
      <c r="R19" s="45" t="s">
        <v>215</v>
      </c>
      <c r="S19" s="45" t="s">
        <v>75</v>
      </c>
      <c r="T19" s="131" t="s">
        <v>78</v>
      </c>
      <c r="U19" s="122">
        <f>L19</f>
        <v>100</v>
      </c>
      <c r="V19" s="30">
        <f>W19/U19</f>
        <v>6</v>
      </c>
      <c r="W19" s="122">
        <f>M19</f>
        <v>600</v>
      </c>
      <c r="X19" s="122">
        <f>U19 * (1 - ABS(C19))</f>
        <v>98</v>
      </c>
      <c r="Y19" s="152" t="s">
        <v>34</v>
      </c>
      <c r="Z19" s="152" t="s">
        <v>34</v>
      </c>
      <c r="AA19" s="12"/>
      <c r="AB19" s="122">
        <f>U19</f>
        <v>100</v>
      </c>
      <c r="AC19" s="30">
        <f>V19*N19</f>
        <v>3</v>
      </c>
      <c r="AD19" s="123">
        <f>W19*N19</f>
        <v>300</v>
      </c>
      <c r="AE19" s="123">
        <f>AB19 * (1 + D19) / (1 - G19)</f>
        <v>105.05050505050505</v>
      </c>
      <c r="AF19" s="124">
        <f>(B19 - AE19) / AE19</f>
        <v>-4.8076923076923087E-2</v>
      </c>
      <c r="AG19" s="30"/>
      <c r="AH19" s="122">
        <f>U19</f>
        <v>100</v>
      </c>
      <c r="AI19" s="30">
        <f>V19*O19</f>
        <v>1.7999999999999998</v>
      </c>
      <c r="AJ19" s="123">
        <f>W19*O19</f>
        <v>180</v>
      </c>
      <c r="AK19" s="123">
        <f>AH19 * (1 + E19) / (1 - G19)</f>
        <v>109.09090909090909</v>
      </c>
      <c r="AL19" s="124">
        <f>(B19 - AK19) / AK19</f>
        <v>-8.3333333333333356E-2</v>
      </c>
      <c r="AN19" s="122">
        <f>U19</f>
        <v>100</v>
      </c>
      <c r="AO19" s="30">
        <f>V19*P19</f>
        <v>1.2000000000000002</v>
      </c>
      <c r="AP19" s="123">
        <f>W19*P19</f>
        <v>120</v>
      </c>
      <c r="AQ19" s="123">
        <f>AN19 * (1 + F19) / (1 - G19)</f>
        <v>117.17171717171716</v>
      </c>
      <c r="AR19" s="124">
        <f>(B19 - AQ19) / AQ19</f>
        <v>-0.14655172413793097</v>
      </c>
      <c r="AT19" s="32">
        <f>AC19+AI19+AO19</f>
        <v>6</v>
      </c>
      <c r="AU19" s="32">
        <f>AC19</f>
        <v>3</v>
      </c>
      <c r="AV19" s="32">
        <f>AI19</f>
        <v>1.7999999999999998</v>
      </c>
      <c r="AW19" s="32">
        <f>AO19</f>
        <v>1.2000000000000002</v>
      </c>
    </row>
    <row r="20" spans="1:49" ht="12.75" x14ac:dyDescent="0.2">
      <c r="A20" s="177" t="s">
        <v>218</v>
      </c>
      <c r="B20" s="40">
        <v>110</v>
      </c>
      <c r="C20" s="55">
        <v>0.02</v>
      </c>
      <c r="D20" s="129">
        <v>0.04</v>
      </c>
      <c r="E20" s="125">
        <v>0.08</v>
      </c>
      <c r="F20" s="125">
        <v>0.16</v>
      </c>
      <c r="G20" s="125">
        <v>0.01</v>
      </c>
      <c r="H20" s="125"/>
      <c r="I20" s="125"/>
      <c r="J20" s="134" t="s">
        <v>73</v>
      </c>
      <c r="K20" s="134" t="s">
        <v>219</v>
      </c>
      <c r="L20" s="40">
        <v>110</v>
      </c>
      <c r="M20" s="153" t="s">
        <v>34</v>
      </c>
      <c r="N20" s="129">
        <v>0.5</v>
      </c>
      <c r="O20" s="153" t="s">
        <v>34</v>
      </c>
      <c r="P20" s="153" t="s">
        <v>34</v>
      </c>
      <c r="Q20" s="35"/>
      <c r="R20" s="47" t="s">
        <v>218</v>
      </c>
      <c r="S20" s="47" t="s">
        <v>73</v>
      </c>
      <c r="T20" s="132" t="s">
        <v>219</v>
      </c>
      <c r="U20" s="126">
        <f>L20</f>
        <v>110</v>
      </c>
      <c r="V20" s="43">
        <f>AC19*N20</f>
        <v>1.5</v>
      </c>
      <c r="W20" s="126">
        <f>U20*V20-(U20*V20*G20)</f>
        <v>163.35</v>
      </c>
      <c r="X20" s="153" t="s">
        <v>34</v>
      </c>
      <c r="Y20" s="127">
        <f>W20-(U19*V20)</f>
        <v>13.349999999999994</v>
      </c>
      <c r="Z20" s="151">
        <f>Y20/(U19*V20)</f>
        <v>8.8999999999999968E-2</v>
      </c>
      <c r="AA20" s="41"/>
      <c r="AB20" s="126">
        <f>U21</f>
        <v>100</v>
      </c>
      <c r="AC20" s="43">
        <f>AC19-V20</f>
        <v>1.5</v>
      </c>
      <c r="AD20" s="128">
        <f>AD19*N20</f>
        <v>150</v>
      </c>
      <c r="AE20" s="128">
        <f>AB20 * (1 + D20) / (1 - G20)</f>
        <v>105.05050505050505</v>
      </c>
      <c r="AF20" s="156">
        <f>(B20 - AE20) / AE20</f>
        <v>4.7115384615384601E-2</v>
      </c>
      <c r="AG20" s="43"/>
      <c r="AH20" s="126">
        <f>U21</f>
        <v>100</v>
      </c>
      <c r="AI20" s="43">
        <f>AI19</f>
        <v>1.7999999999999998</v>
      </c>
      <c r="AJ20" s="128">
        <f>AJ19</f>
        <v>180</v>
      </c>
      <c r="AK20" s="128">
        <f>AH20 * (1 + E20) / (1 - G20)</f>
        <v>109.09090909090909</v>
      </c>
      <c r="AL20" s="156">
        <f>(B20 - AK20) / AK20</f>
        <v>8.3333333333333089E-3</v>
      </c>
      <c r="AM20" s="35"/>
      <c r="AN20" s="126">
        <f>U21</f>
        <v>100</v>
      </c>
      <c r="AO20" s="43">
        <f>AO19</f>
        <v>1.2000000000000002</v>
      </c>
      <c r="AP20" s="128">
        <f>AP19</f>
        <v>120</v>
      </c>
      <c r="AQ20" s="128">
        <f>AN20 * (1 + F20) / (1 - G20)</f>
        <v>117.17171717171716</v>
      </c>
      <c r="AR20" s="129">
        <f>(B20 - AQ20) / AQ20</f>
        <v>-6.1206896551724066E-2</v>
      </c>
      <c r="AS20" s="35"/>
      <c r="AT20" s="39">
        <f>AC20+AI20+AO20</f>
        <v>4.5</v>
      </c>
      <c r="AU20" s="39">
        <f>AC20</f>
        <v>1.5</v>
      </c>
      <c r="AV20" s="39">
        <f>AI20</f>
        <v>1.7999999999999998</v>
      </c>
      <c r="AW20" s="39">
        <f>AO20</f>
        <v>1.2000000000000002</v>
      </c>
    </row>
    <row r="21" spans="1:49" ht="12.75" x14ac:dyDescent="0.2">
      <c r="A21" s="177"/>
      <c r="B21" s="40"/>
      <c r="C21" s="55"/>
      <c r="D21" s="129"/>
      <c r="E21" s="125"/>
      <c r="F21" s="125"/>
      <c r="G21" s="125"/>
      <c r="H21" s="125"/>
      <c r="I21" s="125"/>
      <c r="J21" s="134"/>
      <c r="K21" s="134"/>
      <c r="L21" s="40"/>
      <c r="M21" s="40"/>
      <c r="N21" s="129"/>
      <c r="O21" s="125"/>
      <c r="P21" s="125"/>
      <c r="Q21" s="35"/>
      <c r="R21" s="47" t="s">
        <v>215</v>
      </c>
      <c r="S21" s="47" t="s">
        <v>75</v>
      </c>
      <c r="T21" s="132" t="s">
        <v>78</v>
      </c>
      <c r="U21" s="126">
        <f>U19</f>
        <v>100</v>
      </c>
      <c r="V21" s="43">
        <f>V19</f>
        <v>6</v>
      </c>
      <c r="W21" s="126">
        <f>W19</f>
        <v>600</v>
      </c>
      <c r="X21" s="126">
        <f>X19</f>
        <v>98</v>
      </c>
      <c r="Y21" s="153" t="s">
        <v>34</v>
      </c>
      <c r="Z21" s="153" t="s">
        <v>34</v>
      </c>
      <c r="AA21" s="41"/>
      <c r="AB21" s="126"/>
      <c r="AC21" s="43"/>
      <c r="AD21" s="128"/>
      <c r="AE21" s="128"/>
      <c r="AF21" s="129"/>
      <c r="AG21" s="43"/>
      <c r="AH21" s="126"/>
      <c r="AI21" s="43"/>
      <c r="AJ21" s="128"/>
      <c r="AK21" s="128"/>
      <c r="AL21" s="129"/>
      <c r="AM21" s="35"/>
      <c r="AN21" s="126"/>
      <c r="AO21" s="43"/>
      <c r="AP21" s="128"/>
      <c r="AQ21" s="128"/>
      <c r="AR21" s="129"/>
      <c r="AS21" s="35"/>
      <c r="AT21" s="39"/>
      <c r="AU21" s="39"/>
      <c r="AV21" s="39"/>
      <c r="AW21" s="39"/>
    </row>
    <row r="22" spans="1:49" ht="12.75" x14ac:dyDescent="0.2">
      <c r="A22" s="110" t="s">
        <v>221</v>
      </c>
      <c r="B22" s="52">
        <v>90</v>
      </c>
      <c r="C22" s="54">
        <v>0.02</v>
      </c>
      <c r="D22" s="124">
        <v>0.04</v>
      </c>
      <c r="E22" s="95">
        <v>0.08</v>
      </c>
      <c r="F22" s="95">
        <v>0.16</v>
      </c>
      <c r="G22" s="95">
        <v>0.01</v>
      </c>
      <c r="H22" s="95"/>
      <c r="I22" s="95"/>
      <c r="J22" s="133" t="s">
        <v>73</v>
      </c>
      <c r="K22" s="133" t="s">
        <v>219</v>
      </c>
      <c r="L22" s="52">
        <v>90</v>
      </c>
      <c r="M22" s="152" t="s">
        <v>34</v>
      </c>
      <c r="N22" s="152" t="s">
        <v>34</v>
      </c>
      <c r="O22" s="95">
        <v>1</v>
      </c>
      <c r="P22" s="152" t="s">
        <v>34</v>
      </c>
      <c r="R22" s="45" t="s">
        <v>221</v>
      </c>
      <c r="S22" s="45" t="s">
        <v>73</v>
      </c>
      <c r="T22" s="130" t="s">
        <v>219</v>
      </c>
      <c r="U22" s="122">
        <f>L22</f>
        <v>90</v>
      </c>
      <c r="V22" s="30">
        <f>AI20*O22</f>
        <v>1.7999999999999998</v>
      </c>
      <c r="W22" s="122">
        <f>U22*V22-(U22*V22*G22)</f>
        <v>160.37999999999997</v>
      </c>
      <c r="X22" s="152" t="s">
        <v>34</v>
      </c>
      <c r="Y22" s="152">
        <f>W22-(U21*V22)</f>
        <v>-19.620000000000005</v>
      </c>
      <c r="Z22" s="160">
        <f>Y22/(U21*V22)</f>
        <v>-0.10900000000000004</v>
      </c>
      <c r="AA22" s="12"/>
      <c r="AB22" s="122">
        <f>AB20</f>
        <v>100</v>
      </c>
      <c r="AC22" s="30">
        <f>AC20</f>
        <v>1.5</v>
      </c>
      <c r="AD22" s="123">
        <f>AD20</f>
        <v>150</v>
      </c>
      <c r="AE22" s="123">
        <f>AE20</f>
        <v>105.05050505050505</v>
      </c>
      <c r="AF22" s="124">
        <f>(B22 - AE22) / AE22</f>
        <v>-0.14326923076923079</v>
      </c>
      <c r="AG22" s="30"/>
      <c r="AH22" s="162">
        <f>AH20</f>
        <v>100</v>
      </c>
      <c r="AI22" s="163">
        <f>AI20</f>
        <v>1.7999999999999998</v>
      </c>
      <c r="AJ22" s="164">
        <f>AJ20</f>
        <v>180</v>
      </c>
      <c r="AK22" s="164">
        <f>AK20</f>
        <v>109.09090909090909</v>
      </c>
      <c r="AL22" s="148">
        <f>AL20</f>
        <v>8.3333333333333089E-3</v>
      </c>
      <c r="AN22" s="122">
        <f>AN20</f>
        <v>100</v>
      </c>
      <c r="AO22" s="30">
        <f>AO20</f>
        <v>1.2000000000000002</v>
      </c>
      <c r="AP22" s="123">
        <f>AP20</f>
        <v>120</v>
      </c>
      <c r="AQ22" s="123">
        <f>AQ20</f>
        <v>117.17171717171716</v>
      </c>
      <c r="AR22" s="124">
        <f>(B22 - AQ22) / AQ22</f>
        <v>-0.23189655172413787</v>
      </c>
      <c r="AT22" s="32">
        <f>AU22+AV22+AW22</f>
        <v>2.7</v>
      </c>
      <c r="AU22" s="32">
        <f>AC22</f>
        <v>1.5</v>
      </c>
      <c r="AV22" s="32">
        <v>0</v>
      </c>
      <c r="AW22" s="32">
        <f>AO22</f>
        <v>1.2000000000000002</v>
      </c>
    </row>
    <row r="23" spans="1:49" ht="12.75" x14ac:dyDescent="0.2">
      <c r="A23" s="110"/>
      <c r="B23" s="52"/>
      <c r="C23" s="95"/>
      <c r="I23" s="95"/>
      <c r="J23" s="95"/>
      <c r="K23" s="95"/>
      <c r="L23" s="52"/>
      <c r="M23" s="52"/>
      <c r="N23" s="95"/>
      <c r="O23" s="95"/>
      <c r="P23" s="95"/>
      <c r="R23" s="46" t="str">
        <f t="shared" ref="R23:S27" si="2">R20</f>
        <v>SellA</v>
      </c>
      <c r="S23" s="46" t="str">
        <f t="shared" si="2"/>
        <v>Sell</v>
      </c>
      <c r="T23" s="130" t="s">
        <v>219</v>
      </c>
      <c r="U23" s="122">
        <f t="shared" ref="U23:W23" si="3">U20</f>
        <v>110</v>
      </c>
      <c r="V23" s="30">
        <f t="shared" si="3"/>
        <v>1.5</v>
      </c>
      <c r="W23" s="122">
        <f t="shared" si="3"/>
        <v>163.35</v>
      </c>
      <c r="X23" s="152" t="s">
        <v>34</v>
      </c>
      <c r="Y23" s="152">
        <f>Y20</f>
        <v>13.349999999999994</v>
      </c>
      <c r="Z23" s="161">
        <f>Z20</f>
        <v>8.8999999999999968E-2</v>
      </c>
      <c r="AA23" s="12"/>
      <c r="AB23" s="122"/>
      <c r="AC23" s="30"/>
      <c r="AD23" s="157"/>
      <c r="AE23" s="157"/>
      <c r="AF23" s="124"/>
      <c r="AG23" s="30"/>
      <c r="AH23" s="63"/>
      <c r="AI23" s="32"/>
      <c r="AJ23" s="63"/>
      <c r="AK23" s="63"/>
      <c r="AL23" s="62"/>
      <c r="AN23" s="158"/>
      <c r="AO23" s="159"/>
      <c r="AP23" s="159"/>
      <c r="AQ23" s="159"/>
      <c r="AR23" s="159"/>
    </row>
    <row r="24" spans="1:49" ht="12.75" x14ac:dyDescent="0.2">
      <c r="A24" s="110"/>
      <c r="B24" s="52"/>
      <c r="C24" s="95"/>
      <c r="D24" s="29"/>
      <c r="E24" s="50"/>
      <c r="G24" s="50"/>
      <c r="H24" s="50"/>
      <c r="I24" s="50"/>
      <c r="J24" s="50"/>
      <c r="K24" s="50"/>
      <c r="L24" s="52"/>
      <c r="M24" s="52"/>
      <c r="N24" s="50"/>
      <c r="O24" s="50"/>
      <c r="P24" s="50"/>
      <c r="R24" s="46" t="str">
        <f t="shared" si="2"/>
        <v>BuyA</v>
      </c>
      <c r="S24" s="46" t="str">
        <f t="shared" si="2"/>
        <v>Buy</v>
      </c>
      <c r="T24" s="130" t="s">
        <v>78</v>
      </c>
      <c r="U24" s="122">
        <f>U21</f>
        <v>100</v>
      </c>
      <c r="V24" s="30">
        <f>V21</f>
        <v>6</v>
      </c>
      <c r="W24" s="122">
        <f>W21</f>
        <v>600</v>
      </c>
      <c r="X24" s="165">
        <f>X21</f>
        <v>98</v>
      </c>
      <c r="Y24" s="152" t="s">
        <v>34</v>
      </c>
      <c r="Z24" s="152" t="s">
        <v>34</v>
      </c>
      <c r="AA24" s="12"/>
      <c r="AB24" s="63"/>
      <c r="AG24" s="30"/>
      <c r="AH24" s="13"/>
      <c r="AI24" s="13"/>
      <c r="AJ24" s="13"/>
      <c r="AK24" s="13"/>
      <c r="AL24" s="30"/>
      <c r="AN24" s="122"/>
      <c r="AO24" s="13"/>
      <c r="AP24" s="13"/>
      <c r="AQ24" s="13"/>
      <c r="AR24" s="30"/>
    </row>
    <row r="25" spans="1:49" s="35" customFormat="1" ht="12.75" x14ac:dyDescent="0.2">
      <c r="A25" s="177" t="s">
        <v>224</v>
      </c>
      <c r="B25" s="40">
        <v>90</v>
      </c>
      <c r="C25" s="55">
        <v>0.02</v>
      </c>
      <c r="D25" s="129">
        <v>0.04</v>
      </c>
      <c r="E25" s="125">
        <v>0.08</v>
      </c>
      <c r="F25" s="125">
        <v>0.16</v>
      </c>
      <c r="G25" s="125">
        <v>0.01</v>
      </c>
      <c r="H25" s="125"/>
      <c r="I25" s="51"/>
      <c r="J25" s="172" t="s">
        <v>225</v>
      </c>
      <c r="K25" s="172" t="s">
        <v>211</v>
      </c>
      <c r="L25" s="40">
        <v>95</v>
      </c>
      <c r="M25" s="153" t="s">
        <v>34</v>
      </c>
      <c r="N25" s="153" t="s">
        <v>34</v>
      </c>
      <c r="O25" s="125">
        <v>0.5</v>
      </c>
      <c r="P25" s="153" t="s">
        <v>34</v>
      </c>
      <c r="R25" s="47" t="str">
        <f t="shared" si="2"/>
        <v>SellB</v>
      </c>
      <c r="S25" s="47" t="str">
        <f t="shared" si="2"/>
        <v>Sell</v>
      </c>
      <c r="T25" s="132" t="s">
        <v>211</v>
      </c>
      <c r="U25" s="126">
        <f>L25</f>
        <v>95</v>
      </c>
      <c r="V25" s="43">
        <f>AI20*O25</f>
        <v>0.89999999999999991</v>
      </c>
      <c r="W25" s="126">
        <f>U25*V25-(U25*V25*G25)</f>
        <v>84.644999999999982</v>
      </c>
      <c r="X25" s="153" t="s">
        <v>34</v>
      </c>
      <c r="Y25" s="127">
        <f>W25-(U24*V25)</f>
        <v>-5.355000000000004</v>
      </c>
      <c r="Z25" s="151">
        <f>Y25/(U24*V25)</f>
        <v>-5.9500000000000053E-2</v>
      </c>
      <c r="AA25" s="41"/>
      <c r="AB25" s="126">
        <f>AB22</f>
        <v>100</v>
      </c>
      <c r="AC25" s="43">
        <f>AC22</f>
        <v>1.5</v>
      </c>
      <c r="AD25" s="128">
        <f>AD22</f>
        <v>150</v>
      </c>
      <c r="AE25" s="128">
        <f>AE22</f>
        <v>105.05050505050505</v>
      </c>
      <c r="AF25" s="176">
        <f>(B25 - AE25) / AE25</f>
        <v>-0.14326923076923079</v>
      </c>
      <c r="AG25" s="43"/>
      <c r="AH25" s="126">
        <f>AH22</f>
        <v>100</v>
      </c>
      <c r="AI25" s="43">
        <f>AI22*O25</f>
        <v>0.89999999999999991</v>
      </c>
      <c r="AJ25" s="128">
        <f>AJ22*O25</f>
        <v>90</v>
      </c>
      <c r="AK25" s="128">
        <f>AH25 * (1 + E25) / (1 - G25)</f>
        <v>109.09090909090909</v>
      </c>
      <c r="AL25" s="176">
        <f>(B25 - AK25) / AK25</f>
        <v>-0.17500000000000002</v>
      </c>
      <c r="AN25" s="126">
        <f>AN22</f>
        <v>100</v>
      </c>
      <c r="AO25" s="43">
        <f>AO22</f>
        <v>1.2000000000000002</v>
      </c>
      <c r="AP25" s="128">
        <f>AP22</f>
        <v>120</v>
      </c>
      <c r="AQ25" s="128">
        <f>AQ22</f>
        <v>117.17171717171716</v>
      </c>
      <c r="AR25" s="129">
        <f>AR22</f>
        <v>-0.23189655172413787</v>
      </c>
      <c r="AT25" s="39">
        <f>AU25+AV25+AW25</f>
        <v>3.6</v>
      </c>
      <c r="AU25" s="39">
        <f>AC25</f>
        <v>1.5</v>
      </c>
      <c r="AV25" s="39">
        <f>AI25</f>
        <v>0.89999999999999991</v>
      </c>
      <c r="AW25" s="39">
        <f>AO25</f>
        <v>1.2000000000000002</v>
      </c>
    </row>
    <row r="26" spans="1:49" s="35" customFormat="1" ht="12.75" x14ac:dyDescent="0.2">
      <c r="A26" s="177"/>
      <c r="B26" s="40"/>
      <c r="C26" s="125"/>
      <c r="D26" s="37"/>
      <c r="E26" s="51"/>
      <c r="G26" s="51"/>
      <c r="H26" s="51"/>
      <c r="I26" s="51"/>
      <c r="J26" s="51"/>
      <c r="K26" s="51"/>
      <c r="L26" s="40"/>
      <c r="M26" s="40"/>
      <c r="N26" s="51"/>
      <c r="O26" s="51"/>
      <c r="P26" s="51"/>
      <c r="R26" s="47" t="str">
        <f t="shared" si="2"/>
        <v>SellA</v>
      </c>
      <c r="S26" s="47" t="str">
        <f t="shared" si="2"/>
        <v>Sell</v>
      </c>
      <c r="T26" s="132" t="s">
        <v>219</v>
      </c>
      <c r="U26" s="126">
        <f t="shared" ref="U26:W27" si="4">U23</f>
        <v>110</v>
      </c>
      <c r="V26" s="43">
        <f t="shared" si="4"/>
        <v>1.5</v>
      </c>
      <c r="W26" s="126">
        <f t="shared" si="4"/>
        <v>163.35</v>
      </c>
      <c r="X26" s="153" t="s">
        <v>34</v>
      </c>
      <c r="Y26" s="127">
        <f>Y23</f>
        <v>13.349999999999994</v>
      </c>
      <c r="Z26" s="151">
        <f>Z23</f>
        <v>8.8999999999999968E-2</v>
      </c>
      <c r="AA26" s="41"/>
      <c r="AB26" s="65"/>
      <c r="AG26" s="43"/>
      <c r="AH26" s="42"/>
      <c r="AI26" s="42"/>
      <c r="AJ26" s="42"/>
      <c r="AK26" s="42"/>
      <c r="AL26" s="43"/>
      <c r="AN26" s="126"/>
      <c r="AO26" s="42"/>
      <c r="AP26" s="42"/>
      <c r="AQ26" s="42"/>
      <c r="AR26" s="43"/>
    </row>
    <row r="27" spans="1:49" s="35" customFormat="1" ht="12.75" x14ac:dyDescent="0.2">
      <c r="A27" s="177"/>
      <c r="B27" s="40"/>
      <c r="C27" s="125"/>
      <c r="D27" s="37"/>
      <c r="E27" s="51"/>
      <c r="G27" s="51"/>
      <c r="H27" s="51"/>
      <c r="I27" s="51"/>
      <c r="J27" s="51"/>
      <c r="K27" s="51"/>
      <c r="L27" s="40"/>
      <c r="M27" s="40"/>
      <c r="N27" s="51"/>
      <c r="O27" s="51"/>
      <c r="P27" s="51"/>
      <c r="R27" s="47" t="str">
        <f t="shared" si="2"/>
        <v>BuyA</v>
      </c>
      <c r="S27" s="47" t="str">
        <f t="shared" si="2"/>
        <v>Buy</v>
      </c>
      <c r="T27" s="132" t="s">
        <v>78</v>
      </c>
      <c r="U27" s="126">
        <f t="shared" si="4"/>
        <v>100</v>
      </c>
      <c r="V27" s="43">
        <f t="shared" si="4"/>
        <v>6</v>
      </c>
      <c r="W27" s="126">
        <f t="shared" si="4"/>
        <v>600</v>
      </c>
      <c r="X27" s="171">
        <f>X24</f>
        <v>98</v>
      </c>
      <c r="Y27" s="153" t="s">
        <v>34</v>
      </c>
      <c r="Z27" s="153" t="s">
        <v>34</v>
      </c>
      <c r="AA27" s="41"/>
      <c r="AB27" s="65"/>
      <c r="AG27" s="43"/>
      <c r="AH27" s="42"/>
      <c r="AI27" s="42"/>
      <c r="AJ27" s="42"/>
      <c r="AK27" s="42"/>
      <c r="AL27" s="43"/>
      <c r="AN27" s="126"/>
      <c r="AO27" s="42"/>
      <c r="AP27" s="42"/>
      <c r="AQ27" s="42"/>
      <c r="AR27" s="43"/>
    </row>
    <row r="28" spans="1:49" ht="12.75" x14ac:dyDescent="0.2">
      <c r="A28" s="45" t="s">
        <v>223</v>
      </c>
      <c r="B28" s="52">
        <v>90</v>
      </c>
      <c r="C28" s="62">
        <v>0.02</v>
      </c>
      <c r="D28" s="124">
        <v>0.04</v>
      </c>
      <c r="E28" s="95">
        <v>0.08</v>
      </c>
      <c r="F28" s="95">
        <v>0.16</v>
      </c>
      <c r="G28" s="95">
        <v>0.01</v>
      </c>
      <c r="H28" s="95"/>
      <c r="J28" s="45" t="s">
        <v>222</v>
      </c>
      <c r="K28" s="152" t="s">
        <v>34</v>
      </c>
      <c r="L28" s="152" t="s">
        <v>34</v>
      </c>
      <c r="M28" s="152" t="s">
        <v>34</v>
      </c>
      <c r="N28" s="152" t="s">
        <v>34</v>
      </c>
      <c r="O28" s="152" t="s">
        <v>34</v>
      </c>
      <c r="P28" s="152" t="s">
        <v>34</v>
      </c>
      <c r="R28" s="45" t="str">
        <f t="shared" ref="R28:S30" si="5">R32</f>
        <v>BuyB</v>
      </c>
      <c r="S28" s="45" t="str">
        <f t="shared" si="5"/>
        <v>Buy</v>
      </c>
      <c r="T28" s="130" t="s">
        <v>214</v>
      </c>
      <c r="U28" s="122">
        <f>U32</f>
        <v>100</v>
      </c>
      <c r="V28" s="30">
        <f>V32</f>
        <v>4</v>
      </c>
      <c r="W28" s="122">
        <f>W32</f>
        <v>400</v>
      </c>
      <c r="X28" s="219">
        <f>X32</f>
        <v>98</v>
      </c>
      <c r="Y28" s="152" t="s">
        <v>34</v>
      </c>
      <c r="Z28" s="152" t="s">
        <v>34</v>
      </c>
      <c r="AA28" s="12"/>
      <c r="AB28" s="122">
        <f>AB32</f>
        <v>100</v>
      </c>
      <c r="AC28" s="30">
        <f>AC25</f>
        <v>1.5</v>
      </c>
      <c r="AD28" s="157">
        <f>AD25</f>
        <v>150</v>
      </c>
      <c r="AE28" s="123">
        <f>AB28 * (1 + D28) / (1 - G28)</f>
        <v>105.05050505050505</v>
      </c>
      <c r="AF28" s="124">
        <f>(B28 - AE28) / AE28</f>
        <v>-0.14326923076923079</v>
      </c>
      <c r="AG28" s="140"/>
      <c r="AH28" s="122">
        <f>AH32</f>
        <v>100</v>
      </c>
      <c r="AI28" s="30">
        <f>AI22</f>
        <v>1.7999999999999998</v>
      </c>
      <c r="AJ28" s="157">
        <f>AJ22</f>
        <v>180</v>
      </c>
      <c r="AK28" s="123">
        <f>AH28 * (1 + E28) / (1 - G28)</f>
        <v>109.09090909090909</v>
      </c>
      <c r="AL28" s="124">
        <f>(B28 - AK28) / AK28</f>
        <v>-0.17500000000000002</v>
      </c>
      <c r="AN28" s="122">
        <f>AN32</f>
        <v>100</v>
      </c>
      <c r="AO28" s="30">
        <f>AO25</f>
        <v>1.2000000000000002</v>
      </c>
      <c r="AP28" s="157">
        <f>AP25</f>
        <v>120</v>
      </c>
      <c r="AQ28" s="123">
        <f>AN28 * (1 + F28) / (1 - G28)</f>
        <v>117.17171717171716</v>
      </c>
      <c r="AR28" s="124">
        <f>(B28 - AQ28) / AQ28</f>
        <v>-0.23189655172413787</v>
      </c>
      <c r="AT28" s="32">
        <f>AU28+AV28+AW28</f>
        <v>4.5</v>
      </c>
      <c r="AU28" s="32">
        <f>AC28</f>
        <v>1.5</v>
      </c>
      <c r="AV28" s="32">
        <f>AI28</f>
        <v>1.7999999999999998</v>
      </c>
      <c r="AW28" s="32">
        <f>AO28</f>
        <v>1.2000000000000002</v>
      </c>
    </row>
    <row r="29" spans="1:49" ht="12.75" x14ac:dyDescent="0.2">
      <c r="A29" s="45"/>
      <c r="B29" s="52"/>
      <c r="C29" s="62"/>
      <c r="D29" s="124"/>
      <c r="E29" s="95"/>
      <c r="F29" s="95"/>
      <c r="G29" s="95"/>
      <c r="H29" s="95"/>
      <c r="J29" s="146"/>
      <c r="K29" s="146"/>
      <c r="L29" s="147"/>
      <c r="M29" s="147"/>
      <c r="N29" s="148"/>
      <c r="O29" s="149"/>
      <c r="P29" s="149"/>
      <c r="R29" s="146" t="str">
        <f t="shared" si="5"/>
        <v>SellB</v>
      </c>
      <c r="S29" s="146" t="str">
        <f t="shared" si="5"/>
        <v>Sell</v>
      </c>
      <c r="T29" s="215" t="s">
        <v>211</v>
      </c>
      <c r="U29" s="162">
        <f t="shared" ref="U29:W30" si="6">U33</f>
        <v>95</v>
      </c>
      <c r="V29" s="163">
        <f t="shared" si="6"/>
        <v>0.89999999999999991</v>
      </c>
      <c r="W29" s="162">
        <f t="shared" si="6"/>
        <v>84.644999999999982</v>
      </c>
      <c r="X29" s="152" t="s">
        <v>34</v>
      </c>
      <c r="Y29" s="220">
        <f>Y33</f>
        <v>-5.355000000000004</v>
      </c>
      <c r="Z29" s="221">
        <f>Z33</f>
        <v>-5.9500000000000053E-2</v>
      </c>
      <c r="AA29" s="12"/>
      <c r="AB29" s="122"/>
      <c r="AC29" s="30"/>
      <c r="AD29" s="157"/>
      <c r="AE29" s="157"/>
      <c r="AF29" s="124"/>
      <c r="AG29" s="140"/>
      <c r="AH29" s="122"/>
      <c r="AI29" s="30"/>
      <c r="AJ29" s="157"/>
      <c r="AK29" s="157"/>
      <c r="AL29" s="124"/>
      <c r="AN29" s="158"/>
      <c r="AO29" s="159"/>
      <c r="AP29" s="159"/>
      <c r="AQ29" s="159"/>
      <c r="AR29" s="159"/>
      <c r="AT29" s="32"/>
      <c r="AU29" s="32"/>
      <c r="AV29" s="32"/>
      <c r="AW29" s="32"/>
    </row>
    <row r="30" spans="1:49" ht="12.75" x14ac:dyDescent="0.2">
      <c r="A30" s="45"/>
      <c r="B30" s="52"/>
      <c r="C30" s="62"/>
      <c r="D30" s="124"/>
      <c r="E30" s="95"/>
      <c r="F30" s="95"/>
      <c r="G30" s="95"/>
      <c r="H30" s="95"/>
      <c r="J30" s="146"/>
      <c r="K30" s="146"/>
      <c r="L30" s="147"/>
      <c r="M30" s="147"/>
      <c r="N30" s="148"/>
      <c r="O30" s="149"/>
      <c r="P30" s="149"/>
      <c r="R30" s="45" t="str">
        <f t="shared" si="5"/>
        <v>SellA</v>
      </c>
      <c r="S30" s="45" t="str">
        <f t="shared" si="5"/>
        <v>Sell</v>
      </c>
      <c r="T30" s="130" t="s">
        <v>219</v>
      </c>
      <c r="U30" s="122">
        <f t="shared" si="6"/>
        <v>110</v>
      </c>
      <c r="V30" s="30">
        <f t="shared" si="6"/>
        <v>1.5</v>
      </c>
      <c r="W30" s="122">
        <f t="shared" si="6"/>
        <v>163.35</v>
      </c>
      <c r="X30" s="152" t="s">
        <v>34</v>
      </c>
      <c r="Y30" s="158">
        <f>Y34</f>
        <v>13.349999999999994</v>
      </c>
      <c r="Z30" s="211">
        <f>Z34</f>
        <v>8.8999999999999968E-2</v>
      </c>
      <c r="AA30" s="12"/>
      <c r="AB30" s="122"/>
      <c r="AC30" s="30"/>
      <c r="AD30" s="157"/>
      <c r="AE30" s="157"/>
      <c r="AF30" s="124"/>
      <c r="AG30" s="140"/>
      <c r="AH30" s="122"/>
      <c r="AI30" s="30"/>
      <c r="AJ30" s="157"/>
      <c r="AK30" s="157"/>
      <c r="AL30" s="124"/>
      <c r="AN30" s="158"/>
      <c r="AO30" s="159"/>
      <c r="AP30" s="159"/>
      <c r="AQ30" s="159"/>
      <c r="AR30" s="159"/>
      <c r="AT30" s="32"/>
      <c r="AU30" s="32"/>
      <c r="AV30" s="32"/>
      <c r="AW30" s="32"/>
    </row>
    <row r="31" spans="1:49" ht="12.75" x14ac:dyDescent="0.2">
      <c r="A31" s="45"/>
      <c r="B31" s="52"/>
      <c r="C31" s="62"/>
      <c r="D31" s="124"/>
      <c r="E31" s="95"/>
      <c r="F31" s="95"/>
      <c r="G31" s="95"/>
      <c r="H31" s="95"/>
      <c r="J31" s="146"/>
      <c r="K31" s="146"/>
      <c r="L31" s="147"/>
      <c r="M31" s="147"/>
      <c r="N31" s="148"/>
      <c r="O31" s="149"/>
      <c r="P31" s="149"/>
      <c r="R31" s="45" t="str">
        <f>R27</f>
        <v>BuyA</v>
      </c>
      <c r="S31" s="45" t="str">
        <f>S27</f>
        <v>Buy</v>
      </c>
      <c r="T31" s="130" t="s">
        <v>78</v>
      </c>
      <c r="U31" s="122">
        <f>U27</f>
        <v>100</v>
      </c>
      <c r="V31" s="30">
        <f>V27</f>
        <v>6</v>
      </c>
      <c r="W31" s="122">
        <f>W27</f>
        <v>600</v>
      </c>
      <c r="X31" s="219">
        <f>X27</f>
        <v>98</v>
      </c>
      <c r="Y31" s="152" t="s">
        <v>34</v>
      </c>
      <c r="Z31" s="152" t="s">
        <v>34</v>
      </c>
      <c r="AA31" s="12"/>
      <c r="AB31" s="122"/>
      <c r="AC31" s="30"/>
      <c r="AD31" s="157"/>
      <c r="AE31" s="157"/>
      <c r="AF31" s="124"/>
      <c r="AG31" s="140"/>
      <c r="AH31" s="122"/>
      <c r="AI31" s="30"/>
      <c r="AJ31" s="157"/>
      <c r="AK31" s="157"/>
      <c r="AL31" s="124"/>
      <c r="AN31" s="158"/>
      <c r="AO31" s="159"/>
      <c r="AP31" s="159"/>
      <c r="AQ31" s="159"/>
      <c r="AR31" s="159"/>
      <c r="AT31" s="32"/>
      <c r="AU31" s="32"/>
      <c r="AV31" s="32"/>
      <c r="AW31" s="32"/>
    </row>
    <row r="32" spans="1:49" ht="12.75" x14ac:dyDescent="0.2">
      <c r="A32" s="177" t="s">
        <v>216</v>
      </c>
      <c r="B32" s="40">
        <v>100</v>
      </c>
      <c r="C32" s="55">
        <v>0.02</v>
      </c>
      <c r="D32" s="129">
        <v>0.04</v>
      </c>
      <c r="E32" s="125">
        <v>0.08</v>
      </c>
      <c r="F32" s="125">
        <v>0.16</v>
      </c>
      <c r="G32" s="125">
        <v>0.01</v>
      </c>
      <c r="H32" s="125"/>
      <c r="I32" s="35"/>
      <c r="J32" s="47" t="s">
        <v>75</v>
      </c>
      <c r="K32" s="47" t="s">
        <v>214</v>
      </c>
      <c r="L32" s="40">
        <v>100</v>
      </c>
      <c r="M32" s="40">
        <v>400</v>
      </c>
      <c r="N32" s="129">
        <v>0.4</v>
      </c>
      <c r="O32" s="125">
        <v>0.4</v>
      </c>
      <c r="P32" s="125">
        <v>0.2</v>
      </c>
      <c r="Q32" s="35"/>
      <c r="R32" s="222" t="s">
        <v>216</v>
      </c>
      <c r="S32" s="222" t="s">
        <v>75</v>
      </c>
      <c r="T32" s="222" t="s">
        <v>214</v>
      </c>
      <c r="U32" s="135">
        <f>L32</f>
        <v>100</v>
      </c>
      <c r="V32" s="136">
        <f>W32/U32</f>
        <v>4</v>
      </c>
      <c r="W32" s="135">
        <f>M32</f>
        <v>400</v>
      </c>
      <c r="X32" s="135">
        <f>U32 * (1 - ABS(C32))</f>
        <v>98</v>
      </c>
      <c r="Y32" s="153" t="s">
        <v>34</v>
      </c>
      <c r="Z32" s="153" t="s">
        <v>34</v>
      </c>
      <c r="AA32" s="41"/>
      <c r="AB32" s="142">
        <f>AB22</f>
        <v>100</v>
      </c>
      <c r="AC32" s="141">
        <f>AC28+V32*N32</f>
        <v>3.1</v>
      </c>
      <c r="AD32" s="142">
        <f>AD28+(W32*N32)</f>
        <v>310</v>
      </c>
      <c r="AE32" s="142">
        <f>AB32 * (1 + D32) / (1 - G32)</f>
        <v>105.05050505050505</v>
      </c>
      <c r="AF32" s="143">
        <f>(B32 - AE32) / AE32</f>
        <v>-4.8076923076923087E-2</v>
      </c>
      <c r="AG32" s="141"/>
      <c r="AH32" s="142">
        <f>U32</f>
        <v>100</v>
      </c>
      <c r="AI32" s="141">
        <f>AI28+(V32*O32)</f>
        <v>3.4</v>
      </c>
      <c r="AJ32" s="142">
        <f>AJ28+(W32*N32)</f>
        <v>340</v>
      </c>
      <c r="AK32" s="142">
        <f>AH32 * (1 + E32) / (1 - G32)</f>
        <v>109.09090909090909</v>
      </c>
      <c r="AL32" s="143">
        <f>(B32 - AK32) / AK32</f>
        <v>-8.3333333333333356E-2</v>
      </c>
      <c r="AM32" s="47"/>
      <c r="AN32" s="142">
        <f>U32</f>
        <v>100</v>
      </c>
      <c r="AO32" s="141">
        <f>AO25+(V32*P32)</f>
        <v>2</v>
      </c>
      <c r="AP32" s="142">
        <f>AP25+(W32*P32)</f>
        <v>200</v>
      </c>
      <c r="AQ32" s="142">
        <f>AN32 * (1 + F32) / (1 - G32)</f>
        <v>117.17171717171716</v>
      </c>
      <c r="AR32" s="129">
        <f>(B32 - AQ32) / AQ32</f>
        <v>-0.14655172413793097</v>
      </c>
      <c r="AS32" s="47"/>
      <c r="AT32" s="145">
        <f>AU32+AV32+AW32</f>
        <v>8.5</v>
      </c>
      <c r="AU32" s="145">
        <f>AC32</f>
        <v>3.1</v>
      </c>
      <c r="AV32" s="145">
        <f>AI32</f>
        <v>3.4</v>
      </c>
      <c r="AW32" s="145">
        <f>AO32</f>
        <v>2</v>
      </c>
    </row>
    <row r="33" spans="1:54" ht="12.75" x14ac:dyDescent="0.2">
      <c r="A33" s="47"/>
      <c r="B33" s="40"/>
      <c r="C33" s="125"/>
      <c r="D33" s="129"/>
      <c r="E33" s="125"/>
      <c r="F33" s="125"/>
      <c r="G33" s="125"/>
      <c r="H33" s="125"/>
      <c r="I33" s="35"/>
      <c r="J33" s="35"/>
      <c r="K33" s="35"/>
      <c r="L33" s="40"/>
      <c r="M33" s="40"/>
      <c r="N33" s="129"/>
      <c r="O33" s="125"/>
      <c r="P33" s="125"/>
      <c r="Q33" s="35"/>
      <c r="R33" s="222" t="s">
        <v>221</v>
      </c>
      <c r="S33" s="222" t="s">
        <v>73</v>
      </c>
      <c r="T33" s="222" t="s">
        <v>211</v>
      </c>
      <c r="U33" s="135">
        <f>U25</f>
        <v>95</v>
      </c>
      <c r="V33" s="136">
        <f>V25</f>
        <v>0.89999999999999991</v>
      </c>
      <c r="W33" s="135">
        <f>W25</f>
        <v>84.644999999999982</v>
      </c>
      <c r="X33" s="223" t="str">
        <f>X22</f>
        <v>-</v>
      </c>
      <c r="Y33" s="153">
        <f>Y25</f>
        <v>-5.355000000000004</v>
      </c>
      <c r="Z33" s="199">
        <f>Z25</f>
        <v>-5.9500000000000053E-2</v>
      </c>
      <c r="AA33" s="41"/>
      <c r="AB33" s="142"/>
      <c r="AC33" s="141"/>
      <c r="AD33" s="142"/>
      <c r="AE33" s="128"/>
      <c r="AF33" s="129"/>
      <c r="AG33" s="141"/>
      <c r="AH33" s="142"/>
      <c r="AI33" s="141"/>
      <c r="AJ33" s="142"/>
      <c r="AK33" s="142"/>
      <c r="AL33" s="129"/>
      <c r="AM33" s="47"/>
      <c r="AN33" s="127"/>
      <c r="AO33" s="144"/>
      <c r="AP33" s="144"/>
      <c r="AQ33" s="144"/>
      <c r="AR33" s="144"/>
      <c r="AS33" s="47"/>
      <c r="AT33" s="47"/>
      <c r="AU33" s="145"/>
      <c r="AV33" s="145"/>
      <c r="AW33" s="145"/>
    </row>
    <row r="34" spans="1:54" ht="12.75" x14ac:dyDescent="0.2">
      <c r="A34" s="47"/>
      <c r="B34" s="40"/>
      <c r="C34" s="125"/>
      <c r="D34" s="129"/>
      <c r="E34" s="125"/>
      <c r="F34" s="125"/>
      <c r="G34" s="125"/>
      <c r="H34" s="125"/>
      <c r="I34" s="35"/>
      <c r="J34" s="35"/>
      <c r="K34" s="35"/>
      <c r="L34" s="40"/>
      <c r="M34" s="40"/>
      <c r="N34" s="129"/>
      <c r="O34" s="125"/>
      <c r="P34" s="125"/>
      <c r="Q34" s="35"/>
      <c r="R34" s="222" t="s">
        <v>218</v>
      </c>
      <c r="S34" s="222" t="s">
        <v>73</v>
      </c>
      <c r="T34" s="203" t="str">
        <f t="shared" ref="T34:W35" si="7">T23</f>
        <v>Profit Target</v>
      </c>
      <c r="U34" s="135">
        <f t="shared" si="7"/>
        <v>110</v>
      </c>
      <c r="V34" s="136">
        <f t="shared" si="7"/>
        <v>1.5</v>
      </c>
      <c r="W34" s="135">
        <f t="shared" si="7"/>
        <v>163.35</v>
      </c>
      <c r="X34" s="223" t="str">
        <f>X23</f>
        <v>-</v>
      </c>
      <c r="Y34" s="153">
        <f>Y23</f>
        <v>13.349999999999994</v>
      </c>
      <c r="Z34" s="199">
        <f>Z23</f>
        <v>8.8999999999999968E-2</v>
      </c>
      <c r="AA34" s="41"/>
      <c r="AB34" s="142"/>
      <c r="AC34" s="141"/>
      <c r="AD34" s="142"/>
      <c r="AE34" s="128"/>
      <c r="AF34" s="129"/>
      <c r="AG34" s="141"/>
      <c r="AH34" s="142"/>
      <c r="AI34" s="141"/>
      <c r="AJ34" s="142"/>
      <c r="AK34" s="142"/>
      <c r="AL34" s="55"/>
      <c r="AM34" s="47"/>
      <c r="AN34" s="142"/>
      <c r="AO34" s="141"/>
      <c r="AP34" s="142"/>
      <c r="AQ34" s="142"/>
      <c r="AR34" s="129"/>
      <c r="AS34" s="47"/>
      <c r="AT34" s="47"/>
      <c r="AU34" s="145"/>
      <c r="AV34" s="145"/>
      <c r="AW34" s="145"/>
    </row>
    <row r="35" spans="1:54" ht="12.75" x14ac:dyDescent="0.2">
      <c r="A35" s="47"/>
      <c r="B35" s="40"/>
      <c r="C35" s="55"/>
      <c r="D35" s="129"/>
      <c r="E35" s="125"/>
      <c r="F35" s="125"/>
      <c r="G35" s="125"/>
      <c r="H35" s="125"/>
      <c r="I35" s="35"/>
      <c r="J35" s="166"/>
      <c r="K35" s="166"/>
      <c r="L35" s="167"/>
      <c r="M35" s="167"/>
      <c r="N35" s="168"/>
      <c r="O35" s="169"/>
      <c r="P35" s="169"/>
      <c r="Q35" s="35"/>
      <c r="R35" s="222" t="s">
        <v>215</v>
      </c>
      <c r="S35" s="222" t="s">
        <v>75</v>
      </c>
      <c r="T35" s="203" t="str">
        <f t="shared" si="7"/>
        <v>Initial</v>
      </c>
      <c r="U35" s="135">
        <f t="shared" si="7"/>
        <v>100</v>
      </c>
      <c r="V35" s="136">
        <f t="shared" si="7"/>
        <v>6</v>
      </c>
      <c r="W35" s="135">
        <f t="shared" si="7"/>
        <v>600</v>
      </c>
      <c r="X35" s="135">
        <f>X24</f>
        <v>98</v>
      </c>
      <c r="Y35" s="153" t="str">
        <f>Y24</f>
        <v>-</v>
      </c>
      <c r="Z35" s="153" t="str">
        <f>Z24</f>
        <v>-</v>
      </c>
      <c r="AA35" s="41"/>
      <c r="AB35" s="126"/>
      <c r="AC35" s="43"/>
      <c r="AD35" s="128"/>
      <c r="AE35" s="128"/>
      <c r="AF35" s="129"/>
      <c r="AG35" s="170"/>
      <c r="AH35" s="126"/>
      <c r="AI35" s="43"/>
      <c r="AJ35" s="128"/>
      <c r="AK35" s="128"/>
      <c r="AL35" s="129"/>
      <c r="AM35" s="35"/>
      <c r="AN35" s="127"/>
      <c r="AO35" s="144"/>
      <c r="AP35" s="144"/>
      <c r="AQ35" s="144"/>
      <c r="AR35" s="144"/>
      <c r="AS35" s="35"/>
      <c r="AT35" s="39"/>
      <c r="AU35" s="39"/>
      <c r="AV35" s="39"/>
      <c r="AW35" s="39"/>
    </row>
    <row r="36" spans="1:54" ht="12.75" x14ac:dyDescent="0.2">
      <c r="A36" s="150"/>
      <c r="B36" s="33"/>
      <c r="C36" s="67"/>
      <c r="D36" s="124"/>
      <c r="E36" s="95"/>
      <c r="F36" s="95"/>
      <c r="G36" s="95"/>
      <c r="H36" s="95"/>
      <c r="L36" s="93"/>
      <c r="M36" s="93"/>
      <c r="N36" s="124"/>
      <c r="O36" s="95"/>
      <c r="P36" s="95"/>
      <c r="R36" s="12"/>
      <c r="S36" s="12"/>
      <c r="T36" s="12"/>
      <c r="U36" s="137"/>
      <c r="V36" s="138"/>
      <c r="W36" s="137"/>
      <c r="X36" s="137"/>
      <c r="Y36" s="12"/>
      <c r="Z36" s="12"/>
      <c r="AA36" s="12"/>
      <c r="AB36" s="139"/>
      <c r="AC36" s="139"/>
      <c r="AD36" s="139"/>
      <c r="AE36" s="139"/>
      <c r="AF36" s="140"/>
      <c r="AG36" s="140"/>
      <c r="AH36" s="139"/>
      <c r="AI36" s="139"/>
      <c r="AJ36" s="139"/>
      <c r="AK36" s="139"/>
      <c r="AL36" s="140"/>
      <c r="AN36" s="139"/>
      <c r="AO36" s="139"/>
      <c r="AP36" s="139"/>
      <c r="AQ36" s="139"/>
      <c r="AR36" s="140"/>
    </row>
    <row r="37" spans="1:54" ht="25.5" x14ac:dyDescent="0.2">
      <c r="A37" s="195" t="s">
        <v>233</v>
      </c>
      <c r="B37" s="33"/>
      <c r="C37" s="67"/>
      <c r="D37" s="124"/>
      <c r="E37" s="95"/>
      <c r="F37" s="95"/>
      <c r="G37" s="95"/>
      <c r="H37" s="95"/>
      <c r="L37" s="93"/>
      <c r="M37" s="93"/>
      <c r="N37" s="124"/>
      <c r="O37" s="95"/>
      <c r="P37" s="95"/>
      <c r="R37" s="12"/>
      <c r="S37" s="12"/>
      <c r="T37" s="12"/>
      <c r="U37" s="137"/>
      <c r="V37" s="138"/>
      <c r="W37" s="137"/>
      <c r="X37" s="137"/>
      <c r="Y37" s="12"/>
      <c r="Z37" s="12"/>
      <c r="AA37" s="12"/>
      <c r="AB37" s="139"/>
      <c r="AC37" s="139"/>
      <c r="AD37" s="139"/>
      <c r="AE37" s="139"/>
      <c r="AF37" s="140"/>
      <c r="AG37" s="140"/>
      <c r="AH37" s="139"/>
      <c r="AI37" s="139"/>
      <c r="AJ37" s="139"/>
      <c r="AK37" s="139"/>
      <c r="AL37" s="140"/>
      <c r="AN37" s="139"/>
      <c r="AO37" s="139"/>
      <c r="AP37" s="139"/>
      <c r="AQ37" s="139"/>
      <c r="AR37" s="140"/>
    </row>
    <row r="38" spans="1:54" ht="12.75" x14ac:dyDescent="0.2">
      <c r="B38" s="45" t="s">
        <v>204</v>
      </c>
      <c r="C38" s="109"/>
      <c r="J38" s="45" t="s">
        <v>202</v>
      </c>
      <c r="R38" s="45" t="s">
        <v>226</v>
      </c>
      <c r="T38" s="12"/>
      <c r="U38" s="12"/>
      <c r="V38" s="12"/>
      <c r="W38" s="12"/>
      <c r="X38" s="12"/>
      <c r="Y38" s="12"/>
      <c r="Z38" s="12"/>
      <c r="AA38" s="12"/>
      <c r="AB38" s="130" t="s">
        <v>205</v>
      </c>
      <c r="AC38" s="46"/>
      <c r="AD38" s="46"/>
      <c r="AE38" s="46"/>
      <c r="AF38" s="46"/>
      <c r="AG38" s="46"/>
      <c r="AH38" s="130" t="s">
        <v>207</v>
      </c>
      <c r="AI38" s="46"/>
      <c r="AJ38" s="46"/>
      <c r="AK38" s="46"/>
      <c r="AL38" s="46"/>
      <c r="AM38" s="45"/>
      <c r="AN38" s="130" t="s">
        <v>208</v>
      </c>
      <c r="AO38" s="12"/>
      <c r="AP38" s="12"/>
      <c r="AQ38" s="12"/>
      <c r="AR38" s="12"/>
      <c r="AT38" s="130" t="s">
        <v>206</v>
      </c>
    </row>
    <row r="39" spans="1:54" ht="12.75" x14ac:dyDescent="0.2">
      <c r="A39" s="150"/>
      <c r="B39" s="57" t="s">
        <v>209</v>
      </c>
      <c r="C39" s="28" t="s">
        <v>190</v>
      </c>
      <c r="D39" s="57" t="s">
        <v>191</v>
      </c>
      <c r="E39" s="28" t="s">
        <v>192</v>
      </c>
      <c r="F39" s="28" t="s">
        <v>193</v>
      </c>
      <c r="G39" s="57" t="s">
        <v>112</v>
      </c>
      <c r="H39" s="57"/>
      <c r="I39" s="101"/>
      <c r="J39" s="28" t="s">
        <v>76</v>
      </c>
      <c r="K39" s="28" t="s">
        <v>4</v>
      </c>
      <c r="L39" s="57" t="s">
        <v>0</v>
      </c>
      <c r="M39" s="57" t="s">
        <v>1</v>
      </c>
      <c r="N39" s="28" t="s">
        <v>191</v>
      </c>
      <c r="O39" s="28" t="s">
        <v>192</v>
      </c>
      <c r="P39" s="28" t="s">
        <v>193</v>
      </c>
      <c r="R39" s="28" t="s">
        <v>232</v>
      </c>
      <c r="S39" s="28" t="s">
        <v>0</v>
      </c>
      <c r="T39" s="28" t="s">
        <v>229</v>
      </c>
      <c r="U39" s="57" t="s">
        <v>230</v>
      </c>
      <c r="V39" s="28" t="s">
        <v>228</v>
      </c>
      <c r="W39" s="57" t="s">
        <v>231</v>
      </c>
      <c r="X39" s="57"/>
      <c r="Y39" s="57"/>
      <c r="Z39" s="28"/>
      <c r="AA39" s="12"/>
      <c r="AB39" s="28" t="s">
        <v>0</v>
      </c>
      <c r="AC39" s="28" t="s">
        <v>196</v>
      </c>
      <c r="AD39" s="57" t="s">
        <v>1</v>
      </c>
      <c r="AE39" s="57" t="s">
        <v>197</v>
      </c>
      <c r="AF39" s="57" t="s">
        <v>231</v>
      </c>
      <c r="AG39" s="60"/>
      <c r="AH39" s="28" t="s">
        <v>0</v>
      </c>
      <c r="AI39" s="28" t="s">
        <v>196</v>
      </c>
      <c r="AJ39" s="57" t="s">
        <v>1</v>
      </c>
      <c r="AK39" s="57" t="s">
        <v>197</v>
      </c>
      <c r="AL39" s="57" t="s">
        <v>231</v>
      </c>
      <c r="AN39" s="28" t="s">
        <v>0</v>
      </c>
      <c r="AO39" s="28" t="s">
        <v>196</v>
      </c>
      <c r="AP39" s="57" t="s">
        <v>1</v>
      </c>
      <c r="AQ39" s="57" t="s">
        <v>197</v>
      </c>
      <c r="AR39" s="57" t="s">
        <v>231</v>
      </c>
      <c r="AT39" s="57" t="s">
        <v>199</v>
      </c>
      <c r="AU39" s="28" t="s">
        <v>191</v>
      </c>
      <c r="AV39" s="28" t="s">
        <v>192</v>
      </c>
      <c r="AW39" s="28" t="s">
        <v>193</v>
      </c>
    </row>
    <row r="40" spans="1:54" ht="12.75" x14ac:dyDescent="0.2">
      <c r="A40" s="150" t="s">
        <v>215</v>
      </c>
      <c r="B40" s="52">
        <v>100</v>
      </c>
      <c r="C40" s="54">
        <v>0.02</v>
      </c>
      <c r="D40" s="124">
        <v>0.04</v>
      </c>
      <c r="E40" s="95">
        <v>0.08</v>
      </c>
      <c r="F40" s="95">
        <v>0.16</v>
      </c>
      <c r="G40" s="95">
        <v>5.0000000000000001E-3</v>
      </c>
      <c r="H40" s="95"/>
      <c r="I40" s="95"/>
      <c r="J40" s="133" t="s">
        <v>75</v>
      </c>
      <c r="K40" s="133" t="s">
        <v>78</v>
      </c>
      <c r="L40" s="52">
        <v>100</v>
      </c>
      <c r="M40" s="52">
        <v>600</v>
      </c>
      <c r="N40" s="124">
        <v>0.5</v>
      </c>
      <c r="O40" s="95">
        <v>0.3</v>
      </c>
      <c r="P40" s="95">
        <v>0.2</v>
      </c>
      <c r="R40" s="45" t="s">
        <v>227</v>
      </c>
      <c r="S40" s="180">
        <f>L40</f>
        <v>100</v>
      </c>
      <c r="T40" s="152" t="s">
        <v>34</v>
      </c>
      <c r="U40" s="152" t="s">
        <v>34</v>
      </c>
      <c r="V40" s="181">
        <v>0</v>
      </c>
      <c r="W40" s="190">
        <f>AF40</f>
        <v>-4.3269230769230817E-2</v>
      </c>
      <c r="X40" s="122"/>
      <c r="Y40" s="152"/>
      <c r="Z40" s="152"/>
      <c r="AA40" s="12"/>
      <c r="AB40" s="122">
        <f>L40</f>
        <v>100</v>
      </c>
      <c r="AC40" s="30">
        <f>M40/L40*N40</f>
        <v>3</v>
      </c>
      <c r="AD40" s="123">
        <f>M40*N40</f>
        <v>300</v>
      </c>
      <c r="AE40" s="123">
        <f>AB40 * (1 + D40) / (1 - G40)</f>
        <v>104.52261306532664</v>
      </c>
      <c r="AF40" s="124">
        <f>(B40 - AE40) / AE40</f>
        <v>-4.3269230769230817E-2</v>
      </c>
      <c r="AG40" s="30"/>
      <c r="AH40" s="122">
        <f>S40</f>
        <v>100</v>
      </c>
      <c r="AI40" s="30">
        <f>M40/L40*O40</f>
        <v>1.7999999999999998</v>
      </c>
      <c r="AJ40" s="123">
        <f>M40*N40</f>
        <v>300</v>
      </c>
      <c r="AK40" s="123">
        <f>AH40 * (1 + E40) / (1 - G40)</f>
        <v>108.5427135678392</v>
      </c>
      <c r="AL40" s="124">
        <f>(B40 - AK40) / AK40</f>
        <v>-7.8703703703703748E-2</v>
      </c>
      <c r="AN40" s="122">
        <f>L40</f>
        <v>100</v>
      </c>
      <c r="AO40" s="30">
        <f>M40/L40*P40</f>
        <v>1.2000000000000002</v>
      </c>
      <c r="AP40" s="123">
        <f>M40*P40</f>
        <v>120</v>
      </c>
      <c r="AQ40" s="123">
        <f>AN40 * (1 + F40) / (1 - G40)</f>
        <v>116.58291457286431</v>
      </c>
      <c r="AR40" s="124">
        <f>(B40 - AQ40) / AQ40</f>
        <v>-0.14224137931034475</v>
      </c>
      <c r="AT40" s="32">
        <f>AC40+AI40+AO40</f>
        <v>6</v>
      </c>
      <c r="AU40" s="32">
        <f>AC40</f>
        <v>3</v>
      </c>
      <c r="AV40" s="32">
        <f>AI40</f>
        <v>1.7999999999999998</v>
      </c>
      <c r="AW40" s="32">
        <f>AO40</f>
        <v>1.2000000000000002</v>
      </c>
    </row>
    <row r="41" spans="1:54" ht="12.75" x14ac:dyDescent="0.2">
      <c r="A41" s="182" t="s">
        <v>236</v>
      </c>
      <c r="B41" s="40">
        <v>104</v>
      </c>
      <c r="C41" s="55">
        <v>0.02</v>
      </c>
      <c r="D41" s="129">
        <v>0.04</v>
      </c>
      <c r="E41" s="125">
        <v>0.08</v>
      </c>
      <c r="F41" s="125">
        <v>0.16</v>
      </c>
      <c r="G41" s="125">
        <v>5.0000000000000001E-3</v>
      </c>
      <c r="H41" s="125"/>
      <c r="I41" s="125"/>
      <c r="J41" s="134"/>
      <c r="K41" s="134"/>
      <c r="L41" s="40"/>
      <c r="M41" s="40"/>
      <c r="N41" s="129"/>
      <c r="O41" s="125"/>
      <c r="P41" s="125"/>
      <c r="Q41" s="35"/>
      <c r="R41" s="47" t="s">
        <v>227</v>
      </c>
      <c r="S41" s="183">
        <f>B41</f>
        <v>104</v>
      </c>
      <c r="T41" s="153" t="s">
        <v>34</v>
      </c>
      <c r="U41" s="153" t="s">
        <v>34</v>
      </c>
      <c r="V41" s="184">
        <v>0</v>
      </c>
      <c r="W41" s="189">
        <f>AF41</f>
        <v>-5.0000000000000469E-3</v>
      </c>
      <c r="X41" s="126"/>
      <c r="Y41" s="153"/>
      <c r="Z41" s="153"/>
      <c r="AA41" s="41"/>
      <c r="AB41" s="126">
        <f t="shared" ref="AB41:AD44" si="8">AB40</f>
        <v>100</v>
      </c>
      <c r="AC41" s="43">
        <f t="shared" si="8"/>
        <v>3</v>
      </c>
      <c r="AD41" s="128">
        <f t="shared" si="8"/>
        <v>300</v>
      </c>
      <c r="AE41" s="128">
        <f>AB41 * (1 + D41) / (1 - G41)</f>
        <v>104.52261306532664</v>
      </c>
      <c r="AF41" s="188">
        <f>(B41 - AE41) / AE41</f>
        <v>-5.0000000000000469E-3</v>
      </c>
      <c r="AG41" s="43"/>
      <c r="AH41" s="126">
        <f t="shared" ref="AH41:AJ44" si="9">AH40</f>
        <v>100</v>
      </c>
      <c r="AI41" s="43">
        <f t="shared" si="9"/>
        <v>1.7999999999999998</v>
      </c>
      <c r="AJ41" s="128">
        <f t="shared" si="9"/>
        <v>300</v>
      </c>
      <c r="AK41" s="128">
        <f>AH41 * (1 + E41) / (1 - G41)</f>
        <v>108.5427135678392</v>
      </c>
      <c r="AL41" s="129">
        <f>(B41 - AK41) / AK41</f>
        <v>-4.185185185185189E-2</v>
      </c>
      <c r="AM41" s="35"/>
      <c r="AN41" s="126">
        <f t="shared" ref="AN41:AP44" si="10">AN40</f>
        <v>100</v>
      </c>
      <c r="AO41" s="43">
        <f t="shared" si="10"/>
        <v>1.2000000000000002</v>
      </c>
      <c r="AP41" s="128">
        <f t="shared" si="10"/>
        <v>120</v>
      </c>
      <c r="AQ41" s="128">
        <f>AN41 * (1 + F41) / (1 - G41)</f>
        <v>116.58291457286431</v>
      </c>
      <c r="AR41" s="129">
        <f>(B41 - AQ41) / AQ41</f>
        <v>-0.10793103448275854</v>
      </c>
      <c r="AS41" s="35"/>
      <c r="AT41" s="39">
        <f>AC41+AI41+AO41</f>
        <v>6</v>
      </c>
      <c r="AU41" s="39">
        <f>AC41</f>
        <v>3</v>
      </c>
      <c r="AV41" s="39">
        <f>AI41</f>
        <v>1.7999999999999998</v>
      </c>
      <c r="AW41" s="39">
        <f>AO41</f>
        <v>1.2000000000000002</v>
      </c>
    </row>
    <row r="42" spans="1:54" ht="12.75" x14ac:dyDescent="0.2">
      <c r="A42" s="150" t="s">
        <v>237</v>
      </c>
      <c r="B42" s="52">
        <v>104.7</v>
      </c>
      <c r="C42" s="54">
        <v>0.02</v>
      </c>
      <c r="D42" s="124">
        <v>0.04</v>
      </c>
      <c r="E42" s="95">
        <v>0.08</v>
      </c>
      <c r="F42" s="95">
        <v>0.16</v>
      </c>
      <c r="G42" s="95">
        <v>5.0000000000000001E-3</v>
      </c>
      <c r="H42" s="95"/>
      <c r="I42" s="95"/>
      <c r="J42" s="133"/>
      <c r="K42" s="133"/>
      <c r="L42" s="52"/>
      <c r="M42" s="52"/>
      <c r="N42" s="124"/>
      <c r="O42" s="95"/>
      <c r="P42" s="95"/>
      <c r="R42" s="45" t="s">
        <v>227</v>
      </c>
      <c r="S42" s="180">
        <f>B42</f>
        <v>104.7</v>
      </c>
      <c r="T42" s="152" t="s">
        <v>34</v>
      </c>
      <c r="U42" s="152" t="s">
        <v>34</v>
      </c>
      <c r="V42" s="181">
        <v>0</v>
      </c>
      <c r="W42" s="185">
        <f>AF42</f>
        <v>1.6971153846153646E-3</v>
      </c>
      <c r="X42" s="122"/>
      <c r="Y42" s="152"/>
      <c r="Z42" s="152"/>
      <c r="AA42" s="12"/>
      <c r="AB42" s="122">
        <f t="shared" si="8"/>
        <v>100</v>
      </c>
      <c r="AC42" s="30">
        <f t="shared" si="8"/>
        <v>3</v>
      </c>
      <c r="AD42" s="157">
        <f t="shared" si="8"/>
        <v>300</v>
      </c>
      <c r="AE42" s="157">
        <f>AB42 * (1 + D42) / (1 - G42)</f>
        <v>104.52261306532664</v>
      </c>
      <c r="AF42" s="186">
        <f>(B42 - AE42) / AE42</f>
        <v>1.6971153846153646E-3</v>
      </c>
      <c r="AG42" s="30"/>
      <c r="AH42" s="122">
        <f t="shared" si="9"/>
        <v>100</v>
      </c>
      <c r="AI42" s="30">
        <f t="shared" si="9"/>
        <v>1.7999999999999998</v>
      </c>
      <c r="AJ42" s="157">
        <f t="shared" si="9"/>
        <v>300</v>
      </c>
      <c r="AK42" s="157">
        <f>AH42 * (1 + E42) / (1 - G42)</f>
        <v>108.5427135678392</v>
      </c>
      <c r="AL42" s="124">
        <f>(B42 - AK42) / AK42</f>
        <v>-3.540277777777779E-2</v>
      </c>
      <c r="AN42" s="122">
        <f t="shared" si="10"/>
        <v>100</v>
      </c>
      <c r="AO42" s="30">
        <f t="shared" si="10"/>
        <v>1.2000000000000002</v>
      </c>
      <c r="AP42" s="157">
        <f t="shared" si="10"/>
        <v>120</v>
      </c>
      <c r="AQ42" s="157">
        <f>AN42 * (1 + F42) / (1 - G42)</f>
        <v>116.58291457286431</v>
      </c>
      <c r="AR42" s="124">
        <f>(B42 - AQ42) / AQ42</f>
        <v>-0.10192672413793093</v>
      </c>
      <c r="AT42" s="32">
        <f>AC42+AI42+AO42</f>
        <v>6</v>
      </c>
      <c r="AU42" s="32">
        <f>AC42</f>
        <v>3</v>
      </c>
      <c r="AV42" s="32">
        <f>AI42</f>
        <v>1.7999999999999998</v>
      </c>
      <c r="AW42" s="32">
        <f>AO42</f>
        <v>1.2000000000000002</v>
      </c>
    </row>
    <row r="43" spans="1:54" ht="12.75" x14ac:dyDescent="0.2">
      <c r="A43" s="182" t="s">
        <v>238</v>
      </c>
      <c r="B43" s="40">
        <v>108.5</v>
      </c>
      <c r="C43" s="55">
        <v>0.02</v>
      </c>
      <c r="D43" s="129">
        <v>0.04</v>
      </c>
      <c r="E43" s="125">
        <v>0.08</v>
      </c>
      <c r="F43" s="125">
        <v>0.16</v>
      </c>
      <c r="G43" s="125">
        <v>5.0000000000000001E-3</v>
      </c>
      <c r="H43" s="125"/>
      <c r="I43" s="125"/>
      <c r="J43" s="134"/>
      <c r="K43" s="134"/>
      <c r="L43" s="40"/>
      <c r="M43" s="40"/>
      <c r="N43" s="129"/>
      <c r="O43" s="125"/>
      <c r="P43" s="125"/>
      <c r="Q43" s="35"/>
      <c r="R43" s="47" t="s">
        <v>227</v>
      </c>
      <c r="S43" s="183">
        <f>B43</f>
        <v>108.5</v>
      </c>
      <c r="T43" s="153" t="s">
        <v>34</v>
      </c>
      <c r="U43" s="153" t="s">
        <v>34</v>
      </c>
      <c r="V43" s="184">
        <v>0</v>
      </c>
      <c r="W43" s="187">
        <f>AF43</f>
        <v>3.8052884615384565E-2</v>
      </c>
      <c r="X43" s="126"/>
      <c r="Y43" s="153"/>
      <c r="Z43" s="153"/>
      <c r="AA43" s="41"/>
      <c r="AB43" s="126">
        <f t="shared" si="8"/>
        <v>100</v>
      </c>
      <c r="AC43" s="43">
        <f t="shared" si="8"/>
        <v>3</v>
      </c>
      <c r="AD43" s="128">
        <f t="shared" si="8"/>
        <v>300</v>
      </c>
      <c r="AE43" s="128">
        <f>AB43 * (1 + D43) / (1 - G43)</f>
        <v>104.52261306532664</v>
      </c>
      <c r="AF43" s="156">
        <f>(B43 - AE43) / AE43</f>
        <v>3.8052884615384565E-2</v>
      </c>
      <c r="AG43" s="43"/>
      <c r="AH43" s="126">
        <f t="shared" si="9"/>
        <v>100</v>
      </c>
      <c r="AI43" s="43">
        <f t="shared" si="9"/>
        <v>1.7999999999999998</v>
      </c>
      <c r="AJ43" s="128">
        <f t="shared" si="9"/>
        <v>300</v>
      </c>
      <c r="AK43" s="128">
        <f>AH43 * (1 + E43) / (1 - G43)</f>
        <v>108.5427135678392</v>
      </c>
      <c r="AL43" s="188">
        <f>(B43 - AK43) / AK43</f>
        <v>-3.9351851851856059E-4</v>
      </c>
      <c r="AM43" s="35"/>
      <c r="AN43" s="126">
        <f t="shared" si="10"/>
        <v>100</v>
      </c>
      <c r="AO43" s="43">
        <f t="shared" si="10"/>
        <v>1.2000000000000002</v>
      </c>
      <c r="AP43" s="128">
        <f t="shared" si="10"/>
        <v>120</v>
      </c>
      <c r="AQ43" s="128">
        <f>AN43 * (1 + F43) / (1 - G43)</f>
        <v>116.58291457286431</v>
      </c>
      <c r="AR43" s="129">
        <f>(B43 - AQ43) / AQ43</f>
        <v>-6.9331896551724059E-2</v>
      </c>
      <c r="AS43" s="35"/>
      <c r="AT43" s="39">
        <f>AC43+AI43+AO43</f>
        <v>6</v>
      </c>
      <c r="AU43" s="39">
        <f>AC43</f>
        <v>3</v>
      </c>
      <c r="AV43" s="39">
        <f>AI43</f>
        <v>1.7999999999999998</v>
      </c>
      <c r="AW43" s="39">
        <f>AO43</f>
        <v>1.2000000000000002</v>
      </c>
    </row>
    <row r="44" spans="1:54" ht="12.75" x14ac:dyDescent="0.2">
      <c r="A44" s="150" t="s">
        <v>218</v>
      </c>
      <c r="B44" s="52">
        <v>108.5</v>
      </c>
      <c r="C44" s="62">
        <v>0.02</v>
      </c>
      <c r="D44" s="124">
        <v>0.04</v>
      </c>
      <c r="E44" s="95">
        <v>0.08</v>
      </c>
      <c r="F44" s="95">
        <v>0.16</v>
      </c>
      <c r="G44" s="95">
        <v>5.0000000000000001E-3</v>
      </c>
      <c r="H44" s="95"/>
      <c r="I44" s="95"/>
      <c r="J44" s="45" t="s">
        <v>73</v>
      </c>
      <c r="K44" s="45" t="s">
        <v>219</v>
      </c>
      <c r="L44" s="52">
        <v>108.5</v>
      </c>
      <c r="M44" s="152" t="s">
        <v>34</v>
      </c>
      <c r="N44" s="124">
        <v>1</v>
      </c>
      <c r="O44" s="152" t="s">
        <v>34</v>
      </c>
      <c r="P44" s="152" t="s">
        <v>34</v>
      </c>
      <c r="R44" s="45" t="s">
        <v>227</v>
      </c>
      <c r="S44" s="180">
        <f>B44</f>
        <v>108.5</v>
      </c>
      <c r="T44" s="152" t="s">
        <v>34</v>
      </c>
      <c r="U44" s="152" t="s">
        <v>34</v>
      </c>
      <c r="V44" s="181">
        <v>0</v>
      </c>
      <c r="W44" s="192">
        <f>AL44</f>
        <v>-3.9351851851856059E-4</v>
      </c>
      <c r="X44" s="122"/>
      <c r="Y44" s="152"/>
      <c r="Z44" s="152"/>
      <c r="AA44" s="12"/>
      <c r="AB44" s="162">
        <f t="shared" si="8"/>
        <v>100</v>
      </c>
      <c r="AC44" s="163">
        <f t="shared" si="8"/>
        <v>3</v>
      </c>
      <c r="AD44" s="193">
        <f t="shared" si="8"/>
        <v>300</v>
      </c>
      <c r="AE44" s="193">
        <f>AB44 * (1 + D44) / (1 - G44)</f>
        <v>104.52261306532664</v>
      </c>
      <c r="AF44" s="194">
        <f>(B44 - AE44) / AE44</f>
        <v>3.8052884615384565E-2</v>
      </c>
      <c r="AG44" s="30"/>
      <c r="AH44" s="122">
        <f t="shared" si="9"/>
        <v>100</v>
      </c>
      <c r="AI44" s="30">
        <f t="shared" si="9"/>
        <v>1.7999999999999998</v>
      </c>
      <c r="AJ44" s="157">
        <f t="shared" si="9"/>
        <v>300</v>
      </c>
      <c r="AK44" s="157">
        <f>AH44 * (1 + E44) / (1 - G44)</f>
        <v>108.5427135678392</v>
      </c>
      <c r="AL44" s="191">
        <f>(B44 - AK44) / AK44</f>
        <v>-3.9351851851856059E-4</v>
      </c>
      <c r="AN44" s="122">
        <f t="shared" si="10"/>
        <v>100</v>
      </c>
      <c r="AO44" s="30">
        <f t="shared" si="10"/>
        <v>1.2000000000000002</v>
      </c>
      <c r="AP44" s="157">
        <f t="shared" si="10"/>
        <v>120</v>
      </c>
      <c r="AQ44" s="157">
        <f>AN44 * (1 + F44) / (1 - G44)</f>
        <v>116.58291457286431</v>
      </c>
      <c r="AR44" s="124">
        <f>(B44 - AQ44) / AQ44</f>
        <v>-6.9331896551724059E-2</v>
      </c>
      <c r="AT44" s="32">
        <f>AU44+AV44+AW44</f>
        <v>3</v>
      </c>
      <c r="AU44" s="32">
        <v>0</v>
      </c>
      <c r="AV44" s="32">
        <f>AI44</f>
        <v>1.7999999999999998</v>
      </c>
      <c r="AW44" s="32">
        <f>AO44</f>
        <v>1.2000000000000002</v>
      </c>
    </row>
    <row r="45" spans="1:54" ht="12.75" x14ac:dyDescent="0.2">
      <c r="A45" s="150"/>
      <c r="B45" s="52"/>
      <c r="C45" s="54"/>
      <c r="D45" s="124"/>
      <c r="E45" s="95"/>
      <c r="F45" s="95"/>
      <c r="G45" s="95"/>
      <c r="H45" s="95"/>
      <c r="I45" s="95"/>
      <c r="J45" s="133" t="s">
        <v>75</v>
      </c>
      <c r="K45" s="133" t="s">
        <v>78</v>
      </c>
      <c r="L45" s="52">
        <v>100</v>
      </c>
      <c r="M45" s="52">
        <v>600</v>
      </c>
      <c r="N45" s="124">
        <v>0.5</v>
      </c>
      <c r="O45" s="95">
        <v>0.3</v>
      </c>
      <c r="P45" s="95">
        <v>0.2</v>
      </c>
      <c r="R45" s="45"/>
      <c r="S45" s="45"/>
      <c r="T45" s="131"/>
      <c r="U45" s="122"/>
      <c r="V45" s="30"/>
      <c r="W45" s="122"/>
      <c r="X45" s="122"/>
      <c r="Y45" s="152"/>
      <c r="Z45" s="152"/>
      <c r="AA45" s="12"/>
      <c r="AB45" s="122"/>
      <c r="AC45" s="30"/>
      <c r="AD45" s="123"/>
      <c r="AE45" s="123"/>
      <c r="AF45" s="124"/>
      <c r="AG45" s="30"/>
      <c r="AH45" s="122"/>
      <c r="AI45" s="30"/>
      <c r="AJ45" s="123"/>
      <c r="AK45" s="123"/>
      <c r="AL45" s="124"/>
      <c r="AN45" s="122"/>
      <c r="AO45" s="30"/>
      <c r="AP45" s="123"/>
      <c r="AQ45" s="123"/>
      <c r="AR45" s="124"/>
      <c r="AT45" s="32"/>
      <c r="AU45" s="32"/>
      <c r="AV45" s="32"/>
      <c r="AW45" s="32"/>
    </row>
    <row r="46" spans="1:54" ht="12.75" x14ac:dyDescent="0.2">
      <c r="A46" s="150"/>
      <c r="B46" s="52"/>
      <c r="C46" s="54"/>
      <c r="D46" s="124"/>
      <c r="E46" s="95"/>
      <c r="F46" s="95"/>
      <c r="G46" s="95"/>
      <c r="H46" s="95"/>
      <c r="I46" s="95"/>
      <c r="J46" s="133"/>
      <c r="K46" s="133"/>
      <c r="L46" s="52"/>
      <c r="M46" s="52"/>
      <c r="N46" s="124"/>
      <c r="O46" s="95"/>
      <c r="P46" s="95"/>
      <c r="R46" s="45"/>
      <c r="S46" s="45"/>
      <c r="T46" s="131"/>
      <c r="U46" s="122"/>
      <c r="V46" s="30"/>
      <c r="W46" s="122"/>
      <c r="X46" s="122"/>
      <c r="Y46" s="152"/>
      <c r="Z46" s="152"/>
      <c r="AA46" s="12"/>
      <c r="AB46" s="122"/>
      <c r="AC46" s="30"/>
      <c r="AD46" s="123"/>
      <c r="AE46" s="123"/>
      <c r="AF46" s="124"/>
      <c r="AG46" s="30"/>
      <c r="AH46" s="122"/>
      <c r="AI46" s="30"/>
      <c r="AJ46" s="123"/>
      <c r="AK46" s="123"/>
      <c r="AL46" s="124"/>
      <c r="AN46" s="122"/>
      <c r="AO46" s="30"/>
      <c r="AP46" s="123"/>
      <c r="AQ46" s="123"/>
      <c r="AR46" s="124"/>
      <c r="AT46" s="32"/>
      <c r="AU46" s="32"/>
      <c r="AV46" s="32"/>
      <c r="AW46" s="32"/>
    </row>
    <row r="47" spans="1:54" ht="12.75" x14ac:dyDescent="0.2">
      <c r="A47" s="208" t="s">
        <v>249</v>
      </c>
      <c r="B47" s="52"/>
      <c r="C47" s="54"/>
      <c r="D47" s="124"/>
      <c r="E47" s="95"/>
      <c r="F47" s="95"/>
      <c r="G47" s="95"/>
      <c r="H47" s="95"/>
      <c r="I47" s="95"/>
      <c r="J47" s="133"/>
      <c r="K47" s="133"/>
      <c r="L47" s="52"/>
      <c r="M47" s="52"/>
      <c r="N47" s="124"/>
      <c r="O47" s="95"/>
      <c r="P47" s="95"/>
      <c r="R47" s="45"/>
      <c r="S47" s="45"/>
      <c r="T47" s="131"/>
      <c r="U47" s="122"/>
      <c r="V47" s="30"/>
      <c r="W47" s="122"/>
      <c r="X47" s="122"/>
      <c r="Y47" s="152"/>
      <c r="Z47" s="152"/>
      <c r="AA47" s="12"/>
      <c r="AB47" s="122"/>
      <c r="AC47" s="30"/>
      <c r="AD47" s="123"/>
      <c r="AE47" s="123"/>
      <c r="AF47" s="124"/>
      <c r="AG47" s="30"/>
      <c r="AH47" s="122"/>
      <c r="AI47" s="30"/>
      <c r="AJ47" s="123"/>
      <c r="AK47" s="123"/>
      <c r="AL47" s="124"/>
      <c r="AN47" s="122"/>
      <c r="AO47" s="30"/>
      <c r="AP47" s="123"/>
      <c r="AQ47" s="123"/>
      <c r="AR47" s="124"/>
      <c r="AT47" s="32"/>
      <c r="AU47" s="32"/>
      <c r="AV47" s="32"/>
      <c r="AW47" s="32"/>
    </row>
    <row r="48" spans="1:54" ht="12.75" x14ac:dyDescent="0.2">
      <c r="A48" s="150"/>
      <c r="B48" s="45" t="s">
        <v>204</v>
      </c>
      <c r="C48" s="109"/>
      <c r="J48" s="45" t="s">
        <v>202</v>
      </c>
      <c r="R48" s="45" t="s">
        <v>203</v>
      </c>
      <c r="T48" s="12"/>
      <c r="U48" s="12"/>
      <c r="V48" s="12"/>
      <c r="W48" s="12"/>
      <c r="X48" s="12"/>
      <c r="Y48" s="12"/>
      <c r="Z48" s="12"/>
      <c r="AA48" s="12"/>
      <c r="AB48" s="130" t="s">
        <v>205</v>
      </c>
      <c r="AC48" s="46"/>
      <c r="AD48" s="46"/>
      <c r="AE48" s="46"/>
      <c r="AF48" s="46"/>
      <c r="AG48" s="46"/>
      <c r="AH48" s="130" t="s">
        <v>207</v>
      </c>
      <c r="AI48" s="46"/>
      <c r="AJ48" s="46"/>
      <c r="AK48" s="46"/>
      <c r="AL48" s="46"/>
      <c r="AM48" s="45"/>
      <c r="AN48" s="130" t="s">
        <v>208</v>
      </c>
      <c r="AO48" s="12"/>
      <c r="AP48" s="12"/>
      <c r="AQ48" s="12"/>
      <c r="AR48" s="12"/>
      <c r="AS48" s="110"/>
      <c r="AT48" s="45" t="s">
        <v>206</v>
      </c>
      <c r="AV48" s="12"/>
      <c r="AW48" s="12"/>
      <c r="AX48" s="12"/>
      <c r="AY48" s="12"/>
      <c r="AZ48" s="12"/>
      <c r="BA48" s="12"/>
      <c r="BB48" s="12"/>
    </row>
    <row r="49" spans="1:54" ht="12.75" x14ac:dyDescent="0.2">
      <c r="A49" s="150"/>
      <c r="B49" s="57" t="s">
        <v>209</v>
      </c>
      <c r="C49" s="28" t="s">
        <v>190</v>
      </c>
      <c r="D49" s="57" t="s">
        <v>191</v>
      </c>
      <c r="E49" s="57" t="s">
        <v>192</v>
      </c>
      <c r="F49" s="28" t="s">
        <v>193</v>
      </c>
      <c r="G49" s="57" t="s">
        <v>112</v>
      </c>
      <c r="H49" s="57" t="s">
        <v>243</v>
      </c>
      <c r="I49" s="101"/>
      <c r="J49" s="28" t="s">
        <v>76</v>
      </c>
      <c r="K49" s="28" t="s">
        <v>4</v>
      </c>
      <c r="L49" s="57" t="s">
        <v>0</v>
      </c>
      <c r="M49" s="57" t="s">
        <v>1</v>
      </c>
      <c r="N49" s="28" t="s">
        <v>191</v>
      </c>
      <c r="O49" s="28" t="s">
        <v>192</v>
      </c>
      <c r="P49" s="28" t="s">
        <v>193</v>
      </c>
      <c r="R49" s="28"/>
      <c r="S49" s="28" t="s">
        <v>76</v>
      </c>
      <c r="T49" s="28" t="s">
        <v>4</v>
      </c>
      <c r="U49" s="57" t="s">
        <v>0</v>
      </c>
      <c r="V49" s="28" t="s">
        <v>62</v>
      </c>
      <c r="W49" s="57" t="s">
        <v>220</v>
      </c>
      <c r="X49" s="57" t="s">
        <v>190</v>
      </c>
      <c r="Y49" s="57" t="s">
        <v>194</v>
      </c>
      <c r="Z49" s="28" t="s">
        <v>195</v>
      </c>
      <c r="AA49" s="12"/>
      <c r="AB49" s="28" t="s">
        <v>0</v>
      </c>
      <c r="AC49" s="28" t="s">
        <v>196</v>
      </c>
      <c r="AD49" s="57" t="s">
        <v>1</v>
      </c>
      <c r="AE49" s="57" t="s">
        <v>197</v>
      </c>
      <c r="AF49" s="57" t="s">
        <v>231</v>
      </c>
      <c r="AG49" s="60"/>
      <c r="AH49" s="28" t="s">
        <v>0</v>
      </c>
      <c r="AI49" s="28" t="s">
        <v>196</v>
      </c>
      <c r="AJ49" s="57" t="s">
        <v>1</v>
      </c>
      <c r="AK49" s="57" t="s">
        <v>197</v>
      </c>
      <c r="AL49" s="57" t="s">
        <v>231</v>
      </c>
      <c r="AN49" s="28" t="s">
        <v>0</v>
      </c>
      <c r="AO49" s="28" t="s">
        <v>196</v>
      </c>
      <c r="AP49" s="57" t="s">
        <v>1</v>
      </c>
      <c r="AQ49" s="57" t="s">
        <v>197</v>
      </c>
      <c r="AR49" s="57" t="s">
        <v>231</v>
      </c>
      <c r="AT49" s="57" t="s">
        <v>79</v>
      </c>
      <c r="AU49" s="57" t="s">
        <v>241</v>
      </c>
      <c r="AV49" s="57" t="s">
        <v>240</v>
      </c>
      <c r="AW49" s="57" t="s">
        <v>250</v>
      </c>
      <c r="AX49" s="57" t="s">
        <v>242</v>
      </c>
      <c r="AY49" s="57"/>
      <c r="AZ49" s="57"/>
      <c r="BA49" s="57"/>
      <c r="BB49" s="28"/>
    </row>
    <row r="50" spans="1:54" ht="12.75" x14ac:dyDescent="0.2">
      <c r="A50" s="150" t="s">
        <v>215</v>
      </c>
      <c r="B50" s="52">
        <v>100</v>
      </c>
      <c r="C50" s="54">
        <v>0.02</v>
      </c>
      <c r="D50" s="124">
        <v>0.04</v>
      </c>
      <c r="E50" s="95">
        <v>0.08</v>
      </c>
      <c r="F50" s="95">
        <v>0.16</v>
      </c>
      <c r="G50" s="95">
        <v>5.0000000000000001E-3</v>
      </c>
      <c r="H50" s="63">
        <v>1200</v>
      </c>
      <c r="I50" s="95"/>
      <c r="J50" s="133" t="s">
        <v>75</v>
      </c>
      <c r="K50" s="133" t="s">
        <v>78</v>
      </c>
      <c r="L50" s="52">
        <v>100</v>
      </c>
      <c r="M50" s="52">
        <v>600</v>
      </c>
      <c r="N50" s="124">
        <v>0.5</v>
      </c>
      <c r="O50" s="95">
        <v>0.3</v>
      </c>
      <c r="P50" s="95">
        <v>0.2</v>
      </c>
      <c r="R50" s="45" t="s">
        <v>215</v>
      </c>
      <c r="S50" s="45" t="s">
        <v>75</v>
      </c>
      <c r="T50" s="131" t="s">
        <v>78</v>
      </c>
      <c r="U50" s="122">
        <f>L50</f>
        <v>100</v>
      </c>
      <c r="V50" s="30">
        <f>W50/U50</f>
        <v>6</v>
      </c>
      <c r="W50" s="122">
        <f>M50</f>
        <v>600</v>
      </c>
      <c r="X50" s="122">
        <f>U50 * (1 - ABS(C50))</f>
        <v>98</v>
      </c>
      <c r="Y50" s="152" t="s">
        <v>34</v>
      </c>
      <c r="Z50" s="152" t="s">
        <v>34</v>
      </c>
      <c r="AA50" s="12"/>
      <c r="AB50" s="122">
        <f>L50</f>
        <v>100</v>
      </c>
      <c r="AC50" s="30">
        <f>M50/L50*N50</f>
        <v>3</v>
      </c>
      <c r="AD50" s="123">
        <f>M50*N50</f>
        <v>300</v>
      </c>
      <c r="AE50" s="123">
        <f>B50 * (1 + D50) / (1 - G50)</f>
        <v>104.52261306532664</v>
      </c>
      <c r="AF50" s="124">
        <f>(B50 - AE50) / AE50</f>
        <v>-4.3269230769230817E-2</v>
      </c>
      <c r="AG50" s="30"/>
      <c r="AH50" s="122">
        <f>U50</f>
        <v>100</v>
      </c>
      <c r="AI50" s="30">
        <f>M50/L50*O50</f>
        <v>1.7999999999999998</v>
      </c>
      <c r="AJ50" s="123">
        <f>M50*O50</f>
        <v>180</v>
      </c>
      <c r="AK50" s="123">
        <f>AH50 * (1 + E50) / (1 - G50)</f>
        <v>108.5427135678392</v>
      </c>
      <c r="AL50" s="124">
        <f>(B50 - AK50) / AK50</f>
        <v>-7.8703703703703748E-2</v>
      </c>
      <c r="AN50" s="122">
        <f>L50</f>
        <v>100</v>
      </c>
      <c r="AO50" s="30">
        <f>M50/L50*P50</f>
        <v>1.2000000000000002</v>
      </c>
      <c r="AP50" s="123">
        <f>M50*P50</f>
        <v>120</v>
      </c>
      <c r="AQ50" s="123">
        <f>AN50 * (1 + F50) / (1 - G50)</f>
        <v>116.58291457286431</v>
      </c>
      <c r="AR50" s="124">
        <f>(B50 - AQ50) / AQ50</f>
        <v>-0.14224137931034475</v>
      </c>
      <c r="AT50" s="196">
        <f>W50</f>
        <v>600</v>
      </c>
      <c r="AU50" s="63">
        <v>0</v>
      </c>
      <c r="AV50" s="122">
        <f>V50*B50</f>
        <v>600</v>
      </c>
      <c r="AW50" s="197">
        <f>(AU50+AV50-AT50)/AT50</f>
        <v>0</v>
      </c>
      <c r="AX50" s="63">
        <f>H50-AT50+AU50</f>
        <v>600</v>
      </c>
      <c r="AY50" s="122"/>
      <c r="AZ50" s="122"/>
      <c r="BA50" s="152"/>
      <c r="BB50" s="152"/>
    </row>
    <row r="51" spans="1:54" ht="12.75" x14ac:dyDescent="0.2">
      <c r="A51" s="182" t="s">
        <v>218</v>
      </c>
      <c r="B51" s="40">
        <v>90</v>
      </c>
      <c r="C51" s="55">
        <v>0.02</v>
      </c>
      <c r="D51" s="129">
        <v>0.04</v>
      </c>
      <c r="E51" s="125">
        <v>0.08</v>
      </c>
      <c r="F51" s="125">
        <v>0.16</v>
      </c>
      <c r="G51" s="125">
        <v>5.0000000000000001E-3</v>
      </c>
      <c r="H51" s="65">
        <v>1200</v>
      </c>
      <c r="I51" s="125"/>
      <c r="J51" s="134" t="s">
        <v>73</v>
      </c>
      <c r="K51" s="134" t="s">
        <v>80</v>
      </c>
      <c r="L51" s="40">
        <f>B51</f>
        <v>90</v>
      </c>
      <c r="M51" s="153"/>
      <c r="N51" s="129">
        <v>0.5</v>
      </c>
      <c r="O51" s="153"/>
      <c r="P51" s="153"/>
      <c r="Q51" s="35"/>
      <c r="R51" s="198" t="s">
        <v>218</v>
      </c>
      <c r="S51" s="47" t="s">
        <v>73</v>
      </c>
      <c r="T51" s="47" t="s">
        <v>80</v>
      </c>
      <c r="U51" s="126">
        <f>L51</f>
        <v>90</v>
      </c>
      <c r="V51" s="43">
        <f>AC50*N51</f>
        <v>1.5</v>
      </c>
      <c r="W51" s="126">
        <f>U51*V51-(U51*V51*G51)</f>
        <v>134.32499999999999</v>
      </c>
      <c r="X51" s="153" t="s">
        <v>34</v>
      </c>
      <c r="Y51" s="153">
        <f>W51-(U50*V51)</f>
        <v>-15.675000000000011</v>
      </c>
      <c r="Z51" s="199">
        <f>Y51/(U50*V51)</f>
        <v>-0.10450000000000008</v>
      </c>
      <c r="AA51" s="41"/>
      <c r="AB51" s="65">
        <f>AB50</f>
        <v>100</v>
      </c>
      <c r="AC51" s="39">
        <f>AC50-V51</f>
        <v>1.5</v>
      </c>
      <c r="AD51" s="65">
        <f>AD50*N51</f>
        <v>150</v>
      </c>
      <c r="AE51" s="128">
        <f>AB51 * (1 + D51) / (1 - G51)</f>
        <v>104.52261306532664</v>
      </c>
      <c r="AF51" s="129">
        <f>(B51 - AE51) / AE51</f>
        <v>-0.13894230769230773</v>
      </c>
      <c r="AG51" s="35"/>
      <c r="AH51" s="200">
        <f t="shared" ref="AH51:AJ52" si="11">AH50</f>
        <v>100</v>
      </c>
      <c r="AI51" s="39">
        <f t="shared" si="11"/>
        <v>1.7999999999999998</v>
      </c>
      <c r="AJ51" s="65">
        <f t="shared" si="11"/>
        <v>180</v>
      </c>
      <c r="AK51" s="128">
        <f>AH51 * (1 + E51) / (1 - G51)</f>
        <v>108.5427135678392</v>
      </c>
      <c r="AL51" s="129">
        <f>(B51 - AK51) / AK51</f>
        <v>-0.17083333333333336</v>
      </c>
      <c r="AM51" s="35"/>
      <c r="AN51" s="65">
        <f t="shared" ref="AN51:AP52" si="12">AN50</f>
        <v>100</v>
      </c>
      <c r="AO51" s="39">
        <f t="shared" si="12"/>
        <v>1.2000000000000002</v>
      </c>
      <c r="AP51" s="65">
        <f t="shared" si="12"/>
        <v>120</v>
      </c>
      <c r="AQ51" s="128">
        <f>AN51 * (1 + F51) / (1 - G51)</f>
        <v>116.58291457286431</v>
      </c>
      <c r="AR51" s="129">
        <f>(B51 - AQ51) / AQ51</f>
        <v>-0.22801724137931029</v>
      </c>
      <c r="AS51" s="35"/>
      <c r="AT51" s="201">
        <f>AT50</f>
        <v>600</v>
      </c>
      <c r="AU51" s="65">
        <f>AU50+W51</f>
        <v>134.32499999999999</v>
      </c>
      <c r="AV51" s="126">
        <f>(AC51+AI51+AO51)*B51</f>
        <v>405</v>
      </c>
      <c r="AW51" s="202">
        <f>(AU51+AV51-AT51)/AT51</f>
        <v>-0.10112499999999992</v>
      </c>
      <c r="AX51" s="65">
        <f>H51-AT51+AU51</f>
        <v>734.32500000000005</v>
      </c>
      <c r="AY51" s="122"/>
      <c r="AZ51" s="122"/>
      <c r="BA51" s="152"/>
      <c r="BB51" s="152"/>
    </row>
    <row r="52" spans="1:54" ht="12.75" x14ac:dyDescent="0.2">
      <c r="A52" s="150" t="s">
        <v>221</v>
      </c>
      <c r="B52" s="52">
        <v>120</v>
      </c>
      <c r="C52" s="54">
        <v>0.02</v>
      </c>
      <c r="D52" s="124">
        <v>0.04</v>
      </c>
      <c r="E52" s="95">
        <v>0.08</v>
      </c>
      <c r="F52" s="95">
        <v>0.16</v>
      </c>
      <c r="G52" s="95">
        <v>5.0000000000000001E-3</v>
      </c>
      <c r="H52" s="63">
        <v>1200</v>
      </c>
      <c r="I52" s="95"/>
      <c r="J52" s="133" t="s">
        <v>73</v>
      </c>
      <c r="K52" s="133" t="s">
        <v>219</v>
      </c>
      <c r="L52" s="52">
        <v>120</v>
      </c>
      <c r="M52" s="52"/>
      <c r="N52" s="124">
        <v>1</v>
      </c>
      <c r="O52" s="95"/>
      <c r="P52" s="95"/>
      <c r="R52" s="45" t="s">
        <v>221</v>
      </c>
      <c r="S52" s="45" t="s">
        <v>73</v>
      </c>
      <c r="T52" s="130" t="s">
        <v>219</v>
      </c>
      <c r="U52" s="122">
        <f>L52</f>
        <v>120</v>
      </c>
      <c r="V52" s="30">
        <f>AC51+(AI51*O52)</f>
        <v>1.5</v>
      </c>
      <c r="W52" s="122">
        <f>U52*V52-(U52*V52*G52)</f>
        <v>179.1</v>
      </c>
      <c r="X52" s="152" t="s">
        <v>34</v>
      </c>
      <c r="Y52" s="152">
        <f>W52-(U50*V52)</f>
        <v>29.099999999999994</v>
      </c>
      <c r="Z52" s="161">
        <f>Y52/(U50*V52)</f>
        <v>0.19399999999999995</v>
      </c>
      <c r="AA52" s="12"/>
      <c r="AB52" s="152"/>
      <c r="AC52" s="152"/>
      <c r="AD52" s="152"/>
      <c r="AE52" s="152"/>
      <c r="AF52" s="152"/>
      <c r="AH52" s="205">
        <f t="shared" si="11"/>
        <v>100</v>
      </c>
      <c r="AI52" s="32">
        <f t="shared" si="11"/>
        <v>1.7999999999999998</v>
      </c>
      <c r="AJ52" s="63">
        <f t="shared" si="11"/>
        <v>180</v>
      </c>
      <c r="AK52" s="157">
        <f>AH52 * (1 + E52) / (1 - G52)</f>
        <v>108.5427135678392</v>
      </c>
      <c r="AL52" s="124">
        <f>(B52 - AK52) / AK52</f>
        <v>0.10555555555555551</v>
      </c>
      <c r="AN52" s="63">
        <f t="shared" si="12"/>
        <v>100</v>
      </c>
      <c r="AO52" s="32">
        <f t="shared" si="12"/>
        <v>1.2000000000000002</v>
      </c>
      <c r="AP52" s="63">
        <f t="shared" si="12"/>
        <v>120</v>
      </c>
      <c r="AQ52" s="157">
        <f>AQ51</f>
        <v>116.58291457286431</v>
      </c>
      <c r="AR52" s="124">
        <f>(B52 - AQ52) / AQ52</f>
        <v>2.9310344827586297E-2</v>
      </c>
      <c r="AT52" s="196">
        <f>AT51</f>
        <v>600</v>
      </c>
      <c r="AU52" s="63">
        <f>AU51+W52</f>
        <v>313.42499999999995</v>
      </c>
      <c r="AV52" s="122">
        <f>(AC52+AI52+AO52)*B52</f>
        <v>360</v>
      </c>
      <c r="AW52" s="206">
        <f>(AU52+AV52-AT52)/AT52</f>
        <v>0.12237499999999993</v>
      </c>
      <c r="AX52" s="63">
        <f>H52-AT52+AU52</f>
        <v>913.42499999999995</v>
      </c>
    </row>
    <row r="53" spans="1:54" ht="12.75" x14ac:dyDescent="0.2">
      <c r="A53" s="182" t="s">
        <v>216</v>
      </c>
      <c r="B53" s="40">
        <v>115</v>
      </c>
      <c r="C53" s="55">
        <v>0.02</v>
      </c>
      <c r="D53" s="129">
        <v>0.04</v>
      </c>
      <c r="E53" s="125">
        <v>0.08</v>
      </c>
      <c r="F53" s="125">
        <v>0.16</v>
      </c>
      <c r="G53" s="125">
        <v>5.0000000000000001E-3</v>
      </c>
      <c r="H53" s="65">
        <v>1200</v>
      </c>
      <c r="I53" s="125"/>
      <c r="J53" s="134" t="s">
        <v>75</v>
      </c>
      <c r="K53" s="134" t="s">
        <v>25</v>
      </c>
      <c r="L53" s="40">
        <v>115</v>
      </c>
      <c r="M53" s="40">
        <v>400</v>
      </c>
      <c r="N53" s="129">
        <v>0.5</v>
      </c>
      <c r="O53" s="125">
        <v>0.3</v>
      </c>
      <c r="P53" s="125">
        <v>0.2</v>
      </c>
      <c r="Q53" s="35"/>
      <c r="R53" s="47" t="s">
        <v>216</v>
      </c>
      <c r="S53" s="47" t="s">
        <v>75</v>
      </c>
      <c r="T53" s="132" t="s">
        <v>25</v>
      </c>
      <c r="U53" s="126">
        <f>L53</f>
        <v>115</v>
      </c>
      <c r="V53" s="43">
        <f>W53/U53</f>
        <v>3.4782608695652173</v>
      </c>
      <c r="W53" s="126">
        <f>M53</f>
        <v>400</v>
      </c>
      <c r="X53" s="126">
        <f>U53 * (1 - ABS(C53))</f>
        <v>112.7</v>
      </c>
      <c r="Y53" s="153" t="s">
        <v>34</v>
      </c>
      <c r="Z53" s="153" t="s">
        <v>34</v>
      </c>
      <c r="AA53" s="41"/>
      <c r="AB53" s="65">
        <f>U53</f>
        <v>115</v>
      </c>
      <c r="AC53" s="39">
        <f>V53*N53</f>
        <v>1.7391304347826086</v>
      </c>
      <c r="AD53" s="65">
        <f>W53*N53</f>
        <v>200</v>
      </c>
      <c r="AE53" s="128">
        <f>AB53 * (1 + D53) / (1 - G53)</f>
        <v>120.20100502512564</v>
      </c>
      <c r="AF53" s="129">
        <f>(B53 - AE53) / AE53</f>
        <v>-4.3269230769230851E-2</v>
      </c>
      <c r="AG53" s="35"/>
      <c r="AH53" s="65">
        <f>U53</f>
        <v>115</v>
      </c>
      <c r="AI53" s="39">
        <f>V53*O53</f>
        <v>1.0434782608695652</v>
      </c>
      <c r="AJ53" s="65">
        <f>W53*O53</f>
        <v>120</v>
      </c>
      <c r="AK53" s="128">
        <f>AH53 * (1 + E53) / (1 - G53)</f>
        <v>124.82412060301507</v>
      </c>
      <c r="AL53" s="129">
        <f>(B53 - AK53) / AK53</f>
        <v>-7.8703703703703706E-2</v>
      </c>
      <c r="AM53" s="35"/>
      <c r="AN53" s="65">
        <f>U53</f>
        <v>115</v>
      </c>
      <c r="AO53" s="35">
        <f>V53*P53</f>
        <v>0.69565217391304346</v>
      </c>
      <c r="AP53" s="65">
        <f>W53*P53</f>
        <v>80</v>
      </c>
      <c r="AQ53" s="128">
        <f>AN53 * (1 + F53) / (1 - G53)</f>
        <v>134.07035175879395</v>
      </c>
      <c r="AR53" s="129">
        <f>(B53 - AQ53) / AQ53</f>
        <v>-0.1422413793103447</v>
      </c>
      <c r="AS53" s="35"/>
      <c r="AT53" s="201">
        <f>AT52+W53-AU52</f>
        <v>686.57500000000005</v>
      </c>
      <c r="AU53" s="65">
        <v>0</v>
      </c>
      <c r="AV53" s="126">
        <f>(AC53+AI53+AI54+AO53+AO54)*B53</f>
        <v>745</v>
      </c>
      <c r="AW53" s="202">
        <f>(AU53+AV53-AT53)/AT53</f>
        <v>8.5096311400793725E-2</v>
      </c>
      <c r="AX53" s="65">
        <f>H53-AT53+AU53</f>
        <v>513.42499999999995</v>
      </c>
    </row>
    <row r="54" spans="1:54" ht="12.75" x14ac:dyDescent="0.2">
      <c r="A54" s="182"/>
      <c r="B54" s="40"/>
      <c r="C54" s="55"/>
      <c r="D54" s="129"/>
      <c r="E54" s="125"/>
      <c r="F54" s="125"/>
      <c r="G54" s="125"/>
      <c r="H54" s="125"/>
      <c r="I54" s="125"/>
      <c r="J54" s="134"/>
      <c r="K54" s="134"/>
      <c r="L54" s="40"/>
      <c r="M54" s="40"/>
      <c r="N54" s="129"/>
      <c r="O54" s="125"/>
      <c r="P54" s="125"/>
      <c r="Q54" s="35"/>
      <c r="R54" s="47"/>
      <c r="S54" s="47"/>
      <c r="T54" s="203"/>
      <c r="U54" s="126"/>
      <c r="V54" s="43"/>
      <c r="W54" s="126"/>
      <c r="X54" s="126"/>
      <c r="Y54" s="153"/>
      <c r="Z54" s="153"/>
      <c r="AA54" s="41"/>
      <c r="AB54" s="35"/>
      <c r="AC54" s="35"/>
      <c r="AD54" s="35"/>
      <c r="AE54" s="35"/>
      <c r="AF54" s="35"/>
      <c r="AG54" s="35"/>
      <c r="AH54" s="65">
        <f t="shared" ref="AH54:AK58" si="13">AH52</f>
        <v>100</v>
      </c>
      <c r="AI54" s="39">
        <f t="shared" si="13"/>
        <v>1.7999999999999998</v>
      </c>
      <c r="AJ54" s="65">
        <f t="shared" si="13"/>
        <v>180</v>
      </c>
      <c r="AK54" s="128">
        <f t="shared" si="13"/>
        <v>108.5427135678392</v>
      </c>
      <c r="AL54" s="129">
        <f>(B53 - AK54) / AK54</f>
        <v>5.9490740740740698E-2</v>
      </c>
      <c r="AM54" s="35"/>
      <c r="AN54" s="65">
        <f t="shared" ref="AN54:AQ58" si="14">AN52</f>
        <v>100</v>
      </c>
      <c r="AO54" s="39">
        <f t="shared" si="14"/>
        <v>1.2000000000000002</v>
      </c>
      <c r="AP54" s="65">
        <f t="shared" si="14"/>
        <v>120</v>
      </c>
      <c r="AQ54" s="65">
        <f t="shared" si="14"/>
        <v>116.58291457286431</v>
      </c>
      <c r="AR54" s="129">
        <f>(B53 - AQ54) / AQ54</f>
        <v>-1.3577586206896464E-2</v>
      </c>
      <c r="AS54" s="35"/>
      <c r="AT54" s="35"/>
      <c r="AU54" s="35"/>
      <c r="AV54" s="39"/>
      <c r="AW54" s="39"/>
      <c r="AX54" s="35"/>
    </row>
    <row r="55" spans="1:54" ht="12.75" x14ac:dyDescent="0.2">
      <c r="A55" s="150" t="s">
        <v>244</v>
      </c>
      <c r="B55" s="52">
        <v>90</v>
      </c>
      <c r="C55" s="62">
        <v>0.02</v>
      </c>
      <c r="D55" s="124">
        <v>0.04</v>
      </c>
      <c r="E55" s="95">
        <v>0.08</v>
      </c>
      <c r="F55" s="95">
        <v>0.16</v>
      </c>
      <c r="G55" s="95">
        <v>5.0000000000000001E-3</v>
      </c>
      <c r="H55" s="63">
        <v>1200</v>
      </c>
      <c r="I55" s="95"/>
      <c r="J55" s="133" t="s">
        <v>245</v>
      </c>
      <c r="K55" s="152"/>
      <c r="L55" s="52"/>
      <c r="M55" s="152">
        <v>20</v>
      </c>
      <c r="N55" s="124"/>
      <c r="O55" s="152"/>
      <c r="P55" s="152"/>
      <c r="R55" t="s">
        <v>244</v>
      </c>
      <c r="S55" t="s">
        <v>246</v>
      </c>
      <c r="T55" s="152" t="s">
        <v>34</v>
      </c>
      <c r="U55" s="152" t="s">
        <v>34</v>
      </c>
      <c r="V55" s="152" t="s">
        <v>34</v>
      </c>
      <c r="W55" s="122">
        <f>M55</f>
        <v>20</v>
      </c>
      <c r="X55" s="152" t="s">
        <v>34</v>
      </c>
      <c r="Y55" s="152" t="s">
        <v>34</v>
      </c>
      <c r="Z55" s="152" t="s">
        <v>34</v>
      </c>
      <c r="AA55" s="12"/>
      <c r="AB55" s="63">
        <f>AB53</f>
        <v>115</v>
      </c>
      <c r="AC55" s="32">
        <f>AC53</f>
        <v>1.7391304347826086</v>
      </c>
      <c r="AD55" s="63">
        <f>AD53</f>
        <v>200</v>
      </c>
      <c r="AE55" s="157">
        <f>AE53</f>
        <v>120.20100502512564</v>
      </c>
      <c r="AF55" s="124">
        <f>(B55 - AE55) / AE55</f>
        <v>-0.25125418060200677</v>
      </c>
      <c r="AH55" s="205">
        <f t="shared" si="13"/>
        <v>115</v>
      </c>
      <c r="AI55" s="32">
        <f t="shared" si="13"/>
        <v>1.0434782608695652</v>
      </c>
      <c r="AJ55" s="63">
        <f t="shared" si="13"/>
        <v>120</v>
      </c>
      <c r="AK55" s="157">
        <f t="shared" si="13"/>
        <v>124.82412060301507</v>
      </c>
      <c r="AL55" s="124">
        <f>(B55 - AK55) / AK55</f>
        <v>-0.27898550724637683</v>
      </c>
      <c r="AN55" s="63">
        <f t="shared" si="14"/>
        <v>115</v>
      </c>
      <c r="AO55" s="32">
        <f t="shared" si="14"/>
        <v>0.69565217391304346</v>
      </c>
      <c r="AP55" s="63">
        <f t="shared" si="14"/>
        <v>80</v>
      </c>
      <c r="AQ55" s="63">
        <f t="shared" si="14"/>
        <v>134.07035175879395</v>
      </c>
      <c r="AR55" s="124">
        <f>(B55 - AQ55) / AQ55</f>
        <v>-0.32871064467766103</v>
      </c>
      <c r="AT55" s="196">
        <f>AT53</f>
        <v>686.57500000000005</v>
      </c>
      <c r="AU55" s="63">
        <f>AU53+W55</f>
        <v>20</v>
      </c>
      <c r="AV55" s="122">
        <f>(AC55+AI55+AI56+AO55+AO56)*B55</f>
        <v>583.04347826086962</v>
      </c>
      <c r="AW55" s="206">
        <f>(AU55+AV55-AT55)/AT55</f>
        <v>-0.12166408875815522</v>
      </c>
      <c r="AX55" s="63">
        <f>H55-AT55+AU55</f>
        <v>533.42499999999995</v>
      </c>
    </row>
    <row r="56" spans="1:54" ht="12.75" x14ac:dyDescent="0.2">
      <c r="B56" s="52"/>
      <c r="C56" s="62"/>
      <c r="D56" s="124"/>
      <c r="E56" s="95"/>
      <c r="F56" s="95"/>
      <c r="G56" s="95"/>
      <c r="H56" s="95"/>
      <c r="I56" s="95"/>
      <c r="J56" s="133"/>
      <c r="K56" s="133"/>
      <c r="L56" s="52"/>
      <c r="M56" s="52"/>
      <c r="N56" s="124"/>
      <c r="O56" s="95"/>
      <c r="P56" s="95"/>
      <c r="R56" s="204"/>
      <c r="S56" s="45"/>
      <c r="T56" s="45"/>
      <c r="U56" s="122"/>
      <c r="V56" s="30"/>
      <c r="W56" s="122"/>
      <c r="X56" s="152"/>
      <c r="Y56" s="152"/>
      <c r="Z56" s="161"/>
      <c r="AA56" s="12"/>
      <c r="AH56" s="63">
        <f t="shared" si="13"/>
        <v>100</v>
      </c>
      <c r="AI56" s="32">
        <f t="shared" si="13"/>
        <v>1.7999999999999998</v>
      </c>
      <c r="AJ56" s="63">
        <f t="shared" si="13"/>
        <v>180</v>
      </c>
      <c r="AK56" s="157">
        <f t="shared" si="13"/>
        <v>108.5427135678392</v>
      </c>
      <c r="AL56" s="124">
        <f>(B55 - AK56) / AK56</f>
        <v>-0.17083333333333336</v>
      </c>
      <c r="AN56" s="63">
        <f t="shared" si="14"/>
        <v>100</v>
      </c>
      <c r="AO56" s="32">
        <f t="shared" si="14"/>
        <v>1.2000000000000002</v>
      </c>
      <c r="AP56" s="63">
        <f t="shared" si="14"/>
        <v>120</v>
      </c>
      <c r="AQ56" s="63">
        <f t="shared" si="14"/>
        <v>116.58291457286431</v>
      </c>
      <c r="AR56" s="124">
        <f>(B55 - AQ56) / AQ56</f>
        <v>-0.22801724137931029</v>
      </c>
      <c r="AV56" s="32"/>
      <c r="AW56" s="32"/>
    </row>
    <row r="57" spans="1:54" ht="12.75" x14ac:dyDescent="0.2">
      <c r="A57" s="182" t="s">
        <v>247</v>
      </c>
      <c r="B57" s="40">
        <v>80</v>
      </c>
      <c r="C57" s="55">
        <v>0.02</v>
      </c>
      <c r="D57" s="129">
        <v>0.04</v>
      </c>
      <c r="E57" s="125">
        <v>0.08</v>
      </c>
      <c r="F57" s="125">
        <v>0.16</v>
      </c>
      <c r="G57" s="125">
        <v>5.0000000000000001E-3</v>
      </c>
      <c r="H57" s="65">
        <v>1200</v>
      </c>
      <c r="I57" s="125"/>
      <c r="J57" s="134" t="s">
        <v>248</v>
      </c>
      <c r="K57" s="153"/>
      <c r="L57" s="40"/>
      <c r="M57" s="153">
        <v>40</v>
      </c>
      <c r="N57" s="129"/>
      <c r="O57" s="153"/>
      <c r="P57" s="153"/>
      <c r="Q57" s="35"/>
      <c r="R57" s="35" t="s">
        <v>247</v>
      </c>
      <c r="S57" s="35" t="s">
        <v>248</v>
      </c>
      <c r="T57" s="153" t="s">
        <v>34</v>
      </c>
      <c r="U57" s="153" t="s">
        <v>34</v>
      </c>
      <c r="V57" s="153" t="s">
        <v>34</v>
      </c>
      <c r="W57" s="65">
        <v>40</v>
      </c>
      <c r="X57" s="153" t="s">
        <v>34</v>
      </c>
      <c r="Y57" s="153" t="s">
        <v>34</v>
      </c>
      <c r="Z57" s="153" t="s">
        <v>34</v>
      </c>
      <c r="AA57" s="41"/>
      <c r="AB57" s="65">
        <f>AB55</f>
        <v>115</v>
      </c>
      <c r="AC57" s="39">
        <f>AC55</f>
        <v>1.7391304347826086</v>
      </c>
      <c r="AD57" s="65">
        <f>AD55</f>
        <v>200</v>
      </c>
      <c r="AE57" s="128">
        <f>AE55</f>
        <v>120.20100502512564</v>
      </c>
      <c r="AF57" s="129">
        <f>(B57 - AE57) / AE57</f>
        <v>-0.33444816053511711</v>
      </c>
      <c r="AG57" s="35"/>
      <c r="AH57" s="200">
        <f t="shared" si="13"/>
        <v>115</v>
      </c>
      <c r="AI57" s="39">
        <f t="shared" si="13"/>
        <v>1.0434782608695652</v>
      </c>
      <c r="AJ57" s="65">
        <f t="shared" si="13"/>
        <v>120</v>
      </c>
      <c r="AK57" s="128">
        <f t="shared" si="13"/>
        <v>124.82412060301507</v>
      </c>
      <c r="AL57" s="129">
        <f>(B57 - AK57) / AK57</f>
        <v>-0.35909822866344604</v>
      </c>
      <c r="AM57" s="35"/>
      <c r="AN57" s="65">
        <f t="shared" si="14"/>
        <v>115</v>
      </c>
      <c r="AO57" s="39">
        <f t="shared" si="14"/>
        <v>0.69565217391304346</v>
      </c>
      <c r="AP57" s="65">
        <f t="shared" si="14"/>
        <v>80</v>
      </c>
      <c r="AQ57" s="65">
        <f t="shared" si="14"/>
        <v>134.07035175879395</v>
      </c>
      <c r="AR57" s="129">
        <f>(B57 - AQ57) / AQ57</f>
        <v>-0.40329835082458759</v>
      </c>
      <c r="AS57" s="35"/>
      <c r="AT57" s="201">
        <f>AT55</f>
        <v>686.57500000000005</v>
      </c>
      <c r="AU57" s="65">
        <f>AU55+W57</f>
        <v>60</v>
      </c>
      <c r="AV57" s="126">
        <f>(AC57+AI57+AI58+AO57+AO58)*B57</f>
        <v>518.26086956521738</v>
      </c>
      <c r="AW57" s="202">
        <f>(AU57+AV57-AT57)/AT57</f>
        <v>-0.15776008511055989</v>
      </c>
      <c r="AX57" s="65">
        <f>H57-AT57+AU57</f>
        <v>573.42499999999995</v>
      </c>
    </row>
    <row r="58" spans="1:54" ht="12.75" x14ac:dyDescent="0.2">
      <c r="A58" s="182"/>
      <c r="B58" s="40"/>
      <c r="C58" s="55"/>
      <c r="D58" s="129"/>
      <c r="E58" s="125"/>
      <c r="F58" s="125"/>
      <c r="G58" s="125"/>
      <c r="H58" s="125"/>
      <c r="I58" s="125"/>
      <c r="J58" s="134"/>
      <c r="K58" s="134"/>
      <c r="L58" s="40"/>
      <c r="M58" s="40"/>
      <c r="N58" s="129"/>
      <c r="O58" s="125"/>
      <c r="P58" s="125"/>
      <c r="Q58" s="35"/>
      <c r="R58" s="35"/>
      <c r="S58" s="35"/>
      <c r="T58" s="153"/>
      <c r="U58" s="153"/>
      <c r="V58" s="153"/>
      <c r="W58" s="126"/>
      <c r="X58" s="153"/>
      <c r="Y58" s="153"/>
      <c r="Z58" s="153"/>
      <c r="AA58" s="41"/>
      <c r="AB58" s="126"/>
      <c r="AC58" s="43"/>
      <c r="AD58" s="128"/>
      <c r="AE58" s="128"/>
      <c r="AF58" s="129"/>
      <c r="AG58" s="43"/>
      <c r="AH58" s="126">
        <f t="shared" si="13"/>
        <v>100</v>
      </c>
      <c r="AI58" s="43">
        <f t="shared" si="13"/>
        <v>1.7999999999999998</v>
      </c>
      <c r="AJ58" s="128">
        <f t="shared" si="13"/>
        <v>180</v>
      </c>
      <c r="AK58" s="128">
        <f t="shared" si="13"/>
        <v>108.5427135678392</v>
      </c>
      <c r="AL58" s="129">
        <f>(B57 - AK58) / AK58</f>
        <v>-0.26296296296296301</v>
      </c>
      <c r="AM58" s="35"/>
      <c r="AN58" s="126">
        <f t="shared" si="14"/>
        <v>100</v>
      </c>
      <c r="AO58" s="43">
        <f t="shared" si="14"/>
        <v>1.2000000000000002</v>
      </c>
      <c r="AP58" s="128">
        <f t="shared" si="14"/>
        <v>120</v>
      </c>
      <c r="AQ58" s="128">
        <f t="shared" si="14"/>
        <v>116.58291457286431</v>
      </c>
      <c r="AR58" s="129">
        <f>(B57 - AQ58) / AQ58</f>
        <v>-0.31379310344827582</v>
      </c>
      <c r="AS58" s="35"/>
      <c r="AT58" s="39"/>
      <c r="AU58" s="39"/>
      <c r="AV58" s="39"/>
      <c r="AW58" s="39"/>
      <c r="AX58" s="35"/>
    </row>
    <row r="59" spans="1:54" ht="12.75" x14ac:dyDescent="0.2">
      <c r="A59" s="150" t="s">
        <v>217</v>
      </c>
      <c r="B59" s="52">
        <v>115</v>
      </c>
      <c r="C59" s="62">
        <v>0.02</v>
      </c>
      <c r="D59" s="124">
        <v>0.04</v>
      </c>
      <c r="E59" s="95">
        <v>0.08</v>
      </c>
      <c r="F59" s="95">
        <v>0.16</v>
      </c>
      <c r="G59" s="95">
        <v>5.0000000000000001E-3</v>
      </c>
      <c r="H59" s="63">
        <v>1200</v>
      </c>
      <c r="I59" s="95"/>
      <c r="J59" s="133" t="s">
        <v>75</v>
      </c>
      <c r="K59" s="133" t="s">
        <v>211</v>
      </c>
      <c r="L59" s="52">
        <v>115</v>
      </c>
      <c r="M59" s="52">
        <v>700</v>
      </c>
      <c r="N59" s="124">
        <v>0.5</v>
      </c>
      <c r="O59" s="95">
        <v>0.3</v>
      </c>
      <c r="P59" s="95">
        <v>0.2</v>
      </c>
      <c r="R59" s="45" t="s">
        <v>217</v>
      </c>
      <c r="S59" s="45" t="s">
        <v>75</v>
      </c>
      <c r="T59" s="130" t="s">
        <v>211</v>
      </c>
      <c r="U59" s="122">
        <f>L59</f>
        <v>115</v>
      </c>
      <c r="V59" s="30">
        <f>W59/U59</f>
        <v>6.0869565217391308</v>
      </c>
      <c r="W59" s="122">
        <f>M59</f>
        <v>700</v>
      </c>
      <c r="X59" s="122">
        <f>U59 * (1 - ABS(C59))</f>
        <v>112.7</v>
      </c>
      <c r="Y59" s="152" t="s">
        <v>34</v>
      </c>
      <c r="Z59" s="152" t="s">
        <v>34</v>
      </c>
      <c r="AA59" s="12"/>
      <c r="AB59" s="63">
        <f>AB57</f>
        <v>115</v>
      </c>
      <c r="AC59" s="32">
        <f>AC57+(V59*N59)</f>
        <v>4.7826086956521738</v>
      </c>
      <c r="AD59" s="63">
        <f>AD57+(W59*N59)</f>
        <v>550</v>
      </c>
      <c r="AE59" s="123">
        <f>B59 * (1 + D59) / (1 - G59)</f>
        <v>120.20100502512564</v>
      </c>
      <c r="AF59" s="124">
        <f>(B59 - AE59) / AE59</f>
        <v>-4.3269230769230851E-2</v>
      </c>
      <c r="AH59" s="205">
        <f>AH57</f>
        <v>115</v>
      </c>
      <c r="AI59" s="32">
        <f>AI57+(V59*O59)</f>
        <v>2.8695652173913047</v>
      </c>
      <c r="AJ59" s="63">
        <f>AJ57+(W59*O59)</f>
        <v>330</v>
      </c>
      <c r="AK59" s="123">
        <f>AH59 * (1 + E59) / (1 - G59)</f>
        <v>124.82412060301507</v>
      </c>
      <c r="AL59" s="124">
        <f>(B59 - AK59) / AK59</f>
        <v>-7.8703703703703706E-2</v>
      </c>
      <c r="AN59" s="63">
        <f>AN57</f>
        <v>115</v>
      </c>
      <c r="AO59" s="32">
        <f>AO57+(V59*P59)</f>
        <v>1.9130434782608696</v>
      </c>
      <c r="AP59" s="63">
        <f>AP57+(W59*P59)</f>
        <v>220</v>
      </c>
      <c r="AQ59" s="123">
        <f>AN59 * (1 + F59) / (1 - G59)</f>
        <v>134.07035175879395</v>
      </c>
      <c r="AR59" s="124">
        <f>(B59 - AQ59) / AQ59</f>
        <v>-0.1422413793103447</v>
      </c>
      <c r="AT59" s="196">
        <f>AT57+W59-AU57</f>
        <v>1326.575</v>
      </c>
      <c r="AU59" s="63">
        <v>0</v>
      </c>
      <c r="AV59" s="122" t="e">
        <f>(AC59+AI59+#REF!+AO59+#REF!)*B59</f>
        <v>#REF!</v>
      </c>
      <c r="AW59" s="206" t="e">
        <f>(AU59+AV59-AT59)/AT59</f>
        <v>#REF!</v>
      </c>
      <c r="AX59" s="63">
        <f>H59-AT59+AU59</f>
        <v>-126.57500000000005</v>
      </c>
    </row>
    <row r="60" spans="1:54" ht="12.75" x14ac:dyDescent="0.2">
      <c r="A60" s="150"/>
      <c r="B60" s="33"/>
      <c r="C60" s="67"/>
      <c r="D60" s="124"/>
      <c r="E60" s="95"/>
      <c r="F60" s="95"/>
      <c r="G60" s="95"/>
      <c r="H60" s="95"/>
      <c r="L60" s="207"/>
      <c r="M60" s="207"/>
      <c r="N60" s="124"/>
      <c r="O60" s="95"/>
      <c r="P60" s="95"/>
      <c r="Q60" s="45"/>
      <c r="R60" s="45"/>
      <c r="V60" s="30"/>
      <c r="W60" s="122"/>
      <c r="X60" s="122"/>
      <c r="Y60" s="152"/>
      <c r="Z60" s="152"/>
      <c r="AA60" s="12"/>
      <c r="AB60" s="139"/>
      <c r="AC60" s="139"/>
      <c r="AD60" s="139"/>
      <c r="AE60" s="139"/>
      <c r="AF60" s="140"/>
      <c r="AG60" s="140"/>
      <c r="AH60" s="139"/>
      <c r="AI60" s="139"/>
      <c r="AJ60" s="139"/>
      <c r="AK60" s="139"/>
      <c r="AL60" s="140"/>
      <c r="AN60" s="139"/>
      <c r="AO60" s="139"/>
      <c r="AP60" s="139"/>
      <c r="AQ60" s="139"/>
      <c r="AR60" s="140"/>
    </row>
    <row r="61" spans="1:54" ht="12.75" x14ac:dyDescent="0.2">
      <c r="A61" s="208" t="s">
        <v>256</v>
      </c>
      <c r="B61" s="33"/>
      <c r="C61" s="67"/>
      <c r="D61" s="124"/>
      <c r="E61" s="95"/>
      <c r="F61" s="95"/>
      <c r="G61" s="95"/>
      <c r="H61" s="95"/>
      <c r="L61" s="207"/>
      <c r="M61" s="207"/>
      <c r="N61" s="124"/>
      <c r="O61" s="95"/>
      <c r="P61" s="95"/>
      <c r="Q61" s="45"/>
      <c r="R61" s="45"/>
      <c r="V61" s="30"/>
      <c r="W61" s="122"/>
      <c r="X61" s="122"/>
      <c r="Y61" s="152"/>
      <c r="Z61" s="152"/>
      <c r="AA61" s="12"/>
      <c r="AB61" s="139"/>
      <c r="AC61" s="139"/>
      <c r="AD61" s="139"/>
      <c r="AE61" s="139"/>
      <c r="AF61" s="140"/>
      <c r="AG61" s="140"/>
      <c r="AH61" s="139"/>
      <c r="AI61" s="139"/>
      <c r="AJ61" s="139"/>
      <c r="AK61" s="139"/>
      <c r="AL61" s="140"/>
      <c r="AN61" s="139"/>
      <c r="AO61" s="139"/>
      <c r="AP61" s="139"/>
      <c r="AQ61" s="139"/>
      <c r="AR61" s="140"/>
    </row>
    <row r="62" spans="1:54" ht="12.75" x14ac:dyDescent="0.2">
      <c r="B62" s="45" t="s">
        <v>204</v>
      </c>
      <c r="C62" s="109"/>
      <c r="J62" s="45" t="s">
        <v>202</v>
      </c>
      <c r="R62" s="45" t="s">
        <v>203</v>
      </c>
      <c r="T62" s="12"/>
      <c r="U62" s="12"/>
      <c r="V62" s="12"/>
      <c r="W62" s="12"/>
      <c r="X62" s="12"/>
      <c r="Y62" s="12"/>
      <c r="Z62" s="12"/>
      <c r="AA62" s="12"/>
      <c r="AB62" s="130" t="s">
        <v>205</v>
      </c>
      <c r="AC62" s="46"/>
      <c r="AD62" s="46"/>
      <c r="AE62" s="46"/>
      <c r="AF62" s="46"/>
      <c r="AG62" s="46"/>
      <c r="AH62" s="130" t="s">
        <v>207</v>
      </c>
      <c r="AI62" s="46"/>
      <c r="AJ62" s="46"/>
      <c r="AK62" s="46"/>
      <c r="AL62" s="46"/>
      <c r="AM62" s="45"/>
      <c r="AN62" s="130" t="s">
        <v>208</v>
      </c>
      <c r="AO62" s="12"/>
      <c r="AP62" s="12"/>
      <c r="AQ62" s="12"/>
      <c r="AR62" s="12"/>
      <c r="AT62" s="130" t="s">
        <v>206</v>
      </c>
    </row>
    <row r="63" spans="1:54" ht="12.75" x14ac:dyDescent="0.2">
      <c r="B63" s="57" t="s">
        <v>209</v>
      </c>
      <c r="C63" s="28" t="s">
        <v>190</v>
      </c>
      <c r="D63" s="57" t="s">
        <v>191</v>
      </c>
      <c r="E63" s="28" t="s">
        <v>192</v>
      </c>
      <c r="F63" s="28" t="s">
        <v>193</v>
      </c>
      <c r="G63" s="57" t="s">
        <v>112</v>
      </c>
      <c r="H63" s="57"/>
      <c r="I63" s="101"/>
      <c r="J63" s="28" t="s">
        <v>76</v>
      </c>
      <c r="K63" s="28" t="s">
        <v>4</v>
      </c>
      <c r="L63" s="57" t="s">
        <v>0</v>
      </c>
      <c r="M63" s="57" t="s">
        <v>1</v>
      </c>
      <c r="N63" s="28" t="s">
        <v>191</v>
      </c>
      <c r="O63" s="28" t="s">
        <v>192</v>
      </c>
      <c r="P63" s="28" t="s">
        <v>193</v>
      </c>
      <c r="R63" s="28"/>
      <c r="S63" s="28" t="s">
        <v>76</v>
      </c>
      <c r="T63" s="28" t="s">
        <v>4</v>
      </c>
      <c r="U63" s="57" t="s">
        <v>0</v>
      </c>
      <c r="V63" s="28" t="s">
        <v>62</v>
      </c>
      <c r="W63" s="57" t="s">
        <v>220</v>
      </c>
      <c r="X63" s="57" t="s">
        <v>190</v>
      </c>
      <c r="Y63" s="57" t="s">
        <v>194</v>
      </c>
      <c r="Z63" s="28" t="s">
        <v>195</v>
      </c>
      <c r="AA63" s="12"/>
      <c r="AB63" s="28" t="s">
        <v>0</v>
      </c>
      <c r="AC63" s="28" t="s">
        <v>196</v>
      </c>
      <c r="AD63" s="57" t="s">
        <v>1</v>
      </c>
      <c r="AE63" s="57" t="s">
        <v>197</v>
      </c>
      <c r="AF63" s="57" t="s">
        <v>198</v>
      </c>
      <c r="AG63" s="60"/>
      <c r="AH63" s="28" t="s">
        <v>0</v>
      </c>
      <c r="AI63" s="28" t="s">
        <v>196</v>
      </c>
      <c r="AJ63" s="57" t="s">
        <v>1</v>
      </c>
      <c r="AK63" s="57" t="s">
        <v>197</v>
      </c>
      <c r="AL63" s="57" t="s">
        <v>198</v>
      </c>
      <c r="AN63" s="28" t="s">
        <v>0</v>
      </c>
      <c r="AO63" s="28" t="s">
        <v>196</v>
      </c>
      <c r="AP63" s="57" t="s">
        <v>1</v>
      </c>
      <c r="AQ63" s="57" t="s">
        <v>197</v>
      </c>
      <c r="AR63" s="57" t="s">
        <v>198</v>
      </c>
      <c r="AT63" s="57" t="s">
        <v>199</v>
      </c>
      <c r="AU63" s="28" t="s">
        <v>191</v>
      </c>
      <c r="AV63" s="28" t="s">
        <v>192</v>
      </c>
      <c r="AW63" s="28" t="s">
        <v>193</v>
      </c>
    </row>
    <row r="64" spans="1:54" ht="12.75" x14ac:dyDescent="0.2">
      <c r="A64" s="110" t="s">
        <v>215</v>
      </c>
      <c r="B64" s="52">
        <v>100</v>
      </c>
      <c r="C64" s="54">
        <v>0.04</v>
      </c>
      <c r="D64" s="124">
        <v>0.04</v>
      </c>
      <c r="E64" s="95">
        <v>0.08</v>
      </c>
      <c r="F64" s="95">
        <v>0.16</v>
      </c>
      <c r="G64" s="95">
        <v>0.01</v>
      </c>
      <c r="H64" s="95"/>
      <c r="I64" s="95"/>
      <c r="J64" s="133" t="s">
        <v>75</v>
      </c>
      <c r="K64" s="133" t="s">
        <v>78</v>
      </c>
      <c r="L64" s="52">
        <v>100</v>
      </c>
      <c r="M64" s="52">
        <v>100</v>
      </c>
      <c r="N64" s="124">
        <v>0.5</v>
      </c>
      <c r="O64" s="95">
        <v>0.3</v>
      </c>
      <c r="P64" s="95">
        <v>0.2</v>
      </c>
      <c r="R64" s="45" t="s">
        <v>215</v>
      </c>
      <c r="S64" s="45" t="s">
        <v>75</v>
      </c>
      <c r="T64" s="131" t="s">
        <v>78</v>
      </c>
      <c r="U64" s="122">
        <f>L64</f>
        <v>100</v>
      </c>
      <c r="V64" s="30">
        <f>W64/U64</f>
        <v>1</v>
      </c>
      <c r="W64" s="122">
        <f>M64</f>
        <v>100</v>
      </c>
      <c r="X64" s="122">
        <f>U64 * (1 - ABS(C64))</f>
        <v>96</v>
      </c>
      <c r="Y64" s="152" t="s">
        <v>34</v>
      </c>
      <c r="Z64" s="152" t="s">
        <v>34</v>
      </c>
      <c r="AA64" s="12"/>
      <c r="AB64" s="122">
        <f>U64</f>
        <v>100</v>
      </c>
      <c r="AC64" s="30">
        <f>V64*N64</f>
        <v>0.5</v>
      </c>
      <c r="AD64" s="123">
        <f>W64*N64</f>
        <v>50</v>
      </c>
      <c r="AE64" s="123">
        <f>AB64 * (1 + D64) / (1 - G64)</f>
        <v>105.05050505050505</v>
      </c>
      <c r="AF64" s="124">
        <f>(B64 - AE64) / AE64</f>
        <v>-4.8076923076923087E-2</v>
      </c>
      <c r="AG64" s="30"/>
      <c r="AH64" s="122">
        <f>U64</f>
        <v>100</v>
      </c>
      <c r="AI64" s="30">
        <f>V64*O64</f>
        <v>0.3</v>
      </c>
      <c r="AJ64" s="123">
        <f>W64*O64</f>
        <v>30</v>
      </c>
      <c r="AK64" s="123">
        <f>AH64 * (1 + E64) / (1 - G64)</f>
        <v>109.09090909090909</v>
      </c>
      <c r="AL64" s="124">
        <f>(B64 - AK64) / AK64</f>
        <v>-8.3333333333333356E-2</v>
      </c>
      <c r="AN64" s="122">
        <f>U64</f>
        <v>100</v>
      </c>
      <c r="AO64" s="30">
        <f>V64*P64</f>
        <v>0.2</v>
      </c>
      <c r="AP64" s="123">
        <f>W64*P64</f>
        <v>20</v>
      </c>
      <c r="AQ64" s="123">
        <f>AN64 * (1 + F64) / (1 - G64)</f>
        <v>117.17171717171716</v>
      </c>
      <c r="AR64" s="124">
        <f>(B64 - AQ64) / AQ64</f>
        <v>-0.14655172413793097</v>
      </c>
      <c r="AT64" s="32">
        <f>AC64+AI64+AO64</f>
        <v>1</v>
      </c>
      <c r="AU64" s="32">
        <f>AC64</f>
        <v>0.5</v>
      </c>
      <c r="AV64" s="32">
        <f>AI64</f>
        <v>0.3</v>
      </c>
      <c r="AW64" s="32">
        <f>AO64</f>
        <v>0.2</v>
      </c>
    </row>
    <row r="65" spans="1:54" ht="12.75" x14ac:dyDescent="0.2">
      <c r="A65" s="182" t="s">
        <v>258</v>
      </c>
      <c r="B65" s="36"/>
      <c r="C65" s="209"/>
      <c r="D65" s="129"/>
      <c r="E65" s="125"/>
      <c r="F65" s="125"/>
      <c r="G65" s="125"/>
      <c r="H65" s="125"/>
      <c r="I65" s="35"/>
      <c r="J65" s="35"/>
      <c r="K65" s="35"/>
      <c r="L65" s="210"/>
      <c r="M65" s="210"/>
      <c r="N65" s="129"/>
      <c r="O65" s="125"/>
      <c r="P65" s="125"/>
      <c r="Q65" s="47"/>
      <c r="R65" s="47"/>
      <c r="S65" s="35"/>
      <c r="T65" s="35"/>
      <c r="U65" s="35"/>
      <c r="V65" s="43"/>
      <c r="W65" s="126"/>
      <c r="X65" s="126"/>
      <c r="Y65" s="153"/>
      <c r="Z65" s="153"/>
      <c r="AA65" s="41"/>
      <c r="AB65" s="212"/>
      <c r="AC65" s="212"/>
      <c r="AD65" s="212"/>
      <c r="AE65" s="212"/>
      <c r="AF65" s="170"/>
      <c r="AG65" s="170"/>
      <c r="AH65" s="212"/>
      <c r="AI65" s="212"/>
      <c r="AJ65" s="212"/>
      <c r="AK65" s="212"/>
      <c r="AL65" s="170"/>
      <c r="AM65" s="35"/>
      <c r="AN65" s="212"/>
      <c r="AO65" s="212"/>
      <c r="AP65" s="212"/>
      <c r="AQ65" s="212"/>
      <c r="AR65" s="170"/>
      <c r="AS65" s="35"/>
      <c r="AT65" s="35"/>
      <c r="AU65" s="35"/>
      <c r="AV65" s="35"/>
      <c r="AW65" s="35"/>
    </row>
    <row r="66" spans="1:54" ht="12.75" x14ac:dyDescent="0.2">
      <c r="A66" s="150" t="s">
        <v>218</v>
      </c>
      <c r="B66" s="52">
        <v>100</v>
      </c>
      <c r="C66" s="54">
        <v>0.04</v>
      </c>
      <c r="D66" s="124">
        <v>0.04</v>
      </c>
      <c r="E66" s="95">
        <v>0.08</v>
      </c>
      <c r="F66" s="95">
        <v>0.16</v>
      </c>
      <c r="G66" s="95">
        <v>0.01</v>
      </c>
      <c r="H66" s="95"/>
      <c r="J66" s="133" t="s">
        <v>73</v>
      </c>
      <c r="K66" s="130" t="s">
        <v>211</v>
      </c>
      <c r="L66" s="52">
        <v>100</v>
      </c>
      <c r="M66" s="152" t="s">
        <v>34</v>
      </c>
      <c r="N66" s="152" t="s">
        <v>34</v>
      </c>
      <c r="O66" s="152" t="s">
        <v>34</v>
      </c>
      <c r="P66" s="95">
        <v>1</v>
      </c>
      <c r="R66" s="45" t="s">
        <v>218</v>
      </c>
      <c r="S66" s="45" t="s">
        <v>73</v>
      </c>
      <c r="T66" s="130" t="s">
        <v>211</v>
      </c>
      <c r="U66" s="122">
        <f>L66</f>
        <v>100</v>
      </c>
      <c r="V66" s="30">
        <f>AO64*P66</f>
        <v>0.2</v>
      </c>
      <c r="W66" s="122">
        <f>U66*V66-(U66*V66*G66)</f>
        <v>19.8</v>
      </c>
      <c r="X66" s="152" t="s">
        <v>34</v>
      </c>
      <c r="Y66" s="158">
        <f>W66-(U64*V66)</f>
        <v>-0.19999999999999929</v>
      </c>
      <c r="Z66" s="211">
        <f>Y66/(U64*V66)</f>
        <v>-9.9999999999999638E-3</v>
      </c>
      <c r="AA66" s="12"/>
      <c r="AB66" s="122">
        <f>U66</f>
        <v>100</v>
      </c>
      <c r="AC66" s="30">
        <f>AC64</f>
        <v>0.5</v>
      </c>
      <c r="AD66" s="123">
        <f>AD64</f>
        <v>50</v>
      </c>
      <c r="AE66" s="123">
        <f>AE64</f>
        <v>105.05050505050505</v>
      </c>
      <c r="AF66" s="124">
        <f>AF64</f>
        <v>-4.8076923076923087E-2</v>
      </c>
      <c r="AG66" s="30"/>
      <c r="AH66" s="122">
        <f>AH64</f>
        <v>100</v>
      </c>
      <c r="AI66" s="30">
        <f>AI64</f>
        <v>0.3</v>
      </c>
      <c r="AJ66" s="123">
        <f>AJ64</f>
        <v>30</v>
      </c>
      <c r="AK66" s="123">
        <f>AK64</f>
        <v>109.09090909090909</v>
      </c>
      <c r="AL66" s="124">
        <f>AL64</f>
        <v>-8.3333333333333356E-2</v>
      </c>
      <c r="AN66" s="162"/>
      <c r="AO66" s="163"/>
      <c r="AP66" s="164"/>
      <c r="AQ66" s="164"/>
      <c r="AR66" s="148"/>
      <c r="AT66" s="32">
        <f>AC66+AI66+AO66</f>
        <v>0.8</v>
      </c>
      <c r="AU66" s="32">
        <f>AC66</f>
        <v>0.5</v>
      </c>
      <c r="AV66" s="32">
        <f>AI66</f>
        <v>0.3</v>
      </c>
      <c r="AW66" s="32">
        <f>AO66</f>
        <v>0</v>
      </c>
    </row>
    <row r="67" spans="1:54" ht="12.75" x14ac:dyDescent="0.2">
      <c r="A67" s="182" t="s">
        <v>257</v>
      </c>
      <c r="B67" s="36"/>
      <c r="C67" s="209"/>
      <c r="D67" s="129"/>
      <c r="E67" s="125"/>
      <c r="F67" s="125"/>
      <c r="G67" s="125"/>
      <c r="H67" s="125"/>
      <c r="I67" s="35"/>
      <c r="J67" s="35"/>
      <c r="K67" s="35"/>
      <c r="L67" s="210"/>
      <c r="M67" s="210"/>
      <c r="N67" s="129"/>
      <c r="O67" s="125"/>
      <c r="P67" s="125"/>
      <c r="Q67" s="47"/>
      <c r="R67" s="47"/>
      <c r="S67" s="35"/>
      <c r="T67" s="35"/>
      <c r="U67" s="35"/>
      <c r="V67" s="43"/>
      <c r="W67" s="126"/>
      <c r="X67" s="126"/>
      <c r="Y67" s="153"/>
      <c r="Z67" s="153"/>
      <c r="AA67" s="41"/>
      <c r="AB67" s="212"/>
      <c r="AC67" s="212"/>
      <c r="AD67" s="212"/>
      <c r="AE67" s="212"/>
      <c r="AF67" s="170"/>
      <c r="AG67" s="170"/>
      <c r="AH67" s="212"/>
      <c r="AI67" s="212"/>
      <c r="AJ67" s="212"/>
      <c r="AK67" s="212"/>
      <c r="AL67" s="170"/>
      <c r="AM67" s="35"/>
      <c r="AN67" s="212"/>
      <c r="AO67" s="212"/>
      <c r="AP67" s="212"/>
      <c r="AQ67" s="212"/>
      <c r="AR67" s="170"/>
      <c r="AS67" s="35"/>
      <c r="AT67" s="35"/>
      <c r="AU67" s="35"/>
      <c r="AV67" s="35"/>
      <c r="AW67" s="35"/>
    </row>
    <row r="68" spans="1:54" ht="12.75" x14ac:dyDescent="0.2">
      <c r="A68" s="150" t="s">
        <v>259</v>
      </c>
      <c r="B68" s="52">
        <v>100</v>
      </c>
      <c r="C68" s="54">
        <v>0.04</v>
      </c>
      <c r="D68" s="124">
        <v>0.04</v>
      </c>
      <c r="E68" s="95">
        <v>0.08</v>
      </c>
      <c r="F68" s="95"/>
      <c r="G68" s="95">
        <v>0.01</v>
      </c>
      <c r="H68" s="95"/>
      <c r="J68" s="133"/>
      <c r="K68" s="130"/>
      <c r="L68" s="52"/>
      <c r="M68" s="152"/>
      <c r="N68" s="152"/>
      <c r="O68" s="152"/>
      <c r="P68" s="95"/>
      <c r="R68" s="45"/>
      <c r="S68" s="45"/>
      <c r="T68" s="130"/>
      <c r="U68" s="122"/>
      <c r="V68" s="30"/>
      <c r="W68" s="122"/>
      <c r="X68" s="152"/>
      <c r="Y68" s="158"/>
      <c r="Z68" s="211"/>
      <c r="AA68" s="12"/>
      <c r="AB68" s="122">
        <f>AB66</f>
        <v>100</v>
      </c>
      <c r="AC68" s="30">
        <f>AC66</f>
        <v>0.5</v>
      </c>
      <c r="AD68" s="123">
        <f>AD66</f>
        <v>50</v>
      </c>
      <c r="AE68" s="123">
        <f>AE66</f>
        <v>105.05050505050505</v>
      </c>
      <c r="AF68" s="124">
        <f>AF66</f>
        <v>-4.8076923076923087E-2</v>
      </c>
      <c r="AG68" s="30"/>
      <c r="AH68" s="122">
        <f>AH66</f>
        <v>100</v>
      </c>
      <c r="AI68" s="30">
        <f>AI66</f>
        <v>0.3</v>
      </c>
      <c r="AJ68" s="123">
        <f>AJ66</f>
        <v>30</v>
      </c>
      <c r="AK68" s="123">
        <f>AK66</f>
        <v>109.09090909090909</v>
      </c>
      <c r="AL68" s="124">
        <f>AL66</f>
        <v>-8.3333333333333356E-2</v>
      </c>
      <c r="AN68" s="204" t="s">
        <v>260</v>
      </c>
      <c r="AO68" s="163"/>
      <c r="AP68" s="164"/>
      <c r="AQ68" s="164"/>
      <c r="AR68" s="148"/>
      <c r="AT68" s="32">
        <f>AC68+AI68+AO68</f>
        <v>0.8</v>
      </c>
      <c r="AU68" s="32">
        <f>AC68</f>
        <v>0.5</v>
      </c>
      <c r="AV68" s="32">
        <f>AI68</f>
        <v>0.3</v>
      </c>
      <c r="AW68" s="32"/>
    </row>
    <row r="69" spans="1:54" ht="25.5" x14ac:dyDescent="0.2">
      <c r="A69" s="150" t="s">
        <v>261</v>
      </c>
      <c r="B69" s="33"/>
      <c r="C69" s="67"/>
      <c r="D69" s="124"/>
      <c r="E69" s="95"/>
      <c r="F69" s="95"/>
      <c r="G69" s="95"/>
      <c r="H69" s="95"/>
      <c r="L69" s="207"/>
      <c r="M69" s="207"/>
      <c r="N69" s="124"/>
      <c r="O69" s="95"/>
      <c r="P69" s="95"/>
      <c r="Q69" s="45"/>
      <c r="R69" s="45"/>
      <c r="V69" s="30"/>
      <c r="W69" s="122"/>
      <c r="X69" s="122"/>
      <c r="Y69" s="152"/>
      <c r="Z69" s="152"/>
      <c r="AA69" s="12"/>
      <c r="AB69" s="139"/>
      <c r="AC69" s="139"/>
      <c r="AD69" s="139"/>
      <c r="AE69" s="139"/>
      <c r="AF69" s="140"/>
      <c r="AG69" s="140"/>
      <c r="AH69" s="139"/>
      <c r="AI69" s="139"/>
      <c r="AJ69" s="139"/>
      <c r="AK69" s="139"/>
      <c r="AL69" s="140"/>
      <c r="AN69" s="139"/>
      <c r="AO69" s="139"/>
      <c r="AP69" s="139"/>
      <c r="AQ69" s="139"/>
      <c r="AR69" s="140"/>
    </row>
    <row r="70" spans="1:54" ht="12.75" x14ac:dyDescent="0.2">
      <c r="A70" t="s">
        <v>253</v>
      </c>
      <c r="C70" s="67"/>
      <c r="D70" s="124"/>
      <c r="E70" s="95"/>
      <c r="F70" s="95"/>
      <c r="G70" s="95"/>
      <c r="H70" s="95"/>
      <c r="L70" s="207"/>
      <c r="M70" s="207"/>
      <c r="N70" s="124"/>
      <c r="O70" s="95"/>
      <c r="P70" s="95"/>
      <c r="Q70" s="45"/>
      <c r="R70" s="45"/>
      <c r="V70" s="30"/>
      <c r="W70" s="122"/>
      <c r="X70" s="122"/>
      <c r="Y70" s="152"/>
      <c r="Z70" s="152"/>
      <c r="AA70" s="12"/>
      <c r="AB70" s="139"/>
      <c r="AC70" s="139"/>
      <c r="AD70" s="139"/>
      <c r="AE70" s="139"/>
      <c r="AF70" s="140"/>
      <c r="AG70" s="140"/>
      <c r="AH70" s="139"/>
      <c r="AI70" s="139"/>
      <c r="AJ70" s="139"/>
      <c r="AK70" s="139"/>
      <c r="AL70" s="140"/>
      <c r="AN70" s="139"/>
      <c r="AO70" s="139"/>
      <c r="AP70" s="139"/>
      <c r="AQ70" s="139"/>
      <c r="AR70" s="140"/>
    </row>
    <row r="71" spans="1:54" ht="12.75" x14ac:dyDescent="0.2">
      <c r="A71" t="s">
        <v>254</v>
      </c>
      <c r="C71" s="67"/>
      <c r="D71" s="124"/>
      <c r="E71" s="95"/>
      <c r="F71" s="95"/>
      <c r="G71" s="95"/>
      <c r="H71" s="95"/>
      <c r="L71" s="207"/>
      <c r="M71" s="207"/>
      <c r="N71" s="124"/>
      <c r="O71" s="95"/>
      <c r="P71" s="95"/>
      <c r="Q71" s="45"/>
      <c r="R71" s="45"/>
      <c r="V71" s="30"/>
      <c r="W71" s="122"/>
      <c r="X71" s="122"/>
      <c r="Y71" s="152"/>
      <c r="Z71" s="152"/>
      <c r="AA71" s="12"/>
      <c r="AB71" s="139"/>
      <c r="AC71" s="139"/>
      <c r="AD71" s="139"/>
      <c r="AE71" s="139"/>
      <c r="AF71" s="140"/>
      <c r="AG71" s="140"/>
      <c r="AH71" s="139"/>
      <c r="AI71" s="139"/>
      <c r="AJ71" s="139"/>
      <c r="AK71" s="139"/>
      <c r="AL71" s="140"/>
      <c r="AN71" s="139"/>
      <c r="AO71" s="139"/>
      <c r="AP71" s="139"/>
      <c r="AQ71" s="139"/>
      <c r="AR71" s="140"/>
    </row>
    <row r="72" spans="1:54" ht="12.75" x14ac:dyDescent="0.2">
      <c r="A72" t="s">
        <v>251</v>
      </c>
      <c r="C72" s="67"/>
      <c r="D72" s="124"/>
      <c r="E72" s="95"/>
      <c r="F72" s="95"/>
      <c r="G72" s="95"/>
      <c r="H72" s="95"/>
      <c r="L72" s="207"/>
      <c r="M72" s="207"/>
      <c r="N72" s="124"/>
      <c r="O72" s="95"/>
      <c r="P72" s="95"/>
      <c r="Q72" s="45"/>
      <c r="R72" s="45"/>
      <c r="V72" s="30"/>
      <c r="W72" s="122"/>
      <c r="X72" s="122"/>
      <c r="Y72" s="152"/>
      <c r="Z72" s="152"/>
      <c r="AA72" s="12"/>
      <c r="AB72" s="139"/>
      <c r="AC72" s="139"/>
      <c r="AD72" s="139"/>
      <c r="AE72" s="139"/>
      <c r="AF72" s="140"/>
      <c r="AG72" s="140"/>
      <c r="AH72" s="139"/>
      <c r="AI72" s="139"/>
      <c r="AJ72" s="139"/>
      <c r="AK72" s="139"/>
      <c r="AL72" s="140"/>
      <c r="AN72" s="139"/>
      <c r="AO72" s="139"/>
      <c r="AP72" s="139"/>
      <c r="AQ72" s="139"/>
      <c r="AR72" s="140"/>
    </row>
    <row r="73" spans="1:54" ht="12.75" x14ac:dyDescent="0.2">
      <c r="A73" t="s">
        <v>252</v>
      </c>
      <c r="C73" s="67"/>
      <c r="D73" s="124"/>
      <c r="E73" s="95"/>
      <c r="F73" s="95"/>
      <c r="G73" s="95"/>
      <c r="H73" s="95"/>
      <c r="L73" s="207"/>
      <c r="M73" s="207"/>
      <c r="N73" s="124"/>
      <c r="O73" s="95"/>
      <c r="P73" s="95"/>
      <c r="Q73" s="45"/>
      <c r="R73" s="45"/>
      <c r="V73" s="30"/>
      <c r="W73" s="122"/>
      <c r="X73" s="122"/>
      <c r="Y73" s="152"/>
      <c r="Z73" s="152"/>
      <c r="AA73" s="12"/>
      <c r="AB73" s="139"/>
      <c r="AC73" s="139"/>
      <c r="AD73" s="139"/>
      <c r="AE73" s="139"/>
      <c r="AF73" s="140"/>
      <c r="AG73" s="140"/>
      <c r="AH73" s="139"/>
      <c r="AI73" s="139"/>
      <c r="AJ73" s="139"/>
      <c r="AK73" s="139"/>
      <c r="AL73" s="140"/>
      <c r="AN73" s="139"/>
      <c r="AO73" s="139"/>
      <c r="AP73" s="139"/>
      <c r="AQ73" s="139"/>
      <c r="AR73" s="140"/>
    </row>
    <row r="74" spans="1:54" ht="12.75" x14ac:dyDescent="0.2">
      <c r="A74" t="s">
        <v>255</v>
      </c>
      <c r="C74" s="67"/>
      <c r="D74" s="124"/>
      <c r="E74" s="95"/>
      <c r="F74" s="95"/>
      <c r="G74" s="95"/>
      <c r="H74" s="95"/>
      <c r="L74" s="207"/>
      <c r="M74" s="207"/>
      <c r="N74" s="124"/>
      <c r="O74" s="95"/>
      <c r="P74" s="95"/>
      <c r="Q74" s="45"/>
      <c r="R74" s="45"/>
      <c r="V74" s="30"/>
      <c r="W74" s="122"/>
      <c r="X74" s="122"/>
      <c r="Y74" s="152"/>
      <c r="Z74" s="152"/>
      <c r="AA74" s="12"/>
      <c r="AB74" s="139"/>
      <c r="AC74" s="139"/>
      <c r="AD74" s="139"/>
      <c r="AE74" s="139"/>
      <c r="AF74" s="140"/>
      <c r="AG74" s="140"/>
      <c r="AH74" s="139"/>
      <c r="AI74" s="139"/>
      <c r="AJ74" s="139"/>
      <c r="AK74" s="139"/>
      <c r="AL74" s="140"/>
      <c r="AN74" s="139"/>
      <c r="AO74" s="139"/>
      <c r="AP74" s="139"/>
      <c r="AQ74" s="139"/>
      <c r="AR74" s="140"/>
    </row>
    <row r="75" spans="1:54" ht="12.75" x14ac:dyDescent="0.2">
      <c r="A75" s="182" t="s">
        <v>262</v>
      </c>
      <c r="B75" s="40">
        <v>100</v>
      </c>
      <c r="C75" s="55">
        <v>0.04</v>
      </c>
      <c r="D75" s="129">
        <v>0.05</v>
      </c>
      <c r="E75" s="125">
        <v>0.08</v>
      </c>
      <c r="F75" s="125"/>
      <c r="G75" s="125">
        <v>0.01</v>
      </c>
      <c r="H75" s="125"/>
      <c r="I75" s="35"/>
      <c r="J75" s="35"/>
      <c r="K75" s="35"/>
      <c r="L75" s="210"/>
      <c r="M75" s="210"/>
      <c r="N75" s="129"/>
      <c r="O75" s="125"/>
      <c r="P75" s="125"/>
      <c r="Q75" s="47"/>
      <c r="R75" s="47"/>
      <c r="S75" s="35"/>
      <c r="T75" s="35"/>
      <c r="U75" s="35"/>
      <c r="V75" s="43"/>
      <c r="W75" s="126"/>
      <c r="X75" s="126"/>
      <c r="Y75" s="153"/>
      <c r="Z75" s="153"/>
      <c r="AA75" s="41"/>
      <c r="AB75" s="126">
        <f>AB68</f>
        <v>100</v>
      </c>
      <c r="AC75" s="43">
        <f>AC68</f>
        <v>0.5</v>
      </c>
      <c r="AD75" s="128">
        <f>AD68</f>
        <v>50</v>
      </c>
      <c r="AE75" s="128">
        <f>AB75 * (1 + D75) / (1 - G75)</f>
        <v>106.06060606060606</v>
      </c>
      <c r="AF75" s="129">
        <f>(B75 - AE75) / AE75</f>
        <v>-5.7142857142857155E-2</v>
      </c>
      <c r="AG75" s="43"/>
      <c r="AH75" s="126">
        <f>AH68</f>
        <v>100</v>
      </c>
      <c r="AI75" s="43">
        <f>AI68</f>
        <v>0.3</v>
      </c>
      <c r="AJ75" s="128">
        <f>AJ68</f>
        <v>30</v>
      </c>
      <c r="AK75" s="128">
        <f>AK68</f>
        <v>109.09090909090909</v>
      </c>
      <c r="AL75" s="129">
        <f>AL68</f>
        <v>-8.3333333333333356E-2</v>
      </c>
      <c r="AM75" s="35"/>
      <c r="AN75" s="212"/>
      <c r="AO75" s="212"/>
      <c r="AP75" s="212"/>
      <c r="AQ75" s="212"/>
      <c r="AR75" s="170"/>
      <c r="AS75" s="35"/>
      <c r="AT75" s="39">
        <f>AC75+AI75+AO75</f>
        <v>0.8</v>
      </c>
      <c r="AU75" s="39">
        <f>AC75</f>
        <v>0.5</v>
      </c>
      <c r="AV75" s="39">
        <f>AI75</f>
        <v>0.3</v>
      </c>
      <c r="AW75" s="35"/>
    </row>
    <row r="76" spans="1:54" ht="12.75" x14ac:dyDescent="0.2">
      <c r="A76" s="150"/>
      <c r="B76" s="33"/>
      <c r="C76" s="67"/>
      <c r="D76" s="124"/>
      <c r="E76" s="95"/>
      <c r="F76" s="95"/>
      <c r="G76" s="95"/>
      <c r="H76" s="95"/>
      <c r="L76" s="207"/>
      <c r="M76" s="207"/>
      <c r="N76" s="124"/>
      <c r="O76" s="95"/>
      <c r="P76" s="95"/>
      <c r="Q76" s="45"/>
      <c r="R76" s="45"/>
      <c r="V76" s="30"/>
      <c r="W76" s="122"/>
      <c r="X76" s="122"/>
      <c r="Y76" s="152"/>
      <c r="Z76" s="152"/>
      <c r="AA76" s="12"/>
      <c r="AB76" s="139"/>
      <c r="AC76" s="139"/>
      <c r="AD76" s="139"/>
      <c r="AE76" s="139"/>
      <c r="AF76" s="140"/>
      <c r="AG76" s="140"/>
      <c r="AH76" s="139"/>
      <c r="AI76" s="139"/>
      <c r="AJ76" s="139"/>
      <c r="AK76" s="139"/>
      <c r="AL76" s="140"/>
      <c r="AN76" s="139"/>
      <c r="AO76" s="139"/>
      <c r="AP76" s="139"/>
      <c r="AQ76" s="139"/>
      <c r="AR76" s="140"/>
    </row>
    <row r="77" spans="1:54" ht="12.75" x14ac:dyDescent="0.2">
      <c r="A77" s="208" t="s">
        <v>265</v>
      </c>
      <c r="B77" s="33"/>
      <c r="C77" s="67"/>
      <c r="D77" s="124"/>
      <c r="E77" s="95"/>
      <c r="F77" s="95"/>
      <c r="G77" s="95"/>
      <c r="H77" s="95"/>
      <c r="L77" s="207"/>
      <c r="M77" s="207"/>
      <c r="N77" s="124"/>
      <c r="O77" s="95"/>
      <c r="P77" s="95"/>
      <c r="Q77" s="45"/>
      <c r="R77" s="45"/>
      <c r="V77" s="30"/>
      <c r="W77" s="122"/>
      <c r="X77" s="122"/>
      <c r="Y77" s="152"/>
      <c r="Z77" s="152"/>
      <c r="AA77" s="12"/>
      <c r="AB77" s="139"/>
      <c r="AC77" s="139"/>
      <c r="AD77" s="139"/>
      <c r="AE77" s="139"/>
      <c r="AF77" s="140"/>
      <c r="AG77" s="140"/>
      <c r="AH77" s="139"/>
      <c r="AI77" s="139"/>
      <c r="AJ77" s="139"/>
      <c r="AK77" s="139"/>
      <c r="AL77" s="140"/>
      <c r="AN77" s="139"/>
      <c r="AO77" s="139"/>
      <c r="AP77" s="139"/>
      <c r="AQ77" s="139"/>
      <c r="AR77" s="140"/>
    </row>
    <row r="78" spans="1:54" ht="12.75" x14ac:dyDescent="0.2">
      <c r="B78" s="45" t="s">
        <v>204</v>
      </c>
      <c r="C78" s="109"/>
      <c r="J78" s="45" t="s">
        <v>202</v>
      </c>
      <c r="R78" s="45" t="s">
        <v>203</v>
      </c>
      <c r="T78" s="12"/>
      <c r="U78" s="12"/>
      <c r="V78" s="12"/>
      <c r="W78" s="12"/>
      <c r="X78" s="12"/>
      <c r="Y78" s="12"/>
      <c r="Z78" s="12"/>
      <c r="AA78" s="12"/>
      <c r="AB78" s="130" t="s">
        <v>205</v>
      </c>
      <c r="AC78" s="46"/>
      <c r="AD78" s="46"/>
      <c r="AE78" s="46"/>
      <c r="AF78" s="46"/>
      <c r="AG78" s="46"/>
      <c r="AH78" s="130" t="s">
        <v>207</v>
      </c>
      <c r="AI78" s="46"/>
      <c r="AJ78" s="46"/>
      <c r="AK78" s="46"/>
      <c r="AL78" s="46"/>
      <c r="AM78" s="45"/>
      <c r="AN78" s="130" t="s">
        <v>208</v>
      </c>
      <c r="AO78" s="12"/>
      <c r="AP78" s="12"/>
      <c r="AQ78" s="12"/>
      <c r="AR78" s="12"/>
      <c r="AT78" s="130" t="s">
        <v>206</v>
      </c>
    </row>
    <row r="79" spans="1:54" ht="12.75" x14ac:dyDescent="0.2">
      <c r="B79" s="57" t="s">
        <v>209</v>
      </c>
      <c r="C79" s="28" t="s">
        <v>190</v>
      </c>
      <c r="D79" s="57" t="s">
        <v>191</v>
      </c>
      <c r="E79" s="28" t="s">
        <v>192</v>
      </c>
      <c r="F79" s="28" t="s">
        <v>193</v>
      </c>
      <c r="G79" s="57" t="s">
        <v>112</v>
      </c>
      <c r="H79" s="57" t="s">
        <v>243</v>
      </c>
      <c r="I79" s="101"/>
      <c r="J79" s="28" t="s">
        <v>76</v>
      </c>
      <c r="K79" s="28" t="s">
        <v>4</v>
      </c>
      <c r="L79" s="57" t="s">
        <v>0</v>
      </c>
      <c r="M79" s="57" t="s">
        <v>1</v>
      </c>
      <c r="N79" s="28" t="s">
        <v>191</v>
      </c>
      <c r="O79" s="28" t="s">
        <v>192</v>
      </c>
      <c r="P79" s="28" t="s">
        <v>193</v>
      </c>
      <c r="R79" s="28"/>
      <c r="S79" s="28" t="s">
        <v>76</v>
      </c>
      <c r="T79" s="28" t="s">
        <v>4</v>
      </c>
      <c r="U79" s="57" t="s">
        <v>0</v>
      </c>
      <c r="V79" s="28" t="s">
        <v>62</v>
      </c>
      <c r="W79" s="57" t="s">
        <v>220</v>
      </c>
      <c r="X79" s="57" t="s">
        <v>190</v>
      </c>
      <c r="Y79" s="57" t="s">
        <v>194</v>
      </c>
      <c r="Z79" s="28" t="s">
        <v>195</v>
      </c>
      <c r="AA79" s="12"/>
      <c r="AB79" s="28" t="s">
        <v>0</v>
      </c>
      <c r="AC79" s="28" t="s">
        <v>196</v>
      </c>
      <c r="AD79" s="57" t="s">
        <v>1</v>
      </c>
      <c r="AE79" s="57" t="s">
        <v>197</v>
      </c>
      <c r="AF79" s="57" t="s">
        <v>198</v>
      </c>
      <c r="AG79" s="60"/>
      <c r="AH79" s="28" t="s">
        <v>0</v>
      </c>
      <c r="AI79" s="28" t="s">
        <v>196</v>
      </c>
      <c r="AJ79" s="57" t="s">
        <v>1</v>
      </c>
      <c r="AK79" s="57" t="s">
        <v>197</v>
      </c>
      <c r="AL79" s="57" t="s">
        <v>198</v>
      </c>
      <c r="AN79" s="28" t="s">
        <v>0</v>
      </c>
      <c r="AO79" s="28" t="s">
        <v>196</v>
      </c>
      <c r="AP79" s="57" t="s">
        <v>1</v>
      </c>
      <c r="AQ79" s="57" t="s">
        <v>197</v>
      </c>
      <c r="AR79" s="57" t="s">
        <v>198</v>
      </c>
      <c r="AT79" s="57" t="s">
        <v>199</v>
      </c>
      <c r="AU79" s="28" t="s">
        <v>191</v>
      </c>
      <c r="AV79" s="28" t="s">
        <v>192</v>
      </c>
      <c r="AW79" s="28" t="s">
        <v>193</v>
      </c>
      <c r="AX79" s="57" t="s">
        <v>79</v>
      </c>
      <c r="AY79" s="57" t="s">
        <v>241</v>
      </c>
      <c r="AZ79" s="57" t="s">
        <v>240</v>
      </c>
      <c r="BA79" s="57" t="s">
        <v>250</v>
      </c>
      <c r="BB79" s="57" t="s">
        <v>242</v>
      </c>
    </row>
    <row r="80" spans="1:54" ht="12.75" x14ac:dyDescent="0.2">
      <c r="A80" s="110" t="s">
        <v>215</v>
      </c>
      <c r="B80" s="52">
        <v>100</v>
      </c>
      <c r="C80" s="54">
        <v>0.02</v>
      </c>
      <c r="D80" s="124">
        <v>0.04</v>
      </c>
      <c r="E80" s="95">
        <v>0.08</v>
      </c>
      <c r="F80" s="95">
        <v>0.16</v>
      </c>
      <c r="G80" s="95">
        <v>5.0000000000000001E-3</v>
      </c>
      <c r="H80" s="63">
        <v>1200</v>
      </c>
      <c r="I80" s="95"/>
      <c r="J80" s="133" t="s">
        <v>75</v>
      </c>
      <c r="K80" s="133" t="s">
        <v>78</v>
      </c>
      <c r="L80" s="52">
        <v>100</v>
      </c>
      <c r="M80" s="52">
        <v>300</v>
      </c>
      <c r="N80" s="124">
        <v>0.5</v>
      </c>
      <c r="O80" s="95">
        <v>0.3</v>
      </c>
      <c r="P80" s="95">
        <v>0.2</v>
      </c>
      <c r="R80" s="45" t="s">
        <v>215</v>
      </c>
      <c r="S80" s="45" t="s">
        <v>75</v>
      </c>
      <c r="T80" s="131" t="s">
        <v>78</v>
      </c>
      <c r="U80" s="122">
        <f>L80</f>
        <v>100</v>
      </c>
      <c r="V80" s="30">
        <f>W80/U80</f>
        <v>3</v>
      </c>
      <c r="W80" s="122">
        <f>M80</f>
        <v>300</v>
      </c>
      <c r="X80" s="122">
        <f>U80 * (1 - ABS(C80))</f>
        <v>98</v>
      </c>
      <c r="Y80" s="152" t="s">
        <v>34</v>
      </c>
      <c r="Z80" s="152" t="s">
        <v>34</v>
      </c>
      <c r="AA80" s="12"/>
      <c r="AB80" s="122">
        <f>U80</f>
        <v>100</v>
      </c>
      <c r="AC80" s="30">
        <f>V80*N80</f>
        <v>1.5</v>
      </c>
      <c r="AD80" s="123">
        <f>W80*N80</f>
        <v>150</v>
      </c>
      <c r="AE80" s="123">
        <f>AB80 * (1 + D80) / (1 - G80)</f>
        <v>104.52261306532664</v>
      </c>
      <c r="AF80" s="124">
        <f>(B80 - AE80) / AE80</f>
        <v>-4.3269230769230817E-2</v>
      </c>
      <c r="AG80" s="30"/>
      <c r="AH80" s="122">
        <f>U80</f>
        <v>100</v>
      </c>
      <c r="AI80" s="30">
        <f>V80*O80</f>
        <v>0.89999999999999991</v>
      </c>
      <c r="AJ80" s="123">
        <f>W80*O80</f>
        <v>90</v>
      </c>
      <c r="AK80" s="123">
        <f>AH80 * (1 + E80) / (1 - G80)</f>
        <v>108.5427135678392</v>
      </c>
      <c r="AL80" s="124">
        <f>(B80 - AK80) / AK80</f>
        <v>-7.8703703703703748E-2</v>
      </c>
      <c r="AN80" s="122">
        <f>U80</f>
        <v>100</v>
      </c>
      <c r="AO80" s="30">
        <f>V80*P80</f>
        <v>0.60000000000000009</v>
      </c>
      <c r="AP80" s="123">
        <f>W80*P80</f>
        <v>60</v>
      </c>
      <c r="AQ80" s="123">
        <f>AN80 * (1 + F80) / (1 - G80)</f>
        <v>116.58291457286431</v>
      </c>
      <c r="AR80" s="124">
        <f>(B80 - AQ80) / AQ80</f>
        <v>-0.14224137931034475</v>
      </c>
      <c r="AT80" s="32">
        <f>AW80+AV80+AU80</f>
        <v>3</v>
      </c>
      <c r="AU80" s="32">
        <f>AC80</f>
        <v>1.5</v>
      </c>
      <c r="AV80" s="32">
        <f>AI80</f>
        <v>0.89999999999999991</v>
      </c>
      <c r="AW80" s="32">
        <f>AO80</f>
        <v>0.60000000000000009</v>
      </c>
      <c r="AX80" s="196">
        <f>M80</f>
        <v>300</v>
      </c>
      <c r="AY80" s="63">
        <v>0</v>
      </c>
      <c r="AZ80" s="122">
        <f>AT80*B80</f>
        <v>300</v>
      </c>
      <c r="BA80" s="197">
        <f>(AY80+AZ80-AX80)/AX80</f>
        <v>0</v>
      </c>
      <c r="BB80" s="63">
        <f>H80-AX80+AY80</f>
        <v>900</v>
      </c>
    </row>
    <row r="81" spans="1:54" ht="12.75" x14ac:dyDescent="0.2">
      <c r="A81" s="182" t="s">
        <v>218</v>
      </c>
      <c r="B81" s="40">
        <v>110</v>
      </c>
      <c r="C81" s="55">
        <v>0.02</v>
      </c>
      <c r="D81" s="129">
        <v>0.04</v>
      </c>
      <c r="E81" s="125">
        <v>0.08</v>
      </c>
      <c r="F81" s="125">
        <v>0.16</v>
      </c>
      <c r="G81" s="125">
        <v>5.0000000000000001E-3</v>
      </c>
      <c r="H81" s="65">
        <v>1200</v>
      </c>
      <c r="I81" s="125"/>
      <c r="J81" s="134" t="s">
        <v>73</v>
      </c>
      <c r="K81" s="134" t="s">
        <v>219</v>
      </c>
      <c r="L81" s="40">
        <v>110</v>
      </c>
      <c r="M81" s="153" t="s">
        <v>34</v>
      </c>
      <c r="N81" s="129">
        <v>0.5</v>
      </c>
      <c r="O81" s="153" t="s">
        <v>34</v>
      </c>
      <c r="P81" s="153" t="s">
        <v>34</v>
      </c>
      <c r="Q81" s="35"/>
      <c r="R81" s="47" t="s">
        <v>218</v>
      </c>
      <c r="S81" s="47" t="s">
        <v>73</v>
      </c>
      <c r="T81" s="203" t="s">
        <v>219</v>
      </c>
      <c r="U81" s="126">
        <f>L81</f>
        <v>110</v>
      </c>
      <c r="V81" s="43">
        <f>AC80*N81</f>
        <v>0.75</v>
      </c>
      <c r="W81" s="126">
        <f>U81*V81-(U81*V81*G81)</f>
        <v>82.087500000000006</v>
      </c>
      <c r="X81" s="153" t="s">
        <v>34</v>
      </c>
      <c r="Y81" s="153">
        <f>W81-(U80*V81)</f>
        <v>7.0875000000000057</v>
      </c>
      <c r="Z81" s="199">
        <f>Y81/(U80*V81)</f>
        <v>9.450000000000007E-2</v>
      </c>
      <c r="AA81" s="41"/>
      <c r="AB81" s="126">
        <f>AB80</f>
        <v>100</v>
      </c>
      <c r="AC81" s="43">
        <f>AC80-V81</f>
        <v>0.75</v>
      </c>
      <c r="AD81" s="128">
        <f>AD80*N81</f>
        <v>75</v>
      </c>
      <c r="AE81" s="128">
        <f>AB81 * (1 + D81) / (1 - G81)</f>
        <v>104.52261306532664</v>
      </c>
      <c r="AF81" s="129">
        <f>(B81 - AE81) / AE81</f>
        <v>5.2403846153846106E-2</v>
      </c>
      <c r="AG81" s="43"/>
      <c r="AH81" s="126">
        <f>AH80</f>
        <v>100</v>
      </c>
      <c r="AI81" s="43">
        <f>AI80</f>
        <v>0.89999999999999991</v>
      </c>
      <c r="AJ81" s="128">
        <f>AJ80</f>
        <v>90</v>
      </c>
      <c r="AK81" s="128">
        <f>AH81 * (1 + E81) / (1 - G81)</f>
        <v>108.5427135678392</v>
      </c>
      <c r="AL81" s="129">
        <f>(B81 - AK81) / AK81</f>
        <v>1.3425925925925883E-2</v>
      </c>
      <c r="AM81" s="35"/>
      <c r="AN81" s="126">
        <f t="shared" ref="AN81:AP82" si="15">AN80</f>
        <v>100</v>
      </c>
      <c r="AO81" s="43">
        <f t="shared" si="15"/>
        <v>0.60000000000000009</v>
      </c>
      <c r="AP81" s="128">
        <f t="shared" si="15"/>
        <v>60</v>
      </c>
      <c r="AQ81" s="128">
        <f>AN81 * (1 + F81) / (1 - G81)</f>
        <v>116.58291457286431</v>
      </c>
      <c r="AR81" s="129">
        <f>(B81 - AQ81) / AQ81</f>
        <v>-5.6465517241379229E-2</v>
      </c>
      <c r="AS81" s="35"/>
      <c r="AT81" s="39">
        <f>AW81+AV81+AU81</f>
        <v>2.25</v>
      </c>
      <c r="AU81" s="39">
        <f>AC81</f>
        <v>0.75</v>
      </c>
      <c r="AV81" s="39">
        <f>AI81</f>
        <v>0.89999999999999991</v>
      </c>
      <c r="AW81" s="39">
        <f>AO81</f>
        <v>0.60000000000000009</v>
      </c>
      <c r="AX81" s="201">
        <f>AX80</f>
        <v>300</v>
      </c>
      <c r="AY81" s="65">
        <f>W81</f>
        <v>82.087500000000006</v>
      </c>
      <c r="AZ81" s="126">
        <f>AT81*B81</f>
        <v>247.5</v>
      </c>
      <c r="BA81" s="202">
        <f>(AY81+AZ81-AX81)/AX81</f>
        <v>9.8624999999999921E-2</v>
      </c>
      <c r="BB81" s="65">
        <f>H81-AX81+AY81</f>
        <v>982.08749999999998</v>
      </c>
    </row>
    <row r="82" spans="1:54" ht="12.75" x14ac:dyDescent="0.2">
      <c r="A82" s="150" t="s">
        <v>216</v>
      </c>
      <c r="B82" s="52">
        <v>90</v>
      </c>
      <c r="C82" s="54">
        <v>0.02</v>
      </c>
      <c r="D82" s="124">
        <v>0.04</v>
      </c>
      <c r="E82" s="95">
        <v>0.08</v>
      </c>
      <c r="F82" s="95">
        <v>0.16</v>
      </c>
      <c r="G82" s="95">
        <v>5.0000000000000001E-3</v>
      </c>
      <c r="H82" s="63">
        <v>1200</v>
      </c>
      <c r="I82" s="95"/>
      <c r="J82" s="133" t="s">
        <v>75</v>
      </c>
      <c r="K82" s="133" t="s">
        <v>214</v>
      </c>
      <c r="L82" s="52">
        <v>90</v>
      </c>
      <c r="M82" s="52">
        <v>200</v>
      </c>
      <c r="N82" s="124">
        <v>0.5</v>
      </c>
      <c r="O82" s="95">
        <v>0.5</v>
      </c>
      <c r="P82" s="95">
        <v>0</v>
      </c>
      <c r="R82" s="45" t="s">
        <v>216</v>
      </c>
      <c r="S82" s="45" t="s">
        <v>75</v>
      </c>
      <c r="T82" s="131" t="s">
        <v>214</v>
      </c>
      <c r="U82" s="122">
        <f>L82</f>
        <v>90</v>
      </c>
      <c r="V82" s="30">
        <f>W82/U82</f>
        <v>2.2222222222222223</v>
      </c>
      <c r="W82" s="122">
        <f>M82</f>
        <v>200</v>
      </c>
      <c r="X82" s="122">
        <f>U82 * (1 - ABS(C82))</f>
        <v>88.2</v>
      </c>
      <c r="Y82" s="152" t="s">
        <v>34</v>
      </c>
      <c r="Z82" s="152" t="s">
        <v>34</v>
      </c>
      <c r="AA82" s="12"/>
      <c r="AB82" s="122">
        <f>U82</f>
        <v>90</v>
      </c>
      <c r="AC82" s="30">
        <f>V82*N82</f>
        <v>1.1111111111111112</v>
      </c>
      <c r="AD82" s="123">
        <f>W82*N82</f>
        <v>100</v>
      </c>
      <c r="AE82" s="123">
        <f>AB82 * (1 + D82) / (1 - G82)</f>
        <v>94.070351758793976</v>
      </c>
      <c r="AF82" s="124">
        <f>(B82 - AE82) / AE82</f>
        <v>-4.3269230769230831E-2</v>
      </c>
      <c r="AG82" s="30"/>
      <c r="AH82" s="122">
        <f>U82</f>
        <v>90</v>
      </c>
      <c r="AI82" s="30">
        <f>V82*O82</f>
        <v>1.1111111111111112</v>
      </c>
      <c r="AJ82" s="123">
        <f>W82*O82</f>
        <v>100</v>
      </c>
      <c r="AK82" s="123">
        <f>AH82 * (1 + E82) / (1 - G82)</f>
        <v>97.688442211055275</v>
      </c>
      <c r="AL82" s="124">
        <f>(B82 - AK82) / AK82</f>
        <v>-7.8703703703703692E-2</v>
      </c>
      <c r="AN82" s="122">
        <f t="shared" si="15"/>
        <v>100</v>
      </c>
      <c r="AO82" s="30">
        <f t="shared" si="15"/>
        <v>0.60000000000000009</v>
      </c>
      <c r="AP82" s="123">
        <f t="shared" si="15"/>
        <v>60</v>
      </c>
      <c r="AQ82" s="123">
        <f>AN82 * (1 + F82) / (1 - G82)</f>
        <v>116.58291457286431</v>
      </c>
      <c r="AR82" s="124">
        <f>(B82 - AQ82) / AQ82</f>
        <v>-0.22801724137931029</v>
      </c>
      <c r="AT82" s="32">
        <f>AW82+AV82+AU82</f>
        <v>4.4722222222222223</v>
      </c>
      <c r="AU82" s="32">
        <f>AC82+AC83</f>
        <v>1.8611111111111112</v>
      </c>
      <c r="AV82" s="32">
        <f>AI82+AI83</f>
        <v>2.0111111111111111</v>
      </c>
      <c r="AW82" s="32">
        <f>AO82</f>
        <v>0.60000000000000009</v>
      </c>
      <c r="AX82" s="196">
        <f>AX81+M82-AY81</f>
        <v>417.91250000000002</v>
      </c>
      <c r="AY82" s="63">
        <v>0</v>
      </c>
      <c r="AZ82" s="122">
        <f>AT82*B82</f>
        <v>402.5</v>
      </c>
      <c r="BA82" s="197">
        <f>(AY82+AZ82-AX82)/AX82</f>
        <v>-3.6879729608470725E-2</v>
      </c>
      <c r="BB82" s="63">
        <f>H82-AX82+AY82</f>
        <v>782.08749999999998</v>
      </c>
    </row>
    <row r="83" spans="1:54" ht="12.75" x14ac:dyDescent="0.2">
      <c r="A83" s="150"/>
      <c r="B83" s="33"/>
      <c r="C83" s="67"/>
      <c r="D83" s="124"/>
      <c r="E83" s="95"/>
      <c r="F83" s="95"/>
      <c r="G83" s="95"/>
      <c r="H83" s="95"/>
      <c r="L83" s="207"/>
      <c r="N83" s="152"/>
      <c r="O83" s="95"/>
      <c r="P83" s="95"/>
      <c r="Q83" s="45"/>
      <c r="R83" s="45" t="s">
        <v>218</v>
      </c>
      <c r="S83" s="45" t="s">
        <v>73</v>
      </c>
      <c r="T83" s="131" t="s">
        <v>219</v>
      </c>
      <c r="U83" s="122">
        <f>U81</f>
        <v>110</v>
      </c>
      <c r="V83" s="30">
        <f>V81</f>
        <v>0.75</v>
      </c>
      <c r="W83" s="122">
        <f>W81</f>
        <v>82.087500000000006</v>
      </c>
      <c r="X83" s="152" t="s">
        <v>34</v>
      </c>
      <c r="Y83" s="152">
        <f>Y81</f>
        <v>7.0875000000000057</v>
      </c>
      <c r="Z83" s="161">
        <f>Z81</f>
        <v>9.450000000000007E-2</v>
      </c>
      <c r="AA83" s="12"/>
      <c r="AB83" s="122">
        <f>AB81</f>
        <v>100</v>
      </c>
      <c r="AC83" s="30">
        <f>AC81</f>
        <v>0.75</v>
      </c>
      <c r="AD83" s="157">
        <f>AD81</f>
        <v>75</v>
      </c>
      <c r="AE83" s="157">
        <f>AB83 * (1 + D82) / (1 - G82)</f>
        <v>104.52261306532664</v>
      </c>
      <c r="AF83" s="124">
        <f>(B82 - AE83) / AE83</f>
        <v>-0.13894230769230773</v>
      </c>
      <c r="AG83" s="30"/>
      <c r="AH83" s="122">
        <f>AH81</f>
        <v>100</v>
      </c>
      <c r="AI83" s="30">
        <f>AI81</f>
        <v>0.89999999999999991</v>
      </c>
      <c r="AJ83" s="157">
        <f>AJ81</f>
        <v>90</v>
      </c>
      <c r="AK83" s="157">
        <f>AH83 * (1 + E82) / (1 - G82)</f>
        <v>108.5427135678392</v>
      </c>
      <c r="AL83" s="124">
        <f>(B82 - AK83) / AK83</f>
        <v>-0.17083333333333336</v>
      </c>
      <c r="AN83" s="122"/>
      <c r="AO83" s="30"/>
      <c r="AP83" s="157"/>
      <c r="AQ83" s="157"/>
      <c r="AR83" s="124"/>
    </row>
    <row r="84" spans="1:54" ht="12.75" x14ac:dyDescent="0.2">
      <c r="A84" s="150"/>
      <c r="B84" s="33"/>
      <c r="C84" s="67"/>
      <c r="D84" s="124"/>
      <c r="E84" s="95"/>
      <c r="F84" s="95"/>
      <c r="G84" s="95"/>
      <c r="H84" s="95"/>
      <c r="L84" s="207"/>
      <c r="M84" s="207"/>
      <c r="N84" s="124"/>
      <c r="O84" s="95"/>
      <c r="P84" s="95"/>
      <c r="Q84" s="45"/>
      <c r="R84" s="45" t="s">
        <v>215</v>
      </c>
      <c r="S84" s="45" t="s">
        <v>75</v>
      </c>
      <c r="T84" s="131" t="s">
        <v>78</v>
      </c>
      <c r="U84" s="122">
        <f>U80</f>
        <v>100</v>
      </c>
      <c r="V84" s="30">
        <f>V80</f>
        <v>3</v>
      </c>
      <c r="W84" s="122">
        <f>W80</f>
        <v>300</v>
      </c>
      <c r="X84" s="122">
        <f>X80</f>
        <v>98</v>
      </c>
      <c r="Y84" s="152" t="s">
        <v>34</v>
      </c>
      <c r="Z84" s="152" t="s">
        <v>34</v>
      </c>
      <c r="AA84" s="12"/>
      <c r="AB84" s="139"/>
      <c r="AC84" s="139"/>
      <c r="AD84" s="139"/>
      <c r="AE84" s="139"/>
      <c r="AF84" s="140"/>
      <c r="AG84" s="140"/>
      <c r="AH84" s="139"/>
      <c r="AI84" s="139"/>
      <c r="AJ84" s="139"/>
      <c r="AK84" s="139"/>
      <c r="AL84" s="140"/>
      <c r="AN84" s="139"/>
      <c r="AO84" s="139"/>
      <c r="AP84" s="139"/>
      <c r="AQ84" s="139"/>
      <c r="AR84" s="140"/>
    </row>
    <row r="85" spans="1:54" ht="12.75" x14ac:dyDescent="0.2">
      <c r="A85" s="182" t="s">
        <v>85</v>
      </c>
      <c r="B85" s="40">
        <v>45</v>
      </c>
      <c r="C85" s="55">
        <v>0.02</v>
      </c>
      <c r="D85" s="129">
        <v>0.04</v>
      </c>
      <c r="E85" s="125">
        <v>0.08</v>
      </c>
      <c r="F85" s="125">
        <v>0.16</v>
      </c>
      <c r="G85" s="125">
        <v>5.0000000000000001E-3</v>
      </c>
      <c r="H85" s="65">
        <v>1200</v>
      </c>
      <c r="I85" s="125"/>
      <c r="J85" s="134" t="s">
        <v>70</v>
      </c>
      <c r="K85" s="213">
        <v>2</v>
      </c>
      <c r="L85" s="40"/>
      <c r="M85" s="40"/>
      <c r="N85" s="129"/>
      <c r="O85" s="125"/>
      <c r="P85" s="125"/>
      <c r="Q85" s="35"/>
      <c r="R85" s="47" t="s">
        <v>216</v>
      </c>
      <c r="S85" s="47" t="s">
        <v>75</v>
      </c>
      <c r="T85" s="203" t="s">
        <v>214</v>
      </c>
      <c r="U85" s="126">
        <f>U82</f>
        <v>90</v>
      </c>
      <c r="V85" s="43">
        <f>V82</f>
        <v>2.2222222222222223</v>
      </c>
      <c r="W85" s="126">
        <f>W82</f>
        <v>200</v>
      </c>
      <c r="X85" s="126">
        <f>X82</f>
        <v>88.2</v>
      </c>
      <c r="Y85" s="153" t="s">
        <v>34</v>
      </c>
      <c r="Z85" s="153" t="s">
        <v>34</v>
      </c>
      <c r="AA85" s="41"/>
      <c r="AB85" s="126">
        <f>AB82/K85</f>
        <v>45</v>
      </c>
      <c r="AC85" s="43">
        <f>AC82*K85</f>
        <v>2.2222222222222223</v>
      </c>
      <c r="AD85" s="128">
        <f>AD82</f>
        <v>100</v>
      </c>
      <c r="AE85" s="128">
        <f>AB85 * (1 + D85) / (1 - G85)</f>
        <v>47.035175879396988</v>
      </c>
      <c r="AF85" s="129">
        <f>AF82</f>
        <v>-4.3269230769230831E-2</v>
      </c>
      <c r="AG85" s="43"/>
      <c r="AH85" s="126">
        <f>AH82/K85</f>
        <v>45</v>
      </c>
      <c r="AI85" s="43">
        <f>AI82*K85</f>
        <v>2.2222222222222223</v>
      </c>
      <c r="AJ85" s="128">
        <f>AJ82</f>
        <v>100</v>
      </c>
      <c r="AK85" s="128">
        <f>AH85 * (1 + E85) / (1 - G85)</f>
        <v>48.844221105527637</v>
      </c>
      <c r="AL85" s="129">
        <f>(B85 - AK85) / AK85</f>
        <v>-7.8703703703703692E-2</v>
      </c>
      <c r="AM85" s="35"/>
      <c r="AN85" s="126">
        <f>AN82/K85</f>
        <v>50</v>
      </c>
      <c r="AO85" s="43">
        <f>AO82*K85</f>
        <v>1.2000000000000002</v>
      </c>
      <c r="AP85" s="128">
        <f>AP82</f>
        <v>60</v>
      </c>
      <c r="AQ85" s="128">
        <f>AN85 * (1 + F85) / (1 - G85)</f>
        <v>58.291457286432156</v>
      </c>
      <c r="AR85" s="129">
        <f>(B85 - AQ85) / AQ85</f>
        <v>-0.22801724137931029</v>
      </c>
      <c r="AS85" s="35"/>
      <c r="AT85" s="39">
        <f>AW85+AV85+AU85</f>
        <v>8.9444444444444446</v>
      </c>
      <c r="AU85" s="39">
        <f>AC85+AC86</f>
        <v>3.7222222222222223</v>
      </c>
      <c r="AV85" s="39">
        <f>AI85+AI86</f>
        <v>4.0222222222222221</v>
      </c>
      <c r="AW85" s="39">
        <f>AO85</f>
        <v>1.2000000000000002</v>
      </c>
      <c r="AX85" s="201">
        <f>AX82</f>
        <v>417.91250000000002</v>
      </c>
      <c r="AY85" s="65">
        <f>AY82</f>
        <v>0</v>
      </c>
      <c r="AZ85" s="126">
        <f>AT85*B85</f>
        <v>402.5</v>
      </c>
      <c r="BA85" s="202">
        <f>(AY85+AZ85-AX85)/AX85</f>
        <v>-3.6879729608470725E-2</v>
      </c>
      <c r="BB85" s="65">
        <f>H85-AX85+AY85</f>
        <v>782.08749999999998</v>
      </c>
    </row>
    <row r="86" spans="1:54" ht="15.75" customHeight="1" x14ac:dyDescent="0.2">
      <c r="A86" s="35"/>
      <c r="B86" s="36"/>
      <c r="C86" s="209"/>
      <c r="D86" s="129"/>
      <c r="E86" s="125"/>
      <c r="F86" s="125"/>
      <c r="G86" s="125"/>
      <c r="H86" s="125"/>
      <c r="I86" s="35"/>
      <c r="J86" s="35"/>
      <c r="K86" s="35"/>
      <c r="L86" s="210"/>
      <c r="M86" s="35"/>
      <c r="N86" s="153"/>
      <c r="O86" s="125"/>
      <c r="P86" s="125"/>
      <c r="Q86" s="47"/>
      <c r="R86" s="47" t="s">
        <v>218</v>
      </c>
      <c r="S86" s="47" t="s">
        <v>73</v>
      </c>
      <c r="T86" s="203" t="s">
        <v>219</v>
      </c>
      <c r="U86" s="126">
        <f t="shared" ref="U86:W87" si="16">U83</f>
        <v>110</v>
      </c>
      <c r="V86" s="43">
        <f t="shared" si="16"/>
        <v>0.75</v>
      </c>
      <c r="W86" s="126">
        <f t="shared" si="16"/>
        <v>82.087500000000006</v>
      </c>
      <c r="X86" s="153" t="s">
        <v>34</v>
      </c>
      <c r="Y86" s="153">
        <f>Y83</f>
        <v>7.0875000000000057</v>
      </c>
      <c r="Z86" s="199">
        <f>Z83</f>
        <v>9.450000000000007E-2</v>
      </c>
      <c r="AA86" s="41"/>
      <c r="AB86" s="126">
        <f>AB83/K85</f>
        <v>50</v>
      </c>
      <c r="AC86" s="43">
        <f>AC83*K85</f>
        <v>1.5</v>
      </c>
      <c r="AD86" s="128">
        <f>AD83</f>
        <v>75</v>
      </c>
      <c r="AE86" s="128">
        <f>AB86 * (1 + D85) / (1 - G85)</f>
        <v>52.261306532663319</v>
      </c>
      <c r="AF86" s="129">
        <f>AF83</f>
        <v>-0.13894230769230773</v>
      </c>
      <c r="AG86" s="43"/>
      <c r="AH86" s="126">
        <f>AH83/K85</f>
        <v>50</v>
      </c>
      <c r="AI86" s="43">
        <f>AI83*K85</f>
        <v>1.7999999999999998</v>
      </c>
      <c r="AJ86" s="128">
        <f>AJ83</f>
        <v>90</v>
      </c>
      <c r="AK86" s="128">
        <f>AH86 * (1 + E85) / (1 - G85)</f>
        <v>54.2713567839196</v>
      </c>
      <c r="AL86" s="129">
        <f>(B85 - AK86) / AK86</f>
        <v>-0.17083333333333336</v>
      </c>
      <c r="AM86" s="35"/>
      <c r="AN86" s="126"/>
      <c r="AO86" s="43"/>
      <c r="AP86" s="128"/>
      <c r="AQ86" s="128"/>
      <c r="AR86" s="129"/>
      <c r="AS86" s="35"/>
      <c r="AT86" s="35"/>
      <c r="AU86" s="35"/>
      <c r="AV86" s="35"/>
      <c r="AW86" s="35"/>
      <c r="AX86" s="35"/>
      <c r="AY86" s="35"/>
      <c r="AZ86" s="35"/>
      <c r="BA86" s="35"/>
      <c r="BB86" s="35"/>
    </row>
    <row r="87" spans="1:54" ht="12.75" x14ac:dyDescent="0.2">
      <c r="A87" s="182"/>
      <c r="B87" s="36"/>
      <c r="C87" s="209"/>
      <c r="D87" s="129"/>
      <c r="E87" s="125"/>
      <c r="F87" s="125"/>
      <c r="G87" s="125"/>
      <c r="H87" s="125"/>
      <c r="I87" s="35"/>
      <c r="J87" s="35"/>
      <c r="K87" s="35"/>
      <c r="L87" s="210"/>
      <c r="M87" s="210"/>
      <c r="N87" s="129"/>
      <c r="O87" s="125"/>
      <c r="P87" s="125"/>
      <c r="Q87" s="47"/>
      <c r="R87" s="47" t="s">
        <v>215</v>
      </c>
      <c r="S87" s="47" t="s">
        <v>75</v>
      </c>
      <c r="T87" s="203" t="s">
        <v>78</v>
      </c>
      <c r="U87" s="126">
        <f t="shared" si="16"/>
        <v>100</v>
      </c>
      <c r="V87" s="43">
        <f t="shared" si="16"/>
        <v>3</v>
      </c>
      <c r="W87" s="126">
        <f t="shared" si="16"/>
        <v>300</v>
      </c>
      <c r="X87" s="126" t="str">
        <f>X83</f>
        <v>-</v>
      </c>
      <c r="Y87" s="153" t="s">
        <v>34</v>
      </c>
      <c r="Z87" s="153" t="s">
        <v>34</v>
      </c>
      <c r="AA87" s="41"/>
      <c r="AB87" s="212"/>
      <c r="AC87" s="212"/>
      <c r="AD87" s="212"/>
      <c r="AE87" s="212"/>
      <c r="AF87" s="170"/>
      <c r="AG87" s="170"/>
      <c r="AH87" s="212"/>
      <c r="AI87" s="212"/>
      <c r="AJ87" s="212"/>
      <c r="AK87" s="212"/>
      <c r="AL87" s="170"/>
      <c r="AM87" s="35"/>
      <c r="AN87" s="212"/>
      <c r="AO87" s="212"/>
      <c r="AP87" s="212"/>
      <c r="AQ87" s="212"/>
      <c r="AR87" s="170"/>
      <c r="AS87" s="35"/>
      <c r="AT87" s="35"/>
      <c r="AU87" s="35"/>
      <c r="AV87" s="35"/>
      <c r="AW87" s="35"/>
      <c r="AX87" s="35"/>
      <c r="AY87" s="35"/>
      <c r="AZ87" s="35"/>
      <c r="BA87" s="35"/>
      <c r="BB87" s="35"/>
    </row>
    <row r="88" spans="1:54" ht="12.75" x14ac:dyDescent="0.2">
      <c r="A88" s="110" t="s">
        <v>217</v>
      </c>
      <c r="B88" s="52">
        <v>50</v>
      </c>
      <c r="C88" s="54">
        <v>0.02</v>
      </c>
      <c r="D88" s="124">
        <v>0.04</v>
      </c>
      <c r="E88" s="95">
        <v>0.08</v>
      </c>
      <c r="F88" s="95">
        <v>0.16</v>
      </c>
      <c r="G88" s="95">
        <v>5.0000000000000001E-3</v>
      </c>
      <c r="H88" s="63">
        <v>1200</v>
      </c>
      <c r="I88" s="95"/>
      <c r="J88" s="133" t="s">
        <v>75</v>
      </c>
      <c r="K88" s="133" t="s">
        <v>211</v>
      </c>
      <c r="L88" s="52">
        <v>50</v>
      </c>
      <c r="M88" s="52">
        <v>300</v>
      </c>
      <c r="N88" s="124">
        <v>0.5</v>
      </c>
      <c r="O88" s="95">
        <v>0.3</v>
      </c>
      <c r="P88" s="95">
        <v>0.2</v>
      </c>
      <c r="R88" s="45" t="s">
        <v>217</v>
      </c>
      <c r="S88" s="45" t="s">
        <v>75</v>
      </c>
      <c r="T88" s="131" t="s">
        <v>211</v>
      </c>
      <c r="U88" s="122">
        <f>L88</f>
        <v>50</v>
      </c>
      <c r="V88" s="30">
        <f>W88/U88</f>
        <v>6</v>
      </c>
      <c r="W88" s="122">
        <f>M88</f>
        <v>300</v>
      </c>
      <c r="X88" s="122">
        <f>U88 * (1 - ABS(C88))</f>
        <v>49</v>
      </c>
      <c r="Y88" s="152" t="s">
        <v>34</v>
      </c>
      <c r="Z88" s="152" t="s">
        <v>34</v>
      </c>
      <c r="AA88" s="12"/>
      <c r="AB88" s="122">
        <f>AB85</f>
        <v>45</v>
      </c>
      <c r="AC88" s="30">
        <f>AC85</f>
        <v>2.2222222222222223</v>
      </c>
      <c r="AD88" s="123">
        <f>AD85</f>
        <v>100</v>
      </c>
      <c r="AE88" s="123">
        <f>AB88 * (1 + D88) / (1 - G88)</f>
        <v>47.035175879396988</v>
      </c>
      <c r="AF88" s="124">
        <f>(B88 - AE88) / AE88</f>
        <v>6.3034188034187963E-2</v>
      </c>
      <c r="AG88" s="30"/>
      <c r="AH88" s="122">
        <f>AH85</f>
        <v>45</v>
      </c>
      <c r="AI88" s="30">
        <f>AI85</f>
        <v>2.2222222222222223</v>
      </c>
      <c r="AJ88" s="123">
        <f>AJ85</f>
        <v>100</v>
      </c>
      <c r="AK88" s="123">
        <f>AH88 * (1 + E88) / (1 - G88)</f>
        <v>48.844221105527637</v>
      </c>
      <c r="AL88" s="124">
        <f>(B88 - AK88) / AK88</f>
        <v>2.3662551440329235E-2</v>
      </c>
      <c r="AN88" s="122">
        <f>AN85</f>
        <v>50</v>
      </c>
      <c r="AO88" s="30">
        <f>AO85+V88*P88</f>
        <v>2.4000000000000004</v>
      </c>
      <c r="AP88" s="123">
        <f>AP85+W88*P88</f>
        <v>120</v>
      </c>
      <c r="AQ88" s="123">
        <f>AN88 * (1 + F88) / (1 - G88)</f>
        <v>58.291457286432156</v>
      </c>
      <c r="AR88" s="124">
        <f>(B88 - AQ88) / AQ88</f>
        <v>-0.14224137931034475</v>
      </c>
      <c r="AT88" s="32">
        <f>AW88+AV88+AU88</f>
        <v>14.944444444444443</v>
      </c>
      <c r="AU88" s="32">
        <f>AC88+AC89</f>
        <v>6.7222222222222223</v>
      </c>
      <c r="AV88" s="32">
        <f>AI88+AI89</f>
        <v>5.822222222222222</v>
      </c>
      <c r="AW88" s="32">
        <f>AO88</f>
        <v>2.4000000000000004</v>
      </c>
      <c r="AX88" s="196">
        <f>AX85+W88</f>
        <v>717.91250000000002</v>
      </c>
      <c r="AY88" s="63">
        <v>0</v>
      </c>
      <c r="AZ88" s="122">
        <f>AT88*B88</f>
        <v>747.22222222222217</v>
      </c>
      <c r="BA88" s="197">
        <f>(AY88+AZ88-AX88)/AX88</f>
        <v>4.0826315494189261E-2</v>
      </c>
      <c r="BB88" s="63">
        <f>H88-AX88+AY88</f>
        <v>482.08749999999998</v>
      </c>
    </row>
    <row r="89" spans="1:54" ht="12.75" x14ac:dyDescent="0.2">
      <c r="A89" s="150"/>
      <c r="B89" s="33"/>
      <c r="C89" s="67"/>
      <c r="D89" s="124"/>
      <c r="E89" s="95"/>
      <c r="F89" s="95"/>
      <c r="G89" s="95"/>
      <c r="H89" s="95"/>
      <c r="L89" s="207"/>
      <c r="M89" s="207"/>
      <c r="N89" s="124"/>
      <c r="O89" s="95"/>
      <c r="P89" s="95"/>
      <c r="Q89" s="45"/>
      <c r="R89" s="45"/>
      <c r="V89" s="30"/>
      <c r="W89" s="122"/>
      <c r="X89" s="122"/>
      <c r="Y89" s="152"/>
      <c r="Z89" s="152"/>
      <c r="AA89" s="12"/>
      <c r="AB89" s="122">
        <f>AB86</f>
        <v>50</v>
      </c>
      <c r="AC89" s="30">
        <f>AC86+V88*N88</f>
        <v>4.5</v>
      </c>
      <c r="AD89" s="157">
        <f>AD86+W88*N88</f>
        <v>225</v>
      </c>
      <c r="AE89" s="157">
        <f>AB89 * (1 + D88) / (1 - G88)</f>
        <v>52.261306532663319</v>
      </c>
      <c r="AF89" s="124">
        <f>(B88 - AE89) / AE89</f>
        <v>-4.3269230769230817E-2</v>
      </c>
      <c r="AG89" s="30"/>
      <c r="AH89" s="122">
        <f>AH86</f>
        <v>50</v>
      </c>
      <c r="AI89" s="30">
        <f>AI86+V88*O88</f>
        <v>3.5999999999999996</v>
      </c>
      <c r="AJ89" s="157">
        <f>AJ86+W88*O88</f>
        <v>180</v>
      </c>
      <c r="AK89" s="157">
        <f>AH89 * (1 + E88) / (1 - G88)</f>
        <v>54.2713567839196</v>
      </c>
      <c r="AL89" s="124">
        <f>(B88 - AK89) / AK89</f>
        <v>-7.8703703703703748E-2</v>
      </c>
    </row>
    <row r="90" spans="1:54" ht="12.75" x14ac:dyDescent="0.2">
      <c r="A90" s="182" t="s">
        <v>87</v>
      </c>
      <c r="B90" s="40">
        <v>16.66667</v>
      </c>
      <c r="C90" s="55">
        <v>0.02</v>
      </c>
      <c r="D90" s="129">
        <v>0.04</v>
      </c>
      <c r="E90" s="125">
        <v>0.08</v>
      </c>
      <c r="F90" s="125">
        <v>0.16</v>
      </c>
      <c r="G90" s="125">
        <v>5.0000000000000001E-3</v>
      </c>
      <c r="H90" s="65">
        <v>1200</v>
      </c>
      <c r="I90" s="35"/>
      <c r="J90" s="35" t="s">
        <v>70</v>
      </c>
      <c r="K90" s="35">
        <v>3</v>
      </c>
      <c r="L90" s="210"/>
      <c r="M90" s="210"/>
      <c r="N90" s="129"/>
      <c r="O90" s="125"/>
      <c r="P90" s="125"/>
      <c r="Q90" s="47"/>
      <c r="R90" s="47"/>
      <c r="S90" s="35"/>
      <c r="T90" s="35"/>
      <c r="U90" s="35"/>
      <c r="V90" s="43"/>
      <c r="W90" s="126"/>
      <c r="X90" s="126"/>
      <c r="Y90" s="153"/>
      <c r="Z90" s="153"/>
      <c r="AA90" s="41"/>
      <c r="AB90" s="126">
        <f>AB88/K90</f>
        <v>15</v>
      </c>
      <c r="AC90" s="43">
        <f>AC88*K90</f>
        <v>6.666666666666667</v>
      </c>
      <c r="AD90" s="128">
        <f t="shared" ref="AD90:AD103" si="17">AD88</f>
        <v>100</v>
      </c>
      <c r="AE90" s="128">
        <f>AB90 * (1 + D90) / (1 - G90)</f>
        <v>15.678391959798997</v>
      </c>
      <c r="AF90" s="129">
        <f>(B90 - AE90) / AE90</f>
        <v>6.3034400641025487E-2</v>
      </c>
      <c r="AG90" s="43"/>
      <c r="AH90" s="126">
        <f>AH88/K90</f>
        <v>15</v>
      </c>
      <c r="AI90" s="43">
        <f>AI88*K90</f>
        <v>6.666666666666667</v>
      </c>
      <c r="AJ90" s="128">
        <f>AJ88</f>
        <v>100</v>
      </c>
      <c r="AK90" s="128">
        <f>AH90 * (1 + E90) / (1 - G90)</f>
        <v>16.281407035175882</v>
      </c>
      <c r="AL90" s="129">
        <f>(B90 - AK90) / AK90</f>
        <v>2.3662756172839364E-2</v>
      </c>
      <c r="AM90" s="35"/>
      <c r="AN90" s="126">
        <f>AN88/K90</f>
        <v>16.666666666666668</v>
      </c>
      <c r="AO90" s="43">
        <f>AO88*K90</f>
        <v>7.2000000000000011</v>
      </c>
      <c r="AP90" s="128">
        <f>AP88</f>
        <v>120</v>
      </c>
      <c r="AQ90" s="128">
        <f>AN90 * (1 + F90) / (1 - G90)</f>
        <v>19.430485762144052</v>
      </c>
      <c r="AR90" s="129">
        <f>(B90 - AQ90) / AQ90</f>
        <v>-0.14224120775862062</v>
      </c>
      <c r="AS90" s="35"/>
      <c r="AT90" s="39">
        <f>AW90+AV90+AU90</f>
        <v>44.833333333333329</v>
      </c>
      <c r="AU90" s="39">
        <f>AC90+AC91</f>
        <v>20.166666666666668</v>
      </c>
      <c r="AV90" s="39">
        <f>AI90+AI91</f>
        <v>17.466666666666665</v>
      </c>
      <c r="AW90" s="39">
        <f>AO90</f>
        <v>7.2000000000000011</v>
      </c>
      <c r="AX90" s="201">
        <f>AX88</f>
        <v>717.91250000000002</v>
      </c>
      <c r="AY90" s="65">
        <v>0</v>
      </c>
      <c r="AZ90" s="126">
        <f>AT90*B90</f>
        <v>747.22237166666662</v>
      </c>
      <c r="BA90" s="202">
        <f>(AY90+AZ90-AX90)/AX90</f>
        <v>4.0826523659452364E-2</v>
      </c>
      <c r="BB90" s="65">
        <f>H90-AX90+AY90</f>
        <v>482.08749999999998</v>
      </c>
    </row>
    <row r="91" spans="1:54" ht="12.75" x14ac:dyDescent="0.2">
      <c r="A91" s="182"/>
      <c r="B91" s="36"/>
      <c r="C91" s="209"/>
      <c r="D91" s="129"/>
      <c r="E91" s="125"/>
      <c r="F91" s="125"/>
      <c r="G91" s="125"/>
      <c r="H91" s="125"/>
      <c r="I91" s="35"/>
      <c r="J91" s="35"/>
      <c r="K91" s="35"/>
      <c r="L91" s="210"/>
      <c r="M91" s="210"/>
      <c r="N91" s="129"/>
      <c r="O91" s="125"/>
      <c r="P91" s="125"/>
      <c r="Q91" s="47"/>
      <c r="R91" s="47"/>
      <c r="S91" s="35"/>
      <c r="T91" s="35"/>
      <c r="U91" s="35"/>
      <c r="V91" s="43"/>
      <c r="W91" s="126"/>
      <c r="X91" s="126"/>
      <c r="Y91" s="153"/>
      <c r="Z91" s="153"/>
      <c r="AA91" s="41"/>
      <c r="AB91" s="126">
        <f>AB89/K90</f>
        <v>16.666666666666668</v>
      </c>
      <c r="AC91" s="43">
        <f>AC89*K90</f>
        <v>13.5</v>
      </c>
      <c r="AD91" s="128">
        <f t="shared" si="17"/>
        <v>225</v>
      </c>
      <c r="AE91" s="128">
        <f>AB91 * (1 + D90) / (1 - G90)</f>
        <v>17.420435510887774</v>
      </c>
      <c r="AF91" s="129">
        <f>(B90 - AE91) / AE91</f>
        <v>-4.3269039423077041E-2</v>
      </c>
      <c r="AG91" s="43"/>
      <c r="AH91" s="126">
        <f>AH89/K90</f>
        <v>16.666666666666668</v>
      </c>
      <c r="AI91" s="43">
        <f>AI89*K90</f>
        <v>10.799999999999999</v>
      </c>
      <c r="AJ91" s="128">
        <f>AJ89</f>
        <v>180</v>
      </c>
      <c r="AK91" s="128">
        <f>AH91 * (1 + E90) / (1 - G90)</f>
        <v>18.090452261306535</v>
      </c>
      <c r="AL91" s="129">
        <f>(B90 - AK91) / AK91</f>
        <v>-7.870351944444455E-2</v>
      </c>
      <c r="AM91" s="35"/>
      <c r="AN91" s="35"/>
      <c r="AO91" s="35"/>
      <c r="AP91" s="35"/>
      <c r="AQ91" s="35"/>
      <c r="AR91" s="35"/>
      <c r="AS91" s="35"/>
      <c r="AT91" s="35"/>
      <c r="AU91" s="35"/>
      <c r="AV91" s="35"/>
      <c r="AW91" s="35"/>
      <c r="AX91" s="35"/>
      <c r="AY91" s="35"/>
      <c r="AZ91" s="35"/>
      <c r="BA91" s="35"/>
      <c r="BB91" s="35"/>
    </row>
    <row r="92" spans="1:54" ht="12.75" x14ac:dyDescent="0.2">
      <c r="A92" s="150" t="s">
        <v>266</v>
      </c>
      <c r="B92" s="52">
        <v>20</v>
      </c>
      <c r="C92" s="62">
        <v>0.02</v>
      </c>
      <c r="D92" s="124">
        <v>0.04</v>
      </c>
      <c r="E92" s="95">
        <v>0.08</v>
      </c>
      <c r="F92" s="95">
        <v>0.16</v>
      </c>
      <c r="G92" s="95">
        <v>5.0000000000000001E-3</v>
      </c>
      <c r="H92" s="63">
        <v>1200</v>
      </c>
      <c r="I92" s="95"/>
      <c r="J92" s="133" t="s">
        <v>73</v>
      </c>
      <c r="K92" s="133" t="s">
        <v>211</v>
      </c>
      <c r="L92" s="52">
        <v>20</v>
      </c>
      <c r="M92" s="152" t="s">
        <v>34</v>
      </c>
      <c r="N92" s="152" t="s">
        <v>34</v>
      </c>
      <c r="O92" s="95">
        <v>1</v>
      </c>
      <c r="P92" s="152" t="s">
        <v>34</v>
      </c>
      <c r="R92" s="45" t="s">
        <v>266</v>
      </c>
      <c r="S92" s="45" t="s">
        <v>73</v>
      </c>
      <c r="T92" s="131" t="s">
        <v>211</v>
      </c>
      <c r="U92" s="122">
        <f>L92</f>
        <v>20</v>
      </c>
      <c r="V92" s="30">
        <f>AI90*O92</f>
        <v>6.666666666666667</v>
      </c>
      <c r="W92" s="122">
        <f>U92*V92-(U92*V92*G92)</f>
        <v>132.66666666666669</v>
      </c>
      <c r="X92" s="152" t="s">
        <v>34</v>
      </c>
      <c r="Y92" s="152">
        <f>W92-(AH90*V92)</f>
        <v>32.666666666666686</v>
      </c>
      <c r="Z92" s="161">
        <f>Y92/(AH90*V92)</f>
        <v>0.32666666666666688</v>
      </c>
      <c r="AA92" s="12"/>
      <c r="AB92" s="122">
        <f t="shared" ref="AB92:AC95" si="18">AB90</f>
        <v>15</v>
      </c>
      <c r="AC92" s="30">
        <f t="shared" si="18"/>
        <v>6.666666666666667</v>
      </c>
      <c r="AD92" s="157">
        <f t="shared" si="17"/>
        <v>100</v>
      </c>
      <c r="AE92" s="157">
        <f>AB92 * (1 + D92) / (1 - G92)</f>
        <v>15.678391959798997</v>
      </c>
      <c r="AF92" s="124">
        <f>(B92 - AE92) / AE92</f>
        <v>0.27564102564102544</v>
      </c>
      <c r="AG92" s="30"/>
      <c r="AH92" s="122"/>
      <c r="AI92" s="30"/>
      <c r="AJ92" s="157"/>
      <c r="AK92" s="157"/>
      <c r="AL92" s="124"/>
      <c r="AN92" s="122">
        <f>AN90</f>
        <v>16.666666666666668</v>
      </c>
      <c r="AO92" s="30">
        <f>AO90</f>
        <v>7.2000000000000011</v>
      </c>
      <c r="AP92" s="157">
        <f>AP90</f>
        <v>120</v>
      </c>
      <c r="AQ92" s="157">
        <f>AN92 * (1 + F92) / (1 - G92)</f>
        <v>19.430485762144052</v>
      </c>
      <c r="AR92" s="124">
        <f>(B92 - AQ92) / AQ92</f>
        <v>2.9310344827586297E-2</v>
      </c>
      <c r="AT92" s="32">
        <f>AW92+AV92+AU92</f>
        <v>38.166666666666671</v>
      </c>
      <c r="AU92" s="32">
        <f>AC92+AC93</f>
        <v>20.166666666666668</v>
      </c>
      <c r="AV92" s="32">
        <f>AI92+AI93</f>
        <v>10.799999999999999</v>
      </c>
      <c r="AW92" s="32">
        <f>AO92</f>
        <v>7.2000000000000011</v>
      </c>
      <c r="AX92" s="196">
        <f>AX90</f>
        <v>717.91250000000002</v>
      </c>
      <c r="AY92" s="63">
        <f>W92</f>
        <v>132.66666666666669</v>
      </c>
      <c r="AZ92" s="122">
        <f>AT92*B92</f>
        <v>763.33333333333348</v>
      </c>
      <c r="BA92" s="206">
        <f>(AY92+AZ92-AX92)/AX92</f>
        <v>0.24806296031898065</v>
      </c>
      <c r="BB92" s="63">
        <f>H92-AX92+AY92</f>
        <v>614.75416666666661</v>
      </c>
    </row>
    <row r="93" spans="1:54" ht="12.75" x14ac:dyDescent="0.2">
      <c r="AA93" s="12"/>
      <c r="AB93" s="122">
        <f t="shared" si="18"/>
        <v>16.666666666666668</v>
      </c>
      <c r="AC93" s="30">
        <f t="shared" si="18"/>
        <v>13.5</v>
      </c>
      <c r="AD93" s="157">
        <f t="shared" si="17"/>
        <v>225</v>
      </c>
      <c r="AE93" s="157">
        <f>AB93 * (1 + D92) / (1 - G92)</f>
        <v>17.420435510887774</v>
      </c>
      <c r="AF93" s="124">
        <f>(B92 - AE93) / AE93</f>
        <v>0.14807692307692294</v>
      </c>
      <c r="AG93" s="30"/>
      <c r="AH93" s="122">
        <f>AH91</f>
        <v>16.666666666666668</v>
      </c>
      <c r="AI93" s="30">
        <f>AI91</f>
        <v>10.799999999999999</v>
      </c>
      <c r="AJ93" s="157">
        <f>AJ91</f>
        <v>180</v>
      </c>
      <c r="AK93" s="157">
        <f>AH93 * (1 + E92) / (1 - G92)</f>
        <v>18.090452261306535</v>
      </c>
      <c r="AL93" s="124">
        <f>(B92 - AK93) / AK93</f>
        <v>0.10555555555555543</v>
      </c>
    </row>
    <row r="94" spans="1:54" ht="12.75" x14ac:dyDescent="0.2">
      <c r="A94" s="182" t="s">
        <v>268</v>
      </c>
      <c r="B94" s="40">
        <v>20</v>
      </c>
      <c r="C94" s="55">
        <v>0.02</v>
      </c>
      <c r="D94" s="129">
        <v>0.04</v>
      </c>
      <c r="E94" s="125">
        <v>0.08</v>
      </c>
      <c r="F94" s="125">
        <v>0.16</v>
      </c>
      <c r="G94" s="125">
        <v>5.0000000000000001E-3</v>
      </c>
      <c r="H94" s="65">
        <v>1200</v>
      </c>
      <c r="I94" s="35"/>
      <c r="J94" s="35" t="s">
        <v>269</v>
      </c>
      <c r="K94" s="35"/>
      <c r="L94" s="210"/>
      <c r="M94" s="210"/>
      <c r="N94" s="129"/>
      <c r="O94" s="125"/>
      <c r="P94" s="125"/>
      <c r="Q94" s="35"/>
      <c r="R94" s="166" t="s">
        <v>266</v>
      </c>
      <c r="S94" s="166" t="s">
        <v>73</v>
      </c>
      <c r="T94" s="173" t="s">
        <v>211</v>
      </c>
      <c r="U94" s="174">
        <f>U92</f>
        <v>20</v>
      </c>
      <c r="V94" s="175">
        <f>V92</f>
        <v>6.666666666666667</v>
      </c>
      <c r="W94" s="174">
        <f>U94*V94-(U94*V94*G94)</f>
        <v>132.66666666666669</v>
      </c>
      <c r="X94" s="217" t="s">
        <v>34</v>
      </c>
      <c r="Y94" s="217">
        <f>Y92</f>
        <v>32.666666666666686</v>
      </c>
      <c r="Z94" s="218">
        <f>Z92</f>
        <v>0.32666666666666688</v>
      </c>
      <c r="AA94" s="41"/>
      <c r="AB94" s="126">
        <f t="shared" si="18"/>
        <v>15</v>
      </c>
      <c r="AC94" s="43">
        <f t="shared" si="18"/>
        <v>6.666666666666667</v>
      </c>
      <c r="AD94" s="128">
        <f t="shared" si="17"/>
        <v>100</v>
      </c>
      <c r="AE94" s="128">
        <f>AB94 * (1 + D94) / (1 - G94)</f>
        <v>15.678391959798997</v>
      </c>
      <c r="AF94" s="129">
        <f>(B94 - AE94) / AE94</f>
        <v>0.27564102564102544</v>
      </c>
      <c r="AG94" s="43"/>
      <c r="AH94" s="126">
        <f>AH90</f>
        <v>15</v>
      </c>
      <c r="AI94" s="43">
        <f>AI90</f>
        <v>6.666666666666667</v>
      </c>
      <c r="AJ94" s="128">
        <f>AJ90</f>
        <v>100</v>
      </c>
      <c r="AK94" s="128">
        <f>AH94 * (1 + E94) / (1 - G94)</f>
        <v>16.281407035175882</v>
      </c>
      <c r="AL94" s="129">
        <f>(B94 - AK94) / AK94</f>
        <v>0.22839506172839491</v>
      </c>
      <c r="AM94" s="35"/>
      <c r="AN94" s="126">
        <f>AN92</f>
        <v>16.666666666666668</v>
      </c>
      <c r="AO94" s="43">
        <f>AO92</f>
        <v>7.2000000000000011</v>
      </c>
      <c r="AP94" s="128">
        <f>AP92</f>
        <v>120</v>
      </c>
      <c r="AQ94" s="128">
        <f>AN94 * (1 + F94) / (1 - G94)</f>
        <v>19.430485762144052</v>
      </c>
      <c r="AR94" s="129">
        <f>(B94 - AQ94) / AQ94</f>
        <v>2.9310344827586297E-2</v>
      </c>
      <c r="AS94" s="35"/>
      <c r="AT94" s="39">
        <f>AW94+AV94+AU94</f>
        <v>44.833333333333329</v>
      </c>
      <c r="AU94" s="39">
        <f>AC94+AC95</f>
        <v>20.166666666666668</v>
      </c>
      <c r="AV94" s="39">
        <f>AI94+AI95</f>
        <v>17.466666666666665</v>
      </c>
      <c r="AW94" s="39">
        <f>AO94</f>
        <v>7.2000000000000011</v>
      </c>
      <c r="AX94" s="201">
        <f>AX92</f>
        <v>717.91250000000002</v>
      </c>
      <c r="AY94" s="65">
        <v>0</v>
      </c>
      <c r="AZ94" s="126">
        <f>AT94*B94</f>
        <v>896.66666666666652</v>
      </c>
      <c r="BA94" s="202">
        <f>(AY94+AZ94-AX94)/AX94</f>
        <v>0.24899157859302698</v>
      </c>
      <c r="BB94" s="65">
        <f>H94-AX94+AY94</f>
        <v>482.08749999999998</v>
      </c>
    </row>
    <row r="95" spans="1:54" ht="12.75" x14ac:dyDescent="0.2">
      <c r="A95" s="182"/>
      <c r="B95" s="40"/>
      <c r="C95" s="55"/>
      <c r="D95" s="129"/>
      <c r="E95" s="125"/>
      <c r="F95" s="125"/>
      <c r="G95" s="125"/>
      <c r="H95" s="65"/>
      <c r="I95" s="35"/>
      <c r="J95" s="35"/>
      <c r="K95" s="35"/>
      <c r="L95" s="210"/>
      <c r="M95" s="210"/>
      <c r="N95" s="129"/>
      <c r="O95" s="125"/>
      <c r="P95" s="125"/>
      <c r="Q95" s="35"/>
      <c r="R95" s="166"/>
      <c r="S95" s="166"/>
      <c r="T95" s="173"/>
      <c r="U95" s="174"/>
      <c r="V95" s="175"/>
      <c r="W95" s="174"/>
      <c r="X95" s="217"/>
      <c r="Y95" s="217"/>
      <c r="Z95" s="218"/>
      <c r="AA95" s="41"/>
      <c r="AB95" s="126">
        <f t="shared" si="18"/>
        <v>16.666666666666668</v>
      </c>
      <c r="AC95" s="43">
        <f t="shared" si="18"/>
        <v>13.5</v>
      </c>
      <c r="AD95" s="128">
        <f t="shared" si="17"/>
        <v>225</v>
      </c>
      <c r="AE95" s="128">
        <f>AB95 * (1 + D94) / (1 - G94)</f>
        <v>17.420435510887774</v>
      </c>
      <c r="AF95" s="129">
        <f>(B94 - AE95) / AE95</f>
        <v>0.14807692307692294</v>
      </c>
      <c r="AG95" s="43"/>
      <c r="AH95" s="126">
        <f>AH93</f>
        <v>16.666666666666668</v>
      </c>
      <c r="AI95" s="43">
        <f>AI93</f>
        <v>10.799999999999999</v>
      </c>
      <c r="AJ95" s="128">
        <f>AJ93</f>
        <v>180</v>
      </c>
      <c r="AK95" s="128">
        <f>AH95 * (1 + E94) / (1 - G94)</f>
        <v>18.090452261306535</v>
      </c>
      <c r="AL95" s="129">
        <f>(B94 - AK95) / AK95</f>
        <v>0.10555555555555543</v>
      </c>
      <c r="AM95" s="35"/>
      <c r="AN95" s="126"/>
      <c r="AO95" s="43"/>
      <c r="AP95" s="128"/>
      <c r="AQ95" s="128"/>
      <c r="AR95" s="129"/>
      <c r="AS95" s="35"/>
      <c r="AT95" s="39"/>
      <c r="AU95" s="39"/>
      <c r="AV95" s="39"/>
      <c r="AW95" s="39"/>
      <c r="AX95" s="201"/>
      <c r="AY95" s="65"/>
      <c r="AZ95" s="126"/>
      <c r="BA95" s="202"/>
      <c r="BB95" s="65"/>
    </row>
    <row r="96" spans="1:54" ht="12.75" x14ac:dyDescent="0.2">
      <c r="A96" s="150" t="s">
        <v>267</v>
      </c>
      <c r="B96" s="52">
        <v>25</v>
      </c>
      <c r="C96" s="62">
        <v>0.02</v>
      </c>
      <c r="D96" s="124">
        <v>0.04</v>
      </c>
      <c r="E96" s="95">
        <v>0.08</v>
      </c>
      <c r="F96" s="95">
        <v>0.16</v>
      </c>
      <c r="G96" s="95">
        <v>5.0000000000000001E-3</v>
      </c>
      <c r="H96" s="63">
        <v>1200</v>
      </c>
      <c r="J96" s="45" t="s">
        <v>274</v>
      </c>
      <c r="K96">
        <v>2</v>
      </c>
      <c r="L96" s="207"/>
      <c r="M96" s="207"/>
      <c r="N96" s="124"/>
      <c r="O96" s="95"/>
      <c r="P96" s="95"/>
      <c r="R96" s="45"/>
      <c r="S96" s="45"/>
      <c r="T96" s="131"/>
      <c r="U96" s="122"/>
      <c r="V96" s="30"/>
      <c r="W96" s="122"/>
      <c r="X96" s="122"/>
      <c r="Y96" s="152"/>
      <c r="Z96" s="152"/>
      <c r="AA96" s="12"/>
      <c r="AB96" s="122">
        <f>AB94*K90/K96</f>
        <v>22.5</v>
      </c>
      <c r="AC96" s="30">
        <f>AC94*K96/K90</f>
        <v>4.4444444444444446</v>
      </c>
      <c r="AD96" s="157">
        <f t="shared" si="17"/>
        <v>100</v>
      </c>
      <c r="AE96" s="157">
        <f>AB96 * (1 + D96) / (1 - G96)</f>
        <v>23.517587939698494</v>
      </c>
      <c r="AF96" s="124">
        <f>(B96 - AE96) / AE96</f>
        <v>6.3034188034187963E-2</v>
      </c>
      <c r="AG96" s="30"/>
      <c r="AH96" s="122">
        <f>AH94*K90/K96</f>
        <v>22.5</v>
      </c>
      <c r="AI96" s="30">
        <f>AI94*K96/K90</f>
        <v>4.4444444444444446</v>
      </c>
      <c r="AJ96" s="157">
        <f>AJ94</f>
        <v>100</v>
      </c>
      <c r="AK96" s="157">
        <f>AH96 * (1 + E96) / (1 - G96)</f>
        <v>24.422110552763819</v>
      </c>
      <c r="AL96" s="124">
        <f>(B96 - AK96) / AK96</f>
        <v>2.3662551440329235E-2</v>
      </c>
      <c r="AN96" s="122">
        <f>AN94*K90/K96</f>
        <v>25</v>
      </c>
      <c r="AO96" s="30">
        <f>AO94*K96/K90</f>
        <v>4.8000000000000007</v>
      </c>
      <c r="AP96" s="157">
        <f>AP94</f>
        <v>120</v>
      </c>
      <c r="AQ96" s="157">
        <f>AN96 * (1 + F96) / (1 - G96)</f>
        <v>29.145728643216078</v>
      </c>
      <c r="AR96" s="124">
        <f>(B96 - AQ96) / AQ96</f>
        <v>-0.14224137931034475</v>
      </c>
      <c r="AT96" s="32">
        <f>AW96+AV96+AU96</f>
        <v>29.888888888888886</v>
      </c>
      <c r="AU96" s="32">
        <f>AC96+AC97</f>
        <v>13.444444444444445</v>
      </c>
      <c r="AV96" s="32">
        <f>AI96+AI97</f>
        <v>11.644444444444444</v>
      </c>
      <c r="AW96" s="32">
        <f>AO96</f>
        <v>4.8000000000000007</v>
      </c>
      <c r="AX96" s="196">
        <f>AX94</f>
        <v>717.91250000000002</v>
      </c>
      <c r="AY96" s="63">
        <v>0</v>
      </c>
      <c r="AZ96" s="122">
        <f>AT96*B96</f>
        <v>747.22222222222217</v>
      </c>
      <c r="BA96" s="206">
        <f>(AY96+AZ96-AX96)/AX96</f>
        <v>4.0826315494189261E-2</v>
      </c>
      <c r="BB96" s="63">
        <f>H96-AX96+AY96</f>
        <v>482.08749999999998</v>
      </c>
    </row>
    <row r="97" spans="1:54" ht="12.75" x14ac:dyDescent="0.2">
      <c r="A97" s="150"/>
      <c r="B97" s="33"/>
      <c r="C97" s="67"/>
      <c r="D97" s="124"/>
      <c r="E97" s="95"/>
      <c r="F97" s="95"/>
      <c r="G97" s="95"/>
      <c r="H97" s="95"/>
      <c r="L97" s="207"/>
      <c r="M97" s="207"/>
      <c r="N97" s="124"/>
      <c r="O97" s="95"/>
      <c r="P97" s="95"/>
      <c r="R97" s="45"/>
      <c r="S97" s="45"/>
      <c r="T97" s="131"/>
      <c r="U97" s="122"/>
      <c r="V97" s="30"/>
      <c r="W97" s="122"/>
      <c r="X97" s="122"/>
      <c r="Y97" s="152"/>
      <c r="Z97" s="152"/>
      <c r="AA97" s="12"/>
      <c r="AB97" s="122">
        <f>AB95*K90/K96</f>
        <v>25</v>
      </c>
      <c r="AC97" s="30">
        <f>AC95*K96/K90</f>
        <v>9</v>
      </c>
      <c r="AD97" s="157">
        <f t="shared" si="17"/>
        <v>225</v>
      </c>
      <c r="AE97" s="157">
        <f>AB97 * (1 + D96) / (1 - G96)</f>
        <v>26.13065326633166</v>
      </c>
      <c r="AF97" s="124">
        <f>(B96 - AE97) / AE97</f>
        <v>-4.3269230769230817E-2</v>
      </c>
      <c r="AG97" s="30"/>
      <c r="AH97" s="122">
        <f>AH95*K90/K96</f>
        <v>25</v>
      </c>
      <c r="AI97" s="30">
        <f>AI95*K96/K90</f>
        <v>7.1999999999999993</v>
      </c>
      <c r="AJ97" s="157">
        <f>AJ95</f>
        <v>180</v>
      </c>
      <c r="AK97" s="157">
        <f>AH97 * (1 + E96) / (1 - G96)</f>
        <v>27.1356783919598</v>
      </c>
      <c r="AL97" s="124">
        <f>(B96 - AK97) / AK97</f>
        <v>-7.8703703703703748E-2</v>
      </c>
      <c r="AN97" s="122"/>
      <c r="AO97" s="30"/>
      <c r="AP97" s="157"/>
      <c r="AQ97" s="157"/>
      <c r="AR97" s="124"/>
      <c r="AT97" s="32"/>
      <c r="AU97" s="32"/>
      <c r="AV97" s="32"/>
      <c r="AW97" s="32"/>
      <c r="AX97" s="196"/>
      <c r="AY97" s="63"/>
      <c r="AZ97" s="122"/>
      <c r="BA97" s="206"/>
      <c r="BB97" s="63"/>
    </row>
    <row r="98" spans="1:54" ht="12.75" x14ac:dyDescent="0.2">
      <c r="A98" s="182" t="s">
        <v>270</v>
      </c>
      <c r="B98" s="40">
        <v>25</v>
      </c>
      <c r="C98" s="55">
        <v>0.02</v>
      </c>
      <c r="D98" s="129">
        <v>0.04</v>
      </c>
      <c r="E98" s="125">
        <v>0.08</v>
      </c>
      <c r="F98" s="125">
        <v>0.16</v>
      </c>
      <c r="G98" s="125">
        <v>5.0000000000000001E-3</v>
      </c>
      <c r="H98" s="65">
        <v>1200</v>
      </c>
      <c r="I98" s="125"/>
      <c r="J98" s="134" t="s">
        <v>73</v>
      </c>
      <c r="K98" s="134" t="s">
        <v>211</v>
      </c>
      <c r="L98" s="40">
        <v>20</v>
      </c>
      <c r="M98" s="153" t="s">
        <v>34</v>
      </c>
      <c r="N98" s="153" t="s">
        <v>34</v>
      </c>
      <c r="O98" s="125">
        <v>1</v>
      </c>
      <c r="P98" s="153" t="s">
        <v>34</v>
      </c>
      <c r="Q98" s="35"/>
      <c r="R98" s="47" t="s">
        <v>270</v>
      </c>
      <c r="S98" s="47" t="s">
        <v>73</v>
      </c>
      <c r="T98" s="203" t="s">
        <v>211</v>
      </c>
      <c r="U98" s="126">
        <v>25</v>
      </c>
      <c r="V98" s="43">
        <f>AI96*O98</f>
        <v>4.4444444444444446</v>
      </c>
      <c r="W98" s="126">
        <f>U98*V98-(U98*V98*G98)</f>
        <v>110.55555555555556</v>
      </c>
      <c r="X98" s="153" t="s">
        <v>34</v>
      </c>
      <c r="Y98" s="153">
        <f>W98-(AH96*V98)</f>
        <v>10.555555555555557</v>
      </c>
      <c r="Z98" s="199">
        <f>Y98/(AH96*V98)</f>
        <v>0.10555555555555557</v>
      </c>
      <c r="AA98" s="41"/>
      <c r="AB98" s="126">
        <f t="shared" ref="AB98:AC101" si="19">AB96</f>
        <v>22.5</v>
      </c>
      <c r="AC98" s="43">
        <f t="shared" si="19"/>
        <v>4.4444444444444446</v>
      </c>
      <c r="AD98" s="128">
        <f t="shared" si="17"/>
        <v>100</v>
      </c>
      <c r="AE98" s="128">
        <f>AB98 * (1 + D98) / (1 - G98)</f>
        <v>23.517587939698494</v>
      </c>
      <c r="AF98" s="129">
        <f>(B98 - AE98) / AE98</f>
        <v>6.3034188034187963E-2</v>
      </c>
      <c r="AG98" s="43"/>
      <c r="AH98" s="126"/>
      <c r="AI98" s="43"/>
      <c r="AJ98" s="128"/>
      <c r="AK98" s="128"/>
      <c r="AL98" s="129"/>
      <c r="AM98" s="35"/>
      <c r="AN98" s="126">
        <f>AN96</f>
        <v>25</v>
      </c>
      <c r="AO98" s="43">
        <f>AO96</f>
        <v>4.8000000000000007</v>
      </c>
      <c r="AP98" s="128">
        <f>AP96</f>
        <v>120</v>
      </c>
      <c r="AQ98" s="128">
        <f>AN98 * (1 + F98) / (1 - G98)</f>
        <v>29.145728643216078</v>
      </c>
      <c r="AR98" s="129">
        <f>(B98 - AQ98) / AQ98</f>
        <v>-0.14224137931034475</v>
      </c>
      <c r="AS98" s="35"/>
      <c r="AT98" s="39">
        <f>AW98+AV98+AU98</f>
        <v>25.444444444444443</v>
      </c>
      <c r="AU98" s="39">
        <f>AC98+AC99</f>
        <v>13.444444444444445</v>
      </c>
      <c r="AV98" s="39">
        <f>AI98+AI99</f>
        <v>7.1999999999999993</v>
      </c>
      <c r="AW98" s="39">
        <f>AO98</f>
        <v>4.8000000000000007</v>
      </c>
      <c r="AX98" s="201">
        <f>AX96</f>
        <v>717.91250000000002</v>
      </c>
      <c r="AY98" s="65">
        <f>W98</f>
        <v>110.55555555555556</v>
      </c>
      <c r="AZ98" s="126">
        <f>AT98*B98</f>
        <v>636.11111111111109</v>
      </c>
      <c r="BA98" s="202">
        <f>(AY98+AZ98-AX98)/AX98</f>
        <v>4.0052466932483564E-2</v>
      </c>
      <c r="BB98" s="65">
        <f>H98-AX98+AY98</f>
        <v>592.64305555555552</v>
      </c>
    </row>
    <row r="99" spans="1:54" ht="12.75" x14ac:dyDescent="0.2">
      <c r="A99" s="35"/>
      <c r="B99" s="35"/>
      <c r="C99" s="35"/>
      <c r="D99" s="35"/>
      <c r="E99" s="35"/>
      <c r="F99" s="35"/>
      <c r="G99" s="35"/>
      <c r="H99" s="35"/>
      <c r="I99" s="35"/>
      <c r="J99" s="35"/>
      <c r="K99" s="35"/>
      <c r="L99" s="35"/>
      <c r="M99" s="35"/>
      <c r="N99" s="35"/>
      <c r="O99" s="35"/>
      <c r="P99" s="35"/>
      <c r="Q99" s="35"/>
      <c r="R99" s="35"/>
      <c r="S99" s="35"/>
      <c r="T99" s="35"/>
      <c r="U99" s="35"/>
      <c r="V99" s="35"/>
      <c r="W99" s="35"/>
      <c r="X99" s="35"/>
      <c r="Y99" s="35"/>
      <c r="Z99" s="35"/>
      <c r="AA99" s="41"/>
      <c r="AB99" s="126">
        <f t="shared" si="19"/>
        <v>25</v>
      </c>
      <c r="AC99" s="43">
        <f t="shared" si="19"/>
        <v>9</v>
      </c>
      <c r="AD99" s="128">
        <f t="shared" si="17"/>
        <v>225</v>
      </c>
      <c r="AE99" s="128">
        <f>AB99 * (1 + D98) / (1 - G98)</f>
        <v>26.13065326633166</v>
      </c>
      <c r="AF99" s="129">
        <f>(B98 - AE99) / AE99</f>
        <v>-4.3269230769230817E-2</v>
      </c>
      <c r="AG99" s="43"/>
      <c r="AH99" s="126">
        <f>AH97</f>
        <v>25</v>
      </c>
      <c r="AI99" s="43">
        <f>AI97</f>
        <v>7.1999999999999993</v>
      </c>
      <c r="AJ99" s="128">
        <f>AJ97</f>
        <v>180</v>
      </c>
      <c r="AK99" s="128">
        <f>AH99 * (1 + E98) / (1 - G98)</f>
        <v>27.1356783919598</v>
      </c>
      <c r="AL99" s="129">
        <f>(B98 - AK99) / AK99</f>
        <v>-7.8703703703703748E-2</v>
      </c>
      <c r="AM99" s="35"/>
      <c r="AN99" s="35"/>
      <c r="AO99" s="35"/>
      <c r="AP99" s="35"/>
      <c r="AQ99" s="35"/>
      <c r="AR99" s="35"/>
      <c r="AS99" s="35"/>
      <c r="AT99" s="35"/>
      <c r="AU99" s="35"/>
      <c r="AV99" s="35"/>
      <c r="AW99" s="35"/>
      <c r="AX99" s="35"/>
      <c r="AY99" s="35"/>
      <c r="AZ99" s="35"/>
      <c r="BA99" s="35"/>
      <c r="BB99" s="35"/>
    </row>
    <row r="100" spans="1:54" ht="12.75" x14ac:dyDescent="0.2">
      <c r="A100" s="150" t="s">
        <v>271</v>
      </c>
      <c r="B100" s="52">
        <v>25</v>
      </c>
      <c r="C100" s="62">
        <v>0.02</v>
      </c>
      <c r="D100" s="124">
        <v>0.04</v>
      </c>
      <c r="E100" s="95">
        <v>0.08</v>
      </c>
      <c r="F100" s="95">
        <v>0.16</v>
      </c>
      <c r="G100" s="95">
        <v>5.0000000000000001E-3</v>
      </c>
      <c r="H100" s="63">
        <v>1200</v>
      </c>
      <c r="J100" s="45" t="s">
        <v>272</v>
      </c>
      <c r="L100" s="207"/>
      <c r="M100" s="207"/>
      <c r="N100" s="124"/>
      <c r="O100" s="95"/>
      <c r="P100" s="95"/>
      <c r="R100" s="146" t="s">
        <v>270</v>
      </c>
      <c r="S100" s="146" t="s">
        <v>73</v>
      </c>
      <c r="T100" s="215" t="s">
        <v>211</v>
      </c>
      <c r="U100" s="162">
        <f>U98</f>
        <v>25</v>
      </c>
      <c r="V100" s="163">
        <f>V98</f>
        <v>4.4444444444444446</v>
      </c>
      <c r="W100" s="162">
        <f>U100*V100-(U100*V100*G100)</f>
        <v>110.55555555555556</v>
      </c>
      <c r="X100" s="216" t="s">
        <v>34</v>
      </c>
      <c r="Y100" s="216">
        <f>Y98</f>
        <v>10.555555555555557</v>
      </c>
      <c r="Z100" s="214">
        <f>Z98</f>
        <v>0.10555555555555557</v>
      </c>
      <c r="AA100" s="12"/>
      <c r="AB100" s="122">
        <f t="shared" si="19"/>
        <v>22.5</v>
      </c>
      <c r="AC100" s="30">
        <f t="shared" si="19"/>
        <v>4.4444444444444446</v>
      </c>
      <c r="AD100" s="157">
        <f t="shared" si="17"/>
        <v>100</v>
      </c>
      <c r="AE100" s="157">
        <f>AB100 * (1 + D100) / (1 - G100)</f>
        <v>23.517587939698494</v>
      </c>
      <c r="AF100" s="124">
        <f>(B100 - AE100) / AE100</f>
        <v>6.3034188034187963E-2</v>
      </c>
      <c r="AG100" s="30"/>
      <c r="AH100" s="122">
        <f>AH96</f>
        <v>22.5</v>
      </c>
      <c r="AI100" s="30">
        <f>AI96</f>
        <v>4.4444444444444446</v>
      </c>
      <c r="AJ100" s="157">
        <f>AJ96</f>
        <v>100</v>
      </c>
      <c r="AK100" s="157">
        <f>AH100 * (1 + E100) / (1 - G100)</f>
        <v>24.422110552763819</v>
      </c>
      <c r="AL100" s="124">
        <f>(B100 - AK100) / AK100</f>
        <v>2.3662551440329235E-2</v>
      </c>
      <c r="AN100" s="122">
        <f>AN98</f>
        <v>25</v>
      </c>
      <c r="AO100" s="30">
        <f>AO98</f>
        <v>4.8000000000000007</v>
      </c>
      <c r="AP100" s="157">
        <f>AP98</f>
        <v>120</v>
      </c>
      <c r="AQ100" s="157">
        <f>AN100 * (1 + F100) / (1 - G100)</f>
        <v>29.145728643216078</v>
      </c>
      <c r="AR100" s="124">
        <f>(B100 - AQ100) / AQ100</f>
        <v>-0.14224137931034475</v>
      </c>
      <c r="AT100" s="32">
        <f>AW100+AV100+AU100</f>
        <v>29.888888888888886</v>
      </c>
      <c r="AU100" s="32">
        <f>AC100+AC101</f>
        <v>13.444444444444445</v>
      </c>
      <c r="AV100" s="32">
        <f>AI100+AI101</f>
        <v>11.644444444444444</v>
      </c>
      <c r="AW100" s="32">
        <f>AO100</f>
        <v>4.8000000000000007</v>
      </c>
      <c r="AX100" s="196">
        <f>AX98</f>
        <v>717.91250000000002</v>
      </c>
      <c r="AY100" s="63">
        <v>0</v>
      </c>
      <c r="AZ100" s="122">
        <f>AT100*B100</f>
        <v>747.22222222222217</v>
      </c>
      <c r="BA100" s="206">
        <f>(AY100+AZ100-AX100)/AX100</f>
        <v>4.0826315494189261E-2</v>
      </c>
      <c r="BB100" s="63">
        <f>H100-AX100+AY100</f>
        <v>482.08749999999998</v>
      </c>
    </row>
    <row r="101" spans="1:54" ht="12.75" x14ac:dyDescent="0.2">
      <c r="A101" s="150"/>
      <c r="B101" s="52"/>
      <c r="C101" s="62"/>
      <c r="D101" s="124"/>
      <c r="E101" s="95"/>
      <c r="F101" s="95"/>
      <c r="G101" s="95"/>
      <c r="H101" s="63"/>
      <c r="L101" s="207"/>
      <c r="M101" s="207"/>
      <c r="N101" s="124"/>
      <c r="O101" s="95"/>
      <c r="P101" s="95"/>
      <c r="R101" s="146"/>
      <c r="S101" s="146"/>
      <c r="T101" s="215"/>
      <c r="U101" s="162"/>
      <c r="V101" s="163"/>
      <c r="W101" s="162"/>
      <c r="X101" s="216"/>
      <c r="Y101" s="216"/>
      <c r="Z101" s="214"/>
      <c r="AA101" s="12"/>
      <c r="AB101" s="122">
        <f t="shared" si="19"/>
        <v>25</v>
      </c>
      <c r="AC101" s="30">
        <f t="shared" si="19"/>
        <v>9</v>
      </c>
      <c r="AD101" s="157">
        <f t="shared" si="17"/>
        <v>225</v>
      </c>
      <c r="AE101" s="157">
        <f>AB101 * (1 + D100) / (1 - G100)</f>
        <v>26.13065326633166</v>
      </c>
      <c r="AF101" s="124">
        <f>(B100 - AE101) / AE101</f>
        <v>-4.3269230769230817E-2</v>
      </c>
      <c r="AG101" s="30"/>
      <c r="AH101" s="122">
        <f>AH99</f>
        <v>25</v>
      </c>
      <c r="AI101" s="30">
        <f>AI99</f>
        <v>7.1999999999999993</v>
      </c>
      <c r="AJ101" s="157">
        <f>AJ99</f>
        <v>180</v>
      </c>
      <c r="AK101" s="157">
        <f>AH101 * (1 + E100) / (1 - G100)</f>
        <v>27.1356783919598</v>
      </c>
      <c r="AL101" s="124">
        <f>(B100 - AK101) / AK101</f>
        <v>-7.8703703703703748E-2</v>
      </c>
      <c r="AN101" s="122"/>
      <c r="AO101" s="30"/>
      <c r="AP101" s="157"/>
      <c r="AQ101" s="157"/>
      <c r="AR101" s="124"/>
      <c r="AT101" s="32"/>
      <c r="AU101" s="32"/>
      <c r="AV101" s="32"/>
      <c r="AW101" s="32"/>
      <c r="AX101" s="196"/>
      <c r="AY101" s="63"/>
      <c r="AZ101" s="122"/>
      <c r="BA101" s="206"/>
      <c r="BB101" s="63"/>
    </row>
    <row r="102" spans="1:54" ht="12.75" x14ac:dyDescent="0.2">
      <c r="A102" s="182" t="s">
        <v>273</v>
      </c>
      <c r="B102" s="40">
        <v>25</v>
      </c>
      <c r="C102" s="55">
        <v>0.02</v>
      </c>
      <c r="D102" s="129">
        <v>0.04</v>
      </c>
      <c r="E102" s="125">
        <v>0.08</v>
      </c>
      <c r="F102" s="125">
        <v>0.16</v>
      </c>
      <c r="G102" s="125">
        <v>5.0000000000000001E-3</v>
      </c>
      <c r="H102" s="65">
        <v>1200</v>
      </c>
      <c r="I102" s="35"/>
      <c r="J102" s="47" t="s">
        <v>273</v>
      </c>
      <c r="K102" s="35"/>
      <c r="L102" s="210"/>
      <c r="M102" s="210"/>
      <c r="N102" s="129"/>
      <c r="O102" s="125"/>
      <c r="P102" s="125"/>
      <c r="Q102" s="35"/>
      <c r="R102" s="47"/>
      <c r="S102" s="47"/>
      <c r="T102" s="203"/>
      <c r="U102" s="126"/>
      <c r="V102" s="43"/>
      <c r="W102" s="126"/>
      <c r="X102" s="126"/>
      <c r="Y102" s="153"/>
      <c r="Z102" s="153"/>
      <c r="AA102" s="41"/>
      <c r="AB102" s="126">
        <f>AB100*K96</f>
        <v>45</v>
      </c>
      <c r="AC102" s="43">
        <f>AC100/K96</f>
        <v>2.2222222222222223</v>
      </c>
      <c r="AD102" s="128">
        <f t="shared" si="17"/>
        <v>100</v>
      </c>
      <c r="AE102" s="128">
        <f>AB102 * (1 + D102) / (1 - G102)</f>
        <v>47.035175879396988</v>
      </c>
      <c r="AF102" s="129">
        <f>(B102 - AE102) / AE102</f>
        <v>-0.46848290598290604</v>
      </c>
      <c r="AG102" s="43"/>
      <c r="AH102" s="126">
        <f>AH100*K96</f>
        <v>45</v>
      </c>
      <c r="AI102" s="43">
        <f>AI100/K96</f>
        <v>2.2222222222222223</v>
      </c>
      <c r="AJ102" s="128">
        <f>AJ100</f>
        <v>100</v>
      </c>
      <c r="AK102" s="128">
        <f>AH102 * (1 + E102) / (1 - G102)</f>
        <v>48.844221105527637</v>
      </c>
      <c r="AL102" s="129">
        <f>(B102 - AK102) / AK102</f>
        <v>-0.48816872427983538</v>
      </c>
      <c r="AM102" s="35"/>
      <c r="AN102" s="126">
        <f>AN100*K96</f>
        <v>50</v>
      </c>
      <c r="AO102" s="43">
        <f>AO100/K96</f>
        <v>2.4000000000000004</v>
      </c>
      <c r="AP102" s="128">
        <f>AP100</f>
        <v>120</v>
      </c>
      <c r="AQ102" s="128">
        <f>AN102 * (1 + F102) / (1 - G102)</f>
        <v>58.291457286432156</v>
      </c>
      <c r="AR102" s="129">
        <f>(B102 - AQ102) / AQ102</f>
        <v>-0.57112068965517238</v>
      </c>
      <c r="AS102" s="35"/>
      <c r="AT102" s="39">
        <f>AW102+AV102+AU102</f>
        <v>14.944444444444443</v>
      </c>
      <c r="AU102" s="39">
        <f>AC102+AC103</f>
        <v>6.7222222222222223</v>
      </c>
      <c r="AV102" s="39">
        <f>AI102+AI103</f>
        <v>5.822222222222222</v>
      </c>
      <c r="AW102" s="39">
        <f>AO102</f>
        <v>2.4000000000000004</v>
      </c>
      <c r="AX102" s="201">
        <f>AX100</f>
        <v>717.91250000000002</v>
      </c>
      <c r="AY102" s="65">
        <v>0</v>
      </c>
      <c r="AZ102" s="126">
        <f>AT102*B102</f>
        <v>373.61111111111109</v>
      </c>
      <c r="BA102" s="202">
        <f>(AY102+AZ102-AX102)/AX102</f>
        <v>-0.47958684225290538</v>
      </c>
      <c r="BB102" s="65">
        <f>H102-AX102+AY102</f>
        <v>482.08749999999998</v>
      </c>
    </row>
    <row r="103" spans="1:54" ht="12.75" x14ac:dyDescent="0.2">
      <c r="A103" s="182"/>
      <c r="B103" s="36"/>
      <c r="C103" s="209"/>
      <c r="D103" s="129"/>
      <c r="E103" s="125"/>
      <c r="F103" s="125"/>
      <c r="G103" s="125"/>
      <c r="H103" s="125"/>
      <c r="I103" s="35"/>
      <c r="J103" s="35"/>
      <c r="K103" s="35"/>
      <c r="L103" s="210"/>
      <c r="M103" s="210"/>
      <c r="N103" s="129"/>
      <c r="O103" s="125"/>
      <c r="P103" s="125"/>
      <c r="Q103" s="35"/>
      <c r="R103" s="47"/>
      <c r="S103" s="47"/>
      <c r="T103" s="203"/>
      <c r="U103" s="126"/>
      <c r="V103" s="43"/>
      <c r="W103" s="126"/>
      <c r="X103" s="126"/>
      <c r="Y103" s="153"/>
      <c r="Z103" s="153"/>
      <c r="AA103" s="41"/>
      <c r="AB103" s="126">
        <f>AB101*K96</f>
        <v>50</v>
      </c>
      <c r="AC103" s="43">
        <f>AC101/K96</f>
        <v>4.5</v>
      </c>
      <c r="AD103" s="128">
        <f t="shared" si="17"/>
        <v>225</v>
      </c>
      <c r="AE103" s="128">
        <f>AB103 * (1 + D102) / (1 - G102)</f>
        <v>52.261306532663319</v>
      </c>
      <c r="AF103" s="129">
        <f>(B102 - AE103) / AE103</f>
        <v>-0.52163461538461542</v>
      </c>
      <c r="AG103" s="43"/>
      <c r="AH103" s="126">
        <f>AH101*K96</f>
        <v>50</v>
      </c>
      <c r="AI103" s="43">
        <f>AI101/K96</f>
        <v>3.5999999999999996</v>
      </c>
      <c r="AJ103" s="128">
        <f>AJ101</f>
        <v>180</v>
      </c>
      <c r="AK103" s="128">
        <f>AH103 * (1 + E102) / (1 - G102)</f>
        <v>54.2713567839196</v>
      </c>
      <c r="AL103" s="129">
        <f>(B102 - AK103) / AK103</f>
        <v>-0.53935185185185186</v>
      </c>
      <c r="AM103" s="35"/>
      <c r="AN103" s="126"/>
      <c r="AO103" s="43"/>
      <c r="AP103" s="128"/>
      <c r="AQ103" s="128"/>
      <c r="AR103" s="129"/>
      <c r="AS103" s="35"/>
      <c r="AT103" s="39"/>
      <c r="AU103" s="39"/>
      <c r="AV103" s="39"/>
      <c r="AW103" s="39"/>
      <c r="AX103" s="201"/>
      <c r="AY103" s="65"/>
      <c r="AZ103" s="126"/>
      <c r="BA103" s="202"/>
      <c r="BB103" s="65"/>
    </row>
    <row r="104" spans="1:54" ht="12.75" x14ac:dyDescent="0.2">
      <c r="A104" s="150"/>
      <c r="B104" s="52"/>
      <c r="C104" s="62"/>
      <c r="D104" s="124"/>
      <c r="E104" s="95"/>
      <c r="F104" s="95"/>
      <c r="G104" s="95"/>
      <c r="H104" s="63"/>
      <c r="L104" s="207"/>
      <c r="M104" s="207"/>
      <c r="N104" s="124"/>
      <c r="O104" s="95"/>
      <c r="P104" s="95"/>
      <c r="R104" s="45"/>
      <c r="S104" s="45"/>
      <c r="T104" s="131"/>
      <c r="U104" s="122"/>
      <c r="V104" s="30"/>
      <c r="W104" s="122"/>
      <c r="X104" s="122"/>
      <c r="Y104" s="152"/>
      <c r="Z104" s="152"/>
      <c r="AA104" s="12"/>
      <c r="AB104" s="122"/>
      <c r="AC104" s="30"/>
      <c r="AD104" s="157"/>
      <c r="AE104" s="157"/>
      <c r="AF104" s="124"/>
      <c r="AG104" s="30"/>
      <c r="AH104" s="122"/>
      <c r="AI104" s="30"/>
      <c r="AJ104" s="157"/>
      <c r="AK104" s="157"/>
      <c r="AL104" s="124"/>
    </row>
    <row r="105" spans="1:54" ht="12.75" x14ac:dyDescent="0.2">
      <c r="A105" s="208" t="s">
        <v>275</v>
      </c>
      <c r="B105" s="33"/>
      <c r="C105" s="67"/>
      <c r="D105" s="124"/>
      <c r="E105" s="95"/>
      <c r="F105" s="95"/>
      <c r="G105" s="95"/>
      <c r="H105" s="95"/>
      <c r="L105" s="207"/>
      <c r="M105" s="207"/>
      <c r="N105" s="124"/>
      <c r="O105" s="95"/>
      <c r="P105" s="95"/>
      <c r="R105" s="45"/>
      <c r="S105" s="45"/>
      <c r="T105" s="131"/>
      <c r="U105" s="122"/>
      <c r="V105" s="30"/>
      <c r="W105" s="122"/>
      <c r="X105" s="122"/>
      <c r="Y105" s="152"/>
      <c r="Z105" s="152"/>
      <c r="AA105" s="12"/>
      <c r="AB105" s="122"/>
      <c r="AC105" s="30"/>
      <c r="AD105" s="157"/>
      <c r="AE105" s="157"/>
      <c r="AF105" s="124"/>
      <c r="AG105" s="30"/>
      <c r="AH105" s="122"/>
      <c r="AI105" s="30"/>
      <c r="AJ105" s="157"/>
      <c r="AK105" s="157"/>
      <c r="AL105" s="124"/>
    </row>
    <row r="106" spans="1:54" ht="12.75" x14ac:dyDescent="0.2">
      <c r="B106" s="45" t="s">
        <v>204</v>
      </c>
      <c r="C106" s="109"/>
      <c r="J106" s="45" t="s">
        <v>202</v>
      </c>
      <c r="R106" s="45" t="s">
        <v>203</v>
      </c>
      <c r="T106" s="12"/>
      <c r="U106" s="12"/>
      <c r="V106" s="12"/>
      <c r="W106" s="12"/>
      <c r="X106" s="12"/>
      <c r="Y106" s="12"/>
      <c r="Z106" s="12"/>
      <c r="AA106" s="12"/>
      <c r="AB106" s="130" t="s">
        <v>205</v>
      </c>
      <c r="AC106" s="46"/>
      <c r="AD106" s="46"/>
      <c r="AE106" s="46"/>
      <c r="AF106" s="46"/>
      <c r="AG106" s="46"/>
      <c r="AH106" s="130" t="s">
        <v>207</v>
      </c>
      <c r="AI106" s="46"/>
      <c r="AJ106" s="46"/>
      <c r="AK106" s="46"/>
      <c r="AL106" s="46"/>
      <c r="AM106" s="45"/>
      <c r="AN106" s="130" t="s">
        <v>208</v>
      </c>
      <c r="AO106" s="12"/>
      <c r="AP106" s="12"/>
      <c r="AQ106" s="12"/>
      <c r="AR106" s="12"/>
      <c r="AT106" s="130" t="s">
        <v>206</v>
      </c>
    </row>
    <row r="107" spans="1:54" ht="12.75" x14ac:dyDescent="0.2">
      <c r="B107" s="57" t="s">
        <v>209</v>
      </c>
      <c r="C107" s="28" t="s">
        <v>190</v>
      </c>
      <c r="D107" s="57" t="s">
        <v>191</v>
      </c>
      <c r="E107" s="28" t="s">
        <v>192</v>
      </c>
      <c r="F107" s="28" t="s">
        <v>193</v>
      </c>
      <c r="G107" s="57" t="s">
        <v>112</v>
      </c>
      <c r="H107" s="57" t="s">
        <v>243</v>
      </c>
      <c r="I107" s="101"/>
      <c r="J107" s="28" t="s">
        <v>76</v>
      </c>
      <c r="K107" s="28" t="s">
        <v>4</v>
      </c>
      <c r="L107" s="57" t="s">
        <v>0</v>
      </c>
      <c r="M107" s="57" t="s">
        <v>1</v>
      </c>
      <c r="N107" s="28" t="s">
        <v>191</v>
      </c>
      <c r="O107" s="28" t="s">
        <v>192</v>
      </c>
      <c r="P107" s="28" t="s">
        <v>193</v>
      </c>
      <c r="R107" s="28"/>
      <c r="S107" s="28" t="s">
        <v>76</v>
      </c>
      <c r="T107" s="28" t="s">
        <v>4</v>
      </c>
      <c r="U107" s="57" t="s">
        <v>0</v>
      </c>
      <c r="V107" s="28" t="s">
        <v>62</v>
      </c>
      <c r="W107" s="57" t="s">
        <v>220</v>
      </c>
      <c r="X107" s="57" t="s">
        <v>190</v>
      </c>
      <c r="Y107" s="57" t="s">
        <v>194</v>
      </c>
      <c r="Z107" s="28" t="s">
        <v>195</v>
      </c>
      <c r="AA107" s="12"/>
      <c r="AB107" s="28" t="s">
        <v>0</v>
      </c>
      <c r="AC107" s="28" t="s">
        <v>196</v>
      </c>
      <c r="AD107" s="57" t="s">
        <v>1</v>
      </c>
      <c r="AE107" s="57" t="s">
        <v>197</v>
      </c>
      <c r="AF107" s="57" t="s">
        <v>198</v>
      </c>
      <c r="AG107" s="60"/>
      <c r="AH107" s="28" t="s">
        <v>0</v>
      </c>
      <c r="AI107" s="28" t="s">
        <v>196</v>
      </c>
      <c r="AJ107" s="57" t="s">
        <v>1</v>
      </c>
      <c r="AK107" s="57" t="s">
        <v>197</v>
      </c>
      <c r="AL107" s="57" t="s">
        <v>198</v>
      </c>
      <c r="AN107" s="28" t="s">
        <v>0</v>
      </c>
      <c r="AO107" s="28" t="s">
        <v>196</v>
      </c>
      <c r="AP107" s="57" t="s">
        <v>1</v>
      </c>
      <c r="AQ107" s="57" t="s">
        <v>197</v>
      </c>
      <c r="AR107" s="57" t="s">
        <v>198</v>
      </c>
      <c r="AT107" s="57" t="s">
        <v>199</v>
      </c>
      <c r="AU107" s="28" t="s">
        <v>191</v>
      </c>
      <c r="AV107" s="28" t="s">
        <v>192</v>
      </c>
      <c r="AW107" s="28" t="s">
        <v>193</v>
      </c>
      <c r="AX107" s="249"/>
      <c r="AY107" s="249"/>
      <c r="AZ107" s="249"/>
      <c r="BA107" s="249"/>
      <c r="BB107" s="249"/>
    </row>
    <row r="108" spans="1:54" s="250" customFormat="1" ht="12.75" x14ac:dyDescent="0.2">
      <c r="A108" s="250" t="s">
        <v>288</v>
      </c>
      <c r="B108" s="251"/>
      <c r="C108" s="251"/>
      <c r="D108" s="251"/>
      <c r="E108" s="251"/>
      <c r="F108" s="251"/>
      <c r="G108" s="251"/>
      <c r="H108" s="251"/>
      <c r="I108" s="251"/>
      <c r="J108" s="251"/>
      <c r="K108" s="251"/>
      <c r="L108" s="251"/>
      <c r="M108" s="251"/>
      <c r="N108" s="251"/>
      <c r="O108" s="251"/>
      <c r="P108" s="251"/>
      <c r="R108" s="251"/>
      <c r="S108" s="251"/>
      <c r="T108" s="251"/>
      <c r="U108" s="251"/>
      <c r="V108" s="251"/>
      <c r="W108" s="251"/>
      <c r="X108" s="251"/>
      <c r="Y108" s="251"/>
      <c r="Z108" s="251"/>
      <c r="AA108" s="251"/>
      <c r="AB108" s="251"/>
      <c r="AC108" s="251"/>
      <c r="AD108" s="251"/>
      <c r="AE108" s="251"/>
      <c r="AF108" s="251"/>
      <c r="AG108" s="251"/>
      <c r="AH108" s="251"/>
      <c r="AI108" s="251"/>
      <c r="AJ108" s="251"/>
      <c r="AK108" s="251"/>
      <c r="AL108" s="251"/>
      <c r="AN108" s="251"/>
      <c r="AO108" s="251"/>
      <c r="AP108" s="251"/>
      <c r="AQ108" s="251"/>
      <c r="AR108" s="251"/>
      <c r="AT108" s="251"/>
      <c r="AU108" s="251"/>
      <c r="AV108" s="251"/>
      <c r="AW108" s="251"/>
      <c r="AX108" s="251"/>
      <c r="AY108" s="251"/>
      <c r="AZ108" s="251"/>
      <c r="BA108" s="251"/>
      <c r="BB108" s="251"/>
    </row>
    <row r="109" spans="1:54" ht="12.75" x14ac:dyDescent="0.2">
      <c r="A109" s="110" t="s">
        <v>287</v>
      </c>
      <c r="B109" s="52"/>
      <c r="C109" s="54"/>
      <c r="D109" s="124"/>
      <c r="E109" s="95"/>
      <c r="F109" s="95"/>
      <c r="G109" s="95"/>
      <c r="H109" s="63"/>
      <c r="I109" s="95"/>
      <c r="J109" s="133"/>
      <c r="K109" s="133"/>
      <c r="L109" s="52"/>
      <c r="M109" s="52"/>
      <c r="N109" s="124"/>
      <c r="O109" s="95"/>
      <c r="P109" s="95"/>
      <c r="R109" s="45"/>
      <c r="S109" s="45"/>
      <c r="T109" s="131"/>
      <c r="U109" s="122"/>
      <c r="V109" s="30"/>
      <c r="W109" s="122"/>
      <c r="X109" s="122"/>
      <c r="Y109" s="152"/>
      <c r="Z109" s="152"/>
      <c r="AA109" s="12"/>
      <c r="AB109" s="122"/>
      <c r="AC109" s="30"/>
      <c r="AD109" s="123"/>
      <c r="AE109" s="123"/>
      <c r="AF109" s="124"/>
      <c r="AG109" s="30"/>
      <c r="AH109" s="122"/>
      <c r="AI109" s="30"/>
      <c r="AJ109" s="123"/>
      <c r="AK109" s="123"/>
      <c r="AL109" s="124"/>
      <c r="AN109" s="122"/>
      <c r="AO109" s="30"/>
      <c r="AP109" s="123"/>
      <c r="AQ109" s="123"/>
      <c r="AR109" s="124"/>
      <c r="AT109" s="32"/>
      <c r="AU109" s="32"/>
      <c r="AV109" s="32"/>
      <c r="AW109" s="32"/>
      <c r="AX109" s="239"/>
      <c r="AY109" s="233"/>
      <c r="AZ109" s="235"/>
      <c r="BA109" s="206"/>
      <c r="BB109" s="233"/>
    </row>
    <row r="110" spans="1:54" ht="12.75" x14ac:dyDescent="0.2">
      <c r="A110" s="110" t="s">
        <v>289</v>
      </c>
      <c r="B110" s="52"/>
      <c r="C110" s="54"/>
      <c r="D110" s="124"/>
      <c r="E110" s="95"/>
      <c r="F110" s="95"/>
      <c r="G110" s="95"/>
      <c r="H110" s="63"/>
      <c r="I110" s="95"/>
      <c r="J110" s="133"/>
      <c r="K110" s="133"/>
      <c r="L110" s="52"/>
      <c r="M110" s="52"/>
      <c r="N110" s="124"/>
      <c r="O110" s="95"/>
      <c r="P110" s="95"/>
      <c r="R110" s="45"/>
      <c r="S110" s="45"/>
      <c r="T110" s="131"/>
      <c r="U110" s="122"/>
      <c r="V110" s="30"/>
      <c r="W110" s="122"/>
      <c r="X110" s="122"/>
      <c r="Y110" s="152"/>
      <c r="Z110" s="152"/>
      <c r="AA110" s="12"/>
      <c r="AB110" s="122"/>
      <c r="AC110" s="30"/>
      <c r="AD110" s="123"/>
      <c r="AE110" s="123"/>
      <c r="AF110" s="124"/>
      <c r="AG110" s="30"/>
      <c r="AH110" s="122"/>
      <c r="AI110" s="30"/>
      <c r="AJ110" s="123"/>
      <c r="AK110" s="123"/>
      <c r="AL110" s="124"/>
      <c r="AN110" s="122"/>
      <c r="AO110" s="30"/>
      <c r="AP110" s="123"/>
      <c r="AQ110" s="123"/>
      <c r="AR110" s="124"/>
      <c r="AT110" s="32"/>
      <c r="AU110" s="32"/>
      <c r="AV110" s="32"/>
      <c r="AW110" s="32"/>
      <c r="AX110" s="239"/>
      <c r="AY110" s="233"/>
      <c r="AZ110" s="235"/>
      <c r="BA110" s="206"/>
      <c r="BB110" s="233"/>
    </row>
    <row r="111" spans="1:54" ht="12.75" x14ac:dyDescent="0.2">
      <c r="A111" s="110" t="s">
        <v>288</v>
      </c>
      <c r="B111" s="52"/>
      <c r="C111" s="54"/>
      <c r="D111" s="124"/>
      <c r="E111" s="95"/>
      <c r="F111" s="95"/>
      <c r="G111" s="95"/>
      <c r="H111" s="63"/>
      <c r="I111" s="95"/>
      <c r="J111" s="133"/>
      <c r="K111" s="133"/>
      <c r="L111" s="52"/>
      <c r="M111" s="52"/>
      <c r="N111" s="124"/>
      <c r="O111" s="95"/>
      <c r="P111" s="95"/>
      <c r="R111" s="45"/>
      <c r="S111" s="45"/>
      <c r="T111" s="131"/>
      <c r="U111" s="122"/>
      <c r="V111" s="30"/>
      <c r="W111" s="122"/>
      <c r="X111" s="122"/>
      <c r="Y111" s="152"/>
      <c r="Z111" s="152"/>
      <c r="AA111" s="12"/>
      <c r="AB111" s="122"/>
      <c r="AC111" s="30"/>
      <c r="AD111" s="123"/>
      <c r="AE111" s="123"/>
      <c r="AF111" s="124"/>
      <c r="AG111" s="30"/>
      <c r="AH111" s="122"/>
      <c r="AI111" s="30"/>
      <c r="AJ111" s="123"/>
      <c r="AK111" s="123"/>
      <c r="AL111" s="124"/>
      <c r="AN111" s="122"/>
      <c r="AO111" s="30"/>
      <c r="AP111" s="123"/>
      <c r="AQ111" s="123"/>
      <c r="AR111" s="124"/>
      <c r="AT111" s="32"/>
      <c r="AU111" s="32"/>
      <c r="AV111" s="32"/>
      <c r="AW111" s="32"/>
      <c r="AX111" s="239"/>
      <c r="AY111" s="233"/>
      <c r="AZ111" s="235"/>
      <c r="BA111" s="206"/>
      <c r="BB111" s="233"/>
    </row>
    <row r="112" spans="1:54" ht="12.75" x14ac:dyDescent="0.2">
      <c r="A112" s="110" t="s">
        <v>280</v>
      </c>
      <c r="B112" s="52">
        <v>100</v>
      </c>
      <c r="C112" s="54">
        <v>0.02</v>
      </c>
      <c r="D112" s="124">
        <v>0.04</v>
      </c>
      <c r="E112" s="95">
        <v>0.08</v>
      </c>
      <c r="F112" s="95">
        <v>0.16</v>
      </c>
      <c r="G112" s="95">
        <v>0.01</v>
      </c>
      <c r="H112" s="63">
        <v>1200</v>
      </c>
      <c r="I112" s="95"/>
      <c r="J112" s="133" t="s">
        <v>75</v>
      </c>
      <c r="K112" s="133" t="s">
        <v>78</v>
      </c>
      <c r="L112" s="52">
        <v>100</v>
      </c>
      <c r="M112" s="52">
        <v>200</v>
      </c>
      <c r="N112" s="124">
        <v>0.5</v>
      </c>
      <c r="O112" s="95">
        <v>0.3</v>
      </c>
      <c r="P112" s="95">
        <v>0.2</v>
      </c>
      <c r="R112" s="45" t="s">
        <v>215</v>
      </c>
      <c r="S112" s="45" t="s">
        <v>75</v>
      </c>
      <c r="T112" s="131" t="s">
        <v>78</v>
      </c>
      <c r="U112" s="122">
        <f>L112</f>
        <v>100</v>
      </c>
      <c r="V112" s="30">
        <f>W112/U112</f>
        <v>2</v>
      </c>
      <c r="W112" s="122">
        <f>M112</f>
        <v>200</v>
      </c>
      <c r="X112" s="122">
        <f>U112 * (1 - ABS(C112))</f>
        <v>98</v>
      </c>
      <c r="Y112" s="152" t="s">
        <v>34</v>
      </c>
      <c r="Z112" s="152" t="s">
        <v>34</v>
      </c>
      <c r="AA112" s="12"/>
      <c r="AB112" s="122">
        <f>U112</f>
        <v>100</v>
      </c>
      <c r="AC112" s="30">
        <f>V112*N112</f>
        <v>1</v>
      </c>
      <c r="AD112" s="123">
        <f>W112*N112</f>
        <v>100</v>
      </c>
      <c r="AE112" s="123">
        <f>AB112 * (1 + D112) / (1 - G112)</f>
        <v>105.05050505050505</v>
      </c>
      <c r="AF112" s="124">
        <f>(B112 - AE112) / AE112</f>
        <v>-4.8076923076923087E-2</v>
      </c>
      <c r="AG112" s="30"/>
      <c r="AH112" s="122">
        <f>U112</f>
        <v>100</v>
      </c>
      <c r="AI112" s="30">
        <f>V112*O112</f>
        <v>0.6</v>
      </c>
      <c r="AJ112" s="123">
        <f>W112*O112</f>
        <v>60</v>
      </c>
      <c r="AK112" s="123">
        <f>AH112 * (1 + E112) / (1 - G112)</f>
        <v>109.09090909090909</v>
      </c>
      <c r="AL112" s="124">
        <f>(B112 - AK112) / AK112</f>
        <v>-8.3333333333333356E-2</v>
      </c>
      <c r="AN112" s="122">
        <f>U112</f>
        <v>100</v>
      </c>
      <c r="AO112" s="30">
        <f>V112*P112</f>
        <v>0.4</v>
      </c>
      <c r="AP112" s="123">
        <f>W112*P112</f>
        <v>40</v>
      </c>
      <c r="AQ112" s="123">
        <f>AN112 * (1 + F112) / (1 - G112)</f>
        <v>117.17171717171716</v>
      </c>
      <c r="AR112" s="124">
        <f>(B112 - AQ112) / AQ112</f>
        <v>-0.14655172413793097</v>
      </c>
      <c r="AT112" s="32">
        <f>AW112+AV112+AU112</f>
        <v>2</v>
      </c>
      <c r="AU112" s="32">
        <f>AC112</f>
        <v>1</v>
      </c>
      <c r="AV112" s="32">
        <f>AI112</f>
        <v>0.6</v>
      </c>
      <c r="AW112" s="32">
        <f>AO112</f>
        <v>0.4</v>
      </c>
      <c r="AX112" s="239"/>
      <c r="AY112" s="233"/>
      <c r="AZ112" s="235"/>
      <c r="BA112" s="206"/>
      <c r="BB112" s="233"/>
    </row>
    <row r="113" spans="1:54" ht="12.75" x14ac:dyDescent="0.2">
      <c r="A113" s="177" t="s">
        <v>279</v>
      </c>
      <c r="B113" s="40">
        <v>110</v>
      </c>
      <c r="C113" s="55">
        <v>0.02</v>
      </c>
      <c r="D113" s="129">
        <v>0.04</v>
      </c>
      <c r="E113" s="125">
        <v>0.08</v>
      </c>
      <c r="F113" s="125">
        <v>0.16</v>
      </c>
      <c r="G113" s="125">
        <v>0.01</v>
      </c>
      <c r="H113" s="65">
        <v>1200</v>
      </c>
      <c r="I113" s="125"/>
      <c r="J113" s="134" t="s">
        <v>75</v>
      </c>
      <c r="K113" s="134" t="s">
        <v>211</v>
      </c>
      <c r="L113" s="40">
        <v>110</v>
      </c>
      <c r="M113" s="40">
        <v>300</v>
      </c>
      <c r="N113" s="129">
        <v>0.5</v>
      </c>
      <c r="O113" s="125">
        <v>0.3</v>
      </c>
      <c r="P113" s="125">
        <v>0.2</v>
      </c>
      <c r="Q113" s="35"/>
      <c r="R113" s="47" t="s">
        <v>216</v>
      </c>
      <c r="S113" s="47" t="s">
        <v>75</v>
      </c>
      <c r="T113" s="134" t="s">
        <v>211</v>
      </c>
      <c r="U113" s="126">
        <f>L113</f>
        <v>110</v>
      </c>
      <c r="V113" s="43">
        <f>W113/U113</f>
        <v>2.7272727272727271</v>
      </c>
      <c r="W113" s="126">
        <f>M113</f>
        <v>300</v>
      </c>
      <c r="X113" s="126">
        <f>U113 * (1 - ABS(C113))</f>
        <v>107.8</v>
      </c>
      <c r="Y113" s="153" t="s">
        <v>34</v>
      </c>
      <c r="Z113" s="153" t="s">
        <v>34</v>
      </c>
      <c r="AA113" s="41"/>
      <c r="AB113" s="126">
        <f>U113</f>
        <v>110</v>
      </c>
      <c r="AC113" s="43">
        <f>V113*N113</f>
        <v>1.3636363636363635</v>
      </c>
      <c r="AD113" s="128">
        <f>W113*N113</f>
        <v>150</v>
      </c>
      <c r="AE113" s="128">
        <f>AB113 * (1 + D113) / (1 - G113)</f>
        <v>115.55555555555556</v>
      </c>
      <c r="AF113" s="129">
        <f>(B113 - AE113) / AE113</f>
        <v>-4.8076923076923087E-2</v>
      </c>
      <c r="AG113" s="43"/>
      <c r="AH113" s="126">
        <f>U113</f>
        <v>110</v>
      </c>
      <c r="AI113" s="43">
        <f>V113*O113</f>
        <v>0.81818181818181812</v>
      </c>
      <c r="AJ113" s="128">
        <f>W113*O113</f>
        <v>90</v>
      </c>
      <c r="AK113" s="128">
        <f>AH113 * (1 + E113) / (1 - G113)</f>
        <v>120.00000000000001</v>
      </c>
      <c r="AL113" s="129">
        <f>(B113 - AK113) / AK113</f>
        <v>-8.333333333333344E-2</v>
      </c>
      <c r="AM113" s="35"/>
      <c r="AN113" s="126">
        <f>U113</f>
        <v>110</v>
      </c>
      <c r="AO113" s="43">
        <f>V113*P113</f>
        <v>0.54545454545454541</v>
      </c>
      <c r="AP113" s="128">
        <f>W113*P113</f>
        <v>60</v>
      </c>
      <c r="AQ113" s="128">
        <f>AN113 * (1 + F113) / (1 - G113)</f>
        <v>128.88888888888889</v>
      </c>
      <c r="AR113" s="129">
        <f>(B113 - AQ113) / AQ113</f>
        <v>-0.14655172413793102</v>
      </c>
      <c r="AS113" s="35"/>
      <c r="AT113" s="39">
        <f>AW113+AV113+AU113</f>
        <v>4.7272727272727266</v>
      </c>
      <c r="AU113" s="39">
        <f>AC113+AC114</f>
        <v>2.3636363636363633</v>
      </c>
      <c r="AV113" s="39">
        <f>AI113+AI114</f>
        <v>1.418181818181818</v>
      </c>
      <c r="AW113" s="39">
        <f>AO113+AO114</f>
        <v>0.94545454545454544</v>
      </c>
      <c r="AX113" s="196"/>
      <c r="AY113" s="63"/>
      <c r="AZ113" s="122"/>
      <c r="BA113" s="197"/>
      <c r="BB113" s="63"/>
    </row>
    <row r="114" spans="1:54" ht="12.75" x14ac:dyDescent="0.2">
      <c r="A114" s="35"/>
      <c r="B114" s="40"/>
      <c r="C114" s="55"/>
      <c r="D114" s="129"/>
      <c r="E114" s="125"/>
      <c r="F114" s="125"/>
      <c r="G114" s="125"/>
      <c r="H114" s="65"/>
      <c r="I114" s="125"/>
      <c r="J114" s="134"/>
      <c r="K114" s="134"/>
      <c r="L114" s="40"/>
      <c r="M114" s="40"/>
      <c r="N114" s="129"/>
      <c r="O114" s="125"/>
      <c r="P114" s="125"/>
      <c r="Q114" s="35"/>
      <c r="R114" s="47"/>
      <c r="S114" s="47"/>
      <c r="T114" s="203"/>
      <c r="U114" s="126"/>
      <c r="V114" s="43"/>
      <c r="W114" s="126"/>
      <c r="X114" s="126"/>
      <c r="Y114" s="153"/>
      <c r="Z114" s="153"/>
      <c r="AA114" s="41"/>
      <c r="AB114" s="126">
        <f>AB112</f>
        <v>100</v>
      </c>
      <c r="AC114" s="43">
        <f>AC112</f>
        <v>1</v>
      </c>
      <c r="AD114" s="128">
        <f>AD112</f>
        <v>100</v>
      </c>
      <c r="AE114" s="128">
        <f>AB114 * (1 + D113) / (1 - G113)</f>
        <v>105.05050505050505</v>
      </c>
      <c r="AF114" s="129">
        <f>(B113 - AE114) / AE114</f>
        <v>4.7115384615384601E-2</v>
      </c>
      <c r="AG114" s="43"/>
      <c r="AH114" s="126">
        <f>AH112</f>
        <v>100</v>
      </c>
      <c r="AI114" s="43">
        <f>AI112</f>
        <v>0.6</v>
      </c>
      <c r="AJ114" s="128">
        <f>AJ112</f>
        <v>60</v>
      </c>
      <c r="AK114" s="128">
        <f>AH114 * (1 + E113) / (1 - G113)</f>
        <v>109.09090909090909</v>
      </c>
      <c r="AL114" s="129">
        <f>(B113 - AK114) / AK114</f>
        <v>8.3333333333333089E-3</v>
      </c>
      <c r="AM114" s="35"/>
      <c r="AN114" s="126">
        <f>AN112</f>
        <v>100</v>
      </c>
      <c r="AO114" s="43">
        <f>AO112</f>
        <v>0.4</v>
      </c>
      <c r="AP114" s="128">
        <f>AP112</f>
        <v>40</v>
      </c>
      <c r="AQ114" s="128">
        <f>AN114 * (1 + F113) / (1 - G113)</f>
        <v>117.17171717171716</v>
      </c>
      <c r="AR114" s="129">
        <f>(B113 - AQ114) / AQ114</f>
        <v>-6.1206896551724066E-2</v>
      </c>
      <c r="AS114" s="35"/>
      <c r="AT114" s="39"/>
      <c r="AU114" s="39"/>
      <c r="AV114" s="39"/>
      <c r="AW114" s="39"/>
      <c r="AX114" s="196"/>
      <c r="AY114" s="63"/>
      <c r="AZ114" s="122"/>
      <c r="BA114" s="197"/>
      <c r="BB114" s="63"/>
    </row>
    <row r="115" spans="1:54" s="237" customFormat="1" ht="12.75" x14ac:dyDescent="0.2">
      <c r="A115" s="250" t="s">
        <v>236</v>
      </c>
      <c r="B115" s="230">
        <v>90</v>
      </c>
      <c r="C115" s="62">
        <v>0.02</v>
      </c>
      <c r="D115" s="231">
        <v>0.04</v>
      </c>
      <c r="E115" s="232">
        <v>0.08</v>
      </c>
      <c r="F115" s="232">
        <v>0.16</v>
      </c>
      <c r="G115" s="232">
        <v>0.01</v>
      </c>
      <c r="H115" s="233">
        <v>1200</v>
      </c>
      <c r="I115" s="232"/>
      <c r="J115" s="234"/>
      <c r="K115" s="234"/>
      <c r="L115" s="230"/>
      <c r="M115" s="230"/>
      <c r="N115" s="231"/>
      <c r="O115" s="232"/>
      <c r="P115" s="232"/>
      <c r="R115" s="252"/>
      <c r="S115" s="252"/>
      <c r="T115" s="234"/>
      <c r="U115" s="235"/>
      <c r="V115" s="236"/>
      <c r="W115" s="235"/>
      <c r="X115" s="235"/>
      <c r="Y115" s="241"/>
      <c r="Z115" s="241"/>
      <c r="AA115" s="247"/>
      <c r="AB115" s="235">
        <f>AB113</f>
        <v>110</v>
      </c>
      <c r="AC115" s="236">
        <f>AC113</f>
        <v>1.3636363636363635</v>
      </c>
      <c r="AD115" s="157">
        <f>AD113</f>
        <v>150</v>
      </c>
      <c r="AE115" s="157">
        <f>AB115 * (1 + D115) / (1 - G115)</f>
        <v>115.55555555555556</v>
      </c>
      <c r="AF115" s="231">
        <f>(B115 - AE115) / AE115</f>
        <v>-0.22115384615384617</v>
      </c>
      <c r="AG115" s="236"/>
      <c r="AH115" s="235">
        <f>AH113</f>
        <v>110</v>
      </c>
      <c r="AI115" s="236">
        <f>AI113</f>
        <v>0.81818181818181812</v>
      </c>
      <c r="AJ115" s="157">
        <f>AJ113</f>
        <v>90</v>
      </c>
      <c r="AK115" s="157">
        <f>AH115 * (1 + E115) / (1 - G115)</f>
        <v>120.00000000000001</v>
      </c>
      <c r="AL115" s="231">
        <f>(B115 - AK115) / AK115</f>
        <v>-0.25000000000000011</v>
      </c>
      <c r="AN115" s="235">
        <f>AN113</f>
        <v>110</v>
      </c>
      <c r="AO115" s="236">
        <f>AO113</f>
        <v>0.54545454545454541</v>
      </c>
      <c r="AP115" s="157">
        <f>AP113</f>
        <v>60</v>
      </c>
      <c r="AQ115" s="157">
        <f>AN115 * (1 + F115) / (1 - G115)</f>
        <v>128.88888888888889</v>
      </c>
      <c r="AR115" s="231">
        <f>(B115 - AQ115) / AQ115</f>
        <v>-0.30172413793103448</v>
      </c>
      <c r="AT115" s="238">
        <f>AW115+AV115+AU115</f>
        <v>4.7272727272727266</v>
      </c>
      <c r="AU115" s="238">
        <f>AC115+AC116</f>
        <v>2.3636363636363633</v>
      </c>
      <c r="AV115" s="238">
        <f>AI115+AI116</f>
        <v>1.418181818181818</v>
      </c>
      <c r="AW115" s="238">
        <f>AO115+AO116</f>
        <v>0.94545454545454544</v>
      </c>
      <c r="AX115" s="239"/>
      <c r="AY115" s="233"/>
      <c r="AZ115" s="235"/>
      <c r="BA115" s="206"/>
      <c r="BB115" s="233"/>
    </row>
    <row r="116" spans="1:54" s="237" customFormat="1" ht="12.75" x14ac:dyDescent="0.2">
      <c r="B116" s="230"/>
      <c r="C116" s="62"/>
      <c r="D116" s="231"/>
      <c r="E116" s="232"/>
      <c r="F116" s="232"/>
      <c r="G116" s="232"/>
      <c r="H116" s="233"/>
      <c r="I116" s="232"/>
      <c r="J116" s="234"/>
      <c r="K116" s="234"/>
      <c r="L116" s="230"/>
      <c r="M116" s="230"/>
      <c r="N116" s="231"/>
      <c r="O116" s="232"/>
      <c r="P116" s="232"/>
      <c r="R116" s="252"/>
      <c r="S116" s="252"/>
      <c r="T116" s="253"/>
      <c r="U116" s="235"/>
      <c r="V116" s="236"/>
      <c r="W116" s="235"/>
      <c r="X116" s="235"/>
      <c r="Y116" s="241"/>
      <c r="Z116" s="241"/>
      <c r="AA116" s="247"/>
      <c r="AB116" s="235">
        <f>AB114</f>
        <v>100</v>
      </c>
      <c r="AC116" s="236">
        <f>AC114</f>
        <v>1</v>
      </c>
      <c r="AD116" s="157">
        <f>AD114</f>
        <v>100</v>
      </c>
      <c r="AE116" s="157">
        <f>AB116 * (1 + D115) / (1 - G115)</f>
        <v>105.05050505050505</v>
      </c>
      <c r="AF116" s="231">
        <f>(B115 - AE116) / AE116</f>
        <v>-0.14326923076923079</v>
      </c>
      <c r="AG116" s="236"/>
      <c r="AH116" s="235">
        <f>AH114</f>
        <v>100</v>
      </c>
      <c r="AI116" s="236">
        <f>AI114</f>
        <v>0.6</v>
      </c>
      <c r="AJ116" s="157">
        <f>AJ114</f>
        <v>60</v>
      </c>
      <c r="AK116" s="157">
        <f>AH116 * (1 + E115) / (1 - G115)</f>
        <v>109.09090909090909</v>
      </c>
      <c r="AL116" s="231">
        <f>(B115 - AK116) / AK116</f>
        <v>-0.17500000000000002</v>
      </c>
      <c r="AN116" s="235">
        <f>AN114</f>
        <v>100</v>
      </c>
      <c r="AO116" s="236">
        <f>AO114</f>
        <v>0.4</v>
      </c>
      <c r="AP116" s="157">
        <f>AP114</f>
        <v>40</v>
      </c>
      <c r="AQ116" s="157">
        <f>AN116 * (1 + F115) / (1 - G115)</f>
        <v>117.17171717171716</v>
      </c>
      <c r="AR116" s="231">
        <f>(B115 - AQ116) / AQ116</f>
        <v>-0.23189655172413787</v>
      </c>
      <c r="AT116" s="238"/>
      <c r="AU116" s="238"/>
      <c r="AV116" s="238"/>
      <c r="AW116" s="238"/>
      <c r="AX116" s="239"/>
      <c r="AY116" s="233"/>
      <c r="AZ116" s="235"/>
      <c r="BA116" s="206"/>
      <c r="BB116" s="233"/>
    </row>
    <row r="117" spans="1:54" s="237" customFormat="1" ht="12.75" x14ac:dyDescent="0.2">
      <c r="A117" s="47" t="s">
        <v>290</v>
      </c>
      <c r="B117" s="40">
        <v>90</v>
      </c>
      <c r="C117" s="55">
        <v>0.04</v>
      </c>
      <c r="D117" s="129">
        <v>0.04</v>
      </c>
      <c r="E117" s="125">
        <v>0.08</v>
      </c>
      <c r="F117" s="125">
        <v>0.16</v>
      </c>
      <c r="G117" s="125">
        <v>0.01</v>
      </c>
      <c r="H117" s="65">
        <v>1200</v>
      </c>
      <c r="I117" s="125"/>
      <c r="J117" s="134"/>
      <c r="K117" s="134"/>
      <c r="L117" s="40"/>
      <c r="M117" s="40"/>
      <c r="N117" s="129"/>
      <c r="O117" s="125"/>
      <c r="P117" s="125"/>
      <c r="Q117" s="35"/>
      <c r="R117" s="47" t="s">
        <v>215</v>
      </c>
      <c r="S117" s="47" t="s">
        <v>75</v>
      </c>
      <c r="T117" s="203" t="s">
        <v>78</v>
      </c>
      <c r="U117" s="126">
        <f>U112</f>
        <v>100</v>
      </c>
      <c r="V117" s="43">
        <f>V112</f>
        <v>2</v>
      </c>
      <c r="W117" s="126">
        <f>W112</f>
        <v>200</v>
      </c>
      <c r="X117" s="126">
        <f>U117 * (1 - ABS(C117))</f>
        <v>96</v>
      </c>
      <c r="Y117" s="153" t="s">
        <v>34</v>
      </c>
      <c r="Z117" s="153" t="s">
        <v>34</v>
      </c>
      <c r="AA117" s="41"/>
      <c r="AB117" s="126">
        <f>AB115</f>
        <v>110</v>
      </c>
      <c r="AC117" s="43">
        <f>AC115</f>
        <v>1.3636363636363635</v>
      </c>
      <c r="AD117" s="128">
        <f>AD115</f>
        <v>150</v>
      </c>
      <c r="AE117" s="128">
        <f>AB117 * (1 + D117) / (1 - G117)</f>
        <v>115.55555555555556</v>
      </c>
      <c r="AF117" s="129">
        <f>(B117 - AE117) / AE117</f>
        <v>-0.22115384615384617</v>
      </c>
      <c r="AG117" s="43"/>
      <c r="AH117" s="126">
        <f>AH115</f>
        <v>110</v>
      </c>
      <c r="AI117" s="43">
        <f>AI115</f>
        <v>0.81818181818181812</v>
      </c>
      <c r="AJ117" s="128">
        <f>AJ115</f>
        <v>90</v>
      </c>
      <c r="AK117" s="128">
        <f>AH117 * (1 + E117) / (1 - G117)</f>
        <v>120.00000000000001</v>
      </c>
      <c r="AL117" s="129">
        <f>(B117 - AK117) / AK117</f>
        <v>-0.25000000000000011</v>
      </c>
      <c r="AM117" s="35"/>
      <c r="AN117" s="126">
        <f>AN115</f>
        <v>110</v>
      </c>
      <c r="AO117" s="43">
        <f>AO115</f>
        <v>0.54545454545454541</v>
      </c>
      <c r="AP117" s="128">
        <f>AP115</f>
        <v>60</v>
      </c>
      <c r="AQ117" s="128">
        <f>AN117 * (1 + F117) / (1 - G117)</f>
        <v>128.88888888888889</v>
      </c>
      <c r="AR117" s="129">
        <f>(B117 - AQ117) / AQ117</f>
        <v>-0.30172413793103448</v>
      </c>
      <c r="AS117" s="35"/>
      <c r="AT117" s="39">
        <f>AW117+AV117+AU117</f>
        <v>4.7272727272727266</v>
      </c>
      <c r="AU117" s="39">
        <f>AC117+AC118</f>
        <v>2.3636363636363633</v>
      </c>
      <c r="AV117" s="39">
        <f>AI117+AI118</f>
        <v>1.418181818181818</v>
      </c>
      <c r="AW117" s="39">
        <f>AO117+AO118</f>
        <v>0.94545454545454544</v>
      </c>
      <c r="AX117" s="239"/>
      <c r="AY117" s="233"/>
      <c r="AZ117" s="235"/>
      <c r="BA117" s="206"/>
      <c r="BB117" s="233"/>
    </row>
    <row r="118" spans="1:54" s="237" customFormat="1" ht="12.75" x14ac:dyDescent="0.2">
      <c r="A118" s="35"/>
      <c r="B118" s="40"/>
      <c r="C118" s="55"/>
      <c r="D118" s="129"/>
      <c r="E118" s="125"/>
      <c r="F118" s="125"/>
      <c r="G118" s="125"/>
      <c r="H118" s="65"/>
      <c r="I118" s="125"/>
      <c r="J118" s="134"/>
      <c r="K118" s="134"/>
      <c r="L118" s="40"/>
      <c r="M118" s="40"/>
      <c r="N118" s="129"/>
      <c r="O118" s="125"/>
      <c r="P118" s="125"/>
      <c r="Q118" s="35"/>
      <c r="R118" s="47" t="s">
        <v>216</v>
      </c>
      <c r="S118" s="47" t="s">
        <v>75</v>
      </c>
      <c r="T118" s="134" t="s">
        <v>211</v>
      </c>
      <c r="U118" s="126">
        <f>U113</f>
        <v>110</v>
      </c>
      <c r="V118" s="43">
        <f>V113</f>
        <v>2.7272727272727271</v>
      </c>
      <c r="W118" s="126">
        <f>W113</f>
        <v>300</v>
      </c>
      <c r="X118" s="126">
        <f>U118 * (1 - ABS(C117))</f>
        <v>105.6</v>
      </c>
      <c r="Y118" s="153" t="s">
        <v>34</v>
      </c>
      <c r="Z118" s="153" t="s">
        <v>34</v>
      </c>
      <c r="AA118" s="41"/>
      <c r="AB118" s="126">
        <f>AB116</f>
        <v>100</v>
      </c>
      <c r="AC118" s="43">
        <f>AC116</f>
        <v>1</v>
      </c>
      <c r="AD118" s="128">
        <f>AD116</f>
        <v>100</v>
      </c>
      <c r="AE118" s="128">
        <f>AB118 * (1 + D117) / (1 - G117)</f>
        <v>105.05050505050505</v>
      </c>
      <c r="AF118" s="129">
        <f>(B117 - AE118) / AE118</f>
        <v>-0.14326923076923079</v>
      </c>
      <c r="AG118" s="43"/>
      <c r="AH118" s="126">
        <f>AH116</f>
        <v>100</v>
      </c>
      <c r="AI118" s="43">
        <f>AI116</f>
        <v>0.6</v>
      </c>
      <c r="AJ118" s="128">
        <f>AJ116</f>
        <v>60</v>
      </c>
      <c r="AK118" s="128">
        <f>AH118 * (1 + E117) / (1 - G117)</f>
        <v>109.09090909090909</v>
      </c>
      <c r="AL118" s="129">
        <f>(B117 - AK118) / AK118</f>
        <v>-0.17500000000000002</v>
      </c>
      <c r="AM118" s="35"/>
      <c r="AN118" s="126">
        <f>AN116</f>
        <v>100</v>
      </c>
      <c r="AO118" s="43">
        <f>AO116</f>
        <v>0.4</v>
      </c>
      <c r="AP118" s="128">
        <f>AP116</f>
        <v>40</v>
      </c>
      <c r="AQ118" s="128">
        <f>AN118 * (1 + F117) / (1 - G117)</f>
        <v>117.17171717171716</v>
      </c>
      <c r="AR118" s="129">
        <f>(B117 - AQ118) / AQ118</f>
        <v>-0.23189655172413787</v>
      </c>
      <c r="AS118" s="35"/>
      <c r="AT118" s="39"/>
      <c r="AU118" s="39"/>
      <c r="AV118" s="39"/>
      <c r="AW118" s="39"/>
      <c r="AX118" s="239"/>
      <c r="AY118" s="233"/>
      <c r="AZ118" s="235"/>
      <c r="BA118" s="206"/>
      <c r="BB118" s="233"/>
    </row>
    <row r="119" spans="1:54" ht="12.75" x14ac:dyDescent="0.2">
      <c r="A119" s="150"/>
      <c r="B119" s="33"/>
      <c r="C119" s="67"/>
      <c r="D119" s="124"/>
      <c r="E119" s="95"/>
      <c r="F119" s="95"/>
      <c r="G119" s="95"/>
      <c r="H119" s="95"/>
      <c r="L119" s="207"/>
      <c r="M119" s="207"/>
      <c r="N119" s="124"/>
      <c r="O119" s="95"/>
      <c r="P119" s="95"/>
      <c r="R119" s="45"/>
      <c r="S119" s="45"/>
      <c r="T119" s="131"/>
      <c r="U119" s="122"/>
      <c r="V119" s="30"/>
      <c r="W119" s="122"/>
      <c r="X119" s="122"/>
      <c r="Y119" s="152"/>
      <c r="Z119" s="152"/>
      <c r="AA119" s="12"/>
      <c r="AB119" s="122"/>
      <c r="AC119" s="30"/>
      <c r="AD119" s="157"/>
      <c r="AE119" s="157"/>
      <c r="AF119" s="124"/>
      <c r="AG119" s="30"/>
      <c r="AH119" s="122"/>
      <c r="AI119" s="30"/>
      <c r="AJ119" s="157"/>
      <c r="AK119" s="157"/>
      <c r="AL119" s="124"/>
    </row>
    <row r="120" spans="1:54" ht="38.25" x14ac:dyDescent="0.2">
      <c r="A120" s="150" t="s">
        <v>276</v>
      </c>
      <c r="B120" s="33"/>
      <c r="C120" s="67"/>
      <c r="D120" s="124"/>
      <c r="E120" s="95"/>
      <c r="F120" s="95"/>
      <c r="G120" s="95"/>
      <c r="H120" s="95"/>
      <c r="L120" s="207"/>
      <c r="M120" s="207"/>
      <c r="N120" s="124"/>
      <c r="O120" s="95"/>
      <c r="P120" s="95"/>
      <c r="R120" s="45"/>
      <c r="S120" s="45"/>
      <c r="T120" s="131"/>
      <c r="U120" s="122"/>
      <c r="V120" s="30"/>
      <c r="W120" s="122"/>
      <c r="X120" s="122"/>
      <c r="Y120" s="152"/>
      <c r="Z120" s="152"/>
      <c r="AA120" s="12"/>
      <c r="AB120" s="122"/>
      <c r="AC120" s="30"/>
      <c r="AD120" s="157"/>
      <c r="AE120" s="157"/>
      <c r="AF120" s="124"/>
      <c r="AG120" s="30"/>
      <c r="AH120" s="122"/>
      <c r="AI120" s="30"/>
      <c r="AJ120" s="157"/>
      <c r="AK120" s="157"/>
      <c r="AL120" s="124"/>
    </row>
    <row r="121" spans="1:54" ht="25.5" x14ac:dyDescent="0.2">
      <c r="A121" s="208" t="s">
        <v>277</v>
      </c>
      <c r="B121" s="33"/>
      <c r="C121" s="67"/>
      <c r="D121" s="124"/>
      <c r="E121" s="95"/>
      <c r="F121" s="95"/>
      <c r="G121" s="95"/>
      <c r="H121" s="95"/>
      <c r="L121" s="207"/>
      <c r="M121" s="207"/>
      <c r="N121" s="124"/>
      <c r="O121" s="95"/>
      <c r="P121" s="95"/>
      <c r="R121" s="45"/>
      <c r="S121" s="45"/>
      <c r="T121" s="131"/>
      <c r="U121" s="122"/>
      <c r="V121" s="30"/>
      <c r="W121" s="122"/>
      <c r="X121" s="122"/>
      <c r="Y121" s="152"/>
      <c r="Z121" s="152"/>
      <c r="AA121" s="12"/>
      <c r="AB121" s="122"/>
      <c r="AC121" s="30"/>
      <c r="AD121" s="157"/>
      <c r="AE121" s="157"/>
      <c r="AF121" s="124"/>
      <c r="AG121" s="30"/>
      <c r="AH121" s="122"/>
      <c r="AI121" s="30"/>
      <c r="AJ121" s="157"/>
      <c r="AK121" s="157"/>
      <c r="AL121" s="124"/>
    </row>
    <row r="122" spans="1:54" ht="12.75" x14ac:dyDescent="0.2">
      <c r="B122" s="45" t="s">
        <v>204</v>
      </c>
      <c r="C122" s="109"/>
      <c r="J122" s="45" t="s">
        <v>202</v>
      </c>
      <c r="R122" s="45" t="s">
        <v>203</v>
      </c>
      <c r="T122" s="12"/>
      <c r="U122" s="12"/>
      <c r="V122" s="12"/>
      <c r="W122" s="12"/>
      <c r="X122" s="12"/>
      <c r="Y122" s="12"/>
      <c r="Z122" s="12"/>
      <c r="AA122" s="12"/>
      <c r="AB122" s="130" t="s">
        <v>205</v>
      </c>
      <c r="AC122" s="46"/>
      <c r="AD122" s="46"/>
      <c r="AE122" s="46"/>
      <c r="AF122" s="46"/>
      <c r="AG122" s="46"/>
      <c r="AH122" s="130" t="s">
        <v>207</v>
      </c>
      <c r="AI122" s="46"/>
      <c r="AJ122" s="46"/>
      <c r="AK122" s="46"/>
      <c r="AL122" s="46"/>
      <c r="AM122" s="45"/>
      <c r="AN122" s="130" t="s">
        <v>208</v>
      </c>
      <c r="AO122" s="12"/>
      <c r="AP122" s="12"/>
      <c r="AQ122" s="12"/>
      <c r="AR122" s="12"/>
      <c r="AT122" s="130" t="s">
        <v>206</v>
      </c>
    </row>
    <row r="123" spans="1:54" ht="12.75" x14ac:dyDescent="0.2">
      <c r="B123" s="57" t="s">
        <v>209</v>
      </c>
      <c r="C123" s="28" t="s">
        <v>190</v>
      </c>
      <c r="D123" s="57" t="s">
        <v>191</v>
      </c>
      <c r="E123" s="28" t="s">
        <v>192</v>
      </c>
      <c r="F123" s="28" t="s">
        <v>193</v>
      </c>
      <c r="G123" s="57" t="s">
        <v>112</v>
      </c>
      <c r="H123" s="57" t="s">
        <v>243</v>
      </c>
      <c r="I123" s="101"/>
      <c r="J123" s="28" t="s">
        <v>76</v>
      </c>
      <c r="K123" s="28" t="s">
        <v>4</v>
      </c>
      <c r="L123" s="57" t="s">
        <v>0</v>
      </c>
      <c r="M123" s="57" t="s">
        <v>1</v>
      </c>
      <c r="N123" s="28" t="s">
        <v>191</v>
      </c>
      <c r="O123" s="28" t="s">
        <v>192</v>
      </c>
      <c r="P123" s="28" t="s">
        <v>193</v>
      </c>
      <c r="R123" s="28"/>
      <c r="S123" s="28" t="s">
        <v>76</v>
      </c>
      <c r="T123" s="28" t="s">
        <v>4</v>
      </c>
      <c r="U123" s="57" t="s">
        <v>0</v>
      </c>
      <c r="V123" s="28" t="s">
        <v>62</v>
      </c>
      <c r="W123" s="57" t="s">
        <v>220</v>
      </c>
      <c r="X123" s="57" t="s">
        <v>190</v>
      </c>
      <c r="Y123" s="57" t="s">
        <v>194</v>
      </c>
      <c r="Z123" s="28" t="s">
        <v>195</v>
      </c>
      <c r="AA123" s="12"/>
      <c r="AB123" s="28" t="s">
        <v>0</v>
      </c>
      <c r="AC123" s="28" t="s">
        <v>196</v>
      </c>
      <c r="AD123" s="57" t="s">
        <v>1</v>
      </c>
      <c r="AE123" s="57" t="s">
        <v>197</v>
      </c>
      <c r="AF123" s="57" t="s">
        <v>198</v>
      </c>
      <c r="AG123" s="60"/>
      <c r="AH123" s="28" t="s">
        <v>0</v>
      </c>
      <c r="AI123" s="28" t="s">
        <v>196</v>
      </c>
      <c r="AJ123" s="57" t="s">
        <v>1</v>
      </c>
      <c r="AK123" s="57" t="s">
        <v>197</v>
      </c>
      <c r="AL123" s="57" t="s">
        <v>198</v>
      </c>
      <c r="AN123" s="28" t="s">
        <v>0</v>
      </c>
      <c r="AO123" s="28" t="s">
        <v>196</v>
      </c>
      <c r="AP123" s="57" t="s">
        <v>1</v>
      </c>
      <c r="AQ123" s="57" t="s">
        <v>197</v>
      </c>
      <c r="AR123" s="57" t="s">
        <v>198</v>
      </c>
      <c r="AT123" s="57" t="s">
        <v>199</v>
      </c>
      <c r="AU123" s="28" t="s">
        <v>191</v>
      </c>
      <c r="AV123" s="28" t="s">
        <v>192</v>
      </c>
      <c r="AW123" s="28" t="s">
        <v>193</v>
      </c>
      <c r="AX123" s="57" t="s">
        <v>79</v>
      </c>
      <c r="AY123" s="57" t="s">
        <v>241</v>
      </c>
      <c r="AZ123" s="57" t="s">
        <v>240</v>
      </c>
      <c r="BA123" s="57" t="s">
        <v>250</v>
      </c>
      <c r="BB123" s="57" t="s">
        <v>242</v>
      </c>
    </row>
    <row r="124" spans="1:54" ht="12.75" x14ac:dyDescent="0.2">
      <c r="A124" s="110" t="s">
        <v>215</v>
      </c>
      <c r="B124" s="52">
        <v>100</v>
      </c>
      <c r="C124" s="54">
        <v>0.02</v>
      </c>
      <c r="D124" s="124">
        <v>0.04</v>
      </c>
      <c r="E124" s="95">
        <v>0.08</v>
      </c>
      <c r="F124" s="95">
        <v>0.16</v>
      </c>
      <c r="G124" s="95">
        <v>5.0000000000000001E-3</v>
      </c>
      <c r="H124" s="63">
        <v>1200</v>
      </c>
      <c r="I124" s="95"/>
      <c r="J124" s="133" t="s">
        <v>75</v>
      </c>
      <c r="K124" s="133" t="s">
        <v>78</v>
      </c>
      <c r="L124" s="52">
        <v>100</v>
      </c>
      <c r="M124" s="52">
        <v>300</v>
      </c>
      <c r="N124" s="124">
        <v>0.5</v>
      </c>
      <c r="O124" s="95">
        <v>0.3</v>
      </c>
      <c r="P124" s="95">
        <v>0.2</v>
      </c>
      <c r="R124" s="45" t="s">
        <v>215</v>
      </c>
      <c r="S124" s="45" t="s">
        <v>75</v>
      </c>
      <c r="T124" s="131" t="s">
        <v>78</v>
      </c>
      <c r="U124" s="122">
        <f>L124</f>
        <v>100</v>
      </c>
      <c r="V124" s="30">
        <f>W124/U124</f>
        <v>3</v>
      </c>
      <c r="W124" s="122">
        <f>M124</f>
        <v>300</v>
      </c>
      <c r="X124" s="122">
        <f>U124 * (1 - ABS(C124))</f>
        <v>98</v>
      </c>
      <c r="Y124" s="152" t="s">
        <v>34</v>
      </c>
      <c r="Z124" s="152" t="s">
        <v>34</v>
      </c>
      <c r="AA124" s="12"/>
      <c r="AB124" s="122">
        <f>U124</f>
        <v>100</v>
      </c>
      <c r="AC124" s="30">
        <f>V124*N124</f>
        <v>1.5</v>
      </c>
      <c r="AD124" s="123">
        <f>W124*N124</f>
        <v>150</v>
      </c>
      <c r="AE124" s="123">
        <f>AB124 * (1 + D124) / (1 - G124)</f>
        <v>104.52261306532664</v>
      </c>
      <c r="AF124" s="231">
        <f>(B124 - AE124) / AE124</f>
        <v>-4.3269230769230817E-2</v>
      </c>
      <c r="AG124" s="30"/>
      <c r="AH124" s="122">
        <f>U124</f>
        <v>100</v>
      </c>
      <c r="AI124" s="30">
        <f>V124*O124</f>
        <v>0.89999999999999991</v>
      </c>
      <c r="AJ124" s="123">
        <f>W124*O124</f>
        <v>90</v>
      </c>
      <c r="AK124" s="123">
        <f>AH124 * (1 + E124) / (1 - G124)</f>
        <v>108.5427135678392</v>
      </c>
      <c r="AL124" s="124">
        <f>(B124 - AK124) / AK124</f>
        <v>-7.8703703703703748E-2</v>
      </c>
      <c r="AN124" s="122">
        <f>U124</f>
        <v>100</v>
      </c>
      <c r="AO124" s="30">
        <f>V124*P124</f>
        <v>0.60000000000000009</v>
      </c>
      <c r="AP124" s="123">
        <f>W124*P124</f>
        <v>60</v>
      </c>
      <c r="AQ124" s="123">
        <f>AN124 * (1 + F124) / (1 - G124)</f>
        <v>116.58291457286431</v>
      </c>
      <c r="AR124" s="124">
        <f>(B124 - AQ124) / AQ124</f>
        <v>-0.14224137931034475</v>
      </c>
      <c r="AT124" s="32">
        <f>AW124+AV124+AU124</f>
        <v>3</v>
      </c>
      <c r="AU124" s="32">
        <f>AC124</f>
        <v>1.5</v>
      </c>
      <c r="AV124" s="32">
        <f>AI124</f>
        <v>0.89999999999999991</v>
      </c>
      <c r="AW124" s="32">
        <f>AO124</f>
        <v>0.60000000000000009</v>
      </c>
      <c r="AX124" s="196">
        <f>M124</f>
        <v>300</v>
      </c>
      <c r="AY124" s="63">
        <v>0</v>
      </c>
      <c r="AZ124" s="122">
        <f>AT124*B124</f>
        <v>300</v>
      </c>
      <c r="BA124" s="197">
        <f>(AY124+AZ124-AX124)/AX124</f>
        <v>0</v>
      </c>
      <c r="BB124" s="63">
        <f>H124-AX124+AY124</f>
        <v>900</v>
      </c>
    </row>
    <row r="125" spans="1:54" ht="12.75" x14ac:dyDescent="0.2">
      <c r="A125" s="182" t="s">
        <v>278</v>
      </c>
      <c r="B125" s="40">
        <v>100</v>
      </c>
      <c r="C125" s="55">
        <v>0.02</v>
      </c>
      <c r="D125" s="129">
        <v>0.04</v>
      </c>
      <c r="E125" s="125">
        <v>0.08</v>
      </c>
      <c r="F125" s="125">
        <v>0.16</v>
      </c>
      <c r="G125" s="125">
        <v>5.0000000000000001E-3</v>
      </c>
      <c r="H125" s="65">
        <v>1200</v>
      </c>
      <c r="I125" s="125"/>
      <c r="J125" s="134" t="s">
        <v>245</v>
      </c>
      <c r="K125" s="153"/>
      <c r="L125" s="153"/>
      <c r="M125" s="40">
        <v>20</v>
      </c>
      <c r="N125" s="153"/>
      <c r="O125" s="153"/>
      <c r="P125" s="153"/>
      <c r="Q125" s="35"/>
      <c r="R125" s="47" t="s">
        <v>278</v>
      </c>
      <c r="S125" s="47" t="s">
        <v>245</v>
      </c>
      <c r="T125" s="153" t="s">
        <v>34</v>
      </c>
      <c r="U125" s="153" t="s">
        <v>34</v>
      </c>
      <c r="V125" s="153" t="s">
        <v>34</v>
      </c>
      <c r="W125" s="126">
        <f>M125</f>
        <v>20</v>
      </c>
      <c r="X125" s="153" t="s">
        <v>34</v>
      </c>
      <c r="Y125" s="153" t="s">
        <v>34</v>
      </c>
      <c r="Z125" s="153" t="s">
        <v>34</v>
      </c>
      <c r="AA125" s="41"/>
      <c r="AB125" s="126">
        <f>AB124</f>
        <v>100</v>
      </c>
      <c r="AC125" s="43">
        <f>AC124</f>
        <v>1.5</v>
      </c>
      <c r="AD125" s="128">
        <f>AD124</f>
        <v>150</v>
      </c>
      <c r="AE125" s="128">
        <f>AB125 * (1 + D125) / (1 - G125)</f>
        <v>104.52261306532664</v>
      </c>
      <c r="AF125" s="129">
        <f>(B125 - AE125) / AE125</f>
        <v>-4.3269230769230817E-2</v>
      </c>
      <c r="AG125" s="43"/>
      <c r="AH125" s="126">
        <f>AH124</f>
        <v>100</v>
      </c>
      <c r="AI125" s="43">
        <f>AI124</f>
        <v>0.89999999999999991</v>
      </c>
      <c r="AJ125" s="128">
        <f>AJ124</f>
        <v>90</v>
      </c>
      <c r="AK125" s="128">
        <f>AH125 * (1 + E125) / (1 - G125)</f>
        <v>108.5427135678392</v>
      </c>
      <c r="AL125" s="129">
        <f>(B125 - AK125) / AK125</f>
        <v>-7.8703703703703748E-2</v>
      </c>
      <c r="AM125" s="35"/>
      <c r="AN125" s="126">
        <f>AN124</f>
        <v>100</v>
      </c>
      <c r="AO125" s="43">
        <f>AO124</f>
        <v>0.60000000000000009</v>
      </c>
      <c r="AP125" s="128">
        <f>AP124</f>
        <v>60</v>
      </c>
      <c r="AQ125" s="128">
        <f>AN125 * (1 + F125) / (1 - G125)</f>
        <v>116.58291457286431</v>
      </c>
      <c r="AR125" s="129">
        <f>(B125 - AQ125) / AQ125</f>
        <v>-0.14224137931034475</v>
      </c>
      <c r="AS125" s="35"/>
      <c r="AT125" s="39">
        <f>AW125+AV125+AU125</f>
        <v>3</v>
      </c>
      <c r="AU125" s="39">
        <f>AC125</f>
        <v>1.5</v>
      </c>
      <c r="AV125" s="39">
        <f>AI125</f>
        <v>0.89999999999999991</v>
      </c>
      <c r="AW125" s="39">
        <f>AO125</f>
        <v>0.60000000000000009</v>
      </c>
      <c r="AX125" s="201">
        <f>AX124</f>
        <v>300</v>
      </c>
      <c r="AY125" s="65">
        <f>AY124+W125</f>
        <v>20</v>
      </c>
      <c r="AZ125" s="126">
        <f>AT125*B125</f>
        <v>300</v>
      </c>
      <c r="BA125" s="202">
        <f>(AY125+AZ125-AX125)/AX125</f>
        <v>6.6666666666666666E-2</v>
      </c>
      <c r="BB125" s="65">
        <f>H125-AX125+AY125</f>
        <v>920</v>
      </c>
    </row>
    <row r="126" spans="1:54" ht="12.75" x14ac:dyDescent="0.2">
      <c r="A126" s="150" t="s">
        <v>85</v>
      </c>
      <c r="B126" s="52">
        <v>100</v>
      </c>
      <c r="C126" s="54">
        <v>0.02</v>
      </c>
      <c r="D126" s="124">
        <v>0.04</v>
      </c>
      <c r="E126" s="95">
        <v>0.08</v>
      </c>
      <c r="F126" s="95">
        <v>0.16</v>
      </c>
      <c r="G126" s="95">
        <v>5.0000000000000001E-3</v>
      </c>
      <c r="H126" s="63">
        <v>1200</v>
      </c>
      <c r="J126" s="45" t="s">
        <v>70</v>
      </c>
      <c r="L126" s="207"/>
      <c r="M126" s="207"/>
      <c r="N126" s="124"/>
      <c r="O126" s="95"/>
      <c r="P126" s="95"/>
      <c r="R126" s="45" t="s">
        <v>85</v>
      </c>
      <c r="S126" s="45" t="s">
        <v>70</v>
      </c>
      <c r="T126" s="152" t="s">
        <v>34</v>
      </c>
      <c r="U126" s="152" t="s">
        <v>34</v>
      </c>
      <c r="V126" s="152" t="s">
        <v>34</v>
      </c>
      <c r="W126" s="225">
        <v>2</v>
      </c>
      <c r="X126" s="152" t="s">
        <v>34</v>
      </c>
      <c r="Y126" s="152" t="s">
        <v>34</v>
      </c>
      <c r="Z126" s="152" t="s">
        <v>34</v>
      </c>
      <c r="AA126" s="224"/>
      <c r="AB126" s="122">
        <f>AB125/W126</f>
        <v>50</v>
      </c>
      <c r="AC126" s="30">
        <f>AC125*W126</f>
        <v>3</v>
      </c>
      <c r="AD126" s="123">
        <f>AD125</f>
        <v>150</v>
      </c>
      <c r="AE126" s="123">
        <f>AB126 * (1 + D126) / (1 - G126)</f>
        <v>52.261306532663319</v>
      </c>
      <c r="AF126" s="124">
        <f>(B126 - AE126) / AE126</f>
        <v>0.91346153846153832</v>
      </c>
      <c r="AG126" s="30"/>
      <c r="AH126" s="122">
        <f>AH125/W126</f>
        <v>50</v>
      </c>
      <c r="AI126" s="30">
        <f>AI125*W126</f>
        <v>1.7999999999999998</v>
      </c>
      <c r="AJ126" s="123">
        <f>AJ125</f>
        <v>90</v>
      </c>
      <c r="AK126" s="123">
        <f>AH126 * (1 + E126) / (1 - G126)</f>
        <v>54.2713567839196</v>
      </c>
      <c r="AL126" s="124">
        <f>(B126 - AK126) / AK126</f>
        <v>0.84259259259259256</v>
      </c>
      <c r="AN126" s="122">
        <f>AN125/W126</f>
        <v>50</v>
      </c>
      <c r="AO126" s="30">
        <f>AO125*W126</f>
        <v>1.2000000000000002</v>
      </c>
      <c r="AP126" s="123">
        <f>AP125</f>
        <v>60</v>
      </c>
      <c r="AQ126" s="123">
        <f>AN126 * (1 + F126) / (1 - G126)</f>
        <v>58.291457286432156</v>
      </c>
      <c r="AR126" s="124">
        <f>(B126 - AQ126) / AQ126</f>
        <v>0.7155172413793105</v>
      </c>
      <c r="AT126" s="32">
        <f>AW126+AV126+AU126</f>
        <v>6</v>
      </c>
      <c r="AU126" s="32">
        <f>AC126</f>
        <v>3</v>
      </c>
      <c r="AV126" s="32">
        <f>AI126</f>
        <v>1.7999999999999998</v>
      </c>
      <c r="AW126" s="32">
        <f>AO126</f>
        <v>1.2000000000000002</v>
      </c>
      <c r="AX126" s="196">
        <f>AX125</f>
        <v>300</v>
      </c>
      <c r="AY126" s="63">
        <f>AY125</f>
        <v>20</v>
      </c>
      <c r="AZ126" s="122">
        <f>AT126*B126</f>
        <v>600</v>
      </c>
      <c r="BA126" s="197">
        <f>(AY126+AZ126-AX126)/AX126</f>
        <v>1.0666666666666667</v>
      </c>
      <c r="BB126" s="63">
        <f>H126-AX126+AY126</f>
        <v>920</v>
      </c>
    </row>
    <row r="127" spans="1:54" ht="12.75" x14ac:dyDescent="0.2">
      <c r="A127" s="182" t="s">
        <v>247</v>
      </c>
      <c r="B127" s="40">
        <v>100</v>
      </c>
      <c r="C127" s="55">
        <v>0.02</v>
      </c>
      <c r="D127" s="129">
        <v>0.04</v>
      </c>
      <c r="E127" s="125">
        <v>0.08</v>
      </c>
      <c r="F127" s="125">
        <v>0.16</v>
      </c>
      <c r="G127" s="125">
        <v>5.0000000000000001E-3</v>
      </c>
      <c r="H127" s="65">
        <v>1200</v>
      </c>
      <c r="I127" s="125"/>
      <c r="J127" s="134" t="s">
        <v>248</v>
      </c>
      <c r="K127" s="153"/>
      <c r="L127" s="153"/>
      <c r="M127" s="40">
        <v>10</v>
      </c>
      <c r="N127" s="153"/>
      <c r="O127" s="153"/>
      <c r="P127" s="153"/>
      <c r="Q127" s="35"/>
      <c r="R127" s="47" t="s">
        <v>247</v>
      </c>
      <c r="S127" s="47" t="s">
        <v>248</v>
      </c>
      <c r="T127" s="153" t="s">
        <v>34</v>
      </c>
      <c r="U127" s="153" t="s">
        <v>34</v>
      </c>
      <c r="V127" s="153" t="s">
        <v>34</v>
      </c>
      <c r="W127" s="126">
        <f>M127</f>
        <v>10</v>
      </c>
      <c r="X127" s="153" t="s">
        <v>34</v>
      </c>
      <c r="Y127" s="153" t="s">
        <v>34</v>
      </c>
      <c r="Z127" s="153" t="s">
        <v>34</v>
      </c>
      <c r="AA127" s="41"/>
      <c r="AB127" s="126">
        <f>AB126</f>
        <v>50</v>
      </c>
      <c r="AC127" s="43">
        <f>AC126</f>
        <v>3</v>
      </c>
      <c r="AD127" s="128">
        <f>AD126</f>
        <v>150</v>
      </c>
      <c r="AE127" s="128">
        <f>AB127 * (1 + D127) / (1 - G127)</f>
        <v>52.261306532663319</v>
      </c>
      <c r="AF127" s="129">
        <f>(B127 - AE127) / AE127</f>
        <v>0.91346153846153832</v>
      </c>
      <c r="AG127" s="43"/>
      <c r="AH127" s="126">
        <f>AH126</f>
        <v>50</v>
      </c>
      <c r="AI127" s="43">
        <f>AI126</f>
        <v>1.7999999999999998</v>
      </c>
      <c r="AJ127" s="128">
        <f>AJ126</f>
        <v>90</v>
      </c>
      <c r="AK127" s="128">
        <f>AH127 * (1 + E127) / (1 - G127)</f>
        <v>54.2713567839196</v>
      </c>
      <c r="AL127" s="129">
        <f>(B127 - AK127) / AK127</f>
        <v>0.84259259259259256</v>
      </c>
      <c r="AM127" s="35"/>
      <c r="AN127" s="126">
        <f>AN126</f>
        <v>50</v>
      </c>
      <c r="AO127" s="43">
        <f>AO126</f>
        <v>1.2000000000000002</v>
      </c>
      <c r="AP127" s="128">
        <f>AP126</f>
        <v>60</v>
      </c>
      <c r="AQ127" s="128">
        <f>AN127 * (1 + F127) / (1 - G127)</f>
        <v>58.291457286432156</v>
      </c>
      <c r="AR127" s="129">
        <f>(B127 - AQ127) / AQ127</f>
        <v>0.7155172413793105</v>
      </c>
      <c r="AS127" s="35"/>
      <c r="AT127" s="39">
        <f>AW127+AV127+AU127</f>
        <v>6</v>
      </c>
      <c r="AU127" s="39">
        <f>AC127</f>
        <v>3</v>
      </c>
      <c r="AV127" s="39">
        <f>AI127</f>
        <v>1.7999999999999998</v>
      </c>
      <c r="AW127" s="39">
        <f>AO127</f>
        <v>1.2000000000000002</v>
      </c>
      <c r="AX127" s="201">
        <f>AX126</f>
        <v>300</v>
      </c>
      <c r="AY127" s="65">
        <f>AY126+W127</f>
        <v>30</v>
      </c>
      <c r="AZ127" s="126">
        <f>AT127*B127</f>
        <v>600</v>
      </c>
      <c r="BA127" s="202">
        <f>(AY127+AZ127-AX127)/AX127</f>
        <v>1.1000000000000001</v>
      </c>
      <c r="BB127" s="65">
        <f>H127-AX127+AY127</f>
        <v>930</v>
      </c>
    </row>
    <row r="128" spans="1:54" ht="12.75" x14ac:dyDescent="0.2">
      <c r="A128" s="150" t="s">
        <v>218</v>
      </c>
      <c r="B128" s="52">
        <v>100</v>
      </c>
      <c r="C128" s="62">
        <v>0.02</v>
      </c>
      <c r="D128" s="124">
        <v>0.04</v>
      </c>
      <c r="E128" s="95">
        <v>0.08</v>
      </c>
      <c r="F128" s="95">
        <v>0.16</v>
      </c>
      <c r="G128" s="95">
        <v>5.0000000000000001E-3</v>
      </c>
      <c r="H128" s="63">
        <v>1200</v>
      </c>
      <c r="I128" s="95"/>
      <c r="J128" s="133" t="s">
        <v>73</v>
      </c>
      <c r="K128" s="133" t="s">
        <v>219</v>
      </c>
      <c r="L128" s="52">
        <v>100</v>
      </c>
      <c r="M128" s="152" t="s">
        <v>34</v>
      </c>
      <c r="N128" s="124">
        <v>0.5</v>
      </c>
      <c r="O128" s="152" t="s">
        <v>34</v>
      </c>
      <c r="P128" s="152" t="s">
        <v>34</v>
      </c>
      <c r="R128" s="45" t="s">
        <v>218</v>
      </c>
      <c r="S128" s="45" t="s">
        <v>73</v>
      </c>
      <c r="T128" s="133" t="s">
        <v>219</v>
      </c>
      <c r="U128" s="122">
        <f>L128</f>
        <v>100</v>
      </c>
      <c r="V128" s="30">
        <f>N128*AC127</f>
        <v>1.5</v>
      </c>
      <c r="W128" s="122">
        <f>U128*V128-(U128*V128*G128)</f>
        <v>149.25</v>
      </c>
      <c r="X128" s="152" t="s">
        <v>34</v>
      </c>
      <c r="Y128" s="152">
        <f>W128-(AH126*V128)</f>
        <v>74.25</v>
      </c>
      <c r="Z128" s="161">
        <f>Y128/(AH126*V128)</f>
        <v>0.99</v>
      </c>
      <c r="AA128" s="12"/>
      <c r="AB128" s="122">
        <f>AB126</f>
        <v>50</v>
      </c>
      <c r="AC128" s="30">
        <f>AC127*N128</f>
        <v>1.5</v>
      </c>
      <c r="AD128" s="157">
        <f>AD127*N128</f>
        <v>75</v>
      </c>
      <c r="AE128" s="157">
        <f>AB128 * (1 + D128) / (1 - G128)</f>
        <v>52.261306532663319</v>
      </c>
      <c r="AF128" s="124">
        <f>(B128 - AE128) / AE128</f>
        <v>0.91346153846153832</v>
      </c>
      <c r="AG128" s="30"/>
      <c r="AH128" s="122">
        <f>AH127</f>
        <v>50</v>
      </c>
      <c r="AI128" s="30">
        <f>AI127</f>
        <v>1.7999999999999998</v>
      </c>
      <c r="AJ128" s="123">
        <f>AJ127</f>
        <v>90</v>
      </c>
      <c r="AK128" s="123">
        <f>AH128 * (1 + E128) / (1 - G128)</f>
        <v>54.2713567839196</v>
      </c>
      <c r="AL128" s="124">
        <f>(B128 - AK128) / AK128</f>
        <v>0.84259259259259256</v>
      </c>
      <c r="AN128" s="122">
        <f>AN126</f>
        <v>50</v>
      </c>
      <c r="AO128" s="30">
        <f>AO126</f>
        <v>1.2000000000000002</v>
      </c>
      <c r="AP128" s="157">
        <f>AP126</f>
        <v>60</v>
      </c>
      <c r="AQ128" s="157">
        <f>AN128 * (1 + F128) / (1 - G128)</f>
        <v>58.291457286432156</v>
      </c>
      <c r="AR128" s="124">
        <f>(B128 - AQ128) / AQ128</f>
        <v>0.7155172413793105</v>
      </c>
      <c r="AT128" s="32">
        <f>AW128+AV128+AU128</f>
        <v>4.5</v>
      </c>
      <c r="AU128" s="32">
        <f>AC128</f>
        <v>1.5</v>
      </c>
      <c r="AV128" s="32">
        <f>AI128</f>
        <v>1.7999999999999998</v>
      </c>
      <c r="AW128" s="32">
        <f>AO128</f>
        <v>1.2000000000000002</v>
      </c>
      <c r="AX128" s="196">
        <f>AX126</f>
        <v>300</v>
      </c>
      <c r="AY128" s="63">
        <f>AY127+W128</f>
        <v>179.25</v>
      </c>
      <c r="AZ128" s="122">
        <f>AT128*B128</f>
        <v>450</v>
      </c>
      <c r="BA128" s="206">
        <f>(AY128+AZ128-AX128)/AX128</f>
        <v>1.0974999999999999</v>
      </c>
      <c r="BB128" s="63">
        <f>H128-AX128+AY128</f>
        <v>1079.25</v>
      </c>
    </row>
    <row r="129" spans="1:57" ht="12.75" x14ac:dyDescent="0.2">
      <c r="A129" s="182" t="s">
        <v>281</v>
      </c>
      <c r="B129" s="40">
        <v>100</v>
      </c>
      <c r="C129" s="55">
        <v>0.02</v>
      </c>
      <c r="D129" s="129">
        <v>0.04</v>
      </c>
      <c r="E129" s="125">
        <v>0.08</v>
      </c>
      <c r="F129" s="125">
        <v>0.16</v>
      </c>
      <c r="G129" s="125">
        <v>5.0000000000000001E-3</v>
      </c>
      <c r="H129" s="65">
        <v>1200</v>
      </c>
      <c r="I129" s="125"/>
      <c r="J129" s="134" t="s">
        <v>281</v>
      </c>
      <c r="K129" s="134"/>
      <c r="L129" s="40"/>
      <c r="M129" s="153"/>
      <c r="N129" s="129"/>
      <c r="O129" s="153"/>
      <c r="P129" s="153"/>
      <c r="Q129" s="35"/>
      <c r="R129" s="47" t="s">
        <v>218</v>
      </c>
      <c r="S129" s="166" t="s">
        <v>73</v>
      </c>
      <c r="T129" s="169" t="s">
        <v>219</v>
      </c>
      <c r="U129" s="227">
        <f>U128</f>
        <v>100</v>
      </c>
      <c r="V129" s="170">
        <f>V128</f>
        <v>1.5</v>
      </c>
      <c r="W129" s="227">
        <f>U129*V129-(U129*V129*G129)</f>
        <v>149.25</v>
      </c>
      <c r="X129" s="228" t="s">
        <v>34</v>
      </c>
      <c r="Y129" s="228">
        <f>W129-(AH127*V129)</f>
        <v>74.25</v>
      </c>
      <c r="Z129" s="229">
        <f>Y129/(AH127*V129)</f>
        <v>0.99</v>
      </c>
      <c r="AA129" s="41"/>
      <c r="AB129" s="126">
        <f>AB127</f>
        <v>50</v>
      </c>
      <c r="AC129" s="43">
        <f>AC127</f>
        <v>3</v>
      </c>
      <c r="AD129" s="128">
        <f>AD127</f>
        <v>150</v>
      </c>
      <c r="AE129" s="128">
        <f>AB129 * (1 + D129) / (1 - G129)</f>
        <v>52.261306532663319</v>
      </c>
      <c r="AF129" s="129">
        <f>(B129 - AE129) / AE129</f>
        <v>0.91346153846153832</v>
      </c>
      <c r="AG129" s="43"/>
      <c r="AH129" s="126">
        <f>AH128</f>
        <v>50</v>
      </c>
      <c r="AI129" s="43">
        <f>AI128</f>
        <v>1.7999999999999998</v>
      </c>
      <c r="AJ129" s="128">
        <f>AJ128</f>
        <v>90</v>
      </c>
      <c r="AK129" s="128">
        <f>AH129 * (1 + E129) / (1 - G129)</f>
        <v>54.2713567839196</v>
      </c>
      <c r="AL129" s="129">
        <f>(B129 - AK129) / AK129</f>
        <v>0.84259259259259256</v>
      </c>
      <c r="AM129" s="35"/>
      <c r="AN129" s="126">
        <f>AN127</f>
        <v>50</v>
      </c>
      <c r="AO129" s="43">
        <f>AO127</f>
        <v>1.2000000000000002</v>
      </c>
      <c r="AP129" s="128">
        <f>AP127</f>
        <v>60</v>
      </c>
      <c r="AQ129" s="128">
        <f>AN129 * (1 + F129) / (1 - G129)</f>
        <v>58.291457286432156</v>
      </c>
      <c r="AR129" s="129">
        <f>(B129 - AQ129) / AQ129</f>
        <v>0.7155172413793105</v>
      </c>
      <c r="AS129" s="35"/>
      <c r="AT129" s="39">
        <f>AW129+AV129+AU129</f>
        <v>6</v>
      </c>
      <c r="AU129" s="39">
        <f>AC129</f>
        <v>3</v>
      </c>
      <c r="AV129" s="39">
        <f>AI129</f>
        <v>1.7999999999999998</v>
      </c>
      <c r="AW129" s="39">
        <f>AO129</f>
        <v>1.2000000000000002</v>
      </c>
      <c r="AX129" s="201">
        <f>AX127</f>
        <v>300</v>
      </c>
      <c r="AY129" s="65">
        <f>AY128-W129</f>
        <v>30</v>
      </c>
      <c r="AZ129" s="126">
        <f>AT129*B129</f>
        <v>600</v>
      </c>
      <c r="BA129" s="202">
        <f>(AY129+AZ129-AX129)/AX129</f>
        <v>1.1000000000000001</v>
      </c>
      <c r="BB129" s="65">
        <f>H129-AX129+AY129</f>
        <v>930</v>
      </c>
    </row>
    <row r="130" spans="1:57" s="237" customFormat="1" ht="12.75" x14ac:dyDescent="0.2">
      <c r="A130" s="240" t="s">
        <v>283</v>
      </c>
      <c r="B130" s="52">
        <v>100</v>
      </c>
      <c r="C130" s="62">
        <v>0.02</v>
      </c>
      <c r="D130" s="124">
        <v>0.04</v>
      </c>
      <c r="E130" s="95">
        <v>0.08</v>
      </c>
      <c r="F130" s="95">
        <v>0.16</v>
      </c>
      <c r="G130" s="95">
        <v>5.0000000000000001E-3</v>
      </c>
      <c r="H130" s="63">
        <v>1200</v>
      </c>
      <c r="I130" s="232"/>
      <c r="J130" s="234" t="s">
        <v>284</v>
      </c>
      <c r="K130" s="234"/>
      <c r="L130" s="230"/>
      <c r="M130" s="241">
        <v>10</v>
      </c>
      <c r="N130" s="231"/>
      <c r="O130" s="241"/>
      <c r="P130" s="241"/>
      <c r="R130" s="234" t="s">
        <v>284</v>
      </c>
      <c r="S130" s="242" t="s">
        <v>248</v>
      </c>
      <c r="T130" s="243"/>
      <c r="U130" s="244"/>
      <c r="V130" s="245"/>
      <c r="W130" s="241">
        <v>10</v>
      </c>
      <c r="X130" s="246"/>
      <c r="Y130" s="246"/>
      <c r="Z130" s="226"/>
      <c r="AA130" s="247"/>
      <c r="AB130" s="235">
        <f>AB128</f>
        <v>50</v>
      </c>
      <c r="AC130" s="236">
        <f>AC129</f>
        <v>3</v>
      </c>
      <c r="AD130" s="157">
        <f>AD129</f>
        <v>150</v>
      </c>
      <c r="AE130" s="157">
        <f>AB130 * (1 + D130) / (1 - G130)</f>
        <v>52.261306532663319</v>
      </c>
      <c r="AF130" s="231">
        <f>(B130 - AE130) / AE130</f>
        <v>0.91346153846153832</v>
      </c>
      <c r="AG130" s="236"/>
      <c r="AH130" s="235">
        <f>AH129</f>
        <v>50</v>
      </c>
      <c r="AI130" s="236">
        <f>AI129</f>
        <v>1.7999999999999998</v>
      </c>
      <c r="AJ130" s="157">
        <f>AJ129</f>
        <v>90</v>
      </c>
      <c r="AK130" s="157">
        <f>AH130 * (1 + E130) / (1 - G130)</f>
        <v>54.2713567839196</v>
      </c>
      <c r="AL130" s="231">
        <f>(B130 - AK130) / AK130</f>
        <v>0.84259259259259256</v>
      </c>
      <c r="AN130" s="235">
        <f>AN128</f>
        <v>50</v>
      </c>
      <c r="AO130" s="236">
        <f>AO128</f>
        <v>1.2000000000000002</v>
      </c>
      <c r="AP130" s="157">
        <f>AP128</f>
        <v>60</v>
      </c>
      <c r="AQ130" s="157">
        <f>AN130 * (1 + F130) / (1 - G130)</f>
        <v>58.291457286432156</v>
      </c>
      <c r="AR130" s="231">
        <f>(B130 - AQ130) / AQ130</f>
        <v>0.7155172413793105</v>
      </c>
      <c r="AT130" s="238">
        <f>AW130+AV130+AU130</f>
        <v>6</v>
      </c>
      <c r="AU130" s="238">
        <f>AC130</f>
        <v>3</v>
      </c>
      <c r="AV130" s="238">
        <f>AI130</f>
        <v>1.7999999999999998</v>
      </c>
      <c r="AW130" s="238">
        <f>AO130</f>
        <v>1.2000000000000002</v>
      </c>
      <c r="AX130" s="239">
        <f>AX128</f>
        <v>300</v>
      </c>
      <c r="AY130" s="233">
        <f>AY129-W130</f>
        <v>20</v>
      </c>
      <c r="AZ130" s="235">
        <f>AT130*B130</f>
        <v>600</v>
      </c>
      <c r="BA130" s="206">
        <f>(AY130+AZ130-AX130)/AX130</f>
        <v>1.0666666666666667</v>
      </c>
      <c r="BB130" s="233">
        <f>H130-AX130+AY130</f>
        <v>920</v>
      </c>
    </row>
    <row r="131" spans="1:57" ht="12.75" x14ac:dyDescent="0.2">
      <c r="A131" s="182" t="s">
        <v>282</v>
      </c>
      <c r="B131" s="40">
        <v>100</v>
      </c>
      <c r="C131" s="55">
        <v>0.02</v>
      </c>
      <c r="D131" s="129">
        <v>0.04</v>
      </c>
      <c r="E131" s="125">
        <v>0.08</v>
      </c>
      <c r="F131" s="125">
        <v>0.16</v>
      </c>
      <c r="G131" s="125">
        <v>5.0000000000000001E-3</v>
      </c>
      <c r="H131" s="65">
        <v>1200</v>
      </c>
      <c r="I131" s="35"/>
      <c r="J131" s="134" t="s">
        <v>282</v>
      </c>
      <c r="K131" s="35"/>
      <c r="L131" s="210"/>
      <c r="M131" s="210"/>
      <c r="N131" s="129"/>
      <c r="O131" s="125"/>
      <c r="P131" s="125"/>
      <c r="Q131" s="35"/>
      <c r="R131" s="134" t="s">
        <v>282</v>
      </c>
      <c r="S131" s="166" t="s">
        <v>70</v>
      </c>
      <c r="T131" s="203"/>
      <c r="U131" s="126"/>
      <c r="V131" s="43"/>
      <c r="W131" s="126"/>
      <c r="X131" s="126"/>
      <c r="Y131" s="153"/>
      <c r="Z131" s="153"/>
      <c r="AA131" s="41"/>
      <c r="AB131" s="126">
        <f>AB130*W126</f>
        <v>100</v>
      </c>
      <c r="AC131" s="43">
        <f>AC130/W126</f>
        <v>1.5</v>
      </c>
      <c r="AD131" s="128">
        <f>AD129</f>
        <v>150</v>
      </c>
      <c r="AE131" s="128">
        <f>AB131 * (1 + D131) / (1 - G131)</f>
        <v>104.52261306532664</v>
      </c>
      <c r="AF131" s="129">
        <f>(B131 - AE131) / AE131</f>
        <v>-4.3269230769230817E-2</v>
      </c>
      <c r="AG131" s="43"/>
      <c r="AH131" s="126">
        <f>AH130*W126</f>
        <v>100</v>
      </c>
      <c r="AI131" s="43">
        <f>AI130/W126</f>
        <v>0.89999999999999991</v>
      </c>
      <c r="AJ131" s="128">
        <f>AJ129</f>
        <v>90</v>
      </c>
      <c r="AK131" s="128">
        <f>AH131 * (1 + E131) / (1 - G131)</f>
        <v>108.5427135678392</v>
      </c>
      <c r="AL131" s="129">
        <f>(B131 - AK131) / AK131</f>
        <v>-7.8703703703703748E-2</v>
      </c>
      <c r="AM131" s="35"/>
      <c r="AN131" s="126">
        <f>AN130*W126</f>
        <v>100</v>
      </c>
      <c r="AO131" s="43">
        <f>AO130/W126</f>
        <v>0.60000000000000009</v>
      </c>
      <c r="AP131" s="128">
        <f>AP128</f>
        <v>60</v>
      </c>
      <c r="AQ131" s="128">
        <f>AN131 * (1 + F131) / (1 - G131)</f>
        <v>116.58291457286431</v>
      </c>
      <c r="AR131" s="129">
        <f>(B131 - AQ131) / AQ131</f>
        <v>-0.14224137931034475</v>
      </c>
      <c r="AS131" s="35"/>
      <c r="AT131" s="39">
        <f>AW131+AV131+AU131</f>
        <v>5.4</v>
      </c>
      <c r="AU131" s="39">
        <f>AC131+AC132</f>
        <v>3</v>
      </c>
      <c r="AV131" s="39">
        <f>AI131+AI132</f>
        <v>1.7999999999999998</v>
      </c>
      <c r="AW131" s="39">
        <f>AO131</f>
        <v>0.60000000000000009</v>
      </c>
      <c r="AX131" s="201">
        <f>AX128</f>
        <v>300</v>
      </c>
      <c r="AY131" s="65">
        <f>AY130</f>
        <v>20</v>
      </c>
      <c r="AZ131" s="126">
        <f>AT131*B131</f>
        <v>540</v>
      </c>
      <c r="BA131" s="202">
        <f>(AY131+AZ131-AX131)/AX131</f>
        <v>0.8666666666666667</v>
      </c>
      <c r="BB131" s="65">
        <f>H131-AX131+AY131</f>
        <v>920</v>
      </c>
    </row>
    <row r="132" spans="1:57" ht="12.75" x14ac:dyDescent="0.2">
      <c r="A132" s="240" t="s">
        <v>285</v>
      </c>
      <c r="B132" s="52">
        <v>100</v>
      </c>
      <c r="C132" s="62">
        <v>0.02</v>
      </c>
      <c r="D132" s="124">
        <v>0.04</v>
      </c>
      <c r="E132" s="95">
        <v>0.08</v>
      </c>
      <c r="F132" s="95">
        <v>0.16</v>
      </c>
      <c r="G132" s="95">
        <v>5.0000000000000001E-3</v>
      </c>
      <c r="H132" s="63">
        <v>1200</v>
      </c>
      <c r="I132" s="232"/>
      <c r="J132" s="240" t="s">
        <v>285</v>
      </c>
      <c r="K132" s="234"/>
      <c r="L132" s="230"/>
      <c r="M132" s="241">
        <f>M125</f>
        <v>20</v>
      </c>
      <c r="N132" s="231"/>
      <c r="O132" s="241"/>
      <c r="P132" s="241"/>
      <c r="Q132" s="237"/>
      <c r="R132" s="240" t="s">
        <v>285</v>
      </c>
      <c r="S132" s="242" t="s">
        <v>245</v>
      </c>
      <c r="T132" s="243"/>
      <c r="U132" s="244"/>
      <c r="V132" s="245"/>
      <c r="W132" s="246">
        <v>20</v>
      </c>
      <c r="X132" s="246"/>
      <c r="Y132" s="246"/>
      <c r="Z132" s="226"/>
      <c r="AA132" s="247"/>
      <c r="AB132" s="235">
        <f>AB131</f>
        <v>100</v>
      </c>
      <c r="AC132" s="236">
        <f>AC131</f>
        <v>1.5</v>
      </c>
      <c r="AD132" s="157">
        <f>AD131</f>
        <v>150</v>
      </c>
      <c r="AE132" s="157">
        <f>AB132 * (1 + D132) / (1 - G132)</f>
        <v>104.52261306532664</v>
      </c>
      <c r="AF132" s="231">
        <f>(B132 - AE132) / AE132</f>
        <v>-4.3269230769230817E-2</v>
      </c>
      <c r="AG132" s="236"/>
      <c r="AH132" s="235">
        <f>AH131</f>
        <v>100</v>
      </c>
      <c r="AI132" s="236">
        <f>AI131</f>
        <v>0.89999999999999991</v>
      </c>
      <c r="AJ132" s="157">
        <f>AJ131</f>
        <v>90</v>
      </c>
      <c r="AK132" s="157">
        <f>AH132 * (1 + E132) / (1 - G132)</f>
        <v>108.5427135678392</v>
      </c>
      <c r="AL132" s="231">
        <f>(B132 - AK132) / AK132</f>
        <v>-7.8703703703703748E-2</v>
      </c>
      <c r="AM132" s="237"/>
      <c r="AN132" s="235">
        <f>AN131</f>
        <v>100</v>
      </c>
      <c r="AO132" s="236">
        <f>AO131</f>
        <v>0.60000000000000009</v>
      </c>
      <c r="AP132" s="157">
        <f>AP130</f>
        <v>60</v>
      </c>
      <c r="AQ132" s="157">
        <f>AN132 * (1 + F132) / (1 - G132)</f>
        <v>116.58291457286431</v>
      </c>
      <c r="AR132" s="231">
        <f>(B132 - AQ132) / AQ132</f>
        <v>-0.14224137931034475</v>
      </c>
      <c r="AS132" s="237"/>
      <c r="AT132" s="238">
        <f>AW132+AV132+AU132</f>
        <v>3</v>
      </c>
      <c r="AU132" s="238">
        <f>AC132</f>
        <v>1.5</v>
      </c>
      <c r="AV132" s="238">
        <f>AI132</f>
        <v>0.89999999999999991</v>
      </c>
      <c r="AW132" s="238">
        <f>AO132</f>
        <v>0.60000000000000009</v>
      </c>
      <c r="AX132" s="239">
        <f>AX130</f>
        <v>300</v>
      </c>
      <c r="AY132" s="233">
        <f>AY131-W132</f>
        <v>0</v>
      </c>
      <c r="AZ132" s="235">
        <f>AT132*B132</f>
        <v>300</v>
      </c>
      <c r="BA132" s="206">
        <f>(AY132+AZ132-AX132)/AX132</f>
        <v>0</v>
      </c>
      <c r="BB132" s="233">
        <f>H132-AX132+AY132</f>
        <v>900</v>
      </c>
    </row>
    <row r="133" spans="1:57" ht="12.75" x14ac:dyDescent="0.2">
      <c r="A133" s="182" t="s">
        <v>286</v>
      </c>
      <c r="B133" s="40">
        <v>100</v>
      </c>
      <c r="C133" s="55">
        <v>0.02</v>
      </c>
      <c r="D133" s="129">
        <v>0.04</v>
      </c>
      <c r="E133" s="125">
        <v>0.08</v>
      </c>
      <c r="F133" s="125">
        <v>0.16</v>
      </c>
      <c r="G133" s="125">
        <v>5.0000000000000001E-3</v>
      </c>
      <c r="H133" s="65">
        <v>1200</v>
      </c>
      <c r="I133" s="35"/>
      <c r="J133" s="47" t="s">
        <v>286</v>
      </c>
      <c r="K133" s="35"/>
      <c r="L133" s="210"/>
      <c r="M133" s="210"/>
      <c r="N133" s="129"/>
      <c r="O133" s="125"/>
      <c r="P133" s="125"/>
      <c r="Q133" s="35"/>
      <c r="R133" s="47" t="s">
        <v>215</v>
      </c>
      <c r="S133" s="166" t="s">
        <v>75</v>
      </c>
      <c r="T133" s="248" t="s">
        <v>78</v>
      </c>
      <c r="U133" s="227">
        <f>U124</f>
        <v>100</v>
      </c>
      <c r="V133" s="170">
        <f>V124</f>
        <v>3</v>
      </c>
      <c r="W133" s="227">
        <f>W124</f>
        <v>300</v>
      </c>
      <c r="X133" s="227">
        <f>U133 * (1 - ABS(C133))</f>
        <v>98</v>
      </c>
      <c r="Y133" s="228" t="s">
        <v>34</v>
      </c>
      <c r="Z133" s="228" t="s">
        <v>34</v>
      </c>
      <c r="AA133" s="41"/>
      <c r="AB133" s="212"/>
      <c r="AC133" s="212"/>
      <c r="AD133" s="212"/>
      <c r="AE133" s="212"/>
      <c r="AF133" s="170"/>
      <c r="AG133" s="170"/>
      <c r="AH133" s="212"/>
      <c r="AI133" s="212"/>
      <c r="AJ133" s="212"/>
      <c r="AK133" s="212"/>
      <c r="AL133" s="170"/>
      <c r="AM133" s="35"/>
      <c r="AN133" s="212"/>
      <c r="AO133" s="212"/>
      <c r="AP133" s="212"/>
      <c r="AQ133" s="212"/>
      <c r="AR133" s="170"/>
      <c r="AS133" s="35"/>
      <c r="AT133" s="39">
        <f>AW133+AV133+AU133</f>
        <v>0</v>
      </c>
      <c r="AU133" s="39">
        <f>AC133</f>
        <v>0</v>
      </c>
      <c r="AV133" s="39">
        <f>AI133</f>
        <v>0</v>
      </c>
      <c r="AW133" s="39">
        <f>AO133</f>
        <v>0</v>
      </c>
      <c r="AX133" s="201">
        <v>0</v>
      </c>
      <c r="AY133" s="65">
        <v>0</v>
      </c>
      <c r="AZ133" s="126">
        <f>AT133*B133</f>
        <v>0</v>
      </c>
      <c r="BA133" s="202">
        <v>0</v>
      </c>
      <c r="BB133" s="65">
        <f>H133-AX133+AY133</f>
        <v>1200</v>
      </c>
    </row>
    <row r="134" spans="1:57" ht="12.75" x14ac:dyDescent="0.2">
      <c r="A134" s="150"/>
      <c r="B134" s="33"/>
      <c r="C134" s="67"/>
      <c r="D134" s="124"/>
      <c r="E134" s="95"/>
      <c r="F134" s="95"/>
      <c r="G134" s="95"/>
      <c r="H134" s="95"/>
      <c r="L134" s="207"/>
      <c r="M134" s="207"/>
      <c r="N134" s="124"/>
      <c r="O134" s="95"/>
      <c r="P134" s="95"/>
      <c r="R134" s="45"/>
      <c r="S134" s="45"/>
      <c r="T134" s="131"/>
      <c r="U134" s="122"/>
      <c r="V134" s="30"/>
      <c r="W134" s="122"/>
      <c r="X134" s="122"/>
      <c r="Y134" s="152"/>
      <c r="Z134" s="152"/>
      <c r="AA134" s="12"/>
      <c r="AB134" s="139"/>
      <c r="AC134" s="139"/>
      <c r="AD134" s="139"/>
      <c r="AE134" s="139"/>
      <c r="AF134" s="140"/>
      <c r="AG134" s="140"/>
      <c r="AH134" s="139"/>
      <c r="AI134" s="139"/>
      <c r="AJ134" s="139"/>
      <c r="AK134" s="139"/>
      <c r="AL134" s="140"/>
      <c r="AN134" s="139"/>
      <c r="AO134" s="139"/>
      <c r="AP134" s="139"/>
      <c r="AQ134" s="139"/>
      <c r="AR134" s="140"/>
    </row>
    <row r="135" spans="1:57" ht="12.75" x14ac:dyDescent="0.2">
      <c r="A135" s="150"/>
      <c r="B135" s="33"/>
      <c r="C135" s="67"/>
      <c r="D135" s="124"/>
      <c r="E135" s="95"/>
      <c r="F135" s="95"/>
      <c r="G135" s="95"/>
      <c r="H135" s="95"/>
      <c r="L135" s="207"/>
      <c r="M135" s="207"/>
      <c r="N135" s="124"/>
      <c r="O135" s="95"/>
      <c r="P135" s="95"/>
      <c r="R135" s="45"/>
      <c r="S135" s="45"/>
      <c r="T135" s="131"/>
      <c r="U135" s="122"/>
      <c r="V135" s="30"/>
      <c r="W135" s="122"/>
      <c r="X135" s="122"/>
      <c r="Y135" s="152"/>
      <c r="Z135" s="152"/>
      <c r="AA135" s="12"/>
      <c r="AB135" s="139"/>
      <c r="AC135" s="139"/>
      <c r="AD135" s="139"/>
      <c r="AE135" s="139"/>
      <c r="AF135" s="140"/>
      <c r="AG135" s="140"/>
      <c r="AH135" s="139"/>
      <c r="AI135" s="139"/>
      <c r="AJ135" s="139"/>
      <c r="AK135" s="139"/>
      <c r="AL135" s="140"/>
      <c r="AN135" s="139"/>
      <c r="AO135" s="139"/>
      <c r="AP135" s="139"/>
      <c r="AQ135" s="139"/>
      <c r="AR135" s="140"/>
    </row>
    <row r="136" spans="1:57" ht="12.75" x14ac:dyDescent="0.2">
      <c r="A136" s="150"/>
      <c r="B136" s="33"/>
      <c r="C136" s="67"/>
      <c r="D136" s="124"/>
      <c r="E136" s="95"/>
      <c r="F136" s="95"/>
      <c r="G136" s="95"/>
      <c r="H136" s="95"/>
      <c r="L136" s="207"/>
      <c r="M136" s="207"/>
      <c r="N136" s="124"/>
      <c r="O136" s="95"/>
      <c r="P136" s="95"/>
      <c r="R136" s="45"/>
      <c r="S136" s="45"/>
      <c r="T136" s="131"/>
      <c r="U136" s="122"/>
      <c r="V136" s="30"/>
      <c r="W136" s="122"/>
      <c r="X136" s="122"/>
      <c r="Y136" s="152"/>
      <c r="Z136" s="152"/>
      <c r="AA136" s="12"/>
      <c r="AB136" s="139"/>
      <c r="AC136" s="139"/>
      <c r="AD136" s="139"/>
      <c r="AE136" s="139"/>
      <c r="AF136" s="140"/>
      <c r="AG136" s="140"/>
      <c r="AH136" s="139"/>
      <c r="AI136" s="139"/>
      <c r="AJ136" s="139"/>
      <c r="AK136" s="139"/>
      <c r="AL136" s="140"/>
      <c r="AN136" s="139"/>
      <c r="AO136" s="139"/>
      <c r="AP136" s="139"/>
      <c r="AQ136" s="139"/>
      <c r="AR136" s="140"/>
    </row>
    <row r="137" spans="1:57" ht="12.75" x14ac:dyDescent="0.2">
      <c r="A137" s="150"/>
      <c r="B137" s="33"/>
      <c r="C137" s="67"/>
      <c r="D137" s="124"/>
      <c r="E137" s="95"/>
      <c r="F137" s="95"/>
      <c r="G137" s="95"/>
      <c r="H137" s="95"/>
      <c r="L137" s="207"/>
      <c r="M137" s="207"/>
      <c r="N137" s="124"/>
      <c r="O137" s="95"/>
      <c r="P137" s="95"/>
      <c r="R137" s="45"/>
      <c r="S137" s="45"/>
      <c r="T137" s="131"/>
      <c r="U137" s="122"/>
      <c r="V137" s="30"/>
      <c r="W137" s="122"/>
      <c r="X137" s="122"/>
      <c r="Y137" s="152"/>
      <c r="Z137" s="152"/>
      <c r="AA137" s="12"/>
      <c r="AB137" s="139"/>
      <c r="AC137" s="139"/>
      <c r="AD137" s="139"/>
      <c r="AE137" s="139"/>
      <c r="AF137" s="140"/>
      <c r="AG137" s="140"/>
      <c r="AH137" s="139"/>
      <c r="AI137" s="139"/>
      <c r="AJ137" s="139"/>
      <c r="AK137" s="139"/>
      <c r="AL137" s="140"/>
      <c r="AN137" s="139"/>
      <c r="AO137" s="139"/>
      <c r="AP137" s="139"/>
      <c r="AQ137" s="139"/>
      <c r="AR137" s="140"/>
    </row>
    <row r="138" spans="1:57" ht="12.75" x14ac:dyDescent="0.2">
      <c r="A138" s="150"/>
      <c r="B138" s="33"/>
      <c r="C138" s="67"/>
      <c r="D138" s="124"/>
      <c r="E138" s="95"/>
      <c r="F138" s="95"/>
      <c r="G138" s="95"/>
      <c r="H138" s="95"/>
      <c r="L138" s="207"/>
      <c r="M138" s="207"/>
      <c r="N138" s="124"/>
      <c r="O138" s="95"/>
      <c r="P138" s="95"/>
      <c r="R138" s="45"/>
      <c r="S138" s="45"/>
      <c r="T138" s="131"/>
      <c r="U138" s="122"/>
      <c r="V138" s="30"/>
      <c r="W138" s="122"/>
      <c r="X138" s="122"/>
      <c r="Y138" s="152"/>
      <c r="Z138" s="152"/>
      <c r="AA138" s="12"/>
      <c r="AB138" s="139"/>
      <c r="AC138" s="139"/>
      <c r="AD138" s="139"/>
      <c r="AE138" s="139"/>
      <c r="AF138" s="140"/>
      <c r="AG138" s="140"/>
      <c r="AH138" s="139"/>
      <c r="AI138" s="139"/>
      <c r="AJ138" s="139"/>
      <c r="AK138" s="139"/>
      <c r="AL138" s="140"/>
      <c r="AN138" s="139"/>
      <c r="AO138" s="139"/>
      <c r="AP138" s="139"/>
      <c r="AQ138" s="139"/>
      <c r="AR138" s="140"/>
    </row>
    <row r="139" spans="1:57" ht="12.75" x14ac:dyDescent="0.2">
      <c r="A139" s="150"/>
      <c r="B139" s="33"/>
      <c r="C139" s="67"/>
      <c r="D139" s="124"/>
      <c r="E139" s="95"/>
      <c r="F139" s="95"/>
      <c r="G139" s="95"/>
      <c r="H139" s="95"/>
      <c r="L139" s="93"/>
      <c r="M139" s="93"/>
      <c r="N139" s="124"/>
      <c r="O139" s="95"/>
      <c r="P139" s="95"/>
      <c r="R139" s="12"/>
      <c r="S139" s="12"/>
      <c r="T139" s="12"/>
      <c r="U139" s="137"/>
      <c r="V139" s="138"/>
      <c r="W139" s="137"/>
      <c r="X139" s="137"/>
      <c r="Y139" s="12"/>
      <c r="Z139" s="12"/>
      <c r="AA139" s="12"/>
      <c r="AB139" s="139"/>
      <c r="AC139" s="139"/>
      <c r="AD139" s="139"/>
      <c r="AE139" s="139"/>
      <c r="AF139" s="140"/>
      <c r="AG139" s="140"/>
      <c r="AH139" s="139"/>
      <c r="AI139" s="139"/>
      <c r="AJ139" s="139"/>
      <c r="AK139" s="139"/>
      <c r="AL139" s="140"/>
      <c r="AN139" s="139"/>
      <c r="AO139" s="139"/>
      <c r="AP139" s="139"/>
      <c r="AQ139" s="139"/>
      <c r="AR139" s="140"/>
    </row>
    <row r="140" spans="1:57" ht="12.75" x14ac:dyDescent="0.2">
      <c r="A140" s="45" t="s">
        <v>234</v>
      </c>
      <c r="B140" s="33"/>
      <c r="C140" s="67"/>
      <c r="D140" s="124"/>
      <c r="E140" s="95"/>
      <c r="F140" s="95"/>
      <c r="G140" s="95"/>
      <c r="H140" s="95"/>
      <c r="L140" s="33"/>
      <c r="M140" s="33"/>
      <c r="N140" s="124"/>
      <c r="O140" s="95"/>
      <c r="P140" s="95"/>
      <c r="R140" s="12"/>
      <c r="S140" s="12"/>
      <c r="T140" s="12"/>
      <c r="U140" s="137"/>
      <c r="V140" s="138"/>
      <c r="W140" s="137"/>
      <c r="X140" s="137"/>
      <c r="Y140" s="12"/>
      <c r="Z140" s="12"/>
      <c r="AA140" s="12"/>
      <c r="AB140" s="139"/>
      <c r="AC140" s="139"/>
      <c r="AD140" s="139"/>
      <c r="AE140" s="139"/>
      <c r="AF140" s="140"/>
      <c r="AG140" s="140"/>
      <c r="AH140" s="139"/>
      <c r="AI140" s="139"/>
      <c r="AJ140" s="139"/>
      <c r="AK140" s="139"/>
      <c r="AL140" s="140"/>
      <c r="AN140" s="139"/>
      <c r="AO140" s="139"/>
      <c r="AP140" s="139"/>
      <c r="AQ140" s="139"/>
      <c r="AR140" s="140"/>
    </row>
    <row r="141" spans="1:57" ht="12.75" x14ac:dyDescent="0.2">
      <c r="A141" s="45" t="s">
        <v>235</v>
      </c>
      <c r="R141" s="12"/>
      <c r="S141" s="12"/>
      <c r="T141" s="12"/>
      <c r="U141" s="12"/>
      <c r="V141" s="12"/>
      <c r="W141" s="12"/>
      <c r="X141" s="12"/>
      <c r="Y141" s="12"/>
      <c r="Z141" s="12"/>
      <c r="AA141" s="12"/>
      <c r="AB141" s="13"/>
      <c r="AC141" s="13"/>
      <c r="AD141" s="13"/>
      <c r="AE141" s="13"/>
      <c r="AF141" s="30"/>
      <c r="AG141" s="30"/>
      <c r="AH141" s="13"/>
      <c r="AI141" s="13"/>
      <c r="AJ141" s="13"/>
      <c r="AK141" s="13"/>
      <c r="AL141" s="30"/>
      <c r="AN141" s="13"/>
      <c r="AO141" s="13"/>
      <c r="AP141" s="13"/>
      <c r="AQ141" s="13"/>
      <c r="AR141" s="30"/>
    </row>
    <row r="142" spans="1:57" ht="12.75" x14ac:dyDescent="0.2">
      <c r="A142" s="45"/>
      <c r="R142" s="12"/>
      <c r="S142" s="12"/>
      <c r="T142" s="12"/>
      <c r="U142" s="12"/>
      <c r="V142" s="12"/>
      <c r="W142" s="12"/>
      <c r="X142" s="12"/>
      <c r="Y142" s="12"/>
      <c r="Z142" s="12"/>
      <c r="AA142" s="12"/>
      <c r="AB142" s="13"/>
      <c r="AC142" s="13"/>
      <c r="AD142" s="13"/>
      <c r="AE142" s="13"/>
      <c r="AF142" s="30"/>
      <c r="AG142" s="30"/>
      <c r="AH142" s="13"/>
      <c r="AI142" s="13"/>
      <c r="AJ142" s="13"/>
      <c r="AK142" s="13"/>
      <c r="AL142" s="30"/>
      <c r="AN142" s="13"/>
      <c r="AO142" s="13"/>
      <c r="AP142" s="13"/>
      <c r="AQ142" s="13"/>
      <c r="AR142" s="30"/>
    </row>
    <row r="143" spans="1:57" ht="15.75" customHeight="1" x14ac:dyDescent="0.2">
      <c r="A143" s="45" t="s">
        <v>239</v>
      </c>
    </row>
    <row r="144" spans="1:57" ht="15.75" customHeight="1" x14ac:dyDescent="0.2">
      <c r="B144" s="178" t="s">
        <v>31</v>
      </c>
      <c r="C144" s="34"/>
      <c r="AB144" s="56" t="s">
        <v>27</v>
      </c>
      <c r="AC144" s="12"/>
      <c r="AD144" s="12"/>
      <c r="AE144" s="12"/>
      <c r="AF144" s="12"/>
      <c r="AG144" s="12"/>
      <c r="AH144" s="56" t="s">
        <v>28</v>
      </c>
      <c r="AI144" s="12"/>
      <c r="AJ144" s="12"/>
      <c r="AK144" s="12"/>
      <c r="AL144" s="12"/>
      <c r="AR144" s="34" t="s">
        <v>52</v>
      </c>
      <c r="AX144" s="34" t="s">
        <v>53</v>
      </c>
      <c r="BE144" s="34" t="s">
        <v>65</v>
      </c>
    </row>
    <row r="145" spans="2:63" ht="15.75" customHeight="1" x14ac:dyDescent="0.2">
      <c r="B145" s="28" t="s">
        <v>61</v>
      </c>
      <c r="C145" s="28"/>
      <c r="D145" s="28" t="s">
        <v>29</v>
      </c>
      <c r="E145" s="57" t="s">
        <v>63</v>
      </c>
      <c r="F145" s="57" t="s">
        <v>72</v>
      </c>
      <c r="G145" s="57"/>
      <c r="H145" s="57"/>
      <c r="I145" s="101"/>
      <c r="J145" s="101"/>
      <c r="K145" s="101"/>
      <c r="L145" s="101"/>
      <c r="M145" s="101"/>
      <c r="N145" s="101"/>
      <c r="O145" s="101"/>
      <c r="P145" s="101"/>
      <c r="R145" s="28" t="s">
        <v>3</v>
      </c>
      <c r="S145" s="28"/>
      <c r="T145" s="57" t="s">
        <v>50</v>
      </c>
      <c r="U145" s="57" t="s">
        <v>70</v>
      </c>
      <c r="V145" s="28" t="s">
        <v>1</v>
      </c>
      <c r="W145" s="57" t="s">
        <v>62</v>
      </c>
      <c r="X145" s="57" t="s">
        <v>9</v>
      </c>
      <c r="Y145" s="57"/>
      <c r="AB145" s="28" t="s">
        <v>30</v>
      </c>
      <c r="AC145" s="28" t="s">
        <v>1</v>
      </c>
      <c r="AD145" s="57" t="s">
        <v>10</v>
      </c>
      <c r="AE145" s="57"/>
      <c r="AF145" s="57" t="s">
        <v>64</v>
      </c>
      <c r="AG145" s="60"/>
      <c r="AH145" s="28" t="s">
        <v>30</v>
      </c>
      <c r="AI145" s="28" t="s">
        <v>1</v>
      </c>
      <c r="AJ145" s="57" t="s">
        <v>10</v>
      </c>
      <c r="AK145" s="57"/>
      <c r="AL145" s="57" t="s">
        <v>64</v>
      </c>
      <c r="AM145" s="28" t="s">
        <v>58</v>
      </c>
      <c r="AN145" s="28"/>
      <c r="AO145" s="28" t="s">
        <v>59</v>
      </c>
      <c r="AP145" s="28" t="s">
        <v>60</v>
      </c>
      <c r="AR145" s="61" t="s">
        <v>54</v>
      </c>
      <c r="AS145" s="61" t="s">
        <v>57</v>
      </c>
      <c r="AT145" s="61" t="s">
        <v>55</v>
      </c>
      <c r="AU145" s="61" t="s">
        <v>57</v>
      </c>
      <c r="AV145" s="61" t="s">
        <v>56</v>
      </c>
      <c r="AW145" s="61" t="s">
        <v>57</v>
      </c>
      <c r="AX145" s="28" t="s">
        <v>54</v>
      </c>
      <c r="AY145" s="28" t="s">
        <v>57</v>
      </c>
      <c r="AZ145" s="28" t="s">
        <v>55</v>
      </c>
      <c r="BA145" s="28" t="s">
        <v>57</v>
      </c>
      <c r="BB145" s="28" t="s">
        <v>56</v>
      </c>
      <c r="BC145" s="28" t="s">
        <v>57</v>
      </c>
      <c r="BD145" s="60"/>
      <c r="BE145" s="61" t="s">
        <v>54</v>
      </c>
      <c r="BF145" s="61" t="s">
        <v>57</v>
      </c>
      <c r="BG145" s="61" t="s">
        <v>55</v>
      </c>
      <c r="BH145" s="61" t="s">
        <v>57</v>
      </c>
      <c r="BI145" s="61" t="s">
        <v>66</v>
      </c>
      <c r="BJ145" s="61" t="s">
        <v>56</v>
      </c>
      <c r="BK145" s="61" t="s">
        <v>57</v>
      </c>
    </row>
    <row r="146" spans="2:63" ht="15.75" customHeight="1" x14ac:dyDescent="0.2">
      <c r="B146" s="33">
        <v>100</v>
      </c>
      <c r="C146" s="33"/>
      <c r="D146" s="29">
        <v>0.7</v>
      </c>
      <c r="E146" s="50">
        <v>5</v>
      </c>
      <c r="F146">
        <v>10</v>
      </c>
      <c r="R146" s="12" t="s">
        <v>32</v>
      </c>
      <c r="S146" s="12"/>
      <c r="T146" s="13"/>
      <c r="U146" s="13"/>
      <c r="V146" s="13">
        <v>200</v>
      </c>
      <c r="W146" s="58" t="e">
        <f>V146/#REF!</f>
        <v>#REF!</v>
      </c>
      <c r="X146" s="58"/>
      <c r="Y146" s="58"/>
      <c r="AB146" s="31" t="e">
        <f>#REF!</f>
        <v>#REF!</v>
      </c>
      <c r="AC146" s="31">
        <f>V146*D146</f>
        <v>140</v>
      </c>
      <c r="AD146" s="63" t="e">
        <f>(#REF!+(#REF!*(F146/100)))/(1-#REF!/100)</f>
        <v>#REF!</v>
      </c>
      <c r="AE146" s="63"/>
      <c r="AF146" s="32" t="e">
        <f>AC146/AB146</f>
        <v>#REF!</v>
      </c>
      <c r="AG146" s="32"/>
      <c r="AH146" s="31" t="e">
        <f>#REF!</f>
        <v>#REF!</v>
      </c>
      <c r="AI146" s="31">
        <f>V146*(1-D146)</f>
        <v>60.000000000000007</v>
      </c>
      <c r="AJ146" s="63" t="e">
        <f>(#REF!+(#REF!*(F146/100)))/(1-#REF!/100)</f>
        <v>#REF!</v>
      </c>
      <c r="AK146" s="63"/>
      <c r="AL146" s="32" t="e">
        <f>AI146/AH146</f>
        <v>#REF!</v>
      </c>
      <c r="AM146" s="32" t="e">
        <f>AF146</f>
        <v>#REF!</v>
      </c>
      <c r="AN146" s="32"/>
      <c r="AO146" s="32" t="e">
        <f>AL146</f>
        <v>#REF!</v>
      </c>
      <c r="AP146" s="32" t="e">
        <f>AM146+AO146</f>
        <v>#REF!</v>
      </c>
      <c r="AR146" s="52">
        <v>0</v>
      </c>
      <c r="AS146" s="50">
        <v>0</v>
      </c>
      <c r="AT146" s="52">
        <v>0</v>
      </c>
      <c r="AU146" s="50">
        <v>0</v>
      </c>
      <c r="AV146" s="52">
        <v>0</v>
      </c>
      <c r="AW146" s="54">
        <v>0</v>
      </c>
      <c r="AX146" s="52">
        <v>0</v>
      </c>
      <c r="AY146" s="50">
        <v>0</v>
      </c>
      <c r="AZ146" s="52">
        <v>0</v>
      </c>
      <c r="BA146" s="50">
        <v>0</v>
      </c>
      <c r="BB146" s="52">
        <v>0</v>
      </c>
      <c r="BC146" s="50">
        <v>0</v>
      </c>
      <c r="BD146" s="50"/>
      <c r="BE146" s="52">
        <v>0</v>
      </c>
      <c r="BF146" s="50">
        <v>0</v>
      </c>
      <c r="BG146" s="52">
        <v>0</v>
      </c>
      <c r="BH146" s="50">
        <v>0</v>
      </c>
      <c r="BI146" s="52">
        <v>0</v>
      </c>
      <c r="BJ146" s="52">
        <v>0</v>
      </c>
      <c r="BK146" s="50">
        <v>0</v>
      </c>
    </row>
    <row r="147" spans="2:63" ht="15.75" customHeight="1" x14ac:dyDescent="0.2">
      <c r="B147" s="36">
        <v>100</v>
      </c>
      <c r="C147" s="36"/>
      <c r="D147" s="37">
        <v>0.7</v>
      </c>
      <c r="E147" s="51">
        <v>5</v>
      </c>
      <c r="F147" s="35">
        <v>10</v>
      </c>
      <c r="G147" s="35"/>
      <c r="H147" s="35"/>
      <c r="R147" s="41" t="s">
        <v>51</v>
      </c>
      <c r="S147" s="41"/>
      <c r="T147" s="42">
        <v>20</v>
      </c>
      <c r="U147" s="42"/>
      <c r="V147" s="42"/>
      <c r="W147" s="59"/>
      <c r="X147" s="59"/>
      <c r="Y147" s="59"/>
      <c r="AB147" s="38"/>
      <c r="AC147" s="38"/>
      <c r="AD147" s="65"/>
      <c r="AE147" s="65"/>
      <c r="AF147" s="39"/>
      <c r="AG147" s="32"/>
      <c r="AH147" s="38"/>
      <c r="AI147" s="38"/>
      <c r="AJ147" s="38"/>
      <c r="AK147" s="38"/>
      <c r="AL147" s="39"/>
      <c r="AM147" s="39" t="e">
        <f t="shared" ref="AM147:AP147" si="20">AM146</f>
        <v>#REF!</v>
      </c>
      <c r="AN147" s="39"/>
      <c r="AO147" s="39" t="e">
        <f t="shared" si="20"/>
        <v>#REF!</v>
      </c>
      <c r="AP147" s="39" t="e">
        <f t="shared" si="20"/>
        <v>#REF!</v>
      </c>
      <c r="AR147" s="40">
        <f>AR146</f>
        <v>0</v>
      </c>
      <c r="AS147" s="51">
        <f t="shared" ref="AS147:AU147" si="21">AS146</f>
        <v>0</v>
      </c>
      <c r="AT147" s="40">
        <f t="shared" si="21"/>
        <v>0</v>
      </c>
      <c r="AU147" s="51">
        <f t="shared" si="21"/>
        <v>0</v>
      </c>
      <c r="AV147" s="40">
        <f>AV146</f>
        <v>0</v>
      </c>
      <c r="AW147" s="55">
        <f>AV147/V146</f>
        <v>0</v>
      </c>
      <c r="AX147" s="40">
        <f>AX146</f>
        <v>0</v>
      </c>
      <c r="AY147" s="51">
        <f t="shared" ref="AY147" si="22">AY146</f>
        <v>0</v>
      </c>
      <c r="AZ147" s="40">
        <f t="shared" ref="AZ147" si="23">AZ146</f>
        <v>0</v>
      </c>
      <c r="BA147" s="51">
        <f t="shared" ref="BA147" si="24">BA146</f>
        <v>0</v>
      </c>
      <c r="BB147" s="40">
        <f>BB146</f>
        <v>0</v>
      </c>
      <c r="BC147" s="51">
        <f t="shared" ref="BC147" si="25">BC146</f>
        <v>0</v>
      </c>
      <c r="BD147" s="50"/>
      <c r="BE147" s="40">
        <f>AR147+AX147</f>
        <v>0</v>
      </c>
      <c r="BF147" s="51">
        <f t="shared" ref="BF147" si="26">BF146</f>
        <v>0</v>
      </c>
      <c r="BG147" s="40">
        <f t="shared" ref="BG147" si="27">BG146</f>
        <v>0</v>
      </c>
      <c r="BH147" s="51">
        <f t="shared" ref="BH147" si="28">BH146</f>
        <v>0</v>
      </c>
      <c r="BI147" s="65">
        <f>T147</f>
        <v>20</v>
      </c>
      <c r="BJ147" s="65">
        <f>BE147+BG147+BI147</f>
        <v>20</v>
      </c>
      <c r="BK147" s="55">
        <f>BJ147/(AC146+AI146)</f>
        <v>0.1</v>
      </c>
    </row>
    <row r="148" spans="2:63" ht="15.75" customHeight="1" x14ac:dyDescent="0.2">
      <c r="B148" s="33">
        <v>300</v>
      </c>
      <c r="C148" s="33"/>
      <c r="D148" s="29">
        <v>0.7</v>
      </c>
      <c r="E148" s="50">
        <v>5</v>
      </c>
      <c r="F148">
        <v>10</v>
      </c>
      <c r="R148" t="s">
        <v>33</v>
      </c>
      <c r="T148" s="33"/>
      <c r="U148" s="33"/>
      <c r="V148" s="33">
        <v>400</v>
      </c>
      <c r="W148" s="50" t="e">
        <f>V148/#REF!</f>
        <v>#REF!</v>
      </c>
      <c r="X148" s="50"/>
      <c r="Y148" s="50"/>
      <c r="AB148" s="31" t="e">
        <f>AB146</f>
        <v>#REF!</v>
      </c>
      <c r="AC148" s="31">
        <v>140</v>
      </c>
      <c r="AD148" s="63" t="e">
        <f>(#REF!+(#REF!*(F146/100)))/(1-#REF!/100)</f>
        <v>#REF!</v>
      </c>
      <c r="AE148" s="63"/>
      <c r="AF148" s="32">
        <v>1.4</v>
      </c>
      <c r="AG148" s="32"/>
      <c r="AH148" s="31">
        <v>100</v>
      </c>
      <c r="AI148" s="31">
        <v>60.000000000000007</v>
      </c>
      <c r="AJ148" s="63" t="e">
        <f>(#REF!+(#REF!*(F146/100)))/(1-#REF!/100)</f>
        <v>#REF!</v>
      </c>
      <c r="AK148" s="63"/>
      <c r="AL148" s="32">
        <v>0.60000000000000009</v>
      </c>
      <c r="AM148" s="32" t="e">
        <f>AM147+AF149</f>
        <v>#REF!</v>
      </c>
      <c r="AN148" s="32"/>
      <c r="AO148" s="32" t="e">
        <f>AO147</f>
        <v>#REF!</v>
      </c>
      <c r="AP148" s="32" t="e">
        <f>AM148+AO148</f>
        <v>#REF!</v>
      </c>
      <c r="AR148" s="52">
        <f>AR147</f>
        <v>0</v>
      </c>
      <c r="AS148" s="50">
        <f>AS147</f>
        <v>0</v>
      </c>
      <c r="AT148" s="52">
        <f>AT147</f>
        <v>0</v>
      </c>
      <c r="AU148" s="50">
        <f>AU147</f>
        <v>0</v>
      </c>
      <c r="AV148" s="52">
        <f>AV147</f>
        <v>0</v>
      </c>
      <c r="AW148" s="64">
        <f>AV148 / (V146+V148)</f>
        <v>0</v>
      </c>
      <c r="AX148" s="52" t="e">
        <f>(B148*AM148)-(AC148+AC149)</f>
        <v>#REF!</v>
      </c>
      <c r="AY148" s="54" t="e">
        <f>AX148/(AC148+AC149)</f>
        <v>#REF!</v>
      </c>
      <c r="AZ148" s="52" t="e">
        <f>(AO148*B148)-AI148</f>
        <v>#REF!</v>
      </c>
      <c r="BA148" s="53" t="e">
        <f>AZ148/(AH148*AL148)</f>
        <v>#REF!</v>
      </c>
      <c r="BB148" s="52" t="e">
        <f>AX148+AZ148</f>
        <v>#REF!</v>
      </c>
      <c r="BC148" s="62" t="e">
        <f>BB148/(AC148+AC149+AI148)</f>
        <v>#REF!</v>
      </c>
      <c r="BD148" s="62"/>
      <c r="BE148" s="52" t="e">
        <f>AR148+AX148</f>
        <v>#REF!</v>
      </c>
      <c r="BF148" s="54" t="e">
        <f>AY148</f>
        <v>#REF!</v>
      </c>
      <c r="BG148" s="52" t="e">
        <f>AT148+AZ148</f>
        <v>#REF!</v>
      </c>
      <c r="BH148" s="53" t="e">
        <f>BG148/AI148</f>
        <v>#REF!</v>
      </c>
      <c r="BI148" s="63">
        <f>BI147</f>
        <v>20</v>
      </c>
      <c r="BJ148" s="52" t="e">
        <f>BE148+BG148+BI148</f>
        <v>#REF!</v>
      </c>
      <c r="BK148" s="54" t="e">
        <f>BJ148/(AC148+AC149+AI148)</f>
        <v>#REF!</v>
      </c>
    </row>
    <row r="149" spans="2:63" ht="15.75" customHeight="1" x14ac:dyDescent="0.2">
      <c r="E149" s="50"/>
      <c r="W149" s="50"/>
      <c r="X149" s="50"/>
      <c r="Y149" s="50"/>
      <c r="AB149" s="31" t="e">
        <f>#REF!</f>
        <v>#REF!</v>
      </c>
      <c r="AC149" s="31">
        <f>V148</f>
        <v>400</v>
      </c>
      <c r="AD149" s="63" t="e">
        <f>(#REF!+(#REF!*(F148/100)))/(1-#REF!/100)</f>
        <v>#REF!</v>
      </c>
      <c r="AE149" s="63"/>
      <c r="AF149" s="32" t="e">
        <f>AC149/AB149</f>
        <v>#REF!</v>
      </c>
      <c r="AG149" s="32"/>
      <c r="AH149" s="49" t="s">
        <v>34</v>
      </c>
      <c r="AI149" s="49" t="s">
        <v>34</v>
      </c>
      <c r="AJ149" s="49" t="s">
        <v>34</v>
      </c>
      <c r="AK149" s="49"/>
      <c r="AL149" s="49" t="s">
        <v>34</v>
      </c>
      <c r="AS149" s="50"/>
      <c r="AU149" s="50"/>
      <c r="AW149" s="54"/>
      <c r="AX149" s="31"/>
      <c r="AY149" s="54"/>
      <c r="BA149" s="50"/>
      <c r="BC149" s="50"/>
      <c r="BD149" s="50"/>
      <c r="BF149" s="50"/>
      <c r="BH149" s="50"/>
      <c r="BI149" s="63"/>
      <c r="BK149" s="50"/>
    </row>
    <row r="150" spans="2:63" ht="15.75" customHeight="1" x14ac:dyDescent="0.2">
      <c r="B150" s="36">
        <v>910</v>
      </c>
      <c r="C150" s="36"/>
      <c r="D150" s="37">
        <v>0.7</v>
      </c>
      <c r="E150" s="51">
        <v>5</v>
      </c>
      <c r="F150" s="35">
        <v>10</v>
      </c>
      <c r="G150" s="35"/>
      <c r="H150" s="35"/>
      <c r="R150" s="35" t="s">
        <v>35</v>
      </c>
      <c r="S150" s="35"/>
      <c r="T150" s="36"/>
      <c r="U150" s="36"/>
      <c r="V150" s="36">
        <v>350</v>
      </c>
      <c r="W150" s="51" t="e">
        <f>V150/#REF!</f>
        <v>#REF!</v>
      </c>
      <c r="X150" s="51"/>
      <c r="Y150" s="51"/>
      <c r="AB150" s="38" t="e">
        <f>AB148</f>
        <v>#REF!</v>
      </c>
      <c r="AC150" s="38">
        <v>140</v>
      </c>
      <c r="AD150" s="65" t="e">
        <f>AD148</f>
        <v>#REF!</v>
      </c>
      <c r="AE150" s="65"/>
      <c r="AF150" s="39">
        <v>1.4</v>
      </c>
      <c r="AG150" s="32"/>
      <c r="AH150" s="38">
        <v>100</v>
      </c>
      <c r="AI150" s="38">
        <v>60.000000000000007</v>
      </c>
      <c r="AJ150" s="65" t="e">
        <f>AJ148</f>
        <v>#REF!</v>
      </c>
      <c r="AK150" s="65"/>
      <c r="AL150" s="39">
        <v>0.60000000000000009</v>
      </c>
      <c r="AM150" s="39" t="e">
        <f>AM148</f>
        <v>#REF!</v>
      </c>
      <c r="AN150" s="39"/>
      <c r="AO150" s="39" t="e">
        <f>AO148+AL151</f>
        <v>#REF!</v>
      </c>
      <c r="AP150" s="39" t="e">
        <f>AM150+AO150</f>
        <v>#REF!</v>
      </c>
      <c r="AR150" s="40">
        <f t="shared" ref="AR150:AW150" si="29">AR148</f>
        <v>0</v>
      </c>
      <c r="AS150" s="51">
        <f t="shared" si="29"/>
        <v>0</v>
      </c>
      <c r="AT150" s="40">
        <f t="shared" si="29"/>
        <v>0</v>
      </c>
      <c r="AU150" s="51">
        <f t="shared" si="29"/>
        <v>0</v>
      </c>
      <c r="AV150" s="40">
        <f t="shared" si="29"/>
        <v>0</v>
      </c>
      <c r="AW150" s="55">
        <f t="shared" si="29"/>
        <v>0</v>
      </c>
      <c r="AX150" s="40" t="e">
        <f>(B150*AM150)-(AC150+AC151)</f>
        <v>#REF!</v>
      </c>
      <c r="AY150" s="55" t="e">
        <f>AX150/(AC150+AC151)</f>
        <v>#REF!</v>
      </c>
      <c r="AZ150" s="40" t="e">
        <f>(AO150*B150)-(AI150+AI151)</f>
        <v>#REF!</v>
      </c>
      <c r="BA150" s="55" t="e">
        <f>AZ150/(AI150+AI151)</f>
        <v>#REF!</v>
      </c>
      <c r="BB150" s="40" t="e">
        <f>AX150+AZ150</f>
        <v>#REF!</v>
      </c>
      <c r="BC150" s="55" t="e">
        <f>BB150/(AC150+AC151+AI150+AI151)</f>
        <v>#REF!</v>
      </c>
      <c r="BD150" s="50"/>
      <c r="BE150" s="40" t="e">
        <f>AR150+AX150</f>
        <v>#REF!</v>
      </c>
      <c r="BF150" s="55" t="e">
        <f>AY150</f>
        <v>#REF!</v>
      </c>
      <c r="BG150" s="40" t="e">
        <f>AT150+AZ150</f>
        <v>#REF!</v>
      </c>
      <c r="BH150" s="55" t="e">
        <f>BG150/(AI150+AI151)</f>
        <v>#REF!</v>
      </c>
      <c r="BI150" s="65">
        <f>BI148</f>
        <v>20</v>
      </c>
      <c r="BJ150" s="40" t="e">
        <f>BE150+BG150+BI150</f>
        <v>#REF!</v>
      </c>
      <c r="BK150" s="55" t="e">
        <f>BJ150/(AC150+AC151+AI150+AI151)</f>
        <v>#REF!</v>
      </c>
    </row>
    <row r="151" spans="2:63" ht="15.75" customHeight="1" x14ac:dyDescent="0.2">
      <c r="B151" s="35"/>
      <c r="C151" s="35"/>
      <c r="D151" s="35"/>
      <c r="E151" s="51"/>
      <c r="F151" s="35"/>
      <c r="G151" s="35"/>
      <c r="H151" s="35"/>
      <c r="R151" s="35"/>
      <c r="S151" s="35"/>
      <c r="T151" s="35"/>
      <c r="U151" s="35"/>
      <c r="V151" s="35"/>
      <c r="W151" s="51"/>
      <c r="X151" s="51"/>
      <c r="Y151" s="51"/>
      <c r="AB151" s="38" t="e">
        <f>AB149</f>
        <v>#REF!</v>
      </c>
      <c r="AC151" s="38">
        <v>400</v>
      </c>
      <c r="AD151" s="65" t="e">
        <f>AD149</f>
        <v>#REF!</v>
      </c>
      <c r="AE151" s="65"/>
      <c r="AF151" s="39">
        <v>1.6</v>
      </c>
      <c r="AG151" s="32"/>
      <c r="AH151" s="36" t="e">
        <f>#REF!</f>
        <v>#REF!</v>
      </c>
      <c r="AI151" s="36">
        <f>V150</f>
        <v>350</v>
      </c>
      <c r="AJ151" s="65" t="e">
        <f>(#REF!+(#REF!*(F150/100)))/(1-#REF!/100)</f>
        <v>#REF!</v>
      </c>
      <c r="AK151" s="65"/>
      <c r="AL151" s="39" t="e">
        <f>AI151/AH151</f>
        <v>#REF!</v>
      </c>
      <c r="AS151" s="50"/>
      <c r="AU151" s="50"/>
      <c r="AW151" s="50"/>
      <c r="AY151" s="50"/>
      <c r="BA151" s="50"/>
      <c r="BC151" s="50"/>
      <c r="BD151" s="50"/>
      <c r="BF151" s="50"/>
      <c r="BH151" s="50"/>
      <c r="BI151" s="63"/>
      <c r="BK151" s="50"/>
    </row>
    <row r="152" spans="2:63" ht="15.75" customHeight="1" x14ac:dyDescent="0.2">
      <c r="B152" s="33">
        <v>910</v>
      </c>
      <c r="C152" s="33"/>
      <c r="D152" s="29">
        <v>0.7</v>
      </c>
      <c r="E152" s="50">
        <v>5</v>
      </c>
      <c r="F152">
        <v>10</v>
      </c>
      <c r="R152" t="s">
        <v>49</v>
      </c>
      <c r="T152" s="33">
        <v>10</v>
      </c>
      <c r="U152" s="33"/>
      <c r="W152" s="50"/>
      <c r="X152" s="50"/>
      <c r="Y152" s="50"/>
      <c r="AB152" s="31"/>
      <c r="AC152" s="31"/>
      <c r="AD152" s="31"/>
      <c r="AE152" s="31"/>
      <c r="AF152" s="31"/>
      <c r="AG152" s="31"/>
      <c r="AH152" s="33"/>
      <c r="AI152" s="33"/>
      <c r="AJ152" s="31"/>
      <c r="AK152" s="31"/>
      <c r="AL152" s="32"/>
      <c r="AM152" s="32" t="e">
        <f>AM150</f>
        <v>#REF!</v>
      </c>
      <c r="AN152" s="32"/>
      <c r="AO152" s="32" t="e">
        <f>AO150+AL153</f>
        <v>#REF!</v>
      </c>
      <c r="AP152" s="32" t="e">
        <f>AM152+AO152</f>
        <v>#REF!</v>
      </c>
      <c r="AR152" s="52">
        <f t="shared" ref="AR152:AW153" si="30">AR150</f>
        <v>0</v>
      </c>
      <c r="AS152" s="50">
        <f t="shared" si="30"/>
        <v>0</v>
      </c>
      <c r="AT152" s="52">
        <f t="shared" si="30"/>
        <v>0</v>
      </c>
      <c r="AU152" s="50">
        <f t="shared" si="30"/>
        <v>0</v>
      </c>
      <c r="AV152" s="52">
        <f t="shared" si="30"/>
        <v>0</v>
      </c>
      <c r="AW152" s="62">
        <f t="shared" si="30"/>
        <v>0</v>
      </c>
      <c r="AX152" s="52" t="e">
        <f t="shared" ref="AX152:BC152" si="31">AX150</f>
        <v>#REF!</v>
      </c>
      <c r="AY152" s="62" t="e">
        <f t="shared" si="31"/>
        <v>#REF!</v>
      </c>
      <c r="AZ152" s="52" t="e">
        <f t="shared" si="31"/>
        <v>#REF!</v>
      </c>
      <c r="BA152" s="62" t="e">
        <f t="shared" si="31"/>
        <v>#REF!</v>
      </c>
      <c r="BB152" s="52" t="e">
        <f t="shared" si="31"/>
        <v>#REF!</v>
      </c>
      <c r="BC152" s="62" t="e">
        <f t="shared" si="31"/>
        <v>#REF!</v>
      </c>
      <c r="BD152" s="50"/>
      <c r="BE152" s="52" t="e">
        <f>BE150</f>
        <v>#REF!</v>
      </c>
      <c r="BF152" s="62" t="e">
        <f>BF150</f>
        <v>#REF!</v>
      </c>
      <c r="BG152" s="52" t="e">
        <f>BG150</f>
        <v>#REF!</v>
      </c>
      <c r="BH152" s="62" t="e">
        <f>BH150</f>
        <v>#REF!</v>
      </c>
      <c r="BI152" s="63">
        <f>BI150+T152</f>
        <v>30</v>
      </c>
      <c r="BJ152" s="52" t="e">
        <f>BE152+BG152+BI152</f>
        <v>#REF!</v>
      </c>
      <c r="BK152" s="62" t="e">
        <f>BJ152/(AC150+AC151+AI150+AI151)</f>
        <v>#REF!</v>
      </c>
    </row>
    <row r="153" spans="2:63" ht="15.75" customHeight="1" x14ac:dyDescent="0.2">
      <c r="B153" s="36">
        <v>510</v>
      </c>
      <c r="C153" s="36"/>
      <c r="D153" s="37">
        <v>0.7</v>
      </c>
      <c r="E153" s="51">
        <v>5</v>
      </c>
      <c r="F153" s="35">
        <v>10</v>
      </c>
      <c r="G153" s="35"/>
      <c r="H153" s="35"/>
      <c r="R153" s="35" t="s">
        <v>36</v>
      </c>
      <c r="S153" s="35"/>
      <c r="T153" s="40"/>
      <c r="U153" s="40"/>
      <c r="V153" s="36">
        <v>100</v>
      </c>
      <c r="W153" s="51" t="e">
        <f>V153/#REF!</f>
        <v>#REF!</v>
      </c>
      <c r="X153" s="51"/>
      <c r="Y153" s="51"/>
      <c r="AB153" s="38">
        <v>100</v>
      </c>
      <c r="AC153" s="38">
        <v>140</v>
      </c>
      <c r="AD153" s="38" t="e">
        <f>AD150</f>
        <v>#REF!</v>
      </c>
      <c r="AE153" s="38"/>
      <c r="AF153" s="39">
        <v>1.4</v>
      </c>
      <c r="AG153" s="32"/>
      <c r="AH153" s="38">
        <v>100</v>
      </c>
      <c r="AI153" s="38">
        <v>60.000000000000007</v>
      </c>
      <c r="AJ153" s="38" t="e">
        <f>AJ150</f>
        <v>#REF!</v>
      </c>
      <c r="AK153" s="38"/>
      <c r="AL153" s="39">
        <v>0.60000000000000009</v>
      </c>
      <c r="AM153" s="39" t="e">
        <f>AF153+AF154+AF155</f>
        <v>#REF!</v>
      </c>
      <c r="AN153" s="39"/>
      <c r="AO153" s="39" t="e">
        <f>AL153+AL154+AL155</f>
        <v>#REF!</v>
      </c>
      <c r="AP153" s="39" t="e">
        <f>AM153+AO153</f>
        <v>#REF!</v>
      </c>
      <c r="AR153" s="40">
        <f t="shared" si="30"/>
        <v>0</v>
      </c>
      <c r="AS153" s="51">
        <f t="shared" si="30"/>
        <v>0</v>
      </c>
      <c r="AT153" s="40">
        <f t="shared" si="30"/>
        <v>0</v>
      </c>
      <c r="AU153" s="51">
        <f t="shared" si="30"/>
        <v>0</v>
      </c>
      <c r="AV153" s="40">
        <f t="shared" si="30"/>
        <v>0</v>
      </c>
      <c r="AW153" s="55">
        <f t="shared" si="30"/>
        <v>0</v>
      </c>
      <c r="AX153" s="40" t="e">
        <f>(B153*AM153)-(AC153+AC154+AC155)</f>
        <v>#REF!</v>
      </c>
      <c r="AY153" s="55" t="e">
        <f>AX153/(AC153+AC154+AC155)</f>
        <v>#REF!</v>
      </c>
      <c r="AZ153" s="40" t="e">
        <f>(AO153*B153)-(AI153+AI154+AI155)</f>
        <v>#REF!</v>
      </c>
      <c r="BA153" s="55" t="e">
        <f>AZ153/(AI153+AI154+AI155)</f>
        <v>#REF!</v>
      </c>
      <c r="BB153" s="40" t="e">
        <f>AX153+AZ153</f>
        <v>#REF!</v>
      </c>
      <c r="BC153" s="55" t="e">
        <f>BB153/(AC153+AC154+AC155+AI153+AI154+AI155)</f>
        <v>#REF!</v>
      </c>
      <c r="BD153" s="50"/>
      <c r="BE153" s="40" t="e">
        <f>AR153+AX153</f>
        <v>#REF!</v>
      </c>
      <c r="BF153" s="55" t="e">
        <f>AY153</f>
        <v>#REF!</v>
      </c>
      <c r="BG153" s="40" t="e">
        <f>AT153+AZ153</f>
        <v>#REF!</v>
      </c>
      <c r="BH153" s="55" t="e">
        <f>BG153/(AI153+AI154+AI155)</f>
        <v>#REF!</v>
      </c>
      <c r="BI153" s="65">
        <f>BI152</f>
        <v>30</v>
      </c>
      <c r="BJ153" s="40" t="e">
        <f>BE153+BG153+BI153</f>
        <v>#REF!</v>
      </c>
      <c r="BK153" s="55" t="e">
        <f>BJ153/(AC153+AC154+AC155+AI153+AI154+AI155)</f>
        <v>#REF!</v>
      </c>
    </row>
    <row r="154" spans="2:63" ht="15.75" customHeight="1" x14ac:dyDescent="0.2">
      <c r="B154" s="35"/>
      <c r="C154" s="35"/>
      <c r="D154" s="35"/>
      <c r="E154" s="51"/>
      <c r="F154" s="35"/>
      <c r="G154" s="35"/>
      <c r="H154" s="35"/>
      <c r="R154" s="35"/>
      <c r="S154" s="35"/>
      <c r="T154" s="35"/>
      <c r="U154" s="35"/>
      <c r="V154" s="35"/>
      <c r="W154" s="51"/>
      <c r="X154" s="51"/>
      <c r="Y154" s="51"/>
      <c r="AB154" s="38">
        <v>250</v>
      </c>
      <c r="AC154" s="38">
        <v>400</v>
      </c>
      <c r="AD154" s="38" t="e">
        <f>AD151</f>
        <v>#REF!</v>
      </c>
      <c r="AE154" s="38"/>
      <c r="AF154" s="39">
        <v>1.6</v>
      </c>
      <c r="AG154" s="32"/>
      <c r="AH154" s="36">
        <v>900</v>
      </c>
      <c r="AI154" s="36">
        <v>350</v>
      </c>
      <c r="AJ154" s="38" t="e">
        <f>AJ151</f>
        <v>#REF!</v>
      </c>
      <c r="AK154" s="38"/>
      <c r="AL154" s="39">
        <v>0.3888888888888889</v>
      </c>
      <c r="AM154" s="35"/>
      <c r="AN154" s="35"/>
      <c r="AO154" s="35"/>
      <c r="AP154" s="35"/>
      <c r="AR154" s="35"/>
      <c r="AS154" s="51"/>
      <c r="AT154" s="35"/>
      <c r="AU154" s="51"/>
      <c r="AV154" s="35"/>
      <c r="AW154" s="51"/>
      <c r="AX154" s="35"/>
      <c r="AY154" s="51"/>
      <c r="AZ154" s="35"/>
      <c r="BA154" s="51"/>
      <c r="BB154" s="35"/>
      <c r="BC154" s="51"/>
      <c r="BD154" s="50"/>
      <c r="BE154" s="35"/>
      <c r="BF154" s="51"/>
      <c r="BG154" s="35"/>
      <c r="BH154" s="51"/>
      <c r="BI154" s="35"/>
      <c r="BJ154" s="35"/>
      <c r="BK154" s="51"/>
    </row>
    <row r="155" spans="2:63" ht="15.75" customHeight="1" x14ac:dyDescent="0.2">
      <c r="B155" s="35"/>
      <c r="C155" s="35"/>
      <c r="D155" s="35"/>
      <c r="E155" s="51"/>
      <c r="F155" s="35"/>
      <c r="G155" s="35"/>
      <c r="H155" s="35"/>
      <c r="R155" s="35"/>
      <c r="S155" s="35"/>
      <c r="T155" s="35"/>
      <c r="U155" s="35"/>
      <c r="V155" s="35"/>
      <c r="W155" s="51"/>
      <c r="X155" s="51"/>
      <c r="Y155" s="51"/>
      <c r="AB155" s="40" t="e">
        <f>#REF!</f>
        <v>#REF!</v>
      </c>
      <c r="AC155" s="36">
        <f>V153*D153</f>
        <v>70</v>
      </c>
      <c r="AD155" s="65" t="e">
        <f>(#REF!+(#REF!*(F153/100)))/(1-#REF!/100)</f>
        <v>#REF!</v>
      </c>
      <c r="AE155" s="65"/>
      <c r="AF155" s="39" t="e">
        <f>AC155/AB155</f>
        <v>#REF!</v>
      </c>
      <c r="AG155" s="31"/>
      <c r="AH155" s="40" t="e">
        <f>#REF!</f>
        <v>#REF!</v>
      </c>
      <c r="AI155" s="36">
        <f>V153*(1-D153)</f>
        <v>30.000000000000004</v>
      </c>
      <c r="AJ155" s="65" t="e">
        <f>(#REF!+(#REF!*(F153/100)))/(1-#REF!/100)</f>
        <v>#REF!</v>
      </c>
      <c r="AK155" s="65"/>
      <c r="AL155" s="39" t="e">
        <f>AI155/AH155</f>
        <v>#REF!</v>
      </c>
      <c r="AM155" s="35"/>
      <c r="AN155" s="35"/>
      <c r="AO155" s="35"/>
      <c r="AP155" s="35"/>
      <c r="AR155" s="35"/>
      <c r="AS155" s="51"/>
      <c r="AT155" s="35"/>
      <c r="AU155" s="51"/>
      <c r="AV155" s="35"/>
      <c r="AW155" s="51"/>
      <c r="AX155" s="35"/>
      <c r="AY155" s="51"/>
      <c r="AZ155" s="35"/>
      <c r="BA155" s="51"/>
      <c r="BB155" s="35"/>
      <c r="BC155" s="51"/>
      <c r="BD155" s="50"/>
      <c r="BE155" s="35"/>
      <c r="BF155" s="51"/>
      <c r="BG155" s="35"/>
      <c r="BH155" s="51"/>
      <c r="BI155" s="35"/>
      <c r="BJ155" s="35"/>
      <c r="BK155" s="51"/>
    </row>
    <row r="156" spans="2:63" ht="15.75" customHeight="1" x14ac:dyDescent="0.2">
      <c r="E156" s="50"/>
      <c r="W156" s="50"/>
      <c r="X156" s="50"/>
      <c r="Y156" s="50"/>
      <c r="AB156" s="52"/>
      <c r="AC156" s="33"/>
      <c r="AD156" s="33"/>
      <c r="AE156" s="33"/>
      <c r="AF156" s="32"/>
      <c r="AG156" s="31"/>
      <c r="AH156" s="52"/>
      <c r="AI156" s="33"/>
      <c r="AJ156" s="33"/>
      <c r="AK156" s="33"/>
      <c r="AL156" s="32"/>
      <c r="AS156" s="50"/>
      <c r="AU156" s="50"/>
      <c r="AW156" s="50"/>
      <c r="AY156" s="50"/>
      <c r="BA156" s="50"/>
      <c r="BC156" s="50"/>
      <c r="BD156" s="50"/>
      <c r="BF156" s="50"/>
      <c r="BH156" s="50"/>
      <c r="BK156" s="50"/>
    </row>
    <row r="157" spans="2:63" ht="15.75" customHeight="1" x14ac:dyDescent="0.2">
      <c r="B157" s="178" t="s">
        <v>67</v>
      </c>
      <c r="C157" s="34"/>
      <c r="AB157" s="56" t="s">
        <v>27</v>
      </c>
      <c r="AC157" s="12"/>
      <c r="AD157" s="12"/>
      <c r="AE157" s="12"/>
      <c r="AF157" s="12"/>
      <c r="AG157" s="12"/>
      <c r="AH157" s="56" t="s">
        <v>28</v>
      </c>
      <c r="AI157" s="12"/>
      <c r="AJ157" s="12"/>
      <c r="AK157" s="12"/>
      <c r="AL157" s="12"/>
      <c r="AR157" s="34" t="s">
        <v>52</v>
      </c>
      <c r="AX157" s="34" t="s">
        <v>53</v>
      </c>
      <c r="BE157" s="34" t="s">
        <v>65</v>
      </c>
    </row>
    <row r="158" spans="2:63" ht="15.75" customHeight="1" x14ac:dyDescent="0.2">
      <c r="B158" s="28" t="s">
        <v>61</v>
      </c>
      <c r="C158" s="28"/>
      <c r="D158" s="28" t="s">
        <v>29</v>
      </c>
      <c r="E158" s="57" t="s">
        <v>63</v>
      </c>
      <c r="F158" s="57" t="s">
        <v>72</v>
      </c>
      <c r="G158" s="57"/>
      <c r="H158" s="57"/>
      <c r="I158" s="101"/>
      <c r="J158" s="101"/>
      <c r="K158" s="101"/>
      <c r="L158" s="101"/>
      <c r="M158" s="101"/>
      <c r="N158" s="101"/>
      <c r="O158" s="101"/>
      <c r="P158" s="101"/>
      <c r="R158" s="28" t="s">
        <v>3</v>
      </c>
      <c r="S158" s="28"/>
      <c r="T158" s="57" t="s">
        <v>50</v>
      </c>
      <c r="U158" s="57" t="s">
        <v>70</v>
      </c>
      <c r="V158" s="28" t="s">
        <v>1</v>
      </c>
      <c r="W158" s="57" t="s">
        <v>62</v>
      </c>
      <c r="X158" s="57" t="s">
        <v>9</v>
      </c>
      <c r="Y158" s="57"/>
      <c r="AB158" s="28" t="s">
        <v>30</v>
      </c>
      <c r="AC158" s="28" t="s">
        <v>1</v>
      </c>
      <c r="AD158" s="57" t="s">
        <v>10</v>
      </c>
      <c r="AE158" s="57"/>
      <c r="AF158" s="57" t="s">
        <v>64</v>
      </c>
      <c r="AG158" s="60"/>
      <c r="AH158" s="28" t="s">
        <v>30</v>
      </c>
      <c r="AI158" s="28" t="s">
        <v>1</v>
      </c>
      <c r="AJ158" s="57" t="s">
        <v>10</v>
      </c>
      <c r="AK158" s="57"/>
      <c r="AL158" s="57" t="s">
        <v>64</v>
      </c>
      <c r="AM158" s="28" t="s">
        <v>58</v>
      </c>
      <c r="AN158" s="28"/>
      <c r="AO158" s="28" t="s">
        <v>59</v>
      </c>
      <c r="AP158" s="28" t="s">
        <v>60</v>
      </c>
      <c r="AR158" s="61" t="s">
        <v>54</v>
      </c>
      <c r="AS158" s="61" t="s">
        <v>57</v>
      </c>
      <c r="AT158" s="61" t="s">
        <v>55</v>
      </c>
      <c r="AU158" s="61" t="s">
        <v>57</v>
      </c>
      <c r="AV158" s="61" t="s">
        <v>56</v>
      </c>
      <c r="AW158" s="61" t="s">
        <v>57</v>
      </c>
      <c r="AX158" s="28" t="s">
        <v>54</v>
      </c>
      <c r="AY158" s="28" t="s">
        <v>57</v>
      </c>
      <c r="AZ158" s="28" t="s">
        <v>55</v>
      </c>
      <c r="BA158" s="28" t="s">
        <v>57</v>
      </c>
      <c r="BB158" s="28" t="s">
        <v>56</v>
      </c>
      <c r="BC158" s="28" t="s">
        <v>57</v>
      </c>
      <c r="BD158" s="60"/>
      <c r="BE158" s="61" t="s">
        <v>54</v>
      </c>
      <c r="BF158" s="61" t="s">
        <v>57</v>
      </c>
      <c r="BG158" s="61" t="s">
        <v>55</v>
      </c>
      <c r="BH158" s="61" t="s">
        <v>57</v>
      </c>
      <c r="BI158" s="61" t="s">
        <v>66</v>
      </c>
      <c r="BJ158" s="61" t="s">
        <v>56</v>
      </c>
      <c r="BK158" s="61" t="s">
        <v>57</v>
      </c>
    </row>
    <row r="159" spans="2:63" ht="15.75" customHeight="1" x14ac:dyDescent="0.2">
      <c r="B159" s="33">
        <v>200</v>
      </c>
      <c r="C159" s="33"/>
      <c r="D159" s="29">
        <v>0.6</v>
      </c>
      <c r="E159" s="50">
        <v>5</v>
      </c>
      <c r="F159">
        <v>10</v>
      </c>
      <c r="R159" s="12" t="s">
        <v>68</v>
      </c>
      <c r="S159" s="12"/>
      <c r="T159" s="13"/>
      <c r="U159" s="13"/>
      <c r="V159" s="13">
        <v>400</v>
      </c>
      <c r="W159" s="58" t="e">
        <f>V159/#REF!</f>
        <v>#REF!</v>
      </c>
      <c r="X159" s="58"/>
      <c r="Y159" s="58"/>
      <c r="AB159" s="31" t="e">
        <f>#REF!</f>
        <v>#REF!</v>
      </c>
      <c r="AC159" s="31">
        <f>V159*D159</f>
        <v>240</v>
      </c>
      <c r="AD159" s="63" t="e">
        <f>(#REF!+(#REF!*(F159/100)))/(1-#REF!/100)</f>
        <v>#REF!</v>
      </c>
      <c r="AE159" s="63"/>
      <c r="AF159" s="32" t="e">
        <f>AC159/AB159</f>
        <v>#REF!</v>
      </c>
      <c r="AG159" s="32"/>
      <c r="AH159" s="31" t="e">
        <f>#REF!</f>
        <v>#REF!</v>
      </c>
      <c r="AI159" s="31">
        <f>V159*(1-D159)</f>
        <v>160</v>
      </c>
      <c r="AJ159" s="63" t="e">
        <f>(#REF!+(#REF!*(F159/100)))/(1-#REF!/100)</f>
        <v>#REF!</v>
      </c>
      <c r="AK159" s="63"/>
      <c r="AL159" s="32" t="e">
        <f>AI159/AH159</f>
        <v>#REF!</v>
      </c>
      <c r="AM159" s="32" t="e">
        <f>AF159</f>
        <v>#REF!</v>
      </c>
      <c r="AN159" s="32"/>
      <c r="AO159" s="32" t="e">
        <f>AL159</f>
        <v>#REF!</v>
      </c>
      <c r="AP159" s="32" t="e">
        <f>AM159+AO159</f>
        <v>#REF!</v>
      </c>
      <c r="AR159" s="52">
        <v>0</v>
      </c>
      <c r="AS159" s="50">
        <v>0</v>
      </c>
      <c r="AT159" s="52">
        <v>0</v>
      </c>
      <c r="AU159" s="50">
        <v>0</v>
      </c>
      <c r="AV159" s="52">
        <v>0</v>
      </c>
      <c r="AW159" s="54">
        <v>0</v>
      </c>
      <c r="AX159" s="52">
        <v>0</v>
      </c>
      <c r="AY159" s="50">
        <v>0</v>
      </c>
      <c r="AZ159" s="52">
        <v>0</v>
      </c>
      <c r="BA159" s="50">
        <v>0</v>
      </c>
      <c r="BB159" s="52">
        <v>0</v>
      </c>
      <c r="BC159" s="50">
        <v>0</v>
      </c>
      <c r="BD159" s="50"/>
      <c r="BE159" s="52">
        <v>0</v>
      </c>
      <c r="BF159" s="50">
        <v>0</v>
      </c>
      <c r="BG159" s="52">
        <v>0</v>
      </c>
      <c r="BH159" s="50">
        <v>0</v>
      </c>
      <c r="BI159" s="52">
        <v>0</v>
      </c>
      <c r="BJ159" s="52">
        <v>0</v>
      </c>
      <c r="BK159" s="50">
        <v>0</v>
      </c>
    </row>
    <row r="160" spans="2:63" ht="15.75" customHeight="1" x14ac:dyDescent="0.2">
      <c r="B160" s="36">
        <v>100</v>
      </c>
      <c r="C160" s="36"/>
      <c r="D160" s="37">
        <v>0.6</v>
      </c>
      <c r="E160" s="51">
        <v>5</v>
      </c>
      <c r="F160" s="35">
        <v>10</v>
      </c>
      <c r="G160" s="35"/>
      <c r="H160" s="35"/>
      <c r="R160" s="41" t="s">
        <v>69</v>
      </c>
      <c r="S160" s="41"/>
      <c r="T160" s="35"/>
      <c r="U160" s="59">
        <v>2</v>
      </c>
      <c r="V160" s="42"/>
      <c r="W160" s="59"/>
      <c r="X160" s="59"/>
      <c r="Y160" s="59"/>
      <c r="AB160" s="38" t="e">
        <f>AB159/U160</f>
        <v>#REF!</v>
      </c>
      <c r="AC160" s="38">
        <f>AC159</f>
        <v>240</v>
      </c>
      <c r="AD160" s="65" t="e">
        <f>AD159/U160</f>
        <v>#REF!</v>
      </c>
      <c r="AE160" s="65"/>
      <c r="AF160" s="39" t="e">
        <f>AF159*U160</f>
        <v>#REF!</v>
      </c>
      <c r="AG160" s="32"/>
      <c r="AH160" s="38" t="e">
        <f>AH159/U160</f>
        <v>#REF!</v>
      </c>
      <c r="AI160" s="38">
        <f>AI159</f>
        <v>160</v>
      </c>
      <c r="AJ160" s="65" t="e">
        <f>AJ159/U160</f>
        <v>#REF!</v>
      </c>
      <c r="AK160" s="65"/>
      <c r="AL160" s="39" t="e">
        <f>AL159*U160</f>
        <v>#REF!</v>
      </c>
      <c r="AM160" s="39" t="e">
        <f>AM159*U160</f>
        <v>#REF!</v>
      </c>
      <c r="AN160" s="39"/>
      <c r="AO160" s="39" t="e">
        <f>AO159*U160</f>
        <v>#REF!</v>
      </c>
      <c r="AP160" s="39" t="e">
        <f>AM160+AO160</f>
        <v>#REF!</v>
      </c>
      <c r="AR160" s="40">
        <f t="shared" ref="AR160:AW160" si="32">AR159</f>
        <v>0</v>
      </c>
      <c r="AS160" s="51">
        <f t="shared" si="32"/>
        <v>0</v>
      </c>
      <c r="AT160" s="40">
        <f t="shared" si="32"/>
        <v>0</v>
      </c>
      <c r="AU160" s="51">
        <f t="shared" si="32"/>
        <v>0</v>
      </c>
      <c r="AV160" s="40">
        <f t="shared" si="32"/>
        <v>0</v>
      </c>
      <c r="AW160" s="55">
        <f t="shared" si="32"/>
        <v>0</v>
      </c>
      <c r="AX160" s="40">
        <f t="shared" ref="AX160:BC160" si="33">AX159</f>
        <v>0</v>
      </c>
      <c r="AY160" s="51">
        <f t="shared" si="33"/>
        <v>0</v>
      </c>
      <c r="AZ160" s="40">
        <f t="shared" si="33"/>
        <v>0</v>
      </c>
      <c r="BA160" s="51">
        <f t="shared" si="33"/>
        <v>0</v>
      </c>
      <c r="BB160" s="40">
        <f t="shared" si="33"/>
        <v>0</v>
      </c>
      <c r="BC160" s="51">
        <f t="shared" si="33"/>
        <v>0</v>
      </c>
      <c r="BD160" s="50"/>
      <c r="BE160" s="40">
        <f t="shared" ref="BE160:BK160" si="34">BE159</f>
        <v>0</v>
      </c>
      <c r="BF160" s="51">
        <f t="shared" si="34"/>
        <v>0</v>
      </c>
      <c r="BG160" s="40">
        <f t="shared" si="34"/>
        <v>0</v>
      </c>
      <c r="BH160" s="51">
        <f t="shared" si="34"/>
        <v>0</v>
      </c>
      <c r="BI160" s="40">
        <f t="shared" si="34"/>
        <v>0</v>
      </c>
      <c r="BJ160" s="40">
        <f t="shared" si="34"/>
        <v>0</v>
      </c>
      <c r="BK160" s="51">
        <f t="shared" si="34"/>
        <v>0</v>
      </c>
    </row>
    <row r="161" spans="2:63" ht="15.75" customHeight="1" x14ac:dyDescent="0.2">
      <c r="B161" s="33">
        <v>100</v>
      </c>
      <c r="C161" s="33"/>
      <c r="D161" s="29">
        <v>0.6</v>
      </c>
      <c r="E161" s="50">
        <v>5</v>
      </c>
      <c r="F161">
        <v>10</v>
      </c>
      <c r="R161" s="12" t="s">
        <v>71</v>
      </c>
      <c r="S161" s="12"/>
      <c r="T161" s="13"/>
      <c r="U161" s="13"/>
      <c r="V161" s="13">
        <v>300</v>
      </c>
      <c r="W161" s="58" t="e">
        <f>V161/#REF!</f>
        <v>#REF!</v>
      </c>
      <c r="X161" s="58"/>
      <c r="Y161" s="58"/>
      <c r="AB161" s="31" t="e">
        <f>#REF!</f>
        <v>#REF!</v>
      </c>
      <c r="AC161" s="31">
        <f>V161*D161</f>
        <v>180</v>
      </c>
      <c r="AD161" s="63" t="e">
        <f>(#REF!+(#REF!*(F161/100)))/(1-#REF!/100)</f>
        <v>#REF!</v>
      </c>
      <c r="AE161" s="63"/>
      <c r="AF161" s="32" t="e">
        <f>AC161/AB161</f>
        <v>#REF!</v>
      </c>
      <c r="AG161" s="32"/>
      <c r="AH161" s="31" t="e">
        <f>#REF!</f>
        <v>#REF!</v>
      </c>
      <c r="AI161" s="31">
        <f>V161*(1-D161)</f>
        <v>120</v>
      </c>
      <c r="AJ161" s="63" t="e">
        <f>(#REF!+(#REF!*(F161/100)))/(1-#REF!/100)</f>
        <v>#REF!</v>
      </c>
      <c r="AK161" s="63"/>
      <c r="AL161" s="32" t="e">
        <f>AI161/AH161</f>
        <v>#REF!</v>
      </c>
      <c r="AM161" s="32" t="e">
        <f>AF161+AF162</f>
        <v>#REF!</v>
      </c>
      <c r="AN161" s="32"/>
      <c r="AO161" s="32" t="e">
        <f>AL161+AL162</f>
        <v>#REF!</v>
      </c>
      <c r="AP161" s="32" t="e">
        <f>AM161+AO161</f>
        <v>#REF!</v>
      </c>
      <c r="AR161" s="52">
        <f>AR159</f>
        <v>0</v>
      </c>
      <c r="AS161" s="50">
        <f t="shared" ref="AS161:AU161" si="35">AS159</f>
        <v>0</v>
      </c>
      <c r="AT161" s="52">
        <f t="shared" si="35"/>
        <v>0</v>
      </c>
      <c r="AU161" s="50">
        <f t="shared" si="35"/>
        <v>0</v>
      </c>
      <c r="AV161" s="52">
        <f>AV159</f>
        <v>0</v>
      </c>
      <c r="AW161" s="62">
        <f>AV161/V159</f>
        <v>0</v>
      </c>
      <c r="AX161" s="63" t="e">
        <f>(B161*AM161)-(AC161+AC162)</f>
        <v>#REF!</v>
      </c>
      <c r="AY161" s="62" t="e">
        <f>AX161/(AC161+AC162)</f>
        <v>#REF!</v>
      </c>
      <c r="AZ161" s="63" t="e">
        <f>(AO161*B161)-(AI161+AI162)</f>
        <v>#REF!</v>
      </c>
      <c r="BA161" s="62" t="e">
        <f>AZ161/(AI161+AI162)</f>
        <v>#REF!</v>
      </c>
      <c r="BB161" s="63" t="e">
        <f>AX161+AZ161</f>
        <v>#REF!</v>
      </c>
      <c r="BC161" s="62" t="e">
        <f>BB161/(AC161+AC162+AI161+AI162)</f>
        <v>#REF!</v>
      </c>
      <c r="BD161" s="50"/>
      <c r="BE161" s="63" t="e">
        <f>AR161+AX161</f>
        <v>#REF!</v>
      </c>
      <c r="BF161" s="62" t="e">
        <f>AY161</f>
        <v>#REF!</v>
      </c>
      <c r="BG161" s="63" t="e">
        <f>AT161+AZ161</f>
        <v>#REF!</v>
      </c>
      <c r="BH161" s="62" t="e">
        <f>BG161/(AI161+AI162)</f>
        <v>#REF!</v>
      </c>
      <c r="BI161" s="63">
        <f>BI159</f>
        <v>0</v>
      </c>
      <c r="BJ161" s="63" t="e">
        <f>BE161+BG161+BI161</f>
        <v>#REF!</v>
      </c>
      <c r="BK161" s="62" t="e">
        <f>BJ161/(AC161+AC162+AI161+AI162)</f>
        <v>#REF!</v>
      </c>
    </row>
    <row r="162" spans="2:63" ht="15.75" customHeight="1" x14ac:dyDescent="0.2">
      <c r="B162" s="33"/>
      <c r="C162" s="33"/>
      <c r="D162" s="29"/>
      <c r="E162" s="50"/>
      <c r="R162" s="12"/>
      <c r="S162" s="12"/>
      <c r="T162" s="13"/>
      <c r="U162" s="13"/>
      <c r="V162" s="13"/>
      <c r="W162" s="58"/>
      <c r="X162" s="58"/>
      <c r="Y162" s="58"/>
      <c r="AB162" s="31" t="e">
        <f>AB160</f>
        <v>#REF!</v>
      </c>
      <c r="AC162" s="31">
        <f>AC160</f>
        <v>240</v>
      </c>
      <c r="AD162" s="63" t="e">
        <f>AD160</f>
        <v>#REF!</v>
      </c>
      <c r="AE162" s="63"/>
      <c r="AF162" s="32" t="e">
        <f>AF160</f>
        <v>#REF!</v>
      </c>
      <c r="AG162" s="32"/>
      <c r="AH162" s="31" t="e">
        <f>AH160</f>
        <v>#REF!</v>
      </c>
      <c r="AI162" s="31">
        <f>AI160</f>
        <v>160</v>
      </c>
      <c r="AJ162" s="63" t="e">
        <f>AJ160</f>
        <v>#REF!</v>
      </c>
      <c r="AK162" s="63"/>
      <c r="AL162" s="32" t="e">
        <f>AL160</f>
        <v>#REF!</v>
      </c>
      <c r="AM162" s="32"/>
      <c r="AN162" s="32"/>
      <c r="AO162" s="32"/>
      <c r="AP162" s="32"/>
      <c r="AR162" s="52"/>
      <c r="AS162" s="50"/>
      <c r="AT162" s="52"/>
      <c r="AU162" s="50"/>
      <c r="AV162" s="52"/>
      <c r="AW162" s="62"/>
      <c r="AX162" s="52"/>
      <c r="AY162" s="50"/>
      <c r="AZ162" s="52"/>
      <c r="BA162" s="50"/>
      <c r="BB162" s="52"/>
      <c r="BC162" s="50"/>
      <c r="BD162" s="50"/>
      <c r="BE162" s="52"/>
      <c r="BF162" s="50"/>
      <c r="BG162" s="52"/>
      <c r="BH162" s="50"/>
      <c r="BI162" s="63"/>
      <c r="BJ162" s="63"/>
      <c r="BK162" s="62"/>
    </row>
    <row r="163" spans="2:63" ht="15.75" customHeight="1" x14ac:dyDescent="0.2">
      <c r="B163" s="33"/>
      <c r="C163" s="33"/>
      <c r="D163" s="29"/>
      <c r="E163" s="50"/>
      <c r="R163" s="12"/>
      <c r="S163" s="12"/>
      <c r="T163" s="13"/>
      <c r="U163" s="13"/>
      <c r="V163" s="13"/>
      <c r="W163" s="58"/>
      <c r="X163" s="58"/>
      <c r="Y163" s="58"/>
      <c r="AB163" s="31"/>
      <c r="AC163" s="31"/>
      <c r="AD163" s="63"/>
      <c r="AE163" s="63"/>
      <c r="AF163" s="32"/>
      <c r="AG163" s="32"/>
      <c r="AH163" s="31"/>
      <c r="AI163" s="31"/>
      <c r="AJ163" s="63"/>
      <c r="AK163" s="63"/>
      <c r="AL163" s="32"/>
      <c r="AM163" s="32"/>
      <c r="AN163" s="32"/>
      <c r="AO163" s="32"/>
      <c r="AP163" s="32"/>
      <c r="AR163" s="52"/>
      <c r="AS163" s="50"/>
      <c r="AT163" s="52"/>
      <c r="AU163" s="50"/>
      <c r="AV163" s="52"/>
      <c r="AW163" s="62"/>
      <c r="AX163" s="52"/>
      <c r="AY163" s="50"/>
      <c r="AZ163" s="52"/>
      <c r="BA163" s="50"/>
      <c r="BB163" s="52"/>
      <c r="BC163" s="50"/>
      <c r="BD163" s="50"/>
      <c r="BE163" s="52"/>
      <c r="BF163" s="50"/>
      <c r="BG163" s="52"/>
      <c r="BH163" s="50"/>
      <c r="BI163" s="63"/>
      <c r="BJ163" s="63"/>
      <c r="BK163" s="62"/>
    </row>
    <row r="164" spans="2:63" ht="15.75" customHeight="1" x14ac:dyDescent="0.2">
      <c r="B164" s="179" t="s">
        <v>37</v>
      </c>
      <c r="C164" s="109"/>
      <c r="T164" s="12"/>
      <c r="U164" s="12"/>
      <c r="V164" s="12"/>
      <c r="W164" s="12"/>
      <c r="X164" s="12"/>
      <c r="Y164" s="12"/>
      <c r="Z164" s="12"/>
      <c r="AA164" s="12"/>
      <c r="AB164" s="56" t="s">
        <v>27</v>
      </c>
      <c r="AC164" s="12"/>
      <c r="AD164" s="12"/>
      <c r="AE164" s="12"/>
      <c r="AF164" s="12"/>
      <c r="AG164" s="12"/>
      <c r="AH164" s="56" t="s">
        <v>28</v>
      </c>
      <c r="AI164" s="12"/>
      <c r="AJ164" s="12"/>
      <c r="AK164" s="12"/>
      <c r="AL164" s="12"/>
      <c r="AS164" s="33"/>
      <c r="AX164" s="63"/>
    </row>
    <row r="165" spans="2:63" ht="15.75" customHeight="1" x14ac:dyDescent="0.2">
      <c r="B165" s="28" t="s">
        <v>61</v>
      </c>
      <c r="C165" s="28"/>
      <c r="D165" s="28" t="s">
        <v>29</v>
      </c>
      <c r="E165" s="57" t="s">
        <v>63</v>
      </c>
      <c r="F165" s="57" t="s">
        <v>72</v>
      </c>
      <c r="G165" s="57"/>
      <c r="H165" s="57"/>
      <c r="I165" s="101"/>
      <c r="J165" s="101"/>
      <c r="K165" s="101"/>
      <c r="L165" s="101"/>
      <c r="M165" s="101"/>
      <c r="N165" s="101"/>
      <c r="O165" s="101"/>
      <c r="P165" s="101"/>
      <c r="R165" s="28" t="s">
        <v>3</v>
      </c>
      <c r="S165" s="28"/>
      <c r="T165" s="57" t="s">
        <v>50</v>
      </c>
      <c r="U165" s="57" t="s">
        <v>70</v>
      </c>
      <c r="V165" s="28" t="s">
        <v>1</v>
      </c>
      <c r="W165" s="57" t="s">
        <v>62</v>
      </c>
      <c r="X165" s="57" t="s">
        <v>9</v>
      </c>
      <c r="Y165" s="57"/>
      <c r="Z165" s="60"/>
      <c r="AA165" s="12"/>
      <c r="AB165" s="28" t="s">
        <v>30</v>
      </c>
      <c r="AC165" s="28" t="s">
        <v>1</v>
      </c>
      <c r="AD165" s="57" t="s">
        <v>10</v>
      </c>
      <c r="AE165" s="57"/>
      <c r="AF165" s="57" t="s">
        <v>64</v>
      </c>
      <c r="AG165" s="60"/>
      <c r="AH165" s="28" t="s">
        <v>30</v>
      </c>
      <c r="AI165" s="28" t="s">
        <v>1</v>
      </c>
      <c r="AJ165" s="57" t="s">
        <v>10</v>
      </c>
      <c r="AK165" s="57"/>
      <c r="AL165" s="57" t="s">
        <v>64</v>
      </c>
      <c r="AS165" s="33"/>
    </row>
    <row r="166" spans="2:63" ht="15.75" customHeight="1" x14ac:dyDescent="0.2">
      <c r="B166" s="33">
        <v>100</v>
      </c>
      <c r="C166" s="33"/>
      <c r="D166" s="29">
        <v>0.6</v>
      </c>
      <c r="E166" s="50">
        <v>5</v>
      </c>
      <c r="F166">
        <v>10</v>
      </c>
      <c r="R166" t="s">
        <v>38</v>
      </c>
      <c r="T166" s="33"/>
      <c r="U166" s="33"/>
      <c r="V166" s="33">
        <v>200</v>
      </c>
      <c r="W166" s="33"/>
      <c r="X166" s="33"/>
      <c r="Y166" s="33"/>
      <c r="Z166" s="67"/>
      <c r="AB166" s="33" t="e">
        <f>#REF!</f>
        <v>#REF!</v>
      </c>
      <c r="AC166" s="33">
        <f>V166*D166</f>
        <v>120</v>
      </c>
      <c r="AD166" s="33"/>
      <c r="AE166" s="33"/>
      <c r="AF166" s="44" t="e">
        <f>AC166/AB166</f>
        <v>#REF!</v>
      </c>
      <c r="AG166" s="44"/>
      <c r="AH166" s="33" t="e">
        <f>#REF!</f>
        <v>#REF!</v>
      </c>
      <c r="AI166" s="31">
        <f>V166*(1-D166)</f>
        <v>80</v>
      </c>
      <c r="AJ166" s="33"/>
      <c r="AK166" s="33"/>
      <c r="AL166" s="32" t="e">
        <f>AI166/AH166</f>
        <v>#REF!</v>
      </c>
    </row>
    <row r="167" spans="2:63" ht="15.75" customHeight="1" x14ac:dyDescent="0.2">
      <c r="B167" s="36">
        <v>100</v>
      </c>
      <c r="C167" s="36"/>
      <c r="D167" s="37">
        <v>0.6</v>
      </c>
      <c r="E167" s="51">
        <v>5</v>
      </c>
      <c r="F167" s="35">
        <v>10</v>
      </c>
      <c r="G167" s="35"/>
      <c r="H167" s="35"/>
      <c r="R167" s="35" t="s">
        <v>39</v>
      </c>
      <c r="S167" s="35"/>
      <c r="T167" s="35"/>
      <c r="U167" s="35"/>
      <c r="V167" s="35"/>
      <c r="W167" s="35"/>
      <c r="X167" s="35"/>
      <c r="Y167" s="35"/>
      <c r="AB167" s="38" t="s">
        <v>34</v>
      </c>
      <c r="AC167" s="38" t="s">
        <v>34</v>
      </c>
      <c r="AD167" s="38"/>
      <c r="AE167" s="38"/>
      <c r="AF167" s="38" t="s">
        <v>34</v>
      </c>
      <c r="AG167" s="31"/>
      <c r="AH167" s="38" t="s">
        <v>34</v>
      </c>
      <c r="AI167" s="38" t="s">
        <v>34</v>
      </c>
      <c r="AJ167" s="38"/>
      <c r="AK167" s="38"/>
      <c r="AL167" s="38" t="s">
        <v>34</v>
      </c>
    </row>
    <row r="168" spans="2:63" ht="15.75" customHeight="1" x14ac:dyDescent="0.2">
      <c r="B168" s="33">
        <v>100</v>
      </c>
      <c r="C168" s="33"/>
      <c r="D168" s="29">
        <v>0.6</v>
      </c>
      <c r="E168" s="50">
        <v>5</v>
      </c>
      <c r="F168">
        <v>10</v>
      </c>
      <c r="R168" t="s">
        <v>40</v>
      </c>
      <c r="T168" s="33"/>
      <c r="U168" s="33"/>
      <c r="V168" s="33">
        <v>500</v>
      </c>
      <c r="W168" s="33"/>
      <c r="X168" s="33"/>
      <c r="Y168" s="33"/>
      <c r="Z168" s="67"/>
      <c r="AB168" s="33" t="e">
        <f>#REF!</f>
        <v>#REF!</v>
      </c>
      <c r="AC168" s="33">
        <f>V168</f>
        <v>500</v>
      </c>
      <c r="AD168" s="33"/>
      <c r="AE168" s="33"/>
      <c r="AF168" s="44" t="e">
        <f>AC168/AB168</f>
        <v>#REF!</v>
      </c>
      <c r="AG168" s="44"/>
      <c r="AH168" s="31" t="s">
        <v>34</v>
      </c>
      <c r="AI168" s="31" t="s">
        <v>34</v>
      </c>
      <c r="AJ168" s="33"/>
      <c r="AK168" s="33"/>
      <c r="AL168" s="31" t="s">
        <v>34</v>
      </c>
    </row>
    <row r="169" spans="2:63" ht="15.75" customHeight="1" x14ac:dyDescent="0.2">
      <c r="B169" s="36">
        <v>100</v>
      </c>
      <c r="C169" s="36"/>
      <c r="D169" s="37">
        <v>0.6</v>
      </c>
      <c r="E169" s="51">
        <v>5</v>
      </c>
      <c r="F169" s="35">
        <v>10</v>
      </c>
      <c r="G169" s="35"/>
      <c r="H169" s="35"/>
      <c r="R169" s="35" t="s">
        <v>41</v>
      </c>
      <c r="S169" s="35"/>
      <c r="T169" s="35"/>
      <c r="U169" s="35"/>
      <c r="V169" s="35"/>
      <c r="W169" s="35"/>
      <c r="X169" s="35"/>
      <c r="Y169" s="35"/>
      <c r="AB169" s="38" t="s">
        <v>34</v>
      </c>
      <c r="AC169" s="38" t="s">
        <v>34</v>
      </c>
      <c r="AD169" s="38"/>
      <c r="AE169" s="38"/>
      <c r="AF169" s="38" t="s">
        <v>34</v>
      </c>
      <c r="AG169" s="31"/>
      <c r="AH169" s="38" t="s">
        <v>34</v>
      </c>
      <c r="AI169" s="38" t="s">
        <v>34</v>
      </c>
      <c r="AJ169" s="38"/>
      <c r="AK169" s="38"/>
      <c r="AL169" s="38" t="s">
        <v>34</v>
      </c>
    </row>
    <row r="170" spans="2:63" ht="15.75" customHeight="1" x14ac:dyDescent="0.2">
      <c r="B170" s="33">
        <v>100</v>
      </c>
      <c r="C170" s="33"/>
      <c r="D170" s="29">
        <v>0.6</v>
      </c>
      <c r="E170" s="50">
        <v>5</v>
      </c>
      <c r="F170">
        <v>10</v>
      </c>
      <c r="R170" t="s">
        <v>42</v>
      </c>
      <c r="T170" s="33"/>
      <c r="U170" s="33"/>
      <c r="V170" s="33">
        <v>350</v>
      </c>
      <c r="W170" s="33"/>
      <c r="X170" s="33"/>
      <c r="Y170" s="33"/>
      <c r="Z170" s="67"/>
      <c r="AB170" s="31" t="s">
        <v>34</v>
      </c>
      <c r="AC170" s="31" t="s">
        <v>34</v>
      </c>
      <c r="AD170" s="31"/>
      <c r="AE170" s="31"/>
      <c r="AF170" s="31" t="s">
        <v>34</v>
      </c>
      <c r="AG170" s="31"/>
      <c r="AH170" s="33" t="e">
        <f>#REF!</f>
        <v>#REF!</v>
      </c>
      <c r="AI170" s="31">
        <f>V170*(1-D170)</f>
        <v>140</v>
      </c>
      <c r="AJ170" s="31"/>
      <c r="AK170" s="31"/>
      <c r="AL170" s="32" t="e">
        <f>AI170/AH170</f>
        <v>#REF!</v>
      </c>
    </row>
    <row r="171" spans="2:63" ht="15.75" customHeight="1" x14ac:dyDescent="0.2">
      <c r="B171" s="36">
        <v>100</v>
      </c>
      <c r="C171" s="36"/>
      <c r="D171" s="37">
        <v>0.6</v>
      </c>
      <c r="E171" s="51">
        <v>5</v>
      </c>
      <c r="F171" s="35">
        <v>10</v>
      </c>
      <c r="G171" s="35"/>
      <c r="H171" s="35"/>
      <c r="R171" s="35" t="s">
        <v>43</v>
      </c>
      <c r="S171" s="35"/>
      <c r="T171" s="35"/>
      <c r="U171" s="35"/>
      <c r="V171" s="35"/>
      <c r="W171" s="35"/>
      <c r="X171" s="35"/>
      <c r="Y171" s="35"/>
      <c r="AB171" s="38" t="s">
        <v>34</v>
      </c>
      <c r="AC171" s="38" t="s">
        <v>34</v>
      </c>
      <c r="AD171" s="38"/>
      <c r="AE171" s="38"/>
      <c r="AF171" s="38" t="s">
        <v>34</v>
      </c>
      <c r="AG171" s="31"/>
      <c r="AH171" s="38" t="s">
        <v>34</v>
      </c>
      <c r="AI171" s="38" t="s">
        <v>34</v>
      </c>
      <c r="AJ171" s="38"/>
      <c r="AK171" s="38"/>
      <c r="AL171" s="38" t="s">
        <v>34</v>
      </c>
    </row>
    <row r="173" spans="2:63" ht="15.75" customHeight="1" x14ac:dyDescent="0.2">
      <c r="B173" s="178" t="s">
        <v>44</v>
      </c>
      <c r="C173" s="34"/>
      <c r="AB173" s="56" t="s">
        <v>27</v>
      </c>
      <c r="AC173" s="12"/>
      <c r="AD173" s="12"/>
      <c r="AE173" s="12"/>
      <c r="AF173" s="12"/>
      <c r="AG173" s="12"/>
      <c r="AH173" s="56" t="s">
        <v>28</v>
      </c>
      <c r="AJ173" s="12"/>
      <c r="AK173" s="12"/>
    </row>
    <row r="174" spans="2:63" ht="15.75" customHeight="1" x14ac:dyDescent="0.2">
      <c r="B174" s="28" t="s">
        <v>61</v>
      </c>
      <c r="C174" s="28"/>
      <c r="D174" s="28" t="s">
        <v>29</v>
      </c>
      <c r="E174" s="57" t="s">
        <v>63</v>
      </c>
      <c r="F174" s="57" t="s">
        <v>72</v>
      </c>
      <c r="G174" s="57"/>
      <c r="H174" s="57"/>
      <c r="I174" s="101"/>
      <c r="J174" s="101"/>
      <c r="K174" s="101"/>
      <c r="L174" s="101"/>
      <c r="M174" s="101"/>
      <c r="N174" s="101"/>
      <c r="O174" s="101"/>
      <c r="P174" s="101"/>
      <c r="R174" s="28" t="s">
        <v>3</v>
      </c>
      <c r="S174" s="28"/>
      <c r="T174" s="57" t="s">
        <v>50</v>
      </c>
      <c r="U174" s="57" t="s">
        <v>70</v>
      </c>
      <c r="V174" s="28" t="s">
        <v>1</v>
      </c>
      <c r="W174" s="57" t="s">
        <v>62</v>
      </c>
      <c r="X174" s="57" t="s">
        <v>9</v>
      </c>
      <c r="Y174" s="57"/>
      <c r="Z174" s="60"/>
      <c r="AA174" s="12"/>
      <c r="AB174" s="28" t="s">
        <v>30</v>
      </c>
      <c r="AC174" s="28" t="s">
        <v>1</v>
      </c>
      <c r="AD174" s="57" t="s">
        <v>10</v>
      </c>
      <c r="AE174" s="57"/>
      <c r="AF174" s="57" t="s">
        <v>64</v>
      </c>
      <c r="AG174" s="60"/>
      <c r="AH174" s="28" t="s">
        <v>30</v>
      </c>
      <c r="AI174" s="28" t="s">
        <v>1</v>
      </c>
      <c r="AJ174" s="57" t="s">
        <v>10</v>
      </c>
      <c r="AK174" s="57"/>
      <c r="AL174" s="57" t="s">
        <v>64</v>
      </c>
    </row>
    <row r="175" spans="2:63" ht="15.75" customHeight="1" x14ac:dyDescent="0.2">
      <c r="B175" s="33">
        <v>100</v>
      </c>
      <c r="C175" s="33"/>
      <c r="D175" s="29">
        <v>0.3</v>
      </c>
      <c r="E175" s="50">
        <v>5</v>
      </c>
      <c r="F175">
        <v>10</v>
      </c>
      <c r="R175" s="45" t="s">
        <v>47</v>
      </c>
      <c r="S175" s="45"/>
      <c r="T175" s="33"/>
      <c r="U175" s="33"/>
      <c r="V175" s="33">
        <v>200</v>
      </c>
      <c r="W175" s="33"/>
      <c r="X175" s="33"/>
      <c r="Y175" s="33"/>
      <c r="Z175" s="67"/>
      <c r="AB175" s="33" t="e">
        <f>#REF!</f>
        <v>#REF!</v>
      </c>
      <c r="AC175" s="33">
        <f>V175*D175</f>
        <v>60</v>
      </c>
      <c r="AD175" s="33"/>
      <c r="AE175" s="33"/>
      <c r="AF175" s="44" t="e">
        <f>AC175/AB175</f>
        <v>#REF!</v>
      </c>
      <c r="AG175" s="44"/>
      <c r="AH175" s="33" t="e">
        <f>#REF!</f>
        <v>#REF!</v>
      </c>
      <c r="AI175" s="31">
        <f>V175*(1-D175)</f>
        <v>140</v>
      </c>
      <c r="AJ175" s="33"/>
      <c r="AK175" s="33"/>
      <c r="AL175" s="32" t="e">
        <f>AI175/AH175</f>
        <v>#REF!</v>
      </c>
    </row>
    <row r="176" spans="2:63" ht="15.75" customHeight="1" x14ac:dyDescent="0.2">
      <c r="B176" s="36">
        <v>100</v>
      </c>
      <c r="C176" s="36"/>
      <c r="D176" s="37">
        <v>0.3</v>
      </c>
      <c r="E176" s="51">
        <v>5</v>
      </c>
      <c r="F176" s="35">
        <v>10</v>
      </c>
      <c r="G176" s="35"/>
      <c r="H176" s="35"/>
      <c r="R176" s="47" t="s">
        <v>45</v>
      </c>
      <c r="S176" s="47"/>
      <c r="T176" s="36"/>
      <c r="U176" s="36"/>
      <c r="V176" s="36">
        <v>300</v>
      </c>
      <c r="W176" s="36"/>
      <c r="X176" s="36"/>
      <c r="Y176" s="36"/>
      <c r="Z176" s="67"/>
      <c r="AB176" s="36" t="e">
        <f>#REF!</f>
        <v>#REF!</v>
      </c>
      <c r="AC176" s="36">
        <f>V176+AC175</f>
        <v>360</v>
      </c>
      <c r="AD176" s="36"/>
      <c r="AE176" s="36"/>
      <c r="AF176" s="48" t="e">
        <f>AC176/AB176</f>
        <v>#REF!</v>
      </c>
      <c r="AG176" s="44"/>
      <c r="AH176" s="36">
        <v>100</v>
      </c>
      <c r="AI176" s="38">
        <f>AI175</f>
        <v>140</v>
      </c>
      <c r="AJ176" s="36"/>
      <c r="AK176" s="36"/>
      <c r="AL176" s="39">
        <v>1.4</v>
      </c>
    </row>
    <row r="177" spans="2:43" ht="15.75" customHeight="1" x14ac:dyDescent="0.2">
      <c r="B177" s="33">
        <v>100</v>
      </c>
      <c r="C177" s="33"/>
      <c r="D177" s="29">
        <v>0.3</v>
      </c>
      <c r="E177" s="50">
        <v>5</v>
      </c>
      <c r="F177">
        <v>10</v>
      </c>
      <c r="R177" s="45" t="s">
        <v>46</v>
      </c>
      <c r="S177" s="45"/>
      <c r="T177" s="33"/>
      <c r="U177" s="33"/>
      <c r="V177" s="33">
        <v>400</v>
      </c>
      <c r="W177" s="33"/>
      <c r="X177" s="33"/>
      <c r="Y177" s="33"/>
      <c r="AB177" s="33">
        <v>100</v>
      </c>
      <c r="AC177" s="33">
        <f>AC176</f>
        <v>360</v>
      </c>
      <c r="AD177" s="33"/>
      <c r="AE177" s="33"/>
      <c r="AF177" s="44">
        <v>3.6</v>
      </c>
      <c r="AG177" s="44"/>
      <c r="AH177" s="33" t="e">
        <f>#REF!</f>
        <v>#REF!</v>
      </c>
      <c r="AI177" s="33">
        <f>V177+AI176</f>
        <v>540</v>
      </c>
      <c r="AJ177" s="33"/>
      <c r="AK177" s="33"/>
      <c r="AL177" s="32" t="e">
        <f>AI177/AH177</f>
        <v>#REF!</v>
      </c>
    </row>
    <row r="178" spans="2:43" ht="15.75" customHeight="1" x14ac:dyDescent="0.2">
      <c r="B178" s="36">
        <v>100</v>
      </c>
      <c r="C178" s="36"/>
      <c r="D178" s="37">
        <v>0.3</v>
      </c>
      <c r="E178" s="51">
        <v>5</v>
      </c>
      <c r="F178" s="35">
        <v>10</v>
      </c>
      <c r="G178" s="35"/>
      <c r="H178" s="35"/>
      <c r="R178" s="47" t="s">
        <v>48</v>
      </c>
      <c r="S178" s="47"/>
      <c r="T178" s="36"/>
      <c r="U178" s="36"/>
      <c r="V178" s="36">
        <v>500</v>
      </c>
      <c r="W178" s="36"/>
      <c r="X178" s="36"/>
      <c r="Y178" s="36"/>
      <c r="Z178" s="67"/>
      <c r="AB178" s="36" t="e">
        <f>#REF!</f>
        <v>#REF!</v>
      </c>
      <c r="AC178" s="36">
        <f>AC177+(V178*D178)</f>
        <v>510</v>
      </c>
      <c r="AD178" s="36"/>
      <c r="AE178" s="36"/>
      <c r="AF178" s="48" t="e">
        <f>AC178/AB178</f>
        <v>#REF!</v>
      </c>
      <c r="AG178" s="44"/>
      <c r="AH178" s="36" t="e">
        <f>#REF!</f>
        <v>#REF!</v>
      </c>
      <c r="AI178" s="36">
        <f>AI177+(V178*(1-D178))</f>
        <v>890</v>
      </c>
      <c r="AJ178" s="36"/>
      <c r="AK178" s="36"/>
      <c r="AL178" s="39" t="e">
        <f>AI178/AH178</f>
        <v>#REF!</v>
      </c>
    </row>
    <row r="180" spans="2:43" ht="15.75" customHeight="1" x14ac:dyDescent="0.2">
      <c r="B180" s="178" t="s">
        <v>98</v>
      </c>
      <c r="C180" s="34"/>
      <c r="AB180" s="56" t="s">
        <v>27</v>
      </c>
      <c r="AC180" s="12"/>
      <c r="AD180" s="12"/>
      <c r="AE180" s="12"/>
      <c r="AF180" s="12"/>
      <c r="AG180" s="12"/>
      <c r="AH180" s="56" t="s">
        <v>28</v>
      </c>
      <c r="AJ180" s="12"/>
      <c r="AK180" s="12"/>
      <c r="AN180" s="34" t="s">
        <v>179</v>
      </c>
    </row>
    <row r="181" spans="2:43" ht="15.75" customHeight="1" x14ac:dyDescent="0.2">
      <c r="B181" s="28" t="s">
        <v>61</v>
      </c>
      <c r="C181" s="28"/>
      <c r="D181" s="28" t="s">
        <v>29</v>
      </c>
      <c r="E181" s="57" t="s">
        <v>63</v>
      </c>
      <c r="F181" s="57" t="s">
        <v>72</v>
      </c>
      <c r="G181" s="57" t="s">
        <v>99</v>
      </c>
      <c r="H181" s="57"/>
      <c r="I181" s="101"/>
      <c r="J181" s="101"/>
      <c r="K181" s="101"/>
      <c r="L181" s="101"/>
      <c r="M181" s="101"/>
      <c r="N181" s="101"/>
      <c r="O181" s="101"/>
      <c r="P181" s="101"/>
      <c r="R181" s="28" t="s">
        <v>3</v>
      </c>
      <c r="S181" s="28"/>
      <c r="T181" s="57" t="s">
        <v>50</v>
      </c>
      <c r="U181" s="57" t="s">
        <v>70</v>
      </c>
      <c r="V181" s="28" t="s">
        <v>1</v>
      </c>
      <c r="W181" s="57" t="s">
        <v>62</v>
      </c>
      <c r="X181" s="57" t="s">
        <v>9</v>
      </c>
      <c r="Y181" s="57"/>
      <c r="Z181" s="60"/>
      <c r="AA181" s="12"/>
      <c r="AB181" s="28" t="s">
        <v>30</v>
      </c>
      <c r="AC181" s="28" t="s">
        <v>1</v>
      </c>
      <c r="AD181" s="57" t="s">
        <v>72</v>
      </c>
      <c r="AE181" s="57" t="s">
        <v>100</v>
      </c>
      <c r="AF181" s="57" t="s">
        <v>64</v>
      </c>
      <c r="AG181" s="60"/>
      <c r="AH181" s="28" t="s">
        <v>30</v>
      </c>
      <c r="AI181" s="28" t="s">
        <v>1</v>
      </c>
      <c r="AJ181" s="57" t="s">
        <v>99</v>
      </c>
      <c r="AK181" s="57" t="s">
        <v>101</v>
      </c>
      <c r="AL181" s="57" t="s">
        <v>64</v>
      </c>
      <c r="AN181" s="28" t="s">
        <v>100</v>
      </c>
      <c r="AO181" s="57" t="s">
        <v>101</v>
      </c>
      <c r="AP181" s="101"/>
      <c r="AQ181" s="101"/>
    </row>
    <row r="182" spans="2:43" ht="15.75" customHeight="1" x14ac:dyDescent="0.2">
      <c r="B182" s="33">
        <v>100</v>
      </c>
      <c r="C182" s="33" t="s">
        <v>187</v>
      </c>
      <c r="D182" s="29">
        <v>0.5</v>
      </c>
      <c r="E182" s="50">
        <v>5</v>
      </c>
      <c r="F182">
        <v>10</v>
      </c>
      <c r="G182">
        <v>20</v>
      </c>
      <c r="R182" s="45" t="s">
        <v>102</v>
      </c>
      <c r="S182" s="45"/>
      <c r="T182" s="33"/>
      <c r="U182" s="33"/>
      <c r="V182" s="33">
        <v>200</v>
      </c>
      <c r="W182" s="50" t="e">
        <f>V182/#REF!</f>
        <v>#REF!</v>
      </c>
      <c r="X182" s="33"/>
      <c r="Y182" s="33"/>
      <c r="Z182" s="67"/>
      <c r="AB182" s="33" t="e">
        <f>#REF!</f>
        <v>#REF!</v>
      </c>
      <c r="AC182" s="33">
        <f>V182*D182</f>
        <v>100</v>
      </c>
      <c r="AD182" s="52" t="e">
        <f>AB182*(1+F182/100)/(1-#REF!/100)</f>
        <v>#REF!</v>
      </c>
      <c r="AE182" s="95" t="e">
        <f t="shared" ref="AE182:AE190" si="36">(B182-AD182)/AD182</f>
        <v>#REF!</v>
      </c>
      <c r="AF182" s="44" t="e">
        <f>AC182/AB182</f>
        <v>#REF!</v>
      </c>
      <c r="AG182" s="44"/>
      <c r="AH182" s="33" t="e">
        <f>#REF!</f>
        <v>#REF!</v>
      </c>
      <c r="AI182" s="31">
        <f>V182*(1-D182)</f>
        <v>100</v>
      </c>
      <c r="AJ182" s="52" t="e">
        <f>AH182*(1+G182/100)/(1-#REF!/100)</f>
        <v>#REF!</v>
      </c>
      <c r="AK182" s="54" t="e">
        <f t="shared" ref="AK182:AK190" si="37">(B182-AJ182)/AJ182</f>
        <v>#REF!</v>
      </c>
      <c r="AL182" s="32" t="e">
        <f>AI182/AH182</f>
        <v>#REF!</v>
      </c>
      <c r="AN182" s="54" t="e">
        <f t="shared" ref="AN182:AN190" si="38">(B182-AD182)/AD182</f>
        <v>#REF!</v>
      </c>
      <c r="AO182" s="54" t="e">
        <f t="shared" ref="AO182:AO190" si="39">(B182-AJ182)/AJ182</f>
        <v>#REF!</v>
      </c>
    </row>
    <row r="183" spans="2:43" ht="15.75" customHeight="1" x14ac:dyDescent="0.2">
      <c r="B183" s="36">
        <v>109</v>
      </c>
      <c r="C183" s="36" t="s">
        <v>187</v>
      </c>
      <c r="D183" s="37">
        <v>0.5</v>
      </c>
      <c r="E183" s="51">
        <v>5</v>
      </c>
      <c r="F183" s="35">
        <v>10</v>
      </c>
      <c r="G183" s="35">
        <v>20</v>
      </c>
      <c r="H183" s="35"/>
      <c r="R183" s="47"/>
      <c r="S183" s="47"/>
      <c r="T183" s="36"/>
      <c r="U183" s="36"/>
      <c r="V183" s="36"/>
      <c r="W183" s="51"/>
      <c r="X183" s="36"/>
      <c r="Y183" s="36"/>
      <c r="Z183" s="67"/>
      <c r="AB183" s="36" t="e">
        <f t="shared" ref="AB183:AD185" si="40">AB182</f>
        <v>#REF!</v>
      </c>
      <c r="AC183" s="36">
        <f t="shared" si="40"/>
        <v>100</v>
      </c>
      <c r="AD183" s="40" t="e">
        <f t="shared" si="40"/>
        <v>#REF!</v>
      </c>
      <c r="AE183" s="116" t="e">
        <f t="shared" si="36"/>
        <v>#REF!</v>
      </c>
      <c r="AF183" s="48" t="e">
        <f>AF182</f>
        <v>#REF!</v>
      </c>
      <c r="AG183" s="44"/>
      <c r="AH183" s="36">
        <v>100</v>
      </c>
      <c r="AI183" s="38">
        <f t="shared" ref="AI183:AJ185" si="41">AI182</f>
        <v>100</v>
      </c>
      <c r="AJ183" s="40" t="e">
        <f t="shared" si="41"/>
        <v>#REF!</v>
      </c>
      <c r="AK183" s="55" t="e">
        <f t="shared" si="37"/>
        <v>#REF!</v>
      </c>
      <c r="AL183" s="39" t="e">
        <f>AL182</f>
        <v>#REF!</v>
      </c>
      <c r="AN183" s="115" t="e">
        <f t="shared" si="38"/>
        <v>#REF!</v>
      </c>
      <c r="AO183" s="55" t="e">
        <f t="shared" si="39"/>
        <v>#REF!</v>
      </c>
    </row>
    <row r="184" spans="2:43" ht="15.75" customHeight="1" x14ac:dyDescent="0.2">
      <c r="B184" s="33">
        <v>115</v>
      </c>
      <c r="C184" s="33" t="s">
        <v>187</v>
      </c>
      <c r="D184" s="29">
        <v>0.5</v>
      </c>
      <c r="E184" s="50">
        <v>5</v>
      </c>
      <c r="F184">
        <v>10</v>
      </c>
      <c r="G184">
        <v>20</v>
      </c>
      <c r="R184" s="45"/>
      <c r="S184" s="45"/>
      <c r="T184" s="33"/>
      <c r="U184" s="33"/>
      <c r="V184" s="33"/>
      <c r="W184" s="50"/>
      <c r="X184" s="33"/>
      <c r="Y184" s="33"/>
      <c r="AB184" s="33" t="e">
        <f t="shared" si="40"/>
        <v>#REF!</v>
      </c>
      <c r="AC184" s="33">
        <f t="shared" si="40"/>
        <v>100</v>
      </c>
      <c r="AD184" s="118" t="e">
        <f t="shared" si="40"/>
        <v>#REF!</v>
      </c>
      <c r="AE184" s="113" t="e">
        <f t="shared" si="36"/>
        <v>#REF!</v>
      </c>
      <c r="AF184" s="44" t="e">
        <f>AF183</f>
        <v>#REF!</v>
      </c>
      <c r="AG184" s="44"/>
      <c r="AH184" s="33">
        <v>100</v>
      </c>
      <c r="AI184" s="31">
        <f t="shared" si="41"/>
        <v>100</v>
      </c>
      <c r="AJ184" s="52" t="e">
        <f t="shared" si="41"/>
        <v>#REF!</v>
      </c>
      <c r="AK184" s="62" t="e">
        <f t="shared" si="37"/>
        <v>#REF!</v>
      </c>
      <c r="AL184" s="32" t="e">
        <f>AL183</f>
        <v>#REF!</v>
      </c>
      <c r="AN184" s="117" t="e">
        <f t="shared" si="38"/>
        <v>#REF!</v>
      </c>
      <c r="AO184" s="54" t="e">
        <f t="shared" si="39"/>
        <v>#REF!</v>
      </c>
    </row>
    <row r="185" spans="2:43" ht="15.75" customHeight="1" x14ac:dyDescent="0.2">
      <c r="B185" s="36">
        <v>122</v>
      </c>
      <c r="C185" s="36" t="s">
        <v>187</v>
      </c>
      <c r="D185" s="37">
        <v>0.5</v>
      </c>
      <c r="E185" s="51">
        <v>5</v>
      </c>
      <c r="F185" s="35">
        <v>10</v>
      </c>
      <c r="G185" s="35">
        <v>20</v>
      </c>
      <c r="H185" s="35"/>
      <c r="R185" s="47"/>
      <c r="S185" s="47"/>
      <c r="T185" s="36"/>
      <c r="U185" s="36"/>
      <c r="V185" s="36"/>
      <c r="W185" s="51"/>
      <c r="X185" s="36"/>
      <c r="Y185" s="36"/>
      <c r="Z185" s="67"/>
      <c r="AB185" s="36" t="e">
        <f t="shared" si="40"/>
        <v>#REF!</v>
      </c>
      <c r="AC185" s="36">
        <f t="shared" si="40"/>
        <v>100</v>
      </c>
      <c r="AD185" s="119" t="e">
        <f t="shared" si="40"/>
        <v>#REF!</v>
      </c>
      <c r="AE185" s="114" t="e">
        <f t="shared" si="36"/>
        <v>#REF!</v>
      </c>
      <c r="AF185" s="48" t="e">
        <f>AF184</f>
        <v>#REF!</v>
      </c>
      <c r="AG185" s="44"/>
      <c r="AH185" s="36">
        <v>100</v>
      </c>
      <c r="AI185" s="38">
        <f t="shared" si="41"/>
        <v>100</v>
      </c>
      <c r="AJ185" s="119" t="e">
        <f t="shared" si="41"/>
        <v>#REF!</v>
      </c>
      <c r="AK185" s="114" t="e">
        <f t="shared" si="37"/>
        <v>#REF!</v>
      </c>
      <c r="AL185" s="39" t="e">
        <f>AL184</f>
        <v>#REF!</v>
      </c>
      <c r="AN185" s="114" t="e">
        <f t="shared" si="38"/>
        <v>#REF!</v>
      </c>
      <c r="AO185" s="114" t="e">
        <f t="shared" si="39"/>
        <v>#REF!</v>
      </c>
    </row>
    <row r="186" spans="2:43" ht="15.75" customHeight="1" x14ac:dyDescent="0.2">
      <c r="B186" s="33">
        <v>100</v>
      </c>
      <c r="C186" s="33" t="s">
        <v>188</v>
      </c>
      <c r="D186" s="29">
        <v>0.5</v>
      </c>
      <c r="E186" s="50">
        <v>5</v>
      </c>
      <c r="F186">
        <v>10</v>
      </c>
      <c r="G186">
        <v>20</v>
      </c>
      <c r="R186" s="45" t="s">
        <v>102</v>
      </c>
      <c r="S186" s="45"/>
      <c r="T186" s="33"/>
      <c r="U186" s="33"/>
      <c r="V186" s="33">
        <v>200</v>
      </c>
      <c r="W186" s="50" t="e">
        <f>V186/#REF!</f>
        <v>#REF!</v>
      </c>
      <c r="X186" s="33"/>
      <c r="Y186" s="33"/>
      <c r="Z186" s="67"/>
      <c r="AB186" s="33" t="e">
        <f>#REF!</f>
        <v>#REF!</v>
      </c>
      <c r="AC186" s="33">
        <f>V186*D186</f>
        <v>100</v>
      </c>
      <c r="AD186" s="52" t="e">
        <f>AB186*(1+F186/100)/(1-#REF!/100)</f>
        <v>#REF!</v>
      </c>
      <c r="AE186" s="95" t="e">
        <f t="shared" si="36"/>
        <v>#REF!</v>
      </c>
      <c r="AF186" s="44" t="e">
        <f>AC186/AB186</f>
        <v>#REF!</v>
      </c>
      <c r="AG186" s="44"/>
      <c r="AH186" s="33" t="e">
        <f>#REF!</f>
        <v>#REF!</v>
      </c>
      <c r="AI186" s="31">
        <f>V186*(1-D186)</f>
        <v>100</v>
      </c>
      <c r="AJ186" s="52" t="e">
        <f>AH186*(1+G186/100)/(1-#REF!/100)</f>
        <v>#REF!</v>
      </c>
      <c r="AK186" s="54" t="e">
        <f t="shared" si="37"/>
        <v>#REF!</v>
      </c>
      <c r="AL186" s="32" t="e">
        <f>AI186/AH186</f>
        <v>#REF!</v>
      </c>
      <c r="AN186" s="54" t="e">
        <f t="shared" si="38"/>
        <v>#REF!</v>
      </c>
      <c r="AO186" s="54" t="e">
        <f t="shared" si="39"/>
        <v>#REF!</v>
      </c>
    </row>
    <row r="187" spans="2:43" ht="15.75" customHeight="1" x14ac:dyDescent="0.2">
      <c r="B187" s="36">
        <v>109</v>
      </c>
      <c r="C187" s="36" t="s">
        <v>188</v>
      </c>
      <c r="D187" s="37">
        <v>0.5</v>
      </c>
      <c r="E187" s="51">
        <v>5</v>
      </c>
      <c r="F187" s="35">
        <v>10</v>
      </c>
      <c r="G187" s="35">
        <v>20</v>
      </c>
      <c r="H187" s="35"/>
      <c r="R187" s="47"/>
      <c r="S187" s="47"/>
      <c r="T187" s="36"/>
      <c r="U187" s="36"/>
      <c r="V187" s="36"/>
      <c r="W187" s="51"/>
      <c r="X187" s="36"/>
      <c r="Y187" s="36"/>
      <c r="Z187" s="67"/>
      <c r="AB187" s="36" t="e">
        <f t="shared" ref="AB187:AD187" si="42">AB186</f>
        <v>#REF!</v>
      </c>
      <c r="AC187" s="36">
        <f t="shared" si="42"/>
        <v>100</v>
      </c>
      <c r="AD187" s="40" t="e">
        <f t="shared" si="42"/>
        <v>#REF!</v>
      </c>
      <c r="AE187" s="55" t="e">
        <f t="shared" si="36"/>
        <v>#REF!</v>
      </c>
      <c r="AF187" s="48" t="e">
        <f>AF186</f>
        <v>#REF!</v>
      </c>
      <c r="AG187" s="44"/>
      <c r="AH187" s="36">
        <v>100</v>
      </c>
      <c r="AI187" s="38">
        <f t="shared" ref="AI187:AJ187" si="43">AI186</f>
        <v>100</v>
      </c>
      <c r="AJ187" s="40" t="e">
        <f t="shared" si="43"/>
        <v>#REF!</v>
      </c>
      <c r="AK187" s="55" t="e">
        <f t="shared" si="37"/>
        <v>#REF!</v>
      </c>
      <c r="AL187" s="39" t="e">
        <f>AL186</f>
        <v>#REF!</v>
      </c>
      <c r="AN187" s="55" t="e">
        <f t="shared" si="38"/>
        <v>#REF!</v>
      </c>
      <c r="AO187" s="55" t="e">
        <f t="shared" si="39"/>
        <v>#REF!</v>
      </c>
    </row>
    <row r="188" spans="2:43" ht="15.75" customHeight="1" x14ac:dyDescent="0.2">
      <c r="B188" s="33">
        <v>115</v>
      </c>
      <c r="C188" s="33" t="s">
        <v>188</v>
      </c>
      <c r="D188" s="29">
        <v>0.5</v>
      </c>
      <c r="E188" s="50">
        <v>5</v>
      </c>
      <c r="F188">
        <v>10</v>
      </c>
      <c r="G188">
        <v>20</v>
      </c>
      <c r="R188" s="45"/>
      <c r="S188" s="45"/>
      <c r="T188" s="33"/>
      <c r="U188" s="33"/>
      <c r="V188" s="33"/>
      <c r="W188" s="50"/>
      <c r="X188" s="33"/>
      <c r="Y188" s="33"/>
      <c r="Z188" s="67"/>
      <c r="AB188" s="33" t="e">
        <f t="shared" ref="AB188:AD188" si="44">AB187</f>
        <v>#REF!</v>
      </c>
      <c r="AC188" s="33">
        <f t="shared" si="44"/>
        <v>100</v>
      </c>
      <c r="AD188" s="118" t="e">
        <f t="shared" si="44"/>
        <v>#REF!</v>
      </c>
      <c r="AE188" s="113" t="e">
        <f t="shared" si="36"/>
        <v>#REF!</v>
      </c>
      <c r="AF188" s="44" t="e">
        <f>AF187</f>
        <v>#REF!</v>
      </c>
      <c r="AG188" s="44"/>
      <c r="AH188" s="33">
        <v>100</v>
      </c>
      <c r="AI188" s="31">
        <f t="shared" ref="AI188:AJ188" si="45">AI187</f>
        <v>100</v>
      </c>
      <c r="AJ188" s="52" t="e">
        <f t="shared" si="45"/>
        <v>#REF!</v>
      </c>
      <c r="AK188" s="62" t="e">
        <f t="shared" si="37"/>
        <v>#REF!</v>
      </c>
      <c r="AL188" s="32" t="e">
        <f>AL187</f>
        <v>#REF!</v>
      </c>
      <c r="AN188" s="117" t="e">
        <f t="shared" si="38"/>
        <v>#REF!</v>
      </c>
      <c r="AO188" s="54" t="e">
        <f t="shared" si="39"/>
        <v>#REF!</v>
      </c>
    </row>
    <row r="189" spans="2:43" ht="15.75" customHeight="1" x14ac:dyDescent="0.2">
      <c r="B189" s="36">
        <v>122</v>
      </c>
      <c r="C189" s="121" t="s">
        <v>188</v>
      </c>
      <c r="D189" s="37">
        <v>0.5</v>
      </c>
      <c r="E189" s="51">
        <v>5</v>
      </c>
      <c r="F189" s="35">
        <v>10</v>
      </c>
      <c r="G189" s="35">
        <v>20</v>
      </c>
      <c r="H189" s="35"/>
      <c r="R189" s="47"/>
      <c r="S189" s="47"/>
      <c r="T189" s="36"/>
      <c r="U189" s="36"/>
      <c r="V189" s="36"/>
      <c r="W189" s="51"/>
      <c r="X189" s="36"/>
      <c r="Y189" s="36"/>
      <c r="Z189" s="67"/>
      <c r="AB189" s="36" t="e">
        <f t="shared" ref="AB189:AD189" si="46">AB188</f>
        <v>#REF!</v>
      </c>
      <c r="AC189" s="36">
        <f t="shared" si="46"/>
        <v>100</v>
      </c>
      <c r="AD189" s="119" t="e">
        <f t="shared" si="46"/>
        <v>#REF!</v>
      </c>
      <c r="AE189" s="114" t="e">
        <f t="shared" si="36"/>
        <v>#REF!</v>
      </c>
      <c r="AF189" s="48" t="e">
        <f>AF188</f>
        <v>#REF!</v>
      </c>
      <c r="AG189" s="44"/>
      <c r="AH189" s="36">
        <v>100</v>
      </c>
      <c r="AI189" s="38">
        <f t="shared" ref="AI189:AJ189" si="47">AI188</f>
        <v>100</v>
      </c>
      <c r="AJ189" s="119" t="e">
        <f t="shared" si="47"/>
        <v>#REF!</v>
      </c>
      <c r="AK189" s="114" t="e">
        <f t="shared" si="37"/>
        <v>#REF!</v>
      </c>
      <c r="AL189" s="39" t="e">
        <f>AL188</f>
        <v>#REF!</v>
      </c>
      <c r="AN189" s="114" t="e">
        <f t="shared" si="38"/>
        <v>#REF!</v>
      </c>
      <c r="AO189" s="114" t="e">
        <f t="shared" si="39"/>
        <v>#REF!</v>
      </c>
    </row>
    <row r="190" spans="2:43" ht="15.75" customHeight="1" x14ac:dyDescent="0.2">
      <c r="B190" s="33">
        <v>122</v>
      </c>
      <c r="C190" s="33" t="s">
        <v>188</v>
      </c>
      <c r="D190" s="29">
        <v>0.5</v>
      </c>
      <c r="E190" s="50">
        <v>5</v>
      </c>
      <c r="F190">
        <v>10</v>
      </c>
      <c r="G190">
        <v>20</v>
      </c>
      <c r="R190" s="45" t="s">
        <v>189</v>
      </c>
      <c r="S190" s="45"/>
      <c r="T190" s="33"/>
      <c r="U190" s="33"/>
      <c r="V190" s="33">
        <v>200</v>
      </c>
      <c r="W190" s="50" t="e">
        <f>V190/#REF!</f>
        <v>#REF!</v>
      </c>
      <c r="X190" s="33"/>
      <c r="Y190" s="33"/>
      <c r="Z190" s="67"/>
      <c r="AB190" s="33" t="e">
        <f>#REF!</f>
        <v>#REF!</v>
      </c>
      <c r="AC190" s="33">
        <f>V190*D190</f>
        <v>100</v>
      </c>
      <c r="AD190" s="118" t="e">
        <f>AB190*(1+F190/100)/(1-#REF!/100)</f>
        <v>#REF!</v>
      </c>
      <c r="AE190" s="113" t="e">
        <f t="shared" si="36"/>
        <v>#REF!</v>
      </c>
      <c r="AF190" s="44" t="e">
        <f>AF189</f>
        <v>#REF!</v>
      </c>
      <c r="AG190" s="44"/>
      <c r="AH190" s="33" t="e">
        <f>#REF!</f>
        <v>#REF!</v>
      </c>
      <c r="AI190" s="31">
        <f>V190*(1-D190)</f>
        <v>100</v>
      </c>
      <c r="AJ190" s="52" t="e">
        <f>AH190*(1+G190/100)/(1-#REF!/100)</f>
        <v>#REF!</v>
      </c>
      <c r="AK190" s="54" t="e">
        <f t="shared" si="37"/>
        <v>#REF!</v>
      </c>
      <c r="AL190" s="32" t="e">
        <f>AI190/AH190</f>
        <v>#REF!</v>
      </c>
      <c r="AN190" s="117" t="e">
        <f t="shared" si="38"/>
        <v>#REF!</v>
      </c>
      <c r="AO190" s="54" t="e">
        <f t="shared" si="39"/>
        <v>#REF!</v>
      </c>
    </row>
    <row r="191" spans="2:43" ht="15.75" customHeight="1" x14ac:dyDescent="0.2">
      <c r="B191" s="33"/>
      <c r="C191" s="33"/>
      <c r="D191" s="29"/>
      <c r="E191" s="50"/>
      <c r="R191" s="45"/>
      <c r="S191" s="45"/>
      <c r="T191" s="33"/>
      <c r="U191" s="33"/>
      <c r="V191" s="33"/>
      <c r="W191" s="50"/>
      <c r="X191" s="33"/>
      <c r="Y191" s="33"/>
      <c r="Z191" s="67"/>
      <c r="AB191" s="33"/>
      <c r="AC191" s="33"/>
      <c r="AD191" s="52"/>
      <c r="AE191" s="62"/>
      <c r="AF191" s="44"/>
      <c r="AG191" s="44"/>
      <c r="AH191" s="33"/>
      <c r="AI191" s="31"/>
      <c r="AJ191" s="33"/>
      <c r="AK191" s="62"/>
      <c r="AL191" s="32"/>
    </row>
    <row r="192" spans="2:43" ht="15.75" customHeight="1" x14ac:dyDescent="0.2">
      <c r="AB192" s="110"/>
      <c r="AC192" s="110"/>
      <c r="AD192" s="110"/>
      <c r="AE192" s="110"/>
      <c r="AF192" s="110"/>
      <c r="AG192" s="110"/>
      <c r="AH192" s="110"/>
      <c r="AI192" s="110"/>
      <c r="AJ192" s="110"/>
      <c r="AK192" s="110"/>
      <c r="AL192" s="110"/>
      <c r="AM192" s="110"/>
    </row>
    <row r="193" spans="2:39" ht="15.75" customHeight="1" x14ac:dyDescent="0.2">
      <c r="B193" s="178" t="s">
        <v>103</v>
      </c>
      <c r="C193" s="34"/>
      <c r="AB193" s="110"/>
      <c r="AC193" s="110"/>
      <c r="AD193" s="111"/>
      <c r="AE193" s="110"/>
      <c r="AF193" s="110"/>
      <c r="AG193" s="110"/>
      <c r="AH193" s="110"/>
      <c r="AI193" s="110"/>
      <c r="AJ193" s="110"/>
      <c r="AK193" s="110"/>
      <c r="AL193" s="110"/>
      <c r="AM193" s="110"/>
    </row>
    <row r="194" spans="2:39" ht="15.75" customHeight="1" x14ac:dyDescent="0.2">
      <c r="B194" s="28" t="s">
        <v>61</v>
      </c>
      <c r="C194" s="28"/>
      <c r="D194" s="28" t="s">
        <v>29</v>
      </c>
      <c r="E194" s="57" t="s">
        <v>63</v>
      </c>
      <c r="F194" s="57" t="s">
        <v>72</v>
      </c>
      <c r="G194" s="57" t="s">
        <v>99</v>
      </c>
      <c r="H194" s="57"/>
      <c r="I194" s="101"/>
      <c r="J194" s="101"/>
      <c r="K194" s="101"/>
      <c r="L194" s="101"/>
      <c r="M194" s="101"/>
      <c r="N194" s="101"/>
      <c r="O194" s="101"/>
      <c r="P194" s="101"/>
      <c r="AB194" s="110"/>
      <c r="AC194" s="110"/>
      <c r="AD194" s="112"/>
      <c r="AE194" s="110"/>
      <c r="AF194" s="110"/>
      <c r="AG194" s="110"/>
      <c r="AH194" s="110"/>
      <c r="AI194" s="110"/>
      <c r="AJ194" s="110"/>
      <c r="AK194" s="110"/>
      <c r="AL194" s="110"/>
      <c r="AM194" s="110"/>
    </row>
    <row r="195" spans="2:39" ht="15.75" customHeight="1" x14ac:dyDescent="0.2">
      <c r="B195" s="33">
        <v>100</v>
      </c>
      <c r="C195" s="33"/>
      <c r="D195" s="29">
        <v>0.5</v>
      </c>
      <c r="E195" s="50">
        <v>5</v>
      </c>
      <c r="F195">
        <v>10</v>
      </c>
      <c r="G195">
        <v>20</v>
      </c>
      <c r="AB195" s="110"/>
      <c r="AC195" s="110"/>
      <c r="AD195" s="110"/>
      <c r="AE195" s="110"/>
      <c r="AF195" s="110"/>
      <c r="AG195" s="110"/>
      <c r="AH195" s="110"/>
      <c r="AI195" s="110"/>
      <c r="AJ195" s="110"/>
      <c r="AK195" s="110"/>
      <c r="AL195" s="110"/>
      <c r="AM195" s="110"/>
    </row>
    <row r="196" spans="2:39" ht="15.75" customHeight="1" x14ac:dyDescent="0.2">
      <c r="B196" s="36">
        <v>109</v>
      </c>
      <c r="C196" s="36"/>
      <c r="D196" s="37">
        <v>0.5</v>
      </c>
      <c r="E196" s="51">
        <v>5</v>
      </c>
      <c r="F196" s="35">
        <v>10</v>
      </c>
      <c r="G196" s="35">
        <v>20</v>
      </c>
      <c r="H196" s="35"/>
      <c r="AB196" s="110"/>
      <c r="AC196" s="110"/>
      <c r="AD196" s="110"/>
      <c r="AE196" s="110"/>
      <c r="AF196" s="110"/>
      <c r="AG196" s="110"/>
      <c r="AH196" s="110"/>
      <c r="AI196" s="110"/>
      <c r="AJ196" s="110"/>
      <c r="AK196" s="110"/>
      <c r="AL196" s="110"/>
      <c r="AM196" s="110"/>
    </row>
    <row r="197" spans="2:39" ht="15.75" customHeight="1" x14ac:dyDescent="0.2">
      <c r="B197" s="33">
        <v>115</v>
      </c>
      <c r="C197" s="33"/>
      <c r="D197" s="29">
        <v>0.5</v>
      </c>
      <c r="E197" s="50">
        <v>5</v>
      </c>
      <c r="F197">
        <v>10</v>
      </c>
      <c r="G197">
        <v>20</v>
      </c>
      <c r="AB197" s="110"/>
      <c r="AC197" s="110"/>
      <c r="AD197" s="110"/>
      <c r="AE197" s="110"/>
      <c r="AF197" s="110"/>
      <c r="AG197" s="110"/>
      <c r="AH197" s="110"/>
      <c r="AI197" s="110"/>
      <c r="AJ197" s="110"/>
      <c r="AK197" s="110"/>
      <c r="AL197" s="110"/>
      <c r="AM197" s="110"/>
    </row>
    <row r="198" spans="2:39" ht="15.75" customHeight="1" x14ac:dyDescent="0.2">
      <c r="B198" s="36">
        <v>122</v>
      </c>
      <c r="C198" s="36"/>
      <c r="D198" s="37">
        <v>0.5</v>
      </c>
      <c r="E198" s="51">
        <v>5</v>
      </c>
      <c r="F198" s="35">
        <v>10</v>
      </c>
      <c r="G198" s="35">
        <v>20</v>
      </c>
      <c r="H198" s="35"/>
      <c r="AB198" s="110"/>
      <c r="AC198" s="110"/>
      <c r="AD198" s="110"/>
      <c r="AE198" s="110"/>
      <c r="AF198" s="110"/>
      <c r="AG198" s="110"/>
      <c r="AH198" s="110"/>
      <c r="AI198" s="110"/>
      <c r="AJ198" s="110"/>
      <c r="AK198" s="110"/>
      <c r="AL198" s="110"/>
      <c r="AM198" s="110"/>
    </row>
    <row r="199" spans="2:39" ht="15.75" customHeight="1" x14ac:dyDescent="0.2">
      <c r="AM199" s="120"/>
    </row>
    <row r="200" spans="2:39" ht="15.75" customHeight="1" x14ac:dyDescent="0.2">
      <c r="B200" s="178" t="s">
        <v>175</v>
      </c>
      <c r="C200" s="34"/>
      <c r="AB200" s="56" t="s">
        <v>186</v>
      </c>
      <c r="AC200" s="12"/>
      <c r="AD200" s="12"/>
      <c r="AE200" s="34" t="s">
        <v>179</v>
      </c>
      <c r="AH200" s="46"/>
      <c r="AI200" s="45"/>
      <c r="AJ200" s="46"/>
      <c r="AK200" s="46"/>
      <c r="AL200" s="45"/>
    </row>
    <row r="201" spans="2:39" ht="15.75" customHeight="1" x14ac:dyDescent="0.2">
      <c r="B201" s="28" t="s">
        <v>110</v>
      </c>
      <c r="C201" s="28" t="s">
        <v>114</v>
      </c>
      <c r="D201" s="28" t="s">
        <v>29</v>
      </c>
      <c r="E201" s="57" t="s">
        <v>63</v>
      </c>
      <c r="F201" s="57" t="s">
        <v>72</v>
      </c>
      <c r="G201" s="57" t="s">
        <v>99</v>
      </c>
      <c r="H201" s="57"/>
      <c r="I201" s="101"/>
      <c r="J201" s="101"/>
      <c r="K201" s="101"/>
      <c r="L201" s="101"/>
      <c r="M201" s="101"/>
      <c r="N201" s="101"/>
      <c r="O201" s="101"/>
      <c r="P201" s="101"/>
      <c r="R201" s="28" t="s">
        <v>3</v>
      </c>
      <c r="S201" s="28"/>
      <c r="T201" s="28"/>
      <c r="U201" s="57" t="s">
        <v>70</v>
      </c>
      <c r="V201" s="28" t="s">
        <v>1</v>
      </c>
      <c r="W201" s="57" t="s">
        <v>62</v>
      </c>
      <c r="X201" s="101"/>
      <c r="Y201" s="101"/>
      <c r="AB201" s="57" t="s">
        <v>0</v>
      </c>
      <c r="AC201" s="57" t="s">
        <v>9</v>
      </c>
      <c r="AD201" s="101"/>
      <c r="AE201" s="57" t="s">
        <v>182</v>
      </c>
      <c r="AF201" s="57" t="s">
        <v>183</v>
      </c>
      <c r="AG201" s="57" t="s">
        <v>181</v>
      </c>
      <c r="AH201" s="101"/>
      <c r="AI201" s="101"/>
      <c r="AJ201" s="101"/>
      <c r="AK201" s="101"/>
      <c r="AL201" s="101"/>
    </row>
    <row r="202" spans="2:39" ht="15.75" customHeight="1" x14ac:dyDescent="0.2">
      <c r="B202" s="33">
        <v>100</v>
      </c>
      <c r="C202" s="99" t="s">
        <v>176</v>
      </c>
      <c r="D202" s="29">
        <v>0.5</v>
      </c>
      <c r="E202" s="50">
        <v>5</v>
      </c>
      <c r="F202">
        <v>10</v>
      </c>
      <c r="G202">
        <v>20</v>
      </c>
      <c r="R202" s="45" t="s">
        <v>75</v>
      </c>
      <c r="S202" s="45"/>
      <c r="T202" s="33"/>
      <c r="U202" s="33"/>
      <c r="V202" s="33">
        <v>500</v>
      </c>
      <c r="W202" s="50" t="e">
        <f>V202/#REF!</f>
        <v>#REF!</v>
      </c>
      <c r="X202" s="52"/>
      <c r="Y202" s="52"/>
      <c r="AB202" s="33"/>
      <c r="AC202" s="33"/>
      <c r="AD202" s="33"/>
      <c r="AE202" s="100" t="e">
        <f>IF(
      OR(
        (B202*(1+#REF!/100)/C209-1)*100 &lt;= -E202,
        (B202*(1+#REF!/100)/C210-1)*100 &lt;= -E202,
        (B202*(1+#REF!/100)/C211-1)*100 &lt;= -E202,
        (B202*(1+#REF!/100)/C212-1)*100 &lt;= -E202,
        (B202*(1+#REF!/100)/C213-1)*100 &lt;= -E202
      ),
      MIN(
        IF((B202*(1+#REF!/100)/C209-1)*100 &lt;= -E202, (B202*(1+#REF!/100)/C209-1)*100, 0),
        IF((B202*(1+#REF!/100)/C210-1)*100 &lt;= -E202, (B202*(1+#REF!/100)/C210-1)*100, 0),
        IF((B202*(1+#REF!/100)/C211-1)*100 &lt;= -E202, (B202*(1+#REF!/100)/C211-1)*100, 0),
        IF((B202*(1+#REF!/100)/C212-1)*100 &lt;= -E202, (B202*(1+#REF!/100)/C212-1)*100, 0),
        IF((B202*(1+#REF!/100)/C213-1)*100 &lt;= -E202, (B202*(1+#REF!/100)/C213-1)*100, 0)
      )/100,
      ""
    )</f>
        <v>#REF!</v>
      </c>
      <c r="AF202" s="92" t="s">
        <v>34</v>
      </c>
      <c r="AG202" t="s">
        <v>184</v>
      </c>
      <c r="AH202" s="99"/>
      <c r="AI202" s="102"/>
      <c r="AJ202" s="99"/>
      <c r="AK202" s="103"/>
      <c r="AL202" s="104"/>
    </row>
    <row r="203" spans="2:39" ht="15.75" customHeight="1" x14ac:dyDescent="0.2">
      <c r="B203" s="36"/>
      <c r="C203" s="36"/>
      <c r="D203" s="37"/>
      <c r="E203" s="51"/>
      <c r="F203" s="35"/>
      <c r="G203" s="35"/>
      <c r="H203" s="35"/>
      <c r="R203" s="47" t="s">
        <v>75</v>
      </c>
      <c r="S203" s="47"/>
      <c r="T203" s="36"/>
      <c r="U203" s="36"/>
      <c r="V203" s="36">
        <v>200</v>
      </c>
      <c r="W203" s="51" t="e">
        <f>V203/#REF!</f>
        <v>#REF!</v>
      </c>
      <c r="X203" s="52"/>
      <c r="Y203" s="52"/>
      <c r="AB203" s="36"/>
      <c r="AC203" s="36"/>
      <c r="AD203" s="33"/>
      <c r="AE203" s="107" t="e">
        <f>IF(
      OR(
        (B202*(1+#REF!/100)/C209-1)*100 &lt;= -E202,
        (B202*(1+#REF!/100)/C210-1)*100 &lt;= -E202,
        (B202*(1+#REF!/100)/C211-1)*100 &lt;= -E202,
        (B202*(1+#REF!/100)/C212-1)*100 &lt;= -E202,
        (B202*(1+#REF!/100)/C213-1)*100 &lt;= -E202
      ),
      MIN(
        IF((B202*(1+#REF!/100)/C209-1)*100 &lt;= -E202, (B202*(1+#REF!/100)/C209-1)*100, 0),
        IF((B202*(1+#REF!/100)/C210-1)*100 &lt;= -E202, (B202*(1+#REF!/100)/C210-1)*100, 0),
        IF((B202*(1+#REF!/100)/C211-1)*100 &lt;= -E202, (B202*(1+#REF!/100)/C211-1)*100, 0),
        IF((B202*(1+#REF!/100)/C212-1)*100 &lt;= -E202, (B202*(1+#REF!/100)/C212-1)*100, 0),
        IF((B202*(1+#REF!/100)/C213-1)*100 &lt;= -E202, (B202*(1+#REF!/100)/C213-1)*100, 0)
      )/100,
      ""
    )</f>
        <v>#REF!</v>
      </c>
      <c r="AF203" s="105" t="s">
        <v>34</v>
      </c>
      <c r="AG203" s="35" t="e">
        <f>#REF!</f>
        <v>#REF!</v>
      </c>
      <c r="AH203" s="99"/>
      <c r="AI203" s="102"/>
      <c r="AJ203" s="99"/>
      <c r="AK203" s="103"/>
      <c r="AL203" s="104"/>
    </row>
    <row r="204" spans="2:39" ht="15.75" customHeight="1" x14ac:dyDescent="0.2">
      <c r="B204" s="33">
        <v>50</v>
      </c>
      <c r="C204" s="99" t="s">
        <v>185</v>
      </c>
      <c r="D204" s="29">
        <v>0.5</v>
      </c>
      <c r="E204" s="50">
        <v>8</v>
      </c>
      <c r="F204">
        <v>10</v>
      </c>
      <c r="G204">
        <v>20</v>
      </c>
      <c r="R204" s="45" t="s">
        <v>75</v>
      </c>
      <c r="S204" s="45"/>
      <c r="T204" s="33"/>
      <c r="U204" s="33"/>
      <c r="V204" s="33">
        <v>600</v>
      </c>
      <c r="W204" s="50" t="e">
        <f>V204/#REF!</f>
        <v>#REF!</v>
      </c>
      <c r="X204" s="52"/>
      <c r="Y204" s="52"/>
      <c r="AB204" s="33" t="e">
        <f>#REF!</f>
        <v>#REF!</v>
      </c>
      <c r="AC204" s="52" t="e">
        <f>AB204 * (1 - $E$204%)</f>
        <v>#REF!</v>
      </c>
      <c r="AD204" s="33"/>
      <c r="AF204" s="54" t="e">
        <f>($B$204 -#REF!) /#REF!</f>
        <v>#REF!</v>
      </c>
      <c r="AG204" t="e">
        <f>#REF!</f>
        <v>#REF!</v>
      </c>
      <c r="AH204" s="99"/>
      <c r="AI204" s="102"/>
      <c r="AJ204" s="99"/>
      <c r="AK204" s="103"/>
      <c r="AL204" s="104"/>
    </row>
    <row r="205" spans="2:39" ht="15.75" customHeight="1" x14ac:dyDescent="0.2">
      <c r="B205" s="36"/>
      <c r="C205" s="36"/>
      <c r="D205" s="37"/>
      <c r="E205" s="51"/>
      <c r="F205" s="35"/>
      <c r="G205" s="35"/>
      <c r="H205" s="35"/>
      <c r="R205" s="47" t="s">
        <v>75</v>
      </c>
      <c r="S205" s="47"/>
      <c r="T205" s="36"/>
      <c r="U205" s="36"/>
      <c r="V205" s="36">
        <v>520</v>
      </c>
      <c r="W205" s="51" t="e">
        <f>V205/#REF!</f>
        <v>#REF!</v>
      </c>
      <c r="X205" s="52"/>
      <c r="Y205" s="52"/>
      <c r="AB205" s="36" t="e">
        <f>#REF!</f>
        <v>#REF!</v>
      </c>
      <c r="AC205" s="40" t="e">
        <f t="shared" ref="AC205:AC206" si="48">AB205 * (1 - $E$204%)</f>
        <v>#REF!</v>
      </c>
      <c r="AD205" s="33"/>
      <c r="AE205" s="35"/>
      <c r="AF205" s="55" t="e">
        <f>($B$204 -#REF!) /#REF!</f>
        <v>#REF!</v>
      </c>
      <c r="AG205" s="35" t="e">
        <f>#REF!</f>
        <v>#REF!</v>
      </c>
      <c r="AH205" s="99"/>
      <c r="AI205" s="102"/>
      <c r="AJ205" s="99"/>
      <c r="AK205" s="103"/>
      <c r="AL205" s="104"/>
    </row>
    <row r="206" spans="2:39" ht="15.75" customHeight="1" x14ac:dyDescent="0.2">
      <c r="B206" s="33"/>
      <c r="C206" s="33"/>
      <c r="D206" s="29"/>
      <c r="E206" s="50"/>
      <c r="R206" t="s">
        <v>75</v>
      </c>
      <c r="V206" s="33">
        <v>700</v>
      </c>
      <c r="W206" s="50" t="e">
        <f>V206/#REF!</f>
        <v>#REF!</v>
      </c>
      <c r="X206" s="52"/>
      <c r="Y206" s="52"/>
      <c r="AB206" s="33" t="e">
        <f>#REF!</f>
        <v>#REF!</v>
      </c>
      <c r="AC206" s="52" t="e">
        <f t="shared" si="48"/>
        <v>#REF!</v>
      </c>
      <c r="AF206" s="54" t="e">
        <f>($B$204 -#REF!) /#REF!</f>
        <v>#REF!</v>
      </c>
      <c r="AG206" t="e">
        <f>#REF!</f>
        <v>#REF!</v>
      </c>
      <c r="AH206" s="45"/>
      <c r="AI206" s="45"/>
      <c r="AJ206" s="45"/>
      <c r="AK206" s="45"/>
      <c r="AL206" s="45"/>
    </row>
    <row r="207" spans="2:39" ht="15.75" customHeight="1" x14ac:dyDescent="0.2">
      <c r="B207" s="99" t="s">
        <v>177</v>
      </c>
      <c r="C207" s="33"/>
      <c r="D207" s="29"/>
      <c r="E207" s="50"/>
      <c r="R207" s="47" t="s">
        <v>75</v>
      </c>
      <c r="S207" s="47"/>
      <c r="T207" s="35"/>
      <c r="U207" s="35"/>
      <c r="V207" s="36">
        <v>255</v>
      </c>
      <c r="W207" s="51" t="e">
        <f>V207/#REF!</f>
        <v>#REF!</v>
      </c>
      <c r="AB207" s="36" t="e">
        <f>#REF!</f>
        <v>#REF!</v>
      </c>
      <c r="AC207" s="40" t="e">
        <f>(AB207 * (1 - $E$204%)) / (1 +#REF! %)</f>
        <v>#REF!</v>
      </c>
      <c r="AE207" s="35"/>
      <c r="AF207" s="106" t="e">
        <f>($B$204 -#REF!) /#REF!</f>
        <v>#REF!</v>
      </c>
      <c r="AG207" s="35" t="e">
        <f>#REF!</f>
        <v>#REF!</v>
      </c>
    </row>
    <row r="208" spans="2:39" ht="15.75" customHeight="1" x14ac:dyDescent="0.2">
      <c r="B208" s="57" t="s">
        <v>2</v>
      </c>
      <c r="C208" s="57" t="s">
        <v>178</v>
      </c>
      <c r="D208" s="57" t="s">
        <v>180</v>
      </c>
      <c r="R208" s="45" t="s">
        <v>75</v>
      </c>
      <c r="S208" s="45"/>
      <c r="V208" s="33">
        <v>1100</v>
      </c>
      <c r="W208" s="50" t="e">
        <f>V208/#REF!</f>
        <v>#REF!</v>
      </c>
      <c r="AB208" s="33" t="e">
        <f>#REF!</f>
        <v>#REF!</v>
      </c>
      <c r="AE208" s="100" t="e">
        <f>IF(
      OR(
        (B202*(1+#REF!/100)/C209-1)*100 &lt;= -E202,
        (B202*(1+#REF!/100)/C210-1)*100 &lt;= -E202,
        (B202*(1+#REF!/100)/C211-1)*100 &lt;= -E202,
        (B202*(1+#REF!/100)/C212-1)*100 &lt;= -E202,
        (B202*(1+#REF!/100)/C213-1)*100 &lt;= -E202
      ),
      MIN(
        IF((B202*(1+#REF!/100)/C209-1)*100 &lt;= -E202, (B202*(1+#REF!/100)/C209-1)*100, 0),
        IF((B202*(1+#REF!/100)/C210-1)*100 &lt;= -E202, (B202*(1+#REF!/100)/C210-1)*100, 0),
        IF((B202*(1+#REF!/100)/C211-1)*100 &lt;= -E202, (B202*(1+#REF!/100)/C211-1)*100, 0),
        IF((B202*(1+#REF!/100)/C212-1)*100 &lt;= -E202, (B202*(1+#REF!/100)/C212-1)*100, 0),
        IF((B202*(1+#REF!/100)/C213-1)*100 &lt;= -E202, (B202*(1+#REF!/100)/C213-1)*100, 0)
      )/100,
      ""
    )</f>
        <v>#REF!</v>
      </c>
      <c r="AF208" s="108" t="e">
        <f>($B$202 -#REF!) /#REF!</f>
        <v>#REF!</v>
      </c>
      <c r="AG208" t="e">
        <f>#REF!</f>
        <v>#REF!</v>
      </c>
    </row>
    <row r="209" spans="2:44" ht="15.75" customHeight="1" x14ac:dyDescent="0.2">
      <c r="B209" s="98">
        <v>45924</v>
      </c>
      <c r="C209" s="97">
        <v>106</v>
      </c>
    </row>
    <row r="210" spans="2:44" ht="15.75" customHeight="1" x14ac:dyDescent="0.2">
      <c r="B210" s="98">
        <v>45923</v>
      </c>
      <c r="C210" s="97">
        <v>105</v>
      </c>
    </row>
    <row r="211" spans="2:44" ht="15.75" customHeight="1" x14ac:dyDescent="0.2">
      <c r="B211" s="98">
        <v>45922</v>
      </c>
      <c r="C211" s="97">
        <v>108</v>
      </c>
    </row>
    <row r="212" spans="2:44" ht="15.75" customHeight="1" x14ac:dyDescent="0.2">
      <c r="B212" s="98">
        <v>45921</v>
      </c>
      <c r="C212" s="97">
        <v>107</v>
      </c>
    </row>
    <row r="213" spans="2:44" ht="15.75" customHeight="1" x14ac:dyDescent="0.2">
      <c r="B213" s="98">
        <v>45920</v>
      </c>
      <c r="C213" s="97">
        <v>104</v>
      </c>
      <c r="Q213" s="45"/>
      <c r="AC213" s="68"/>
    </row>
    <row r="214" spans="2:44" ht="15.75" customHeight="1" x14ac:dyDescent="0.2">
      <c r="Q214" s="45"/>
    </row>
    <row r="215" spans="2:44" ht="15.75" customHeight="1" x14ac:dyDescent="0.2">
      <c r="Q215" s="45"/>
    </row>
    <row r="216" spans="2:44" ht="15.75" customHeight="1" x14ac:dyDescent="0.2">
      <c r="Q216" s="92"/>
      <c r="AC216" s="45" t="s">
        <v>74</v>
      </c>
      <c r="AM216" s="45" t="s">
        <v>94</v>
      </c>
    </row>
    <row r="217" spans="2:44" ht="15.75" customHeight="1" x14ac:dyDescent="0.2">
      <c r="AC217" s="69" t="s">
        <v>2</v>
      </c>
      <c r="AD217" s="70" t="s">
        <v>3</v>
      </c>
      <c r="AE217" s="70"/>
      <c r="AF217" s="70" t="s">
        <v>76</v>
      </c>
      <c r="AG217" s="70" t="s">
        <v>4</v>
      </c>
      <c r="AH217" s="70" t="s">
        <v>0</v>
      </c>
      <c r="AI217" s="70" t="s">
        <v>1</v>
      </c>
      <c r="AJ217" s="70" t="s">
        <v>62</v>
      </c>
      <c r="AK217" s="70"/>
      <c r="AL217" s="70" t="s">
        <v>77</v>
      </c>
      <c r="AM217" s="70" t="s">
        <v>84</v>
      </c>
      <c r="AN217" s="70" t="s">
        <v>83</v>
      </c>
      <c r="AO217" s="70" t="s">
        <v>7</v>
      </c>
      <c r="AP217" s="70" t="s">
        <v>81</v>
      </c>
      <c r="AQ217" s="70" t="s">
        <v>79</v>
      </c>
      <c r="AR217" s="70" t="s">
        <v>82</v>
      </c>
    </row>
    <row r="218" spans="2:44" ht="15.75" customHeight="1" x14ac:dyDescent="0.2">
      <c r="AC218" s="78">
        <v>45658</v>
      </c>
      <c r="AD218" s="79" t="s">
        <v>75</v>
      </c>
      <c r="AE218" s="79"/>
      <c r="AF218" s="80" t="s">
        <v>85</v>
      </c>
      <c r="AG218" s="79" t="s">
        <v>78</v>
      </c>
      <c r="AH218" s="81">
        <v>200</v>
      </c>
      <c r="AI218" s="81">
        <v>200</v>
      </c>
      <c r="AJ218" s="82">
        <f>AI218/AH218</f>
        <v>1</v>
      </c>
      <c r="AK218" s="82"/>
      <c r="AL218" s="79"/>
      <c r="AM218" s="82">
        <v>1</v>
      </c>
      <c r="AN218" s="82">
        <f>AM218/2</f>
        <v>0.5</v>
      </c>
      <c r="AO218" s="83">
        <f>AM218/2</f>
        <v>0.5</v>
      </c>
      <c r="AP218" s="81">
        <v>0</v>
      </c>
      <c r="AQ218" s="84">
        <f>ABS(AP218-AI218)</f>
        <v>200</v>
      </c>
      <c r="AR218" s="85">
        <f>((AP218+(AJ218*AH218)-AQ218)/AQ218)</f>
        <v>0</v>
      </c>
    </row>
    <row r="219" spans="2:44" ht="15.75" customHeight="1" x14ac:dyDescent="0.2">
      <c r="AC219" s="71">
        <v>45659</v>
      </c>
      <c r="AD219" s="72" t="s">
        <v>73</v>
      </c>
      <c r="AE219" s="72"/>
      <c r="AF219" s="74" t="s">
        <v>86</v>
      </c>
      <c r="AG219" s="72" t="s">
        <v>10</v>
      </c>
      <c r="AH219" s="73">
        <v>220</v>
      </c>
      <c r="AI219" s="72"/>
      <c r="AJ219" s="75">
        <f>AN218</f>
        <v>0.5</v>
      </c>
      <c r="AK219" s="75"/>
      <c r="AL219" s="73">
        <f>AH219*AJ219</f>
        <v>110</v>
      </c>
      <c r="AM219" s="75">
        <v>0.5</v>
      </c>
      <c r="AN219" s="75">
        <v>0</v>
      </c>
      <c r="AO219" s="75">
        <v>0.5</v>
      </c>
      <c r="AP219" s="73">
        <f>AL219+AP218</f>
        <v>110</v>
      </c>
      <c r="AQ219" s="73">
        <f>AQ218</f>
        <v>200</v>
      </c>
      <c r="AR219" s="77">
        <f t="shared" ref="AR219:AR227" si="49">((AP219+(AM219*AH219)-AQ219)/AQ219)</f>
        <v>0.1</v>
      </c>
    </row>
    <row r="220" spans="2:44" ht="15.75" customHeight="1" x14ac:dyDescent="0.2">
      <c r="AC220" s="78">
        <v>45660</v>
      </c>
      <c r="AD220" s="79" t="s">
        <v>75</v>
      </c>
      <c r="AE220" s="79"/>
      <c r="AF220" s="80" t="s">
        <v>87</v>
      </c>
      <c r="AG220" s="79" t="s">
        <v>80</v>
      </c>
      <c r="AH220" s="81">
        <v>220</v>
      </c>
      <c r="AI220" s="81">
        <v>220</v>
      </c>
      <c r="AJ220" s="82">
        <f>AI220/AH220</f>
        <v>1</v>
      </c>
      <c r="AK220" s="82"/>
      <c r="AL220" s="79"/>
      <c r="AM220" s="82">
        <f>AJ220+AM219</f>
        <v>1.5</v>
      </c>
      <c r="AN220" s="82">
        <f>AN219+(AJ220/2)</f>
        <v>0.5</v>
      </c>
      <c r="AO220" s="82">
        <f>AO219+(AJ220/2)</f>
        <v>1</v>
      </c>
      <c r="AP220" s="81">
        <v>0</v>
      </c>
      <c r="AQ220" s="81">
        <f>AQ219+(AI220-AP219)</f>
        <v>310</v>
      </c>
      <c r="AR220" s="85">
        <f t="shared" si="49"/>
        <v>6.4516129032258063E-2</v>
      </c>
    </row>
    <row r="221" spans="2:44" ht="15.75" customHeight="1" x14ac:dyDescent="0.2">
      <c r="AC221" s="71">
        <v>45661</v>
      </c>
      <c r="AD221" s="72" t="s">
        <v>73</v>
      </c>
      <c r="AE221" s="72"/>
      <c r="AF221" s="74" t="s">
        <v>88</v>
      </c>
      <c r="AG221" s="72" t="s">
        <v>80</v>
      </c>
      <c r="AH221" s="73">
        <v>190</v>
      </c>
      <c r="AI221" s="72"/>
      <c r="AJ221" s="75">
        <v>0.5</v>
      </c>
      <c r="AK221" s="75"/>
      <c r="AL221" s="73">
        <f>AH221*AJ221</f>
        <v>95</v>
      </c>
      <c r="AM221" s="75">
        <f>AM220-AJ221</f>
        <v>1</v>
      </c>
      <c r="AN221" s="75">
        <f>AN220</f>
        <v>0.5</v>
      </c>
      <c r="AO221" s="75">
        <f>AO220-AJ221</f>
        <v>0.5</v>
      </c>
      <c r="AP221" s="73">
        <f>AP220+AL221</f>
        <v>95</v>
      </c>
      <c r="AQ221" s="73">
        <f>AQ220</f>
        <v>310</v>
      </c>
      <c r="AR221" s="77">
        <f t="shared" si="49"/>
        <v>-8.0645161290322578E-2</v>
      </c>
    </row>
    <row r="222" spans="2:44" ht="15.75" customHeight="1" x14ac:dyDescent="0.2">
      <c r="AC222" s="78">
        <v>45662</v>
      </c>
      <c r="AD222" s="79" t="s">
        <v>75</v>
      </c>
      <c r="AE222" s="79"/>
      <c r="AF222" s="80" t="s">
        <v>89</v>
      </c>
      <c r="AG222" s="79" t="s">
        <v>80</v>
      </c>
      <c r="AH222" s="81">
        <v>200</v>
      </c>
      <c r="AI222" s="81">
        <v>200</v>
      </c>
      <c r="AJ222" s="82">
        <f>AI222/AH222</f>
        <v>1</v>
      </c>
      <c r="AK222" s="82"/>
      <c r="AL222" s="79"/>
      <c r="AM222" s="82">
        <f>AM221+AJ222</f>
        <v>2</v>
      </c>
      <c r="AN222" s="82">
        <f>AN221+(AJ222/2)</f>
        <v>1</v>
      </c>
      <c r="AO222" s="82">
        <f>AO221+(AJ222/2)</f>
        <v>1</v>
      </c>
      <c r="AP222" s="81">
        <v>0</v>
      </c>
      <c r="AQ222" s="81">
        <f>AQ221+(AI222-AP221)</f>
        <v>415</v>
      </c>
      <c r="AR222" s="85">
        <f t="shared" si="49"/>
        <v>-3.614457831325301E-2</v>
      </c>
    </row>
    <row r="223" spans="2:44" ht="15.75" customHeight="1" x14ac:dyDescent="0.2">
      <c r="AC223" s="71">
        <v>45663</v>
      </c>
      <c r="AD223" s="72" t="s">
        <v>73</v>
      </c>
      <c r="AE223" s="72"/>
      <c r="AF223" s="74" t="s">
        <v>90</v>
      </c>
      <c r="AG223" s="72" t="s">
        <v>80</v>
      </c>
      <c r="AH223" s="73">
        <v>210</v>
      </c>
      <c r="AI223" s="72"/>
      <c r="AJ223" s="75">
        <v>0.5</v>
      </c>
      <c r="AK223" s="75"/>
      <c r="AL223" s="73">
        <f>AH223*AJ223</f>
        <v>105</v>
      </c>
      <c r="AM223" s="75">
        <f>AM222-AJ223</f>
        <v>1.5</v>
      </c>
      <c r="AN223" s="75">
        <f>AN222-AJ223</f>
        <v>0.5</v>
      </c>
      <c r="AO223" s="75">
        <f>AO222</f>
        <v>1</v>
      </c>
      <c r="AP223" s="73">
        <f>AP222+AL223</f>
        <v>105</v>
      </c>
      <c r="AQ223" s="73">
        <f>AQ222</f>
        <v>415</v>
      </c>
      <c r="AR223" s="77">
        <f t="shared" si="49"/>
        <v>1.2048192771084338E-2</v>
      </c>
    </row>
    <row r="224" spans="2:44" ht="15.75" customHeight="1" x14ac:dyDescent="0.2">
      <c r="AC224" s="71">
        <v>45664</v>
      </c>
      <c r="AD224" s="72" t="s">
        <v>73</v>
      </c>
      <c r="AE224" s="72"/>
      <c r="AF224" s="74" t="s">
        <v>91</v>
      </c>
      <c r="AG224" s="72" t="s">
        <v>80</v>
      </c>
      <c r="AH224" s="73">
        <v>210</v>
      </c>
      <c r="AI224" s="72"/>
      <c r="AJ224" s="75">
        <v>0.5</v>
      </c>
      <c r="AK224" s="75"/>
      <c r="AL224" s="73">
        <f>AH224/2</f>
        <v>105</v>
      </c>
      <c r="AM224" s="75">
        <f>AM223-AJ224</f>
        <v>1</v>
      </c>
      <c r="AN224" s="75">
        <f>AN223</f>
        <v>0.5</v>
      </c>
      <c r="AO224" s="75">
        <f>AO223-AJ224</f>
        <v>0.5</v>
      </c>
      <c r="AP224" s="73">
        <f>AL224+AP223</f>
        <v>210</v>
      </c>
      <c r="AQ224" s="73">
        <f>AQ223</f>
        <v>415</v>
      </c>
      <c r="AR224" s="77">
        <f t="shared" si="49"/>
        <v>1.2048192771084338E-2</v>
      </c>
    </row>
    <row r="225" spans="26:44" ht="15.75" customHeight="1" x14ac:dyDescent="0.2">
      <c r="Z225" s="92"/>
      <c r="AC225" s="78">
        <v>45665</v>
      </c>
      <c r="AD225" s="80" t="s">
        <v>75</v>
      </c>
      <c r="AE225" s="80"/>
      <c r="AF225" s="80" t="s">
        <v>92</v>
      </c>
      <c r="AG225" s="80" t="s">
        <v>80</v>
      </c>
      <c r="AH225" s="81">
        <v>200</v>
      </c>
      <c r="AI225" s="81">
        <v>200</v>
      </c>
      <c r="AJ225" s="82">
        <v>1</v>
      </c>
      <c r="AK225" s="82"/>
      <c r="AL225" s="79"/>
      <c r="AM225" s="82">
        <f>AM224+AJ225</f>
        <v>2</v>
      </c>
      <c r="AN225" s="82">
        <f>AJ225+AN224</f>
        <v>1.5</v>
      </c>
      <c r="AO225" s="83">
        <f>AO224</f>
        <v>0.5</v>
      </c>
      <c r="AP225" s="81">
        <f>AP224-AI225</f>
        <v>10</v>
      </c>
      <c r="AQ225" s="81">
        <f>AQ223</f>
        <v>415</v>
      </c>
      <c r="AR225" s="85">
        <f t="shared" si="49"/>
        <v>-1.2048192771084338E-2</v>
      </c>
    </row>
    <row r="226" spans="26:44" ht="15.75" customHeight="1" x14ac:dyDescent="0.2">
      <c r="Z226" s="93"/>
      <c r="AC226" s="71">
        <v>45666</v>
      </c>
      <c r="AD226" s="74" t="s">
        <v>73</v>
      </c>
      <c r="AE226" s="74"/>
      <c r="AF226" s="74" t="s">
        <v>92</v>
      </c>
      <c r="AG226" s="74" t="s">
        <v>80</v>
      </c>
      <c r="AH226" s="73">
        <v>230</v>
      </c>
      <c r="AI226" s="72"/>
      <c r="AJ226" s="75">
        <v>0.5</v>
      </c>
      <c r="AK226" s="75"/>
      <c r="AL226" s="73">
        <f>AH226/2</f>
        <v>115</v>
      </c>
      <c r="AM226" s="75">
        <f>AM225-AJ226</f>
        <v>1.5</v>
      </c>
      <c r="AN226" s="75">
        <f>AN225-AJ226</f>
        <v>1</v>
      </c>
      <c r="AO226" s="75">
        <f>AO225</f>
        <v>0.5</v>
      </c>
      <c r="AP226" s="73">
        <f>AP225+AL226</f>
        <v>125</v>
      </c>
      <c r="AQ226" s="73">
        <f>AQ225</f>
        <v>415</v>
      </c>
      <c r="AR226" s="77">
        <f t="shared" si="49"/>
        <v>0.13253012048192772</v>
      </c>
    </row>
    <row r="227" spans="26:44" ht="15.75" customHeight="1" x14ac:dyDescent="0.2">
      <c r="Z227" s="93"/>
      <c r="AC227" s="78">
        <v>45667</v>
      </c>
      <c r="AD227" s="80" t="s">
        <v>75</v>
      </c>
      <c r="AE227" s="80"/>
      <c r="AF227" s="80" t="s">
        <v>93</v>
      </c>
      <c r="AG227" s="80" t="s">
        <v>80</v>
      </c>
      <c r="AH227" s="81">
        <v>230</v>
      </c>
      <c r="AI227" s="81">
        <v>230</v>
      </c>
      <c r="AJ227" s="82">
        <v>1</v>
      </c>
      <c r="AK227" s="82"/>
      <c r="AL227" s="79"/>
      <c r="AM227" s="82">
        <f>AM226+AJ227</f>
        <v>2.5</v>
      </c>
      <c r="AN227" s="82">
        <f>AN226</f>
        <v>1</v>
      </c>
      <c r="AO227" s="82">
        <f>AO226+AJ227</f>
        <v>1.5</v>
      </c>
      <c r="AP227" s="81">
        <v>0</v>
      </c>
      <c r="AQ227" s="81">
        <f>AQ226+(AI227-AP226)</f>
        <v>520</v>
      </c>
      <c r="AR227" s="85">
        <f t="shared" si="49"/>
        <v>0.10576923076923077</v>
      </c>
    </row>
    <row r="228" spans="26:44" ht="15.75" customHeight="1" x14ac:dyDescent="0.2">
      <c r="Z228" s="93"/>
    </row>
    <row r="229" spans="26:44" ht="15.75" customHeight="1" x14ac:dyDescent="0.2">
      <c r="Z229" s="93"/>
    </row>
    <row r="230" spans="26:44" ht="12.75" x14ac:dyDescent="0.2">
      <c r="AC230" s="45" t="s">
        <v>74</v>
      </c>
      <c r="AM230" s="45" t="s">
        <v>94</v>
      </c>
    </row>
    <row r="231" spans="26:44" ht="15.75" customHeight="1" x14ac:dyDescent="0.2">
      <c r="Z231" s="54"/>
      <c r="AC231" s="69" t="s">
        <v>2</v>
      </c>
      <c r="AD231" s="70" t="s">
        <v>3</v>
      </c>
      <c r="AE231" s="70"/>
      <c r="AF231" s="70" t="s">
        <v>76</v>
      </c>
      <c r="AG231" s="70" t="s">
        <v>4</v>
      </c>
      <c r="AH231" s="70" t="s">
        <v>0</v>
      </c>
      <c r="AI231" s="70" t="s">
        <v>1</v>
      </c>
      <c r="AJ231" s="70" t="s">
        <v>62</v>
      </c>
      <c r="AK231" s="70"/>
      <c r="AL231" s="70" t="s">
        <v>77</v>
      </c>
      <c r="AM231" s="70" t="s">
        <v>84</v>
      </c>
      <c r="AN231" s="70" t="s">
        <v>83</v>
      </c>
      <c r="AO231" s="70" t="s">
        <v>7</v>
      </c>
      <c r="AP231" s="70" t="s">
        <v>81</v>
      </c>
      <c r="AQ231" s="70" t="s">
        <v>79</v>
      </c>
      <c r="AR231" s="70" t="s">
        <v>82</v>
      </c>
    </row>
    <row r="232" spans="26:44" ht="15.75" customHeight="1" x14ac:dyDescent="0.2">
      <c r="Z232" s="94"/>
      <c r="AC232" s="78"/>
      <c r="AD232" s="79" t="s">
        <v>75</v>
      </c>
      <c r="AE232" s="79"/>
      <c r="AF232" s="80" t="s">
        <v>70</v>
      </c>
      <c r="AG232" s="79" t="s">
        <v>78</v>
      </c>
      <c r="AH232" s="89">
        <v>232.37</v>
      </c>
      <c r="AI232" s="81">
        <v>1000</v>
      </c>
      <c r="AJ232" s="86">
        <f t="shared" ref="AJ232:AJ237" si="50">AI232/AH232</f>
        <v>4.3034815165468867</v>
      </c>
      <c r="AK232" s="86"/>
      <c r="AL232" s="89"/>
      <c r="AM232" s="86">
        <f>AJ232</f>
        <v>4.3034815165468867</v>
      </c>
      <c r="AN232" s="86">
        <f>AM232/2</f>
        <v>2.1517407582734434</v>
      </c>
      <c r="AO232" s="88">
        <f>AM232/2</f>
        <v>2.1517407582734434</v>
      </c>
      <c r="AP232" s="89">
        <v>0</v>
      </c>
      <c r="AQ232" s="91">
        <f>ABS(AP232-AI232)</f>
        <v>1000</v>
      </c>
      <c r="AR232" s="85">
        <f>((AP232+(AJ232*AH232)-AQ232)/AQ232)</f>
        <v>1.1368683772161603E-16</v>
      </c>
    </row>
    <row r="233" spans="26:44" ht="15.75" customHeight="1" x14ac:dyDescent="0.2">
      <c r="AC233" s="78"/>
      <c r="AD233" s="79" t="s">
        <v>75</v>
      </c>
      <c r="AE233" s="79"/>
      <c r="AF233" s="80" t="s">
        <v>70</v>
      </c>
      <c r="AG233" s="79" t="s">
        <v>80</v>
      </c>
      <c r="AH233" s="89">
        <v>205.6</v>
      </c>
      <c r="AI233" s="81">
        <v>500</v>
      </c>
      <c r="AJ233" s="86">
        <f t="shared" si="50"/>
        <v>2.4319066147859925</v>
      </c>
      <c r="AK233" s="86"/>
      <c r="AL233" s="89"/>
      <c r="AM233" s="86">
        <f>AJ233+AM232</f>
        <v>6.7353881313328792</v>
      </c>
      <c r="AN233" s="86">
        <f>AN232+(AJ233/2)</f>
        <v>3.3676940656664396</v>
      </c>
      <c r="AO233" s="86">
        <f>AO232+(AJ233/2)</f>
        <v>3.3676940656664396</v>
      </c>
      <c r="AP233" s="89">
        <v>0</v>
      </c>
      <c r="AQ233" s="89">
        <f>AQ232+(AI233-AP232)</f>
        <v>1500</v>
      </c>
      <c r="AR233" s="85">
        <f t="shared" ref="AR233:AR243" si="51">((AP233+(AM233*AH233)-AQ233)/AQ233)</f>
        <v>-7.6802800131973381E-2</v>
      </c>
    </row>
    <row r="234" spans="26:44" ht="15.75" customHeight="1" x14ac:dyDescent="0.2">
      <c r="AC234" s="78"/>
      <c r="AD234" s="79" t="s">
        <v>75</v>
      </c>
      <c r="AE234" s="79"/>
      <c r="AF234" s="80" t="s">
        <v>70</v>
      </c>
      <c r="AG234" s="79" t="s">
        <v>80</v>
      </c>
      <c r="AH234" s="89">
        <v>199.37</v>
      </c>
      <c r="AI234" s="81">
        <v>500</v>
      </c>
      <c r="AJ234" s="86">
        <f t="shared" si="50"/>
        <v>2.5078998846366054</v>
      </c>
      <c r="AK234" s="86"/>
      <c r="AL234" s="89"/>
      <c r="AM234" s="86">
        <f>AJ234+AM233</f>
        <v>9.243288015969485</v>
      </c>
      <c r="AN234" s="86">
        <f>AN233+(AJ234/2)</f>
        <v>4.6216440079847425</v>
      </c>
      <c r="AO234" s="86">
        <f>AO233+(AJ234/2)</f>
        <v>4.6216440079847425</v>
      </c>
      <c r="AP234" s="89">
        <v>0</v>
      </c>
      <c r="AQ234" s="89">
        <f>AQ233+(AI234-AP233)</f>
        <v>2000</v>
      </c>
      <c r="AR234" s="85">
        <f t="shared" si="51"/>
        <v>-7.858283412808191E-2</v>
      </c>
    </row>
    <row r="235" spans="26:44" ht="15.75" customHeight="1" x14ac:dyDescent="0.2">
      <c r="AC235" s="78"/>
      <c r="AD235" s="79" t="s">
        <v>75</v>
      </c>
      <c r="AE235" s="79"/>
      <c r="AF235" s="80" t="s">
        <v>70</v>
      </c>
      <c r="AG235" s="79" t="s">
        <v>80</v>
      </c>
      <c r="AH235" s="89">
        <v>196.54</v>
      </c>
      <c r="AI235" s="81">
        <v>500</v>
      </c>
      <c r="AJ235" s="86">
        <f t="shared" si="50"/>
        <v>2.5440113971710594</v>
      </c>
      <c r="AK235" s="86"/>
      <c r="AL235" s="89"/>
      <c r="AM235" s="86">
        <f>AJ235+AM234</f>
        <v>11.787299413140545</v>
      </c>
      <c r="AN235" s="86">
        <f>AN234+(AJ235/2)</f>
        <v>5.8936497065702724</v>
      </c>
      <c r="AO235" s="86">
        <f>AO234+(AJ235/2)</f>
        <v>5.8936497065702724</v>
      </c>
      <c r="AP235" s="89">
        <v>0</v>
      </c>
      <c r="AQ235" s="89">
        <f>AQ234+(AI235-AP234)</f>
        <v>2500</v>
      </c>
      <c r="AR235" s="85">
        <f t="shared" si="51"/>
        <v>-7.3329669336542974E-2</v>
      </c>
    </row>
    <row r="236" spans="26:44" ht="15.75" customHeight="1" x14ac:dyDescent="0.2">
      <c r="AC236" s="78"/>
      <c r="AD236" s="79" t="s">
        <v>75</v>
      </c>
      <c r="AE236" s="79"/>
      <c r="AF236" s="80" t="s">
        <v>70</v>
      </c>
      <c r="AG236" s="79" t="s">
        <v>80</v>
      </c>
      <c r="AH236" s="89">
        <v>184.88</v>
      </c>
      <c r="AI236" s="81">
        <v>50</v>
      </c>
      <c r="AJ236" s="86">
        <f t="shared" si="50"/>
        <v>0.27044569450454348</v>
      </c>
      <c r="AK236" s="86"/>
      <c r="AL236" s="89"/>
      <c r="AM236" s="86">
        <f>AJ236+AM235</f>
        <v>12.057745107645088</v>
      </c>
      <c r="AN236" s="86">
        <f>AN235+(AJ236/2)</f>
        <v>6.0288725538225441</v>
      </c>
      <c r="AO236" s="86">
        <f>AO235+(AJ236/2)</f>
        <v>6.0288725538225441</v>
      </c>
      <c r="AP236" s="89">
        <v>0</v>
      </c>
      <c r="AQ236" s="89">
        <f>AQ235+(AI236-AP235)</f>
        <v>2550</v>
      </c>
      <c r="AR236" s="85">
        <f t="shared" si="51"/>
        <v>-0.12578983705826521</v>
      </c>
    </row>
    <row r="237" spans="26:44" ht="15.75" customHeight="1" x14ac:dyDescent="0.2">
      <c r="AC237" s="78"/>
      <c r="AD237" s="79" t="s">
        <v>75</v>
      </c>
      <c r="AE237" s="79"/>
      <c r="AF237" s="80" t="s">
        <v>70</v>
      </c>
      <c r="AG237" s="79" t="s">
        <v>80</v>
      </c>
      <c r="AH237" s="89">
        <v>180.62</v>
      </c>
      <c r="AI237" s="81">
        <v>50</v>
      </c>
      <c r="AJ237" s="86">
        <f t="shared" si="50"/>
        <v>0.27682427195216475</v>
      </c>
      <c r="AK237" s="86"/>
      <c r="AL237" s="89"/>
      <c r="AM237" s="86">
        <f>AJ237+AM236</f>
        <v>12.334569379597253</v>
      </c>
      <c r="AN237" s="86">
        <f>AN236+(AJ237/2)</f>
        <v>6.1672846897986267</v>
      </c>
      <c r="AO237" s="86">
        <f>AO236+(AJ237/2)</f>
        <v>6.1672846897986267</v>
      </c>
      <c r="AP237" s="89">
        <v>0</v>
      </c>
      <c r="AQ237" s="89">
        <f>AQ236+(AI237-AP236)</f>
        <v>2600</v>
      </c>
      <c r="AR237" s="85">
        <f t="shared" si="51"/>
        <v>-0.14312695332967085</v>
      </c>
    </row>
    <row r="238" spans="26:44" ht="15.75" customHeight="1" x14ac:dyDescent="0.2">
      <c r="AC238" s="71"/>
      <c r="AD238" s="72" t="s">
        <v>73</v>
      </c>
      <c r="AE238" s="72"/>
      <c r="AF238" s="74" t="s">
        <v>27</v>
      </c>
      <c r="AG238" s="72" t="s">
        <v>10</v>
      </c>
      <c r="AH238" s="90">
        <v>208.59</v>
      </c>
      <c r="AI238" s="72"/>
      <c r="AJ238" s="87">
        <v>0.13841000000000001</v>
      </c>
      <c r="AK238" s="87"/>
      <c r="AL238" s="90">
        <f>AH238*AJ238</f>
        <v>28.870941900000002</v>
      </c>
      <c r="AM238" s="87">
        <f>AM237-AJ238</f>
        <v>12.196159379597253</v>
      </c>
      <c r="AN238" s="87">
        <f>AN237-AJ238</f>
        <v>6.0288746897986263</v>
      </c>
      <c r="AO238" s="87">
        <f>AO237</f>
        <v>6.1672846897986267</v>
      </c>
      <c r="AP238" s="90">
        <f>AL238+AP232</f>
        <v>28.870941900000002</v>
      </c>
      <c r="AQ238" s="90">
        <f>AQ237</f>
        <v>2600</v>
      </c>
      <c r="AR238" s="77">
        <f t="shared" si="51"/>
        <v>-1.0435451196080277E-2</v>
      </c>
    </row>
    <row r="239" spans="26:44" ht="15.75" customHeight="1" x14ac:dyDescent="0.2">
      <c r="AC239" s="78"/>
      <c r="AD239" s="72" t="s">
        <v>73</v>
      </c>
      <c r="AE239" s="72"/>
      <c r="AF239" s="74" t="s">
        <v>27</v>
      </c>
      <c r="AG239" s="72" t="s">
        <v>10</v>
      </c>
      <c r="AH239" s="90">
        <v>208.54</v>
      </c>
      <c r="AI239" s="72"/>
      <c r="AJ239" s="87">
        <v>0.13522000000000001</v>
      </c>
      <c r="AK239" s="87"/>
      <c r="AL239" s="90">
        <f>AH239*AJ239</f>
        <v>28.198778799999999</v>
      </c>
      <c r="AM239" s="87">
        <f>AM238-AJ239</f>
        <v>12.060939379597253</v>
      </c>
      <c r="AN239" s="87">
        <f>AN238-AJ239</f>
        <v>5.8936546897986259</v>
      </c>
      <c r="AO239" s="87">
        <f>AO238</f>
        <v>6.1672846897986267</v>
      </c>
      <c r="AP239" s="90">
        <f>AL239+AP233</f>
        <v>28.198778799999999</v>
      </c>
      <c r="AQ239" s="90">
        <f>AQ238</f>
        <v>2600</v>
      </c>
      <c r="AR239" s="85">
        <f t="shared" si="51"/>
        <v>-2.1774201145688038E-2</v>
      </c>
    </row>
    <row r="240" spans="26:44" ht="15.75" customHeight="1" x14ac:dyDescent="0.2">
      <c r="AC240" s="71"/>
      <c r="AD240" s="72" t="s">
        <v>73</v>
      </c>
      <c r="AE240" s="72"/>
      <c r="AF240" s="74" t="s">
        <v>95</v>
      </c>
      <c r="AG240" s="72" t="s">
        <v>80</v>
      </c>
      <c r="AH240" s="90">
        <v>28.25</v>
      </c>
      <c r="AI240" s="72"/>
      <c r="AJ240" s="87">
        <f>AN239</f>
        <v>5.8936546897986259</v>
      </c>
      <c r="AK240" s="87"/>
      <c r="AL240" s="90">
        <f>AH240*AJ240</f>
        <v>166.49574498681119</v>
      </c>
      <c r="AM240" s="87">
        <f>AM239-AJ240</f>
        <v>6.1672846897986267</v>
      </c>
      <c r="AN240" s="87">
        <f>AN239-AJ240</f>
        <v>0</v>
      </c>
      <c r="AO240" s="87">
        <f>AO239</f>
        <v>6.1672846897986267</v>
      </c>
      <c r="AP240" s="90">
        <f>AP239+AL240</f>
        <v>194.6945237868112</v>
      </c>
      <c r="AQ240" s="90">
        <f>AQ239</f>
        <v>2600</v>
      </c>
      <c r="AR240" s="77">
        <f t="shared" si="51"/>
        <v>-0.85810757066399135</v>
      </c>
    </row>
    <row r="241" spans="29:44" ht="15.75" customHeight="1" x14ac:dyDescent="0.2">
      <c r="AC241" s="78"/>
      <c r="AD241" s="79" t="s">
        <v>75</v>
      </c>
      <c r="AE241" s="79"/>
      <c r="AF241" s="80" t="s">
        <v>89</v>
      </c>
      <c r="AG241" s="79" t="s">
        <v>80</v>
      </c>
      <c r="AH241" s="89">
        <v>28.39</v>
      </c>
      <c r="AI241" s="81">
        <v>200</v>
      </c>
      <c r="AJ241" s="86">
        <f>AI241/AH241</f>
        <v>7.0447340612891862</v>
      </c>
      <c r="AK241" s="86"/>
      <c r="AL241" s="89"/>
      <c r="AM241" s="86">
        <f>AM240+AJ241</f>
        <v>13.212018751087813</v>
      </c>
      <c r="AN241" s="86">
        <f>AN240+(AJ241/2)</f>
        <v>3.5223670306445931</v>
      </c>
      <c r="AO241" s="86">
        <f>AO240+(AJ241/2)</f>
        <v>9.6896517204432193</v>
      </c>
      <c r="AP241" s="89">
        <v>0</v>
      </c>
      <c r="AQ241" s="89">
        <f>AQ240+(AI241-AP240)</f>
        <v>2605.3054762131887</v>
      </c>
      <c r="AR241" s="85">
        <f t="shared" si="51"/>
        <v>-0.85602870152156774</v>
      </c>
    </row>
    <row r="242" spans="29:44" ht="15.75" customHeight="1" x14ac:dyDescent="0.2">
      <c r="AC242" s="78"/>
      <c r="AD242" s="80" t="s">
        <v>75</v>
      </c>
      <c r="AE242" s="80"/>
      <c r="AF242" s="80" t="s">
        <v>96</v>
      </c>
      <c r="AG242" s="80" t="s">
        <v>80</v>
      </c>
      <c r="AH242" s="89">
        <v>27.28</v>
      </c>
      <c r="AI242" s="81">
        <v>200</v>
      </c>
      <c r="AJ242" s="86">
        <f>AI242/AH242</f>
        <v>7.3313782991202343</v>
      </c>
      <c r="AK242" s="86"/>
      <c r="AL242" s="89"/>
      <c r="AM242" s="86">
        <f>AM241+AJ242</f>
        <v>20.543397050208046</v>
      </c>
      <c r="AN242" s="86">
        <f>AN241+(AJ242/2)</f>
        <v>7.1880561802047103</v>
      </c>
      <c r="AO242" s="86">
        <f>AO241+(AJ242/2)</f>
        <v>13.355340870003337</v>
      </c>
      <c r="AP242" s="89">
        <v>0</v>
      </c>
      <c r="AQ242" s="89">
        <f>AQ241+(AI242-AP241)</f>
        <v>2805.3054762131887</v>
      </c>
      <c r="AR242" s="85">
        <f t="shared" si="51"/>
        <v>-0.80022714949169182</v>
      </c>
    </row>
    <row r="243" spans="29:44" ht="15.75" customHeight="1" x14ac:dyDescent="0.2">
      <c r="AC243" s="78"/>
      <c r="AD243" s="80" t="s">
        <v>75</v>
      </c>
      <c r="AE243" s="80"/>
      <c r="AF243" s="80" t="s">
        <v>97</v>
      </c>
      <c r="AG243" s="80" t="s">
        <v>80</v>
      </c>
      <c r="AH243" s="89">
        <v>27.38</v>
      </c>
      <c r="AI243" s="81">
        <v>200</v>
      </c>
      <c r="AJ243" s="86">
        <f>AI243/AH243</f>
        <v>7.3046018991964941</v>
      </c>
      <c r="AK243" s="86"/>
      <c r="AL243" s="89"/>
      <c r="AM243" s="86">
        <f>AM242+AJ243</f>
        <v>27.847998949404541</v>
      </c>
      <c r="AN243" s="86">
        <f>AN242+(AJ243/2)</f>
        <v>10.840357129802957</v>
      </c>
      <c r="AO243" s="86">
        <f>AO242+(AJ243/2)</f>
        <v>17.007641819601584</v>
      </c>
      <c r="AP243" s="89">
        <v>0</v>
      </c>
      <c r="AQ243" s="89">
        <f>AQ242+(AI243-AP242)</f>
        <v>3005.3054762131887</v>
      </c>
      <c r="AR243" s="85">
        <f t="shared" si="51"/>
        <v>-0.74628928164884878</v>
      </c>
    </row>
  </sheetData>
  <pageMargins left="0.7" right="0.7" top="0.75" bottom="0.75" header="0.3" footer="0.3"/>
  <pageSetup orientation="portrait" horizontalDpi="300" verticalDpi="300" r:id="rId1"/>
  <ignoredErrors>
    <ignoredError sqref="AM148 AB149 AO150 AP147 BF148 BF150 BF153 AL160 AF160 BF161 AB160:AD160 AH160:AJ160 AE183:AE184"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4257812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0" t="s">
        <v>107</v>
      </c>
      <c r="C33" s="70" t="s">
        <v>109</v>
      </c>
      <c r="D33" s="70" t="s">
        <v>79</v>
      </c>
      <c r="E33" s="70" t="s">
        <v>126</v>
      </c>
      <c r="F33" s="70" t="s">
        <v>127</v>
      </c>
      <c r="G33" s="70" t="s">
        <v>82</v>
      </c>
    </row>
    <row r="34" spans="2:7" x14ac:dyDescent="0.2">
      <c r="B34" s="45" t="s">
        <v>128</v>
      </c>
      <c r="C34" s="97">
        <f>I16+I21+I22+I27</f>
        <v>5800</v>
      </c>
      <c r="D34" s="96" t="s">
        <v>34</v>
      </c>
      <c r="E34" s="96" t="s">
        <v>34</v>
      </c>
      <c r="F34" s="96" t="s">
        <v>34</v>
      </c>
      <c r="G34" s="96" t="s">
        <v>34</v>
      </c>
    </row>
    <row r="35" spans="2:7" x14ac:dyDescent="0.2">
      <c r="B35" s="45" t="s">
        <v>129</v>
      </c>
      <c r="C35" s="97">
        <f>I18+I26+I28</f>
        <v>4100</v>
      </c>
      <c r="D35" s="96" t="s">
        <v>34</v>
      </c>
      <c r="E35" s="96" t="s">
        <v>34</v>
      </c>
      <c r="F35" s="96" t="s">
        <v>34</v>
      </c>
      <c r="G35" s="96" t="s">
        <v>34</v>
      </c>
    </row>
    <row r="36" spans="2:7" x14ac:dyDescent="0.2">
      <c r="B36" s="45" t="s">
        <v>130</v>
      </c>
      <c r="C36" s="97">
        <f>I17+I19+I23+I24+I29</f>
        <v>6900</v>
      </c>
      <c r="D36" s="96" t="s">
        <v>34</v>
      </c>
      <c r="E36" s="96" t="s">
        <v>34</v>
      </c>
      <c r="F36" s="96" t="s">
        <v>34</v>
      </c>
      <c r="G36" s="96" t="s">
        <v>34</v>
      </c>
    </row>
    <row r="37" spans="2:7" x14ac:dyDescent="0.2">
      <c r="B37" s="45" t="s">
        <v>115</v>
      </c>
      <c r="C37" s="97">
        <f>I4+I20+I25</f>
        <v>3600</v>
      </c>
      <c r="D37" s="96" t="s">
        <v>34</v>
      </c>
      <c r="E37" s="96" t="s">
        <v>34</v>
      </c>
      <c r="F37" s="96" t="s">
        <v>34</v>
      </c>
      <c r="G37" s="96" t="s">
        <v>34</v>
      </c>
    </row>
    <row r="39" spans="2:7" x14ac:dyDescent="0.2">
      <c r="B39" s="45" t="s">
        <v>174</v>
      </c>
    </row>
    <row r="40" spans="2:7" x14ac:dyDescent="0.2">
      <c r="B40" s="70" t="s">
        <v>107</v>
      </c>
      <c r="C40" s="70" t="s">
        <v>109</v>
      </c>
      <c r="D40" s="70" t="s">
        <v>79</v>
      </c>
      <c r="E40" s="70" t="s">
        <v>126</v>
      </c>
      <c r="F40" s="70" t="s">
        <v>127</v>
      </c>
      <c r="G40" s="70" t="s">
        <v>82</v>
      </c>
    </row>
    <row r="41" spans="2:7" x14ac:dyDescent="0.2">
      <c r="B41" s="45" t="s">
        <v>134</v>
      </c>
      <c r="C41" s="63">
        <f>I16+I27</f>
        <v>3500</v>
      </c>
      <c r="D41" s="96" t="s">
        <v>34</v>
      </c>
      <c r="E41" s="96" t="s">
        <v>34</v>
      </c>
      <c r="F41" s="96" t="s">
        <v>34</v>
      </c>
      <c r="G41" s="96" t="s">
        <v>34</v>
      </c>
    </row>
    <row r="42" spans="2:7" x14ac:dyDescent="0.2">
      <c r="B42" s="45" t="s">
        <v>154</v>
      </c>
      <c r="C42" s="63">
        <f>I22</f>
        <v>1300</v>
      </c>
      <c r="D42" s="96" t="s">
        <v>34</v>
      </c>
      <c r="E42" s="96" t="s">
        <v>34</v>
      </c>
      <c r="F42" s="96" t="s">
        <v>34</v>
      </c>
      <c r="G42" s="96" t="s">
        <v>34</v>
      </c>
    </row>
    <row r="43" spans="2:7" x14ac:dyDescent="0.2">
      <c r="B43" s="45" t="s">
        <v>137</v>
      </c>
      <c r="C43" s="63">
        <f>I19+I21</f>
        <v>1500</v>
      </c>
      <c r="D43" s="96" t="s">
        <v>34</v>
      </c>
      <c r="E43" s="96" t="s">
        <v>34</v>
      </c>
      <c r="F43" s="96" t="s">
        <v>34</v>
      </c>
      <c r="G43" s="96" t="s">
        <v>34</v>
      </c>
    </row>
    <row r="44" spans="2:7" x14ac:dyDescent="0.2">
      <c r="B44" s="45" t="s">
        <v>160</v>
      </c>
      <c r="C44" s="63">
        <f>I17+I24</f>
        <v>4600</v>
      </c>
      <c r="D44" s="96" t="s">
        <v>34</v>
      </c>
      <c r="E44" s="96" t="s">
        <v>34</v>
      </c>
      <c r="F44" s="96" t="s">
        <v>34</v>
      </c>
      <c r="G44" s="96" t="s">
        <v>34</v>
      </c>
    </row>
    <row r="45" spans="2:7" x14ac:dyDescent="0.2">
      <c r="B45" s="45" t="s">
        <v>136</v>
      </c>
      <c r="C45" s="63">
        <v>0</v>
      </c>
      <c r="D45" s="96" t="s">
        <v>34</v>
      </c>
      <c r="E45" s="96" t="s">
        <v>34</v>
      </c>
      <c r="F45" s="96" t="s">
        <v>34</v>
      </c>
      <c r="G45" s="96" t="s">
        <v>34</v>
      </c>
    </row>
    <row r="46" spans="2:7" x14ac:dyDescent="0.2">
      <c r="B46" s="45" t="s">
        <v>157</v>
      </c>
      <c r="C46" s="63">
        <f>I23+I29</f>
        <v>1800</v>
      </c>
      <c r="D46" s="96" t="s">
        <v>34</v>
      </c>
      <c r="E46" s="96" t="s">
        <v>34</v>
      </c>
      <c r="F46" s="96" t="s">
        <v>34</v>
      </c>
      <c r="G46" s="96" t="s">
        <v>34</v>
      </c>
    </row>
    <row r="47" spans="2:7" x14ac:dyDescent="0.2">
      <c r="B47" s="45" t="s">
        <v>166</v>
      </c>
      <c r="C47" s="63">
        <f>I26+I28</f>
        <v>2600</v>
      </c>
      <c r="D47" s="96" t="s">
        <v>34</v>
      </c>
      <c r="E47" s="96" t="s">
        <v>34</v>
      </c>
      <c r="F47" s="96" t="s">
        <v>34</v>
      </c>
      <c r="G47" s="96" t="s">
        <v>34</v>
      </c>
    </row>
    <row r="48" spans="2: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2026-01-10T01:58:55Z</dcterms:modified>
</cp:coreProperties>
</file>