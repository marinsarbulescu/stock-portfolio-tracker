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B8A4D3A8-E7E4-4904-9B4F-C37A116DD407}" xr6:coauthVersionLast="47" xr6:coauthVersionMax="47" xr10:uidLastSave="{00000000-0000-0000-0000-000000000000}"/>
  <bookViews>
    <workbookView xWindow="2700" yWindow="195"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0" i="14" l="1"/>
  <c r="AI120" i="14"/>
  <c r="AH120" i="14"/>
  <c r="AJ120" i="14"/>
  <c r="AK120" i="14"/>
  <c r="AL120" i="14" s="1"/>
  <c r="AD120" i="14"/>
  <c r="AC120" i="14"/>
  <c r="AX120" i="14"/>
  <c r="AV120" i="14"/>
  <c r="AP120" i="14"/>
  <c r="AO120" i="14"/>
  <c r="AW120" i="14" s="1"/>
  <c r="AN120" i="14"/>
  <c r="AQ120" i="14" s="1"/>
  <c r="AR120" i="14" s="1"/>
  <c r="AU120" i="14"/>
  <c r="AB120" i="14"/>
  <c r="AE120" i="14" s="1"/>
  <c r="AF120" i="14" s="1"/>
  <c r="U120" i="14"/>
  <c r="AX119" i="14"/>
  <c r="AQ119" i="14"/>
  <c r="AR119" i="14" s="1"/>
  <c r="AP119" i="14"/>
  <c r="AO119" i="14"/>
  <c r="AW119" i="14" s="1"/>
  <c r="AN119" i="14"/>
  <c r="AJ119" i="14"/>
  <c r="AI119" i="14"/>
  <c r="AV119" i="14" s="1"/>
  <c r="AH119" i="14"/>
  <c r="AK119" i="14" s="1"/>
  <c r="AL119" i="14" s="1"/>
  <c r="AD119" i="14"/>
  <c r="AC119" i="14"/>
  <c r="AU119" i="14" s="1"/>
  <c r="AB119" i="14"/>
  <c r="AE119" i="14" s="1"/>
  <c r="AF119" i="14" s="1"/>
  <c r="W119" i="14"/>
  <c r="AY119" i="14" s="1"/>
  <c r="AY118" i="14"/>
  <c r="AZ118" i="14"/>
  <c r="AO118" i="14"/>
  <c r="AN118" i="14"/>
  <c r="AI118" i="14"/>
  <c r="AH118" i="14"/>
  <c r="AE118" i="14"/>
  <c r="AC118" i="14"/>
  <c r="AB118" i="14"/>
  <c r="AX118" i="14"/>
  <c r="BB118" i="14" s="1"/>
  <c r="AP118" i="14"/>
  <c r="AW118" i="14"/>
  <c r="AQ118" i="14"/>
  <c r="AR118" i="14" s="1"/>
  <c r="AJ118" i="14"/>
  <c r="AV118" i="14"/>
  <c r="AK118" i="14"/>
  <c r="AL118" i="14" s="1"/>
  <c r="AD118" i="14"/>
  <c r="AU118" i="14"/>
  <c r="AF118" i="14"/>
  <c r="AY117" i="14"/>
  <c r="AX117" i="14"/>
  <c r="AP117" i="14"/>
  <c r="AO117" i="14"/>
  <c r="AN117" i="14"/>
  <c r="AJ117" i="14"/>
  <c r="AI117" i="14"/>
  <c r="AH117" i="14"/>
  <c r="AE117" i="14"/>
  <c r="AD117" i="14"/>
  <c r="AC117" i="14"/>
  <c r="AB117" i="14"/>
  <c r="BB117" i="14"/>
  <c r="AW117" i="14"/>
  <c r="AQ117" i="14"/>
  <c r="AR117" i="14" s="1"/>
  <c r="AV117" i="14"/>
  <c r="AK117" i="14"/>
  <c r="AL117" i="14" s="1"/>
  <c r="AU117" i="14"/>
  <c r="AF117" i="14"/>
  <c r="W117" i="14"/>
  <c r="BB116" i="14"/>
  <c r="AX116" i="14"/>
  <c r="W116" i="14"/>
  <c r="AD116" i="14" s="1"/>
  <c r="U116" i="14"/>
  <c r="AN116" i="14" s="1"/>
  <c r="AQ116" i="14" s="1"/>
  <c r="AR116" i="14" s="1"/>
  <c r="AX108" i="14"/>
  <c r="BB108" i="14" s="1"/>
  <c r="W108" i="14"/>
  <c r="AP108" i="14" s="1"/>
  <c r="U108" i="14"/>
  <c r="AN108" i="14" s="1"/>
  <c r="AQ108" i="14" s="1"/>
  <c r="AR108" i="14" s="1"/>
  <c r="U100" i="14"/>
  <c r="U92" i="14"/>
  <c r="U94" i="14" s="1"/>
  <c r="W88" i="14"/>
  <c r="U88" i="14"/>
  <c r="X88" i="14" s="1"/>
  <c r="AY85" i="14"/>
  <c r="X87" i="14"/>
  <c r="W82" i="14"/>
  <c r="AJ82" i="14" s="1"/>
  <c r="AJ85" i="14" s="1"/>
  <c r="AJ88" i="14" s="1"/>
  <c r="AJ90" i="14" s="1"/>
  <c r="AJ94" i="14" s="1"/>
  <c r="AJ96" i="14" s="1"/>
  <c r="AJ100" i="14" s="1"/>
  <c r="AJ102" i="14" s="1"/>
  <c r="U82" i="14"/>
  <c r="U85" i="14" s="1"/>
  <c r="AX80" i="14"/>
  <c r="BB80" i="14" s="1"/>
  <c r="U81" i="14"/>
  <c r="U83" i="14" s="1"/>
  <c r="U86" i="14" s="1"/>
  <c r="W80" i="14"/>
  <c r="AD80" i="14" s="1"/>
  <c r="AD81" i="14" s="1"/>
  <c r="AD83" i="14" s="1"/>
  <c r="AD86" i="14" s="1"/>
  <c r="U80" i="14"/>
  <c r="AB80" i="14" s="1"/>
  <c r="AE80" i="14" s="1"/>
  <c r="AF80" i="14" s="1"/>
  <c r="AW66" i="14"/>
  <c r="U66" i="14"/>
  <c r="AB66" i="14" s="1"/>
  <c r="AB68" i="14" s="1"/>
  <c r="AB75" i="14" s="1"/>
  <c r="AE75" i="14" s="1"/>
  <c r="AF75" i="14" s="1"/>
  <c r="W64" i="14"/>
  <c r="AP64" i="14" s="1"/>
  <c r="U64" i="14"/>
  <c r="AH64" i="14" s="1"/>
  <c r="AK64" i="14" s="1"/>
  <c r="AL64" i="14" s="1"/>
  <c r="AL66" i="14" s="1"/>
  <c r="AL68" i="14" s="1"/>
  <c r="AL75"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81" i="14"/>
  <c r="AH181" i="14"/>
  <c r="AJ181" i="14" s="1"/>
  <c r="AC181" i="14"/>
  <c r="AB181" i="14"/>
  <c r="AD181" i="14" s="1"/>
  <c r="AN181" i="14" s="1"/>
  <c r="W181" i="14"/>
  <c r="AI177" i="14"/>
  <c r="AI178" i="14" s="1"/>
  <c r="AI179" i="14" s="1"/>
  <c r="AI180" i="14" s="1"/>
  <c r="AH177" i="14"/>
  <c r="AJ177" i="14" s="1"/>
  <c r="AO177" i="14" s="1"/>
  <c r="AC177" i="14"/>
  <c r="AC178" i="14" s="1"/>
  <c r="AC179" i="14" s="1"/>
  <c r="AC180" i="14" s="1"/>
  <c r="AB177" i="14"/>
  <c r="AD177" i="14" s="1"/>
  <c r="W177" i="14"/>
  <c r="AB198" i="14"/>
  <c r="AC198" i="14" s="1"/>
  <c r="AF199" i="14"/>
  <c r="AE199" i="14"/>
  <c r="W199" i="14"/>
  <c r="AB199" i="14"/>
  <c r="AG199" i="14"/>
  <c r="AG195" i="14"/>
  <c r="AG196" i="14"/>
  <c r="AG198" i="14"/>
  <c r="AF198" i="14"/>
  <c r="W198" i="14"/>
  <c r="AB197" i="14"/>
  <c r="AC197" i="14" s="1"/>
  <c r="AB196" i="14"/>
  <c r="AC196" i="14" s="1"/>
  <c r="AB195" i="14"/>
  <c r="AC195" i="14" s="1"/>
  <c r="AG197" i="14"/>
  <c r="AF196" i="14"/>
  <c r="AF197" i="14"/>
  <c r="AF195" i="14"/>
  <c r="W197" i="14"/>
  <c r="W196" i="14"/>
  <c r="W195" i="14"/>
  <c r="AG194" i="14"/>
  <c r="AE194" i="14"/>
  <c r="AE193" i="14"/>
  <c r="W194" i="14"/>
  <c r="W193" i="14"/>
  <c r="C50" i="15"/>
  <c r="C49" i="15"/>
  <c r="C48" i="15"/>
  <c r="C47" i="15"/>
  <c r="C46" i="15"/>
  <c r="C44" i="15"/>
  <c r="C43" i="15"/>
  <c r="C42" i="15"/>
  <c r="C41" i="15"/>
  <c r="C37" i="15"/>
  <c r="C36" i="15"/>
  <c r="C35" i="15"/>
  <c r="C34" i="15"/>
  <c r="W173" i="14"/>
  <c r="AI173" i="14"/>
  <c r="AI174" i="14" s="1"/>
  <c r="AI175" i="14" s="1"/>
  <c r="AI176" i="14" s="1"/>
  <c r="AH173" i="14"/>
  <c r="AJ173" i="14" s="1"/>
  <c r="AO173" i="14" s="1"/>
  <c r="AC173" i="14"/>
  <c r="AC174" i="14" s="1"/>
  <c r="AC175" i="14" s="1"/>
  <c r="AC176" i="14" s="1"/>
  <c r="AB173" i="14"/>
  <c r="AB174" i="14" s="1"/>
  <c r="AB175" i="14" s="1"/>
  <c r="AB176" i="14" s="1"/>
  <c r="AL230" i="14"/>
  <c r="AP230" i="14" s="1"/>
  <c r="AJ228" i="14"/>
  <c r="AJ227" i="14"/>
  <c r="AJ226" i="14"/>
  <c r="AJ225" i="14"/>
  <c r="AJ224" i="14"/>
  <c r="AJ234" i="14"/>
  <c r="AJ233" i="14"/>
  <c r="AJ232" i="14"/>
  <c r="AQ223" i="14"/>
  <c r="AJ223" i="14"/>
  <c r="AL217" i="14"/>
  <c r="AL215" i="14"/>
  <c r="AO209" i="14"/>
  <c r="AN209" i="14"/>
  <c r="AJ210" i="14" s="1"/>
  <c r="AL210" i="14" s="1"/>
  <c r="AP210" i="14" s="1"/>
  <c r="AQ209" i="14"/>
  <c r="AL214" i="14"/>
  <c r="AP214" i="14" s="1"/>
  <c r="AJ213" i="14"/>
  <c r="AL212" i="14"/>
  <c r="AP212" i="14" s="1"/>
  <c r="AJ211" i="14"/>
  <c r="AM211" i="14" s="1"/>
  <c r="AM212" i="14" s="1"/>
  <c r="AJ209" i="14"/>
  <c r="AI166" i="14"/>
  <c r="AI167" i="14" s="1"/>
  <c r="AI168" i="14" s="1"/>
  <c r="AI169" i="14" s="1"/>
  <c r="AC166" i="14"/>
  <c r="AC167" i="14" s="1"/>
  <c r="AC168" i="14" s="1"/>
  <c r="AC169" i="14" s="1"/>
  <c r="AC159" i="14"/>
  <c r="AI161" i="14"/>
  <c r="AI157" i="14"/>
  <c r="AC157" i="14"/>
  <c r="AJ152" i="14"/>
  <c r="AJ150" i="14"/>
  <c r="AJ151" i="14" s="1"/>
  <c r="AJ153" i="14" s="1"/>
  <c r="AD152" i="14"/>
  <c r="AD150" i="14"/>
  <c r="AJ146" i="14"/>
  <c r="AJ142" i="14"/>
  <c r="AJ145" i="14" s="1"/>
  <c r="AD146" i="14"/>
  <c r="AJ139" i="14"/>
  <c r="AJ141" i="14" s="1"/>
  <c r="AJ144" i="14" s="1"/>
  <c r="AJ137" i="14"/>
  <c r="AD140" i="14"/>
  <c r="AD142" i="14" s="1"/>
  <c r="AD145" i="14" s="1"/>
  <c r="AD139" i="14"/>
  <c r="AD141" i="14" s="1"/>
  <c r="AD144" i="14" s="1"/>
  <c r="AD137" i="14"/>
  <c r="BI152" i="14"/>
  <c r="AH152" i="14"/>
  <c r="AC152" i="14"/>
  <c r="AB152" i="14"/>
  <c r="AI152" i="14"/>
  <c r="W152" i="14"/>
  <c r="BK151" i="14"/>
  <c r="BJ151" i="14"/>
  <c r="BI151" i="14"/>
  <c r="BH151" i="14"/>
  <c r="BG151" i="14"/>
  <c r="BF151" i="14"/>
  <c r="BE151" i="14"/>
  <c r="BC151" i="14"/>
  <c r="BB151" i="14"/>
  <c r="BA151" i="14"/>
  <c r="AZ151" i="14"/>
  <c r="AY151" i="14"/>
  <c r="AX151" i="14"/>
  <c r="AW151" i="14"/>
  <c r="AV151" i="14"/>
  <c r="AU151" i="14"/>
  <c r="AT151" i="14"/>
  <c r="AS151" i="14"/>
  <c r="AR151" i="14"/>
  <c r="AV152" i="14"/>
  <c r="AW152" i="14" s="1"/>
  <c r="AU152" i="14"/>
  <c r="AT152" i="14"/>
  <c r="AS152" i="14"/>
  <c r="AR152" i="14"/>
  <c r="AI150" i="14"/>
  <c r="AI151" i="14" s="1"/>
  <c r="AI153" i="14" s="1"/>
  <c r="AH150" i="14"/>
  <c r="AH151" i="14" s="1"/>
  <c r="AH153" i="14" s="1"/>
  <c r="AC150" i="14"/>
  <c r="AC151" i="14" s="1"/>
  <c r="AC153" i="14" s="1"/>
  <c r="AB150" i="14"/>
  <c r="W150" i="14"/>
  <c r="AW144" i="14"/>
  <c r="AV144" i="14"/>
  <c r="AU144" i="14"/>
  <c r="AT144" i="14"/>
  <c r="AS144" i="14"/>
  <c r="AR144" i="14"/>
  <c r="BI138" i="14"/>
  <c r="BI139" i="14" s="1"/>
  <c r="BI141" i="14" s="1"/>
  <c r="BI143" i="14" s="1"/>
  <c r="BI144" i="14" s="1"/>
  <c r="AV138" i="14"/>
  <c r="AV139" i="14" s="1"/>
  <c r="W144" i="14"/>
  <c r="W141" i="14"/>
  <c r="W139" i="14"/>
  <c r="W137" i="14"/>
  <c r="BG138" i="14"/>
  <c r="BF138" i="14"/>
  <c r="BC138" i="14"/>
  <c r="BB138" i="14"/>
  <c r="BA138" i="14"/>
  <c r="AZ138" i="14"/>
  <c r="AY138" i="14"/>
  <c r="AX138" i="14"/>
  <c r="BH138" i="14"/>
  <c r="AU138" i="14"/>
  <c r="AU139" i="14" s="1"/>
  <c r="AU141" i="14" s="1"/>
  <c r="AU143" i="14" s="1"/>
  <c r="AS138" i="14"/>
  <c r="AS139" i="14" s="1"/>
  <c r="AS141" i="14" s="1"/>
  <c r="AS143" i="14" s="1"/>
  <c r="AT138" i="14"/>
  <c r="AT139" i="14" s="1"/>
  <c r="AT141" i="14" s="1"/>
  <c r="AR138" i="14"/>
  <c r="AR139" i="14" s="1"/>
  <c r="AR141" i="14" s="1"/>
  <c r="AH169" i="14"/>
  <c r="AB169" i="14"/>
  <c r="AH168" i="14"/>
  <c r="AB167" i="14"/>
  <c r="AH166" i="14"/>
  <c r="AB166" i="14"/>
  <c r="AH161" i="14"/>
  <c r="AB159" i="14"/>
  <c r="AH157" i="14"/>
  <c r="AB157" i="14"/>
  <c r="AI146" i="14"/>
  <c r="AH146" i="14"/>
  <c r="AC146" i="14"/>
  <c r="AB146" i="14"/>
  <c r="AI142" i="14"/>
  <c r="AH142" i="14"/>
  <c r="AC140" i="14"/>
  <c r="AB140" i="14"/>
  <c r="AB142" i="14" s="1"/>
  <c r="AI137" i="14"/>
  <c r="AH137" i="14"/>
  <c r="AC137" i="14"/>
  <c r="AB137" i="14"/>
  <c r="AB139" i="14" s="1"/>
  <c r="AB141"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W120" i="14" l="1"/>
  <c r="AY120" i="14" s="1"/>
  <c r="AT120" i="14"/>
  <c r="AZ120" i="14" s="1"/>
  <c r="BA120" i="14"/>
  <c r="Y120" i="14"/>
  <c r="Z120" i="14" s="1"/>
  <c r="BB120" i="14"/>
  <c r="AT119" i="14"/>
  <c r="AZ119" i="14" s="1"/>
  <c r="BA119" i="14" s="1"/>
  <c r="BB119" i="14"/>
  <c r="AT118" i="14"/>
  <c r="BA118" i="14"/>
  <c r="AT117" i="14"/>
  <c r="AZ117" i="14" s="1"/>
  <c r="BA117" i="14" s="1"/>
  <c r="AB116" i="14"/>
  <c r="AE116" i="14" s="1"/>
  <c r="AF116" i="14" s="1"/>
  <c r="AJ116" i="14"/>
  <c r="AP116" i="14"/>
  <c r="V116" i="14"/>
  <c r="X116" i="14"/>
  <c r="AH116" i="14"/>
  <c r="AK116" i="14" s="1"/>
  <c r="AL116" i="14" s="1"/>
  <c r="V108" i="14"/>
  <c r="AH108" i="14"/>
  <c r="AK108" i="14" s="1"/>
  <c r="AL108" i="14" s="1"/>
  <c r="AD108" i="14"/>
  <c r="AJ108" i="14"/>
  <c r="AB108" i="14"/>
  <c r="AE108" i="14" s="1"/>
  <c r="AF108" i="14" s="1"/>
  <c r="X108" i="14"/>
  <c r="AD89" i="14"/>
  <c r="AD91" i="14" s="1"/>
  <c r="AD93" i="14" s="1"/>
  <c r="AD95" i="14" s="1"/>
  <c r="AD97" i="14" s="1"/>
  <c r="AD99" i="14" s="1"/>
  <c r="AD101" i="14" s="1"/>
  <c r="AD103" i="14" s="1"/>
  <c r="AX81" i="14"/>
  <c r="W84" i="14"/>
  <c r="W87" i="14" s="1"/>
  <c r="W85" i="14"/>
  <c r="U84" i="14"/>
  <c r="U87" i="14" s="1"/>
  <c r="AN80" i="14"/>
  <c r="AB81" i="14"/>
  <c r="AB83" i="14" s="1"/>
  <c r="V88" i="14"/>
  <c r="V82" i="14"/>
  <c r="V85" i="14" s="1"/>
  <c r="X82" i="14"/>
  <c r="X85" i="14" s="1"/>
  <c r="AB82" i="14"/>
  <c r="AH82" i="14"/>
  <c r="AI82" i="14"/>
  <c r="AD82" i="14"/>
  <c r="AD85" i="14" s="1"/>
  <c r="AD88" i="14" s="1"/>
  <c r="AD90" i="14" s="1"/>
  <c r="AD92" i="14" s="1"/>
  <c r="AD94" i="14" s="1"/>
  <c r="AD96" i="14" s="1"/>
  <c r="AD98" i="14" s="1"/>
  <c r="AD100" i="14" s="1"/>
  <c r="AD102" i="14" s="1"/>
  <c r="AE81" i="14"/>
  <c r="AF81" i="14" s="1"/>
  <c r="AP80" i="14"/>
  <c r="AP81" i="14" s="1"/>
  <c r="AP82" i="14" s="1"/>
  <c r="AP85" i="14" s="1"/>
  <c r="AP88" i="14" s="1"/>
  <c r="AP90" i="14" s="1"/>
  <c r="AP92" i="14" s="1"/>
  <c r="AP94" i="14" s="1"/>
  <c r="AP96" i="14" s="1"/>
  <c r="AP98" i="14" s="1"/>
  <c r="AP100" i="14" s="1"/>
  <c r="AP102" i="14" s="1"/>
  <c r="X80" i="14"/>
  <c r="X84" i="14" s="1"/>
  <c r="V80" i="14"/>
  <c r="V84" i="14" s="1"/>
  <c r="V87" i="14" s="1"/>
  <c r="AH80" i="14"/>
  <c r="AJ80" i="14"/>
  <c r="AJ81" i="14" s="1"/>
  <c r="AJ83" i="14" s="1"/>
  <c r="AJ86" i="14" s="1"/>
  <c r="AJ89" i="14" s="1"/>
  <c r="AJ91" i="14" s="1"/>
  <c r="AJ93" i="14" s="1"/>
  <c r="AJ95" i="14" s="1"/>
  <c r="AJ97" i="14" s="1"/>
  <c r="AJ99" i="14" s="1"/>
  <c r="AJ101" i="14" s="1"/>
  <c r="AJ103" i="14" s="1"/>
  <c r="AH66" i="14"/>
  <c r="AH68" i="14" s="1"/>
  <c r="AH75" i="14" s="1"/>
  <c r="AK66" i="14"/>
  <c r="AK68" i="14" s="1"/>
  <c r="AK75" i="14" s="1"/>
  <c r="AB64" i="14"/>
  <c r="AE64" i="14" s="1"/>
  <c r="AD64" i="14"/>
  <c r="AD66" i="14" s="1"/>
  <c r="AD68" i="14" s="1"/>
  <c r="AD75" i="14" s="1"/>
  <c r="AJ64" i="14"/>
  <c r="AJ66" i="14" s="1"/>
  <c r="AJ68" i="14" s="1"/>
  <c r="AJ75" i="14" s="1"/>
  <c r="V64" i="14"/>
  <c r="AN64" i="14"/>
  <c r="AQ64" i="14" s="1"/>
  <c r="AR64" i="14" s="1"/>
  <c r="X64" i="14"/>
  <c r="V59" i="14"/>
  <c r="AP57" i="14"/>
  <c r="AP59" i="14" s="1"/>
  <c r="AU55" i="14"/>
  <c r="AU57" i="14" s="1"/>
  <c r="AI52" i="14"/>
  <c r="AI54" i="14" s="1"/>
  <c r="AI56" i="14" s="1"/>
  <c r="AI58" i="14" s="1"/>
  <c r="AJ52" i="14"/>
  <c r="AJ54" i="14" s="1"/>
  <c r="AJ56" i="14" s="1"/>
  <c r="AJ58" i="14" s="1"/>
  <c r="AJ53" i="14"/>
  <c r="AJ55" i="14" s="1"/>
  <c r="AJ57" i="14" s="1"/>
  <c r="AJ59" i="14" s="1"/>
  <c r="AN53" i="14"/>
  <c r="V53" i="14"/>
  <c r="AD53" i="14"/>
  <c r="AD55" i="14" s="1"/>
  <c r="AD57" i="14" s="1"/>
  <c r="AD59" i="14" s="1"/>
  <c r="AB53" i="14"/>
  <c r="AH53" i="14"/>
  <c r="AO52" i="14"/>
  <c r="AO54" i="14" s="1"/>
  <c r="AO56" i="14" s="1"/>
  <c r="AO58" i="14" s="1"/>
  <c r="AP52" i="14"/>
  <c r="AP54" i="14" s="1"/>
  <c r="AP56" i="14" s="1"/>
  <c r="AP58"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81" i="14"/>
  <c r="AO181" i="14"/>
  <c r="AK181" i="14"/>
  <c r="AE181" i="14"/>
  <c r="AN177" i="14"/>
  <c r="AE177" i="14"/>
  <c r="AF177" i="14"/>
  <c r="AF178" i="14" s="1"/>
  <c r="AF179" i="14" s="1"/>
  <c r="AF180" i="14" s="1"/>
  <c r="AF181" i="14" s="1"/>
  <c r="AB178" i="14"/>
  <c r="AB179" i="14" s="1"/>
  <c r="AB180" i="14" s="1"/>
  <c r="AD173" i="14"/>
  <c r="AD174" i="14" s="1"/>
  <c r="AK177" i="14"/>
  <c r="AJ174" i="14"/>
  <c r="AO174" i="14" s="1"/>
  <c r="AD178" i="14"/>
  <c r="AL177" i="14"/>
  <c r="AL178" i="14" s="1"/>
  <c r="AL179" i="14" s="1"/>
  <c r="AL180" i="14" s="1"/>
  <c r="AJ178" i="14"/>
  <c r="AO178" i="14" s="1"/>
  <c r="AM213" i="14"/>
  <c r="AM214" i="14" s="1"/>
  <c r="AP215" i="14"/>
  <c r="AP216" i="14" s="1"/>
  <c r="AK173" i="14"/>
  <c r="AF173" i="14"/>
  <c r="AF174" i="14" s="1"/>
  <c r="AF175" i="14" s="1"/>
  <c r="AF176" i="14" s="1"/>
  <c r="AL173" i="14"/>
  <c r="AL174" i="14" s="1"/>
  <c r="AL175" i="14" s="1"/>
  <c r="AL176" i="14" s="1"/>
  <c r="AF152" i="14"/>
  <c r="AR209" i="14"/>
  <c r="AQ224" i="14"/>
  <c r="AQ225" i="14" s="1"/>
  <c r="AQ226" i="14" s="1"/>
  <c r="AQ227" i="14" s="1"/>
  <c r="AQ228" i="14" s="1"/>
  <c r="AQ229" i="14" s="1"/>
  <c r="AQ230" i="14" s="1"/>
  <c r="AR223" i="14"/>
  <c r="AM223" i="14"/>
  <c r="AM224" i="14" s="1"/>
  <c r="AM225" i="14" s="1"/>
  <c r="AN211" i="14"/>
  <c r="AN212" i="14" s="1"/>
  <c r="AN213" i="14" s="1"/>
  <c r="AN214" i="14" s="1"/>
  <c r="AN215" i="14" s="1"/>
  <c r="AN216" i="14" s="1"/>
  <c r="AN217" i="14" s="1"/>
  <c r="AN218" i="14" s="1"/>
  <c r="AO211" i="14"/>
  <c r="AO212" i="14" s="1"/>
  <c r="AO213" i="14" s="1"/>
  <c r="AO214" i="14" s="1"/>
  <c r="AO215" i="14" s="1"/>
  <c r="AO216" i="14" s="1"/>
  <c r="AO217" i="14" s="1"/>
  <c r="AO218" i="14" s="1"/>
  <c r="AQ210" i="14"/>
  <c r="AL152" i="14"/>
  <c r="AD151" i="14"/>
  <c r="AD153" i="14" s="1"/>
  <c r="AB151" i="14"/>
  <c r="AB153" i="14" s="1"/>
  <c r="AF150" i="14"/>
  <c r="AF151" i="14" s="1"/>
  <c r="AF153" i="14" s="1"/>
  <c r="AL150" i="14"/>
  <c r="AL151" i="14" s="1"/>
  <c r="AL153" i="14" s="1"/>
  <c r="AR143" i="14"/>
  <c r="BE138" i="14"/>
  <c r="BJ138" i="14" s="1"/>
  <c r="BK138" i="14" s="1"/>
  <c r="AT143" i="14"/>
  <c r="AW138" i="14"/>
  <c r="AL169" i="14"/>
  <c r="AF167" i="14"/>
  <c r="AL168" i="14"/>
  <c r="AF169" i="14"/>
  <c r="AF157" i="14"/>
  <c r="AF166" i="14"/>
  <c r="AL157" i="14"/>
  <c r="AF159" i="14"/>
  <c r="AL161" i="14"/>
  <c r="AL166" i="14"/>
  <c r="AL146" i="14"/>
  <c r="AO144" i="14" s="1"/>
  <c r="AZ144" i="14" s="1"/>
  <c r="BA144" i="14" s="1"/>
  <c r="AF146" i="14"/>
  <c r="AM144" i="14" s="1"/>
  <c r="AL142" i="14"/>
  <c r="AL137" i="14"/>
  <c r="AO137" i="14" s="1"/>
  <c r="AO138" i="14" s="1"/>
  <c r="AO139" i="14" s="1"/>
  <c r="AF137" i="14"/>
  <c r="AM137" i="14" s="1"/>
  <c r="AF140" i="14"/>
  <c r="O8" i="12"/>
  <c r="O7" i="12" s="1"/>
  <c r="O8" i="9"/>
  <c r="O7" i="9" s="1"/>
  <c r="O8" i="11"/>
  <c r="O7" i="11" s="1"/>
  <c r="O8" i="6"/>
  <c r="O7" i="6" s="1"/>
  <c r="J3" i="9"/>
  <c r="J3" i="12"/>
  <c r="J4" i="6"/>
  <c r="J4" i="12"/>
  <c r="J4" i="9"/>
  <c r="J5" i="12"/>
  <c r="J5" i="9"/>
  <c r="J6" i="12"/>
  <c r="AC116" i="14" l="1"/>
  <c r="AU116" i="14" s="1"/>
  <c r="AO116" i="14"/>
  <c r="AW116" i="14" s="1"/>
  <c r="AI116" i="14"/>
  <c r="AV116" i="14" s="1"/>
  <c r="AP32" i="14"/>
  <c r="AP28" i="14"/>
  <c r="AO108" i="14"/>
  <c r="AW108" i="14" s="1"/>
  <c r="AC108" i="14"/>
  <c r="AU108" i="14" s="1"/>
  <c r="AI108" i="14"/>
  <c r="AV108" i="14" s="1"/>
  <c r="AC82" i="14"/>
  <c r="AI85" i="14"/>
  <c r="AI88" i="14" s="1"/>
  <c r="AC85" i="14"/>
  <c r="AC88" i="14" s="1"/>
  <c r="AK80" i="14"/>
  <c r="AL80" i="14" s="1"/>
  <c r="AH81" i="14"/>
  <c r="AK82" i="14"/>
  <c r="AL82" i="14" s="1"/>
  <c r="AH85" i="14"/>
  <c r="AE82" i="14"/>
  <c r="AF82" i="14" s="1"/>
  <c r="AF85" i="14" s="1"/>
  <c r="AB85" i="14"/>
  <c r="AQ80" i="14"/>
  <c r="AR80" i="14" s="1"/>
  <c r="AN81" i="14"/>
  <c r="AE83" i="14"/>
  <c r="AF83" i="14" s="1"/>
  <c r="AF86" i="14" s="1"/>
  <c r="AB86" i="14"/>
  <c r="AC80" i="14"/>
  <c r="AO80" i="14"/>
  <c r="AI80" i="14"/>
  <c r="AF64" i="14"/>
  <c r="AF66" i="14" s="1"/>
  <c r="AF68" i="14" s="1"/>
  <c r="AE66" i="14"/>
  <c r="AE68" i="14" s="1"/>
  <c r="AC64" i="14"/>
  <c r="AC66" i="14" s="1"/>
  <c r="AO64" i="14"/>
  <c r="AI64" i="14"/>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75" i="14"/>
  <c r="AO175" i="14" s="1"/>
  <c r="AK174"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52" i="14"/>
  <c r="AZ152" i="14" s="1"/>
  <c r="BG152" i="14" s="1"/>
  <c r="BH152" i="14" s="1"/>
  <c r="AM152" i="14"/>
  <c r="AN178" i="14"/>
  <c r="AE178" i="14"/>
  <c r="AN174" i="14"/>
  <c r="AE174" i="14"/>
  <c r="AN173" i="14"/>
  <c r="AE173" i="14"/>
  <c r="AK178" i="14"/>
  <c r="AJ179" i="14"/>
  <c r="AO179" i="14" s="1"/>
  <c r="AD179" i="14"/>
  <c r="AD175" i="14"/>
  <c r="AR225" i="14"/>
  <c r="AM226" i="14"/>
  <c r="AR224" i="14"/>
  <c r="AO223" i="14"/>
  <c r="AN223" i="14"/>
  <c r="AN224" i="14" s="1"/>
  <c r="AN225" i="14" s="1"/>
  <c r="AN226" i="14" s="1"/>
  <c r="AN227" i="14" s="1"/>
  <c r="AN228" i="14" s="1"/>
  <c r="AN229" i="14" s="1"/>
  <c r="AN230" i="14" s="1"/>
  <c r="AQ211" i="14"/>
  <c r="AQ212" i="14" s="1"/>
  <c r="AR212" i="14" s="1"/>
  <c r="AM215" i="14"/>
  <c r="AM216" i="14" s="1"/>
  <c r="AM217" i="14" s="1"/>
  <c r="AM218" i="14" s="1"/>
  <c r="AP217" i="14"/>
  <c r="AR210" i="14"/>
  <c r="AO150" i="14"/>
  <c r="AO151" i="14" s="1"/>
  <c r="AM150" i="14"/>
  <c r="AM151" i="14" s="1"/>
  <c r="AZ139" i="14"/>
  <c r="BG139" i="14" s="1"/>
  <c r="BH139" i="14" s="1"/>
  <c r="AO141" i="14"/>
  <c r="AX144" i="14"/>
  <c r="AP144" i="14"/>
  <c r="BG144" i="14"/>
  <c r="BH144" i="14" s="1"/>
  <c r="AW139" i="14"/>
  <c r="AW141" i="14" s="1"/>
  <c r="AW143" i="14" s="1"/>
  <c r="AV141" i="14"/>
  <c r="AV143" i="14" s="1"/>
  <c r="AP137" i="14"/>
  <c r="AP138" i="14" s="1"/>
  <c r="AM138" i="14"/>
  <c r="AM139" i="14" s="1"/>
  <c r="AX139" i="14" s="1"/>
  <c r="AY139" i="14" s="1"/>
  <c r="AT116" i="14" l="1"/>
  <c r="AZ116" i="14" s="1"/>
  <c r="BA116" i="14" s="1"/>
  <c r="AI32" i="14"/>
  <c r="AV28" i="14"/>
  <c r="AT108" i="14"/>
  <c r="AZ108" i="14" s="1"/>
  <c r="BA108" i="14" s="1"/>
  <c r="AE86" i="14"/>
  <c r="AB89" i="14"/>
  <c r="AC90" i="14"/>
  <c r="AC92" i="14" s="1"/>
  <c r="AC94" i="14" s="1"/>
  <c r="AC96" i="14" s="1"/>
  <c r="AN82" i="14"/>
  <c r="AQ81" i="14"/>
  <c r="AR81" i="14" s="1"/>
  <c r="AH83" i="14"/>
  <c r="AK81" i="14"/>
  <c r="AL81" i="14" s="1"/>
  <c r="AE85" i="14"/>
  <c r="AB88" i="14"/>
  <c r="AE88" i="14" s="1"/>
  <c r="AF88" i="14" s="1"/>
  <c r="AK85" i="14"/>
  <c r="AL85" i="14" s="1"/>
  <c r="AH88" i="14"/>
  <c r="AI90" i="14"/>
  <c r="AV80" i="14"/>
  <c r="AI81" i="14"/>
  <c r="AW80" i="14"/>
  <c r="AO81" i="14"/>
  <c r="AU80" i="14"/>
  <c r="V81" i="14"/>
  <c r="AC81" i="14" s="1"/>
  <c r="AV64" i="14"/>
  <c r="AI66" i="14"/>
  <c r="AU66" i="14"/>
  <c r="AC68" i="14"/>
  <c r="AT66" i="14"/>
  <c r="AW64" i="14"/>
  <c r="V66" i="14"/>
  <c r="W66" i="14" s="1"/>
  <c r="Y66" i="14" s="1"/>
  <c r="Z66" i="14" s="1"/>
  <c r="AU64" i="14"/>
  <c r="AT64" i="14"/>
  <c r="AW51" i="14"/>
  <c r="AV55" i="14"/>
  <c r="AR53" i="14"/>
  <c r="AQ55" i="14"/>
  <c r="AR55" i="14" s="1"/>
  <c r="AL53" i="14"/>
  <c r="AK55" i="14"/>
  <c r="AL55" i="14" s="1"/>
  <c r="AK43" i="14"/>
  <c r="AL43" i="14" s="1"/>
  <c r="AF53" i="14"/>
  <c r="AE55" i="14"/>
  <c r="AF55" i="14" s="1"/>
  <c r="AU19" i="14"/>
  <c r="AK52" i="14"/>
  <c r="AH54" i="14"/>
  <c r="AH56" i="14" s="1"/>
  <c r="AH58" i="14" s="1"/>
  <c r="AR52" i="14"/>
  <c r="AQ54" i="14"/>
  <c r="AV53" i="14"/>
  <c r="Z51" i="14"/>
  <c r="AT52" i="14"/>
  <c r="AX51" i="14"/>
  <c r="AH57" i="14"/>
  <c r="AH59" i="14" s="1"/>
  <c r="AK59" i="14" s="1"/>
  <c r="AL59" i="14" s="1"/>
  <c r="AK51" i="14"/>
  <c r="AR51" i="14"/>
  <c r="AP152" i="14"/>
  <c r="AC57" i="14"/>
  <c r="V35" i="14"/>
  <c r="AF51" i="14"/>
  <c r="AJ176" i="14"/>
  <c r="AK176" i="14" s="1"/>
  <c r="AK175"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52" i="14"/>
  <c r="AX152" i="14"/>
  <c r="BB152" i="14" s="1"/>
  <c r="BC152" i="14" s="1"/>
  <c r="AC5" i="14"/>
  <c r="AU4" i="14"/>
  <c r="AN175" i="14"/>
  <c r="AE175" i="14"/>
  <c r="AN179" i="14"/>
  <c r="AE179" i="14"/>
  <c r="AJ180" i="14"/>
  <c r="AK179" i="14"/>
  <c r="AD180" i="14"/>
  <c r="AR211" i="14"/>
  <c r="AP151" i="14"/>
  <c r="AD176" i="14"/>
  <c r="AR226" i="14"/>
  <c r="AM227" i="14"/>
  <c r="AO224" i="14"/>
  <c r="AO225" i="14" s="1"/>
  <c r="AO226" i="14" s="1"/>
  <c r="AO227" i="14" s="1"/>
  <c r="AO228" i="14" s="1"/>
  <c r="AO229" i="14" s="1"/>
  <c r="AO230" i="14" s="1"/>
  <c r="AO231" i="14" s="1"/>
  <c r="AO232" i="14" s="1"/>
  <c r="AQ213" i="14"/>
  <c r="AQ214" i="14" s="1"/>
  <c r="AQ215" i="14" s="1"/>
  <c r="AR215" i="14" s="1"/>
  <c r="AP150" i="14"/>
  <c r="BA139" i="14"/>
  <c r="AY144" i="14"/>
  <c r="BF144" i="14" s="1"/>
  <c r="BE144" i="14"/>
  <c r="BJ144" i="14" s="1"/>
  <c r="BK144" i="14" s="1"/>
  <c r="BB144" i="14"/>
  <c r="BC144" i="14" s="1"/>
  <c r="AO143" i="14"/>
  <c r="AZ141" i="14"/>
  <c r="BE139" i="14"/>
  <c r="BJ139" i="14" s="1"/>
  <c r="BK139" i="14" s="1"/>
  <c r="AM141" i="14"/>
  <c r="AP139" i="14"/>
  <c r="AO32" i="14" l="1"/>
  <c r="AO28" i="14"/>
  <c r="AW28" i="14" s="1"/>
  <c r="AU25" i="14"/>
  <c r="AC28" i="14"/>
  <c r="AC98" i="14"/>
  <c r="AC100" i="14" s="1"/>
  <c r="V92" i="14"/>
  <c r="V94" i="14" s="1"/>
  <c r="W94" i="14" s="1"/>
  <c r="AI94" i="14"/>
  <c r="AI96" i="14" s="1"/>
  <c r="AI100" i="14" s="1"/>
  <c r="W81" i="14"/>
  <c r="V83" i="14"/>
  <c r="V86" i="14" s="1"/>
  <c r="AW81" i="14"/>
  <c r="AO82" i="14"/>
  <c r="AI83" i="14"/>
  <c r="AV81" i="14"/>
  <c r="AH86" i="14"/>
  <c r="AK83" i="14"/>
  <c r="AL83" i="14" s="1"/>
  <c r="AN85" i="14"/>
  <c r="AQ82" i="14"/>
  <c r="AR82" i="14" s="1"/>
  <c r="AT80" i="14"/>
  <c r="AZ80" i="14" s="1"/>
  <c r="BA80" i="14" s="1"/>
  <c r="AH90" i="14"/>
  <c r="AH94" i="14" s="1"/>
  <c r="AK88" i="14"/>
  <c r="AL88" i="14" s="1"/>
  <c r="AB90" i="14"/>
  <c r="AB91" i="14"/>
  <c r="AE89" i="14"/>
  <c r="AF89" i="14" s="1"/>
  <c r="AU81" i="14"/>
  <c r="AC83" i="14"/>
  <c r="Y81" i="14"/>
  <c r="AC75" i="14"/>
  <c r="AU68" i="14"/>
  <c r="AV66" i="14"/>
  <c r="AI68" i="14"/>
  <c r="AQ57" i="14"/>
  <c r="AR57" i="14" s="1"/>
  <c r="AQ56" i="14"/>
  <c r="AR54" i="14"/>
  <c r="AE57" i="14"/>
  <c r="AF57" i="14" s="1"/>
  <c r="AV57" i="14"/>
  <c r="AC59" i="14"/>
  <c r="AV59" i="14" s="1"/>
  <c r="AX52" i="14"/>
  <c r="AT53" i="14"/>
  <c r="AW53" i="14" s="1"/>
  <c r="AL52" i="14"/>
  <c r="AK54" i="14"/>
  <c r="AW52" i="14"/>
  <c r="AW25" i="14"/>
  <c r="AL51" i="14"/>
  <c r="AK57" i="14"/>
  <c r="AL57" i="14" s="1"/>
  <c r="AW32" i="14"/>
  <c r="AO176"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52" i="14"/>
  <c r="BF152" i="14" s="1"/>
  <c r="BE152" i="14"/>
  <c r="BJ152" i="14" s="1"/>
  <c r="BK152" i="14" s="1"/>
  <c r="AO14" i="14"/>
  <c r="AW13" i="14" s="1"/>
  <c r="AC14" i="14"/>
  <c r="AU13" i="14" s="1"/>
  <c r="AI14" i="14"/>
  <c r="AV13" i="14" s="1"/>
  <c r="AI8" i="14"/>
  <c r="AV7" i="14" s="1"/>
  <c r="AV5" i="14"/>
  <c r="AC8" i="14"/>
  <c r="AC12" i="14" s="1"/>
  <c r="AU10" i="14" s="1"/>
  <c r="AT10" i="14" s="1"/>
  <c r="AU5" i="14"/>
  <c r="AT5" i="14"/>
  <c r="AN176" i="14"/>
  <c r="AE176" i="14"/>
  <c r="AN180" i="14"/>
  <c r="AE180" i="14"/>
  <c r="AK180" i="14"/>
  <c r="AO180" i="14"/>
  <c r="AR213" i="14"/>
  <c r="AR227" i="14"/>
  <c r="AM228" i="14"/>
  <c r="AJ231" i="14"/>
  <c r="AL231" i="14" s="1"/>
  <c r="AP231" i="14" s="1"/>
  <c r="AO233" i="14"/>
  <c r="AO234" i="14" s="1"/>
  <c r="AL229" i="14"/>
  <c r="AP229" i="14" s="1"/>
  <c r="AQ216" i="14"/>
  <c r="AR214" i="14"/>
  <c r="AX141" i="14"/>
  <c r="BB141" i="14" s="1"/>
  <c r="AP141" i="14"/>
  <c r="AM143" i="14"/>
  <c r="AP143" i="14" s="1"/>
  <c r="BA141" i="14"/>
  <c r="BA143" i="14" s="1"/>
  <c r="AZ143" i="14"/>
  <c r="BG141" i="14"/>
  <c r="BB139" i="14"/>
  <c r="BC139" i="14" s="1"/>
  <c r="BF139" i="14"/>
  <c r="AC32" i="14" l="1"/>
  <c r="AU32" i="14" s="1"/>
  <c r="AU28" i="14"/>
  <c r="AT28" i="14" s="1"/>
  <c r="AI102" i="14"/>
  <c r="AC102" i="14"/>
  <c r="AK94" i="14"/>
  <c r="AL94" i="14" s="1"/>
  <c r="AH96" i="14"/>
  <c r="V98" i="14"/>
  <c r="AE91" i="14"/>
  <c r="AF91" i="14" s="1"/>
  <c r="AB93" i="14"/>
  <c r="AB95" i="14" s="1"/>
  <c r="AE90" i="14"/>
  <c r="AF90" i="14" s="1"/>
  <c r="AB92" i="14"/>
  <c r="AB94" i="14" s="1"/>
  <c r="AK90" i="14"/>
  <c r="AL90" i="14" s="1"/>
  <c r="AI86" i="14"/>
  <c r="AV82" i="14"/>
  <c r="AW82" i="14"/>
  <c r="AO85" i="14"/>
  <c r="Z81" i="14"/>
  <c r="Z83" i="14" s="1"/>
  <c r="Z86" i="14" s="1"/>
  <c r="Y83" i="14"/>
  <c r="Y86" i="14" s="1"/>
  <c r="AQ85" i="14"/>
  <c r="AR85" i="14" s="1"/>
  <c r="AN88" i="14"/>
  <c r="AT81" i="14"/>
  <c r="AZ81" i="14" s="1"/>
  <c r="AC86" i="14"/>
  <c r="AU82" i="14"/>
  <c r="AH89" i="14"/>
  <c r="AK86" i="14"/>
  <c r="AL86" i="14" s="1"/>
  <c r="W83" i="14"/>
  <c r="W86" i="14" s="1"/>
  <c r="AY81" i="14"/>
  <c r="AI75" i="14"/>
  <c r="AV75" i="14" s="1"/>
  <c r="AV68" i="14"/>
  <c r="AT68" i="14"/>
  <c r="AU75" i="14"/>
  <c r="AT25" i="14"/>
  <c r="AQ58" i="14"/>
  <c r="AR56" i="14"/>
  <c r="AK56" i="14"/>
  <c r="AL54" i="14"/>
  <c r="AX53" i="14"/>
  <c r="AT55" i="14"/>
  <c r="AT57" i="14" s="1"/>
  <c r="AT44" i="14"/>
  <c r="AE32" i="14"/>
  <c r="AB28" i="14"/>
  <c r="AE28" i="14" s="1"/>
  <c r="AF28" i="14" s="1"/>
  <c r="V30" i="14"/>
  <c r="AV32" i="14"/>
  <c r="AT32" i="14" s="1"/>
  <c r="AF22" i="14"/>
  <c r="AR22" i="14"/>
  <c r="W34" i="14"/>
  <c r="W30" i="14" s="1"/>
  <c r="Z20" i="14"/>
  <c r="Z23" i="14" s="1"/>
  <c r="Z26" i="14" s="1"/>
  <c r="Y23" i="14"/>
  <c r="Y26" i="14" s="1"/>
  <c r="Z22" i="14"/>
  <c r="AT13" i="14"/>
  <c r="AU7" i="14"/>
  <c r="AT7" i="14" s="1"/>
  <c r="AR228" i="14"/>
  <c r="AM229" i="14"/>
  <c r="AM230" i="14" s="1"/>
  <c r="AM231" i="14" s="1"/>
  <c r="AN231" i="14"/>
  <c r="AN232" i="14" s="1"/>
  <c r="AN233" i="14" s="1"/>
  <c r="AN234" i="14" s="1"/>
  <c r="AQ231" i="14"/>
  <c r="AQ232" i="14" s="1"/>
  <c r="AQ233" i="14" s="1"/>
  <c r="AQ234" i="14" s="1"/>
  <c r="AQ217" i="14"/>
  <c r="AQ218" i="14" s="1"/>
  <c r="AR218" i="14" s="1"/>
  <c r="AR216" i="14"/>
  <c r="BH141" i="14"/>
  <c r="BH143" i="14" s="1"/>
  <c r="BG143" i="14"/>
  <c r="BC141" i="14"/>
  <c r="BC143" i="14" s="1"/>
  <c r="BB143" i="14"/>
  <c r="AY141" i="14"/>
  <c r="AX143" i="14"/>
  <c r="BE141" i="14"/>
  <c r="AT75" i="14" l="1"/>
  <c r="AK96" i="14"/>
  <c r="AL96" i="14" s="1"/>
  <c r="AH100" i="14"/>
  <c r="W98" i="14"/>
  <c r="V100" i="14"/>
  <c r="W100" i="14" s="1"/>
  <c r="AY98" i="14"/>
  <c r="Y98" i="14"/>
  <c r="AE94" i="14"/>
  <c r="AB96" i="14"/>
  <c r="AE95" i="14"/>
  <c r="AF95" i="14" s="1"/>
  <c r="AB97" i="14"/>
  <c r="AE92" i="14"/>
  <c r="AF92" i="14" s="1"/>
  <c r="AF94" i="14"/>
  <c r="AE93" i="14"/>
  <c r="AF93" i="14" s="1"/>
  <c r="AC89" i="14"/>
  <c r="AU85" i="14"/>
  <c r="AT82" i="14"/>
  <c r="AZ82" i="14" s="1"/>
  <c r="BA81" i="14"/>
  <c r="AN90" i="14"/>
  <c r="AQ88" i="14"/>
  <c r="AR88" i="14" s="1"/>
  <c r="AO88" i="14"/>
  <c r="AW85" i="14"/>
  <c r="AX82" i="14"/>
  <c r="BB81" i="14"/>
  <c r="AK89" i="14"/>
  <c r="AL89" i="14" s="1"/>
  <c r="AH91" i="14"/>
  <c r="AI89" i="14"/>
  <c r="AV85" i="14"/>
  <c r="AR229" i="14"/>
  <c r="AT59" i="14"/>
  <c r="AW59" i="14" s="1"/>
  <c r="AR58" i="14"/>
  <c r="AK58" i="14"/>
  <c r="AL56" i="14"/>
  <c r="AX57" i="14"/>
  <c r="AW57" i="14"/>
  <c r="AX55" i="14"/>
  <c r="AW55" i="14"/>
  <c r="AF32" i="14"/>
  <c r="AR25" i="14"/>
  <c r="Z34" i="14"/>
  <c r="Y34" i="14"/>
  <c r="AR230" i="14"/>
  <c r="AM232" i="14"/>
  <c r="AR231" i="14"/>
  <c r="AR217" i="14"/>
  <c r="BJ141" i="14"/>
  <c r="BK141" i="14" s="1"/>
  <c r="BE143" i="14"/>
  <c r="BJ143" i="14" s="1"/>
  <c r="BK143" i="14" s="1"/>
  <c r="BF141" i="14"/>
  <c r="BF143" i="14" s="1"/>
  <c r="AY143" i="14"/>
  <c r="Z98" i="14" l="1"/>
  <c r="Z100" i="14" s="1"/>
  <c r="Y100" i="14"/>
  <c r="AK100" i="14"/>
  <c r="AL100" i="14" s="1"/>
  <c r="AH102" i="14"/>
  <c r="AK102" i="14" s="1"/>
  <c r="AL102" i="14" s="1"/>
  <c r="AB99" i="14"/>
  <c r="AE97" i="14"/>
  <c r="AF97" i="14" s="1"/>
  <c r="AE96" i="14"/>
  <c r="AF96" i="14" s="1"/>
  <c r="AB98" i="14"/>
  <c r="AQ90" i="14"/>
  <c r="AR90" i="14" s="1"/>
  <c r="AN92" i="14"/>
  <c r="AK91" i="14"/>
  <c r="AL91" i="14" s="1"/>
  <c r="AH93" i="14"/>
  <c r="AH95" i="14" s="1"/>
  <c r="AO90" i="14"/>
  <c r="AW88" i="14"/>
  <c r="AI91" i="14"/>
  <c r="AI93" i="14" s="1"/>
  <c r="AI95" i="14" s="1"/>
  <c r="AV88" i="14"/>
  <c r="BB82" i="14"/>
  <c r="AX85" i="14"/>
  <c r="AT85" i="14"/>
  <c r="AZ85" i="14" s="1"/>
  <c r="BA85" i="14" s="1"/>
  <c r="BA82" i="14"/>
  <c r="AC91" i="14"/>
  <c r="AU88" i="14"/>
  <c r="AX59" i="14"/>
  <c r="AL58" i="14"/>
  <c r="Y30" i="14"/>
  <c r="Z30" i="14"/>
  <c r="AR232" i="14"/>
  <c r="AM233" i="14"/>
  <c r="AM234" i="14" s="1"/>
  <c r="AR234" i="14" s="1"/>
  <c r="AE98" i="14" l="1"/>
  <c r="AF98" i="14" s="1"/>
  <c r="AB100" i="14"/>
  <c r="AE99" i="14"/>
  <c r="AF99" i="14" s="1"/>
  <c r="AB101" i="14"/>
  <c r="AV94" i="14"/>
  <c r="AI97" i="14"/>
  <c r="AK95" i="14"/>
  <c r="AL95" i="14" s="1"/>
  <c r="AH97" i="14"/>
  <c r="AU90" i="14"/>
  <c r="AC93" i="14"/>
  <c r="AK93" i="14"/>
  <c r="AL93" i="14" s="1"/>
  <c r="AQ92" i="14"/>
  <c r="AR92" i="14" s="1"/>
  <c r="AN94" i="14"/>
  <c r="AV90" i="14"/>
  <c r="AW90" i="14"/>
  <c r="AO92" i="14"/>
  <c r="AX88" i="14"/>
  <c r="BB85" i="14"/>
  <c r="AT88" i="14"/>
  <c r="AZ88" i="14" s="1"/>
  <c r="AR233" i="14"/>
  <c r="AE101" i="14" l="1"/>
  <c r="AF101" i="14" s="1"/>
  <c r="AB103" i="14"/>
  <c r="AE103" i="14" s="1"/>
  <c r="AF103" i="14" s="1"/>
  <c r="AE100" i="14"/>
  <c r="AF100" i="14" s="1"/>
  <c r="AB102" i="14"/>
  <c r="AE102" i="14" s="1"/>
  <c r="AF102" i="14" s="1"/>
  <c r="AQ94" i="14"/>
  <c r="AR94" i="14" s="1"/>
  <c r="AN96" i="14"/>
  <c r="AI99" i="14"/>
  <c r="AV96" i="14"/>
  <c r="AH99" i="14"/>
  <c r="AK97" i="14"/>
  <c r="AL97" i="14" s="1"/>
  <c r="AC95" i="14"/>
  <c r="AU92" i="14"/>
  <c r="AW92" i="14"/>
  <c r="AO94" i="14"/>
  <c r="AT90" i="14"/>
  <c r="AZ90" i="14" s="1"/>
  <c r="AV92" i="14"/>
  <c r="W92" i="14"/>
  <c r="Y92" i="14" s="1"/>
  <c r="BA88" i="14"/>
  <c r="AX90" i="14"/>
  <c r="BB88" i="14"/>
  <c r="AT92" i="14" l="1"/>
  <c r="AZ92" i="14" s="1"/>
  <c r="AK99" i="14"/>
  <c r="AL99" i="14" s="1"/>
  <c r="AH101" i="14"/>
  <c r="AV98" i="14"/>
  <c r="AI101" i="14"/>
  <c r="AW94" i="14"/>
  <c r="AO96" i="14"/>
  <c r="AU94" i="14"/>
  <c r="AC97" i="14"/>
  <c r="AQ96" i="14"/>
  <c r="AR96" i="14" s="1"/>
  <c r="AN98" i="14"/>
  <c r="Z92" i="14"/>
  <c r="Z94" i="14" s="1"/>
  <c r="Y94" i="14"/>
  <c r="BB90" i="14"/>
  <c r="AX92" i="14"/>
  <c r="AX94" i="14" s="1"/>
  <c r="AY92" i="14"/>
  <c r="BA90" i="14"/>
  <c r="AQ98" i="14" l="1"/>
  <c r="AR98" i="14" s="1"/>
  <c r="AN100" i="14"/>
  <c r="AI103" i="14"/>
  <c r="AV102" i="14" s="1"/>
  <c r="AV100" i="14"/>
  <c r="AK101" i="14"/>
  <c r="AL101" i="14" s="1"/>
  <c r="AH103" i="14"/>
  <c r="AK103" i="14" s="1"/>
  <c r="AL103" i="14" s="1"/>
  <c r="BB94" i="14"/>
  <c r="AX96" i="14"/>
  <c r="AC99" i="14"/>
  <c r="AU96" i="14"/>
  <c r="AW96" i="14"/>
  <c r="AT96" i="14" s="1"/>
  <c r="AZ96" i="14" s="1"/>
  <c r="BA96" i="14" s="1"/>
  <c r="AO98" i="14"/>
  <c r="AT94" i="14"/>
  <c r="AZ94" i="14" s="1"/>
  <c r="BA94" i="14" s="1"/>
  <c r="BB92" i="14"/>
  <c r="BA92" i="14"/>
  <c r="AW98" i="14" l="1"/>
  <c r="AO100" i="14"/>
  <c r="AU98" i="14"/>
  <c r="AC101" i="14"/>
  <c r="AQ100" i="14"/>
  <c r="AR100" i="14" s="1"/>
  <c r="AN102" i="14"/>
  <c r="AQ102" i="14" s="1"/>
  <c r="AR102" i="14" s="1"/>
  <c r="BB96" i="14"/>
  <c r="AX98" i="14"/>
  <c r="BB98" i="14" l="1"/>
  <c r="AX100" i="14"/>
  <c r="AC103" i="14"/>
  <c r="AU102" i="14" s="1"/>
  <c r="AU100" i="14"/>
  <c r="AW100" i="14"/>
  <c r="AT100" i="14" s="1"/>
  <c r="AZ100" i="14" s="1"/>
  <c r="BA100" i="14" s="1"/>
  <c r="AO102" i="14"/>
  <c r="AW102" i="14" s="1"/>
  <c r="AT102" i="14" s="1"/>
  <c r="AZ102" i="14" s="1"/>
  <c r="AT98" i="14"/>
  <c r="AZ98" i="14" s="1"/>
  <c r="BA98" i="14" s="1"/>
  <c r="BB100" i="14" l="1"/>
  <c r="AX102" i="14"/>
  <c r="BB102" i="14" s="1"/>
  <c r="BA102"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63"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79"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79"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07"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07"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E115"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F115"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R138"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38"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38"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38"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38"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38"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38"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38"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38"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38"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38"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38"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38"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39"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39"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39"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39"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39"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39"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52"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52"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52"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52"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52"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52"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52"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52"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52"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52"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52"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52"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194"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197"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198"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<sst xmlns="http://schemas.openxmlformats.org/spreadsheetml/2006/main" count="1626" uniqueCount="281">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</sst>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50">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0" fontId="10" fillId="3" borderId="0" xfId="0"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6" fillId="0" borderId="0" xfId="1" quotePrefix="1" applyNumberFormat="1" applyFont="1" applyFill="1" applyAlignment="1">
      <alignment horizontal="center"/>
    </xf>
    <xf numFmtId="10" fontId="3" fillId="0" borderId="0" xfId="0" applyNumberFormat="1" applyFont="1" applyFill="1" applyAlignment="1">
      <alignment horizontal="right"/>
    </xf>
    <xf numFmtId="0" fontId="11" fillId="0" borderId="0" xfId="0" applyFont="1" applyFill="1" applyAlignment="1">
      <alignment wrapText="1"/>
    </xf>
    <xf numFmtId="8" fontId="0" fillId="0" borderId="0" xfId="0" applyNumberFormat="1" applyFill="1"/>
    <xf numFmtId="10" fontId="0" fillId="0" borderId="0" xfId="0" applyNumberFormat="1" applyFill="1"/>
    <xf numFmtId="164" fontId="0" fillId="0" borderId="0" xfId="0" applyNumberFormat="1" applyFill="1"/>
    <xf numFmtId="0" fontId="0" fillId="0" borderId="0" xfId="0" applyFill="1"/>
    <xf numFmtId="0" fontId="25" fillId="0" borderId="0" xfId="0" applyFont="1" applyFill="1"/>
    <xf numFmtId="49" fontId="26" fillId="0" borderId="0" xfId="0" applyNumberFormat="1" applyFont="1" applyFill="1"/>
    <xf numFmtId="164" fontId="26" fillId="0" borderId="0" xfId="0" applyNumberFormat="1" applyFont="1" applyFill="1" applyAlignment="1">
      <alignment horizontal="right"/>
    </xf>
    <xf numFmtId="166" fontId="26" fillId="0" borderId="0" xfId="0" applyNumberFormat="1" applyFont="1" applyFill="1" applyAlignment="1">
      <alignment horizontal="right"/>
    </xf>
    <xf numFmtId="164" fontId="26" fillId="0" borderId="0" xfId="0" quotePrefix="1" applyNumberFormat="1" applyFont="1" applyFill="1" applyAlignment="1">
      <alignment horizontal="center"/>
    </xf>
    <xf numFmtId="0" fontId="3" fillId="0" borderId="0" xfId="0"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11" fillId="0" borderId="0" xfId="0" applyFont="1" applyFill="1"/>
    <xf numFmtId="164" fontId="3" fillId="0" borderId="0" xfId="0" quotePrefix="1" applyNumberFormat="1" applyFont="1" applyFill="1" applyAlignment="1">
      <alignment horizontal="center"/>
    </xf>
    <xf numFmtId="166" fontId="0" fillId="0" borderId="0" xfId="0" applyNumberFormat="1" applyFill="1"/>
    <xf numFmtId="164" fontId="10" fillId="0" borderId="0" xfId="0" applyNumberFormat="1" applyFont="1" applyFill="1"/>
    <xf numFmtId="164" fontId="26" fillId="3" borderId="0" xfId="0" quotePrefix="1" applyNumberFormat="1" applyFont="1" applyFill="1" applyAlignment="1">
      <alignment horizontal="center"/>
    </xf>
    <xf numFmtId="10" fontId="26" fillId="3" borderId="0" xfId="1" quotePrefix="1" applyNumberFormat="1" applyFont="1" applyFill="1" applyAlignment="1">
      <alignment horizontal="center"/>
    </xf>
    <xf numFmtId="49" fontId="10" fillId="0" borderId="0" xfId="0" applyNumberFormat="1" applyFont="1" applyFill="1"/>
    <xf numFmtId="164" fontId="28" fillId="0" borderId="0" xfId="0" applyNumberFormat="1" applyFont="1" applyFill="1" applyAlignment="1">
      <alignment horizontal="right"/>
    </xf>
    <xf numFmtId="166" fontId="7" fillId="0" borderId="0" xfId="0" applyNumberFormat="1" applyFont="1" applyFill="1" applyAlignment="1">
      <alignment horizontal="right"/>
    </xf>
    <xf numFmtId="8" fontId="25" fillId="0" borderId="0" xfId="0" applyNumberFormat="1" applyFont="1" applyFill="1"/>
    <xf numFmtId="10" fontId="26" fillId="0" borderId="0" xfId="0" applyNumberFormat="1" applyFont="1" applyFill="1" applyAlignment="1">
      <alignment horizontal="right"/>
    </xf>
    <xf numFmtId="10" fontId="25" fillId="0" borderId="0" xfId="0" applyNumberFormat="1" applyFont="1" applyFill="1"/>
    <xf numFmtId="164" fontId="26" fillId="0" borderId="0" xfId="0" quotePrefix="1" applyNumberFormat="1" applyFont="1" applyFill="1" applyAlignment="1">
      <alignment horizontal="right"/>
    </xf>
    <xf numFmtId="10" fontId="26" fillId="0" borderId="0" xfId="1" quotePrefix="1" applyNumberFormat="1" applyFont="1" applyFill="1" applyAlignment="1">
      <alignment horizontal="right"/>
    </xf>
    <xf numFmtId="164" fontId="3" fillId="0" borderId="0" xfId="0" quotePrefix="1" applyNumberFormat="1" applyFont="1" applyFill="1" applyAlignment="1">
      <alignment horizontal="right"/>
    </xf>
    <xf numFmtId="165" fontId="3" fillId="0" borderId="0" xfId="0"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6" fillId="0" borderId="0" xfId="0" applyFont="1"/>
    <xf numFmtId="1" fontId="3" fillId="0" borderId="0" xfId="0" applyNumberFormat="1" applyFont="1" applyAlignment="1">
      <alignment horizontal="right"/>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34"/>
  <sheetViews>
    <sheetView tabSelected="1" topLeftCell="A112" workbookViewId="0">
      <selection activeCell="A121" sqref="A121"/>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264</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265</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s="221" customFormat="1" ht="12.75" x14ac:dyDescent="0.2">
      <c r="A28" s="230" t="s">
        <v>223</v>
      </c>
      <c r="B28" s="218">
        <v>90</v>
      </c>
      <c r="C28" s="62">
        <v>0.02</v>
      </c>
      <c r="D28" s="216">
        <v>0.04</v>
      </c>
      <c r="E28" s="219">
        <v>0.08</v>
      </c>
      <c r="F28" s="219">
        <v>0.16</v>
      </c>
      <c r="G28" s="219">
        <v>0.01</v>
      </c>
      <c r="H28" s="219"/>
      <c r="J28" s="230" t="s">
        <v>222</v>
      </c>
      <c r="K28" s="231" t="s">
        <v>34</v>
      </c>
      <c r="L28" s="231" t="s">
        <v>34</v>
      </c>
      <c r="M28" s="231" t="s">
        <v>34</v>
      </c>
      <c r="N28" s="231" t="s">
        <v>34</v>
      </c>
      <c r="O28" s="231" t="s">
        <v>34</v>
      </c>
      <c r="P28" s="231" t="s">
        <v>34</v>
      </c>
      <c r="R28" s="230" t="str">
        <f>R32</f>
        <v>BuyB</v>
      </c>
      <c r="S28" s="230" t="str">
        <f>S32</f>
        <v>Buy</v>
      </c>
      <c r="T28" s="236" t="s">
        <v>214</v>
      </c>
      <c r="U28" s="228">
        <f>U32</f>
        <v>100</v>
      </c>
      <c r="V28" s="229">
        <f>V32</f>
        <v>4</v>
      </c>
      <c r="W28" s="228">
        <f>W32</f>
        <v>400</v>
      </c>
      <c r="X28" s="237">
        <f>X32</f>
        <v>98</v>
      </c>
      <c r="Y28" s="231" t="s">
        <v>34</v>
      </c>
      <c r="Z28" s="231" t="s">
        <v>34</v>
      </c>
      <c r="AA28" s="227"/>
      <c r="AB28" s="228">
        <f>AB32</f>
        <v>100</v>
      </c>
      <c r="AC28" s="229">
        <f>AC25</f>
        <v>1.5</v>
      </c>
      <c r="AD28" s="157">
        <f>AD25</f>
        <v>150</v>
      </c>
      <c r="AE28" s="123">
        <f>AB28 * (1 + D28) / (1 - G28)</f>
        <v>105.05050505050505</v>
      </c>
      <c r="AF28" s="124">
        <f>(B28 - AE28) / AE28</f>
        <v>-0.14326923076923079</v>
      </c>
      <c r="AG28" s="238"/>
      <c r="AH28" s="228">
        <f>AH32</f>
        <v>100</v>
      </c>
      <c r="AI28" s="229">
        <f>AI22</f>
        <v>1.7999999999999998</v>
      </c>
      <c r="AJ28" s="157">
        <f>AJ22</f>
        <v>180</v>
      </c>
      <c r="AK28" s="123">
        <f>AH28 * (1 + E28) / (1 - G28)</f>
        <v>109.09090909090909</v>
      </c>
      <c r="AL28" s="124">
        <f>(B28 - AK28) / AK28</f>
        <v>-0.17500000000000002</v>
      </c>
      <c r="AN28" s="228">
        <f>AN32</f>
        <v>100</v>
      </c>
      <c r="AO28" s="229">
        <f>AO25</f>
        <v>1.2000000000000002</v>
      </c>
      <c r="AP28" s="157">
        <f>AP25</f>
        <v>120</v>
      </c>
      <c r="AQ28" s="123">
        <f>AN28 * (1 + F28) / (1 - G28)</f>
        <v>117.17171717171716</v>
      </c>
      <c r="AR28" s="124">
        <f>(B28 - AQ28) / AQ28</f>
        <v>-0.23189655172413787</v>
      </c>
      <c r="AT28" s="232">
        <f>AU28+AV28+AW28</f>
        <v>4.5</v>
      </c>
      <c r="AU28" s="232">
        <f>AC28</f>
        <v>1.5</v>
      </c>
      <c r="AV28" s="232">
        <f>AI28</f>
        <v>1.7999999999999998</v>
      </c>
      <c r="AW28" s="232">
        <f>AO28</f>
        <v>1.2000000000000002</v>
      </c>
    </row>
    <row r="29" spans="1:49" s="221" customFormat="1" ht="12.75" x14ac:dyDescent="0.2">
      <c r="A29" s="230"/>
      <c r="B29" s="218"/>
      <c r="C29" s="62"/>
      <c r="D29" s="216"/>
      <c r="E29" s="219"/>
      <c r="F29" s="219"/>
      <c r="G29" s="219"/>
      <c r="H29" s="219"/>
      <c r="J29" s="222"/>
      <c r="K29" s="222"/>
      <c r="L29" s="239"/>
      <c r="M29" s="239"/>
      <c r="N29" s="240"/>
      <c r="O29" s="241"/>
      <c r="P29" s="241"/>
      <c r="R29" s="222" t="str">
        <f>R33</f>
        <v>SellB</v>
      </c>
      <c r="S29" s="222" t="str">
        <f>S33</f>
        <v>Sell</v>
      </c>
      <c r="T29" s="223" t="s">
        <v>211</v>
      </c>
      <c r="U29" s="224">
        <f>U33</f>
        <v>95</v>
      </c>
      <c r="V29" s="225">
        <f>V33</f>
        <v>0.89999999999999991</v>
      </c>
      <c r="W29" s="224">
        <f>W33</f>
        <v>84.644999999999982</v>
      </c>
      <c r="X29" s="231" t="s">
        <v>34</v>
      </c>
      <c r="Y29" s="242">
        <f>Y33</f>
        <v>-5.355000000000004</v>
      </c>
      <c r="Z29" s="243">
        <f>Z33</f>
        <v>-5.9500000000000053E-2</v>
      </c>
      <c r="AA29" s="227"/>
      <c r="AB29" s="228"/>
      <c r="AC29" s="229"/>
      <c r="AD29" s="157"/>
      <c r="AE29" s="157"/>
      <c r="AF29" s="216"/>
      <c r="AG29" s="238"/>
      <c r="AH29" s="228"/>
      <c r="AI29" s="229"/>
      <c r="AJ29" s="157"/>
      <c r="AK29" s="157"/>
      <c r="AL29" s="216"/>
      <c r="AN29" s="244"/>
      <c r="AO29" s="245"/>
      <c r="AP29" s="245"/>
      <c r="AQ29" s="245"/>
      <c r="AR29" s="245"/>
      <c r="AT29" s="232"/>
      <c r="AU29" s="232"/>
      <c r="AV29" s="232"/>
      <c r="AW29" s="232"/>
    </row>
    <row r="30" spans="1:49" s="221" customFormat="1" ht="12.75" x14ac:dyDescent="0.2">
      <c r="A30" s="230"/>
      <c r="B30" s="218"/>
      <c r="C30" s="62"/>
      <c r="D30" s="216"/>
      <c r="E30" s="219"/>
      <c r="F30" s="219"/>
      <c r="G30" s="219"/>
      <c r="H30" s="219"/>
      <c r="J30" s="222"/>
      <c r="K30" s="222"/>
      <c r="L30" s="239"/>
      <c r="M30" s="239"/>
      <c r="N30" s="240"/>
      <c r="O30" s="241"/>
      <c r="P30" s="241"/>
      <c r="R30" s="230" t="str">
        <f>R34</f>
        <v>SellA</v>
      </c>
      <c r="S30" s="230" t="str">
        <f>S34</f>
        <v>Sell</v>
      </c>
      <c r="T30" s="236" t="s">
        <v>219</v>
      </c>
      <c r="U30" s="228">
        <f>U34</f>
        <v>110</v>
      </c>
      <c r="V30" s="229">
        <f>V34</f>
        <v>1.5</v>
      </c>
      <c r="W30" s="228">
        <f>W34</f>
        <v>163.35</v>
      </c>
      <c r="X30" s="231" t="s">
        <v>34</v>
      </c>
      <c r="Y30" s="244">
        <f>Y34</f>
        <v>13.349999999999994</v>
      </c>
      <c r="Z30" s="211">
        <f>Z34</f>
        <v>8.8999999999999968E-2</v>
      </c>
      <c r="AA30" s="227"/>
      <c r="AB30" s="228"/>
      <c r="AC30" s="229"/>
      <c r="AD30" s="157"/>
      <c r="AE30" s="157"/>
      <c r="AF30" s="216"/>
      <c r="AG30" s="238"/>
      <c r="AH30" s="228"/>
      <c r="AI30" s="229"/>
      <c r="AJ30" s="157"/>
      <c r="AK30" s="157"/>
      <c r="AL30" s="216"/>
      <c r="AN30" s="244"/>
      <c r="AO30" s="245"/>
      <c r="AP30" s="245"/>
      <c r="AQ30" s="245"/>
      <c r="AR30" s="245"/>
      <c r="AT30" s="232"/>
      <c r="AU30" s="232"/>
      <c r="AV30" s="232"/>
      <c r="AW30" s="232"/>
    </row>
    <row r="31" spans="1:49" s="221" customFormat="1" ht="12.75" x14ac:dyDescent="0.2">
      <c r="A31" s="230"/>
      <c r="B31" s="218"/>
      <c r="C31" s="62"/>
      <c r="D31" s="216"/>
      <c r="E31" s="219"/>
      <c r="F31" s="219"/>
      <c r="G31" s="219"/>
      <c r="H31" s="219"/>
      <c r="J31" s="222"/>
      <c r="K31" s="222"/>
      <c r="L31" s="239"/>
      <c r="M31" s="239"/>
      <c r="N31" s="240"/>
      <c r="O31" s="241"/>
      <c r="P31" s="241"/>
      <c r="R31" s="230" t="str">
        <f>R27</f>
        <v>BuyA</v>
      </c>
      <c r="S31" s="230" t="str">
        <f>S27</f>
        <v>Buy</v>
      </c>
      <c r="T31" s="236" t="s">
        <v>78</v>
      </c>
      <c r="U31" s="228">
        <f>U27</f>
        <v>100</v>
      </c>
      <c r="V31" s="229">
        <f>V27</f>
        <v>6</v>
      </c>
      <c r="W31" s="228">
        <f>W27</f>
        <v>600</v>
      </c>
      <c r="X31" s="237">
        <f>X27</f>
        <v>98</v>
      </c>
      <c r="Y31" s="231" t="s">
        <v>34</v>
      </c>
      <c r="Z31" s="231" t="s">
        <v>34</v>
      </c>
      <c r="AA31" s="227"/>
      <c r="AB31" s="228"/>
      <c r="AC31" s="229"/>
      <c r="AD31" s="157"/>
      <c r="AE31" s="157"/>
      <c r="AF31" s="216"/>
      <c r="AG31" s="238"/>
      <c r="AH31" s="228"/>
      <c r="AI31" s="229"/>
      <c r="AJ31" s="157"/>
      <c r="AK31" s="157"/>
      <c r="AL31" s="216"/>
      <c r="AN31" s="244"/>
      <c r="AO31" s="245"/>
      <c r="AP31" s="245"/>
      <c r="AQ31" s="245"/>
      <c r="AR31" s="245"/>
      <c r="AT31" s="232"/>
      <c r="AU31" s="232"/>
      <c r="AV31" s="232"/>
      <c r="AW31" s="232"/>
    </row>
    <row r="32" spans="1:49" ht="12.75" x14ac:dyDescent="0.2">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46" t="s">
        <v>216</v>
      </c>
      <c r="S32" s="246" t="s">
        <v>75</v>
      </c>
      <c r="T32" s="246"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2.75" x14ac:dyDescent="0.2">
      <c r="A33" s="47"/>
      <c r="B33" s="40"/>
      <c r="C33" s="125"/>
      <c r="D33" s="129"/>
      <c r="E33" s="125"/>
      <c r="F33" s="125"/>
      <c r="G33" s="125"/>
      <c r="H33" s="125"/>
      <c r="I33" s="35"/>
      <c r="J33" s="35"/>
      <c r="K33" s="35"/>
      <c r="L33" s="40"/>
      <c r="M33" s="40"/>
      <c r="N33" s="129"/>
      <c r="O33" s="125"/>
      <c r="P33" s="125"/>
      <c r="Q33" s="35"/>
      <c r="R33" s="246" t="s">
        <v>221</v>
      </c>
      <c r="S33" s="246" t="s">
        <v>73</v>
      </c>
      <c r="T33" s="246" t="s">
        <v>211</v>
      </c>
      <c r="U33" s="135">
        <f>U25</f>
        <v>95</v>
      </c>
      <c r="V33" s="136">
        <f>V25</f>
        <v>0.89999999999999991</v>
      </c>
      <c r="W33" s="135">
        <f>W25</f>
        <v>84.644999999999982</v>
      </c>
      <c r="X33" s="247"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2.75" x14ac:dyDescent="0.2">
      <c r="A34" s="47"/>
      <c r="B34" s="40"/>
      <c r="C34" s="125"/>
      <c r="D34" s="129"/>
      <c r="E34" s="125"/>
      <c r="F34" s="125"/>
      <c r="G34" s="125"/>
      <c r="H34" s="125"/>
      <c r="I34" s="35"/>
      <c r="J34" s="35"/>
      <c r="K34" s="35"/>
      <c r="L34" s="40"/>
      <c r="M34" s="40"/>
      <c r="N34" s="129"/>
      <c r="O34" s="125"/>
      <c r="P34" s="125"/>
      <c r="Q34" s="35"/>
      <c r="R34" s="246" t="s">
        <v>218</v>
      </c>
      <c r="S34" s="246" t="s">
        <v>73</v>
      </c>
      <c r="T34" s="203" t="str">
        <f>T23</f>
        <v>Profit Target</v>
      </c>
      <c r="U34" s="135">
        <f>U23</f>
        <v>110</v>
      </c>
      <c r="V34" s="136">
        <f>V23</f>
        <v>1.5</v>
      </c>
      <c r="W34" s="135">
        <f>W23</f>
        <v>163.35</v>
      </c>
      <c r="X34" s="247"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2.75" x14ac:dyDescent="0.2">
      <c r="A35" s="47"/>
      <c r="B35" s="40"/>
      <c r="C35" s="55"/>
      <c r="D35" s="129"/>
      <c r="E35" s="125"/>
      <c r="F35" s="125"/>
      <c r="G35" s="125"/>
      <c r="H35" s="125"/>
      <c r="I35" s="35"/>
      <c r="J35" s="166"/>
      <c r="K35" s="166"/>
      <c r="L35" s="167"/>
      <c r="M35" s="167"/>
      <c r="N35" s="168"/>
      <c r="O35" s="169"/>
      <c r="P35" s="169"/>
      <c r="Q35" s="35"/>
      <c r="R35" s="246" t="s">
        <v>215</v>
      </c>
      <c r="S35" s="246" t="s">
        <v>75</v>
      </c>
      <c r="T35" s="203" t="str">
        <f>T24</f>
        <v>Initial</v>
      </c>
      <c r="U35" s="135">
        <f>U24</f>
        <v>100</v>
      </c>
      <c r="V35" s="136">
        <f>V24</f>
        <v>6</v>
      </c>
      <c r="W35" s="135">
        <f>W24</f>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25.5" x14ac:dyDescent="0.2">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2.75" x14ac:dyDescent="0.2">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2.75" x14ac:dyDescent="0.2">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2.75" x14ac:dyDescent="0.2">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2.75" x14ac:dyDescent="0.2">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5">AB40</f>
        <v>100</v>
      </c>
      <c r="AC41" s="43">
        <f t="shared" si="5"/>
        <v>3</v>
      </c>
      <c r="AD41" s="128">
        <f t="shared" si="5"/>
        <v>300</v>
      </c>
      <c r="AE41" s="128">
        <f>AB41 * (1 + D41) / (1 - G41)</f>
        <v>104.52261306532664</v>
      </c>
      <c r="AF41" s="188">
        <f>(B41 - AE41) / AE41</f>
        <v>-5.0000000000000469E-3</v>
      </c>
      <c r="AG41" s="43"/>
      <c r="AH41" s="126">
        <f t="shared" ref="AH41:AJ44" si="6">AH40</f>
        <v>100</v>
      </c>
      <c r="AI41" s="43">
        <f t="shared" si="6"/>
        <v>1.7999999999999998</v>
      </c>
      <c r="AJ41" s="128">
        <f t="shared" si="6"/>
        <v>300</v>
      </c>
      <c r="AK41" s="128">
        <f>AH41 * (1 + E41) / (1 - G41)</f>
        <v>108.5427135678392</v>
      </c>
      <c r="AL41" s="129">
        <f>(B41 - AK41) / AK41</f>
        <v>-4.185185185185189E-2</v>
      </c>
      <c r="AM41" s="35"/>
      <c r="AN41" s="126">
        <f t="shared" ref="AN41:AP44" si="7">AN40</f>
        <v>100</v>
      </c>
      <c r="AO41" s="43">
        <f t="shared" si="7"/>
        <v>1.2000000000000002</v>
      </c>
      <c r="AP41" s="128">
        <f t="shared" si="7"/>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2.75" x14ac:dyDescent="0.2">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5"/>
        <v>100</v>
      </c>
      <c r="AC42" s="30">
        <f t="shared" si="5"/>
        <v>3</v>
      </c>
      <c r="AD42" s="157">
        <f t="shared" si="5"/>
        <v>300</v>
      </c>
      <c r="AE42" s="157">
        <f>AB42 * (1 + D42) / (1 - G42)</f>
        <v>104.52261306532664</v>
      </c>
      <c r="AF42" s="186">
        <f>(B42 - AE42) / AE42</f>
        <v>1.6971153846153646E-3</v>
      </c>
      <c r="AG42" s="30"/>
      <c r="AH42" s="122">
        <f t="shared" si="6"/>
        <v>100</v>
      </c>
      <c r="AI42" s="30">
        <f t="shared" si="6"/>
        <v>1.7999999999999998</v>
      </c>
      <c r="AJ42" s="157">
        <f t="shared" si="6"/>
        <v>300</v>
      </c>
      <c r="AK42" s="157">
        <f>AH42 * (1 + E42) / (1 - G42)</f>
        <v>108.5427135678392</v>
      </c>
      <c r="AL42" s="124">
        <f>(B42 - AK42) / AK42</f>
        <v>-3.540277777777779E-2</v>
      </c>
      <c r="AN42" s="122">
        <f t="shared" si="7"/>
        <v>100</v>
      </c>
      <c r="AO42" s="30">
        <f t="shared" si="7"/>
        <v>1.2000000000000002</v>
      </c>
      <c r="AP42" s="157">
        <f t="shared" si="7"/>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2.75" x14ac:dyDescent="0.2">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5"/>
        <v>100</v>
      </c>
      <c r="AC43" s="43">
        <f t="shared" si="5"/>
        <v>3</v>
      </c>
      <c r="AD43" s="128">
        <f t="shared" si="5"/>
        <v>300</v>
      </c>
      <c r="AE43" s="128">
        <f>AB43 * (1 + D43) / (1 - G43)</f>
        <v>104.52261306532664</v>
      </c>
      <c r="AF43" s="156">
        <f>(B43 - AE43) / AE43</f>
        <v>3.8052884615384565E-2</v>
      </c>
      <c r="AG43" s="43"/>
      <c r="AH43" s="126">
        <f t="shared" si="6"/>
        <v>100</v>
      </c>
      <c r="AI43" s="43">
        <f t="shared" si="6"/>
        <v>1.7999999999999998</v>
      </c>
      <c r="AJ43" s="128">
        <f t="shared" si="6"/>
        <v>300</v>
      </c>
      <c r="AK43" s="128">
        <f>AH43 * (1 + E43) / (1 - G43)</f>
        <v>108.5427135678392</v>
      </c>
      <c r="AL43" s="188">
        <f>(B43 - AK43) / AK43</f>
        <v>-3.9351851851856059E-4</v>
      </c>
      <c r="AM43" s="35"/>
      <c r="AN43" s="126">
        <f t="shared" si="7"/>
        <v>100</v>
      </c>
      <c r="AO43" s="43">
        <f t="shared" si="7"/>
        <v>1.2000000000000002</v>
      </c>
      <c r="AP43" s="128">
        <f t="shared" si="7"/>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2.75" x14ac:dyDescent="0.2">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5"/>
        <v>100</v>
      </c>
      <c r="AC44" s="163">
        <f t="shared" si="5"/>
        <v>3</v>
      </c>
      <c r="AD44" s="193">
        <f t="shared" si="5"/>
        <v>300</v>
      </c>
      <c r="AE44" s="193">
        <f>AB44 * (1 + D44) / (1 - G44)</f>
        <v>104.52261306532664</v>
      </c>
      <c r="AF44" s="194">
        <f>(B44 - AE44) / AE44</f>
        <v>3.8052884615384565E-2</v>
      </c>
      <c r="AG44" s="30"/>
      <c r="AH44" s="122">
        <f t="shared" si="6"/>
        <v>100</v>
      </c>
      <c r="AI44" s="30">
        <f t="shared" si="6"/>
        <v>1.7999999999999998</v>
      </c>
      <c r="AJ44" s="157">
        <f t="shared" si="6"/>
        <v>300</v>
      </c>
      <c r="AK44" s="157">
        <f>AH44 * (1 + E44) / (1 - G44)</f>
        <v>108.5427135678392</v>
      </c>
      <c r="AL44" s="191">
        <f>(B44 - AK44) / AK44</f>
        <v>-3.9351851851856059E-4</v>
      </c>
      <c r="AN44" s="122">
        <f t="shared" si="7"/>
        <v>100</v>
      </c>
      <c r="AO44" s="30">
        <f t="shared" si="7"/>
        <v>1.2000000000000002</v>
      </c>
      <c r="AP44" s="157">
        <f t="shared" si="7"/>
        <v>120</v>
      </c>
      <c r="AQ44" s="157">
        <f>AN44 * (1 + F44) / (1 - G44)</f>
        <v>116.58291457286431</v>
      </c>
      <c r="AR44" s="124">
        <f>(B44 - AQ44) / AQ44</f>
        <v>-6.9331896551724059E-2</v>
      </c>
      <c r="AT44" s="32">
        <f>AU44+AV44+AW44</f>
        <v>3</v>
      </c>
      <c r="AU44" s="32">
        <v>0</v>
      </c>
      <c r="AV44" s="32">
        <f>AI44</f>
        <v>1.7999999999999998</v>
      </c>
      <c r="AW44" s="32">
        <f>AO44</f>
        <v>1.2000000000000002</v>
      </c>
    </row>
    <row r="45" spans="1:54" ht="12.75" x14ac:dyDescent="0.2">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2.75" x14ac:dyDescent="0.2">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2.75" x14ac:dyDescent="0.2">
      <c r="A47" s="208" t="s">
        <v>250</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2.75" x14ac:dyDescent="0.2">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2.75" x14ac:dyDescent="0.2">
      <c r="A49" s="150"/>
      <c r="B49" s="57" t="s">
        <v>209</v>
      </c>
      <c r="C49" s="28" t="s">
        <v>190</v>
      </c>
      <c r="D49" s="57" t="s">
        <v>191</v>
      </c>
      <c r="E49" s="57" t="s">
        <v>192</v>
      </c>
      <c r="F49" s="28" t="s">
        <v>193</v>
      </c>
      <c r="G49" s="57" t="s">
        <v>112</v>
      </c>
      <c r="H49" s="57" t="s">
        <v>244</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242</v>
      </c>
      <c r="AV49" s="57" t="s">
        <v>241</v>
      </c>
      <c r="AW49" s="57" t="s">
        <v>251</v>
      </c>
      <c r="AX49" s="57" t="s">
        <v>243</v>
      </c>
      <c r="AY49" s="57"/>
      <c r="AZ49" s="57"/>
      <c r="BA49" s="57"/>
      <c r="BB49" s="28"/>
    </row>
    <row r="50" spans="1:54" ht="12.75" x14ac:dyDescent="0.2">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2.75" x14ac:dyDescent="0.2">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8">AH50</f>
        <v>100</v>
      </c>
      <c r="AI51" s="39">
        <f t="shared" si="8"/>
        <v>1.7999999999999998</v>
      </c>
      <c r="AJ51" s="65">
        <f t="shared" si="8"/>
        <v>180</v>
      </c>
      <c r="AK51" s="128">
        <f>AH51 * (1 + E51) / (1 - G51)</f>
        <v>108.5427135678392</v>
      </c>
      <c r="AL51" s="129">
        <f>(B51 - AK51) / AK51</f>
        <v>-0.17083333333333336</v>
      </c>
      <c r="AM51" s="35"/>
      <c r="AN51" s="65">
        <f t="shared" ref="AN51:AP52" si="9">AN50</f>
        <v>100</v>
      </c>
      <c r="AO51" s="39">
        <f t="shared" si="9"/>
        <v>1.2000000000000002</v>
      </c>
      <c r="AP51" s="65">
        <f t="shared" si="9"/>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2.75" x14ac:dyDescent="0.2">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8"/>
        <v>100</v>
      </c>
      <c r="AI52" s="32">
        <f t="shared" si="8"/>
        <v>1.7999999999999998</v>
      </c>
      <c r="AJ52" s="63">
        <f t="shared" si="8"/>
        <v>180</v>
      </c>
      <c r="AK52" s="157">
        <f>AH52 * (1 + E52) / (1 - G52)</f>
        <v>108.5427135678392</v>
      </c>
      <c r="AL52" s="124">
        <f>(B52 - AK52) / AK52</f>
        <v>0.10555555555555551</v>
      </c>
      <c r="AN52" s="63">
        <f t="shared" si="9"/>
        <v>100</v>
      </c>
      <c r="AO52" s="32">
        <f t="shared" si="9"/>
        <v>1.2000000000000002</v>
      </c>
      <c r="AP52" s="63">
        <f t="shared" si="9"/>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2.75" x14ac:dyDescent="0.2">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2.75" x14ac:dyDescent="0.2">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0">AH52</f>
        <v>100</v>
      </c>
      <c r="AI54" s="39">
        <f t="shared" si="10"/>
        <v>1.7999999999999998</v>
      </c>
      <c r="AJ54" s="65">
        <f t="shared" si="10"/>
        <v>180</v>
      </c>
      <c r="AK54" s="128">
        <f t="shared" si="10"/>
        <v>108.5427135678392</v>
      </c>
      <c r="AL54" s="129">
        <f>(B53 - AK54) / AK54</f>
        <v>5.9490740740740698E-2</v>
      </c>
      <c r="AM54" s="35"/>
      <c r="AN54" s="65">
        <f t="shared" ref="AN54:AQ58" si="11">AN52</f>
        <v>100</v>
      </c>
      <c r="AO54" s="39">
        <f t="shared" si="11"/>
        <v>1.2000000000000002</v>
      </c>
      <c r="AP54" s="65">
        <f t="shared" si="11"/>
        <v>120</v>
      </c>
      <c r="AQ54" s="65">
        <f t="shared" si="11"/>
        <v>116.58291457286431</v>
      </c>
      <c r="AR54" s="129">
        <f>(B53 - AQ54) / AQ54</f>
        <v>-1.3577586206896464E-2</v>
      </c>
      <c r="AS54" s="35"/>
      <c r="AT54" s="35"/>
      <c r="AU54" s="35"/>
      <c r="AV54" s="39"/>
      <c r="AW54" s="39"/>
      <c r="AX54" s="35"/>
    </row>
    <row r="55" spans="1:54" ht="12.75" x14ac:dyDescent="0.2">
      <c r="A55" s="150" t="s">
        <v>245</v>
      </c>
      <c r="B55" s="52">
        <v>90</v>
      </c>
      <c r="C55" s="62">
        <v>0.02</v>
      </c>
      <c r="D55" s="124">
        <v>0.04</v>
      </c>
      <c r="E55" s="95">
        <v>0.08</v>
      </c>
      <c r="F55" s="95">
        <v>0.16</v>
      </c>
      <c r="G55" s="95">
        <v>5.0000000000000001E-3</v>
      </c>
      <c r="H55" s="63">
        <v>1200</v>
      </c>
      <c r="I55" s="95"/>
      <c r="J55" s="133" t="s">
        <v>246</v>
      </c>
      <c r="K55" s="152"/>
      <c r="L55" s="52"/>
      <c r="M55" s="152">
        <v>20</v>
      </c>
      <c r="N55" s="124"/>
      <c r="O55" s="152"/>
      <c r="P55" s="152"/>
      <c r="R55" t="s">
        <v>245</v>
      </c>
      <c r="S55" t="s">
        <v>247</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0"/>
        <v>115</v>
      </c>
      <c r="AI55" s="32">
        <f t="shared" si="10"/>
        <v>1.0434782608695652</v>
      </c>
      <c r="AJ55" s="63">
        <f t="shared" si="10"/>
        <v>120</v>
      </c>
      <c r="AK55" s="157">
        <f t="shared" si="10"/>
        <v>124.82412060301507</v>
      </c>
      <c r="AL55" s="124">
        <f>(B55 - AK55) / AK55</f>
        <v>-0.27898550724637683</v>
      </c>
      <c r="AN55" s="63">
        <f t="shared" si="11"/>
        <v>115</v>
      </c>
      <c r="AO55" s="32">
        <f t="shared" si="11"/>
        <v>0.69565217391304346</v>
      </c>
      <c r="AP55" s="63">
        <f t="shared" si="11"/>
        <v>80</v>
      </c>
      <c r="AQ55" s="63">
        <f t="shared" si="11"/>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2.75" x14ac:dyDescent="0.2">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0"/>
        <v>100</v>
      </c>
      <c r="AI56" s="32">
        <f t="shared" si="10"/>
        <v>1.7999999999999998</v>
      </c>
      <c r="AJ56" s="63">
        <f t="shared" si="10"/>
        <v>180</v>
      </c>
      <c r="AK56" s="157">
        <f t="shared" si="10"/>
        <v>108.5427135678392</v>
      </c>
      <c r="AL56" s="124">
        <f>(B55 - AK56) / AK56</f>
        <v>-0.17083333333333336</v>
      </c>
      <c r="AN56" s="63">
        <f t="shared" si="11"/>
        <v>100</v>
      </c>
      <c r="AO56" s="32">
        <f t="shared" si="11"/>
        <v>1.2000000000000002</v>
      </c>
      <c r="AP56" s="63">
        <f t="shared" si="11"/>
        <v>120</v>
      </c>
      <c r="AQ56" s="63">
        <f t="shared" si="11"/>
        <v>116.58291457286431</v>
      </c>
      <c r="AR56" s="124">
        <f>(B55 - AQ56) / AQ56</f>
        <v>-0.22801724137931029</v>
      </c>
      <c r="AV56" s="32"/>
      <c r="AW56" s="32"/>
    </row>
    <row r="57" spans="1:54" ht="12.75" x14ac:dyDescent="0.2">
      <c r="A57" s="182" t="s">
        <v>248</v>
      </c>
      <c r="B57" s="40">
        <v>80</v>
      </c>
      <c r="C57" s="55">
        <v>0.02</v>
      </c>
      <c r="D57" s="129">
        <v>0.04</v>
      </c>
      <c r="E57" s="125">
        <v>0.08</v>
      </c>
      <c r="F57" s="125">
        <v>0.16</v>
      </c>
      <c r="G57" s="125">
        <v>5.0000000000000001E-3</v>
      </c>
      <c r="H57" s="65">
        <v>1200</v>
      </c>
      <c r="I57" s="125"/>
      <c r="J57" s="134" t="s">
        <v>249</v>
      </c>
      <c r="K57" s="153"/>
      <c r="L57" s="40"/>
      <c r="M57" s="153">
        <v>40</v>
      </c>
      <c r="N57" s="129"/>
      <c r="O57" s="153"/>
      <c r="P57" s="153"/>
      <c r="Q57" s="35"/>
      <c r="R57" s="35" t="s">
        <v>248</v>
      </c>
      <c r="S57" s="35" t="s">
        <v>249</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0"/>
        <v>115</v>
      </c>
      <c r="AI57" s="39">
        <f t="shared" si="10"/>
        <v>1.0434782608695652</v>
      </c>
      <c r="AJ57" s="65">
        <f t="shared" si="10"/>
        <v>120</v>
      </c>
      <c r="AK57" s="128">
        <f t="shared" si="10"/>
        <v>124.82412060301507</v>
      </c>
      <c r="AL57" s="129">
        <f>(B57 - AK57) / AK57</f>
        <v>-0.35909822866344604</v>
      </c>
      <c r="AM57" s="35"/>
      <c r="AN57" s="65">
        <f t="shared" si="11"/>
        <v>115</v>
      </c>
      <c r="AO57" s="39">
        <f t="shared" si="11"/>
        <v>0.69565217391304346</v>
      </c>
      <c r="AP57" s="65">
        <f t="shared" si="11"/>
        <v>80</v>
      </c>
      <c r="AQ57" s="65">
        <f t="shared" si="11"/>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2.75" x14ac:dyDescent="0.2">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0"/>
        <v>100</v>
      </c>
      <c r="AI58" s="43">
        <f t="shared" si="10"/>
        <v>1.7999999999999998</v>
      </c>
      <c r="AJ58" s="128">
        <f t="shared" si="10"/>
        <v>180</v>
      </c>
      <c r="AK58" s="128">
        <f t="shared" si="10"/>
        <v>108.5427135678392</v>
      </c>
      <c r="AL58" s="129">
        <f>(B57 - AK58) / AK58</f>
        <v>-0.26296296296296301</v>
      </c>
      <c r="AM58" s="35"/>
      <c r="AN58" s="126">
        <f t="shared" si="11"/>
        <v>100</v>
      </c>
      <c r="AO58" s="43">
        <f t="shared" si="11"/>
        <v>1.2000000000000002</v>
      </c>
      <c r="AP58" s="128">
        <f t="shared" si="11"/>
        <v>120</v>
      </c>
      <c r="AQ58" s="128">
        <f t="shared" si="11"/>
        <v>116.58291457286431</v>
      </c>
      <c r="AR58" s="129">
        <f>(B57 - AQ58) / AQ58</f>
        <v>-0.31379310344827582</v>
      </c>
      <c r="AS58" s="35"/>
      <c r="AT58" s="39"/>
      <c r="AU58" s="39"/>
      <c r="AV58" s="39"/>
      <c r="AW58" s="39"/>
      <c r="AX58" s="35"/>
    </row>
    <row r="59" spans="1:54" ht="12.75" x14ac:dyDescent="0.2">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t="e">
        <f>(AC59+AI59+#REF!+AO59+#REF!)*B59</f>
        <v>#REF!</v>
      </c>
      <c r="AW59" s="206" t="e">
        <f>(AU59+AV59-AT59)/AT59</f>
        <v>#REF!</v>
      </c>
      <c r="AX59" s="63">
        <f>H59-AT59+AU59</f>
        <v>-126.57500000000005</v>
      </c>
    </row>
    <row r="60" spans="1:54" ht="12.75" x14ac:dyDescent="0.2">
      <c r="A60" s="150"/>
      <c r="B60" s="33"/>
      <c r="C60" s="67"/>
      <c r="D60" s="124"/>
      <c r="E60" s="95"/>
      <c r="F60" s="95"/>
      <c r="G60" s="95"/>
      <c r="H60" s="95"/>
      <c r="L60" s="207"/>
      <c r="M60" s="207"/>
      <c r="N60" s="124"/>
      <c r="O60" s="95"/>
      <c r="P60" s="95"/>
      <c r="Q60" s="45"/>
      <c r="R60" s="45"/>
      <c r="V60" s="30"/>
      <c r="W60" s="122"/>
      <c r="X60" s="122"/>
      <c r="Y60" s="152"/>
      <c r="Z60" s="152"/>
      <c r="AA60" s="12"/>
      <c r="AB60" s="139"/>
      <c r="AC60" s="139"/>
      <c r="AD60" s="139"/>
      <c r="AE60" s="139"/>
      <c r="AF60" s="140"/>
      <c r="AG60" s="140"/>
      <c r="AH60" s="139"/>
      <c r="AI60" s="139"/>
      <c r="AJ60" s="139"/>
      <c r="AK60" s="139"/>
      <c r="AL60" s="140"/>
      <c r="AN60" s="139"/>
      <c r="AO60" s="139"/>
      <c r="AP60" s="139"/>
      <c r="AQ60" s="139"/>
      <c r="AR60" s="140"/>
    </row>
    <row r="61" spans="1:54" ht="12.75" x14ac:dyDescent="0.2">
      <c r="A61" s="208" t="s">
        <v>257</v>
      </c>
      <c r="B61" s="33"/>
      <c r="C61" s="67"/>
      <c r="D61" s="124"/>
      <c r="E61" s="95"/>
      <c r="F61" s="95"/>
      <c r="G61" s="95"/>
      <c r="H61" s="95"/>
      <c r="L61" s="207"/>
      <c r="M61" s="207"/>
      <c r="N61" s="124"/>
      <c r="O61" s="95"/>
      <c r="P61" s="95"/>
      <c r="Q61" s="45"/>
      <c r="R61" s="45"/>
      <c r="V61" s="30"/>
      <c r="W61" s="122"/>
      <c r="X61" s="122"/>
      <c r="Y61" s="152"/>
      <c r="Z61" s="152"/>
      <c r="AA61" s="12"/>
      <c r="AB61" s="139"/>
      <c r="AC61" s="139"/>
      <c r="AD61" s="139"/>
      <c r="AE61" s="139"/>
      <c r="AF61" s="140"/>
      <c r="AG61" s="140"/>
      <c r="AH61" s="139"/>
      <c r="AI61" s="139"/>
      <c r="AJ61" s="139"/>
      <c r="AK61" s="139"/>
      <c r="AL61" s="140"/>
      <c r="AN61" s="139"/>
      <c r="AO61" s="139"/>
      <c r="AP61" s="139"/>
      <c r="AQ61" s="139"/>
      <c r="AR61" s="140"/>
    </row>
    <row r="62" spans="1:54" ht="12.75" x14ac:dyDescent="0.2">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2.75" x14ac:dyDescent="0.2">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2.75" x14ac:dyDescent="0.2">
      <c r="A64" s="110" t="s">
        <v>215</v>
      </c>
      <c r="B64" s="52">
        <v>100</v>
      </c>
      <c r="C64" s="54">
        <v>0.04</v>
      </c>
      <c r="D64" s="124">
        <v>0.04</v>
      </c>
      <c r="E64" s="95">
        <v>0.08</v>
      </c>
      <c r="F64" s="95">
        <v>0.16</v>
      </c>
      <c r="G64" s="95">
        <v>0.01</v>
      </c>
      <c r="H64" s="95"/>
      <c r="I64" s="95"/>
      <c r="J64" s="133" t="s">
        <v>75</v>
      </c>
      <c r="K64" s="133" t="s">
        <v>78</v>
      </c>
      <c r="L64" s="52">
        <v>100</v>
      </c>
      <c r="M64" s="52">
        <v>100</v>
      </c>
      <c r="N64" s="124">
        <v>0.5</v>
      </c>
      <c r="O64" s="95">
        <v>0.3</v>
      </c>
      <c r="P64" s="95">
        <v>0.2</v>
      </c>
      <c r="R64" s="45" t="s">
        <v>215</v>
      </c>
      <c r="S64" s="45" t="s">
        <v>75</v>
      </c>
      <c r="T64" s="131" t="s">
        <v>78</v>
      </c>
      <c r="U64" s="122">
        <f>L64</f>
        <v>100</v>
      </c>
      <c r="V64" s="30">
        <f>W64/U64</f>
        <v>1</v>
      </c>
      <c r="W64" s="122">
        <f>M64</f>
        <v>100</v>
      </c>
      <c r="X64" s="122">
        <f>U64 * (1 - ABS(C64))</f>
        <v>96</v>
      </c>
      <c r="Y64" s="152" t="s">
        <v>34</v>
      </c>
      <c r="Z64" s="152" t="s">
        <v>34</v>
      </c>
      <c r="AA64" s="12"/>
      <c r="AB64" s="122">
        <f>U64</f>
        <v>100</v>
      </c>
      <c r="AC64" s="30">
        <f>V64*N64</f>
        <v>0.5</v>
      </c>
      <c r="AD64" s="123">
        <f>W64*N64</f>
        <v>50</v>
      </c>
      <c r="AE64" s="123">
        <f>AB64 * (1 + D64) / (1 - G64)</f>
        <v>105.05050505050505</v>
      </c>
      <c r="AF64" s="124">
        <f>(B64 - AE64) / AE64</f>
        <v>-4.8076923076923087E-2</v>
      </c>
      <c r="AG64" s="30"/>
      <c r="AH64" s="122">
        <f>U64</f>
        <v>100</v>
      </c>
      <c r="AI64" s="30">
        <f>V64*O64</f>
        <v>0.3</v>
      </c>
      <c r="AJ64" s="123">
        <f>W64*O64</f>
        <v>30</v>
      </c>
      <c r="AK64" s="123">
        <f>AH64 * (1 + E64) / (1 - G64)</f>
        <v>109.09090909090909</v>
      </c>
      <c r="AL64" s="124">
        <f>(B64 - AK64) / AK64</f>
        <v>-8.3333333333333356E-2</v>
      </c>
      <c r="AN64" s="122">
        <f>U64</f>
        <v>100</v>
      </c>
      <c r="AO64" s="30">
        <f>V64*P64</f>
        <v>0.2</v>
      </c>
      <c r="AP64" s="123">
        <f>W64*P64</f>
        <v>20</v>
      </c>
      <c r="AQ64" s="123">
        <f>AN64 * (1 + F64) / (1 - G64)</f>
        <v>117.17171717171716</v>
      </c>
      <c r="AR64" s="124">
        <f>(B64 - AQ64) / AQ64</f>
        <v>-0.14655172413793097</v>
      </c>
      <c r="AT64" s="32">
        <f>AC64+AI64+AO64</f>
        <v>1</v>
      </c>
      <c r="AU64" s="32">
        <f>AC64</f>
        <v>0.5</v>
      </c>
      <c r="AV64" s="32">
        <f>AI64</f>
        <v>0.3</v>
      </c>
      <c r="AW64" s="32">
        <f>AO64</f>
        <v>0.2</v>
      </c>
    </row>
    <row r="65" spans="1:54" ht="12.75" x14ac:dyDescent="0.2">
      <c r="A65" s="182" t="s">
        <v>259</v>
      </c>
      <c r="B65" s="36"/>
      <c r="C65" s="209"/>
      <c r="D65" s="129"/>
      <c r="E65" s="125"/>
      <c r="F65" s="125"/>
      <c r="G65" s="125"/>
      <c r="H65" s="125"/>
      <c r="I65" s="35"/>
      <c r="J65" s="35"/>
      <c r="K65" s="35"/>
      <c r="L65" s="210"/>
      <c r="M65" s="210"/>
      <c r="N65" s="129"/>
      <c r="O65" s="125"/>
      <c r="P65" s="125"/>
      <c r="Q65" s="47"/>
      <c r="R65" s="47"/>
      <c r="S65" s="35"/>
      <c r="T65" s="35"/>
      <c r="U65" s="35"/>
      <c r="V65" s="43"/>
      <c r="W65" s="126"/>
      <c r="X65" s="126"/>
      <c r="Y65" s="153"/>
      <c r="Z65" s="153"/>
      <c r="AA65" s="41"/>
      <c r="AB65" s="212"/>
      <c r="AC65" s="212"/>
      <c r="AD65" s="212"/>
      <c r="AE65" s="212"/>
      <c r="AF65" s="170"/>
      <c r="AG65" s="170"/>
      <c r="AH65" s="212"/>
      <c r="AI65" s="212"/>
      <c r="AJ65" s="212"/>
      <c r="AK65" s="212"/>
      <c r="AL65" s="170"/>
      <c r="AM65" s="35"/>
      <c r="AN65" s="212"/>
      <c r="AO65" s="212"/>
      <c r="AP65" s="212"/>
      <c r="AQ65" s="212"/>
      <c r="AR65" s="170"/>
      <c r="AS65" s="35"/>
      <c r="AT65" s="35"/>
      <c r="AU65" s="35"/>
      <c r="AV65" s="35"/>
      <c r="AW65" s="35"/>
    </row>
    <row r="66" spans="1:54" ht="12.75" x14ac:dyDescent="0.2">
      <c r="A66" s="150" t="s">
        <v>218</v>
      </c>
      <c r="B66" s="52">
        <v>100</v>
      </c>
      <c r="C66" s="54">
        <v>0.04</v>
      </c>
      <c r="D66" s="124">
        <v>0.04</v>
      </c>
      <c r="E66" s="95">
        <v>0.08</v>
      </c>
      <c r="F66" s="95">
        <v>0.16</v>
      </c>
      <c r="G66" s="95">
        <v>0.01</v>
      </c>
      <c r="H66" s="95"/>
      <c r="J66" s="133" t="s">
        <v>73</v>
      </c>
      <c r="K66" s="130" t="s">
        <v>211</v>
      </c>
      <c r="L66" s="52">
        <v>100</v>
      </c>
      <c r="M66" s="152" t="s">
        <v>34</v>
      </c>
      <c r="N66" s="152" t="s">
        <v>34</v>
      </c>
      <c r="O66" s="152" t="s">
        <v>34</v>
      </c>
      <c r="P66" s="95">
        <v>1</v>
      </c>
      <c r="R66" s="45" t="s">
        <v>218</v>
      </c>
      <c r="S66" s="45" t="s">
        <v>73</v>
      </c>
      <c r="T66" s="130" t="s">
        <v>211</v>
      </c>
      <c r="U66" s="122">
        <f>L66</f>
        <v>100</v>
      </c>
      <c r="V66" s="30">
        <f>AO64*P66</f>
        <v>0.2</v>
      </c>
      <c r="W66" s="122">
        <f>U66*V66-(U66*V66*G66)</f>
        <v>19.8</v>
      </c>
      <c r="X66" s="152" t="s">
        <v>34</v>
      </c>
      <c r="Y66" s="158">
        <f>W66-(U64*V66)</f>
        <v>-0.19999999999999929</v>
      </c>
      <c r="Z66" s="211">
        <f>Y66/(U64*V66)</f>
        <v>-9.9999999999999638E-3</v>
      </c>
      <c r="AA66" s="12"/>
      <c r="AB66" s="122">
        <f>U66</f>
        <v>100</v>
      </c>
      <c r="AC66" s="30">
        <f>AC64</f>
        <v>0.5</v>
      </c>
      <c r="AD66" s="123">
        <f>AD64</f>
        <v>50</v>
      </c>
      <c r="AE66" s="123">
        <f>AE64</f>
        <v>105.05050505050505</v>
      </c>
      <c r="AF66" s="124">
        <f>AF64</f>
        <v>-4.8076923076923087E-2</v>
      </c>
      <c r="AG66" s="30"/>
      <c r="AH66" s="122">
        <f>AH64</f>
        <v>100</v>
      </c>
      <c r="AI66" s="30">
        <f>AI64</f>
        <v>0.3</v>
      </c>
      <c r="AJ66" s="123">
        <f>AJ64</f>
        <v>30</v>
      </c>
      <c r="AK66" s="123">
        <f>AK64</f>
        <v>109.09090909090909</v>
      </c>
      <c r="AL66" s="124">
        <f>AL64</f>
        <v>-8.3333333333333356E-2</v>
      </c>
      <c r="AN66" s="162"/>
      <c r="AO66" s="163"/>
      <c r="AP66" s="164"/>
      <c r="AQ66" s="164"/>
      <c r="AR66" s="148"/>
      <c r="AT66" s="32">
        <f>AC66+AI66+AO66</f>
        <v>0.8</v>
      </c>
      <c r="AU66" s="32">
        <f>AC66</f>
        <v>0.5</v>
      </c>
      <c r="AV66" s="32">
        <f>AI66</f>
        <v>0.3</v>
      </c>
      <c r="AW66" s="32">
        <f>AO66</f>
        <v>0</v>
      </c>
    </row>
    <row r="67" spans="1:54" ht="12.75" x14ac:dyDescent="0.2">
      <c r="A67" s="182" t="s">
        <v>258</v>
      </c>
      <c r="B67" s="36"/>
      <c r="C67" s="209"/>
      <c r="D67" s="129"/>
      <c r="E67" s="125"/>
      <c r="F67" s="125"/>
      <c r="G67" s="125"/>
      <c r="H67" s="125"/>
      <c r="I67" s="35"/>
      <c r="J67" s="35"/>
      <c r="K67" s="35"/>
      <c r="L67" s="210"/>
      <c r="M67" s="210"/>
      <c r="N67" s="129"/>
      <c r="O67" s="125"/>
      <c r="P67" s="125"/>
      <c r="Q67" s="47"/>
      <c r="R67" s="47"/>
      <c r="S67" s="35"/>
      <c r="T67" s="35"/>
      <c r="U67" s="35"/>
      <c r="V67" s="43"/>
      <c r="W67" s="126"/>
      <c r="X67" s="126"/>
      <c r="Y67" s="153"/>
      <c r="Z67" s="153"/>
      <c r="AA67" s="41"/>
      <c r="AB67" s="212"/>
      <c r="AC67" s="212"/>
      <c r="AD67" s="212"/>
      <c r="AE67" s="212"/>
      <c r="AF67" s="170"/>
      <c r="AG67" s="170"/>
      <c r="AH67" s="212"/>
      <c r="AI67" s="212"/>
      <c r="AJ67" s="212"/>
      <c r="AK67" s="212"/>
      <c r="AL67" s="170"/>
      <c r="AM67" s="35"/>
      <c r="AN67" s="212"/>
      <c r="AO67" s="212"/>
      <c r="AP67" s="212"/>
      <c r="AQ67" s="212"/>
      <c r="AR67" s="170"/>
      <c r="AS67" s="35"/>
      <c r="AT67" s="35"/>
      <c r="AU67" s="35"/>
      <c r="AV67" s="35"/>
      <c r="AW67" s="35"/>
    </row>
    <row r="68" spans="1:54" ht="12.75" x14ac:dyDescent="0.2">
      <c r="A68" s="150" t="s">
        <v>260</v>
      </c>
      <c r="B68" s="52">
        <v>100</v>
      </c>
      <c r="C68" s="54">
        <v>0.04</v>
      </c>
      <c r="D68" s="124">
        <v>0.04</v>
      </c>
      <c r="E68" s="95">
        <v>0.08</v>
      </c>
      <c r="F68" s="95"/>
      <c r="G68" s="95">
        <v>0.01</v>
      </c>
      <c r="H68" s="95"/>
      <c r="J68" s="133"/>
      <c r="K68" s="130"/>
      <c r="L68" s="52"/>
      <c r="M68" s="152"/>
      <c r="N68" s="152"/>
      <c r="O68" s="152"/>
      <c r="P68" s="95"/>
      <c r="R68" s="45"/>
      <c r="S68" s="45"/>
      <c r="T68" s="130"/>
      <c r="U68" s="122"/>
      <c r="V68" s="30"/>
      <c r="W68" s="122"/>
      <c r="X68" s="152"/>
      <c r="Y68" s="158"/>
      <c r="Z68" s="211"/>
      <c r="AA68" s="12"/>
      <c r="AB68" s="122">
        <f>AB66</f>
        <v>100</v>
      </c>
      <c r="AC68" s="30">
        <f>AC66</f>
        <v>0.5</v>
      </c>
      <c r="AD68" s="123">
        <f>AD66</f>
        <v>50</v>
      </c>
      <c r="AE68" s="123">
        <f>AE66</f>
        <v>105.05050505050505</v>
      </c>
      <c r="AF68" s="124">
        <f>AF66</f>
        <v>-4.8076923076923087E-2</v>
      </c>
      <c r="AG68" s="30"/>
      <c r="AH68" s="122">
        <f>AH66</f>
        <v>100</v>
      </c>
      <c r="AI68" s="30">
        <f>AI66</f>
        <v>0.3</v>
      </c>
      <c r="AJ68" s="123">
        <f>AJ66</f>
        <v>30</v>
      </c>
      <c r="AK68" s="123">
        <f>AK66</f>
        <v>109.09090909090909</v>
      </c>
      <c r="AL68" s="124">
        <f>AL66</f>
        <v>-8.3333333333333356E-2</v>
      </c>
      <c r="AN68" s="204" t="s">
        <v>261</v>
      </c>
      <c r="AO68" s="163"/>
      <c r="AP68" s="164"/>
      <c r="AQ68" s="164"/>
      <c r="AR68" s="148"/>
      <c r="AT68" s="32">
        <f>AC68+AI68+AO68</f>
        <v>0.8</v>
      </c>
      <c r="AU68" s="32">
        <f>AC68</f>
        <v>0.5</v>
      </c>
      <c r="AV68" s="32">
        <f>AI68</f>
        <v>0.3</v>
      </c>
      <c r="AW68" s="32"/>
    </row>
    <row r="69" spans="1:54" ht="25.5" x14ac:dyDescent="0.2">
      <c r="A69" s="150" t="s">
        <v>262</v>
      </c>
      <c r="B69" s="33"/>
      <c r="C69" s="67"/>
      <c r="D69" s="124"/>
      <c r="E69" s="95"/>
      <c r="F69" s="95"/>
      <c r="G69" s="95"/>
      <c r="H69" s="95"/>
      <c r="L69" s="207"/>
      <c r="M69" s="207"/>
      <c r="N69" s="124"/>
      <c r="O69" s="95"/>
      <c r="P69" s="95"/>
      <c r="Q69" s="45"/>
      <c r="R69" s="45"/>
      <c r="V69" s="30"/>
      <c r="W69" s="122"/>
      <c r="X69" s="122"/>
      <c r="Y69" s="152"/>
      <c r="Z69" s="152"/>
      <c r="AA69" s="12"/>
      <c r="AB69" s="139"/>
      <c r="AC69" s="139"/>
      <c r="AD69" s="139"/>
      <c r="AE69" s="139"/>
      <c r="AF69" s="140"/>
      <c r="AG69" s="140"/>
      <c r="AH69" s="139"/>
      <c r="AI69" s="139"/>
      <c r="AJ69" s="139"/>
      <c r="AK69" s="139"/>
      <c r="AL69" s="140"/>
      <c r="AN69" s="139"/>
      <c r="AO69" s="139"/>
      <c r="AP69" s="139"/>
      <c r="AQ69" s="139"/>
      <c r="AR69" s="140"/>
    </row>
    <row r="70" spans="1:54" ht="12.75" x14ac:dyDescent="0.2">
      <c r="A70" t="s">
        <v>254</v>
      </c>
      <c r="C70" s="67"/>
      <c r="D70" s="124"/>
      <c r="E70" s="95"/>
      <c r="F70" s="95"/>
      <c r="G70" s="95"/>
      <c r="H70" s="95"/>
      <c r="L70" s="207"/>
      <c r="M70" s="207"/>
      <c r="N70" s="124"/>
      <c r="O70" s="95"/>
      <c r="P70" s="95"/>
      <c r="Q70" s="45"/>
      <c r="R70" s="45"/>
      <c r="V70" s="30"/>
      <c r="W70" s="122"/>
      <c r="X70" s="122"/>
      <c r="Y70" s="152"/>
      <c r="Z70" s="152"/>
      <c r="AA70" s="12"/>
      <c r="AB70" s="139"/>
      <c r="AC70" s="139"/>
      <c r="AD70" s="139"/>
      <c r="AE70" s="139"/>
      <c r="AF70" s="140"/>
      <c r="AG70" s="140"/>
      <c r="AH70" s="139"/>
      <c r="AI70" s="139"/>
      <c r="AJ70" s="139"/>
      <c r="AK70" s="139"/>
      <c r="AL70" s="140"/>
      <c r="AN70" s="139"/>
      <c r="AO70" s="139"/>
      <c r="AP70" s="139"/>
      <c r="AQ70" s="139"/>
      <c r="AR70" s="140"/>
    </row>
    <row r="71" spans="1:54" ht="12.75" x14ac:dyDescent="0.2">
      <c r="A71" t="s">
        <v>255</v>
      </c>
      <c r="C71" s="67"/>
      <c r="D71" s="124"/>
      <c r="E71" s="95"/>
      <c r="F71" s="95"/>
      <c r="G71" s="95"/>
      <c r="H71" s="95"/>
      <c r="L71" s="207"/>
      <c r="M71" s="207"/>
      <c r="N71" s="124"/>
      <c r="O71" s="95"/>
      <c r="P71" s="95"/>
      <c r="Q71" s="45"/>
      <c r="R71" s="45"/>
      <c r="V71" s="30"/>
      <c r="W71" s="122"/>
      <c r="X71" s="122"/>
      <c r="Y71" s="152"/>
      <c r="Z71" s="152"/>
      <c r="AA71" s="12"/>
      <c r="AB71" s="139"/>
      <c r="AC71" s="139"/>
      <c r="AD71" s="139"/>
      <c r="AE71" s="139"/>
      <c r="AF71" s="140"/>
      <c r="AG71" s="140"/>
      <c r="AH71" s="139"/>
      <c r="AI71" s="139"/>
      <c r="AJ71" s="139"/>
      <c r="AK71" s="139"/>
      <c r="AL71" s="140"/>
      <c r="AN71" s="139"/>
      <c r="AO71" s="139"/>
      <c r="AP71" s="139"/>
      <c r="AQ71" s="139"/>
      <c r="AR71" s="140"/>
    </row>
    <row r="72" spans="1:54" ht="12.75" x14ac:dyDescent="0.2">
      <c r="A72" t="s">
        <v>252</v>
      </c>
      <c r="C72" s="67"/>
      <c r="D72" s="124"/>
      <c r="E72" s="95"/>
      <c r="F72" s="95"/>
      <c r="G72" s="95"/>
      <c r="H72" s="95"/>
      <c r="L72" s="207"/>
      <c r="M72" s="207"/>
      <c r="N72" s="124"/>
      <c r="O72" s="95"/>
      <c r="P72" s="95"/>
      <c r="Q72" s="45"/>
      <c r="R72" s="45"/>
      <c r="V72" s="30"/>
      <c r="W72" s="122"/>
      <c r="X72" s="122"/>
      <c r="Y72" s="152"/>
      <c r="Z72" s="152"/>
      <c r="AA72" s="12"/>
      <c r="AB72" s="139"/>
      <c r="AC72" s="139"/>
      <c r="AD72" s="139"/>
      <c r="AE72" s="139"/>
      <c r="AF72" s="140"/>
      <c r="AG72" s="140"/>
      <c r="AH72" s="139"/>
      <c r="AI72" s="139"/>
      <c r="AJ72" s="139"/>
      <c r="AK72" s="139"/>
      <c r="AL72" s="140"/>
      <c r="AN72" s="139"/>
      <c r="AO72" s="139"/>
      <c r="AP72" s="139"/>
      <c r="AQ72" s="139"/>
      <c r="AR72" s="140"/>
    </row>
    <row r="73" spans="1:54" ht="12.75" x14ac:dyDescent="0.2">
      <c r="A73" t="s">
        <v>253</v>
      </c>
      <c r="C73" s="67"/>
      <c r="D73" s="124"/>
      <c r="E73" s="95"/>
      <c r="F73" s="95"/>
      <c r="G73" s="95"/>
      <c r="H73" s="95"/>
      <c r="L73" s="207"/>
      <c r="M73" s="207"/>
      <c r="N73" s="124"/>
      <c r="O73" s="95"/>
      <c r="P73" s="95"/>
      <c r="Q73" s="45"/>
      <c r="R73" s="45"/>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54" ht="12.75" x14ac:dyDescent="0.2">
      <c r="A74" t="s">
        <v>256</v>
      </c>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54" ht="12.75" x14ac:dyDescent="0.2">
      <c r="A75" s="182" t="s">
        <v>263</v>
      </c>
      <c r="B75" s="40">
        <v>100</v>
      </c>
      <c r="C75" s="55">
        <v>0.04</v>
      </c>
      <c r="D75" s="129">
        <v>0.05</v>
      </c>
      <c r="E75" s="125">
        <v>0.08</v>
      </c>
      <c r="F75" s="125"/>
      <c r="G75" s="125">
        <v>0.01</v>
      </c>
      <c r="H75" s="125"/>
      <c r="I75" s="35"/>
      <c r="J75" s="35"/>
      <c r="K75" s="35"/>
      <c r="L75" s="210"/>
      <c r="M75" s="210"/>
      <c r="N75" s="129"/>
      <c r="O75" s="125"/>
      <c r="P75" s="125"/>
      <c r="Q75" s="47"/>
      <c r="R75" s="47"/>
      <c r="S75" s="35"/>
      <c r="T75" s="35"/>
      <c r="U75" s="35"/>
      <c r="V75" s="43"/>
      <c r="W75" s="126"/>
      <c r="X75" s="126"/>
      <c r="Y75" s="153"/>
      <c r="Z75" s="153"/>
      <c r="AA75" s="41"/>
      <c r="AB75" s="126">
        <f>AB68</f>
        <v>100</v>
      </c>
      <c r="AC75" s="43">
        <f>AC68</f>
        <v>0.5</v>
      </c>
      <c r="AD75" s="128">
        <f>AD68</f>
        <v>50</v>
      </c>
      <c r="AE75" s="128">
        <f>AB75 * (1 + D75) / (1 - G75)</f>
        <v>106.06060606060606</v>
      </c>
      <c r="AF75" s="129">
        <f>(B75 - AE75) / AE75</f>
        <v>-5.7142857142857155E-2</v>
      </c>
      <c r="AG75" s="43"/>
      <c r="AH75" s="126">
        <f>AH68</f>
        <v>100</v>
      </c>
      <c r="AI75" s="43">
        <f>AI68</f>
        <v>0.3</v>
      </c>
      <c r="AJ75" s="128">
        <f>AJ68</f>
        <v>30</v>
      </c>
      <c r="AK75" s="128">
        <f>AK68</f>
        <v>109.09090909090909</v>
      </c>
      <c r="AL75" s="129">
        <f>AL68</f>
        <v>-8.3333333333333356E-2</v>
      </c>
      <c r="AM75" s="35"/>
      <c r="AN75" s="212"/>
      <c r="AO75" s="212"/>
      <c r="AP75" s="212"/>
      <c r="AQ75" s="212"/>
      <c r="AR75" s="170"/>
      <c r="AS75" s="35"/>
      <c r="AT75" s="39">
        <f>AC75+AI75+AO75</f>
        <v>0.8</v>
      </c>
      <c r="AU75" s="39">
        <f>AC75</f>
        <v>0.5</v>
      </c>
      <c r="AV75" s="39">
        <f>AI75</f>
        <v>0.3</v>
      </c>
      <c r="AW75" s="35"/>
    </row>
    <row r="76" spans="1:54" ht="12.75" x14ac:dyDescent="0.2">
      <c r="A76" s="150"/>
      <c r="B76" s="33"/>
      <c r="C76" s="67"/>
      <c r="D76" s="124"/>
      <c r="E76" s="95"/>
      <c r="F76" s="95"/>
      <c r="G76" s="95"/>
      <c r="H76" s="95"/>
      <c r="L76" s="207"/>
      <c r="M76" s="207"/>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54" ht="12.75" x14ac:dyDescent="0.2">
      <c r="A77" s="208" t="s">
        <v>267</v>
      </c>
      <c r="B77" s="33"/>
      <c r="C77" s="67"/>
      <c r="D77" s="124"/>
      <c r="E77" s="95"/>
      <c r="F77" s="95"/>
      <c r="G77" s="95"/>
      <c r="H77" s="95"/>
      <c r="L77" s="207"/>
      <c r="M77" s="207"/>
      <c r="N77" s="124"/>
      <c r="O77" s="95"/>
      <c r="P77" s="95"/>
      <c r="Q77" s="45"/>
      <c r="R77" s="45"/>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54" ht="12.75" x14ac:dyDescent="0.2">
      <c r="B78" s="45" t="s">
        <v>204</v>
      </c>
      <c r="C78" s="109"/>
      <c r="J78" s="45" t="s">
        <v>202</v>
      </c>
      <c r="R78" s="45" t="s">
        <v>203</v>
      </c>
      <c r="T78" s="12"/>
      <c r="U78" s="12"/>
      <c r="V78" s="12"/>
      <c r="W78" s="12"/>
      <c r="X78" s="12"/>
      <c r="Y78" s="12"/>
      <c r="Z78" s="12"/>
      <c r="AA78" s="12"/>
      <c r="AB78" s="130" t="s">
        <v>205</v>
      </c>
      <c r="AC78" s="46"/>
      <c r="AD78" s="46"/>
      <c r="AE78" s="46"/>
      <c r="AF78" s="46"/>
      <c r="AG78" s="46"/>
      <c r="AH78" s="130" t="s">
        <v>207</v>
      </c>
      <c r="AI78" s="46"/>
      <c r="AJ78" s="46"/>
      <c r="AK78" s="46"/>
      <c r="AL78" s="46"/>
      <c r="AM78" s="45"/>
      <c r="AN78" s="130" t="s">
        <v>208</v>
      </c>
      <c r="AO78" s="12"/>
      <c r="AP78" s="12"/>
      <c r="AQ78" s="12"/>
      <c r="AR78" s="12"/>
      <c r="AT78" s="130" t="s">
        <v>206</v>
      </c>
    </row>
    <row r="79" spans="1:54" ht="12.75" x14ac:dyDescent="0.2">
      <c r="B79" s="57" t="s">
        <v>209</v>
      </c>
      <c r="C79" s="28" t="s">
        <v>190</v>
      </c>
      <c r="D79" s="57" t="s">
        <v>191</v>
      </c>
      <c r="E79" s="28" t="s">
        <v>192</v>
      </c>
      <c r="F79" s="28" t="s">
        <v>193</v>
      </c>
      <c r="G79" s="57" t="s">
        <v>112</v>
      </c>
      <c r="H79" s="57" t="s">
        <v>244</v>
      </c>
      <c r="I79" s="101"/>
      <c r="J79" s="28" t="s">
        <v>76</v>
      </c>
      <c r="K79" s="28" t="s">
        <v>4</v>
      </c>
      <c r="L79" s="57" t="s">
        <v>0</v>
      </c>
      <c r="M79" s="57" t="s">
        <v>1</v>
      </c>
      <c r="N79" s="28" t="s">
        <v>191</v>
      </c>
      <c r="O79" s="28" t="s">
        <v>192</v>
      </c>
      <c r="P79" s="28" t="s">
        <v>193</v>
      </c>
      <c r="R79" s="28"/>
      <c r="S79" s="28" t="s">
        <v>76</v>
      </c>
      <c r="T79" s="28" t="s">
        <v>4</v>
      </c>
      <c r="U79" s="57" t="s">
        <v>0</v>
      </c>
      <c r="V79" s="28" t="s">
        <v>62</v>
      </c>
      <c r="W79" s="57" t="s">
        <v>220</v>
      </c>
      <c r="X79" s="57" t="s">
        <v>190</v>
      </c>
      <c r="Y79" s="57" t="s">
        <v>194</v>
      </c>
      <c r="Z79" s="28" t="s">
        <v>195</v>
      </c>
      <c r="AA79" s="12"/>
      <c r="AB79" s="28" t="s">
        <v>0</v>
      </c>
      <c r="AC79" s="28" t="s">
        <v>196</v>
      </c>
      <c r="AD79" s="57" t="s">
        <v>1</v>
      </c>
      <c r="AE79" s="57" t="s">
        <v>197</v>
      </c>
      <c r="AF79" s="57" t="s">
        <v>198</v>
      </c>
      <c r="AG79" s="60"/>
      <c r="AH79" s="28" t="s">
        <v>0</v>
      </c>
      <c r="AI79" s="28" t="s">
        <v>196</v>
      </c>
      <c r="AJ79" s="57" t="s">
        <v>1</v>
      </c>
      <c r="AK79" s="57" t="s">
        <v>197</v>
      </c>
      <c r="AL79" s="57" t="s">
        <v>198</v>
      </c>
      <c r="AN79" s="28" t="s">
        <v>0</v>
      </c>
      <c r="AO79" s="28" t="s">
        <v>196</v>
      </c>
      <c r="AP79" s="57" t="s">
        <v>1</v>
      </c>
      <c r="AQ79" s="57" t="s">
        <v>197</v>
      </c>
      <c r="AR79" s="57" t="s">
        <v>198</v>
      </c>
      <c r="AT79" s="57" t="s">
        <v>199</v>
      </c>
      <c r="AU79" s="28" t="s">
        <v>191</v>
      </c>
      <c r="AV79" s="28" t="s">
        <v>192</v>
      </c>
      <c r="AW79" s="28" t="s">
        <v>193</v>
      </c>
      <c r="AX79" s="57" t="s">
        <v>79</v>
      </c>
      <c r="AY79" s="57" t="s">
        <v>242</v>
      </c>
      <c r="AZ79" s="57" t="s">
        <v>241</v>
      </c>
      <c r="BA79" s="57" t="s">
        <v>251</v>
      </c>
      <c r="BB79" s="57" t="s">
        <v>243</v>
      </c>
    </row>
    <row r="80" spans="1:54" ht="12.75" x14ac:dyDescent="0.2">
      <c r="A80" s="110" t="s">
        <v>215</v>
      </c>
      <c r="B80" s="52">
        <v>100</v>
      </c>
      <c r="C80" s="54">
        <v>0.02</v>
      </c>
      <c r="D80" s="124">
        <v>0.04</v>
      </c>
      <c r="E80" s="95">
        <v>0.08</v>
      </c>
      <c r="F80" s="95">
        <v>0.16</v>
      </c>
      <c r="G80" s="95">
        <v>5.0000000000000001E-3</v>
      </c>
      <c r="H80" s="63">
        <v>1200</v>
      </c>
      <c r="I80" s="95"/>
      <c r="J80" s="133" t="s">
        <v>75</v>
      </c>
      <c r="K80" s="133" t="s">
        <v>78</v>
      </c>
      <c r="L80" s="52">
        <v>100</v>
      </c>
      <c r="M80" s="52">
        <v>300</v>
      </c>
      <c r="N80" s="124">
        <v>0.5</v>
      </c>
      <c r="O80" s="95">
        <v>0.3</v>
      </c>
      <c r="P80" s="95">
        <v>0.2</v>
      </c>
      <c r="R80" s="45" t="s">
        <v>215</v>
      </c>
      <c r="S80" s="45" t="s">
        <v>75</v>
      </c>
      <c r="T80" s="131" t="s">
        <v>78</v>
      </c>
      <c r="U80" s="122">
        <f>L80</f>
        <v>100</v>
      </c>
      <c r="V80" s="30">
        <f>W80/U80</f>
        <v>3</v>
      </c>
      <c r="W80" s="122">
        <f>M80</f>
        <v>300</v>
      </c>
      <c r="X80" s="122">
        <f>U80 * (1 - ABS(C80))</f>
        <v>98</v>
      </c>
      <c r="Y80" s="152" t="s">
        <v>34</v>
      </c>
      <c r="Z80" s="152" t="s">
        <v>34</v>
      </c>
      <c r="AA80" s="12"/>
      <c r="AB80" s="122">
        <f>U80</f>
        <v>100</v>
      </c>
      <c r="AC80" s="30">
        <f>V80*N80</f>
        <v>1.5</v>
      </c>
      <c r="AD80" s="123">
        <f>W80*N80</f>
        <v>150</v>
      </c>
      <c r="AE80" s="123">
        <f>AB80 * (1 + D80) / (1 - G80)</f>
        <v>104.52261306532664</v>
      </c>
      <c r="AF80" s="124">
        <f>(B80 - AE80) / AE80</f>
        <v>-4.3269230769230817E-2</v>
      </c>
      <c r="AG80" s="30"/>
      <c r="AH80" s="122">
        <f>U80</f>
        <v>100</v>
      </c>
      <c r="AI80" s="30">
        <f>V80*O80</f>
        <v>0.89999999999999991</v>
      </c>
      <c r="AJ80" s="123">
        <f>W80*O80</f>
        <v>90</v>
      </c>
      <c r="AK80" s="123">
        <f>AH80 * (1 + E80) / (1 - G80)</f>
        <v>108.5427135678392</v>
      </c>
      <c r="AL80" s="124">
        <f>(B80 - AK80) / AK80</f>
        <v>-7.8703703703703748E-2</v>
      </c>
      <c r="AN80" s="122">
        <f>U80</f>
        <v>100</v>
      </c>
      <c r="AO80" s="30">
        <f>V80*P80</f>
        <v>0.60000000000000009</v>
      </c>
      <c r="AP80" s="123">
        <f>W80*P80</f>
        <v>60</v>
      </c>
      <c r="AQ80" s="123">
        <f>AN80 * (1 + F80) / (1 - G80)</f>
        <v>116.58291457286431</v>
      </c>
      <c r="AR80" s="124">
        <f>(B80 - AQ80) / AQ80</f>
        <v>-0.14224137931034475</v>
      </c>
      <c r="AT80" s="32">
        <f>AW80+AV80+AU80</f>
        <v>3</v>
      </c>
      <c r="AU80" s="32">
        <f>AC80</f>
        <v>1.5</v>
      </c>
      <c r="AV80" s="32">
        <f>AI80</f>
        <v>0.89999999999999991</v>
      </c>
      <c r="AW80" s="32">
        <f>AO80</f>
        <v>0.60000000000000009</v>
      </c>
      <c r="AX80" s="196">
        <f>M80</f>
        <v>300</v>
      </c>
      <c r="AY80" s="63">
        <v>0</v>
      </c>
      <c r="AZ80" s="122">
        <f>AT80*B80</f>
        <v>300</v>
      </c>
      <c r="BA80" s="197">
        <f>(AY80+AZ80-AX80)/AX80</f>
        <v>0</v>
      </c>
      <c r="BB80" s="63">
        <f>H80-AX80+AY80</f>
        <v>900</v>
      </c>
    </row>
    <row r="81" spans="1:54" ht="12.75" x14ac:dyDescent="0.2">
      <c r="A81" s="182" t="s">
        <v>218</v>
      </c>
      <c r="B81" s="40">
        <v>110</v>
      </c>
      <c r="C81" s="55">
        <v>0.02</v>
      </c>
      <c r="D81" s="129">
        <v>0.04</v>
      </c>
      <c r="E81" s="125">
        <v>0.08</v>
      </c>
      <c r="F81" s="125">
        <v>0.16</v>
      </c>
      <c r="G81" s="125">
        <v>5.0000000000000001E-3</v>
      </c>
      <c r="H81" s="65">
        <v>1200</v>
      </c>
      <c r="I81" s="125"/>
      <c r="J81" s="134" t="s">
        <v>73</v>
      </c>
      <c r="K81" s="134" t="s">
        <v>219</v>
      </c>
      <c r="L81" s="40">
        <v>110</v>
      </c>
      <c r="M81" s="153" t="s">
        <v>34</v>
      </c>
      <c r="N81" s="129">
        <v>0.5</v>
      </c>
      <c r="O81" s="153" t="s">
        <v>34</v>
      </c>
      <c r="P81" s="153" t="s">
        <v>34</v>
      </c>
      <c r="Q81" s="35"/>
      <c r="R81" s="47" t="s">
        <v>218</v>
      </c>
      <c r="S81" s="47" t="s">
        <v>73</v>
      </c>
      <c r="T81" s="203" t="s">
        <v>219</v>
      </c>
      <c r="U81" s="126">
        <f>L81</f>
        <v>110</v>
      </c>
      <c r="V81" s="43">
        <f>AC80*N81</f>
        <v>0.75</v>
      </c>
      <c r="W81" s="126">
        <f>U81*V81-(U81*V81*G81)</f>
        <v>82.087500000000006</v>
      </c>
      <c r="X81" s="153" t="s">
        <v>34</v>
      </c>
      <c r="Y81" s="153">
        <f>W81-(U80*V81)</f>
        <v>7.0875000000000057</v>
      </c>
      <c r="Z81" s="199">
        <f>Y81/(U80*V81)</f>
        <v>9.450000000000007E-2</v>
      </c>
      <c r="AA81" s="41"/>
      <c r="AB81" s="126">
        <f>AB80</f>
        <v>100</v>
      </c>
      <c r="AC81" s="43">
        <f>AC80-V81</f>
        <v>0.75</v>
      </c>
      <c r="AD81" s="128">
        <f>AD80*N81</f>
        <v>75</v>
      </c>
      <c r="AE81" s="128">
        <f>AB81 * (1 + D81) / (1 - G81)</f>
        <v>104.52261306532664</v>
      </c>
      <c r="AF81" s="129">
        <f>(B81 - AE81) / AE81</f>
        <v>5.2403846153846106E-2</v>
      </c>
      <c r="AG81" s="43"/>
      <c r="AH81" s="126">
        <f>AH80</f>
        <v>100</v>
      </c>
      <c r="AI81" s="43">
        <f>AI80</f>
        <v>0.89999999999999991</v>
      </c>
      <c r="AJ81" s="128">
        <f>AJ80</f>
        <v>90</v>
      </c>
      <c r="AK81" s="128">
        <f>AH81 * (1 + E81) / (1 - G81)</f>
        <v>108.5427135678392</v>
      </c>
      <c r="AL81" s="129">
        <f>(B81 - AK81) / AK81</f>
        <v>1.3425925925925883E-2</v>
      </c>
      <c r="AM81" s="35"/>
      <c r="AN81" s="126">
        <f t="shared" ref="AN81:AP82" si="12">AN80</f>
        <v>100</v>
      </c>
      <c r="AO81" s="43">
        <f t="shared" si="12"/>
        <v>0.60000000000000009</v>
      </c>
      <c r="AP81" s="128">
        <f t="shared" si="12"/>
        <v>60</v>
      </c>
      <c r="AQ81" s="128">
        <f>AN81 * (1 + F81) / (1 - G81)</f>
        <v>116.58291457286431</v>
      </c>
      <c r="AR81" s="129">
        <f>(B81 - AQ81) / AQ81</f>
        <v>-5.6465517241379229E-2</v>
      </c>
      <c r="AS81" s="35"/>
      <c r="AT81" s="39">
        <f>AW81+AV81+AU81</f>
        <v>2.25</v>
      </c>
      <c r="AU81" s="39">
        <f>AC81</f>
        <v>0.75</v>
      </c>
      <c r="AV81" s="39">
        <f>AI81</f>
        <v>0.89999999999999991</v>
      </c>
      <c r="AW81" s="39">
        <f>AO81</f>
        <v>0.60000000000000009</v>
      </c>
      <c r="AX81" s="201">
        <f>AX80</f>
        <v>300</v>
      </c>
      <c r="AY81" s="65">
        <f>W81</f>
        <v>82.087500000000006</v>
      </c>
      <c r="AZ81" s="126">
        <f>AT81*B81</f>
        <v>247.5</v>
      </c>
      <c r="BA81" s="202">
        <f>(AY81+AZ81-AX81)/AX81</f>
        <v>9.8624999999999921E-2</v>
      </c>
      <c r="BB81" s="65">
        <f>H81-AX81+AY81</f>
        <v>982.08749999999998</v>
      </c>
    </row>
    <row r="82" spans="1:54" ht="12.75" x14ac:dyDescent="0.2">
      <c r="A82" s="150" t="s">
        <v>216</v>
      </c>
      <c r="B82" s="52">
        <v>90</v>
      </c>
      <c r="C82" s="54">
        <v>0.02</v>
      </c>
      <c r="D82" s="124">
        <v>0.04</v>
      </c>
      <c r="E82" s="95">
        <v>0.08</v>
      </c>
      <c r="F82" s="95">
        <v>0.16</v>
      </c>
      <c r="G82" s="95">
        <v>5.0000000000000001E-3</v>
      </c>
      <c r="H82" s="63">
        <v>1200</v>
      </c>
      <c r="I82" s="95"/>
      <c r="J82" s="133" t="s">
        <v>75</v>
      </c>
      <c r="K82" s="133" t="s">
        <v>214</v>
      </c>
      <c r="L82" s="52">
        <v>90</v>
      </c>
      <c r="M82" s="52">
        <v>200</v>
      </c>
      <c r="N82" s="124">
        <v>0.5</v>
      </c>
      <c r="O82" s="95">
        <v>0.5</v>
      </c>
      <c r="P82" s="95">
        <v>0</v>
      </c>
      <c r="R82" s="45" t="s">
        <v>216</v>
      </c>
      <c r="S82" s="45" t="s">
        <v>75</v>
      </c>
      <c r="T82" s="131" t="s">
        <v>214</v>
      </c>
      <c r="U82" s="122">
        <f>L82</f>
        <v>90</v>
      </c>
      <c r="V82" s="30">
        <f>W82/U82</f>
        <v>2.2222222222222223</v>
      </c>
      <c r="W82" s="122">
        <f>M82</f>
        <v>200</v>
      </c>
      <c r="X82" s="122">
        <f>U82 * (1 - ABS(C82))</f>
        <v>88.2</v>
      </c>
      <c r="Y82" s="152" t="s">
        <v>34</v>
      </c>
      <c r="Z82" s="152" t="s">
        <v>34</v>
      </c>
      <c r="AA82" s="12"/>
      <c r="AB82" s="122">
        <f>U82</f>
        <v>90</v>
      </c>
      <c r="AC82" s="30">
        <f>V82*N82</f>
        <v>1.1111111111111112</v>
      </c>
      <c r="AD82" s="123">
        <f>W82*N82</f>
        <v>100</v>
      </c>
      <c r="AE82" s="123">
        <f>AB82 * (1 + D82) / (1 - G82)</f>
        <v>94.070351758793976</v>
      </c>
      <c r="AF82" s="124">
        <f>(B82 - AE82) / AE82</f>
        <v>-4.3269230769230831E-2</v>
      </c>
      <c r="AG82" s="30"/>
      <c r="AH82" s="122">
        <f>U82</f>
        <v>90</v>
      </c>
      <c r="AI82" s="30">
        <f>V82*O82</f>
        <v>1.1111111111111112</v>
      </c>
      <c r="AJ82" s="123">
        <f>W82*O82</f>
        <v>100</v>
      </c>
      <c r="AK82" s="123">
        <f>AH82 * (1 + E82) / (1 - G82)</f>
        <v>97.688442211055275</v>
      </c>
      <c r="AL82" s="124">
        <f>(B82 - AK82) / AK82</f>
        <v>-7.8703703703703692E-2</v>
      </c>
      <c r="AN82" s="122">
        <f t="shared" si="12"/>
        <v>100</v>
      </c>
      <c r="AO82" s="30">
        <f t="shared" si="12"/>
        <v>0.60000000000000009</v>
      </c>
      <c r="AP82" s="123">
        <f t="shared" si="12"/>
        <v>60</v>
      </c>
      <c r="AQ82" s="123">
        <f>AN82 * (1 + F82) / (1 - G82)</f>
        <v>116.58291457286431</v>
      </c>
      <c r="AR82" s="124">
        <f>(B82 - AQ82) / AQ82</f>
        <v>-0.22801724137931029</v>
      </c>
      <c r="AT82" s="32">
        <f>AW82+AV82+AU82</f>
        <v>4.4722222222222223</v>
      </c>
      <c r="AU82" s="32">
        <f>AC82+AC83</f>
        <v>1.8611111111111112</v>
      </c>
      <c r="AV82" s="32">
        <f>AI82+AI83</f>
        <v>2.0111111111111111</v>
      </c>
      <c r="AW82" s="32">
        <f>AO82</f>
        <v>0.60000000000000009</v>
      </c>
      <c r="AX82" s="196">
        <f>AX81+M82-AY81</f>
        <v>417.91250000000002</v>
      </c>
      <c r="AY82" s="63">
        <v>0</v>
      </c>
      <c r="AZ82" s="122">
        <f>AT82*B82</f>
        <v>402.5</v>
      </c>
      <c r="BA82" s="197">
        <f>(AY82+AZ82-AX82)/AX82</f>
        <v>-3.6879729608470725E-2</v>
      </c>
      <c r="BB82" s="63">
        <f>H82-AX82+AY82</f>
        <v>782.08749999999998</v>
      </c>
    </row>
    <row r="83" spans="1:54" ht="12.75" x14ac:dyDescent="0.2">
      <c r="A83" s="150"/>
      <c r="B83" s="33"/>
      <c r="C83" s="67"/>
      <c r="D83" s="124"/>
      <c r="E83" s="95"/>
      <c r="F83" s="95"/>
      <c r="G83" s="95"/>
      <c r="H83" s="95"/>
      <c r="L83" s="207"/>
      <c r="N83" s="152"/>
      <c r="O83" s="95"/>
      <c r="P83" s="95"/>
      <c r="Q83" s="45"/>
      <c r="R83" s="45" t="s">
        <v>218</v>
      </c>
      <c r="S83" s="45" t="s">
        <v>73</v>
      </c>
      <c r="T83" s="131" t="s">
        <v>219</v>
      </c>
      <c r="U83" s="122">
        <f>U81</f>
        <v>110</v>
      </c>
      <c r="V83" s="30">
        <f>V81</f>
        <v>0.75</v>
      </c>
      <c r="W83" s="122">
        <f>W81</f>
        <v>82.087500000000006</v>
      </c>
      <c r="X83" s="152" t="s">
        <v>34</v>
      </c>
      <c r="Y83" s="152">
        <f>Y81</f>
        <v>7.0875000000000057</v>
      </c>
      <c r="Z83" s="161">
        <f>Z81</f>
        <v>9.450000000000007E-2</v>
      </c>
      <c r="AA83" s="12"/>
      <c r="AB83" s="122">
        <f>AB81</f>
        <v>100</v>
      </c>
      <c r="AC83" s="30">
        <f>AC81</f>
        <v>0.75</v>
      </c>
      <c r="AD83" s="157">
        <f>AD81</f>
        <v>75</v>
      </c>
      <c r="AE83" s="157">
        <f>AB83 * (1 + D82) / (1 - G82)</f>
        <v>104.52261306532664</v>
      </c>
      <c r="AF83" s="124">
        <f>(B82 - AE83) / AE83</f>
        <v>-0.13894230769230773</v>
      </c>
      <c r="AG83" s="30"/>
      <c r="AH83" s="122">
        <f>AH81</f>
        <v>100</v>
      </c>
      <c r="AI83" s="30">
        <f>AI81</f>
        <v>0.89999999999999991</v>
      </c>
      <c r="AJ83" s="157">
        <f>AJ81</f>
        <v>90</v>
      </c>
      <c r="AK83" s="157">
        <f>AH83 * (1 + E82) / (1 - G82)</f>
        <v>108.5427135678392</v>
      </c>
      <c r="AL83" s="124">
        <f>(B82 - AK83) / AK83</f>
        <v>-0.17083333333333336</v>
      </c>
      <c r="AN83" s="122"/>
      <c r="AO83" s="30"/>
      <c r="AP83" s="157"/>
      <c r="AQ83" s="157"/>
      <c r="AR83" s="124"/>
    </row>
    <row r="84" spans="1:54" ht="12.75" x14ac:dyDescent="0.2">
      <c r="A84" s="150"/>
      <c r="B84" s="33"/>
      <c r="C84" s="67"/>
      <c r="D84" s="124"/>
      <c r="E84" s="95"/>
      <c r="F84" s="95"/>
      <c r="G84" s="95"/>
      <c r="H84" s="95"/>
      <c r="L84" s="207"/>
      <c r="M84" s="207"/>
      <c r="N84" s="124"/>
      <c r="O84" s="95"/>
      <c r="P84" s="95"/>
      <c r="Q84" s="45"/>
      <c r="R84" s="45" t="s">
        <v>215</v>
      </c>
      <c r="S84" s="45" t="s">
        <v>75</v>
      </c>
      <c r="T84" s="131" t="s">
        <v>78</v>
      </c>
      <c r="U84" s="122">
        <f>U80</f>
        <v>100</v>
      </c>
      <c r="V84" s="30">
        <f>V80</f>
        <v>3</v>
      </c>
      <c r="W84" s="122">
        <f>W80</f>
        <v>300</v>
      </c>
      <c r="X84" s="122">
        <f>X80</f>
        <v>98</v>
      </c>
      <c r="Y84" s="152" t="s">
        <v>34</v>
      </c>
      <c r="Z84" s="152" t="s">
        <v>34</v>
      </c>
      <c r="AA84" s="12"/>
      <c r="AB84" s="139"/>
      <c r="AC84" s="139"/>
      <c r="AD84" s="139"/>
      <c r="AE84" s="139"/>
      <c r="AF84" s="140"/>
      <c r="AG84" s="140"/>
      <c r="AH84" s="139"/>
      <c r="AI84" s="139"/>
      <c r="AJ84" s="139"/>
      <c r="AK84" s="139"/>
      <c r="AL84" s="140"/>
      <c r="AN84" s="139"/>
      <c r="AO84" s="139"/>
      <c r="AP84" s="139"/>
      <c r="AQ84" s="139"/>
      <c r="AR84" s="140"/>
    </row>
    <row r="85" spans="1:54" ht="12.75" x14ac:dyDescent="0.2">
      <c r="A85" s="182" t="s">
        <v>85</v>
      </c>
      <c r="B85" s="40">
        <v>45</v>
      </c>
      <c r="C85" s="55">
        <v>0.02</v>
      </c>
      <c r="D85" s="129">
        <v>0.04</v>
      </c>
      <c r="E85" s="125">
        <v>0.08</v>
      </c>
      <c r="F85" s="125">
        <v>0.16</v>
      </c>
      <c r="G85" s="125">
        <v>5.0000000000000001E-3</v>
      </c>
      <c r="H85" s="65">
        <v>1200</v>
      </c>
      <c r="I85" s="125"/>
      <c r="J85" s="134" t="s">
        <v>70</v>
      </c>
      <c r="K85" s="214">
        <v>2</v>
      </c>
      <c r="L85" s="40"/>
      <c r="M85" s="40"/>
      <c r="N85" s="129"/>
      <c r="O85" s="125"/>
      <c r="P85" s="125"/>
      <c r="Q85" s="35"/>
      <c r="R85" s="47" t="s">
        <v>216</v>
      </c>
      <c r="S85" s="47" t="s">
        <v>75</v>
      </c>
      <c r="T85" s="203" t="s">
        <v>214</v>
      </c>
      <c r="U85" s="126">
        <f>U82</f>
        <v>90</v>
      </c>
      <c r="V85" s="43">
        <f>V82</f>
        <v>2.2222222222222223</v>
      </c>
      <c r="W85" s="126">
        <f>W82</f>
        <v>200</v>
      </c>
      <c r="X85" s="126">
        <f>X82</f>
        <v>88.2</v>
      </c>
      <c r="Y85" s="153" t="s">
        <v>34</v>
      </c>
      <c r="Z85" s="153" t="s">
        <v>34</v>
      </c>
      <c r="AA85" s="41"/>
      <c r="AB85" s="126">
        <f>AB82/K85</f>
        <v>45</v>
      </c>
      <c r="AC85" s="43">
        <f>AC82*K85</f>
        <v>2.2222222222222223</v>
      </c>
      <c r="AD85" s="128">
        <f>AD82</f>
        <v>100</v>
      </c>
      <c r="AE85" s="128">
        <f>AB85 * (1 + D85) / (1 - G85)</f>
        <v>47.035175879396988</v>
      </c>
      <c r="AF85" s="129">
        <f>AF82</f>
        <v>-4.3269230769230831E-2</v>
      </c>
      <c r="AG85" s="43"/>
      <c r="AH85" s="126">
        <f>AH82/K85</f>
        <v>45</v>
      </c>
      <c r="AI85" s="43">
        <f>AI82*K85</f>
        <v>2.2222222222222223</v>
      </c>
      <c r="AJ85" s="128">
        <f>AJ82</f>
        <v>100</v>
      </c>
      <c r="AK85" s="128">
        <f>AH85 * (1 + E85) / (1 - G85)</f>
        <v>48.844221105527637</v>
      </c>
      <c r="AL85" s="129">
        <f>(B85 - AK85) / AK85</f>
        <v>-7.8703703703703692E-2</v>
      </c>
      <c r="AM85" s="35"/>
      <c r="AN85" s="126">
        <f>AN82/K85</f>
        <v>50</v>
      </c>
      <c r="AO85" s="43">
        <f>AO82*K85</f>
        <v>1.2000000000000002</v>
      </c>
      <c r="AP85" s="128">
        <f>AP82</f>
        <v>60</v>
      </c>
      <c r="AQ85" s="128">
        <f>AN85 * (1 + F85) / (1 - G85)</f>
        <v>58.291457286432156</v>
      </c>
      <c r="AR85" s="129">
        <f>(B85 - AQ85) / AQ85</f>
        <v>-0.22801724137931029</v>
      </c>
      <c r="AS85" s="35"/>
      <c r="AT85" s="39">
        <f>AW85+AV85+AU85</f>
        <v>8.9444444444444446</v>
      </c>
      <c r="AU85" s="39">
        <f>AC85+AC86</f>
        <v>3.7222222222222223</v>
      </c>
      <c r="AV85" s="39">
        <f>AI85+AI86</f>
        <v>4.0222222222222221</v>
      </c>
      <c r="AW85" s="39">
        <f>AO85</f>
        <v>1.2000000000000002</v>
      </c>
      <c r="AX85" s="201">
        <f>AX82</f>
        <v>417.91250000000002</v>
      </c>
      <c r="AY85" s="65">
        <f>AY82</f>
        <v>0</v>
      </c>
      <c r="AZ85" s="126">
        <f>AT85*B85</f>
        <v>402.5</v>
      </c>
      <c r="BA85" s="202">
        <f>(AY85+AZ85-AX85)/AX85</f>
        <v>-3.6879729608470725E-2</v>
      </c>
      <c r="BB85" s="65">
        <f>H85-AX85+AY85</f>
        <v>782.08749999999998</v>
      </c>
    </row>
    <row r="86" spans="1:54" ht="15.75" customHeight="1" x14ac:dyDescent="0.2">
      <c r="A86" s="35"/>
      <c r="B86" s="36"/>
      <c r="C86" s="209"/>
      <c r="D86" s="129"/>
      <c r="E86" s="125"/>
      <c r="F86" s="125"/>
      <c r="G86" s="125"/>
      <c r="H86" s="125"/>
      <c r="I86" s="35"/>
      <c r="J86" s="35"/>
      <c r="K86" s="35"/>
      <c r="L86" s="210"/>
      <c r="M86" s="35"/>
      <c r="N86" s="153"/>
      <c r="O86" s="125"/>
      <c r="P86" s="125"/>
      <c r="Q86" s="47"/>
      <c r="R86" s="47" t="s">
        <v>218</v>
      </c>
      <c r="S86" s="47" t="s">
        <v>73</v>
      </c>
      <c r="T86" s="203" t="s">
        <v>219</v>
      </c>
      <c r="U86" s="126">
        <f t="shared" ref="U86:W87" si="13">U83</f>
        <v>110</v>
      </c>
      <c r="V86" s="43">
        <f t="shared" si="13"/>
        <v>0.75</v>
      </c>
      <c r="W86" s="126">
        <f t="shared" si="13"/>
        <v>82.087500000000006</v>
      </c>
      <c r="X86" s="153" t="s">
        <v>34</v>
      </c>
      <c r="Y86" s="153">
        <f>Y83</f>
        <v>7.0875000000000057</v>
      </c>
      <c r="Z86" s="199">
        <f>Z83</f>
        <v>9.450000000000007E-2</v>
      </c>
      <c r="AA86" s="41"/>
      <c r="AB86" s="126">
        <f>AB83/K85</f>
        <v>50</v>
      </c>
      <c r="AC86" s="43">
        <f>AC83*K85</f>
        <v>1.5</v>
      </c>
      <c r="AD86" s="128">
        <f>AD83</f>
        <v>75</v>
      </c>
      <c r="AE86" s="128">
        <f>AB86 * (1 + D85) / (1 - G85)</f>
        <v>52.261306532663319</v>
      </c>
      <c r="AF86" s="129">
        <f>AF83</f>
        <v>-0.13894230769230773</v>
      </c>
      <c r="AG86" s="43"/>
      <c r="AH86" s="126">
        <f>AH83/K85</f>
        <v>50</v>
      </c>
      <c r="AI86" s="43">
        <f>AI83*K85</f>
        <v>1.7999999999999998</v>
      </c>
      <c r="AJ86" s="128">
        <f>AJ83</f>
        <v>90</v>
      </c>
      <c r="AK86" s="128">
        <f>AH86 * (1 + E85) / (1 - G85)</f>
        <v>54.2713567839196</v>
      </c>
      <c r="AL86" s="129">
        <f>(B85 - AK86) / AK86</f>
        <v>-0.17083333333333336</v>
      </c>
      <c r="AM86" s="35"/>
      <c r="AN86" s="126"/>
      <c r="AO86" s="43"/>
      <c r="AP86" s="128"/>
      <c r="AQ86" s="128"/>
      <c r="AR86" s="129"/>
      <c r="AS86" s="35"/>
      <c r="AT86" s="35"/>
      <c r="AU86" s="35"/>
      <c r="AV86" s="35"/>
      <c r="AW86" s="35"/>
      <c r="AX86" s="35"/>
      <c r="AY86" s="35"/>
      <c r="AZ86" s="35"/>
      <c r="BA86" s="35"/>
      <c r="BB86" s="35"/>
    </row>
    <row r="87" spans="1:54" ht="12.75" x14ac:dyDescent="0.2">
      <c r="A87" s="182"/>
      <c r="B87" s="36"/>
      <c r="C87" s="209"/>
      <c r="D87" s="129"/>
      <c r="E87" s="125"/>
      <c r="F87" s="125"/>
      <c r="G87" s="125"/>
      <c r="H87" s="125"/>
      <c r="I87" s="35"/>
      <c r="J87" s="35"/>
      <c r="K87" s="35"/>
      <c r="L87" s="210"/>
      <c r="M87" s="210"/>
      <c r="N87" s="129"/>
      <c r="O87" s="125"/>
      <c r="P87" s="125"/>
      <c r="Q87" s="47"/>
      <c r="R87" s="47" t="s">
        <v>215</v>
      </c>
      <c r="S87" s="47" t="s">
        <v>75</v>
      </c>
      <c r="T87" s="203" t="s">
        <v>78</v>
      </c>
      <c r="U87" s="126">
        <f t="shared" si="13"/>
        <v>100</v>
      </c>
      <c r="V87" s="43">
        <f t="shared" si="13"/>
        <v>3</v>
      </c>
      <c r="W87" s="126">
        <f t="shared" si="13"/>
        <v>300</v>
      </c>
      <c r="X87" s="126" t="str">
        <f>X83</f>
        <v>-</v>
      </c>
      <c r="Y87" s="153" t="s">
        <v>34</v>
      </c>
      <c r="Z87" s="153" t="s">
        <v>34</v>
      </c>
      <c r="AA87" s="41"/>
      <c r="AB87" s="212"/>
      <c r="AC87" s="212"/>
      <c r="AD87" s="212"/>
      <c r="AE87" s="212"/>
      <c r="AF87" s="170"/>
      <c r="AG87" s="170"/>
      <c r="AH87" s="212"/>
      <c r="AI87" s="212"/>
      <c r="AJ87" s="212"/>
      <c r="AK87" s="212"/>
      <c r="AL87" s="170"/>
      <c r="AM87" s="35"/>
      <c r="AN87" s="212"/>
      <c r="AO87" s="212"/>
      <c r="AP87" s="212"/>
      <c r="AQ87" s="212"/>
      <c r="AR87" s="170"/>
      <c r="AS87" s="35"/>
      <c r="AT87" s="35"/>
      <c r="AU87" s="35"/>
      <c r="AV87" s="35"/>
      <c r="AW87" s="35"/>
      <c r="AX87" s="35"/>
      <c r="AY87" s="35"/>
      <c r="AZ87" s="35"/>
      <c r="BA87" s="35"/>
      <c r="BB87" s="35"/>
    </row>
    <row r="88" spans="1:54" ht="12.75" x14ac:dyDescent="0.2">
      <c r="A88" s="110" t="s">
        <v>217</v>
      </c>
      <c r="B88" s="52">
        <v>50</v>
      </c>
      <c r="C88" s="54">
        <v>0.02</v>
      </c>
      <c r="D88" s="124">
        <v>0.04</v>
      </c>
      <c r="E88" s="95">
        <v>0.08</v>
      </c>
      <c r="F88" s="95">
        <v>0.16</v>
      </c>
      <c r="G88" s="95">
        <v>5.0000000000000001E-3</v>
      </c>
      <c r="H88" s="63">
        <v>1200</v>
      </c>
      <c r="I88" s="95"/>
      <c r="J88" s="133" t="s">
        <v>75</v>
      </c>
      <c r="K88" s="133" t="s">
        <v>211</v>
      </c>
      <c r="L88" s="52">
        <v>50</v>
      </c>
      <c r="M88" s="52">
        <v>300</v>
      </c>
      <c r="N88" s="124">
        <v>0.5</v>
      </c>
      <c r="O88" s="95">
        <v>0.3</v>
      </c>
      <c r="P88" s="95">
        <v>0.2</v>
      </c>
      <c r="R88" s="45" t="s">
        <v>217</v>
      </c>
      <c r="S88" s="45" t="s">
        <v>75</v>
      </c>
      <c r="T88" s="131" t="s">
        <v>211</v>
      </c>
      <c r="U88" s="122">
        <f>L88</f>
        <v>50</v>
      </c>
      <c r="V88" s="30">
        <f>W88/U88</f>
        <v>6</v>
      </c>
      <c r="W88" s="122">
        <f>M88</f>
        <v>300</v>
      </c>
      <c r="X88" s="122">
        <f>U88 * (1 - ABS(C88))</f>
        <v>49</v>
      </c>
      <c r="Y88" s="152" t="s">
        <v>34</v>
      </c>
      <c r="Z88" s="152" t="s">
        <v>34</v>
      </c>
      <c r="AA88" s="12"/>
      <c r="AB88" s="122">
        <f>AB85</f>
        <v>45</v>
      </c>
      <c r="AC88" s="30">
        <f>AC85</f>
        <v>2.2222222222222223</v>
      </c>
      <c r="AD88" s="123">
        <f>AD85</f>
        <v>100</v>
      </c>
      <c r="AE88" s="123">
        <f>AB88 * (1 + D88) / (1 - G88)</f>
        <v>47.035175879396988</v>
      </c>
      <c r="AF88" s="124">
        <f>(B88 - AE88) / AE88</f>
        <v>6.3034188034187963E-2</v>
      </c>
      <c r="AG88" s="30"/>
      <c r="AH88" s="122">
        <f>AH85</f>
        <v>45</v>
      </c>
      <c r="AI88" s="30">
        <f>AI85</f>
        <v>2.2222222222222223</v>
      </c>
      <c r="AJ88" s="123">
        <f>AJ85</f>
        <v>100</v>
      </c>
      <c r="AK88" s="123">
        <f>AH88 * (1 + E88) / (1 - G88)</f>
        <v>48.844221105527637</v>
      </c>
      <c r="AL88" s="124">
        <f>(B88 - AK88) / AK88</f>
        <v>2.3662551440329235E-2</v>
      </c>
      <c r="AN88" s="122">
        <f>AN85</f>
        <v>50</v>
      </c>
      <c r="AO88" s="30">
        <f>AO85+V88*P88</f>
        <v>2.4000000000000004</v>
      </c>
      <c r="AP88" s="123">
        <f>AP85+W88*P88</f>
        <v>120</v>
      </c>
      <c r="AQ88" s="123">
        <f>AN88 * (1 + F88) / (1 - G88)</f>
        <v>58.291457286432156</v>
      </c>
      <c r="AR88" s="124">
        <f>(B88 - AQ88) / AQ88</f>
        <v>-0.14224137931034475</v>
      </c>
      <c r="AT88" s="32">
        <f>AW88+AV88+AU88</f>
        <v>14.944444444444443</v>
      </c>
      <c r="AU88" s="32">
        <f>AC88+AC89</f>
        <v>6.7222222222222223</v>
      </c>
      <c r="AV88" s="32">
        <f>AI88+AI89</f>
        <v>5.822222222222222</v>
      </c>
      <c r="AW88" s="32">
        <f>AO88</f>
        <v>2.4000000000000004</v>
      </c>
      <c r="AX88" s="196">
        <f>AX85+W88</f>
        <v>717.91250000000002</v>
      </c>
      <c r="AY88" s="63">
        <v>0</v>
      </c>
      <c r="AZ88" s="122">
        <f>AT88*B88</f>
        <v>747.22222222222217</v>
      </c>
      <c r="BA88" s="197">
        <f>(AY88+AZ88-AX88)/AX88</f>
        <v>4.0826315494189261E-2</v>
      </c>
      <c r="BB88" s="63">
        <f>H88-AX88+AY88</f>
        <v>482.08749999999998</v>
      </c>
    </row>
    <row r="89" spans="1:54" ht="12.75" x14ac:dyDescent="0.2">
      <c r="A89" s="150"/>
      <c r="B89" s="33"/>
      <c r="C89" s="67"/>
      <c r="D89" s="124"/>
      <c r="E89" s="95"/>
      <c r="F89" s="95"/>
      <c r="G89" s="95"/>
      <c r="H89" s="95"/>
      <c r="L89" s="207"/>
      <c r="M89" s="207"/>
      <c r="N89" s="124"/>
      <c r="O89" s="95"/>
      <c r="P89" s="95"/>
      <c r="Q89" s="45"/>
      <c r="R89" s="45"/>
      <c r="V89" s="30"/>
      <c r="W89" s="122"/>
      <c r="X89" s="122"/>
      <c r="Y89" s="152"/>
      <c r="Z89" s="152"/>
      <c r="AA89" s="12"/>
      <c r="AB89" s="122">
        <f>AB86</f>
        <v>50</v>
      </c>
      <c r="AC89" s="30">
        <f>AC86+V88*N88</f>
        <v>4.5</v>
      </c>
      <c r="AD89" s="157">
        <f>AD86+W88*N88</f>
        <v>225</v>
      </c>
      <c r="AE89" s="157">
        <f>AB89 * (1 + D88) / (1 - G88)</f>
        <v>52.261306532663319</v>
      </c>
      <c r="AF89" s="124">
        <f>(B88 - AE89) / AE89</f>
        <v>-4.3269230769230817E-2</v>
      </c>
      <c r="AG89" s="30"/>
      <c r="AH89" s="122">
        <f>AH86</f>
        <v>50</v>
      </c>
      <c r="AI89" s="30">
        <f>AI86+V88*O88</f>
        <v>3.5999999999999996</v>
      </c>
      <c r="AJ89" s="157">
        <f>AJ86+W88*O88</f>
        <v>180</v>
      </c>
      <c r="AK89" s="157">
        <f>AH89 * (1 + E88) / (1 - G88)</f>
        <v>54.2713567839196</v>
      </c>
      <c r="AL89" s="124">
        <f>(B88 - AK89) / AK89</f>
        <v>-7.8703703703703748E-2</v>
      </c>
    </row>
    <row r="90" spans="1:54" ht="12.75" x14ac:dyDescent="0.2">
      <c r="A90" s="182" t="s">
        <v>87</v>
      </c>
      <c r="B90" s="40">
        <v>16.66667</v>
      </c>
      <c r="C90" s="55">
        <v>0.02</v>
      </c>
      <c r="D90" s="129">
        <v>0.04</v>
      </c>
      <c r="E90" s="125">
        <v>0.08</v>
      </c>
      <c r="F90" s="125">
        <v>0.16</v>
      </c>
      <c r="G90" s="125">
        <v>5.0000000000000001E-3</v>
      </c>
      <c r="H90" s="65">
        <v>1200</v>
      </c>
      <c r="I90" s="35"/>
      <c r="J90" s="35" t="s">
        <v>70</v>
      </c>
      <c r="K90" s="35">
        <v>3</v>
      </c>
      <c r="L90" s="210"/>
      <c r="M90" s="210"/>
      <c r="N90" s="129"/>
      <c r="O90" s="125"/>
      <c r="P90" s="125"/>
      <c r="Q90" s="47"/>
      <c r="R90" s="47"/>
      <c r="S90" s="35"/>
      <c r="T90" s="35"/>
      <c r="U90" s="35"/>
      <c r="V90" s="43"/>
      <c r="W90" s="126"/>
      <c r="X90" s="126"/>
      <c r="Y90" s="153"/>
      <c r="Z90" s="153"/>
      <c r="AA90" s="41"/>
      <c r="AB90" s="126">
        <f>AB88/K90</f>
        <v>15</v>
      </c>
      <c r="AC90" s="43">
        <f>AC88*K90</f>
        <v>6.666666666666667</v>
      </c>
      <c r="AD90" s="128">
        <f>AD88</f>
        <v>100</v>
      </c>
      <c r="AE90" s="128">
        <f>AB90 * (1 + D90) / (1 - G90)</f>
        <v>15.678391959798997</v>
      </c>
      <c r="AF90" s="129">
        <f>(B90 - AE90) / AE90</f>
        <v>6.3034400641025487E-2</v>
      </c>
      <c r="AG90" s="43"/>
      <c r="AH90" s="126">
        <f>AH88/K90</f>
        <v>15</v>
      </c>
      <c r="AI90" s="43">
        <f>AI88*K90</f>
        <v>6.666666666666667</v>
      </c>
      <c r="AJ90" s="128">
        <f>AJ88</f>
        <v>100</v>
      </c>
      <c r="AK90" s="128">
        <f>AH90 * (1 + E90) / (1 - G90)</f>
        <v>16.281407035175882</v>
      </c>
      <c r="AL90" s="129">
        <f>(B90 - AK90) / AK90</f>
        <v>2.3662756172839364E-2</v>
      </c>
      <c r="AM90" s="35"/>
      <c r="AN90" s="126">
        <f>AN88/K90</f>
        <v>16.666666666666668</v>
      </c>
      <c r="AO90" s="43">
        <f>AO88*K90</f>
        <v>7.2000000000000011</v>
      </c>
      <c r="AP90" s="128">
        <f>AP88</f>
        <v>120</v>
      </c>
      <c r="AQ90" s="128">
        <f>AN90 * (1 + F90) / (1 - G90)</f>
        <v>19.430485762144052</v>
      </c>
      <c r="AR90" s="129">
        <f>(B90 - AQ90) / AQ90</f>
        <v>-0.14224120775862062</v>
      </c>
      <c r="AS90" s="35"/>
      <c r="AT90" s="39">
        <f>AW90+AV90+AU90</f>
        <v>44.833333333333329</v>
      </c>
      <c r="AU90" s="39">
        <f>AC90+AC91</f>
        <v>20.166666666666668</v>
      </c>
      <c r="AV90" s="39">
        <f>AI90+AI91</f>
        <v>17.466666666666665</v>
      </c>
      <c r="AW90" s="39">
        <f>AO90</f>
        <v>7.2000000000000011</v>
      </c>
      <c r="AX90" s="201">
        <f>AX88</f>
        <v>717.91250000000002</v>
      </c>
      <c r="AY90" s="65">
        <v>0</v>
      </c>
      <c r="AZ90" s="126">
        <f>AT90*B90</f>
        <v>747.22237166666662</v>
      </c>
      <c r="BA90" s="202">
        <f>(AY90+AZ90-AX90)/AX90</f>
        <v>4.0826523659452364E-2</v>
      </c>
      <c r="BB90" s="65">
        <f>H90-AX90+AY90</f>
        <v>482.08749999999998</v>
      </c>
    </row>
    <row r="91" spans="1:54" ht="12.75" x14ac:dyDescent="0.2">
      <c r="A91" s="182"/>
      <c r="B91" s="36"/>
      <c r="C91" s="209"/>
      <c r="D91" s="129"/>
      <c r="E91" s="125"/>
      <c r="F91" s="125"/>
      <c r="G91" s="125"/>
      <c r="H91" s="125"/>
      <c r="I91" s="35"/>
      <c r="J91" s="35"/>
      <c r="K91" s="35"/>
      <c r="L91" s="210"/>
      <c r="M91" s="210"/>
      <c r="N91" s="129"/>
      <c r="O91" s="125"/>
      <c r="P91" s="125"/>
      <c r="Q91" s="47"/>
      <c r="R91" s="47"/>
      <c r="S91" s="35"/>
      <c r="T91" s="35"/>
      <c r="U91" s="35"/>
      <c r="V91" s="43"/>
      <c r="W91" s="126"/>
      <c r="X91" s="126"/>
      <c r="Y91" s="153"/>
      <c r="Z91" s="153"/>
      <c r="AA91" s="41"/>
      <c r="AB91" s="126">
        <f>AB89/K90</f>
        <v>16.666666666666668</v>
      </c>
      <c r="AC91" s="43">
        <f>AC89*K90</f>
        <v>13.5</v>
      </c>
      <c r="AD91" s="128">
        <f>AD89</f>
        <v>225</v>
      </c>
      <c r="AE91" s="128">
        <f>AB91 * (1 + D90) / (1 - G90)</f>
        <v>17.420435510887774</v>
      </c>
      <c r="AF91" s="129">
        <f>(B90 - AE91) / AE91</f>
        <v>-4.3269039423077041E-2</v>
      </c>
      <c r="AG91" s="43"/>
      <c r="AH91" s="126">
        <f>AH89/K90</f>
        <v>16.666666666666668</v>
      </c>
      <c r="AI91" s="43">
        <f>AI89*K90</f>
        <v>10.799999999999999</v>
      </c>
      <c r="AJ91" s="128">
        <f>AJ89</f>
        <v>180</v>
      </c>
      <c r="AK91" s="128">
        <f>AH91 * (1 + E90) / (1 - G90)</f>
        <v>18.090452261306535</v>
      </c>
      <c r="AL91" s="129">
        <f>(B90 - AK91) / AK91</f>
        <v>-7.870351944444455E-2</v>
      </c>
      <c r="AM91" s="35"/>
      <c r="AN91" s="35"/>
      <c r="AO91" s="35"/>
      <c r="AP91" s="35"/>
      <c r="AQ91" s="35"/>
      <c r="AR91" s="35"/>
      <c r="AS91" s="35"/>
      <c r="AT91" s="35"/>
      <c r="AU91" s="35"/>
      <c r="AV91" s="35"/>
      <c r="AW91" s="35"/>
      <c r="AX91" s="35"/>
      <c r="AY91" s="35"/>
      <c r="AZ91" s="35"/>
      <c r="BA91" s="35"/>
      <c r="BB91" s="35"/>
    </row>
    <row r="92" spans="1:54" ht="12.75" x14ac:dyDescent="0.2">
      <c r="A92" s="150" t="s">
        <v>268</v>
      </c>
      <c r="B92" s="52">
        <v>20</v>
      </c>
      <c r="C92" s="62">
        <v>0.02</v>
      </c>
      <c r="D92" s="124">
        <v>0.04</v>
      </c>
      <c r="E92" s="95">
        <v>0.08</v>
      </c>
      <c r="F92" s="95">
        <v>0.16</v>
      </c>
      <c r="G92" s="95">
        <v>5.0000000000000001E-3</v>
      </c>
      <c r="H92" s="63">
        <v>1200</v>
      </c>
      <c r="I92" s="95"/>
      <c r="J92" s="133" t="s">
        <v>73</v>
      </c>
      <c r="K92" s="133" t="s">
        <v>211</v>
      </c>
      <c r="L92" s="52">
        <v>20</v>
      </c>
      <c r="M92" s="152" t="s">
        <v>34</v>
      </c>
      <c r="N92" s="152" t="s">
        <v>34</v>
      </c>
      <c r="O92" s="95">
        <v>1</v>
      </c>
      <c r="P92" s="152" t="s">
        <v>34</v>
      </c>
      <c r="R92" s="45" t="s">
        <v>268</v>
      </c>
      <c r="S92" s="45" t="s">
        <v>73</v>
      </c>
      <c r="T92" s="131" t="s">
        <v>211</v>
      </c>
      <c r="U92" s="122">
        <f>L92</f>
        <v>20</v>
      </c>
      <c r="V92" s="30">
        <f>AI90*O92</f>
        <v>6.666666666666667</v>
      </c>
      <c r="W92" s="122">
        <f>U92*V92-(U92*V92*G92)</f>
        <v>132.66666666666669</v>
      </c>
      <c r="X92" s="152" t="s">
        <v>34</v>
      </c>
      <c r="Y92" s="152">
        <f>W92-(AH90*V92)</f>
        <v>32.666666666666686</v>
      </c>
      <c r="Z92" s="161">
        <f>Y92/(AH90*V92)</f>
        <v>0.32666666666666688</v>
      </c>
      <c r="AA92" s="12"/>
      <c r="AB92" s="122">
        <f>AB90</f>
        <v>15</v>
      </c>
      <c r="AC92" s="30">
        <f>AC90</f>
        <v>6.666666666666667</v>
      </c>
      <c r="AD92" s="157">
        <f>AD90</f>
        <v>100</v>
      </c>
      <c r="AE92" s="157">
        <f>AB92 * (1 + D92) / (1 - G92)</f>
        <v>15.678391959798997</v>
      </c>
      <c r="AF92" s="124">
        <f>(B92 - AE92) / AE92</f>
        <v>0.27564102564102544</v>
      </c>
      <c r="AG92" s="30"/>
      <c r="AH92" s="122"/>
      <c r="AI92" s="30"/>
      <c r="AJ92" s="157"/>
      <c r="AK92" s="157"/>
      <c r="AL92" s="216"/>
      <c r="AN92" s="122">
        <f>AN90</f>
        <v>16.666666666666668</v>
      </c>
      <c r="AO92" s="30">
        <f>AO90</f>
        <v>7.2000000000000011</v>
      </c>
      <c r="AP92" s="157">
        <f>AP90</f>
        <v>120</v>
      </c>
      <c r="AQ92" s="157">
        <f>AN92 * (1 + F92) / (1 - G92)</f>
        <v>19.430485762144052</v>
      </c>
      <c r="AR92" s="124">
        <f>(B92 - AQ92) / AQ92</f>
        <v>2.9310344827586297E-2</v>
      </c>
      <c r="AT92" s="32">
        <f>AW92+AV92+AU92</f>
        <v>38.166666666666671</v>
      </c>
      <c r="AU92" s="32">
        <f>AC92+AC93</f>
        <v>20.166666666666668</v>
      </c>
      <c r="AV92" s="32">
        <f>AI92+AI93</f>
        <v>10.799999999999999</v>
      </c>
      <c r="AW92" s="32">
        <f>AO92</f>
        <v>7.2000000000000011</v>
      </c>
      <c r="AX92" s="196">
        <f>AX90</f>
        <v>717.91250000000002</v>
      </c>
      <c r="AY92" s="63">
        <f>W92</f>
        <v>132.66666666666669</v>
      </c>
      <c r="AZ92" s="122">
        <f>AT92*B92</f>
        <v>763.33333333333348</v>
      </c>
      <c r="BA92" s="206">
        <f>(AY92+AZ92-AX92)/AX92</f>
        <v>0.24806296031898065</v>
      </c>
      <c r="BB92" s="63">
        <f>H92-AX92+AY92</f>
        <v>614.75416666666661</v>
      </c>
    </row>
    <row r="93" spans="1:54" ht="12.75" x14ac:dyDescent="0.2">
      <c r="AA93" s="227"/>
      <c r="AB93" s="228">
        <f>AB91</f>
        <v>16.666666666666668</v>
      </c>
      <c r="AC93" s="229">
        <f>AC91</f>
        <v>13.5</v>
      </c>
      <c r="AD93" s="157">
        <f>AD91</f>
        <v>225</v>
      </c>
      <c r="AE93" s="157">
        <f>AB93 * (1 + D92) / (1 - G92)</f>
        <v>17.420435510887774</v>
      </c>
      <c r="AF93" s="216">
        <f>(B92 - AE93) / AE93</f>
        <v>0.14807692307692294</v>
      </c>
      <c r="AG93" s="229"/>
      <c r="AH93" s="228">
        <f>AH91</f>
        <v>16.666666666666668</v>
      </c>
      <c r="AI93" s="229">
        <f>AI91</f>
        <v>10.799999999999999</v>
      </c>
      <c r="AJ93" s="157">
        <f>AJ91</f>
        <v>180</v>
      </c>
      <c r="AK93" s="157">
        <f>AH93 * (1 + E92) / (1 - G92)</f>
        <v>18.090452261306535</v>
      </c>
      <c r="AL93" s="216">
        <f>(B92 - AK93) / AK93</f>
        <v>0.10555555555555543</v>
      </c>
      <c r="AM93" s="221"/>
      <c r="AN93" s="221"/>
      <c r="AO93" s="221"/>
      <c r="AP93" s="221"/>
      <c r="AQ93" s="221"/>
      <c r="AR93" s="221"/>
      <c r="AS93" s="221"/>
      <c r="AT93" s="221"/>
      <c r="AU93" s="221"/>
      <c r="AV93" s="221"/>
      <c r="AW93" s="221"/>
      <c r="AX93" s="221"/>
      <c r="AY93" s="221"/>
      <c r="AZ93" s="221"/>
      <c r="BA93" s="221"/>
      <c r="BB93" s="221"/>
    </row>
    <row r="94" spans="1:54" ht="12.75" x14ac:dyDescent="0.2">
      <c r="A94" s="182" t="s">
        <v>270</v>
      </c>
      <c r="B94" s="40">
        <v>20</v>
      </c>
      <c r="C94" s="55">
        <v>0.02</v>
      </c>
      <c r="D94" s="129">
        <v>0.04</v>
      </c>
      <c r="E94" s="125">
        <v>0.08</v>
      </c>
      <c r="F94" s="125">
        <v>0.16</v>
      </c>
      <c r="G94" s="125">
        <v>5.0000000000000001E-3</v>
      </c>
      <c r="H94" s="65">
        <v>1200</v>
      </c>
      <c r="I94" s="35"/>
      <c r="J94" s="35" t="s">
        <v>271</v>
      </c>
      <c r="K94" s="35"/>
      <c r="L94" s="210"/>
      <c r="M94" s="210"/>
      <c r="N94" s="129"/>
      <c r="O94" s="125"/>
      <c r="P94" s="125"/>
      <c r="Q94" s="35"/>
      <c r="R94" s="166" t="s">
        <v>268</v>
      </c>
      <c r="S94" s="166" t="s">
        <v>73</v>
      </c>
      <c r="T94" s="173" t="s">
        <v>211</v>
      </c>
      <c r="U94" s="174">
        <f>U92</f>
        <v>20</v>
      </c>
      <c r="V94" s="175">
        <f>V92</f>
        <v>6.666666666666667</v>
      </c>
      <c r="W94" s="174">
        <f>U94*V94-(U94*V94*G94)</f>
        <v>132.66666666666669</v>
      </c>
      <c r="X94" s="234" t="s">
        <v>34</v>
      </c>
      <c r="Y94" s="234">
        <f>Y92</f>
        <v>32.666666666666686</v>
      </c>
      <c r="Z94" s="235">
        <f>Z92</f>
        <v>0.32666666666666688</v>
      </c>
      <c r="AA94" s="41"/>
      <c r="AB94" s="126">
        <f>AB92</f>
        <v>15</v>
      </c>
      <c r="AC94" s="43">
        <f>AC92</f>
        <v>6.666666666666667</v>
      </c>
      <c r="AD94" s="128">
        <f>AD92</f>
        <v>100</v>
      </c>
      <c r="AE94" s="128">
        <f>AB94 * (1 + D94) / (1 - G94)</f>
        <v>15.678391959798997</v>
      </c>
      <c r="AF94" s="129">
        <f>(B94 - AE94) / AE94</f>
        <v>0.27564102564102544</v>
      </c>
      <c r="AG94" s="43"/>
      <c r="AH94" s="126">
        <f>AH90</f>
        <v>15</v>
      </c>
      <c r="AI94" s="43">
        <f>AI90</f>
        <v>6.666666666666667</v>
      </c>
      <c r="AJ94" s="128">
        <f>AJ90</f>
        <v>100</v>
      </c>
      <c r="AK94" s="128">
        <f>AH94 * (1 + E94) / (1 - G94)</f>
        <v>16.281407035175882</v>
      </c>
      <c r="AL94" s="129">
        <f>(B94 - AK94) / AK94</f>
        <v>0.22839506172839491</v>
      </c>
      <c r="AM94" s="35"/>
      <c r="AN94" s="126">
        <f>AN92</f>
        <v>16.666666666666668</v>
      </c>
      <c r="AO94" s="43">
        <f>AO92</f>
        <v>7.2000000000000011</v>
      </c>
      <c r="AP94" s="128">
        <f>AP92</f>
        <v>120</v>
      </c>
      <c r="AQ94" s="128">
        <f>AN94 * (1 + F94) / (1 - G94)</f>
        <v>19.430485762144052</v>
      </c>
      <c r="AR94" s="129">
        <f>(B94 - AQ94) / AQ94</f>
        <v>2.9310344827586297E-2</v>
      </c>
      <c r="AS94" s="35"/>
      <c r="AT94" s="39">
        <f>AW94+AV94+AU94</f>
        <v>44.833333333333329</v>
      </c>
      <c r="AU94" s="39">
        <f>AC94+AC95</f>
        <v>20.166666666666668</v>
      </c>
      <c r="AV94" s="39">
        <f>AI94+AI95</f>
        <v>17.466666666666665</v>
      </c>
      <c r="AW94" s="39">
        <f>AO94</f>
        <v>7.2000000000000011</v>
      </c>
      <c r="AX94" s="201">
        <f>AX92</f>
        <v>717.91250000000002</v>
      </c>
      <c r="AY94" s="65">
        <v>0</v>
      </c>
      <c r="AZ94" s="126">
        <f>AT94*B94</f>
        <v>896.66666666666652</v>
      </c>
      <c r="BA94" s="202">
        <f>(AY94+AZ94-AX94)/AX94</f>
        <v>0.24899157859302698</v>
      </c>
      <c r="BB94" s="65">
        <f>H94-AX94+AY94</f>
        <v>482.08749999999998</v>
      </c>
    </row>
    <row r="95" spans="1:54" ht="12.75" x14ac:dyDescent="0.2">
      <c r="A95" s="182"/>
      <c r="B95" s="40"/>
      <c r="C95" s="55"/>
      <c r="D95" s="129"/>
      <c r="E95" s="125"/>
      <c r="F95" s="125"/>
      <c r="G95" s="125"/>
      <c r="H95" s="65"/>
      <c r="I95" s="35"/>
      <c r="J95" s="35"/>
      <c r="K95" s="35"/>
      <c r="L95" s="210"/>
      <c r="M95" s="210"/>
      <c r="N95" s="129"/>
      <c r="O95" s="125"/>
      <c r="P95" s="125"/>
      <c r="Q95" s="35"/>
      <c r="R95" s="166"/>
      <c r="S95" s="166"/>
      <c r="T95" s="173"/>
      <c r="U95" s="174"/>
      <c r="V95" s="175"/>
      <c r="W95" s="174"/>
      <c r="X95" s="234"/>
      <c r="Y95" s="234"/>
      <c r="Z95" s="235"/>
      <c r="AA95" s="41"/>
      <c r="AB95" s="126">
        <f>AB93</f>
        <v>16.666666666666668</v>
      </c>
      <c r="AC95" s="43">
        <f>AC93</f>
        <v>13.5</v>
      </c>
      <c r="AD95" s="128">
        <f>AD93</f>
        <v>225</v>
      </c>
      <c r="AE95" s="128">
        <f>AB95 * (1 + D94) / (1 - G94)</f>
        <v>17.420435510887774</v>
      </c>
      <c r="AF95" s="129">
        <f>(B94 - AE95) / AE95</f>
        <v>0.14807692307692294</v>
      </c>
      <c r="AG95" s="43"/>
      <c r="AH95" s="126">
        <f>AH93</f>
        <v>16.666666666666668</v>
      </c>
      <c r="AI95" s="43">
        <f>AI93</f>
        <v>10.799999999999999</v>
      </c>
      <c r="AJ95" s="128">
        <f>AJ93</f>
        <v>180</v>
      </c>
      <c r="AK95" s="128">
        <f>AH95 * (1 + E94) / (1 - G94)</f>
        <v>18.090452261306535</v>
      </c>
      <c r="AL95" s="129">
        <f>(B94 - AK95) / AK95</f>
        <v>0.10555555555555543</v>
      </c>
      <c r="AM95" s="35"/>
      <c r="AN95" s="126"/>
      <c r="AO95" s="43"/>
      <c r="AP95" s="128"/>
      <c r="AQ95" s="128"/>
      <c r="AR95" s="129"/>
      <c r="AS95" s="35"/>
      <c r="AT95" s="39"/>
      <c r="AU95" s="39"/>
      <c r="AV95" s="39"/>
      <c r="AW95" s="39"/>
      <c r="AX95" s="201"/>
      <c r="AY95" s="65"/>
      <c r="AZ95" s="126"/>
      <c r="BA95" s="202"/>
      <c r="BB95" s="65"/>
    </row>
    <row r="96" spans="1:54" ht="12.75" x14ac:dyDescent="0.2">
      <c r="A96" s="150" t="s">
        <v>269</v>
      </c>
      <c r="B96" s="218">
        <v>25</v>
      </c>
      <c r="C96" s="62">
        <v>0.02</v>
      </c>
      <c r="D96" s="216">
        <v>0.04</v>
      </c>
      <c r="E96" s="219">
        <v>0.08</v>
      </c>
      <c r="F96" s="219">
        <v>0.16</v>
      </c>
      <c r="G96" s="219">
        <v>5.0000000000000001E-3</v>
      </c>
      <c r="H96" s="220">
        <v>1200</v>
      </c>
      <c r="I96" s="221"/>
      <c r="J96" s="230" t="s">
        <v>276</v>
      </c>
      <c r="K96" s="221">
        <v>2</v>
      </c>
      <c r="L96" s="207"/>
      <c r="M96" s="207"/>
      <c r="N96" s="124"/>
      <c r="O96" s="95"/>
      <c r="P96" s="95"/>
      <c r="R96" s="45"/>
      <c r="S96" s="45"/>
      <c r="T96" s="131"/>
      <c r="U96" s="122"/>
      <c r="V96" s="30"/>
      <c r="W96" s="122"/>
      <c r="X96" s="122"/>
      <c r="Y96" s="152"/>
      <c r="Z96" s="152"/>
      <c r="AA96" s="12"/>
      <c r="AB96" s="228">
        <f>AB94*K90/K96</f>
        <v>22.5</v>
      </c>
      <c r="AC96" s="229">
        <f>AC94*K96/K90</f>
        <v>4.4444444444444446</v>
      </c>
      <c r="AD96" s="157">
        <f>AD94</f>
        <v>100</v>
      </c>
      <c r="AE96" s="157">
        <f>AB96 * (1 + D96) / (1 - G96)</f>
        <v>23.517587939698494</v>
      </c>
      <c r="AF96" s="216">
        <f>(B96 - AE96) / AE96</f>
        <v>6.3034188034187963E-2</v>
      </c>
      <c r="AG96" s="229"/>
      <c r="AH96" s="228">
        <f>AH94*K90/K96</f>
        <v>22.5</v>
      </c>
      <c r="AI96" s="229">
        <f>AI94*K96/K90</f>
        <v>4.4444444444444446</v>
      </c>
      <c r="AJ96" s="157">
        <f>AJ94</f>
        <v>100</v>
      </c>
      <c r="AK96" s="157">
        <f>AH96 * (1 + E96) / (1 - G96)</f>
        <v>24.422110552763819</v>
      </c>
      <c r="AL96" s="216">
        <f>(B96 - AK96) / AK96</f>
        <v>2.3662551440329235E-2</v>
      </c>
      <c r="AM96" s="221"/>
      <c r="AN96" s="228">
        <f>AN94*K90/K96</f>
        <v>25</v>
      </c>
      <c r="AO96" s="229">
        <f>AO94*K96/K90</f>
        <v>4.8000000000000007</v>
      </c>
      <c r="AP96" s="157">
        <f>AP94</f>
        <v>120</v>
      </c>
      <c r="AQ96" s="157">
        <f>AN96 * (1 + F96) / (1 - G96)</f>
        <v>29.145728643216078</v>
      </c>
      <c r="AR96" s="216">
        <f>(B96 - AQ96) / AQ96</f>
        <v>-0.14224137931034475</v>
      </c>
      <c r="AS96" s="221"/>
      <c r="AT96" s="232">
        <f>AW96+AV96+AU96</f>
        <v>29.888888888888886</v>
      </c>
      <c r="AU96" s="232">
        <f>AC96+AC97</f>
        <v>13.444444444444445</v>
      </c>
      <c r="AV96" s="232">
        <f>AI96+AI97</f>
        <v>11.644444444444444</v>
      </c>
      <c r="AW96" s="232">
        <f>AO96</f>
        <v>4.8000000000000007</v>
      </c>
      <c r="AX96" s="233">
        <f>AX94</f>
        <v>717.91250000000002</v>
      </c>
      <c r="AY96" s="220">
        <v>0</v>
      </c>
      <c r="AZ96" s="228">
        <f>AT96*B96</f>
        <v>747.22222222222217</v>
      </c>
      <c r="BA96" s="206">
        <f>(AY96+AZ96-AX96)/AX96</f>
        <v>4.0826315494189261E-2</v>
      </c>
      <c r="BB96" s="220">
        <f>H96-AX96+AY96</f>
        <v>482.08749999999998</v>
      </c>
    </row>
    <row r="97" spans="1:54" ht="12.75" x14ac:dyDescent="0.2">
      <c r="A97" s="150"/>
      <c r="B97" s="33"/>
      <c r="C97" s="67"/>
      <c r="D97" s="124"/>
      <c r="E97" s="95"/>
      <c r="F97" s="95"/>
      <c r="G97" s="95"/>
      <c r="H97" s="95"/>
      <c r="L97" s="207"/>
      <c r="M97" s="207"/>
      <c r="N97" s="124"/>
      <c r="O97" s="95"/>
      <c r="P97" s="95"/>
      <c r="R97" s="45"/>
      <c r="S97" s="45"/>
      <c r="T97" s="131"/>
      <c r="U97" s="122"/>
      <c r="V97" s="30"/>
      <c r="W97" s="122"/>
      <c r="X97" s="122"/>
      <c r="Y97" s="152"/>
      <c r="Z97" s="152"/>
      <c r="AA97" s="12"/>
      <c r="AB97" s="228">
        <f>AB95*K90/K96</f>
        <v>25</v>
      </c>
      <c r="AC97" s="229">
        <f>AC95*K96/K90</f>
        <v>9</v>
      </c>
      <c r="AD97" s="157">
        <f>AD95</f>
        <v>225</v>
      </c>
      <c r="AE97" s="157">
        <f>AB97 * (1 + D96) / (1 - G96)</f>
        <v>26.13065326633166</v>
      </c>
      <c r="AF97" s="216">
        <f>(B96 - AE97) / AE97</f>
        <v>-4.3269230769230817E-2</v>
      </c>
      <c r="AG97" s="229"/>
      <c r="AH97" s="228">
        <f>AH95*K90/K96</f>
        <v>25</v>
      </c>
      <c r="AI97" s="229">
        <f>AI95*K96/K90</f>
        <v>7.1999999999999993</v>
      </c>
      <c r="AJ97" s="157">
        <f>AJ95</f>
        <v>180</v>
      </c>
      <c r="AK97" s="157">
        <f>AH97 * (1 + E96) / (1 - G96)</f>
        <v>27.1356783919598</v>
      </c>
      <c r="AL97" s="216">
        <f>(B96 - AK97) / AK97</f>
        <v>-7.8703703703703748E-2</v>
      </c>
      <c r="AM97" s="221"/>
      <c r="AN97" s="228"/>
      <c r="AO97" s="229"/>
      <c r="AP97" s="157"/>
      <c r="AQ97" s="157"/>
      <c r="AR97" s="216"/>
      <c r="AS97" s="221"/>
      <c r="AT97" s="232"/>
      <c r="AU97" s="232"/>
      <c r="AV97" s="232"/>
      <c r="AW97" s="232"/>
      <c r="AX97" s="233"/>
      <c r="AY97" s="220"/>
      <c r="AZ97" s="228"/>
      <c r="BA97" s="206"/>
      <c r="BB97" s="220"/>
    </row>
    <row r="98" spans="1:54" ht="12.75" x14ac:dyDescent="0.2">
      <c r="A98" s="182" t="s">
        <v>272</v>
      </c>
      <c r="B98" s="40">
        <v>25</v>
      </c>
      <c r="C98" s="55">
        <v>0.02</v>
      </c>
      <c r="D98" s="129">
        <v>0.04</v>
      </c>
      <c r="E98" s="125">
        <v>0.08</v>
      </c>
      <c r="F98" s="125">
        <v>0.16</v>
      </c>
      <c r="G98" s="125">
        <v>5.0000000000000001E-3</v>
      </c>
      <c r="H98" s="65">
        <v>1200</v>
      </c>
      <c r="I98" s="125"/>
      <c r="J98" s="134" t="s">
        <v>73</v>
      </c>
      <c r="K98" s="134" t="s">
        <v>211</v>
      </c>
      <c r="L98" s="40">
        <v>20</v>
      </c>
      <c r="M98" s="153" t="s">
        <v>34</v>
      </c>
      <c r="N98" s="153" t="s">
        <v>34</v>
      </c>
      <c r="O98" s="125">
        <v>1</v>
      </c>
      <c r="P98" s="153" t="s">
        <v>34</v>
      </c>
      <c r="Q98" s="35"/>
      <c r="R98" s="47" t="s">
        <v>272</v>
      </c>
      <c r="S98" s="47" t="s">
        <v>73</v>
      </c>
      <c r="T98" s="203" t="s">
        <v>211</v>
      </c>
      <c r="U98" s="126">
        <v>25</v>
      </c>
      <c r="V98" s="43">
        <f>AI96*O98</f>
        <v>4.4444444444444446</v>
      </c>
      <c r="W98" s="126">
        <f>U98*V98-(U98*V98*G98)</f>
        <v>110.55555555555556</v>
      </c>
      <c r="X98" s="153" t="s">
        <v>34</v>
      </c>
      <c r="Y98" s="153">
        <f>W98-(AH96*V98)</f>
        <v>10.555555555555557</v>
      </c>
      <c r="Z98" s="199">
        <f>Y98/(AH96*V98)</f>
        <v>0.10555555555555557</v>
      </c>
      <c r="AA98" s="41"/>
      <c r="AB98" s="126">
        <f>AB96</f>
        <v>22.5</v>
      </c>
      <c r="AC98" s="43">
        <f>AC96</f>
        <v>4.4444444444444446</v>
      </c>
      <c r="AD98" s="128">
        <f>AD96</f>
        <v>100</v>
      </c>
      <c r="AE98" s="128">
        <f>AB98 * (1 + D98) / (1 - G98)</f>
        <v>23.517587939698494</v>
      </c>
      <c r="AF98" s="129">
        <f>(B98 - AE98) / AE98</f>
        <v>6.3034188034187963E-2</v>
      </c>
      <c r="AG98" s="43"/>
      <c r="AH98" s="126"/>
      <c r="AI98" s="43"/>
      <c r="AJ98" s="128"/>
      <c r="AK98" s="128"/>
      <c r="AL98" s="129"/>
      <c r="AM98" s="35"/>
      <c r="AN98" s="126">
        <f>AN96</f>
        <v>25</v>
      </c>
      <c r="AO98" s="43">
        <f>AO96</f>
        <v>4.8000000000000007</v>
      </c>
      <c r="AP98" s="128">
        <f>AP96</f>
        <v>120</v>
      </c>
      <c r="AQ98" s="128">
        <f>AN98 * (1 + F98) / (1 - G98)</f>
        <v>29.145728643216078</v>
      </c>
      <c r="AR98" s="129">
        <f>(B98 - AQ98) / AQ98</f>
        <v>-0.14224137931034475</v>
      </c>
      <c r="AS98" s="35"/>
      <c r="AT98" s="39">
        <f>AW98+AV98+AU98</f>
        <v>25.444444444444443</v>
      </c>
      <c r="AU98" s="39">
        <f>AC98+AC99</f>
        <v>13.444444444444445</v>
      </c>
      <c r="AV98" s="39">
        <f>AI98+AI99</f>
        <v>7.1999999999999993</v>
      </c>
      <c r="AW98" s="39">
        <f>AO98</f>
        <v>4.8000000000000007</v>
      </c>
      <c r="AX98" s="201">
        <f>AX96</f>
        <v>717.91250000000002</v>
      </c>
      <c r="AY98" s="65">
        <f>W98</f>
        <v>110.55555555555556</v>
      </c>
      <c r="AZ98" s="126">
        <f>AT98*B98</f>
        <v>636.11111111111109</v>
      </c>
      <c r="BA98" s="202">
        <f>(AY98+AZ98-AX98)/AX98</f>
        <v>4.0052466932483564E-2</v>
      </c>
      <c r="BB98" s="65">
        <f>H98-AX98+AY98</f>
        <v>592.64305555555552</v>
      </c>
    </row>
    <row r="99" spans="1:54" ht="12.75"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41"/>
      <c r="AB99" s="126">
        <f>AB97</f>
        <v>25</v>
      </c>
      <c r="AC99" s="43">
        <f>AC97</f>
        <v>9</v>
      </c>
      <c r="AD99" s="128">
        <f>AD97</f>
        <v>225</v>
      </c>
      <c r="AE99" s="128">
        <f>AB99 * (1 + D98) / (1 - G98)</f>
        <v>26.13065326633166</v>
      </c>
      <c r="AF99" s="129">
        <f>(B98 - AE99) / AE99</f>
        <v>-4.3269230769230817E-2</v>
      </c>
      <c r="AG99" s="43"/>
      <c r="AH99" s="126">
        <f>AH97</f>
        <v>25</v>
      </c>
      <c r="AI99" s="43">
        <f>AI97</f>
        <v>7.1999999999999993</v>
      </c>
      <c r="AJ99" s="128">
        <f>AJ97</f>
        <v>180</v>
      </c>
      <c r="AK99" s="128">
        <f>AH99 * (1 + E98) / (1 - G98)</f>
        <v>27.1356783919598</v>
      </c>
      <c r="AL99" s="129">
        <f>(B98 - AK99) / AK99</f>
        <v>-7.8703703703703748E-2</v>
      </c>
      <c r="AM99" s="35"/>
      <c r="AN99" s="35"/>
      <c r="AO99" s="35"/>
      <c r="AP99" s="35"/>
      <c r="AQ99" s="35"/>
      <c r="AR99" s="35"/>
      <c r="AS99" s="35"/>
      <c r="AT99" s="35"/>
      <c r="AU99" s="35"/>
      <c r="AV99" s="35"/>
      <c r="AW99" s="35"/>
      <c r="AX99" s="35"/>
      <c r="AY99" s="35"/>
      <c r="AZ99" s="35"/>
      <c r="BA99" s="35"/>
      <c r="BB99" s="35"/>
    </row>
    <row r="100" spans="1:54" ht="12.75" x14ac:dyDescent="0.2">
      <c r="A100" s="217" t="s">
        <v>273</v>
      </c>
      <c r="B100" s="218">
        <v>25</v>
      </c>
      <c r="C100" s="62">
        <v>0.02</v>
      </c>
      <c r="D100" s="216">
        <v>0.04</v>
      </c>
      <c r="E100" s="219">
        <v>0.08</v>
      </c>
      <c r="F100" s="219">
        <v>0.16</v>
      </c>
      <c r="G100" s="219">
        <v>5.0000000000000001E-3</v>
      </c>
      <c r="H100" s="220">
        <v>1200</v>
      </c>
      <c r="I100" s="221"/>
      <c r="J100" s="230" t="s">
        <v>274</v>
      </c>
      <c r="K100" s="221"/>
      <c r="L100" s="207"/>
      <c r="M100" s="207"/>
      <c r="N100" s="216"/>
      <c r="O100" s="219"/>
      <c r="P100" s="219"/>
      <c r="Q100" s="221"/>
      <c r="R100" s="222" t="s">
        <v>272</v>
      </c>
      <c r="S100" s="222" t="s">
        <v>73</v>
      </c>
      <c r="T100" s="223" t="s">
        <v>211</v>
      </c>
      <c r="U100" s="224">
        <f>U98</f>
        <v>25</v>
      </c>
      <c r="V100" s="225">
        <f>V98</f>
        <v>4.4444444444444446</v>
      </c>
      <c r="W100" s="224">
        <f>U100*V100-(U100*V100*G100)</f>
        <v>110.55555555555556</v>
      </c>
      <c r="X100" s="226" t="s">
        <v>34</v>
      </c>
      <c r="Y100" s="226">
        <f>Y98</f>
        <v>10.555555555555557</v>
      </c>
      <c r="Z100" s="215">
        <f>Z98</f>
        <v>0.10555555555555557</v>
      </c>
      <c r="AA100" s="227"/>
      <c r="AB100" s="228">
        <f>AB98</f>
        <v>22.5</v>
      </c>
      <c r="AC100" s="229">
        <f>AC98</f>
        <v>4.4444444444444446</v>
      </c>
      <c r="AD100" s="157">
        <f>AD98</f>
        <v>100</v>
      </c>
      <c r="AE100" s="157">
        <f>AB100 * (1 + D100) / (1 - G100)</f>
        <v>23.517587939698494</v>
      </c>
      <c r="AF100" s="216">
        <f>(B100 - AE100) / AE100</f>
        <v>6.3034188034187963E-2</v>
      </c>
      <c r="AG100" s="229"/>
      <c r="AH100" s="228">
        <f>AH96</f>
        <v>22.5</v>
      </c>
      <c r="AI100" s="229">
        <f>AI96</f>
        <v>4.4444444444444446</v>
      </c>
      <c r="AJ100" s="157">
        <f>AJ96</f>
        <v>100</v>
      </c>
      <c r="AK100" s="157">
        <f>AH100 * (1 + E100) / (1 - G100)</f>
        <v>24.422110552763819</v>
      </c>
      <c r="AL100" s="216">
        <f>(B100 - AK100) / AK100</f>
        <v>2.3662551440329235E-2</v>
      </c>
      <c r="AM100" s="221"/>
      <c r="AN100" s="228">
        <f>AN98</f>
        <v>25</v>
      </c>
      <c r="AO100" s="229">
        <f>AO98</f>
        <v>4.8000000000000007</v>
      </c>
      <c r="AP100" s="157">
        <f>AP98</f>
        <v>120</v>
      </c>
      <c r="AQ100" s="157">
        <f>AN100 * (1 + F100) / (1 - G100)</f>
        <v>29.145728643216078</v>
      </c>
      <c r="AR100" s="216">
        <f>(B100 - AQ100) / AQ100</f>
        <v>-0.14224137931034475</v>
      </c>
      <c r="AS100" s="221"/>
      <c r="AT100" s="232">
        <f>AW100+AV100+AU100</f>
        <v>29.888888888888886</v>
      </c>
      <c r="AU100" s="232">
        <f>AC100+AC101</f>
        <v>13.444444444444445</v>
      </c>
      <c r="AV100" s="232">
        <f>AI100+AI101</f>
        <v>11.644444444444444</v>
      </c>
      <c r="AW100" s="232">
        <f>AO100</f>
        <v>4.8000000000000007</v>
      </c>
      <c r="AX100" s="233">
        <f>AX98</f>
        <v>717.91250000000002</v>
      </c>
      <c r="AY100" s="220">
        <v>0</v>
      </c>
      <c r="AZ100" s="228">
        <f>AT100*B100</f>
        <v>747.22222222222217</v>
      </c>
      <c r="BA100" s="206">
        <f>(AY100+AZ100-AX100)/AX100</f>
        <v>4.0826315494189261E-2</v>
      </c>
      <c r="BB100" s="220">
        <f>H100-AX100+AY100</f>
        <v>482.08749999999998</v>
      </c>
    </row>
    <row r="101" spans="1:54" ht="12.75" x14ac:dyDescent="0.2">
      <c r="A101" s="217"/>
      <c r="B101" s="218"/>
      <c r="C101" s="62"/>
      <c r="D101" s="216"/>
      <c r="E101" s="219"/>
      <c r="F101" s="219"/>
      <c r="G101" s="219"/>
      <c r="H101" s="220"/>
      <c r="I101" s="221"/>
      <c r="J101" s="221"/>
      <c r="K101" s="221"/>
      <c r="L101" s="207"/>
      <c r="M101" s="207"/>
      <c r="N101" s="216"/>
      <c r="O101" s="219"/>
      <c r="P101" s="219"/>
      <c r="Q101" s="221"/>
      <c r="R101" s="222"/>
      <c r="S101" s="222"/>
      <c r="T101" s="223"/>
      <c r="U101" s="224"/>
      <c r="V101" s="225"/>
      <c r="W101" s="224"/>
      <c r="X101" s="226"/>
      <c r="Y101" s="226"/>
      <c r="Z101" s="215"/>
      <c r="AA101" s="227"/>
      <c r="AB101" s="228">
        <f>AB99</f>
        <v>25</v>
      </c>
      <c r="AC101" s="229">
        <f>AC99</f>
        <v>9</v>
      </c>
      <c r="AD101" s="157">
        <f>AD99</f>
        <v>225</v>
      </c>
      <c r="AE101" s="157">
        <f>AB101 * (1 + D100) / (1 - G100)</f>
        <v>26.13065326633166</v>
      </c>
      <c r="AF101" s="216">
        <f>(B100 - AE101) / AE101</f>
        <v>-4.3269230769230817E-2</v>
      </c>
      <c r="AG101" s="229"/>
      <c r="AH101" s="228">
        <f>AH99</f>
        <v>25</v>
      </c>
      <c r="AI101" s="229">
        <f>AI99</f>
        <v>7.1999999999999993</v>
      </c>
      <c r="AJ101" s="157">
        <f>AJ99</f>
        <v>180</v>
      </c>
      <c r="AK101" s="157">
        <f>AH101 * (1 + E100) / (1 - G100)</f>
        <v>27.1356783919598</v>
      </c>
      <c r="AL101" s="216">
        <f>(B100 - AK101) / AK101</f>
        <v>-7.8703703703703748E-2</v>
      </c>
      <c r="AM101" s="221"/>
      <c r="AN101" s="228"/>
      <c r="AO101" s="229"/>
      <c r="AP101" s="157"/>
      <c r="AQ101" s="157"/>
      <c r="AR101" s="216"/>
      <c r="AS101" s="221"/>
      <c r="AT101" s="232"/>
      <c r="AU101" s="232"/>
      <c r="AV101" s="232"/>
      <c r="AW101" s="232"/>
      <c r="AX101" s="233"/>
      <c r="AY101" s="220"/>
      <c r="AZ101" s="228"/>
      <c r="BA101" s="206"/>
      <c r="BB101" s="220"/>
    </row>
    <row r="102" spans="1:54" ht="12.75" x14ac:dyDescent="0.2">
      <c r="A102" s="182" t="s">
        <v>275</v>
      </c>
      <c r="B102" s="40">
        <v>25</v>
      </c>
      <c r="C102" s="55">
        <v>0.02</v>
      </c>
      <c r="D102" s="129">
        <v>0.04</v>
      </c>
      <c r="E102" s="125">
        <v>0.08</v>
      </c>
      <c r="F102" s="125">
        <v>0.16</v>
      </c>
      <c r="G102" s="125">
        <v>5.0000000000000001E-3</v>
      </c>
      <c r="H102" s="65">
        <v>1200</v>
      </c>
      <c r="I102" s="35"/>
      <c r="J102" s="47" t="s">
        <v>275</v>
      </c>
      <c r="K102" s="35"/>
      <c r="L102" s="210"/>
      <c r="M102" s="210"/>
      <c r="N102" s="129"/>
      <c r="O102" s="125"/>
      <c r="P102" s="125"/>
      <c r="Q102" s="35"/>
      <c r="R102" s="47"/>
      <c r="S102" s="47"/>
      <c r="T102" s="203"/>
      <c r="U102" s="126"/>
      <c r="V102" s="43"/>
      <c r="W102" s="126"/>
      <c r="X102" s="126"/>
      <c r="Y102" s="153"/>
      <c r="Z102" s="153"/>
      <c r="AA102" s="41"/>
      <c r="AB102" s="126">
        <f>AB100*K96</f>
        <v>45</v>
      </c>
      <c r="AC102" s="43">
        <f>AC100/K96</f>
        <v>2.2222222222222223</v>
      </c>
      <c r="AD102" s="128">
        <f>AD100</f>
        <v>100</v>
      </c>
      <c r="AE102" s="128">
        <f>AB102 * (1 + D102) / (1 - G102)</f>
        <v>47.035175879396988</v>
      </c>
      <c r="AF102" s="129">
        <f>(B102 - AE102) / AE102</f>
        <v>-0.46848290598290604</v>
      </c>
      <c r="AG102" s="43"/>
      <c r="AH102" s="126">
        <f>AH100*K96</f>
        <v>45</v>
      </c>
      <c r="AI102" s="43">
        <f>AI100/K96</f>
        <v>2.2222222222222223</v>
      </c>
      <c r="AJ102" s="128">
        <f>AJ100</f>
        <v>100</v>
      </c>
      <c r="AK102" s="128">
        <f>AH102 * (1 + E102) / (1 - G102)</f>
        <v>48.844221105527637</v>
      </c>
      <c r="AL102" s="129">
        <f>(B102 - AK102) / AK102</f>
        <v>-0.48816872427983538</v>
      </c>
      <c r="AM102" s="35"/>
      <c r="AN102" s="126">
        <f>AN100*K96</f>
        <v>50</v>
      </c>
      <c r="AO102" s="43">
        <f>AO100/K96</f>
        <v>2.4000000000000004</v>
      </c>
      <c r="AP102" s="128">
        <f>AP100</f>
        <v>120</v>
      </c>
      <c r="AQ102" s="128">
        <f>AN102 * (1 + F102) / (1 - G102)</f>
        <v>58.291457286432156</v>
      </c>
      <c r="AR102" s="129">
        <f>(B102 - AQ102) / AQ102</f>
        <v>-0.57112068965517238</v>
      </c>
      <c r="AS102" s="35"/>
      <c r="AT102" s="39">
        <f>AW102+AV102+AU102</f>
        <v>14.944444444444443</v>
      </c>
      <c r="AU102" s="39">
        <f>AC102+AC103</f>
        <v>6.7222222222222223</v>
      </c>
      <c r="AV102" s="39">
        <f>AI102+AI103</f>
        <v>5.822222222222222</v>
      </c>
      <c r="AW102" s="39">
        <f>AO102</f>
        <v>2.4000000000000004</v>
      </c>
      <c r="AX102" s="201">
        <f>AX100</f>
        <v>717.91250000000002</v>
      </c>
      <c r="AY102" s="65">
        <v>0</v>
      </c>
      <c r="AZ102" s="126">
        <f>AT102*B102</f>
        <v>373.61111111111109</v>
      </c>
      <c r="BA102" s="202">
        <f>(AY102+AZ102-AX102)/AX102</f>
        <v>-0.47958684225290538</v>
      </c>
      <c r="BB102" s="65">
        <f>H102-AX102+AY102</f>
        <v>482.08749999999998</v>
      </c>
    </row>
    <row r="103" spans="1:54" ht="12.75" x14ac:dyDescent="0.2">
      <c r="A103" s="182"/>
      <c r="B103" s="36"/>
      <c r="C103" s="209"/>
      <c r="D103" s="129"/>
      <c r="E103" s="125"/>
      <c r="F103" s="125"/>
      <c r="G103" s="125"/>
      <c r="H103" s="125"/>
      <c r="I103" s="35"/>
      <c r="J103" s="35"/>
      <c r="K103" s="35"/>
      <c r="L103" s="210"/>
      <c r="M103" s="210"/>
      <c r="N103" s="129"/>
      <c r="O103" s="125"/>
      <c r="P103" s="125"/>
      <c r="Q103" s="35"/>
      <c r="R103" s="47"/>
      <c r="S103" s="47"/>
      <c r="T103" s="203"/>
      <c r="U103" s="126"/>
      <c r="V103" s="43"/>
      <c r="W103" s="126"/>
      <c r="X103" s="126"/>
      <c r="Y103" s="153"/>
      <c r="Z103" s="153"/>
      <c r="AA103" s="41"/>
      <c r="AB103" s="126">
        <f>AB101*K96</f>
        <v>50</v>
      </c>
      <c r="AC103" s="43">
        <f>AC101/K96</f>
        <v>4.5</v>
      </c>
      <c r="AD103" s="128">
        <f>AD101</f>
        <v>225</v>
      </c>
      <c r="AE103" s="128">
        <f>AB103 * (1 + D102) / (1 - G102)</f>
        <v>52.261306532663319</v>
      </c>
      <c r="AF103" s="129">
        <f>(B102 - AE103) / AE103</f>
        <v>-0.52163461538461542</v>
      </c>
      <c r="AG103" s="43"/>
      <c r="AH103" s="126">
        <f>AH101*K96</f>
        <v>50</v>
      </c>
      <c r="AI103" s="43">
        <f>AI101/K96</f>
        <v>3.5999999999999996</v>
      </c>
      <c r="AJ103" s="128">
        <f>AJ101</f>
        <v>180</v>
      </c>
      <c r="AK103" s="128">
        <f>AH103 * (1 + E102) / (1 - G102)</f>
        <v>54.2713567839196</v>
      </c>
      <c r="AL103" s="129">
        <f>(B102 - AK103) / AK103</f>
        <v>-0.53935185185185186</v>
      </c>
      <c r="AM103" s="35"/>
      <c r="AN103" s="126"/>
      <c r="AO103" s="43"/>
      <c r="AP103" s="128"/>
      <c r="AQ103" s="128"/>
      <c r="AR103" s="129"/>
      <c r="AS103" s="35"/>
      <c r="AT103" s="39"/>
      <c r="AU103" s="39"/>
      <c r="AV103" s="39"/>
      <c r="AW103" s="39"/>
      <c r="AX103" s="201"/>
      <c r="AY103" s="65"/>
      <c r="AZ103" s="126"/>
      <c r="BA103" s="202"/>
      <c r="BB103" s="65"/>
    </row>
    <row r="104" spans="1:54" ht="12.75" x14ac:dyDescent="0.2">
      <c r="A104" s="150"/>
      <c r="B104" s="218"/>
      <c r="C104" s="62"/>
      <c r="D104" s="216"/>
      <c r="E104" s="219"/>
      <c r="F104" s="219"/>
      <c r="G104" s="219"/>
      <c r="H104" s="220"/>
      <c r="L104" s="207"/>
      <c r="M104" s="207"/>
      <c r="N104" s="124"/>
      <c r="O104" s="95"/>
      <c r="P104" s="95"/>
      <c r="R104" s="45"/>
      <c r="S104" s="45"/>
      <c r="T104" s="131"/>
      <c r="U104" s="122"/>
      <c r="V104" s="30"/>
      <c r="W104" s="122"/>
      <c r="X104" s="122"/>
      <c r="Y104" s="152"/>
      <c r="Z104" s="152"/>
      <c r="AA104" s="12"/>
      <c r="AB104" s="228"/>
      <c r="AC104" s="229"/>
      <c r="AD104" s="157"/>
      <c r="AE104" s="157"/>
      <c r="AF104" s="216"/>
      <c r="AG104" s="229"/>
      <c r="AH104" s="228"/>
      <c r="AI104" s="229"/>
      <c r="AJ104" s="157"/>
      <c r="AK104" s="157"/>
      <c r="AL104" s="216"/>
      <c r="AM104" s="221"/>
      <c r="AN104" s="221"/>
      <c r="AO104" s="221"/>
      <c r="AP104" s="221"/>
      <c r="AQ104" s="221"/>
      <c r="AR104" s="221"/>
      <c r="AS104" s="221"/>
      <c r="AT104" s="221"/>
      <c r="AU104" s="221"/>
      <c r="AV104" s="221"/>
      <c r="AW104" s="221"/>
      <c r="AX104" s="221"/>
      <c r="AY104" s="221"/>
      <c r="AZ104" s="221"/>
      <c r="BA104" s="221"/>
      <c r="BB104" s="221"/>
    </row>
    <row r="105" spans="1:54" ht="12.75" x14ac:dyDescent="0.2">
      <c r="A105" s="213" t="s">
        <v>277</v>
      </c>
      <c r="B105" s="33"/>
      <c r="C105" s="67"/>
      <c r="D105" s="124"/>
      <c r="E105" s="95"/>
      <c r="F105" s="95"/>
      <c r="G105" s="95"/>
      <c r="H105" s="95"/>
      <c r="L105" s="207"/>
      <c r="M105" s="207"/>
      <c r="N105" s="124"/>
      <c r="O105" s="95"/>
      <c r="P105" s="95"/>
      <c r="R105" s="45"/>
      <c r="S105" s="45"/>
      <c r="T105" s="131"/>
      <c r="U105" s="122"/>
      <c r="V105" s="30"/>
      <c r="W105" s="122"/>
      <c r="X105" s="122"/>
      <c r="Y105" s="152"/>
      <c r="Z105" s="152"/>
      <c r="AA105" s="12"/>
      <c r="AB105" s="228"/>
      <c r="AC105" s="229"/>
      <c r="AD105" s="157"/>
      <c r="AE105" s="157"/>
      <c r="AF105" s="216"/>
      <c r="AG105" s="229"/>
      <c r="AH105" s="228"/>
      <c r="AI105" s="229"/>
      <c r="AJ105" s="157"/>
      <c r="AK105" s="157"/>
      <c r="AL105" s="216"/>
      <c r="AM105" s="221"/>
      <c r="AN105" s="221"/>
      <c r="AO105" s="221"/>
      <c r="AP105" s="221"/>
      <c r="AQ105" s="221"/>
      <c r="AR105" s="221"/>
      <c r="AS105" s="221"/>
      <c r="AT105" s="221"/>
      <c r="AU105" s="221"/>
      <c r="AV105" s="221"/>
      <c r="AW105" s="221"/>
      <c r="AX105" s="221"/>
      <c r="AY105" s="221"/>
      <c r="AZ105" s="221"/>
      <c r="BA105" s="221"/>
      <c r="BB105" s="221"/>
    </row>
    <row r="106" spans="1:54" ht="12.75" x14ac:dyDescent="0.2">
      <c r="B106" s="45" t="s">
        <v>204</v>
      </c>
      <c r="C106" s="109"/>
      <c r="J106" s="45" t="s">
        <v>202</v>
      </c>
      <c r="R106" s="45" t="s">
        <v>203</v>
      </c>
      <c r="T106" s="12"/>
      <c r="U106" s="12"/>
      <c r="V106" s="12"/>
      <c r="W106" s="12"/>
      <c r="X106" s="12"/>
      <c r="Y106" s="12"/>
      <c r="Z106" s="12"/>
      <c r="AA106" s="12"/>
      <c r="AB106" s="130" t="s">
        <v>205</v>
      </c>
      <c r="AC106" s="46"/>
      <c r="AD106" s="46"/>
      <c r="AE106" s="46"/>
      <c r="AF106" s="46"/>
      <c r="AG106" s="46"/>
      <c r="AH106" s="130" t="s">
        <v>207</v>
      </c>
      <c r="AI106" s="46"/>
      <c r="AJ106" s="46"/>
      <c r="AK106" s="46"/>
      <c r="AL106" s="46"/>
      <c r="AM106" s="45"/>
      <c r="AN106" s="130" t="s">
        <v>208</v>
      </c>
      <c r="AO106" s="12"/>
      <c r="AP106" s="12"/>
      <c r="AQ106" s="12"/>
      <c r="AR106" s="12"/>
      <c r="AT106" s="130" t="s">
        <v>206</v>
      </c>
    </row>
    <row r="107" spans="1:54" ht="12.75" x14ac:dyDescent="0.2">
      <c r="B107" s="57" t="s">
        <v>209</v>
      </c>
      <c r="C107" s="28" t="s">
        <v>190</v>
      </c>
      <c r="D107" s="57" t="s">
        <v>191</v>
      </c>
      <c r="E107" s="28" t="s">
        <v>192</v>
      </c>
      <c r="F107" s="28" t="s">
        <v>193</v>
      </c>
      <c r="G107" s="57" t="s">
        <v>112</v>
      </c>
      <c r="H107" s="57" t="s">
        <v>244</v>
      </c>
      <c r="I107" s="101"/>
      <c r="J107" s="28" t="s">
        <v>76</v>
      </c>
      <c r="K107" s="28" t="s">
        <v>4</v>
      </c>
      <c r="L107" s="57" t="s">
        <v>0</v>
      </c>
      <c r="M107" s="57" t="s">
        <v>1</v>
      </c>
      <c r="N107" s="28" t="s">
        <v>191</v>
      </c>
      <c r="O107" s="28" t="s">
        <v>192</v>
      </c>
      <c r="P107" s="28" t="s">
        <v>193</v>
      </c>
      <c r="R107" s="28"/>
      <c r="S107" s="28" t="s">
        <v>76</v>
      </c>
      <c r="T107" s="28" t="s">
        <v>4</v>
      </c>
      <c r="U107" s="57" t="s">
        <v>0</v>
      </c>
      <c r="V107" s="28" t="s">
        <v>62</v>
      </c>
      <c r="W107" s="57" t="s">
        <v>220</v>
      </c>
      <c r="X107" s="57" t="s">
        <v>190</v>
      </c>
      <c r="Y107" s="57" t="s">
        <v>194</v>
      </c>
      <c r="Z107" s="28" t="s">
        <v>195</v>
      </c>
      <c r="AA107" s="12"/>
      <c r="AB107" s="28" t="s">
        <v>0</v>
      </c>
      <c r="AC107" s="28" t="s">
        <v>196</v>
      </c>
      <c r="AD107" s="57" t="s">
        <v>1</v>
      </c>
      <c r="AE107" s="57" t="s">
        <v>197</v>
      </c>
      <c r="AF107" s="57" t="s">
        <v>198</v>
      </c>
      <c r="AG107" s="60"/>
      <c r="AH107" s="28" t="s">
        <v>0</v>
      </c>
      <c r="AI107" s="28" t="s">
        <v>196</v>
      </c>
      <c r="AJ107" s="57" t="s">
        <v>1</v>
      </c>
      <c r="AK107" s="57" t="s">
        <v>197</v>
      </c>
      <c r="AL107" s="57" t="s">
        <v>198</v>
      </c>
      <c r="AN107" s="28" t="s">
        <v>0</v>
      </c>
      <c r="AO107" s="28" t="s">
        <v>196</v>
      </c>
      <c r="AP107" s="57" t="s">
        <v>1</v>
      </c>
      <c r="AQ107" s="57" t="s">
        <v>197</v>
      </c>
      <c r="AR107" s="57" t="s">
        <v>198</v>
      </c>
      <c r="AT107" s="57" t="s">
        <v>199</v>
      </c>
      <c r="AU107" s="28" t="s">
        <v>191</v>
      </c>
      <c r="AV107" s="28" t="s">
        <v>192</v>
      </c>
      <c r="AW107" s="28" t="s">
        <v>193</v>
      </c>
      <c r="AX107" s="57" t="s">
        <v>79</v>
      </c>
      <c r="AY107" s="57" t="s">
        <v>242</v>
      </c>
      <c r="AZ107" s="57" t="s">
        <v>241</v>
      </c>
      <c r="BA107" s="57" t="s">
        <v>251</v>
      </c>
      <c r="BB107" s="57" t="s">
        <v>243</v>
      </c>
    </row>
    <row r="108" spans="1:54" ht="12.75" x14ac:dyDescent="0.2">
      <c r="A108" s="110" t="s">
        <v>215</v>
      </c>
      <c r="B108" s="52">
        <v>100</v>
      </c>
      <c r="C108" s="54">
        <v>0.02</v>
      </c>
      <c r="D108" s="124">
        <v>0.04</v>
      </c>
      <c r="E108" s="95">
        <v>0.08</v>
      </c>
      <c r="F108" s="95">
        <v>0.16</v>
      </c>
      <c r="G108" s="95">
        <v>5.0000000000000001E-3</v>
      </c>
      <c r="H108" s="63">
        <v>1200</v>
      </c>
      <c r="I108" s="95"/>
      <c r="J108" s="133" t="s">
        <v>75</v>
      </c>
      <c r="K108" s="133" t="s">
        <v>78</v>
      </c>
      <c r="L108" s="52">
        <v>100</v>
      </c>
      <c r="M108" s="52">
        <v>300</v>
      </c>
      <c r="N108" s="124">
        <v>0.5</v>
      </c>
      <c r="O108" s="95">
        <v>0.3</v>
      </c>
      <c r="P108" s="95">
        <v>0.2</v>
      </c>
      <c r="R108" s="45" t="s">
        <v>215</v>
      </c>
      <c r="S108" s="45" t="s">
        <v>75</v>
      </c>
      <c r="T108" s="131" t="s">
        <v>78</v>
      </c>
      <c r="U108" s="122">
        <f>L108</f>
        <v>100</v>
      </c>
      <c r="V108" s="30">
        <f>W108/U108</f>
        <v>3</v>
      </c>
      <c r="W108" s="122">
        <f>M108</f>
        <v>300</v>
      </c>
      <c r="X108" s="122">
        <f>U108 * (1 - ABS(C108))</f>
        <v>98</v>
      </c>
      <c r="Y108" s="152" t="s">
        <v>34</v>
      </c>
      <c r="Z108" s="152" t="s">
        <v>34</v>
      </c>
      <c r="AA108" s="12"/>
      <c r="AB108" s="122">
        <f>U108</f>
        <v>100</v>
      </c>
      <c r="AC108" s="30">
        <f>V108*N108</f>
        <v>1.5</v>
      </c>
      <c r="AD108" s="123">
        <f>W108*N108</f>
        <v>150</v>
      </c>
      <c r="AE108" s="123">
        <f>AB108 * (1 + D108) / (1 - G108)</f>
        <v>104.52261306532664</v>
      </c>
      <c r="AF108" s="124">
        <f>(B108 - AE108) / AE108</f>
        <v>-4.3269230769230817E-2</v>
      </c>
      <c r="AG108" s="30"/>
      <c r="AH108" s="122">
        <f>U108</f>
        <v>100</v>
      </c>
      <c r="AI108" s="30">
        <f>V108*O108</f>
        <v>0.89999999999999991</v>
      </c>
      <c r="AJ108" s="123">
        <f>W108*O108</f>
        <v>90</v>
      </c>
      <c r="AK108" s="123">
        <f>AH108 * (1 + E108) / (1 - G108)</f>
        <v>108.5427135678392</v>
      </c>
      <c r="AL108" s="124">
        <f>(B108 - AK108) / AK108</f>
        <v>-7.8703703703703748E-2</v>
      </c>
      <c r="AN108" s="122">
        <f>U108</f>
        <v>100</v>
      </c>
      <c r="AO108" s="30">
        <f>V108*P108</f>
        <v>0.60000000000000009</v>
      </c>
      <c r="AP108" s="123">
        <f>W108*P108</f>
        <v>60</v>
      </c>
      <c r="AQ108" s="123">
        <f>AN108 * (1 + F108) / (1 - G108)</f>
        <v>116.58291457286431</v>
      </c>
      <c r="AR108" s="124">
        <f>(B108 - AQ108) / AQ108</f>
        <v>-0.14224137931034475</v>
      </c>
      <c r="AT108" s="32">
        <f>AW108+AV108+AU108</f>
        <v>3</v>
      </c>
      <c r="AU108" s="32">
        <f>AC108</f>
        <v>1.5</v>
      </c>
      <c r="AV108" s="32">
        <f>AI108</f>
        <v>0.89999999999999991</v>
      </c>
      <c r="AW108" s="32">
        <f>AO108</f>
        <v>0.60000000000000009</v>
      </c>
      <c r="AX108" s="196">
        <f>M108</f>
        <v>300</v>
      </c>
      <c r="AY108" s="63">
        <v>0</v>
      </c>
      <c r="AZ108" s="122">
        <f>AT108*B108</f>
        <v>300</v>
      </c>
      <c r="BA108" s="197">
        <f>(AY108+AZ108-AX108)/AX108</f>
        <v>0</v>
      </c>
      <c r="BB108" s="63">
        <f>H108-AX108+AY108</f>
        <v>900</v>
      </c>
    </row>
    <row r="109" spans="1:54" ht="12.75" x14ac:dyDescent="0.2">
      <c r="A109" s="150"/>
      <c r="B109" s="33"/>
      <c r="C109" s="67"/>
      <c r="D109" s="124"/>
      <c r="E109" s="95"/>
      <c r="F109" s="95"/>
      <c r="G109" s="95"/>
      <c r="H109" s="95"/>
      <c r="L109" s="207"/>
      <c r="M109" s="207"/>
      <c r="N109" s="124"/>
      <c r="O109" s="95"/>
      <c r="P109" s="95"/>
      <c r="R109" s="45"/>
      <c r="S109" s="45"/>
      <c r="T109" s="131"/>
      <c r="U109" s="122"/>
      <c r="V109" s="30"/>
      <c r="W109" s="122"/>
      <c r="X109" s="122"/>
      <c r="Y109" s="152"/>
      <c r="Z109" s="152"/>
      <c r="AA109" s="12"/>
      <c r="AB109" s="228"/>
      <c r="AC109" s="229"/>
      <c r="AD109" s="157"/>
      <c r="AE109" s="157"/>
      <c r="AF109" s="216"/>
      <c r="AG109" s="229"/>
      <c r="AH109" s="228"/>
      <c r="AI109" s="229"/>
      <c r="AJ109" s="157"/>
      <c r="AK109" s="157"/>
      <c r="AL109" s="216"/>
      <c r="AM109" s="221"/>
      <c r="AN109" s="221"/>
      <c r="AO109" s="221"/>
      <c r="AP109" s="221"/>
      <c r="AQ109" s="221"/>
      <c r="AR109" s="221"/>
      <c r="AS109" s="221"/>
      <c r="AT109" s="221"/>
      <c r="AU109" s="221"/>
      <c r="AV109" s="221"/>
      <c r="AW109" s="221"/>
      <c r="AX109" s="221"/>
      <c r="AY109" s="221"/>
      <c r="AZ109" s="221"/>
      <c r="BA109" s="221"/>
      <c r="BB109" s="221"/>
    </row>
    <row r="110" spans="1:54" ht="12.75" x14ac:dyDescent="0.2">
      <c r="A110" s="150"/>
      <c r="B110" s="33"/>
      <c r="C110" s="67"/>
      <c r="D110" s="124"/>
      <c r="E110" s="95"/>
      <c r="F110" s="95"/>
      <c r="G110" s="95"/>
      <c r="H110" s="95"/>
      <c r="L110" s="207"/>
      <c r="M110" s="207"/>
      <c r="N110" s="124"/>
      <c r="O110" s="95"/>
      <c r="P110" s="95"/>
      <c r="R110" s="45"/>
      <c r="S110" s="45"/>
      <c r="T110" s="131"/>
      <c r="U110" s="122"/>
      <c r="V110" s="30"/>
      <c r="W110" s="122"/>
      <c r="X110" s="122"/>
      <c r="Y110" s="152"/>
      <c r="Z110" s="152"/>
      <c r="AA110" s="12"/>
      <c r="AB110" s="228"/>
      <c r="AC110" s="229"/>
      <c r="AD110" s="157"/>
      <c r="AE110" s="157"/>
      <c r="AF110" s="216"/>
      <c r="AG110" s="229"/>
      <c r="AH110" s="228"/>
      <c r="AI110" s="229"/>
      <c r="AJ110" s="157"/>
      <c r="AK110" s="157"/>
      <c r="AL110" s="216"/>
      <c r="AM110" s="221"/>
      <c r="AN110" s="221"/>
      <c r="AO110" s="221"/>
      <c r="AP110" s="221"/>
      <c r="AQ110" s="221"/>
      <c r="AR110" s="221"/>
      <c r="AS110" s="221"/>
      <c r="AT110" s="221"/>
      <c r="AU110" s="221"/>
      <c r="AV110" s="221"/>
      <c r="AW110" s="221"/>
      <c r="AX110" s="221"/>
      <c r="AY110" s="221"/>
      <c r="AZ110" s="221"/>
      <c r="BA110" s="221"/>
      <c r="BB110" s="221"/>
    </row>
    <row r="111" spans="1:54" ht="12.75" x14ac:dyDescent="0.2">
      <c r="A111" s="150"/>
      <c r="B111" s="33"/>
      <c r="C111" s="67"/>
      <c r="D111" s="124"/>
      <c r="E111" s="95"/>
      <c r="F111" s="95"/>
      <c r="G111" s="95"/>
      <c r="H111" s="95"/>
      <c r="L111" s="207"/>
      <c r="M111" s="207"/>
      <c r="N111" s="124"/>
      <c r="O111" s="95"/>
      <c r="P111" s="95"/>
      <c r="R111" s="45"/>
      <c r="S111" s="45"/>
      <c r="T111" s="131"/>
      <c r="U111" s="122"/>
      <c r="V111" s="30"/>
      <c r="W111" s="122"/>
      <c r="X111" s="122"/>
      <c r="Y111" s="152"/>
      <c r="Z111" s="152"/>
      <c r="AA111" s="12"/>
      <c r="AB111" s="228"/>
      <c r="AC111" s="229"/>
      <c r="AD111" s="157"/>
      <c r="AE111" s="157"/>
      <c r="AF111" s="216"/>
      <c r="AG111" s="229"/>
      <c r="AH111" s="228"/>
      <c r="AI111" s="229"/>
      <c r="AJ111" s="157"/>
      <c r="AK111" s="157"/>
      <c r="AL111" s="216"/>
      <c r="AM111" s="221"/>
      <c r="AN111" s="221"/>
      <c r="AO111" s="221"/>
      <c r="AP111" s="221"/>
      <c r="AQ111" s="221"/>
      <c r="AR111" s="221"/>
      <c r="AS111" s="221"/>
      <c r="AT111" s="221"/>
      <c r="AU111" s="221"/>
      <c r="AV111" s="221"/>
      <c r="AW111" s="221"/>
      <c r="AX111" s="221"/>
      <c r="AY111" s="221"/>
      <c r="AZ111" s="221"/>
      <c r="BA111" s="221"/>
      <c r="BB111" s="221"/>
    </row>
    <row r="112" spans="1:54" ht="38.25" x14ac:dyDescent="0.2">
      <c r="A112" s="150" t="s">
        <v>278</v>
      </c>
      <c r="B112" s="33"/>
      <c r="C112" s="67"/>
      <c r="D112" s="124"/>
      <c r="E112" s="95"/>
      <c r="F112" s="95"/>
      <c r="G112" s="95"/>
      <c r="H112" s="95"/>
      <c r="L112" s="207"/>
      <c r="M112" s="207"/>
      <c r="N112" s="124"/>
      <c r="O112" s="95"/>
      <c r="P112" s="95"/>
      <c r="R112" s="45"/>
      <c r="S112" s="45"/>
      <c r="T112" s="131"/>
      <c r="U112" s="122"/>
      <c r="V112" s="30"/>
      <c r="W112" s="122"/>
      <c r="X112" s="122"/>
      <c r="Y112" s="152"/>
      <c r="Z112" s="152"/>
      <c r="AA112" s="12"/>
      <c r="AB112" s="228"/>
      <c r="AC112" s="229"/>
      <c r="AD112" s="157"/>
      <c r="AE112" s="157"/>
      <c r="AF112" s="216"/>
      <c r="AG112" s="229"/>
      <c r="AH112" s="228"/>
      <c r="AI112" s="229"/>
      <c r="AJ112" s="157"/>
      <c r="AK112" s="157"/>
      <c r="AL112" s="216"/>
      <c r="AM112" s="221"/>
      <c r="AN112" s="221"/>
      <c r="AO112" s="221"/>
      <c r="AP112" s="221"/>
      <c r="AQ112" s="221"/>
      <c r="AR112" s="221"/>
      <c r="AS112" s="221"/>
      <c r="AT112" s="221"/>
      <c r="AU112" s="221"/>
      <c r="AV112" s="221"/>
      <c r="AW112" s="221"/>
      <c r="AX112" s="221"/>
      <c r="AY112" s="221"/>
      <c r="AZ112" s="221"/>
      <c r="BA112" s="221"/>
      <c r="BB112" s="221"/>
    </row>
    <row r="113" spans="1:54" ht="25.5" x14ac:dyDescent="0.2">
      <c r="A113" s="213" t="s">
        <v>279</v>
      </c>
      <c r="B113" s="33"/>
      <c r="C113" s="67"/>
      <c r="D113" s="124"/>
      <c r="E113" s="95"/>
      <c r="F113" s="95"/>
      <c r="G113" s="95"/>
      <c r="H113" s="95"/>
      <c r="L113" s="207"/>
      <c r="M113" s="207"/>
      <c r="N113" s="124"/>
      <c r="O113" s="95"/>
      <c r="P113" s="95"/>
      <c r="R113" s="45"/>
      <c r="S113" s="45"/>
      <c r="T113" s="131"/>
      <c r="U113" s="122"/>
      <c r="V113" s="30"/>
      <c r="W113" s="122"/>
      <c r="X113" s="122"/>
      <c r="Y113" s="152"/>
      <c r="Z113" s="152"/>
      <c r="AA113" s="12"/>
      <c r="AB113" s="122"/>
      <c r="AC113" s="30"/>
      <c r="AD113" s="157"/>
      <c r="AE113" s="157"/>
      <c r="AF113" s="124"/>
      <c r="AG113" s="30"/>
      <c r="AH113" s="122"/>
      <c r="AI113" s="30"/>
      <c r="AJ113" s="157"/>
      <c r="AK113" s="157"/>
      <c r="AL113" s="124"/>
    </row>
    <row r="114" spans="1:54" ht="12.75" x14ac:dyDescent="0.2">
      <c r="B114" s="45" t="s">
        <v>204</v>
      </c>
      <c r="C114" s="109"/>
      <c r="J114" s="45" t="s">
        <v>202</v>
      </c>
      <c r="R114" s="45" t="s">
        <v>203</v>
      </c>
      <c r="T114" s="12"/>
      <c r="U114" s="12"/>
      <c r="V114" s="12"/>
      <c r="W114" s="12"/>
      <c r="X114" s="12"/>
      <c r="Y114" s="12"/>
      <c r="Z114" s="12"/>
      <c r="AA114" s="12"/>
      <c r="AB114" s="130" t="s">
        <v>205</v>
      </c>
      <c r="AC114" s="46"/>
      <c r="AD114" s="46"/>
      <c r="AE114" s="46"/>
      <c r="AF114" s="46"/>
      <c r="AG114" s="46"/>
      <c r="AH114" s="130" t="s">
        <v>207</v>
      </c>
      <c r="AI114" s="46"/>
      <c r="AJ114" s="46"/>
      <c r="AK114" s="46"/>
      <c r="AL114" s="46"/>
      <c r="AM114" s="45"/>
      <c r="AN114" s="130" t="s">
        <v>208</v>
      </c>
      <c r="AO114" s="12"/>
      <c r="AP114" s="12"/>
      <c r="AQ114" s="12"/>
      <c r="AR114" s="12"/>
      <c r="AT114" s="130" t="s">
        <v>206</v>
      </c>
    </row>
    <row r="115" spans="1:54" ht="12.75" x14ac:dyDescent="0.2">
      <c r="B115" s="57" t="s">
        <v>209</v>
      </c>
      <c r="C115" s="28" t="s">
        <v>190</v>
      </c>
      <c r="D115" s="57" t="s">
        <v>191</v>
      </c>
      <c r="E115" s="28" t="s">
        <v>192</v>
      </c>
      <c r="F115" s="28" t="s">
        <v>193</v>
      </c>
      <c r="G115" s="57" t="s">
        <v>112</v>
      </c>
      <c r="H115" s="57" t="s">
        <v>244</v>
      </c>
      <c r="I115" s="101"/>
      <c r="J115" s="28" t="s">
        <v>76</v>
      </c>
      <c r="K115" s="28" t="s">
        <v>4</v>
      </c>
      <c r="L115" s="57" t="s">
        <v>0</v>
      </c>
      <c r="M115" s="57" t="s">
        <v>1</v>
      </c>
      <c r="N115" s="28" t="s">
        <v>191</v>
      </c>
      <c r="O115" s="28" t="s">
        <v>192</v>
      </c>
      <c r="P115" s="28" t="s">
        <v>193</v>
      </c>
      <c r="R115" s="28"/>
      <c r="S115" s="28" t="s">
        <v>76</v>
      </c>
      <c r="T115" s="28" t="s">
        <v>4</v>
      </c>
      <c r="U115" s="57" t="s">
        <v>0</v>
      </c>
      <c r="V115" s="28" t="s">
        <v>62</v>
      </c>
      <c r="W115" s="57" t="s">
        <v>220</v>
      </c>
      <c r="X115" s="57" t="s">
        <v>190</v>
      </c>
      <c r="Y115" s="57" t="s">
        <v>194</v>
      </c>
      <c r="Z115" s="28" t="s">
        <v>195</v>
      </c>
      <c r="AA115" s="12"/>
      <c r="AB115" s="28" t="s">
        <v>0</v>
      </c>
      <c r="AC115" s="28" t="s">
        <v>196</v>
      </c>
      <c r="AD115" s="57" t="s">
        <v>1</v>
      </c>
      <c r="AE115" s="57" t="s">
        <v>197</v>
      </c>
      <c r="AF115" s="57" t="s">
        <v>198</v>
      </c>
      <c r="AG115" s="60"/>
      <c r="AH115" s="28" t="s">
        <v>0</v>
      </c>
      <c r="AI115" s="28" t="s">
        <v>196</v>
      </c>
      <c r="AJ115" s="57" t="s">
        <v>1</v>
      </c>
      <c r="AK115" s="57" t="s">
        <v>197</v>
      </c>
      <c r="AL115" s="57" t="s">
        <v>198</v>
      </c>
      <c r="AN115" s="28" t="s">
        <v>0</v>
      </c>
      <c r="AO115" s="28" t="s">
        <v>196</v>
      </c>
      <c r="AP115" s="57" t="s">
        <v>1</v>
      </c>
      <c r="AQ115" s="57" t="s">
        <v>197</v>
      </c>
      <c r="AR115" s="57" t="s">
        <v>198</v>
      </c>
      <c r="AT115" s="57" t="s">
        <v>199</v>
      </c>
      <c r="AU115" s="28" t="s">
        <v>191</v>
      </c>
      <c r="AV115" s="28" t="s">
        <v>192</v>
      </c>
      <c r="AW115" s="28" t="s">
        <v>193</v>
      </c>
      <c r="AX115" s="57" t="s">
        <v>79</v>
      </c>
      <c r="AY115" s="57" t="s">
        <v>242</v>
      </c>
      <c r="AZ115" s="57" t="s">
        <v>241</v>
      </c>
      <c r="BA115" s="57" t="s">
        <v>251</v>
      </c>
      <c r="BB115" s="57" t="s">
        <v>243</v>
      </c>
    </row>
    <row r="116" spans="1:54" ht="12.75" x14ac:dyDescent="0.2">
      <c r="A116" s="110" t="s">
        <v>215</v>
      </c>
      <c r="B116" s="52">
        <v>100</v>
      </c>
      <c r="C116" s="54">
        <v>0.02</v>
      </c>
      <c r="D116" s="124">
        <v>0.04</v>
      </c>
      <c r="E116" s="95">
        <v>0.08</v>
      </c>
      <c r="F116" s="95">
        <v>0.16</v>
      </c>
      <c r="G116" s="95">
        <v>5.0000000000000001E-3</v>
      </c>
      <c r="H116" s="63">
        <v>1200</v>
      </c>
      <c r="I116" s="95"/>
      <c r="J116" s="133" t="s">
        <v>75</v>
      </c>
      <c r="K116" s="133" t="s">
        <v>78</v>
      </c>
      <c r="L116" s="52">
        <v>100</v>
      </c>
      <c r="M116" s="52">
        <v>300</v>
      </c>
      <c r="N116" s="124">
        <v>0.5</v>
      </c>
      <c r="O116" s="95">
        <v>0.3</v>
      </c>
      <c r="P116" s="95">
        <v>0.2</v>
      </c>
      <c r="R116" s="45" t="s">
        <v>215</v>
      </c>
      <c r="S116" s="45" t="s">
        <v>75</v>
      </c>
      <c r="T116" s="131" t="s">
        <v>78</v>
      </c>
      <c r="U116" s="122">
        <f>L116</f>
        <v>100</v>
      </c>
      <c r="V116" s="30">
        <f>W116/U116</f>
        <v>3</v>
      </c>
      <c r="W116" s="122">
        <f>M116</f>
        <v>300</v>
      </c>
      <c r="X116" s="122">
        <f>U116 * (1 - ABS(C116))</f>
        <v>98</v>
      </c>
      <c r="Y116" s="152" t="s">
        <v>34</v>
      </c>
      <c r="Z116" s="152" t="s">
        <v>34</v>
      </c>
      <c r="AA116" s="12"/>
      <c r="AB116" s="122">
        <f>U116</f>
        <v>100</v>
      </c>
      <c r="AC116" s="30">
        <f>V116*N116</f>
        <v>1.5</v>
      </c>
      <c r="AD116" s="123">
        <f>W116*N116</f>
        <v>150</v>
      </c>
      <c r="AE116" s="123">
        <f>AB116 * (1 + D116) / (1 - G116)</f>
        <v>104.52261306532664</v>
      </c>
      <c r="AF116" s="124">
        <f>(B116 - AE116) / AE116</f>
        <v>-4.3269230769230817E-2</v>
      </c>
      <c r="AG116" s="30"/>
      <c r="AH116" s="122">
        <f>U116</f>
        <v>100</v>
      </c>
      <c r="AI116" s="30">
        <f>V116*O116</f>
        <v>0.89999999999999991</v>
      </c>
      <c r="AJ116" s="123">
        <f>W116*O116</f>
        <v>90</v>
      </c>
      <c r="AK116" s="123">
        <f>AH116 * (1 + E116) / (1 - G116)</f>
        <v>108.5427135678392</v>
      </c>
      <c r="AL116" s="124">
        <f>(B116 - AK116) / AK116</f>
        <v>-7.8703703703703748E-2</v>
      </c>
      <c r="AN116" s="122">
        <f>U116</f>
        <v>100</v>
      </c>
      <c r="AO116" s="30">
        <f>V116*P116</f>
        <v>0.60000000000000009</v>
      </c>
      <c r="AP116" s="123">
        <f>W116*P116</f>
        <v>60</v>
      </c>
      <c r="AQ116" s="123">
        <f>AN116 * (1 + F116) / (1 - G116)</f>
        <v>116.58291457286431</v>
      </c>
      <c r="AR116" s="124">
        <f>(B116 - AQ116) / AQ116</f>
        <v>-0.14224137931034475</v>
      </c>
      <c r="AT116" s="32">
        <f>AW116+AV116+AU116</f>
        <v>3</v>
      </c>
      <c r="AU116" s="32">
        <f>AC116</f>
        <v>1.5</v>
      </c>
      <c r="AV116" s="32">
        <f>AI116</f>
        <v>0.89999999999999991</v>
      </c>
      <c r="AW116" s="32">
        <f>AO116</f>
        <v>0.60000000000000009</v>
      </c>
      <c r="AX116" s="196">
        <f>M116</f>
        <v>300</v>
      </c>
      <c r="AY116" s="63">
        <v>0</v>
      </c>
      <c r="AZ116" s="122">
        <f>AT116*B116</f>
        <v>300</v>
      </c>
      <c r="BA116" s="197">
        <f>(AY116+AZ116-AX116)/AX116</f>
        <v>0</v>
      </c>
      <c r="BB116" s="63">
        <f>H116-AX116+AY116</f>
        <v>900</v>
      </c>
    </row>
    <row r="117" spans="1:54" ht="12.75" x14ac:dyDescent="0.2">
      <c r="A117" s="182" t="s">
        <v>280</v>
      </c>
      <c r="B117" s="40">
        <v>100</v>
      </c>
      <c r="C117" s="55">
        <v>0.02</v>
      </c>
      <c r="D117" s="129">
        <v>0.04</v>
      </c>
      <c r="E117" s="125">
        <v>0.08</v>
      </c>
      <c r="F117" s="125">
        <v>0.16</v>
      </c>
      <c r="G117" s="125">
        <v>5.0000000000000001E-3</v>
      </c>
      <c r="H117" s="65">
        <v>1200</v>
      </c>
      <c r="I117" s="125"/>
      <c r="J117" s="134" t="s">
        <v>246</v>
      </c>
      <c r="K117" s="153"/>
      <c r="L117" s="153"/>
      <c r="M117" s="40">
        <v>20</v>
      </c>
      <c r="N117" s="153"/>
      <c r="O117" s="153"/>
      <c r="P117" s="153"/>
      <c r="Q117" s="35"/>
      <c r="R117" s="47" t="s">
        <v>280</v>
      </c>
      <c r="S117" s="47" t="s">
        <v>246</v>
      </c>
      <c r="T117" s="153" t="s">
        <v>34</v>
      </c>
      <c r="U117" s="153" t="s">
        <v>34</v>
      </c>
      <c r="V117" s="153" t="s">
        <v>34</v>
      </c>
      <c r="W117" s="126">
        <f>M117</f>
        <v>20</v>
      </c>
      <c r="X117" s="153" t="s">
        <v>34</v>
      </c>
      <c r="Y117" s="153" t="s">
        <v>34</v>
      </c>
      <c r="Z117" s="153" t="s">
        <v>34</v>
      </c>
      <c r="AA117" s="41"/>
      <c r="AB117" s="126">
        <f>AB116</f>
        <v>100</v>
      </c>
      <c r="AC117" s="43">
        <f>AC116</f>
        <v>1.5</v>
      </c>
      <c r="AD117" s="128">
        <f>AD116</f>
        <v>150</v>
      </c>
      <c r="AE117" s="128">
        <f>AB117 * (1 + D117) / (1 - G117)</f>
        <v>104.52261306532664</v>
      </c>
      <c r="AF117" s="129">
        <f>(B117 - AE117) / AE117</f>
        <v>-4.3269230769230817E-2</v>
      </c>
      <c r="AG117" s="43"/>
      <c r="AH117" s="126">
        <f>AH116</f>
        <v>100</v>
      </c>
      <c r="AI117" s="43">
        <f>AI116</f>
        <v>0.89999999999999991</v>
      </c>
      <c r="AJ117" s="128">
        <f>AJ116</f>
        <v>90</v>
      </c>
      <c r="AK117" s="128">
        <f>AH117 * (1 + E117) / (1 - G117)</f>
        <v>108.5427135678392</v>
      </c>
      <c r="AL117" s="129">
        <f>(B117 - AK117) / AK117</f>
        <v>-7.8703703703703748E-2</v>
      </c>
      <c r="AM117" s="35"/>
      <c r="AN117" s="126">
        <f>AN116</f>
        <v>100</v>
      </c>
      <c r="AO117" s="43">
        <f>AO116</f>
        <v>0.60000000000000009</v>
      </c>
      <c r="AP117" s="128">
        <f>AP116</f>
        <v>60</v>
      </c>
      <c r="AQ117" s="128">
        <f>AN117 * (1 + F117) / (1 - G117)</f>
        <v>116.58291457286431</v>
      </c>
      <c r="AR117" s="129">
        <f>(B117 - AQ117) / AQ117</f>
        <v>-0.14224137931034475</v>
      </c>
      <c r="AS117" s="35"/>
      <c r="AT117" s="39">
        <f>AW117+AV117+AU117</f>
        <v>3</v>
      </c>
      <c r="AU117" s="39">
        <f>AC117</f>
        <v>1.5</v>
      </c>
      <c r="AV117" s="39">
        <f>AI117</f>
        <v>0.89999999999999991</v>
      </c>
      <c r="AW117" s="39">
        <f>AO117</f>
        <v>0.60000000000000009</v>
      </c>
      <c r="AX117" s="201">
        <f>AX116</f>
        <v>300</v>
      </c>
      <c r="AY117" s="65">
        <f>AY116+W117</f>
        <v>20</v>
      </c>
      <c r="AZ117" s="126">
        <f>AT117*B117</f>
        <v>300</v>
      </c>
      <c r="BA117" s="202">
        <f>(AY117+AZ117-AX117)/AX117</f>
        <v>6.6666666666666666E-2</v>
      </c>
      <c r="BB117" s="65">
        <f>H117-AX117+AY117</f>
        <v>920</v>
      </c>
    </row>
    <row r="118" spans="1:54" ht="12.75" x14ac:dyDescent="0.2">
      <c r="A118" s="150" t="s">
        <v>85</v>
      </c>
      <c r="B118" s="52">
        <v>100</v>
      </c>
      <c r="C118" s="54">
        <v>0.02</v>
      </c>
      <c r="D118" s="124">
        <v>0.04</v>
      </c>
      <c r="E118" s="95">
        <v>0.08</v>
      </c>
      <c r="F118" s="95">
        <v>0.16</v>
      </c>
      <c r="G118" s="95">
        <v>5.0000000000000001E-3</v>
      </c>
      <c r="H118" s="63">
        <v>1200</v>
      </c>
      <c r="J118" s="45" t="s">
        <v>70</v>
      </c>
      <c r="L118" s="207"/>
      <c r="M118" s="207"/>
      <c r="N118" s="124"/>
      <c r="O118" s="95"/>
      <c r="P118" s="95"/>
      <c r="R118" s="45" t="s">
        <v>85</v>
      </c>
      <c r="S118" s="45" t="s">
        <v>70</v>
      </c>
      <c r="T118" s="152" t="s">
        <v>34</v>
      </c>
      <c r="U118" s="152" t="s">
        <v>34</v>
      </c>
      <c r="V118" s="152" t="s">
        <v>34</v>
      </c>
      <c r="W118" s="249">
        <v>2</v>
      </c>
      <c r="X118" s="152" t="s">
        <v>34</v>
      </c>
      <c r="Y118" s="152" t="s">
        <v>34</v>
      </c>
      <c r="Z118" s="152" t="s">
        <v>34</v>
      </c>
      <c r="AA118" s="248"/>
      <c r="AB118" s="122">
        <f>AB117/W118</f>
        <v>50</v>
      </c>
      <c r="AC118" s="30">
        <f>AC117*W118</f>
        <v>3</v>
      </c>
      <c r="AD118" s="123">
        <f>AD117</f>
        <v>150</v>
      </c>
      <c r="AE118" s="123">
        <f>AB118 * (1 + D118) / (1 - G118)</f>
        <v>52.261306532663319</v>
      </c>
      <c r="AF118" s="124">
        <f>(B118 - AE118) / AE118</f>
        <v>0.91346153846153832</v>
      </c>
      <c r="AG118" s="30"/>
      <c r="AH118" s="122">
        <f>AH117/W118</f>
        <v>50</v>
      </c>
      <c r="AI118" s="30">
        <f>AI117*W118</f>
        <v>1.7999999999999998</v>
      </c>
      <c r="AJ118" s="123">
        <f>AJ117</f>
        <v>90</v>
      </c>
      <c r="AK118" s="123">
        <f>AH118 * (1 + E118) / (1 - G118)</f>
        <v>54.2713567839196</v>
      </c>
      <c r="AL118" s="124">
        <f>(B118 - AK118) / AK118</f>
        <v>0.84259259259259256</v>
      </c>
      <c r="AN118" s="122">
        <f>AN117/W118</f>
        <v>50</v>
      </c>
      <c r="AO118" s="30">
        <f>AO117*W118</f>
        <v>1.2000000000000002</v>
      </c>
      <c r="AP118" s="123">
        <f>AP117</f>
        <v>60</v>
      </c>
      <c r="AQ118" s="123">
        <f>AN118 * (1 + F118) / (1 - G118)</f>
        <v>58.291457286432156</v>
      </c>
      <c r="AR118" s="124">
        <f>(B118 - AQ118) / AQ118</f>
        <v>0.7155172413793105</v>
      </c>
      <c r="AT118" s="32">
        <f>AW118+AV118+AU118</f>
        <v>6</v>
      </c>
      <c r="AU118" s="32">
        <f>AC118</f>
        <v>3</v>
      </c>
      <c r="AV118" s="32">
        <f>AI118</f>
        <v>1.7999999999999998</v>
      </c>
      <c r="AW118" s="32">
        <f>AO118</f>
        <v>1.2000000000000002</v>
      </c>
      <c r="AX118" s="196">
        <f>AX117</f>
        <v>300</v>
      </c>
      <c r="AY118" s="63">
        <f>AY117</f>
        <v>20</v>
      </c>
      <c r="AZ118" s="122">
        <f>AT118*B118</f>
        <v>600</v>
      </c>
      <c r="BA118" s="197">
        <f>(AY118+AZ118-AX118)/AX118</f>
        <v>1.0666666666666667</v>
      </c>
      <c r="BB118" s="63">
        <f>H118-AX118+AY118</f>
        <v>920</v>
      </c>
    </row>
    <row r="119" spans="1:54" ht="12.75" x14ac:dyDescent="0.2">
      <c r="A119" s="182" t="s">
        <v>248</v>
      </c>
      <c r="B119" s="40">
        <v>100</v>
      </c>
      <c r="C119" s="55">
        <v>0.02</v>
      </c>
      <c r="D119" s="129">
        <v>0.04</v>
      </c>
      <c r="E119" s="125">
        <v>0.08</v>
      </c>
      <c r="F119" s="125">
        <v>0.16</v>
      </c>
      <c r="G119" s="125">
        <v>5.0000000000000001E-3</v>
      </c>
      <c r="H119" s="65">
        <v>1200</v>
      </c>
      <c r="I119" s="125"/>
      <c r="J119" s="134" t="s">
        <v>249</v>
      </c>
      <c r="K119" s="153"/>
      <c r="L119" s="153"/>
      <c r="M119" s="40">
        <v>10</v>
      </c>
      <c r="N119" s="153"/>
      <c r="O119" s="153"/>
      <c r="P119" s="153"/>
      <c r="Q119" s="35"/>
      <c r="R119" s="47" t="s">
        <v>248</v>
      </c>
      <c r="S119" s="47" t="s">
        <v>246</v>
      </c>
      <c r="T119" s="153" t="s">
        <v>34</v>
      </c>
      <c r="U119" s="153" t="s">
        <v>34</v>
      </c>
      <c r="V119" s="153" t="s">
        <v>34</v>
      </c>
      <c r="W119" s="126">
        <f>M119</f>
        <v>10</v>
      </c>
      <c r="X119" s="153" t="s">
        <v>34</v>
      </c>
      <c r="Y119" s="153" t="s">
        <v>34</v>
      </c>
      <c r="Z119" s="153" t="s">
        <v>34</v>
      </c>
      <c r="AA119" s="41"/>
      <c r="AB119" s="126">
        <f>AB118</f>
        <v>50</v>
      </c>
      <c r="AC119" s="43">
        <f>AC118</f>
        <v>3</v>
      </c>
      <c r="AD119" s="128">
        <f>AD118</f>
        <v>150</v>
      </c>
      <c r="AE119" s="128">
        <f>AB119 * (1 + D119) / (1 - G119)</f>
        <v>52.261306532663319</v>
      </c>
      <c r="AF119" s="129">
        <f>(B119 - AE119) / AE119</f>
        <v>0.91346153846153832</v>
      </c>
      <c r="AG119" s="43"/>
      <c r="AH119" s="126">
        <f>AH118</f>
        <v>50</v>
      </c>
      <c r="AI119" s="43">
        <f>AI118</f>
        <v>1.7999999999999998</v>
      </c>
      <c r="AJ119" s="128">
        <f>AJ118</f>
        <v>90</v>
      </c>
      <c r="AK119" s="128">
        <f>AH119 * (1 + E119) / (1 - G119)</f>
        <v>54.2713567839196</v>
      </c>
      <c r="AL119" s="129">
        <f>(B119 - AK119) / AK119</f>
        <v>0.84259259259259256</v>
      </c>
      <c r="AM119" s="35"/>
      <c r="AN119" s="126">
        <f>AN118</f>
        <v>50</v>
      </c>
      <c r="AO119" s="43">
        <f>AO118</f>
        <v>1.2000000000000002</v>
      </c>
      <c r="AP119" s="128">
        <f>AP118</f>
        <v>60</v>
      </c>
      <c r="AQ119" s="128">
        <f>AN119 * (1 + F119) / (1 - G119)</f>
        <v>58.291457286432156</v>
      </c>
      <c r="AR119" s="129">
        <f>(B119 - AQ119) / AQ119</f>
        <v>0.7155172413793105</v>
      </c>
      <c r="AS119" s="35"/>
      <c r="AT119" s="39">
        <f>AW119+AV119+AU119</f>
        <v>6</v>
      </c>
      <c r="AU119" s="39">
        <f>AC119</f>
        <v>3</v>
      </c>
      <c r="AV119" s="39">
        <f>AI119</f>
        <v>1.7999999999999998</v>
      </c>
      <c r="AW119" s="39">
        <f>AO119</f>
        <v>1.2000000000000002</v>
      </c>
      <c r="AX119" s="201">
        <f>AX118</f>
        <v>300</v>
      </c>
      <c r="AY119" s="65">
        <f>AY118+W119</f>
        <v>30</v>
      </c>
      <c r="AZ119" s="126">
        <f>AT119*B119</f>
        <v>600</v>
      </c>
      <c r="BA119" s="202">
        <f>(AY119+AZ119-AX119)/AX119</f>
        <v>1.1000000000000001</v>
      </c>
      <c r="BB119" s="65">
        <f>H119-AX119+AY119</f>
        <v>930</v>
      </c>
    </row>
    <row r="120" spans="1:54" ht="12.75" x14ac:dyDescent="0.2">
      <c r="A120" s="150" t="s">
        <v>218</v>
      </c>
      <c r="B120" s="52">
        <v>100</v>
      </c>
      <c r="C120" s="62">
        <v>0.02</v>
      </c>
      <c r="D120" s="124">
        <v>0.04</v>
      </c>
      <c r="E120" s="95">
        <v>0.08</v>
      </c>
      <c r="F120" s="95">
        <v>0.16</v>
      </c>
      <c r="G120" s="95">
        <v>5.0000000000000001E-3</v>
      </c>
      <c r="H120" s="63">
        <v>1200</v>
      </c>
      <c r="I120" s="95"/>
      <c r="J120" s="133" t="s">
        <v>73</v>
      </c>
      <c r="K120" s="133" t="s">
        <v>219</v>
      </c>
      <c r="L120" s="52">
        <v>100</v>
      </c>
      <c r="M120" s="152" t="s">
        <v>34</v>
      </c>
      <c r="N120" s="124">
        <v>0.5</v>
      </c>
      <c r="O120" s="152" t="s">
        <v>34</v>
      </c>
      <c r="P120" s="152" t="s">
        <v>34</v>
      </c>
      <c r="R120" s="45" t="s">
        <v>218</v>
      </c>
      <c r="S120" s="45" t="s">
        <v>73</v>
      </c>
      <c r="T120" s="133" t="s">
        <v>219</v>
      </c>
      <c r="U120" s="122">
        <f>L120</f>
        <v>100</v>
      </c>
      <c r="V120" s="30">
        <f>N120*AC119</f>
        <v>1.5</v>
      </c>
      <c r="W120" s="122">
        <f>U120*V120-(U120*V120*G120)</f>
        <v>149.25</v>
      </c>
      <c r="X120" s="152" t="s">
        <v>34</v>
      </c>
      <c r="Y120" s="152">
        <f>W120-(AH118*V120)</f>
        <v>74.25</v>
      </c>
      <c r="Z120" s="161">
        <f>Y120/(AH118*V120)</f>
        <v>0.99</v>
      </c>
      <c r="AA120" s="12"/>
      <c r="AB120" s="122">
        <f>AB118</f>
        <v>50</v>
      </c>
      <c r="AC120" s="30">
        <f>AC119*N120</f>
        <v>1.5</v>
      </c>
      <c r="AD120" s="157">
        <f>AD119*N120</f>
        <v>75</v>
      </c>
      <c r="AE120" s="157">
        <f>AB120 * (1 + D120) / (1 - G120)</f>
        <v>52.261306532663319</v>
      </c>
      <c r="AF120" s="124">
        <f>(B120 - AE120) / AE120</f>
        <v>0.91346153846153832</v>
      </c>
      <c r="AG120" s="30"/>
      <c r="AH120" s="122">
        <f>AH119</f>
        <v>50</v>
      </c>
      <c r="AI120" s="30">
        <f>AI119</f>
        <v>1.7999999999999998</v>
      </c>
      <c r="AJ120" s="123">
        <f>AJ119</f>
        <v>90</v>
      </c>
      <c r="AK120" s="123">
        <f>AH120 * (1 + E120) / (1 - G120)</f>
        <v>54.2713567839196</v>
      </c>
      <c r="AL120" s="124">
        <f>(B120 - AK120) / AK120</f>
        <v>0.84259259259259256</v>
      </c>
      <c r="AN120" s="122">
        <f>AN118</f>
        <v>50</v>
      </c>
      <c r="AO120" s="30">
        <f>AO118</f>
        <v>1.2000000000000002</v>
      </c>
      <c r="AP120" s="157">
        <f>AP118</f>
        <v>60</v>
      </c>
      <c r="AQ120" s="157">
        <f>AN120 * (1 + F120) / (1 - G120)</f>
        <v>58.291457286432156</v>
      </c>
      <c r="AR120" s="124">
        <f>(B120 - AQ120) / AQ120</f>
        <v>0.7155172413793105</v>
      </c>
      <c r="AT120" s="32">
        <f>AW120+AV120+AU120</f>
        <v>4.5</v>
      </c>
      <c r="AU120" s="32">
        <f>AC120+AC121</f>
        <v>1.5</v>
      </c>
      <c r="AV120" s="32">
        <f>AI120+AI121</f>
        <v>1.7999999999999998</v>
      </c>
      <c r="AW120" s="32">
        <f>AO120</f>
        <v>1.2000000000000002</v>
      </c>
      <c r="AX120" s="196">
        <f>AX118</f>
        <v>300</v>
      </c>
      <c r="AY120" s="63">
        <f>AY119+W120</f>
        <v>179.25</v>
      </c>
      <c r="AZ120" s="122">
        <f>AT120*B120</f>
        <v>450</v>
      </c>
      <c r="BA120" s="206">
        <f>(AY120+AZ120-AX120)/AX120</f>
        <v>1.0974999999999999</v>
      </c>
      <c r="BB120" s="63">
        <f>H120-AX120+AY120</f>
        <v>1079.25</v>
      </c>
    </row>
    <row r="121" spans="1:54" ht="12.75" x14ac:dyDescent="0.2">
      <c r="A121" s="150"/>
      <c r="B121" s="33"/>
      <c r="C121" s="67"/>
      <c r="D121" s="124"/>
      <c r="E121" s="95"/>
      <c r="F121" s="95"/>
      <c r="G121" s="95"/>
      <c r="H121" s="95"/>
      <c r="L121" s="207"/>
      <c r="M121" s="207"/>
      <c r="N121" s="124"/>
      <c r="O121" s="95"/>
      <c r="P121" s="95"/>
      <c r="R121" s="45"/>
      <c r="S121" s="45"/>
      <c r="T121" s="131"/>
      <c r="U121" s="122"/>
      <c r="V121" s="30"/>
      <c r="W121" s="122"/>
      <c r="X121" s="122"/>
      <c r="Y121" s="152"/>
      <c r="Z121" s="152"/>
      <c r="AA121" s="12"/>
      <c r="AB121" s="139"/>
      <c r="AC121" s="139"/>
      <c r="AD121" s="139"/>
      <c r="AE121" s="139"/>
      <c r="AF121" s="140"/>
      <c r="AG121" s="140"/>
      <c r="AH121" s="139"/>
      <c r="AI121" s="139"/>
      <c r="AJ121" s="139"/>
      <c r="AK121" s="139"/>
      <c r="AL121" s="140"/>
      <c r="AN121" s="139"/>
      <c r="AO121" s="139"/>
      <c r="AP121" s="139"/>
      <c r="AQ121" s="139"/>
      <c r="AR121" s="140"/>
    </row>
    <row r="122" spans="1:54" ht="12.75" x14ac:dyDescent="0.2">
      <c r="A122" s="150"/>
      <c r="B122" s="33"/>
      <c r="C122" s="67"/>
      <c r="D122" s="124"/>
      <c r="E122" s="95"/>
      <c r="F122" s="95"/>
      <c r="G122" s="95"/>
      <c r="H122" s="95"/>
      <c r="L122" s="207"/>
      <c r="M122" s="207"/>
      <c r="N122" s="124"/>
      <c r="O122" s="95"/>
      <c r="P122" s="95"/>
      <c r="R122" s="45"/>
      <c r="S122" s="45"/>
      <c r="T122" s="131"/>
      <c r="U122" s="122"/>
      <c r="V122" s="30"/>
      <c r="W122" s="122"/>
      <c r="X122" s="122"/>
      <c r="Y122" s="152"/>
      <c r="Z122" s="152"/>
      <c r="AA122" s="12"/>
      <c r="AB122" s="139"/>
      <c r="AC122" s="139"/>
      <c r="AD122" s="139"/>
      <c r="AE122" s="139"/>
      <c r="AF122" s="140"/>
      <c r="AG122" s="140"/>
      <c r="AH122" s="139"/>
      <c r="AI122" s="139"/>
      <c r="AJ122" s="139"/>
      <c r="AK122" s="139"/>
      <c r="AL122" s="140"/>
      <c r="AN122" s="139"/>
      <c r="AO122" s="139"/>
      <c r="AP122" s="139"/>
      <c r="AQ122" s="139"/>
      <c r="AR122" s="140"/>
    </row>
    <row r="123" spans="1:54" ht="12.75" x14ac:dyDescent="0.2">
      <c r="A123" s="150"/>
      <c r="B123" s="33"/>
      <c r="C123" s="67"/>
      <c r="D123" s="124"/>
      <c r="E123" s="95"/>
      <c r="F123" s="95"/>
      <c r="G123" s="95"/>
      <c r="H123" s="95"/>
      <c r="L123" s="207"/>
      <c r="M123" s="207"/>
      <c r="N123" s="124"/>
      <c r="O123" s="95"/>
      <c r="P123" s="95"/>
      <c r="R123" s="45"/>
      <c r="S123" s="45"/>
      <c r="T123" s="131"/>
      <c r="U123" s="122"/>
      <c r="V123" s="30"/>
      <c r="W123" s="122"/>
      <c r="X123" s="122"/>
      <c r="Y123" s="152"/>
      <c r="Z123" s="152"/>
      <c r="AA123" s="12"/>
      <c r="AB123" s="139"/>
      <c r="AC123" s="139"/>
      <c r="AD123" s="139"/>
      <c r="AE123" s="139"/>
      <c r="AF123" s="140"/>
      <c r="AG123" s="140"/>
      <c r="AH123" s="139"/>
      <c r="AI123" s="139"/>
      <c r="AJ123" s="139"/>
      <c r="AK123" s="139"/>
      <c r="AL123" s="140"/>
      <c r="AN123" s="139"/>
      <c r="AO123" s="139"/>
      <c r="AP123" s="139"/>
      <c r="AQ123" s="139"/>
      <c r="AR123" s="140"/>
    </row>
    <row r="124" spans="1:54" ht="12.75" x14ac:dyDescent="0.2">
      <c r="A124" s="150"/>
      <c r="B124" s="33"/>
      <c r="C124" s="67"/>
      <c r="D124" s="124"/>
      <c r="E124" s="95"/>
      <c r="F124" s="95"/>
      <c r="G124" s="95"/>
      <c r="H124" s="95"/>
      <c r="L124" s="207"/>
      <c r="M124" s="207"/>
      <c r="N124" s="124"/>
      <c r="O124" s="95"/>
      <c r="P124" s="95"/>
      <c r="R124" s="45"/>
      <c r="S124" s="45"/>
      <c r="T124" s="131"/>
      <c r="U124" s="122"/>
      <c r="V124" s="30"/>
      <c r="W124" s="122"/>
      <c r="X124" s="122"/>
      <c r="Y124" s="152"/>
      <c r="Z124" s="152"/>
      <c r="AA124" s="12"/>
      <c r="AB124" s="139"/>
      <c r="AC124" s="139"/>
      <c r="AD124" s="139"/>
      <c r="AE124" s="139"/>
      <c r="AF124" s="140"/>
      <c r="AG124" s="140"/>
      <c r="AH124" s="139"/>
      <c r="AI124" s="139"/>
      <c r="AJ124" s="139"/>
      <c r="AK124" s="139"/>
      <c r="AL124" s="140"/>
      <c r="AN124" s="139"/>
      <c r="AO124" s="139"/>
      <c r="AP124" s="139"/>
      <c r="AQ124" s="139"/>
      <c r="AR124" s="140"/>
    </row>
    <row r="125" spans="1:54" ht="12.75" x14ac:dyDescent="0.2">
      <c r="A125" s="150"/>
      <c r="B125" s="33"/>
      <c r="C125" s="67"/>
      <c r="D125" s="124"/>
      <c r="E125" s="95"/>
      <c r="F125" s="95"/>
      <c r="G125" s="95"/>
      <c r="H125" s="95"/>
      <c r="L125" s="207"/>
      <c r="M125" s="207"/>
      <c r="N125" s="124"/>
      <c r="O125" s="95"/>
      <c r="P125" s="95"/>
      <c r="R125" s="45"/>
      <c r="S125" s="45"/>
      <c r="T125" s="131"/>
      <c r="U125" s="122"/>
      <c r="V125" s="30"/>
      <c r="W125" s="122"/>
      <c r="X125" s="122"/>
      <c r="Y125" s="152"/>
      <c r="Z125" s="152"/>
      <c r="AA125" s="12"/>
      <c r="AB125" s="139"/>
      <c r="AC125" s="139"/>
      <c r="AD125" s="139"/>
      <c r="AE125" s="139"/>
      <c r="AF125" s="140"/>
      <c r="AG125" s="140"/>
      <c r="AH125" s="139"/>
      <c r="AI125" s="139"/>
      <c r="AJ125" s="139"/>
      <c r="AK125" s="139"/>
      <c r="AL125" s="140"/>
      <c r="AN125" s="139"/>
      <c r="AO125" s="139"/>
      <c r="AP125" s="139"/>
      <c r="AQ125" s="139"/>
      <c r="AR125" s="140"/>
    </row>
    <row r="126" spans="1:54" ht="12.75" x14ac:dyDescent="0.2">
      <c r="A126" s="150"/>
      <c r="B126" s="33"/>
      <c r="C126" s="67"/>
      <c r="D126" s="124"/>
      <c r="E126" s="95"/>
      <c r="F126" s="95"/>
      <c r="G126" s="95"/>
      <c r="H126" s="95"/>
      <c r="L126" s="207"/>
      <c r="M126" s="207"/>
      <c r="N126" s="124"/>
      <c r="O126" s="95"/>
      <c r="P126" s="95"/>
      <c r="R126" s="45"/>
      <c r="S126" s="45"/>
      <c r="T126" s="131"/>
      <c r="U126" s="122"/>
      <c r="V126" s="30"/>
      <c r="W126" s="122"/>
      <c r="X126" s="122"/>
      <c r="Y126" s="152"/>
      <c r="Z126" s="152"/>
      <c r="AA126" s="12"/>
      <c r="AB126" s="139"/>
      <c r="AC126" s="139"/>
      <c r="AD126" s="139"/>
      <c r="AE126" s="139"/>
      <c r="AF126" s="140"/>
      <c r="AG126" s="140"/>
      <c r="AH126" s="139"/>
      <c r="AI126" s="139"/>
      <c r="AJ126" s="139"/>
      <c r="AK126" s="139"/>
      <c r="AL126" s="140"/>
      <c r="AN126" s="139"/>
      <c r="AO126" s="139"/>
      <c r="AP126" s="139"/>
      <c r="AQ126" s="139"/>
      <c r="AR126" s="140"/>
    </row>
    <row r="127" spans="1:54" ht="12.75" x14ac:dyDescent="0.2">
      <c r="A127" s="150"/>
      <c r="B127" s="33"/>
      <c r="C127" s="67"/>
      <c r="D127" s="124"/>
      <c r="E127" s="95"/>
      <c r="F127" s="95"/>
      <c r="G127" s="95"/>
      <c r="H127" s="95"/>
      <c r="L127" s="207"/>
      <c r="M127" s="207"/>
      <c r="N127" s="124"/>
      <c r="O127" s="95"/>
      <c r="P127" s="95"/>
      <c r="R127" s="45"/>
      <c r="S127" s="45"/>
      <c r="T127" s="131"/>
      <c r="U127" s="122"/>
      <c r="V127" s="30"/>
      <c r="W127" s="122"/>
      <c r="X127" s="122"/>
      <c r="Y127" s="152"/>
      <c r="Z127" s="152"/>
      <c r="AA127" s="12"/>
      <c r="AB127" s="139"/>
      <c r="AC127" s="139"/>
      <c r="AD127" s="139"/>
      <c r="AE127" s="139"/>
      <c r="AF127" s="140"/>
      <c r="AG127" s="140"/>
      <c r="AH127" s="139"/>
      <c r="AI127" s="139"/>
      <c r="AJ127" s="139"/>
      <c r="AK127" s="139"/>
      <c r="AL127" s="140"/>
      <c r="AN127" s="139"/>
      <c r="AO127" s="139"/>
      <c r="AP127" s="139"/>
      <c r="AQ127" s="139"/>
      <c r="AR127" s="140"/>
    </row>
    <row r="128" spans="1:54" ht="12.75" x14ac:dyDescent="0.2">
      <c r="A128" s="150"/>
      <c r="B128" s="33"/>
      <c r="C128" s="67"/>
      <c r="D128" s="124"/>
      <c r="E128" s="95"/>
      <c r="F128" s="95"/>
      <c r="G128" s="95"/>
      <c r="H128" s="95"/>
      <c r="L128" s="207"/>
      <c r="M128" s="207"/>
      <c r="N128" s="124"/>
      <c r="O128" s="95"/>
      <c r="P128" s="95"/>
      <c r="R128" s="45"/>
      <c r="S128" s="45"/>
      <c r="T128" s="131"/>
      <c r="U128" s="122"/>
      <c r="V128" s="30"/>
      <c r="W128" s="122"/>
      <c r="X128" s="122"/>
      <c r="Y128" s="152"/>
      <c r="Z128" s="152"/>
      <c r="AA128" s="12"/>
      <c r="AB128" s="139"/>
      <c r="AC128" s="139"/>
      <c r="AD128" s="139"/>
      <c r="AE128" s="139"/>
      <c r="AF128" s="140"/>
      <c r="AG128" s="140"/>
      <c r="AH128" s="139"/>
      <c r="AI128" s="139"/>
      <c r="AJ128" s="139"/>
      <c r="AK128" s="139"/>
      <c r="AL128" s="140"/>
      <c r="AN128" s="139"/>
      <c r="AO128" s="139"/>
      <c r="AP128" s="139"/>
      <c r="AQ128" s="139"/>
      <c r="AR128" s="140"/>
    </row>
    <row r="129" spans="1:63" ht="12.75" x14ac:dyDescent="0.2">
      <c r="A129" s="150" t="s">
        <v>266</v>
      </c>
      <c r="B129" s="33"/>
      <c r="C129" s="67"/>
      <c r="D129" s="124"/>
      <c r="E129" s="95"/>
      <c r="F129" s="95"/>
      <c r="G129" s="95"/>
      <c r="H129" s="95"/>
      <c r="L129" s="207"/>
      <c r="M129" s="207"/>
      <c r="N129" s="124"/>
      <c r="O129" s="95"/>
      <c r="P129" s="95"/>
      <c r="R129" s="45"/>
      <c r="S129" s="45"/>
      <c r="T129" s="131"/>
      <c r="U129" s="122"/>
      <c r="V129" s="30"/>
      <c r="W129" s="122"/>
      <c r="X129" s="122"/>
      <c r="Y129" s="152"/>
      <c r="Z129" s="152"/>
      <c r="AA129" s="12"/>
      <c r="AB129" s="139"/>
      <c r="AC129" s="139"/>
      <c r="AD129" s="139"/>
      <c r="AE129" s="139"/>
      <c r="AF129" s="140"/>
      <c r="AG129" s="140"/>
      <c r="AH129" s="139"/>
      <c r="AI129" s="139"/>
      <c r="AJ129" s="139"/>
      <c r="AK129" s="139"/>
      <c r="AL129" s="140"/>
      <c r="AN129" s="139"/>
      <c r="AO129" s="139"/>
      <c r="AP129" s="139"/>
      <c r="AQ129" s="139"/>
      <c r="AR129" s="140"/>
    </row>
    <row r="130" spans="1:63" ht="25.5" x14ac:dyDescent="0.2">
      <c r="A130" s="150" t="s">
        <v>240</v>
      </c>
      <c r="B130" s="33"/>
      <c r="C130" s="67"/>
      <c r="D130" s="124"/>
      <c r="E130" s="95"/>
      <c r="F130" s="95"/>
      <c r="G130" s="95"/>
      <c r="H130" s="95"/>
      <c r="L130" s="93"/>
      <c r="M130" s="93"/>
      <c r="N130" s="124"/>
      <c r="O130" s="95"/>
      <c r="P130" s="95"/>
      <c r="R130" s="12"/>
      <c r="S130" s="12"/>
      <c r="T130" s="12"/>
      <c r="U130" s="137"/>
      <c r="V130" s="138"/>
      <c r="W130" s="137"/>
      <c r="X130" s="137"/>
      <c r="Y130" s="12"/>
      <c r="Z130" s="12"/>
      <c r="AA130" s="12"/>
      <c r="AB130" s="139"/>
      <c r="AC130" s="139"/>
      <c r="AD130" s="139"/>
      <c r="AE130" s="139"/>
      <c r="AF130" s="140"/>
      <c r="AG130" s="140"/>
      <c r="AH130" s="139"/>
      <c r="AI130" s="139"/>
      <c r="AJ130" s="139"/>
      <c r="AK130" s="139"/>
      <c r="AL130" s="140"/>
      <c r="AN130" s="139"/>
      <c r="AO130" s="139"/>
      <c r="AP130" s="139"/>
      <c r="AQ130" s="139"/>
      <c r="AR130" s="140"/>
    </row>
    <row r="131" spans="1:63" ht="12.75" x14ac:dyDescent="0.2">
      <c r="A131" s="45" t="s">
        <v>234</v>
      </c>
      <c r="B131" s="33"/>
      <c r="C131" s="67"/>
      <c r="D131" s="124"/>
      <c r="E131" s="95"/>
      <c r="F131" s="95"/>
      <c r="G131" s="95"/>
      <c r="H131" s="95"/>
      <c r="L131" s="33"/>
      <c r="M131" s="33"/>
      <c r="N131" s="124"/>
      <c r="O131" s="95"/>
      <c r="P131" s="95"/>
      <c r="R131" s="12"/>
      <c r="S131" s="12"/>
      <c r="T131" s="12"/>
      <c r="U131" s="137"/>
      <c r="V131" s="138"/>
      <c r="W131" s="137"/>
      <c r="X131" s="137"/>
      <c r="Y131" s="12"/>
      <c r="Z131" s="12"/>
      <c r="AA131" s="12"/>
      <c r="AB131" s="139"/>
      <c r="AC131" s="139"/>
      <c r="AD131" s="139"/>
      <c r="AE131" s="139"/>
      <c r="AF131" s="140"/>
      <c r="AG131" s="140"/>
      <c r="AH131" s="139"/>
      <c r="AI131" s="139"/>
      <c r="AJ131" s="139"/>
      <c r="AK131" s="139"/>
      <c r="AL131" s="140"/>
      <c r="AN131" s="139"/>
      <c r="AO131" s="139"/>
      <c r="AP131" s="139"/>
      <c r="AQ131" s="139"/>
      <c r="AR131" s="140"/>
    </row>
    <row r="132" spans="1:63" ht="12.75" x14ac:dyDescent="0.2">
      <c r="A132" s="45" t="s">
        <v>235</v>
      </c>
      <c r="R132" s="12"/>
      <c r="S132" s="12"/>
      <c r="T132" s="12"/>
      <c r="U132" s="12"/>
      <c r="V132" s="12"/>
      <c r="W132" s="12"/>
      <c r="X132" s="12"/>
      <c r="Y132" s="12"/>
      <c r="Z132" s="12"/>
      <c r="AA132" s="12"/>
      <c r="AB132" s="13"/>
      <c r="AC132" s="13"/>
      <c r="AD132" s="13"/>
      <c r="AE132" s="13"/>
      <c r="AF132" s="30"/>
      <c r="AG132" s="30"/>
      <c r="AH132" s="13"/>
      <c r="AI132" s="13"/>
      <c r="AJ132" s="13"/>
      <c r="AK132" s="13"/>
      <c r="AL132" s="30"/>
      <c r="AN132" s="13"/>
      <c r="AO132" s="13"/>
      <c r="AP132" s="13"/>
      <c r="AQ132" s="13"/>
      <c r="AR132" s="30"/>
    </row>
    <row r="133" spans="1:63" ht="12.75" x14ac:dyDescent="0.2">
      <c r="A133" s="45"/>
      <c r="R133" s="12"/>
      <c r="S133" s="12"/>
      <c r="T133" s="12"/>
      <c r="U133" s="12"/>
      <c r="V133" s="12"/>
      <c r="W133" s="12"/>
      <c r="X133" s="12"/>
      <c r="Y133" s="12"/>
      <c r="Z133" s="12"/>
      <c r="AA133" s="12"/>
      <c r="AB133" s="13"/>
      <c r="AC133" s="13"/>
      <c r="AD133" s="13"/>
      <c r="AE133" s="13"/>
      <c r="AF133" s="30"/>
      <c r="AG133" s="30"/>
      <c r="AH133" s="13"/>
      <c r="AI133" s="13"/>
      <c r="AJ133" s="13"/>
      <c r="AK133" s="13"/>
      <c r="AL133" s="30"/>
      <c r="AN133" s="13"/>
      <c r="AO133" s="13"/>
      <c r="AP133" s="13"/>
      <c r="AQ133" s="13"/>
      <c r="AR133" s="30"/>
    </row>
    <row r="134" spans="1:63" ht="15.75" customHeight="1" x14ac:dyDescent="0.2">
      <c r="A134" s="45" t="s">
        <v>239</v>
      </c>
    </row>
    <row r="135" spans="1:63" ht="15.75" customHeight="1" x14ac:dyDescent="0.2">
      <c r="B135" s="178" t="s">
        <v>31</v>
      </c>
      <c r="C135" s="34"/>
      <c r="AB135" s="56" t="s">
        <v>27</v>
      </c>
      <c r="AC135" s="12"/>
      <c r="AD135" s="12"/>
      <c r="AE135" s="12"/>
      <c r="AF135" s="12"/>
      <c r="AG135" s="12"/>
      <c r="AH135" s="56" t="s">
        <v>28</v>
      </c>
      <c r="AI135" s="12"/>
      <c r="AJ135" s="12"/>
      <c r="AK135" s="12"/>
      <c r="AL135" s="12"/>
      <c r="AR135" s="34" t="s">
        <v>52</v>
      </c>
      <c r="AX135" s="34" t="s">
        <v>53</v>
      </c>
      <c r="BE135" s="34" t="s">
        <v>65</v>
      </c>
    </row>
    <row r="136" spans="1:63" ht="15.75" customHeight="1" x14ac:dyDescent="0.2">
      <c r="B136" s="28" t="s">
        <v>61</v>
      </c>
      <c r="C136" s="28"/>
      <c r="D136" s="28" t="s">
        <v>29</v>
      </c>
      <c r="E136" s="57" t="s">
        <v>63</v>
      </c>
      <c r="F136" s="57" t="s">
        <v>72</v>
      </c>
      <c r="G136" s="57"/>
      <c r="H136" s="57"/>
      <c r="I136" s="101"/>
      <c r="J136" s="101"/>
      <c r="K136" s="101"/>
      <c r="L136" s="101"/>
      <c r="M136" s="101"/>
      <c r="N136" s="101"/>
      <c r="O136" s="101"/>
      <c r="P136" s="101"/>
      <c r="R136" s="28" t="s">
        <v>3</v>
      </c>
      <c r="S136" s="28"/>
      <c r="T136" s="57" t="s">
        <v>50</v>
      </c>
      <c r="U136" s="57" t="s">
        <v>70</v>
      </c>
      <c r="V136" s="28" t="s">
        <v>1</v>
      </c>
      <c r="W136" s="57" t="s">
        <v>62</v>
      </c>
      <c r="X136" s="57" t="s">
        <v>9</v>
      </c>
      <c r="Y136" s="57"/>
      <c r="AB136" s="28" t="s">
        <v>30</v>
      </c>
      <c r="AC136" s="28" t="s">
        <v>1</v>
      </c>
      <c r="AD136" s="57" t="s">
        <v>10</v>
      </c>
      <c r="AE136" s="57"/>
      <c r="AF136" s="57" t="s">
        <v>64</v>
      </c>
      <c r="AG136" s="60"/>
      <c r="AH136" s="28" t="s">
        <v>30</v>
      </c>
      <c r="AI136" s="28" t="s">
        <v>1</v>
      </c>
      <c r="AJ136" s="57" t="s">
        <v>10</v>
      </c>
      <c r="AK136" s="57"/>
      <c r="AL136" s="57" t="s">
        <v>64</v>
      </c>
      <c r="AM136" s="28" t="s">
        <v>58</v>
      </c>
      <c r="AN136" s="28"/>
      <c r="AO136" s="28" t="s">
        <v>59</v>
      </c>
      <c r="AP136" s="28" t="s">
        <v>60</v>
      </c>
      <c r="AR136" s="61" t="s">
        <v>54</v>
      </c>
      <c r="AS136" s="61" t="s">
        <v>57</v>
      </c>
      <c r="AT136" s="61" t="s">
        <v>55</v>
      </c>
      <c r="AU136" s="61" t="s">
        <v>57</v>
      </c>
      <c r="AV136" s="61" t="s">
        <v>56</v>
      </c>
      <c r="AW136" s="61" t="s">
        <v>57</v>
      </c>
      <c r="AX136" s="28" t="s">
        <v>54</v>
      </c>
      <c r="AY136" s="28" t="s">
        <v>57</v>
      </c>
      <c r="AZ136" s="28" t="s">
        <v>55</v>
      </c>
      <c r="BA136" s="28" t="s">
        <v>57</v>
      </c>
      <c r="BB136" s="28" t="s">
        <v>56</v>
      </c>
      <c r="BC136" s="28" t="s">
        <v>57</v>
      </c>
      <c r="BD136" s="60"/>
      <c r="BE136" s="61" t="s">
        <v>54</v>
      </c>
      <c r="BF136" s="61" t="s">
        <v>57</v>
      </c>
      <c r="BG136" s="61" t="s">
        <v>55</v>
      </c>
      <c r="BH136" s="61" t="s">
        <v>57</v>
      </c>
      <c r="BI136" s="61" t="s">
        <v>66</v>
      </c>
      <c r="BJ136" s="61" t="s">
        <v>56</v>
      </c>
      <c r="BK136" s="61" t="s">
        <v>57</v>
      </c>
    </row>
    <row r="137" spans="1:63" ht="15.75" customHeight="1" x14ac:dyDescent="0.2">
      <c r="B137" s="33">
        <v>100</v>
      </c>
      <c r="C137" s="33"/>
      <c r="D137" s="29">
        <v>0.7</v>
      </c>
      <c r="E137" s="50">
        <v>5</v>
      </c>
      <c r="F137">
        <v>10</v>
      </c>
      <c r="R137" s="12" t="s">
        <v>32</v>
      </c>
      <c r="S137" s="12"/>
      <c r="T137" s="13"/>
      <c r="U137" s="13"/>
      <c r="V137" s="13">
        <v>200</v>
      </c>
      <c r="W137" s="58" t="e">
        <f>V137/#REF!</f>
        <v>#REF!</v>
      </c>
      <c r="X137" s="58"/>
      <c r="Y137" s="58"/>
      <c r="AB137" s="31" t="e">
        <f>#REF!</f>
        <v>#REF!</v>
      </c>
      <c r="AC137" s="31">
        <f>V137*D137</f>
        <v>140</v>
      </c>
      <c r="AD137" s="63" t="e">
        <f>(#REF!+(#REF!*(F137/100)))/(1-#REF!/100)</f>
        <v>#REF!</v>
      </c>
      <c r="AE137" s="63"/>
      <c r="AF137" s="32" t="e">
        <f>AC137/AB137</f>
        <v>#REF!</v>
      </c>
      <c r="AG137" s="32"/>
      <c r="AH137" s="31" t="e">
        <f>#REF!</f>
        <v>#REF!</v>
      </c>
      <c r="AI137" s="31">
        <f>V137*(1-D137)</f>
        <v>60.000000000000007</v>
      </c>
      <c r="AJ137" s="63" t="e">
        <f>(#REF!+(#REF!*(F137/100)))/(1-#REF!/100)</f>
        <v>#REF!</v>
      </c>
      <c r="AK137" s="63"/>
      <c r="AL137" s="32" t="e">
        <f>AI137/AH137</f>
        <v>#REF!</v>
      </c>
      <c r="AM137" s="32" t="e">
        <f>AF137</f>
        <v>#REF!</v>
      </c>
      <c r="AN137" s="32"/>
      <c r="AO137" s="32" t="e">
        <f>AL137</f>
        <v>#REF!</v>
      </c>
      <c r="AP137" s="32" t="e">
        <f>AM137+AO137</f>
        <v>#REF!</v>
      </c>
      <c r="AR137" s="52">
        <v>0</v>
      </c>
      <c r="AS137" s="50">
        <v>0</v>
      </c>
      <c r="AT137" s="52">
        <v>0</v>
      </c>
      <c r="AU137" s="50">
        <v>0</v>
      </c>
      <c r="AV137" s="52">
        <v>0</v>
      </c>
      <c r="AW137" s="54">
        <v>0</v>
      </c>
      <c r="AX137" s="52">
        <v>0</v>
      </c>
      <c r="AY137" s="50">
        <v>0</v>
      </c>
      <c r="AZ137" s="52">
        <v>0</v>
      </c>
      <c r="BA137" s="50">
        <v>0</v>
      </c>
      <c r="BB137" s="52">
        <v>0</v>
      </c>
      <c r="BC137" s="50">
        <v>0</v>
      </c>
      <c r="BD137" s="50"/>
      <c r="BE137" s="52">
        <v>0</v>
      </c>
      <c r="BF137" s="50">
        <v>0</v>
      </c>
      <c r="BG137" s="52">
        <v>0</v>
      </c>
      <c r="BH137" s="50">
        <v>0</v>
      </c>
      <c r="BI137" s="52">
        <v>0</v>
      </c>
      <c r="BJ137" s="52">
        <v>0</v>
      </c>
      <c r="BK137" s="50">
        <v>0</v>
      </c>
    </row>
    <row r="138" spans="1:63" ht="15.75" customHeight="1" x14ac:dyDescent="0.2">
      <c r="B138" s="36">
        <v>100</v>
      </c>
      <c r="C138" s="36"/>
      <c r="D138" s="37">
        <v>0.7</v>
      </c>
      <c r="E138" s="51">
        <v>5</v>
      </c>
      <c r="F138" s="35">
        <v>10</v>
      </c>
      <c r="G138" s="35"/>
      <c r="H138" s="35"/>
      <c r="R138" s="41" t="s">
        <v>51</v>
      </c>
      <c r="S138" s="41"/>
      <c r="T138" s="42">
        <v>20</v>
      </c>
      <c r="U138" s="42"/>
      <c r="V138" s="42"/>
      <c r="W138" s="59"/>
      <c r="X138" s="59"/>
      <c r="Y138" s="59"/>
      <c r="AB138" s="38"/>
      <c r="AC138" s="38"/>
      <c r="AD138" s="65"/>
      <c r="AE138" s="65"/>
      <c r="AF138" s="39"/>
      <c r="AG138" s="32"/>
      <c r="AH138" s="38"/>
      <c r="AI138" s="38"/>
      <c r="AJ138" s="38"/>
      <c r="AK138" s="38"/>
      <c r="AL138" s="39"/>
      <c r="AM138" s="39" t="e">
        <f t="shared" ref="AM138:AP138" si="14">AM137</f>
        <v>#REF!</v>
      </c>
      <c r="AN138" s="39"/>
      <c r="AO138" s="39" t="e">
        <f t="shared" si="14"/>
        <v>#REF!</v>
      </c>
      <c r="AP138" s="39" t="e">
        <f t="shared" si="14"/>
        <v>#REF!</v>
      </c>
      <c r="AR138" s="40">
        <f>AR137</f>
        <v>0</v>
      </c>
      <c r="AS138" s="51">
        <f t="shared" ref="AS138:AU138" si="15">AS137</f>
        <v>0</v>
      </c>
      <c r="AT138" s="40">
        <f t="shared" si="15"/>
        <v>0</v>
      </c>
      <c r="AU138" s="51">
        <f t="shared" si="15"/>
        <v>0</v>
      </c>
      <c r="AV138" s="40">
        <f>AV137</f>
        <v>0</v>
      </c>
      <c r="AW138" s="55">
        <f>AV138/V137</f>
        <v>0</v>
      </c>
      <c r="AX138" s="40">
        <f>AX137</f>
        <v>0</v>
      </c>
      <c r="AY138" s="51">
        <f t="shared" ref="AY138" si="16">AY137</f>
        <v>0</v>
      </c>
      <c r="AZ138" s="40">
        <f t="shared" ref="AZ138" si="17">AZ137</f>
        <v>0</v>
      </c>
      <c r="BA138" s="51">
        <f t="shared" ref="BA138" si="18">BA137</f>
        <v>0</v>
      </c>
      <c r="BB138" s="40">
        <f>BB137</f>
        <v>0</v>
      </c>
      <c r="BC138" s="51">
        <f t="shared" ref="BC138" si="19">BC137</f>
        <v>0</v>
      </c>
      <c r="BD138" s="50"/>
      <c r="BE138" s="40">
        <f>AR138+AX138</f>
        <v>0</v>
      </c>
      <c r="BF138" s="51">
        <f t="shared" ref="BF138" si="20">BF137</f>
        <v>0</v>
      </c>
      <c r="BG138" s="40">
        <f t="shared" ref="BG138" si="21">BG137</f>
        <v>0</v>
      </c>
      <c r="BH138" s="51">
        <f t="shared" ref="BH138" si="22">BH137</f>
        <v>0</v>
      </c>
      <c r="BI138" s="65">
        <f>T138</f>
        <v>20</v>
      </c>
      <c r="BJ138" s="65">
        <f>BE138+BG138+BI138</f>
        <v>20</v>
      </c>
      <c r="BK138" s="55">
        <f>BJ138/(AC137+AI137)</f>
        <v>0.1</v>
      </c>
    </row>
    <row r="139" spans="1:63" ht="15.75" customHeight="1" x14ac:dyDescent="0.2">
      <c r="B139" s="33">
        <v>300</v>
      </c>
      <c r="C139" s="33"/>
      <c r="D139" s="29">
        <v>0.7</v>
      </c>
      <c r="E139" s="50">
        <v>5</v>
      </c>
      <c r="F139">
        <v>10</v>
      </c>
      <c r="R139" t="s">
        <v>33</v>
      </c>
      <c r="T139" s="33"/>
      <c r="U139" s="33"/>
      <c r="V139" s="33">
        <v>400</v>
      </c>
      <c r="W139" s="50" t="e">
        <f>V139/#REF!</f>
        <v>#REF!</v>
      </c>
      <c r="X139" s="50"/>
      <c r="Y139" s="50"/>
      <c r="AB139" s="31" t="e">
        <f>AB137</f>
        <v>#REF!</v>
      </c>
      <c r="AC139" s="31">
        <v>140</v>
      </c>
      <c r="AD139" s="63" t="e">
        <f>(#REF!+(#REF!*(F137/100)))/(1-#REF!/100)</f>
        <v>#REF!</v>
      </c>
      <c r="AE139" s="63"/>
      <c r="AF139" s="32">
        <v>1.4</v>
      </c>
      <c r="AG139" s="32"/>
      <c r="AH139" s="31">
        <v>100</v>
      </c>
      <c r="AI139" s="31">
        <v>60.000000000000007</v>
      </c>
      <c r="AJ139" s="63" t="e">
        <f>(#REF!+(#REF!*(F137/100)))/(1-#REF!/100)</f>
        <v>#REF!</v>
      </c>
      <c r="AK139" s="63"/>
      <c r="AL139" s="32">
        <v>0.60000000000000009</v>
      </c>
      <c r="AM139" s="32" t="e">
        <f>AM138+AF140</f>
        <v>#REF!</v>
      </c>
      <c r="AN139" s="32"/>
      <c r="AO139" s="32" t="e">
        <f>AO138</f>
        <v>#REF!</v>
      </c>
      <c r="AP139" s="32" t="e">
        <f>AM139+AO139</f>
        <v>#REF!</v>
      </c>
      <c r="AR139" s="52">
        <f>AR138</f>
        <v>0</v>
      </c>
      <c r="AS139" s="50">
        <f>AS138</f>
        <v>0</v>
      </c>
      <c r="AT139" s="52">
        <f>AT138</f>
        <v>0</v>
      </c>
      <c r="AU139" s="50">
        <f>AU138</f>
        <v>0</v>
      </c>
      <c r="AV139" s="52">
        <f>AV138</f>
        <v>0</v>
      </c>
      <c r="AW139" s="64">
        <f>AV139 / (V137+V139)</f>
        <v>0</v>
      </c>
      <c r="AX139" s="52" t="e">
        <f>(B139*AM139)-(AC139+AC140)</f>
        <v>#REF!</v>
      </c>
      <c r="AY139" s="54" t="e">
        <f>AX139/(AC139+AC140)</f>
        <v>#REF!</v>
      </c>
      <c r="AZ139" s="52" t="e">
        <f>(AO139*B139)-AI139</f>
        <v>#REF!</v>
      </c>
      <c r="BA139" s="53" t="e">
        <f>AZ139/(AH139*AL139)</f>
        <v>#REF!</v>
      </c>
      <c r="BB139" s="52" t="e">
        <f>AX139+AZ139</f>
        <v>#REF!</v>
      </c>
      <c r="BC139" s="62" t="e">
        <f>BB139/(AC139+AC140+AI139)</f>
        <v>#REF!</v>
      </c>
      <c r="BD139" s="62"/>
      <c r="BE139" s="52" t="e">
        <f>AR139+AX139</f>
        <v>#REF!</v>
      </c>
      <c r="BF139" s="54" t="e">
        <f>AY139</f>
        <v>#REF!</v>
      </c>
      <c r="BG139" s="52" t="e">
        <f>AT139+AZ139</f>
        <v>#REF!</v>
      </c>
      <c r="BH139" s="53" t="e">
        <f>BG139/AI139</f>
        <v>#REF!</v>
      </c>
      <c r="BI139" s="63">
        <f>BI138</f>
        <v>20</v>
      </c>
      <c r="BJ139" s="52" t="e">
        <f>BE139+BG139+BI139</f>
        <v>#REF!</v>
      </c>
      <c r="BK139" s="54" t="e">
        <f>BJ139/(AC139+AC140+AI139)</f>
        <v>#REF!</v>
      </c>
    </row>
    <row r="140" spans="1:63" ht="15.75" customHeight="1" x14ac:dyDescent="0.2">
      <c r="E140" s="50"/>
      <c r="W140" s="50"/>
      <c r="X140" s="50"/>
      <c r="Y140" s="50"/>
      <c r="AB140" s="31" t="e">
        <f>#REF!</f>
        <v>#REF!</v>
      </c>
      <c r="AC140" s="31">
        <f>V139</f>
        <v>400</v>
      </c>
      <c r="AD140" s="63" t="e">
        <f>(#REF!+(#REF!*(F139/100)))/(1-#REF!/100)</f>
        <v>#REF!</v>
      </c>
      <c r="AE140" s="63"/>
      <c r="AF140" s="32" t="e">
        <f>AC140/AB140</f>
        <v>#REF!</v>
      </c>
      <c r="AG140" s="32"/>
      <c r="AH140" s="49" t="s">
        <v>34</v>
      </c>
      <c r="AI140" s="49" t="s">
        <v>34</v>
      </c>
      <c r="AJ140" s="49" t="s">
        <v>34</v>
      </c>
      <c r="AK140" s="49"/>
      <c r="AL140" s="49" t="s">
        <v>34</v>
      </c>
      <c r="AS140" s="50"/>
      <c r="AU140" s="50"/>
      <c r="AW140" s="54"/>
      <c r="AX140" s="31"/>
      <c r="AY140" s="54"/>
      <c r="BA140" s="50"/>
      <c r="BC140" s="50"/>
      <c r="BD140" s="50"/>
      <c r="BF140" s="50"/>
      <c r="BH140" s="50"/>
      <c r="BI140" s="63"/>
      <c r="BK140" s="50"/>
    </row>
    <row r="141" spans="1:63" ht="15.75" customHeight="1" x14ac:dyDescent="0.2">
      <c r="B141" s="36">
        <v>910</v>
      </c>
      <c r="C141" s="36"/>
      <c r="D141" s="37">
        <v>0.7</v>
      </c>
      <c r="E141" s="51">
        <v>5</v>
      </c>
      <c r="F141" s="35">
        <v>10</v>
      </c>
      <c r="G141" s="35"/>
      <c r="H141" s="35"/>
      <c r="R141" s="35" t="s">
        <v>35</v>
      </c>
      <c r="S141" s="35"/>
      <c r="T141" s="36"/>
      <c r="U141" s="36"/>
      <c r="V141" s="36">
        <v>350</v>
      </c>
      <c r="W141" s="51" t="e">
        <f>V141/#REF!</f>
        <v>#REF!</v>
      </c>
      <c r="X141" s="51"/>
      <c r="Y141" s="51"/>
      <c r="AB141" s="38" t="e">
        <f>AB139</f>
        <v>#REF!</v>
      </c>
      <c r="AC141" s="38">
        <v>140</v>
      </c>
      <c r="AD141" s="65" t="e">
        <f>AD139</f>
        <v>#REF!</v>
      </c>
      <c r="AE141" s="65"/>
      <c r="AF141" s="39">
        <v>1.4</v>
      </c>
      <c r="AG141" s="32"/>
      <c r="AH141" s="38">
        <v>100</v>
      </c>
      <c r="AI141" s="38">
        <v>60.000000000000007</v>
      </c>
      <c r="AJ141" s="65" t="e">
        <f>AJ139</f>
        <v>#REF!</v>
      </c>
      <c r="AK141" s="65"/>
      <c r="AL141" s="39">
        <v>0.60000000000000009</v>
      </c>
      <c r="AM141" s="39" t="e">
        <f>AM139</f>
        <v>#REF!</v>
      </c>
      <c r="AN141" s="39"/>
      <c r="AO141" s="39" t="e">
        <f>AO139+AL142</f>
        <v>#REF!</v>
      </c>
      <c r="AP141" s="39" t="e">
        <f>AM141+AO141</f>
        <v>#REF!</v>
      </c>
      <c r="AR141" s="40">
        <f t="shared" ref="AR141:AW141" si="23">AR139</f>
        <v>0</v>
      </c>
      <c r="AS141" s="51">
        <f t="shared" si="23"/>
        <v>0</v>
      </c>
      <c r="AT141" s="40">
        <f t="shared" si="23"/>
        <v>0</v>
      </c>
      <c r="AU141" s="51">
        <f t="shared" si="23"/>
        <v>0</v>
      </c>
      <c r="AV141" s="40">
        <f t="shared" si="23"/>
        <v>0</v>
      </c>
      <c r="AW141" s="55">
        <f t="shared" si="23"/>
        <v>0</v>
      </c>
      <c r="AX141" s="40" t="e">
        <f>(B141*AM141)-(AC141+AC142)</f>
        <v>#REF!</v>
      </c>
      <c r="AY141" s="55" t="e">
        <f>AX141/(AC141+AC142)</f>
        <v>#REF!</v>
      </c>
      <c r="AZ141" s="40" t="e">
        <f>(AO141*B141)-(AI141+AI142)</f>
        <v>#REF!</v>
      </c>
      <c r="BA141" s="55" t="e">
        <f>AZ141/(AI141+AI142)</f>
        <v>#REF!</v>
      </c>
      <c r="BB141" s="40" t="e">
        <f>AX141+AZ141</f>
        <v>#REF!</v>
      </c>
      <c r="BC141" s="55" t="e">
        <f>BB141/(AC141+AC142+AI141+AI142)</f>
        <v>#REF!</v>
      </c>
      <c r="BD141" s="50"/>
      <c r="BE141" s="40" t="e">
        <f>AR141+AX141</f>
        <v>#REF!</v>
      </c>
      <c r="BF141" s="55" t="e">
        <f>AY141</f>
        <v>#REF!</v>
      </c>
      <c r="BG141" s="40" t="e">
        <f>AT141+AZ141</f>
        <v>#REF!</v>
      </c>
      <c r="BH141" s="55" t="e">
        <f>BG141/(AI141+AI142)</f>
        <v>#REF!</v>
      </c>
      <c r="BI141" s="65">
        <f>BI139</f>
        <v>20</v>
      </c>
      <c r="BJ141" s="40" t="e">
        <f>BE141+BG141+BI141</f>
        <v>#REF!</v>
      </c>
      <c r="BK141" s="55" t="e">
        <f>BJ141/(AC141+AC142+AI141+AI142)</f>
        <v>#REF!</v>
      </c>
    </row>
    <row r="142" spans="1:63" ht="15.75" customHeight="1" x14ac:dyDescent="0.2">
      <c r="B142" s="35"/>
      <c r="C142" s="35"/>
      <c r="D142" s="35"/>
      <c r="E142" s="51"/>
      <c r="F142" s="35"/>
      <c r="G142" s="35"/>
      <c r="H142" s="35"/>
      <c r="R142" s="35"/>
      <c r="S142" s="35"/>
      <c r="T142" s="35"/>
      <c r="U142" s="35"/>
      <c r="V142" s="35"/>
      <c r="W142" s="51"/>
      <c r="X142" s="51"/>
      <c r="Y142" s="51"/>
      <c r="AB142" s="38" t="e">
        <f>AB140</f>
        <v>#REF!</v>
      </c>
      <c r="AC142" s="38">
        <v>400</v>
      </c>
      <c r="AD142" s="65" t="e">
        <f>AD140</f>
        <v>#REF!</v>
      </c>
      <c r="AE142" s="65"/>
      <c r="AF142" s="39">
        <v>1.6</v>
      </c>
      <c r="AG142" s="32"/>
      <c r="AH142" s="36" t="e">
        <f>#REF!</f>
        <v>#REF!</v>
      </c>
      <c r="AI142" s="36">
        <f>V141</f>
        <v>350</v>
      </c>
      <c r="AJ142" s="65" t="e">
        <f>(#REF!+(#REF!*(F141/100)))/(1-#REF!/100)</f>
        <v>#REF!</v>
      </c>
      <c r="AK142" s="65"/>
      <c r="AL142" s="39" t="e">
        <f>AI142/AH142</f>
        <v>#REF!</v>
      </c>
      <c r="AS142" s="50"/>
      <c r="AU142" s="50"/>
      <c r="AW142" s="50"/>
      <c r="AY142" s="50"/>
      <c r="BA142" s="50"/>
      <c r="BC142" s="50"/>
      <c r="BD142" s="50"/>
      <c r="BF142" s="50"/>
      <c r="BH142" s="50"/>
      <c r="BI142" s="63"/>
      <c r="BK142" s="50"/>
    </row>
    <row r="143" spans="1:63" ht="15.75" customHeight="1" x14ac:dyDescent="0.2">
      <c r="B143" s="33">
        <v>910</v>
      </c>
      <c r="C143" s="33"/>
      <c r="D143" s="29">
        <v>0.7</v>
      </c>
      <c r="E143" s="50">
        <v>5</v>
      </c>
      <c r="F143">
        <v>10</v>
      </c>
      <c r="R143" t="s">
        <v>49</v>
      </c>
      <c r="T143" s="33">
        <v>10</v>
      </c>
      <c r="U143" s="33"/>
      <c r="W143" s="50"/>
      <c r="X143" s="50"/>
      <c r="Y143" s="50"/>
      <c r="AB143" s="31"/>
      <c r="AC143" s="31"/>
      <c r="AD143" s="31"/>
      <c r="AE143" s="31"/>
      <c r="AF143" s="31"/>
      <c r="AG143" s="31"/>
      <c r="AH143" s="33"/>
      <c r="AI143" s="33"/>
      <c r="AJ143" s="31"/>
      <c r="AK143" s="31"/>
      <c r="AL143" s="32"/>
      <c r="AM143" s="32" t="e">
        <f>AM141</f>
        <v>#REF!</v>
      </c>
      <c r="AN143" s="32"/>
      <c r="AO143" s="32" t="e">
        <f>AO141+AL144</f>
        <v>#REF!</v>
      </c>
      <c r="AP143" s="32" t="e">
        <f>AM143+AO143</f>
        <v>#REF!</v>
      </c>
      <c r="AR143" s="52">
        <f t="shared" ref="AR143:AW144" si="24">AR141</f>
        <v>0</v>
      </c>
      <c r="AS143" s="50">
        <f t="shared" si="24"/>
        <v>0</v>
      </c>
      <c r="AT143" s="52">
        <f t="shared" si="24"/>
        <v>0</v>
      </c>
      <c r="AU143" s="50">
        <f t="shared" si="24"/>
        <v>0</v>
      </c>
      <c r="AV143" s="52">
        <f t="shared" si="24"/>
        <v>0</v>
      </c>
      <c r="AW143" s="62">
        <f t="shared" si="24"/>
        <v>0</v>
      </c>
      <c r="AX143" s="52" t="e">
        <f t="shared" ref="AX143:BC143" si="25">AX141</f>
        <v>#REF!</v>
      </c>
      <c r="AY143" s="62" t="e">
        <f t="shared" si="25"/>
        <v>#REF!</v>
      </c>
      <c r="AZ143" s="52" t="e">
        <f t="shared" si="25"/>
        <v>#REF!</v>
      </c>
      <c r="BA143" s="62" t="e">
        <f t="shared" si="25"/>
        <v>#REF!</v>
      </c>
      <c r="BB143" s="52" t="e">
        <f t="shared" si="25"/>
        <v>#REF!</v>
      </c>
      <c r="BC143" s="62" t="e">
        <f t="shared" si="25"/>
        <v>#REF!</v>
      </c>
      <c r="BD143" s="50"/>
      <c r="BE143" s="52" t="e">
        <f>BE141</f>
        <v>#REF!</v>
      </c>
      <c r="BF143" s="62" t="e">
        <f>BF141</f>
        <v>#REF!</v>
      </c>
      <c r="BG143" s="52" t="e">
        <f>BG141</f>
        <v>#REF!</v>
      </c>
      <c r="BH143" s="62" t="e">
        <f>BH141</f>
        <v>#REF!</v>
      </c>
      <c r="BI143" s="63">
        <f>BI141+T143</f>
        <v>30</v>
      </c>
      <c r="BJ143" s="52" t="e">
        <f>BE143+BG143+BI143</f>
        <v>#REF!</v>
      </c>
      <c r="BK143" s="62" t="e">
        <f>BJ143/(AC141+AC142+AI141+AI142)</f>
        <v>#REF!</v>
      </c>
    </row>
    <row r="144" spans="1:63" ht="15.75" customHeight="1" x14ac:dyDescent="0.2">
      <c r="B144" s="36">
        <v>510</v>
      </c>
      <c r="C144" s="36"/>
      <c r="D144" s="37">
        <v>0.7</v>
      </c>
      <c r="E144" s="51">
        <v>5</v>
      </c>
      <c r="F144" s="35">
        <v>10</v>
      </c>
      <c r="G144" s="35"/>
      <c r="H144" s="35"/>
      <c r="R144" s="35" t="s">
        <v>36</v>
      </c>
      <c r="S144" s="35"/>
      <c r="T144" s="40"/>
      <c r="U144" s="40"/>
      <c r="V144" s="36">
        <v>100</v>
      </c>
      <c r="W144" s="51" t="e">
        <f>V144/#REF!</f>
        <v>#REF!</v>
      </c>
      <c r="X144" s="51"/>
      <c r="Y144" s="51"/>
      <c r="AB144" s="38">
        <v>100</v>
      </c>
      <c r="AC144" s="38">
        <v>140</v>
      </c>
      <c r="AD144" s="38" t="e">
        <f>AD141</f>
        <v>#REF!</v>
      </c>
      <c r="AE144" s="38"/>
      <c r="AF144" s="39">
        <v>1.4</v>
      </c>
      <c r="AG144" s="32"/>
      <c r="AH144" s="38">
        <v>100</v>
      </c>
      <c r="AI144" s="38">
        <v>60.000000000000007</v>
      </c>
      <c r="AJ144" s="38" t="e">
        <f>AJ141</f>
        <v>#REF!</v>
      </c>
      <c r="AK144" s="38"/>
      <c r="AL144" s="39">
        <v>0.60000000000000009</v>
      </c>
      <c r="AM144" s="39" t="e">
        <f>AF144+AF145+AF146</f>
        <v>#REF!</v>
      </c>
      <c r="AN144" s="39"/>
      <c r="AO144" s="39" t="e">
        <f>AL144+AL145+AL146</f>
        <v>#REF!</v>
      </c>
      <c r="AP144" s="39" t="e">
        <f>AM144+AO144</f>
        <v>#REF!</v>
      </c>
      <c r="AR144" s="40">
        <f t="shared" si="24"/>
        <v>0</v>
      </c>
      <c r="AS144" s="51">
        <f t="shared" si="24"/>
        <v>0</v>
      </c>
      <c r="AT144" s="40">
        <f t="shared" si="24"/>
        <v>0</v>
      </c>
      <c r="AU144" s="51">
        <f t="shared" si="24"/>
        <v>0</v>
      </c>
      <c r="AV144" s="40">
        <f t="shared" si="24"/>
        <v>0</v>
      </c>
      <c r="AW144" s="55">
        <f t="shared" si="24"/>
        <v>0</v>
      </c>
      <c r="AX144" s="40" t="e">
        <f>(B144*AM144)-(AC144+AC145+AC146)</f>
        <v>#REF!</v>
      </c>
      <c r="AY144" s="55" t="e">
        <f>AX144/(AC144+AC145+AC146)</f>
        <v>#REF!</v>
      </c>
      <c r="AZ144" s="40" t="e">
        <f>(AO144*B144)-(AI144+AI145+AI146)</f>
        <v>#REF!</v>
      </c>
      <c r="BA144" s="55" t="e">
        <f>AZ144/(AI144+AI145+AI146)</f>
        <v>#REF!</v>
      </c>
      <c r="BB144" s="40" t="e">
        <f>AX144+AZ144</f>
        <v>#REF!</v>
      </c>
      <c r="BC144" s="55" t="e">
        <f>BB144/(AC144+AC145+AC146+AI144+AI145+AI146)</f>
        <v>#REF!</v>
      </c>
      <c r="BD144" s="50"/>
      <c r="BE144" s="40" t="e">
        <f>AR144+AX144</f>
        <v>#REF!</v>
      </c>
      <c r="BF144" s="55" t="e">
        <f>AY144</f>
        <v>#REF!</v>
      </c>
      <c r="BG144" s="40" t="e">
        <f>AT144+AZ144</f>
        <v>#REF!</v>
      </c>
      <c r="BH144" s="55" t="e">
        <f>BG144/(AI144+AI145+AI146)</f>
        <v>#REF!</v>
      </c>
      <c r="BI144" s="65">
        <f>BI143</f>
        <v>30</v>
      </c>
      <c r="BJ144" s="40" t="e">
        <f>BE144+BG144+BI144</f>
        <v>#REF!</v>
      </c>
      <c r="BK144" s="55" t="e">
        <f>BJ144/(AC144+AC145+AC146+AI144+AI145+AI146)</f>
        <v>#REF!</v>
      </c>
    </row>
    <row r="145" spans="2:63" ht="15.75" customHeight="1" x14ac:dyDescent="0.2">
      <c r="B145" s="35"/>
      <c r="C145" s="35"/>
      <c r="D145" s="35"/>
      <c r="E145" s="51"/>
      <c r="F145" s="35"/>
      <c r="G145" s="35"/>
      <c r="H145" s="35"/>
      <c r="R145" s="35"/>
      <c r="S145" s="35"/>
      <c r="T145" s="35"/>
      <c r="U145" s="35"/>
      <c r="V145" s="35"/>
      <c r="W145" s="51"/>
      <c r="X145" s="51"/>
      <c r="Y145" s="51"/>
      <c r="AB145" s="38">
        <v>250</v>
      </c>
      <c r="AC145" s="38">
        <v>400</v>
      </c>
      <c r="AD145" s="38" t="e">
        <f>AD142</f>
        <v>#REF!</v>
      </c>
      <c r="AE145" s="38"/>
      <c r="AF145" s="39">
        <v>1.6</v>
      </c>
      <c r="AG145" s="32"/>
      <c r="AH145" s="36">
        <v>900</v>
      </c>
      <c r="AI145" s="36">
        <v>350</v>
      </c>
      <c r="AJ145" s="38" t="e">
        <f>AJ142</f>
        <v>#REF!</v>
      </c>
      <c r="AK145" s="38"/>
      <c r="AL145" s="39">
        <v>0.3888888888888889</v>
      </c>
      <c r="AM145" s="35"/>
      <c r="AN145" s="35"/>
      <c r="AO145" s="35"/>
      <c r="AP145" s="35"/>
      <c r="AR145" s="35"/>
      <c r="AS145" s="51"/>
      <c r="AT145" s="35"/>
      <c r="AU145" s="51"/>
      <c r="AV145" s="35"/>
      <c r="AW145" s="51"/>
      <c r="AX145" s="35"/>
      <c r="AY145" s="51"/>
      <c r="AZ145" s="35"/>
      <c r="BA145" s="51"/>
      <c r="BB145" s="35"/>
      <c r="BC145" s="51"/>
      <c r="BD145" s="50"/>
      <c r="BE145" s="35"/>
      <c r="BF145" s="51"/>
      <c r="BG145" s="35"/>
      <c r="BH145" s="51"/>
      <c r="BI145" s="35"/>
      <c r="BJ145" s="35"/>
      <c r="BK145" s="51"/>
    </row>
    <row r="146" spans="2:63" ht="15.75" customHeight="1" x14ac:dyDescent="0.2">
      <c r="B146" s="35"/>
      <c r="C146" s="35"/>
      <c r="D146" s="35"/>
      <c r="E146" s="51"/>
      <c r="F146" s="35"/>
      <c r="G146" s="35"/>
      <c r="H146" s="35"/>
      <c r="R146" s="35"/>
      <c r="S146" s="35"/>
      <c r="T146" s="35"/>
      <c r="U146" s="35"/>
      <c r="V146" s="35"/>
      <c r="W146" s="51"/>
      <c r="X146" s="51"/>
      <c r="Y146" s="51"/>
      <c r="AB146" s="40" t="e">
        <f>#REF!</f>
        <v>#REF!</v>
      </c>
      <c r="AC146" s="36">
        <f>V144*D144</f>
        <v>70</v>
      </c>
      <c r="AD146" s="65" t="e">
        <f>(#REF!+(#REF!*(F144/100)))/(1-#REF!/100)</f>
        <v>#REF!</v>
      </c>
      <c r="AE146" s="65"/>
      <c r="AF146" s="39" t="e">
        <f>AC146/AB146</f>
        <v>#REF!</v>
      </c>
      <c r="AG146" s="31"/>
      <c r="AH146" s="40" t="e">
        <f>#REF!</f>
        <v>#REF!</v>
      </c>
      <c r="AI146" s="36">
        <f>V144*(1-D144)</f>
        <v>30.000000000000004</v>
      </c>
      <c r="AJ146" s="65" t="e">
        <f>(#REF!+(#REF!*(F144/100)))/(1-#REF!/100)</f>
        <v>#REF!</v>
      </c>
      <c r="AK146" s="65"/>
      <c r="AL146" s="39" t="e">
        <f>AI146/AH146</f>
        <v>#REF!</v>
      </c>
      <c r="AM146" s="35"/>
      <c r="AN146" s="35"/>
      <c r="AO146" s="35"/>
      <c r="AP146" s="35"/>
      <c r="AR146" s="35"/>
      <c r="AS146" s="51"/>
      <c r="AT146" s="35"/>
      <c r="AU146" s="51"/>
      <c r="AV146" s="35"/>
      <c r="AW146" s="51"/>
      <c r="AX146" s="35"/>
      <c r="AY146" s="51"/>
      <c r="AZ146" s="35"/>
      <c r="BA146" s="51"/>
      <c r="BB146" s="35"/>
      <c r="BC146" s="51"/>
      <c r="BD146" s="50"/>
      <c r="BE146" s="35"/>
      <c r="BF146" s="51"/>
      <c r="BG146" s="35"/>
      <c r="BH146" s="51"/>
      <c r="BI146" s="35"/>
      <c r="BJ146" s="35"/>
      <c r="BK146" s="51"/>
    </row>
    <row r="147" spans="2:63" ht="15.75" customHeight="1" x14ac:dyDescent="0.2">
      <c r="E147" s="50"/>
      <c r="W147" s="50"/>
      <c r="X147" s="50"/>
      <c r="Y147" s="50"/>
      <c r="AB147" s="52"/>
      <c r="AC147" s="33"/>
      <c r="AD147" s="33"/>
      <c r="AE147" s="33"/>
      <c r="AF147" s="32"/>
      <c r="AG147" s="31"/>
      <c r="AH147" s="52"/>
      <c r="AI147" s="33"/>
      <c r="AJ147" s="33"/>
      <c r="AK147" s="33"/>
      <c r="AL147" s="32"/>
      <c r="AS147" s="50"/>
      <c r="AU147" s="50"/>
      <c r="AW147" s="50"/>
      <c r="AY147" s="50"/>
      <c r="BA147" s="50"/>
      <c r="BC147" s="50"/>
      <c r="BD147" s="50"/>
      <c r="BF147" s="50"/>
      <c r="BH147" s="50"/>
      <c r="BK147" s="50"/>
    </row>
    <row r="148" spans="2:63" ht="15.75" customHeight="1" x14ac:dyDescent="0.2">
      <c r="B148" s="178" t="s">
        <v>67</v>
      </c>
      <c r="C148" s="34"/>
      <c r="AB148" s="56" t="s">
        <v>27</v>
      </c>
      <c r="AC148" s="12"/>
      <c r="AD148" s="12"/>
      <c r="AE148" s="12"/>
      <c r="AF148" s="12"/>
      <c r="AG148" s="12"/>
      <c r="AH148" s="56" t="s">
        <v>28</v>
      </c>
      <c r="AI148" s="12"/>
      <c r="AJ148" s="12"/>
      <c r="AK148" s="12"/>
      <c r="AL148" s="12"/>
      <c r="AR148" s="34" t="s">
        <v>52</v>
      </c>
      <c r="AX148" s="34" t="s">
        <v>53</v>
      </c>
      <c r="BE148" s="34" t="s">
        <v>65</v>
      </c>
    </row>
    <row r="149" spans="2:63" ht="15.75" customHeight="1" x14ac:dyDescent="0.2">
      <c r="B149" s="28" t="s">
        <v>61</v>
      </c>
      <c r="C149" s="28"/>
      <c r="D149" s="28" t="s">
        <v>29</v>
      </c>
      <c r="E149" s="57" t="s">
        <v>63</v>
      </c>
      <c r="F149" s="57" t="s">
        <v>72</v>
      </c>
      <c r="G149" s="57"/>
      <c r="H149" s="57"/>
      <c r="I149" s="101"/>
      <c r="J149" s="101"/>
      <c r="K149" s="101"/>
      <c r="L149" s="101"/>
      <c r="M149" s="101"/>
      <c r="N149" s="101"/>
      <c r="O149" s="101"/>
      <c r="P149" s="101"/>
      <c r="R149" s="28" t="s">
        <v>3</v>
      </c>
      <c r="S149" s="28"/>
      <c r="T149" s="57" t="s">
        <v>50</v>
      </c>
      <c r="U149" s="57" t="s">
        <v>70</v>
      </c>
      <c r="V149" s="28" t="s">
        <v>1</v>
      </c>
      <c r="W149" s="57" t="s">
        <v>62</v>
      </c>
      <c r="X149" s="57" t="s">
        <v>9</v>
      </c>
      <c r="Y149" s="57"/>
      <c r="AB149" s="28" t="s">
        <v>30</v>
      </c>
      <c r="AC149" s="28" t="s">
        <v>1</v>
      </c>
      <c r="AD149" s="57" t="s">
        <v>10</v>
      </c>
      <c r="AE149" s="57"/>
      <c r="AF149" s="57" t="s">
        <v>64</v>
      </c>
      <c r="AG149" s="60"/>
      <c r="AH149" s="28" t="s">
        <v>30</v>
      </c>
      <c r="AI149" s="28" t="s">
        <v>1</v>
      </c>
      <c r="AJ149" s="57" t="s">
        <v>10</v>
      </c>
      <c r="AK149" s="57"/>
      <c r="AL149" s="57" t="s">
        <v>64</v>
      </c>
      <c r="AM149" s="28" t="s">
        <v>58</v>
      </c>
      <c r="AN149" s="28"/>
      <c r="AO149" s="28" t="s">
        <v>59</v>
      </c>
      <c r="AP149" s="28" t="s">
        <v>60</v>
      </c>
      <c r="AR149" s="61" t="s">
        <v>54</v>
      </c>
      <c r="AS149" s="61" t="s">
        <v>57</v>
      </c>
      <c r="AT149" s="61" t="s">
        <v>55</v>
      </c>
      <c r="AU149" s="61" t="s">
        <v>57</v>
      </c>
      <c r="AV149" s="61" t="s">
        <v>56</v>
      </c>
      <c r="AW149" s="61" t="s">
        <v>57</v>
      </c>
      <c r="AX149" s="28" t="s">
        <v>54</v>
      </c>
      <c r="AY149" s="28" t="s">
        <v>57</v>
      </c>
      <c r="AZ149" s="28" t="s">
        <v>55</v>
      </c>
      <c r="BA149" s="28" t="s">
        <v>57</v>
      </c>
      <c r="BB149" s="28" t="s">
        <v>56</v>
      </c>
      <c r="BC149" s="28" t="s">
        <v>57</v>
      </c>
      <c r="BD149" s="60"/>
      <c r="BE149" s="61" t="s">
        <v>54</v>
      </c>
      <c r="BF149" s="61" t="s">
        <v>57</v>
      </c>
      <c r="BG149" s="61" t="s">
        <v>55</v>
      </c>
      <c r="BH149" s="61" t="s">
        <v>57</v>
      </c>
      <c r="BI149" s="61" t="s">
        <v>66</v>
      </c>
      <c r="BJ149" s="61" t="s">
        <v>56</v>
      </c>
      <c r="BK149" s="61" t="s">
        <v>57</v>
      </c>
    </row>
    <row r="150" spans="2:63" ht="15.75" customHeight="1" x14ac:dyDescent="0.2">
      <c r="B150" s="33">
        <v>200</v>
      </c>
      <c r="C150" s="33"/>
      <c r="D150" s="29">
        <v>0.6</v>
      </c>
      <c r="E150" s="50">
        <v>5</v>
      </c>
      <c r="F150">
        <v>10</v>
      </c>
      <c r="R150" s="12" t="s">
        <v>68</v>
      </c>
      <c r="S150" s="12"/>
      <c r="T150" s="13"/>
      <c r="U150" s="13"/>
      <c r="V150" s="13">
        <v>400</v>
      </c>
      <c r="W150" s="58" t="e">
        <f>V150/#REF!</f>
        <v>#REF!</v>
      </c>
      <c r="X150" s="58"/>
      <c r="Y150" s="58"/>
      <c r="AB150" s="31" t="e">
        <f>#REF!</f>
        <v>#REF!</v>
      </c>
      <c r="AC150" s="31">
        <f>V150*D150</f>
        <v>240</v>
      </c>
      <c r="AD150" s="63" t="e">
        <f>(#REF!+(#REF!*(F150/100)))/(1-#REF!/100)</f>
        <v>#REF!</v>
      </c>
      <c r="AE150" s="63"/>
      <c r="AF150" s="32" t="e">
        <f>AC150/AB150</f>
        <v>#REF!</v>
      </c>
      <c r="AG150" s="32"/>
      <c r="AH150" s="31" t="e">
        <f>#REF!</f>
        <v>#REF!</v>
      </c>
      <c r="AI150" s="31">
        <f>V150*(1-D150)</f>
        <v>160</v>
      </c>
      <c r="AJ150" s="63" t="e">
        <f>(#REF!+(#REF!*(F150/100)))/(1-#REF!/100)</f>
        <v>#REF!</v>
      </c>
      <c r="AK150" s="63"/>
      <c r="AL150" s="32" t="e">
        <f>AI150/AH150</f>
        <v>#REF!</v>
      </c>
      <c r="AM150" s="32" t="e">
        <f>AF150</f>
        <v>#REF!</v>
      </c>
      <c r="AN150" s="32"/>
      <c r="AO150" s="32" t="e">
        <f>AL150</f>
        <v>#REF!</v>
      </c>
      <c r="AP150" s="32" t="e">
        <f>AM150+AO150</f>
        <v>#REF!</v>
      </c>
      <c r="AR150" s="52">
        <v>0</v>
      </c>
      <c r="AS150" s="50">
        <v>0</v>
      </c>
      <c r="AT150" s="52">
        <v>0</v>
      </c>
      <c r="AU150" s="50">
        <v>0</v>
      </c>
      <c r="AV150" s="52">
        <v>0</v>
      </c>
      <c r="AW150" s="54">
        <v>0</v>
      </c>
      <c r="AX150" s="52">
        <v>0</v>
      </c>
      <c r="AY150" s="50">
        <v>0</v>
      </c>
      <c r="AZ150" s="52">
        <v>0</v>
      </c>
      <c r="BA150" s="50">
        <v>0</v>
      </c>
      <c r="BB150" s="52">
        <v>0</v>
      </c>
      <c r="BC150" s="50">
        <v>0</v>
      </c>
      <c r="BD150" s="50"/>
      <c r="BE150" s="52">
        <v>0</v>
      </c>
      <c r="BF150" s="50">
        <v>0</v>
      </c>
      <c r="BG150" s="52">
        <v>0</v>
      </c>
      <c r="BH150" s="50">
        <v>0</v>
      </c>
      <c r="BI150" s="52">
        <v>0</v>
      </c>
      <c r="BJ150" s="52">
        <v>0</v>
      </c>
      <c r="BK150" s="50">
        <v>0</v>
      </c>
    </row>
    <row r="151" spans="2:63" ht="15.75" customHeight="1" x14ac:dyDescent="0.2">
      <c r="B151" s="36">
        <v>100</v>
      </c>
      <c r="C151" s="36"/>
      <c r="D151" s="37">
        <v>0.6</v>
      </c>
      <c r="E151" s="51">
        <v>5</v>
      </c>
      <c r="F151" s="35">
        <v>10</v>
      </c>
      <c r="G151" s="35"/>
      <c r="H151" s="35"/>
      <c r="R151" s="41" t="s">
        <v>69</v>
      </c>
      <c r="S151" s="41"/>
      <c r="T151" s="35"/>
      <c r="U151" s="59">
        <v>2</v>
      </c>
      <c r="V151" s="42"/>
      <c r="W151" s="59"/>
      <c r="X151" s="59"/>
      <c r="Y151" s="59"/>
      <c r="AB151" s="38" t="e">
        <f>AB150/U151</f>
        <v>#REF!</v>
      </c>
      <c r="AC151" s="38">
        <f>AC150</f>
        <v>240</v>
      </c>
      <c r="AD151" s="65" t="e">
        <f>AD150/U151</f>
        <v>#REF!</v>
      </c>
      <c r="AE151" s="65"/>
      <c r="AF151" s="39" t="e">
        <f>AF150*U151</f>
        <v>#REF!</v>
      </c>
      <c r="AG151" s="32"/>
      <c r="AH151" s="38" t="e">
        <f>AH150/U151</f>
        <v>#REF!</v>
      </c>
      <c r="AI151" s="38">
        <f>AI150</f>
        <v>160</v>
      </c>
      <c r="AJ151" s="65" t="e">
        <f>AJ150/U151</f>
        <v>#REF!</v>
      </c>
      <c r="AK151" s="65"/>
      <c r="AL151" s="39" t="e">
        <f>AL150*U151</f>
        <v>#REF!</v>
      </c>
      <c r="AM151" s="39" t="e">
        <f>AM150*U151</f>
        <v>#REF!</v>
      </c>
      <c r="AN151" s="39"/>
      <c r="AO151" s="39" t="e">
        <f>AO150*U151</f>
        <v>#REF!</v>
      </c>
      <c r="AP151" s="39" t="e">
        <f>AM151+AO151</f>
        <v>#REF!</v>
      </c>
      <c r="AR151" s="40">
        <f t="shared" ref="AR151:AW151" si="26">AR150</f>
        <v>0</v>
      </c>
      <c r="AS151" s="51">
        <f t="shared" si="26"/>
        <v>0</v>
      </c>
      <c r="AT151" s="40">
        <f t="shared" si="26"/>
        <v>0</v>
      </c>
      <c r="AU151" s="51">
        <f t="shared" si="26"/>
        <v>0</v>
      </c>
      <c r="AV151" s="40">
        <f t="shared" si="26"/>
        <v>0</v>
      </c>
      <c r="AW151" s="55">
        <f t="shared" si="26"/>
        <v>0</v>
      </c>
      <c r="AX151" s="40">
        <f t="shared" ref="AX151:BC151" si="27">AX150</f>
        <v>0</v>
      </c>
      <c r="AY151" s="51">
        <f t="shared" si="27"/>
        <v>0</v>
      </c>
      <c r="AZ151" s="40">
        <f t="shared" si="27"/>
        <v>0</v>
      </c>
      <c r="BA151" s="51">
        <f t="shared" si="27"/>
        <v>0</v>
      </c>
      <c r="BB151" s="40">
        <f t="shared" si="27"/>
        <v>0</v>
      </c>
      <c r="BC151" s="51">
        <f t="shared" si="27"/>
        <v>0</v>
      </c>
      <c r="BD151" s="50"/>
      <c r="BE151" s="40">
        <f t="shared" ref="BE151:BK151" si="28">BE150</f>
        <v>0</v>
      </c>
      <c r="BF151" s="51">
        <f t="shared" si="28"/>
        <v>0</v>
      </c>
      <c r="BG151" s="40">
        <f t="shared" si="28"/>
        <v>0</v>
      </c>
      <c r="BH151" s="51">
        <f t="shared" si="28"/>
        <v>0</v>
      </c>
      <c r="BI151" s="40">
        <f t="shared" si="28"/>
        <v>0</v>
      </c>
      <c r="BJ151" s="40">
        <f t="shared" si="28"/>
        <v>0</v>
      </c>
      <c r="BK151" s="51">
        <f t="shared" si="28"/>
        <v>0</v>
      </c>
    </row>
    <row r="152" spans="2:63" ht="15.75" customHeight="1" x14ac:dyDescent="0.2">
      <c r="B152" s="33">
        <v>100</v>
      </c>
      <c r="C152" s="33"/>
      <c r="D152" s="29">
        <v>0.6</v>
      </c>
      <c r="E152" s="50">
        <v>5</v>
      </c>
      <c r="F152">
        <v>10</v>
      </c>
      <c r="R152" s="12" t="s">
        <v>71</v>
      </c>
      <c r="S152" s="12"/>
      <c r="T152" s="13"/>
      <c r="U152" s="13"/>
      <c r="V152" s="13">
        <v>300</v>
      </c>
      <c r="W152" s="58" t="e">
        <f>V152/#REF!</f>
        <v>#REF!</v>
      </c>
      <c r="X152" s="58"/>
      <c r="Y152" s="58"/>
      <c r="AB152" s="31" t="e">
        <f>#REF!</f>
        <v>#REF!</v>
      </c>
      <c r="AC152" s="31">
        <f>V152*D152</f>
        <v>180</v>
      </c>
      <c r="AD152" s="63" t="e">
        <f>(#REF!+(#REF!*(F152/100)))/(1-#REF!/100)</f>
        <v>#REF!</v>
      </c>
      <c r="AE152" s="63"/>
      <c r="AF152" s="32" t="e">
        <f>AC152/AB152</f>
        <v>#REF!</v>
      </c>
      <c r="AG152" s="32"/>
      <c r="AH152" s="31" t="e">
        <f>#REF!</f>
        <v>#REF!</v>
      </c>
      <c r="AI152" s="31">
        <f>V152*(1-D152)</f>
        <v>120</v>
      </c>
      <c r="AJ152" s="63" t="e">
        <f>(#REF!+(#REF!*(F152/100)))/(1-#REF!/100)</f>
        <v>#REF!</v>
      </c>
      <c r="AK152" s="63"/>
      <c r="AL152" s="32" t="e">
        <f>AI152/AH152</f>
        <v>#REF!</v>
      </c>
      <c r="AM152" s="32" t="e">
        <f>AF152+AF153</f>
        <v>#REF!</v>
      </c>
      <c r="AN152" s="32"/>
      <c r="AO152" s="32" t="e">
        <f>AL152+AL153</f>
        <v>#REF!</v>
      </c>
      <c r="AP152" s="32" t="e">
        <f>AM152+AO152</f>
        <v>#REF!</v>
      </c>
      <c r="AR152" s="52">
        <f>AR150</f>
        <v>0</v>
      </c>
      <c r="AS152" s="50">
        <f t="shared" ref="AS152:AU152" si="29">AS150</f>
        <v>0</v>
      </c>
      <c r="AT152" s="52">
        <f t="shared" si="29"/>
        <v>0</v>
      </c>
      <c r="AU152" s="50">
        <f t="shared" si="29"/>
        <v>0</v>
      </c>
      <c r="AV152" s="52">
        <f>AV150</f>
        <v>0</v>
      </c>
      <c r="AW152" s="62">
        <f>AV152/V150</f>
        <v>0</v>
      </c>
      <c r="AX152" s="63" t="e">
        <f>(B152*AM152)-(AC152+AC153)</f>
        <v>#REF!</v>
      </c>
      <c r="AY152" s="62" t="e">
        <f>AX152/(AC152+AC153)</f>
        <v>#REF!</v>
      </c>
      <c r="AZ152" s="63" t="e">
        <f>(AO152*B152)-(AI152+AI153)</f>
        <v>#REF!</v>
      </c>
      <c r="BA152" s="62" t="e">
        <f>AZ152/(AI152+AI153)</f>
        <v>#REF!</v>
      </c>
      <c r="BB152" s="63" t="e">
        <f>AX152+AZ152</f>
        <v>#REF!</v>
      </c>
      <c r="BC152" s="62" t="e">
        <f>BB152/(AC152+AC153+AI152+AI153)</f>
        <v>#REF!</v>
      </c>
      <c r="BD152" s="50"/>
      <c r="BE152" s="63" t="e">
        <f>AR152+AX152</f>
        <v>#REF!</v>
      </c>
      <c r="BF152" s="62" t="e">
        <f>AY152</f>
        <v>#REF!</v>
      </c>
      <c r="BG152" s="63" t="e">
        <f>AT152+AZ152</f>
        <v>#REF!</v>
      </c>
      <c r="BH152" s="62" t="e">
        <f>BG152/(AI152+AI153)</f>
        <v>#REF!</v>
      </c>
      <c r="BI152" s="63">
        <f>BI150</f>
        <v>0</v>
      </c>
      <c r="BJ152" s="63" t="e">
        <f>BE152+BG152+BI152</f>
        <v>#REF!</v>
      </c>
      <c r="BK152" s="62" t="e">
        <f>BJ152/(AC152+AC153+AI152+AI153)</f>
        <v>#REF!</v>
      </c>
    </row>
    <row r="153" spans="2:63" ht="15.75" customHeight="1" x14ac:dyDescent="0.2">
      <c r="B153" s="33"/>
      <c r="C153" s="33"/>
      <c r="D153" s="29"/>
      <c r="E153" s="50"/>
      <c r="R153" s="12"/>
      <c r="S153" s="12"/>
      <c r="T153" s="13"/>
      <c r="U153" s="13"/>
      <c r="V153" s="13"/>
      <c r="W153" s="58"/>
      <c r="X153" s="58"/>
      <c r="Y153" s="58"/>
      <c r="AB153" s="31" t="e">
        <f>AB151</f>
        <v>#REF!</v>
      </c>
      <c r="AC153" s="31">
        <f>AC151</f>
        <v>240</v>
      </c>
      <c r="AD153" s="63" t="e">
        <f>AD151</f>
        <v>#REF!</v>
      </c>
      <c r="AE153" s="63"/>
      <c r="AF153" s="32" t="e">
        <f>AF151</f>
        <v>#REF!</v>
      </c>
      <c r="AG153" s="32"/>
      <c r="AH153" s="31" t="e">
        <f>AH151</f>
        <v>#REF!</v>
      </c>
      <c r="AI153" s="31">
        <f>AI151</f>
        <v>160</v>
      </c>
      <c r="AJ153" s="63" t="e">
        <f>AJ151</f>
        <v>#REF!</v>
      </c>
      <c r="AK153" s="63"/>
      <c r="AL153" s="32" t="e">
        <f>AL151</f>
        <v>#REF!</v>
      </c>
      <c r="AM153" s="32"/>
      <c r="AN153" s="32"/>
      <c r="AO153" s="32"/>
      <c r="AP153" s="32"/>
      <c r="AR153" s="52"/>
      <c r="AS153" s="50"/>
      <c r="AT153" s="52"/>
      <c r="AU153" s="50"/>
      <c r="AV153" s="52"/>
      <c r="AW153" s="62"/>
      <c r="AX153" s="52"/>
      <c r="AY153" s="50"/>
      <c r="AZ153" s="52"/>
      <c r="BA153" s="50"/>
      <c r="BB153" s="52"/>
      <c r="BC153" s="50"/>
      <c r="BD153" s="50"/>
      <c r="BE153" s="52"/>
      <c r="BF153" s="50"/>
      <c r="BG153" s="52"/>
      <c r="BH153" s="50"/>
      <c r="BI153" s="63"/>
      <c r="BJ153" s="63"/>
      <c r="BK153" s="62"/>
    </row>
    <row r="154" spans="2:63" ht="15.75" customHeight="1" x14ac:dyDescent="0.2">
      <c r="B154" s="33"/>
      <c r="C154" s="33"/>
      <c r="D154" s="29"/>
      <c r="E154" s="50"/>
      <c r="R154" s="12"/>
      <c r="S154" s="12"/>
      <c r="T154" s="13"/>
      <c r="U154" s="13"/>
      <c r="V154" s="13"/>
      <c r="W154" s="58"/>
      <c r="X154" s="58"/>
      <c r="Y154" s="58"/>
      <c r="AB154" s="31"/>
      <c r="AC154" s="31"/>
      <c r="AD154" s="63"/>
      <c r="AE154" s="63"/>
      <c r="AF154" s="32"/>
      <c r="AG154" s="32"/>
      <c r="AH154" s="31"/>
      <c r="AI154" s="31"/>
      <c r="AJ154" s="63"/>
      <c r="AK154" s="63"/>
      <c r="AL154" s="32"/>
      <c r="AM154" s="32"/>
      <c r="AN154" s="32"/>
      <c r="AO154" s="32"/>
      <c r="AP154" s="32"/>
      <c r="AR154" s="52"/>
      <c r="AS154" s="50"/>
      <c r="AT154" s="52"/>
      <c r="AU154" s="50"/>
      <c r="AV154" s="52"/>
      <c r="AW154" s="62"/>
      <c r="AX154" s="52"/>
      <c r="AY154" s="50"/>
      <c r="AZ154" s="52"/>
      <c r="BA154" s="50"/>
      <c r="BB154" s="52"/>
      <c r="BC154" s="50"/>
      <c r="BD154" s="50"/>
      <c r="BE154" s="52"/>
      <c r="BF154" s="50"/>
      <c r="BG154" s="52"/>
      <c r="BH154" s="50"/>
      <c r="BI154" s="63"/>
      <c r="BJ154" s="63"/>
      <c r="BK154" s="62"/>
    </row>
    <row r="155" spans="2:63" ht="15.75" customHeight="1" x14ac:dyDescent="0.2">
      <c r="B155" s="179" t="s">
        <v>37</v>
      </c>
      <c r="C155" s="109"/>
      <c r="T155" s="12"/>
      <c r="U155" s="12"/>
      <c r="V155" s="12"/>
      <c r="W155" s="12"/>
      <c r="X155" s="12"/>
      <c r="Y155" s="12"/>
      <c r="Z155" s="12"/>
      <c r="AA155" s="12"/>
      <c r="AB155" s="56" t="s">
        <v>27</v>
      </c>
      <c r="AC155" s="12"/>
      <c r="AD155" s="12"/>
      <c r="AE155" s="12"/>
      <c r="AF155" s="12"/>
      <c r="AG155" s="12"/>
      <c r="AH155" s="56" t="s">
        <v>28</v>
      </c>
      <c r="AI155" s="12"/>
      <c r="AJ155" s="12"/>
      <c r="AK155" s="12"/>
      <c r="AL155" s="12"/>
      <c r="AS155" s="33"/>
      <c r="AX155" s="63"/>
    </row>
    <row r="156" spans="2:63" ht="15.75" customHeight="1" x14ac:dyDescent="0.2">
      <c r="B156" s="28" t="s">
        <v>61</v>
      </c>
      <c r="C156" s="28"/>
      <c r="D156" s="28" t="s">
        <v>29</v>
      </c>
      <c r="E156" s="57" t="s">
        <v>63</v>
      </c>
      <c r="F156" s="57" t="s">
        <v>72</v>
      </c>
      <c r="G156" s="57"/>
      <c r="H156" s="57"/>
      <c r="I156" s="101"/>
      <c r="J156" s="101"/>
      <c r="K156" s="101"/>
      <c r="L156" s="101"/>
      <c r="M156" s="101"/>
      <c r="N156" s="101"/>
      <c r="O156" s="101"/>
      <c r="P156" s="101"/>
      <c r="R156" s="28" t="s">
        <v>3</v>
      </c>
      <c r="S156" s="28"/>
      <c r="T156" s="57" t="s">
        <v>50</v>
      </c>
      <c r="U156" s="57" t="s">
        <v>70</v>
      </c>
      <c r="V156" s="28" t="s">
        <v>1</v>
      </c>
      <c r="W156" s="57" t="s">
        <v>62</v>
      </c>
      <c r="X156" s="57" t="s">
        <v>9</v>
      </c>
      <c r="Y156" s="57"/>
      <c r="Z156" s="60"/>
      <c r="AA156" s="12"/>
      <c r="AB156" s="28" t="s">
        <v>30</v>
      </c>
      <c r="AC156" s="28" t="s">
        <v>1</v>
      </c>
      <c r="AD156" s="57" t="s">
        <v>10</v>
      </c>
      <c r="AE156" s="57"/>
      <c r="AF156" s="57" t="s">
        <v>64</v>
      </c>
      <c r="AG156" s="60"/>
      <c r="AH156" s="28" t="s">
        <v>30</v>
      </c>
      <c r="AI156" s="28" t="s">
        <v>1</v>
      </c>
      <c r="AJ156" s="57" t="s">
        <v>10</v>
      </c>
      <c r="AK156" s="57"/>
      <c r="AL156" s="57" t="s">
        <v>64</v>
      </c>
      <c r="AS156" s="33"/>
    </row>
    <row r="157" spans="2:63" ht="15.75" customHeight="1" x14ac:dyDescent="0.2">
      <c r="B157" s="33">
        <v>100</v>
      </c>
      <c r="C157" s="33"/>
      <c r="D157" s="29">
        <v>0.6</v>
      </c>
      <c r="E157" s="50">
        <v>5</v>
      </c>
      <c r="F157">
        <v>10</v>
      </c>
      <c r="R157" t="s">
        <v>38</v>
      </c>
      <c r="T157" s="33"/>
      <c r="U157" s="33"/>
      <c r="V157" s="33">
        <v>200</v>
      </c>
      <c r="W157" s="33"/>
      <c r="X157" s="33"/>
      <c r="Y157" s="33"/>
      <c r="Z157" s="67"/>
      <c r="AB157" s="33" t="e">
        <f>#REF!</f>
        <v>#REF!</v>
      </c>
      <c r="AC157" s="33">
        <f>V157*D157</f>
        <v>120</v>
      </c>
      <c r="AD157" s="33"/>
      <c r="AE157" s="33"/>
      <c r="AF157" s="44" t="e">
        <f>AC157/AB157</f>
        <v>#REF!</v>
      </c>
      <c r="AG157" s="44"/>
      <c r="AH157" s="33" t="e">
        <f>#REF!</f>
        <v>#REF!</v>
      </c>
      <c r="AI157" s="31">
        <f>V157*(1-D157)</f>
        <v>80</v>
      </c>
      <c r="AJ157" s="33"/>
      <c r="AK157" s="33"/>
      <c r="AL157" s="32" t="e">
        <f>AI157/AH157</f>
        <v>#REF!</v>
      </c>
    </row>
    <row r="158" spans="2:63" ht="15.75" customHeight="1" x14ac:dyDescent="0.2">
      <c r="B158" s="36">
        <v>100</v>
      </c>
      <c r="C158" s="36"/>
      <c r="D158" s="37">
        <v>0.6</v>
      </c>
      <c r="E158" s="51">
        <v>5</v>
      </c>
      <c r="F158" s="35">
        <v>10</v>
      </c>
      <c r="G158" s="35"/>
      <c r="H158" s="35"/>
      <c r="R158" s="35" t="s">
        <v>39</v>
      </c>
      <c r="S158" s="35"/>
      <c r="T158" s="35"/>
      <c r="U158" s="35"/>
      <c r="V158" s="35"/>
      <c r="W158" s="35"/>
      <c r="X158" s="35"/>
      <c r="Y158" s="35"/>
      <c r="AB158" s="38" t="s">
        <v>34</v>
      </c>
      <c r="AC158" s="38" t="s">
        <v>34</v>
      </c>
      <c r="AD158" s="38"/>
      <c r="AE158" s="38"/>
      <c r="AF158" s="38" t="s">
        <v>34</v>
      </c>
      <c r="AG158" s="31"/>
      <c r="AH158" s="38" t="s">
        <v>34</v>
      </c>
      <c r="AI158" s="38" t="s">
        <v>34</v>
      </c>
      <c r="AJ158" s="38"/>
      <c r="AK158" s="38"/>
      <c r="AL158" s="38" t="s">
        <v>34</v>
      </c>
    </row>
    <row r="159" spans="2:63" ht="15.75" customHeight="1" x14ac:dyDescent="0.2">
      <c r="B159" s="33">
        <v>100</v>
      </c>
      <c r="C159" s="33"/>
      <c r="D159" s="29">
        <v>0.6</v>
      </c>
      <c r="E159" s="50">
        <v>5</v>
      </c>
      <c r="F159">
        <v>10</v>
      </c>
      <c r="R159" t="s">
        <v>40</v>
      </c>
      <c r="T159" s="33"/>
      <c r="U159" s="33"/>
      <c r="V159" s="33">
        <v>500</v>
      </c>
      <c r="W159" s="33"/>
      <c r="X159" s="33"/>
      <c r="Y159" s="33"/>
      <c r="Z159" s="67"/>
      <c r="AB159" s="33" t="e">
        <f>#REF!</f>
        <v>#REF!</v>
      </c>
      <c r="AC159" s="33">
        <f>V159</f>
        <v>500</v>
      </c>
      <c r="AD159" s="33"/>
      <c r="AE159" s="33"/>
      <c r="AF159" s="44" t="e">
        <f>AC159/AB159</f>
        <v>#REF!</v>
      </c>
      <c r="AG159" s="44"/>
      <c r="AH159" s="31" t="s">
        <v>34</v>
      </c>
      <c r="AI159" s="31" t="s">
        <v>34</v>
      </c>
      <c r="AJ159" s="33"/>
      <c r="AK159" s="33"/>
      <c r="AL159" s="31" t="s">
        <v>34</v>
      </c>
    </row>
    <row r="160" spans="2:63" ht="15.75" customHeight="1" x14ac:dyDescent="0.2">
      <c r="B160" s="36">
        <v>100</v>
      </c>
      <c r="C160" s="36"/>
      <c r="D160" s="37">
        <v>0.6</v>
      </c>
      <c r="E160" s="51">
        <v>5</v>
      </c>
      <c r="F160" s="35">
        <v>10</v>
      </c>
      <c r="G160" s="35"/>
      <c r="H160" s="35"/>
      <c r="R160" s="35" t="s">
        <v>41</v>
      </c>
      <c r="S160" s="35"/>
      <c r="T160" s="35"/>
      <c r="U160" s="35"/>
      <c r="V160" s="35"/>
      <c r="W160" s="35"/>
      <c r="X160" s="35"/>
      <c r="Y160" s="35"/>
      <c r="AB160" s="38" t="s">
        <v>34</v>
      </c>
      <c r="AC160" s="38" t="s">
        <v>34</v>
      </c>
      <c r="AD160" s="38"/>
      <c r="AE160" s="38"/>
      <c r="AF160" s="38" t="s">
        <v>34</v>
      </c>
      <c r="AG160" s="31"/>
      <c r="AH160" s="38" t="s">
        <v>34</v>
      </c>
      <c r="AI160" s="38" t="s">
        <v>34</v>
      </c>
      <c r="AJ160" s="38"/>
      <c r="AK160" s="38"/>
      <c r="AL160" s="38" t="s">
        <v>34</v>
      </c>
    </row>
    <row r="161" spans="2:43" ht="15.75" customHeight="1" x14ac:dyDescent="0.2">
      <c r="B161" s="33">
        <v>100</v>
      </c>
      <c r="C161" s="33"/>
      <c r="D161" s="29">
        <v>0.6</v>
      </c>
      <c r="E161" s="50">
        <v>5</v>
      </c>
      <c r="F161">
        <v>10</v>
      </c>
      <c r="R161" t="s">
        <v>42</v>
      </c>
      <c r="T161" s="33"/>
      <c r="U161" s="33"/>
      <c r="V161" s="33">
        <v>350</v>
      </c>
      <c r="W161" s="33"/>
      <c r="X161" s="33"/>
      <c r="Y161" s="33"/>
      <c r="Z161" s="67"/>
      <c r="AB161" s="31" t="s">
        <v>34</v>
      </c>
      <c r="AC161" s="31" t="s">
        <v>34</v>
      </c>
      <c r="AD161" s="31"/>
      <c r="AE161" s="31"/>
      <c r="AF161" s="31" t="s">
        <v>34</v>
      </c>
      <c r="AG161" s="31"/>
      <c r="AH161" s="33" t="e">
        <f>#REF!</f>
        <v>#REF!</v>
      </c>
      <c r="AI161" s="31">
        <f>V161*(1-D161)</f>
        <v>140</v>
      </c>
      <c r="AJ161" s="31"/>
      <c r="AK161" s="31"/>
      <c r="AL161" s="32" t="e">
        <f>AI161/AH161</f>
        <v>#REF!</v>
      </c>
    </row>
    <row r="162" spans="2:43" ht="15.75" customHeight="1" x14ac:dyDescent="0.2">
      <c r="B162" s="36">
        <v>100</v>
      </c>
      <c r="C162" s="36"/>
      <c r="D162" s="37">
        <v>0.6</v>
      </c>
      <c r="E162" s="51">
        <v>5</v>
      </c>
      <c r="F162" s="35">
        <v>10</v>
      </c>
      <c r="G162" s="35"/>
      <c r="H162" s="35"/>
      <c r="R162" s="35" t="s">
        <v>43</v>
      </c>
      <c r="S162" s="35"/>
      <c r="T162" s="35"/>
      <c r="U162" s="35"/>
      <c r="V162" s="35"/>
      <c r="W162" s="35"/>
      <c r="X162" s="35"/>
      <c r="Y162" s="35"/>
      <c r="AB162" s="38" t="s">
        <v>34</v>
      </c>
      <c r="AC162" s="38" t="s">
        <v>34</v>
      </c>
      <c r="AD162" s="38"/>
      <c r="AE162" s="38"/>
      <c r="AF162" s="38" t="s">
        <v>34</v>
      </c>
      <c r="AG162" s="31"/>
      <c r="AH162" s="38" t="s">
        <v>34</v>
      </c>
      <c r="AI162" s="38" t="s">
        <v>34</v>
      </c>
      <c r="AJ162" s="38"/>
      <c r="AK162" s="38"/>
      <c r="AL162" s="38" t="s">
        <v>34</v>
      </c>
    </row>
    <row r="164" spans="2:43" ht="15.75" customHeight="1" x14ac:dyDescent="0.2">
      <c r="B164" s="178" t="s">
        <v>44</v>
      </c>
      <c r="C164" s="34"/>
      <c r="AB164" s="56" t="s">
        <v>27</v>
      </c>
      <c r="AC164" s="12"/>
      <c r="AD164" s="12"/>
      <c r="AE164" s="12"/>
      <c r="AF164" s="12"/>
      <c r="AG164" s="12"/>
      <c r="AH164" s="56" t="s">
        <v>28</v>
      </c>
      <c r="AJ164" s="12"/>
      <c r="AK164" s="12"/>
    </row>
    <row r="165" spans="2:43" ht="15.75" customHeight="1" x14ac:dyDescent="0.2">
      <c r="B165" s="28" t="s">
        <v>61</v>
      </c>
      <c r="C165" s="28"/>
      <c r="D165" s="28" t="s">
        <v>29</v>
      </c>
      <c r="E165" s="57" t="s">
        <v>63</v>
      </c>
      <c r="F165" s="57" t="s">
        <v>72</v>
      </c>
      <c r="G165" s="57"/>
      <c r="H165" s="57"/>
      <c r="I165" s="101"/>
      <c r="J165" s="101"/>
      <c r="K165" s="101"/>
      <c r="L165" s="101"/>
      <c r="M165" s="101"/>
      <c r="N165" s="101"/>
      <c r="O165" s="101"/>
      <c r="P165" s="101"/>
      <c r="R165" s="28" t="s">
        <v>3</v>
      </c>
      <c r="S165" s="28"/>
      <c r="T165" s="57" t="s">
        <v>50</v>
      </c>
      <c r="U165" s="57" t="s">
        <v>70</v>
      </c>
      <c r="V165" s="28" t="s">
        <v>1</v>
      </c>
      <c r="W165" s="57" t="s">
        <v>62</v>
      </c>
      <c r="X165" s="57" t="s">
        <v>9</v>
      </c>
      <c r="Y165" s="57"/>
      <c r="Z165" s="60"/>
      <c r="AA165" s="12"/>
      <c r="AB165" s="28" t="s">
        <v>30</v>
      </c>
      <c r="AC165" s="28" t="s">
        <v>1</v>
      </c>
      <c r="AD165" s="57" t="s">
        <v>10</v>
      </c>
      <c r="AE165" s="57"/>
      <c r="AF165" s="57" t="s">
        <v>64</v>
      </c>
      <c r="AG165" s="60"/>
      <c r="AH165" s="28" t="s">
        <v>30</v>
      </c>
      <c r="AI165" s="28" t="s">
        <v>1</v>
      </c>
      <c r="AJ165" s="57" t="s">
        <v>10</v>
      </c>
      <c r="AK165" s="57"/>
      <c r="AL165" s="57" t="s">
        <v>64</v>
      </c>
    </row>
    <row r="166" spans="2:43" ht="15.75" customHeight="1" x14ac:dyDescent="0.2">
      <c r="B166" s="33">
        <v>100</v>
      </c>
      <c r="C166" s="33"/>
      <c r="D166" s="29">
        <v>0.3</v>
      </c>
      <c r="E166" s="50">
        <v>5</v>
      </c>
      <c r="F166">
        <v>10</v>
      </c>
      <c r="R166" s="45" t="s">
        <v>47</v>
      </c>
      <c r="S166" s="45"/>
      <c r="T166" s="33"/>
      <c r="U166" s="33"/>
      <c r="V166" s="33">
        <v>200</v>
      </c>
      <c r="W166" s="33"/>
      <c r="X166" s="33"/>
      <c r="Y166" s="33"/>
      <c r="Z166" s="67"/>
      <c r="AB166" s="33" t="e">
        <f>#REF!</f>
        <v>#REF!</v>
      </c>
      <c r="AC166" s="33">
        <f>V166*D166</f>
        <v>60</v>
      </c>
      <c r="AD166" s="33"/>
      <c r="AE166" s="33"/>
      <c r="AF166" s="44" t="e">
        <f>AC166/AB166</f>
        <v>#REF!</v>
      </c>
      <c r="AG166" s="44"/>
      <c r="AH166" s="33" t="e">
        <f>#REF!</f>
        <v>#REF!</v>
      </c>
      <c r="AI166" s="31">
        <f>V166*(1-D166)</f>
        <v>140</v>
      </c>
      <c r="AJ166" s="33"/>
      <c r="AK166" s="33"/>
      <c r="AL166" s="32" t="e">
        <f>AI166/AH166</f>
        <v>#REF!</v>
      </c>
    </row>
    <row r="167" spans="2:43" ht="15.75" customHeight="1" x14ac:dyDescent="0.2">
      <c r="B167" s="36">
        <v>100</v>
      </c>
      <c r="C167" s="36"/>
      <c r="D167" s="37">
        <v>0.3</v>
      </c>
      <c r="E167" s="51">
        <v>5</v>
      </c>
      <c r="F167" s="35">
        <v>10</v>
      </c>
      <c r="G167" s="35"/>
      <c r="H167" s="35"/>
      <c r="R167" s="47" t="s">
        <v>45</v>
      </c>
      <c r="S167" s="47"/>
      <c r="T167" s="36"/>
      <c r="U167" s="36"/>
      <c r="V167" s="36">
        <v>300</v>
      </c>
      <c r="W167" s="36"/>
      <c r="X167" s="36"/>
      <c r="Y167" s="36"/>
      <c r="Z167" s="67"/>
      <c r="AB167" s="36" t="e">
        <f>#REF!</f>
        <v>#REF!</v>
      </c>
      <c r="AC167" s="36">
        <f>V167+AC166</f>
        <v>360</v>
      </c>
      <c r="AD167" s="36"/>
      <c r="AE167" s="36"/>
      <c r="AF167" s="48" t="e">
        <f>AC167/AB167</f>
        <v>#REF!</v>
      </c>
      <c r="AG167" s="44"/>
      <c r="AH167" s="36">
        <v>100</v>
      </c>
      <c r="AI167" s="38">
        <f>AI166</f>
        <v>140</v>
      </c>
      <c r="AJ167" s="36"/>
      <c r="AK167" s="36"/>
      <c r="AL167" s="39">
        <v>1.4</v>
      </c>
    </row>
    <row r="168" spans="2:43" ht="15.75" customHeight="1" x14ac:dyDescent="0.2">
      <c r="B168" s="33">
        <v>100</v>
      </c>
      <c r="C168" s="33"/>
      <c r="D168" s="29">
        <v>0.3</v>
      </c>
      <c r="E168" s="50">
        <v>5</v>
      </c>
      <c r="F168">
        <v>10</v>
      </c>
      <c r="R168" s="45" t="s">
        <v>46</v>
      </c>
      <c r="S168" s="45"/>
      <c r="T168" s="33"/>
      <c r="U168" s="33"/>
      <c r="V168" s="33">
        <v>400</v>
      </c>
      <c r="W168" s="33"/>
      <c r="X168" s="33"/>
      <c r="Y168" s="33"/>
      <c r="AB168" s="33">
        <v>100</v>
      </c>
      <c r="AC168" s="33">
        <f>AC167</f>
        <v>360</v>
      </c>
      <c r="AD168" s="33"/>
      <c r="AE168" s="33"/>
      <c r="AF168" s="44">
        <v>3.6</v>
      </c>
      <c r="AG168" s="44"/>
      <c r="AH168" s="33" t="e">
        <f>#REF!</f>
        <v>#REF!</v>
      </c>
      <c r="AI168" s="33">
        <f>V168+AI167</f>
        <v>540</v>
      </c>
      <c r="AJ168" s="33"/>
      <c r="AK168" s="33"/>
      <c r="AL168" s="32" t="e">
        <f>AI168/AH168</f>
        <v>#REF!</v>
      </c>
    </row>
    <row r="169" spans="2:43" ht="15.75" customHeight="1" x14ac:dyDescent="0.2">
      <c r="B169" s="36">
        <v>100</v>
      </c>
      <c r="C169" s="36"/>
      <c r="D169" s="37">
        <v>0.3</v>
      </c>
      <c r="E169" s="51">
        <v>5</v>
      </c>
      <c r="F169" s="35">
        <v>10</v>
      </c>
      <c r="G169" s="35"/>
      <c r="H169" s="35"/>
      <c r="R169" s="47" t="s">
        <v>48</v>
      </c>
      <c r="S169" s="47"/>
      <c r="T169" s="36"/>
      <c r="U169" s="36"/>
      <c r="V169" s="36">
        <v>500</v>
      </c>
      <c r="W169" s="36"/>
      <c r="X169" s="36"/>
      <c r="Y169" s="36"/>
      <c r="Z169" s="67"/>
      <c r="AB169" s="36" t="e">
        <f>#REF!</f>
        <v>#REF!</v>
      </c>
      <c r="AC169" s="36">
        <f>AC168+(V169*D169)</f>
        <v>510</v>
      </c>
      <c r="AD169" s="36"/>
      <c r="AE169" s="36"/>
      <c r="AF169" s="48" t="e">
        <f>AC169/AB169</f>
        <v>#REF!</v>
      </c>
      <c r="AG169" s="44"/>
      <c r="AH169" s="36" t="e">
        <f>#REF!</f>
        <v>#REF!</v>
      </c>
      <c r="AI169" s="36">
        <f>AI168+(V169*(1-D169))</f>
        <v>890</v>
      </c>
      <c r="AJ169" s="36"/>
      <c r="AK169" s="36"/>
      <c r="AL169" s="39" t="e">
        <f>AI169/AH169</f>
        <v>#REF!</v>
      </c>
    </row>
    <row r="171" spans="2:43" ht="15.75" customHeight="1" x14ac:dyDescent="0.2">
      <c r="B171" s="178" t="s">
        <v>98</v>
      </c>
      <c r="C171" s="34"/>
      <c r="AB171" s="56" t="s">
        <v>27</v>
      </c>
      <c r="AC171" s="12"/>
      <c r="AD171" s="12"/>
      <c r="AE171" s="12"/>
      <c r="AF171" s="12"/>
      <c r="AG171" s="12"/>
      <c r="AH171" s="56" t="s">
        <v>28</v>
      </c>
      <c r="AJ171" s="12"/>
      <c r="AK171" s="12"/>
      <c r="AN171" s="34" t="s">
        <v>179</v>
      </c>
    </row>
    <row r="172" spans="2:43" ht="15.75" customHeight="1" x14ac:dyDescent="0.2">
      <c r="B172" s="28" t="s">
        <v>61</v>
      </c>
      <c r="C172" s="28"/>
      <c r="D172" s="28" t="s">
        <v>29</v>
      </c>
      <c r="E172" s="57" t="s">
        <v>63</v>
      </c>
      <c r="F172" s="57" t="s">
        <v>72</v>
      </c>
      <c r="G172" s="57" t="s">
        <v>99</v>
      </c>
      <c r="H172" s="57"/>
      <c r="I172" s="101"/>
      <c r="J172" s="101"/>
      <c r="K172" s="101"/>
      <c r="L172" s="101"/>
      <c r="M172" s="101"/>
      <c r="N172" s="101"/>
      <c r="O172" s="101"/>
      <c r="P172" s="101"/>
      <c r="R172" s="28" t="s">
        <v>3</v>
      </c>
      <c r="S172" s="28"/>
      <c r="T172" s="57" t="s">
        <v>50</v>
      </c>
      <c r="U172" s="57" t="s">
        <v>70</v>
      </c>
      <c r="V172" s="28" t="s">
        <v>1</v>
      </c>
      <c r="W172" s="57" t="s">
        <v>62</v>
      </c>
      <c r="X172" s="57" t="s">
        <v>9</v>
      </c>
      <c r="Y172" s="57"/>
      <c r="Z172" s="60"/>
      <c r="AA172" s="12"/>
      <c r="AB172" s="28" t="s">
        <v>30</v>
      </c>
      <c r="AC172" s="28" t="s">
        <v>1</v>
      </c>
      <c r="AD172" s="57" t="s">
        <v>72</v>
      </c>
      <c r="AE172" s="57" t="s">
        <v>100</v>
      </c>
      <c r="AF172" s="57" t="s">
        <v>64</v>
      </c>
      <c r="AG172" s="60"/>
      <c r="AH172" s="28" t="s">
        <v>30</v>
      </c>
      <c r="AI172" s="28" t="s">
        <v>1</v>
      </c>
      <c r="AJ172" s="57" t="s">
        <v>99</v>
      </c>
      <c r="AK172" s="57" t="s">
        <v>101</v>
      </c>
      <c r="AL172" s="57" t="s">
        <v>64</v>
      </c>
      <c r="AN172" s="28" t="s">
        <v>100</v>
      </c>
      <c r="AO172" s="57" t="s">
        <v>101</v>
      </c>
      <c r="AP172" s="101"/>
      <c r="AQ172" s="101"/>
    </row>
    <row r="173" spans="2:43" ht="15.75" customHeight="1" x14ac:dyDescent="0.2">
      <c r="B173" s="33">
        <v>100</v>
      </c>
      <c r="C173" s="33" t="s">
        <v>187</v>
      </c>
      <c r="D173" s="29">
        <v>0.5</v>
      </c>
      <c r="E173" s="50">
        <v>5</v>
      </c>
      <c r="F173">
        <v>10</v>
      </c>
      <c r="G173">
        <v>20</v>
      </c>
      <c r="R173" s="45" t="s">
        <v>102</v>
      </c>
      <c r="S173" s="45"/>
      <c r="T173" s="33"/>
      <c r="U173" s="33"/>
      <c r="V173" s="33">
        <v>200</v>
      </c>
      <c r="W173" s="50" t="e">
        <f>V173/#REF!</f>
        <v>#REF!</v>
      </c>
      <c r="X173" s="33"/>
      <c r="Y173" s="33"/>
      <c r="Z173" s="67"/>
      <c r="AB173" s="33" t="e">
        <f>#REF!</f>
        <v>#REF!</v>
      </c>
      <c r="AC173" s="33">
        <f>V173*D173</f>
        <v>100</v>
      </c>
      <c r="AD173" s="52" t="e">
        <f>AB173*(1+F173/100)/(1-#REF!/100)</f>
        <v>#REF!</v>
      </c>
      <c r="AE173" s="95" t="e">
        <f t="shared" ref="AE173:AE181" si="30">(B173-AD173)/AD173</f>
        <v>#REF!</v>
      </c>
      <c r="AF173" s="44" t="e">
        <f>AC173/AB173</f>
        <v>#REF!</v>
      </c>
      <c r="AG173" s="44"/>
      <c r="AH173" s="33" t="e">
        <f>#REF!</f>
        <v>#REF!</v>
      </c>
      <c r="AI173" s="31">
        <f>V173*(1-D173)</f>
        <v>100</v>
      </c>
      <c r="AJ173" s="52" t="e">
        <f>AH173*(1+G173/100)/(1-#REF!/100)</f>
        <v>#REF!</v>
      </c>
      <c r="AK173" s="54" t="e">
        <f t="shared" ref="AK173:AK181" si="31">(B173-AJ173)/AJ173</f>
        <v>#REF!</v>
      </c>
      <c r="AL173" s="32" t="e">
        <f>AI173/AH173</f>
        <v>#REF!</v>
      </c>
      <c r="AN173" s="54" t="e">
        <f t="shared" ref="AN173:AN181" si="32">(B173-AD173)/AD173</f>
        <v>#REF!</v>
      </c>
      <c r="AO173" s="54" t="e">
        <f t="shared" ref="AO173:AO181" si="33">(B173-AJ173)/AJ173</f>
        <v>#REF!</v>
      </c>
    </row>
    <row r="174" spans="2:43" ht="15.75" customHeight="1" x14ac:dyDescent="0.2">
      <c r="B174" s="36">
        <v>109</v>
      </c>
      <c r="C174" s="36" t="s">
        <v>187</v>
      </c>
      <c r="D174" s="37">
        <v>0.5</v>
      </c>
      <c r="E174" s="51">
        <v>5</v>
      </c>
      <c r="F174" s="35">
        <v>10</v>
      </c>
      <c r="G174" s="35">
        <v>20</v>
      </c>
      <c r="H174" s="35"/>
      <c r="R174" s="47"/>
      <c r="S174" s="47"/>
      <c r="T174" s="36"/>
      <c r="U174" s="36"/>
      <c r="V174" s="36"/>
      <c r="W174" s="51"/>
      <c r="X174" s="36"/>
      <c r="Y174" s="36"/>
      <c r="Z174" s="67"/>
      <c r="AB174" s="36" t="e">
        <f t="shared" ref="AB174:AD176" si="34">AB173</f>
        <v>#REF!</v>
      </c>
      <c r="AC174" s="36">
        <f t="shared" si="34"/>
        <v>100</v>
      </c>
      <c r="AD174" s="40" t="e">
        <f t="shared" si="34"/>
        <v>#REF!</v>
      </c>
      <c r="AE174" s="116" t="e">
        <f t="shared" si="30"/>
        <v>#REF!</v>
      </c>
      <c r="AF174" s="48" t="e">
        <f>AF173</f>
        <v>#REF!</v>
      </c>
      <c r="AG174" s="44"/>
      <c r="AH174" s="36">
        <v>100</v>
      </c>
      <c r="AI174" s="38">
        <f t="shared" ref="AI174:AJ176" si="35">AI173</f>
        <v>100</v>
      </c>
      <c r="AJ174" s="40" t="e">
        <f t="shared" si="35"/>
        <v>#REF!</v>
      </c>
      <c r="AK174" s="55" t="e">
        <f t="shared" si="31"/>
        <v>#REF!</v>
      </c>
      <c r="AL174" s="39" t="e">
        <f>AL173</f>
        <v>#REF!</v>
      </c>
      <c r="AN174" s="115" t="e">
        <f t="shared" si="32"/>
        <v>#REF!</v>
      </c>
      <c r="AO174" s="55" t="e">
        <f t="shared" si="33"/>
        <v>#REF!</v>
      </c>
    </row>
    <row r="175" spans="2:43" ht="15.75" customHeight="1" x14ac:dyDescent="0.2">
      <c r="B175" s="33">
        <v>115</v>
      </c>
      <c r="C175" s="33" t="s">
        <v>187</v>
      </c>
      <c r="D175" s="29">
        <v>0.5</v>
      </c>
      <c r="E175" s="50">
        <v>5</v>
      </c>
      <c r="F175">
        <v>10</v>
      </c>
      <c r="G175">
        <v>20</v>
      </c>
      <c r="R175" s="45"/>
      <c r="S175" s="45"/>
      <c r="T175" s="33"/>
      <c r="U175" s="33"/>
      <c r="V175" s="33"/>
      <c r="W175" s="50"/>
      <c r="X175" s="33"/>
      <c r="Y175" s="33"/>
      <c r="AB175" s="33" t="e">
        <f t="shared" si="34"/>
        <v>#REF!</v>
      </c>
      <c r="AC175" s="33">
        <f t="shared" si="34"/>
        <v>100</v>
      </c>
      <c r="AD175" s="118" t="e">
        <f t="shared" si="34"/>
        <v>#REF!</v>
      </c>
      <c r="AE175" s="113" t="e">
        <f t="shared" si="30"/>
        <v>#REF!</v>
      </c>
      <c r="AF175" s="44" t="e">
        <f>AF174</f>
        <v>#REF!</v>
      </c>
      <c r="AG175" s="44"/>
      <c r="AH175" s="33">
        <v>100</v>
      </c>
      <c r="AI175" s="31">
        <f t="shared" si="35"/>
        <v>100</v>
      </c>
      <c r="AJ175" s="52" t="e">
        <f t="shared" si="35"/>
        <v>#REF!</v>
      </c>
      <c r="AK175" s="62" t="e">
        <f t="shared" si="31"/>
        <v>#REF!</v>
      </c>
      <c r="AL175" s="32" t="e">
        <f>AL174</f>
        <v>#REF!</v>
      </c>
      <c r="AN175" s="117" t="e">
        <f t="shared" si="32"/>
        <v>#REF!</v>
      </c>
      <c r="AO175" s="54" t="e">
        <f t="shared" si="33"/>
        <v>#REF!</v>
      </c>
    </row>
    <row r="176" spans="2:43" ht="15.75" customHeight="1" x14ac:dyDescent="0.2">
      <c r="B176" s="36">
        <v>122</v>
      </c>
      <c r="C176" s="36" t="s">
        <v>187</v>
      </c>
      <c r="D176" s="37">
        <v>0.5</v>
      </c>
      <c r="E176" s="51">
        <v>5</v>
      </c>
      <c r="F176" s="35">
        <v>10</v>
      </c>
      <c r="G176" s="35">
        <v>20</v>
      </c>
      <c r="H176" s="35"/>
      <c r="R176" s="47"/>
      <c r="S176" s="47"/>
      <c r="T176" s="36"/>
      <c r="U176" s="36"/>
      <c r="V176" s="36"/>
      <c r="W176" s="51"/>
      <c r="X176" s="36"/>
      <c r="Y176" s="36"/>
      <c r="Z176" s="67"/>
      <c r="AB176" s="36" t="e">
        <f t="shared" si="34"/>
        <v>#REF!</v>
      </c>
      <c r="AC176" s="36">
        <f t="shared" si="34"/>
        <v>100</v>
      </c>
      <c r="AD176" s="119" t="e">
        <f t="shared" si="34"/>
        <v>#REF!</v>
      </c>
      <c r="AE176" s="114" t="e">
        <f t="shared" si="30"/>
        <v>#REF!</v>
      </c>
      <c r="AF176" s="48" t="e">
        <f>AF175</f>
        <v>#REF!</v>
      </c>
      <c r="AG176" s="44"/>
      <c r="AH176" s="36">
        <v>100</v>
      </c>
      <c r="AI176" s="38">
        <f t="shared" si="35"/>
        <v>100</v>
      </c>
      <c r="AJ176" s="119" t="e">
        <f t="shared" si="35"/>
        <v>#REF!</v>
      </c>
      <c r="AK176" s="114" t="e">
        <f t="shared" si="31"/>
        <v>#REF!</v>
      </c>
      <c r="AL176" s="39" t="e">
        <f>AL175</f>
        <v>#REF!</v>
      </c>
      <c r="AN176" s="114" t="e">
        <f t="shared" si="32"/>
        <v>#REF!</v>
      </c>
      <c r="AO176" s="114" t="e">
        <f t="shared" si="33"/>
        <v>#REF!</v>
      </c>
    </row>
    <row r="177" spans="2:41" ht="15.75" customHeight="1" x14ac:dyDescent="0.2">
      <c r="B177" s="33">
        <v>100</v>
      </c>
      <c r="C177" s="33" t="s">
        <v>188</v>
      </c>
      <c r="D177" s="29">
        <v>0.5</v>
      </c>
      <c r="E177" s="50">
        <v>5</v>
      </c>
      <c r="F177">
        <v>10</v>
      </c>
      <c r="G177">
        <v>20</v>
      </c>
      <c r="R177" s="45" t="s">
        <v>102</v>
      </c>
      <c r="S177" s="45"/>
      <c r="T177" s="33"/>
      <c r="U177" s="33"/>
      <c r="V177" s="33">
        <v>200</v>
      </c>
      <c r="W177" s="50" t="e">
        <f>V177/#REF!</f>
        <v>#REF!</v>
      </c>
      <c r="X177" s="33"/>
      <c r="Y177" s="33"/>
      <c r="Z177" s="67"/>
      <c r="AB177" s="33" t="e">
        <f>#REF!</f>
        <v>#REF!</v>
      </c>
      <c r="AC177" s="33">
        <f>V177*D177</f>
        <v>100</v>
      </c>
      <c r="AD177" s="52" t="e">
        <f>AB177*(1+F177/100)/(1-#REF!/100)</f>
        <v>#REF!</v>
      </c>
      <c r="AE177" s="95" t="e">
        <f t="shared" si="30"/>
        <v>#REF!</v>
      </c>
      <c r="AF177" s="44" t="e">
        <f>AC177/AB177</f>
        <v>#REF!</v>
      </c>
      <c r="AG177" s="44"/>
      <c r="AH177" s="33" t="e">
        <f>#REF!</f>
        <v>#REF!</v>
      </c>
      <c r="AI177" s="31">
        <f>V177*(1-D177)</f>
        <v>100</v>
      </c>
      <c r="AJ177" s="52" t="e">
        <f>AH177*(1+G177/100)/(1-#REF!/100)</f>
        <v>#REF!</v>
      </c>
      <c r="AK177" s="54" t="e">
        <f t="shared" si="31"/>
        <v>#REF!</v>
      </c>
      <c r="AL177" s="32" t="e">
        <f>AI177/AH177</f>
        <v>#REF!</v>
      </c>
      <c r="AN177" s="54" t="e">
        <f t="shared" si="32"/>
        <v>#REF!</v>
      </c>
      <c r="AO177" s="54" t="e">
        <f t="shared" si="33"/>
        <v>#REF!</v>
      </c>
    </row>
    <row r="178" spans="2:41" ht="15.75" customHeight="1" x14ac:dyDescent="0.2">
      <c r="B178" s="36">
        <v>109</v>
      </c>
      <c r="C178" s="36" t="s">
        <v>188</v>
      </c>
      <c r="D178" s="37">
        <v>0.5</v>
      </c>
      <c r="E178" s="51">
        <v>5</v>
      </c>
      <c r="F178" s="35">
        <v>10</v>
      </c>
      <c r="G178" s="35">
        <v>20</v>
      </c>
      <c r="H178" s="35"/>
      <c r="R178" s="47"/>
      <c r="S178" s="47"/>
      <c r="T178" s="36"/>
      <c r="U178" s="36"/>
      <c r="V178" s="36"/>
      <c r="W178" s="51"/>
      <c r="X178" s="36"/>
      <c r="Y178" s="36"/>
      <c r="Z178" s="67"/>
      <c r="AB178" s="36" t="e">
        <f t="shared" ref="AB178:AD178" si="36">AB177</f>
        <v>#REF!</v>
      </c>
      <c r="AC178" s="36">
        <f t="shared" si="36"/>
        <v>100</v>
      </c>
      <c r="AD178" s="40" t="e">
        <f t="shared" si="36"/>
        <v>#REF!</v>
      </c>
      <c r="AE178" s="55" t="e">
        <f t="shared" si="30"/>
        <v>#REF!</v>
      </c>
      <c r="AF178" s="48" t="e">
        <f>AF177</f>
        <v>#REF!</v>
      </c>
      <c r="AG178" s="44"/>
      <c r="AH178" s="36">
        <v>100</v>
      </c>
      <c r="AI178" s="38">
        <f t="shared" ref="AI178:AJ178" si="37">AI177</f>
        <v>100</v>
      </c>
      <c r="AJ178" s="40" t="e">
        <f t="shared" si="37"/>
        <v>#REF!</v>
      </c>
      <c r="AK178" s="55" t="e">
        <f t="shared" si="31"/>
        <v>#REF!</v>
      </c>
      <c r="AL178" s="39" t="e">
        <f>AL177</f>
        <v>#REF!</v>
      </c>
      <c r="AN178" s="55" t="e">
        <f t="shared" si="32"/>
        <v>#REF!</v>
      </c>
      <c r="AO178" s="55" t="e">
        <f t="shared" si="33"/>
        <v>#REF!</v>
      </c>
    </row>
    <row r="179" spans="2:41" ht="15.75" customHeight="1" x14ac:dyDescent="0.2">
      <c r="B179" s="33">
        <v>115</v>
      </c>
      <c r="C179" s="33" t="s">
        <v>188</v>
      </c>
      <c r="D179" s="29">
        <v>0.5</v>
      </c>
      <c r="E179" s="50">
        <v>5</v>
      </c>
      <c r="F179">
        <v>10</v>
      </c>
      <c r="G179">
        <v>20</v>
      </c>
      <c r="R179" s="45"/>
      <c r="S179" s="45"/>
      <c r="T179" s="33"/>
      <c r="U179" s="33"/>
      <c r="V179" s="33"/>
      <c r="W179" s="50"/>
      <c r="X179" s="33"/>
      <c r="Y179" s="33"/>
      <c r="Z179" s="67"/>
      <c r="AB179" s="33" t="e">
        <f t="shared" ref="AB179:AD179" si="38">AB178</f>
        <v>#REF!</v>
      </c>
      <c r="AC179" s="33">
        <f t="shared" si="38"/>
        <v>100</v>
      </c>
      <c r="AD179" s="118" t="e">
        <f t="shared" si="38"/>
        <v>#REF!</v>
      </c>
      <c r="AE179" s="113" t="e">
        <f t="shared" si="30"/>
        <v>#REF!</v>
      </c>
      <c r="AF179" s="44" t="e">
        <f>AF178</f>
        <v>#REF!</v>
      </c>
      <c r="AG179" s="44"/>
      <c r="AH179" s="33">
        <v>100</v>
      </c>
      <c r="AI179" s="31">
        <f t="shared" ref="AI179:AJ179" si="39">AI178</f>
        <v>100</v>
      </c>
      <c r="AJ179" s="52" t="e">
        <f t="shared" si="39"/>
        <v>#REF!</v>
      </c>
      <c r="AK179" s="62" t="e">
        <f t="shared" si="31"/>
        <v>#REF!</v>
      </c>
      <c r="AL179" s="32" t="e">
        <f>AL178</f>
        <v>#REF!</v>
      </c>
      <c r="AN179" s="117" t="e">
        <f t="shared" si="32"/>
        <v>#REF!</v>
      </c>
      <c r="AO179" s="54" t="e">
        <f t="shared" si="33"/>
        <v>#REF!</v>
      </c>
    </row>
    <row r="180" spans="2:41" ht="15.75" customHeight="1" x14ac:dyDescent="0.2">
      <c r="B180" s="36">
        <v>122</v>
      </c>
      <c r="C180" s="121" t="s">
        <v>188</v>
      </c>
      <c r="D180" s="37">
        <v>0.5</v>
      </c>
      <c r="E180" s="51">
        <v>5</v>
      </c>
      <c r="F180" s="35">
        <v>10</v>
      </c>
      <c r="G180" s="35">
        <v>20</v>
      </c>
      <c r="H180" s="35"/>
      <c r="R180" s="47"/>
      <c r="S180" s="47"/>
      <c r="T180" s="36"/>
      <c r="U180" s="36"/>
      <c r="V180" s="36"/>
      <c r="W180" s="51"/>
      <c r="X180" s="36"/>
      <c r="Y180" s="36"/>
      <c r="Z180" s="67"/>
      <c r="AB180" s="36" t="e">
        <f t="shared" ref="AB180:AD180" si="40">AB179</f>
        <v>#REF!</v>
      </c>
      <c r="AC180" s="36">
        <f t="shared" si="40"/>
        <v>100</v>
      </c>
      <c r="AD180" s="119" t="e">
        <f t="shared" si="40"/>
        <v>#REF!</v>
      </c>
      <c r="AE180" s="114" t="e">
        <f t="shared" si="30"/>
        <v>#REF!</v>
      </c>
      <c r="AF180" s="48" t="e">
        <f>AF179</f>
        <v>#REF!</v>
      </c>
      <c r="AG180" s="44"/>
      <c r="AH180" s="36">
        <v>100</v>
      </c>
      <c r="AI180" s="38">
        <f t="shared" ref="AI180:AJ180" si="41">AI179</f>
        <v>100</v>
      </c>
      <c r="AJ180" s="119" t="e">
        <f t="shared" si="41"/>
        <v>#REF!</v>
      </c>
      <c r="AK180" s="114" t="e">
        <f t="shared" si="31"/>
        <v>#REF!</v>
      </c>
      <c r="AL180" s="39" t="e">
        <f>AL179</f>
        <v>#REF!</v>
      </c>
      <c r="AN180" s="114" t="e">
        <f t="shared" si="32"/>
        <v>#REF!</v>
      </c>
      <c r="AO180" s="114" t="e">
        <f t="shared" si="33"/>
        <v>#REF!</v>
      </c>
    </row>
    <row r="181" spans="2:41" ht="15.75" customHeight="1" x14ac:dyDescent="0.2">
      <c r="B181" s="33">
        <v>122</v>
      </c>
      <c r="C181" s="33" t="s">
        <v>188</v>
      </c>
      <c r="D181" s="29">
        <v>0.5</v>
      </c>
      <c r="E181" s="50">
        <v>5</v>
      </c>
      <c r="F181">
        <v>10</v>
      </c>
      <c r="G181">
        <v>20</v>
      </c>
      <c r="R181" s="45" t="s">
        <v>189</v>
      </c>
      <c r="S181" s="45"/>
      <c r="T181" s="33"/>
      <c r="U181" s="33"/>
      <c r="V181" s="33">
        <v>200</v>
      </c>
      <c r="W181" s="50" t="e">
        <f>V181/#REF!</f>
        <v>#REF!</v>
      </c>
      <c r="X181" s="33"/>
      <c r="Y181" s="33"/>
      <c r="Z181" s="67"/>
      <c r="AB181" s="33" t="e">
        <f>#REF!</f>
        <v>#REF!</v>
      </c>
      <c r="AC181" s="33">
        <f>V181*D181</f>
        <v>100</v>
      </c>
      <c r="AD181" s="118" t="e">
        <f>AB181*(1+F181/100)/(1-#REF!/100)</f>
        <v>#REF!</v>
      </c>
      <c r="AE181" s="113" t="e">
        <f t="shared" si="30"/>
        <v>#REF!</v>
      </c>
      <c r="AF181" s="44" t="e">
        <f>AF180</f>
        <v>#REF!</v>
      </c>
      <c r="AG181" s="44"/>
      <c r="AH181" s="33" t="e">
        <f>#REF!</f>
        <v>#REF!</v>
      </c>
      <c r="AI181" s="31">
        <f>V181*(1-D181)</f>
        <v>100</v>
      </c>
      <c r="AJ181" s="52" t="e">
        <f>AH181*(1+G181/100)/(1-#REF!/100)</f>
        <v>#REF!</v>
      </c>
      <c r="AK181" s="54" t="e">
        <f t="shared" si="31"/>
        <v>#REF!</v>
      </c>
      <c r="AL181" s="32" t="e">
        <f>AI181/AH181</f>
        <v>#REF!</v>
      </c>
      <c r="AN181" s="117" t="e">
        <f t="shared" si="32"/>
        <v>#REF!</v>
      </c>
      <c r="AO181" s="54" t="e">
        <f t="shared" si="33"/>
        <v>#REF!</v>
      </c>
    </row>
    <row r="182" spans="2:41" ht="15.75" customHeight="1" x14ac:dyDescent="0.2">
      <c r="B182" s="33"/>
      <c r="C182" s="33"/>
      <c r="D182" s="29"/>
      <c r="E182" s="50"/>
      <c r="R182" s="45"/>
      <c r="S182" s="45"/>
      <c r="T182" s="33"/>
      <c r="U182" s="33"/>
      <c r="V182" s="33"/>
      <c r="W182" s="50"/>
      <c r="X182" s="33"/>
      <c r="Y182" s="33"/>
      <c r="Z182" s="67"/>
      <c r="AB182" s="33"/>
      <c r="AC182" s="33"/>
      <c r="AD182" s="52"/>
      <c r="AE182" s="62"/>
      <c r="AF182" s="44"/>
      <c r="AG182" s="44"/>
      <c r="AH182" s="33"/>
      <c r="AI182" s="31"/>
      <c r="AJ182" s="33"/>
      <c r="AK182" s="62"/>
      <c r="AL182" s="32"/>
    </row>
    <row r="183" spans="2:41" ht="15.75" customHeight="1" x14ac:dyDescent="0.2">
      <c r="AB183" s="110"/>
      <c r="AC183" s="110"/>
      <c r="AD183" s="110"/>
      <c r="AE183" s="110"/>
      <c r="AF183" s="110"/>
      <c r="AG183" s="110"/>
      <c r="AH183" s="110"/>
      <c r="AI183" s="110"/>
      <c r="AJ183" s="110"/>
      <c r="AK183" s="110"/>
      <c r="AL183" s="110"/>
      <c r="AM183" s="110"/>
    </row>
    <row r="184" spans="2:41" ht="15.75" customHeight="1" x14ac:dyDescent="0.2">
      <c r="B184" s="178" t="s">
        <v>103</v>
      </c>
      <c r="C184" s="34"/>
      <c r="AB184" s="110"/>
      <c r="AC184" s="110"/>
      <c r="AD184" s="111"/>
      <c r="AE184" s="110"/>
      <c r="AF184" s="110"/>
      <c r="AG184" s="110"/>
      <c r="AH184" s="110"/>
      <c r="AI184" s="110"/>
      <c r="AJ184" s="110"/>
      <c r="AK184" s="110"/>
      <c r="AL184" s="110"/>
      <c r="AM184" s="110"/>
    </row>
    <row r="185" spans="2:41" ht="15.75" customHeight="1" x14ac:dyDescent="0.2">
      <c r="B185" s="28" t="s">
        <v>61</v>
      </c>
      <c r="C185" s="28"/>
      <c r="D185" s="28" t="s">
        <v>29</v>
      </c>
      <c r="E185" s="57" t="s">
        <v>63</v>
      </c>
      <c r="F185" s="57" t="s">
        <v>72</v>
      </c>
      <c r="G185" s="57" t="s">
        <v>99</v>
      </c>
      <c r="H185" s="57"/>
      <c r="I185" s="101"/>
      <c r="J185" s="101"/>
      <c r="K185" s="101"/>
      <c r="L185" s="101"/>
      <c r="M185" s="101"/>
      <c r="N185" s="101"/>
      <c r="O185" s="101"/>
      <c r="P185" s="101"/>
      <c r="AB185" s="110"/>
      <c r="AC185" s="110"/>
      <c r="AD185" s="112"/>
      <c r="AE185" s="110"/>
      <c r="AF185" s="110"/>
      <c r="AG185" s="110"/>
      <c r="AH185" s="110"/>
      <c r="AI185" s="110"/>
      <c r="AJ185" s="110"/>
      <c r="AK185" s="110"/>
      <c r="AL185" s="110"/>
      <c r="AM185" s="110"/>
    </row>
    <row r="186" spans="2:41" ht="15.75" customHeight="1" x14ac:dyDescent="0.2">
      <c r="B186" s="33">
        <v>100</v>
      </c>
      <c r="C186" s="33"/>
      <c r="D186" s="29">
        <v>0.5</v>
      </c>
      <c r="E186" s="50">
        <v>5</v>
      </c>
      <c r="F186">
        <v>10</v>
      </c>
      <c r="G186">
        <v>20</v>
      </c>
      <c r="AB186" s="110"/>
      <c r="AC186" s="110"/>
      <c r="AD186" s="110"/>
      <c r="AE186" s="110"/>
      <c r="AF186" s="110"/>
      <c r="AG186" s="110"/>
      <c r="AH186" s="110"/>
      <c r="AI186" s="110"/>
      <c r="AJ186" s="110"/>
      <c r="AK186" s="110"/>
      <c r="AL186" s="110"/>
      <c r="AM186" s="110"/>
    </row>
    <row r="187" spans="2:41" ht="15.75" customHeight="1" x14ac:dyDescent="0.2">
      <c r="B187" s="36">
        <v>109</v>
      </c>
      <c r="C187" s="36"/>
      <c r="D187" s="37">
        <v>0.5</v>
      </c>
      <c r="E187" s="51">
        <v>5</v>
      </c>
      <c r="F187" s="35">
        <v>10</v>
      </c>
      <c r="G187" s="35">
        <v>20</v>
      </c>
      <c r="H187" s="35"/>
      <c r="AB187" s="110"/>
      <c r="AC187" s="110"/>
      <c r="AD187" s="110"/>
      <c r="AE187" s="110"/>
      <c r="AF187" s="110"/>
      <c r="AG187" s="110"/>
      <c r="AH187" s="110"/>
      <c r="AI187" s="110"/>
      <c r="AJ187" s="110"/>
      <c r="AK187" s="110"/>
      <c r="AL187" s="110"/>
      <c r="AM187" s="110"/>
    </row>
    <row r="188" spans="2:41" ht="15.75" customHeight="1" x14ac:dyDescent="0.2">
      <c r="B188" s="33">
        <v>115</v>
      </c>
      <c r="C188" s="33"/>
      <c r="D188" s="29">
        <v>0.5</v>
      </c>
      <c r="E188" s="50">
        <v>5</v>
      </c>
      <c r="F188">
        <v>10</v>
      </c>
      <c r="G188">
        <v>20</v>
      </c>
      <c r="AB188" s="110"/>
      <c r="AC188" s="110"/>
      <c r="AD188" s="110"/>
      <c r="AE188" s="110"/>
      <c r="AF188" s="110"/>
      <c r="AG188" s="110"/>
      <c r="AH188" s="110"/>
      <c r="AI188" s="110"/>
      <c r="AJ188" s="110"/>
      <c r="AK188" s="110"/>
      <c r="AL188" s="110"/>
      <c r="AM188" s="110"/>
    </row>
    <row r="189" spans="2:41" ht="15.75" customHeight="1" x14ac:dyDescent="0.2">
      <c r="B189" s="36">
        <v>122</v>
      </c>
      <c r="C189" s="36"/>
      <c r="D189" s="37">
        <v>0.5</v>
      </c>
      <c r="E189" s="51">
        <v>5</v>
      </c>
      <c r="F189" s="35">
        <v>10</v>
      </c>
      <c r="G189" s="35">
        <v>20</v>
      </c>
      <c r="H189" s="35"/>
      <c r="AB189" s="110"/>
      <c r="AC189" s="110"/>
      <c r="AD189" s="110"/>
      <c r="AE189" s="110"/>
      <c r="AF189" s="110"/>
      <c r="AG189" s="110"/>
      <c r="AH189" s="110"/>
      <c r="AI189" s="110"/>
      <c r="AJ189" s="110"/>
      <c r="AK189" s="110"/>
      <c r="AL189" s="110"/>
      <c r="AM189" s="110"/>
    </row>
    <row r="190" spans="2:41" ht="15.75" customHeight="1" x14ac:dyDescent="0.2">
      <c r="AM190" s="120"/>
    </row>
    <row r="191" spans="2:41" ht="15.75" customHeight="1" x14ac:dyDescent="0.2">
      <c r="B191" s="178" t="s">
        <v>175</v>
      </c>
      <c r="C191" s="34"/>
      <c r="AB191" s="56" t="s">
        <v>186</v>
      </c>
      <c r="AC191" s="12"/>
      <c r="AD191" s="12"/>
      <c r="AE191" s="34" t="s">
        <v>179</v>
      </c>
      <c r="AH191" s="46"/>
      <c r="AI191" s="45"/>
      <c r="AJ191" s="46"/>
      <c r="AK191" s="46"/>
      <c r="AL191" s="45"/>
    </row>
    <row r="192" spans="2:41" ht="15.75" customHeight="1" x14ac:dyDescent="0.2">
      <c r="B192" s="28" t="s">
        <v>110</v>
      </c>
      <c r="C192" s="28" t="s">
        <v>114</v>
      </c>
      <c r="D192" s="28" t="s">
        <v>29</v>
      </c>
      <c r="E192" s="57" t="s">
        <v>63</v>
      </c>
      <c r="F192" s="57" t="s">
        <v>72</v>
      </c>
      <c r="G192" s="57" t="s">
        <v>99</v>
      </c>
      <c r="H192" s="57"/>
      <c r="I192" s="101"/>
      <c r="J192" s="101"/>
      <c r="K192" s="101"/>
      <c r="L192" s="101"/>
      <c r="M192" s="101"/>
      <c r="N192" s="101"/>
      <c r="O192" s="101"/>
      <c r="P192" s="101"/>
      <c r="R192" s="28" t="s">
        <v>3</v>
      </c>
      <c r="S192" s="28"/>
      <c r="T192" s="28"/>
      <c r="U192" s="57" t="s">
        <v>70</v>
      </c>
      <c r="V192" s="28" t="s">
        <v>1</v>
      </c>
      <c r="W192" s="57" t="s">
        <v>62</v>
      </c>
      <c r="X192" s="101"/>
      <c r="Y192" s="101"/>
      <c r="AB192" s="57" t="s">
        <v>0</v>
      </c>
      <c r="AC192" s="57" t="s">
        <v>9</v>
      </c>
      <c r="AD192" s="101"/>
      <c r="AE192" s="57" t="s">
        <v>182</v>
      </c>
      <c r="AF192" s="57" t="s">
        <v>183</v>
      </c>
      <c r="AG192" s="57" t="s">
        <v>181</v>
      </c>
      <c r="AH192" s="101"/>
      <c r="AI192" s="101"/>
      <c r="AJ192" s="101"/>
      <c r="AK192" s="101"/>
      <c r="AL192" s="101"/>
    </row>
    <row r="193" spans="2:44" ht="15.75" customHeight="1" x14ac:dyDescent="0.2">
      <c r="B193" s="33">
        <v>100</v>
      </c>
      <c r="C193" s="99" t="s">
        <v>176</v>
      </c>
      <c r="D193" s="29">
        <v>0.5</v>
      </c>
      <c r="E193" s="50">
        <v>5</v>
      </c>
      <c r="F193">
        <v>10</v>
      </c>
      <c r="G193">
        <v>20</v>
      </c>
      <c r="R193" s="45" t="s">
        <v>75</v>
      </c>
      <c r="S193" s="45"/>
      <c r="T193" s="33"/>
      <c r="U193" s="33"/>
      <c r="V193" s="33">
        <v>500</v>
      </c>
      <c r="W193" s="50" t="e">
        <f>V193/#REF!</f>
        <v>#REF!</v>
      </c>
      <c r="X193" s="52"/>
      <c r="Y193" s="52"/>
      <c r="AB193" s="33"/>
      <c r="AC193" s="33"/>
      <c r="AD193" s="33"/>
      <c r="AE193" s="100" t="e">
        <f>IF(
      OR(
        (B193*(1+#REF!/100)/C200-1)*100 &lt;= -E193,
        (B193*(1+#REF!/100)/C201-1)*100 &lt;= -E193,
        (B193*(1+#REF!/100)/C202-1)*100 &lt;= -E193,
        (B193*(1+#REF!/100)/C203-1)*100 &lt;= -E193,
        (B193*(1+#REF!/100)/C204-1)*100 &lt;= -E193
      ),
      MIN(
        IF((B193*(1+#REF!/100)/C200-1)*100 &lt;= -E193, (B193*(1+#REF!/100)/C200-1)*100, 0),
        IF((B193*(1+#REF!/100)/C201-1)*100 &lt;= -E193, (B193*(1+#REF!/100)/C201-1)*100, 0),
        IF((B193*(1+#REF!/100)/C202-1)*100 &lt;= -E193, (B193*(1+#REF!/100)/C202-1)*100, 0),
        IF((B193*(1+#REF!/100)/C203-1)*100 &lt;= -E193, (B193*(1+#REF!/100)/C203-1)*100, 0),
        IF((B193*(1+#REF!/100)/C204-1)*100 &lt;= -E193, (B193*(1+#REF!/100)/C204-1)*100, 0)
      )/100,
      ""
    )</f>
        <v>#REF!</v>
      </c>
      <c r="AF193" s="92" t="s">
        <v>34</v>
      </c>
      <c r="AG193" t="s">
        <v>184</v>
      </c>
      <c r="AH193" s="99"/>
      <c r="AI193" s="102"/>
      <c r="AJ193" s="99"/>
      <c r="AK193" s="103"/>
      <c r="AL193" s="104"/>
    </row>
    <row r="194" spans="2:44" ht="15.75" customHeight="1" x14ac:dyDescent="0.2">
      <c r="B194" s="36"/>
      <c r="C194" s="36"/>
      <c r="D194" s="37"/>
      <c r="E194" s="51"/>
      <c r="F194" s="35"/>
      <c r="G194" s="35"/>
      <c r="H194" s="35"/>
      <c r="R194" s="47" t="s">
        <v>75</v>
      </c>
      <c r="S194" s="47"/>
      <c r="T194" s="36"/>
      <c r="U194" s="36"/>
      <c r="V194" s="36">
        <v>200</v>
      </c>
      <c r="W194" s="51" t="e">
        <f>V194/#REF!</f>
        <v>#REF!</v>
      </c>
      <c r="X194" s="52"/>
      <c r="Y194" s="52"/>
      <c r="AB194" s="36"/>
      <c r="AC194" s="36"/>
      <c r="AD194" s="33"/>
      <c r="AE194" s="107" t="e">
        <f>IF(
      OR(
        (B193*(1+#REF!/100)/C200-1)*100 &lt;= -E193,
        (B193*(1+#REF!/100)/C201-1)*100 &lt;= -E193,
        (B193*(1+#REF!/100)/C202-1)*100 &lt;= -E193,
        (B193*(1+#REF!/100)/C203-1)*100 &lt;= -E193,
        (B193*(1+#REF!/100)/C204-1)*100 &lt;= -E193
      ),
      MIN(
        IF((B193*(1+#REF!/100)/C200-1)*100 &lt;= -E193, (B193*(1+#REF!/100)/C200-1)*100, 0),
        IF((B193*(1+#REF!/100)/C201-1)*100 &lt;= -E193, (B193*(1+#REF!/100)/C201-1)*100, 0),
        IF((B193*(1+#REF!/100)/C202-1)*100 &lt;= -E193, (B193*(1+#REF!/100)/C202-1)*100, 0),
        IF((B193*(1+#REF!/100)/C203-1)*100 &lt;= -E193, (B193*(1+#REF!/100)/C203-1)*100, 0),
        IF((B193*(1+#REF!/100)/C204-1)*100 &lt;= -E193, (B193*(1+#REF!/100)/C204-1)*100, 0)
      )/100,
      ""
    )</f>
        <v>#REF!</v>
      </c>
      <c r="AF194" s="105" t="s">
        <v>34</v>
      </c>
      <c r="AG194" s="35" t="e">
        <f>#REF!</f>
        <v>#REF!</v>
      </c>
      <c r="AH194" s="99"/>
      <c r="AI194" s="102"/>
      <c r="AJ194" s="99"/>
      <c r="AK194" s="103"/>
      <c r="AL194" s="104"/>
    </row>
    <row r="195" spans="2:44" ht="15.75" customHeight="1" x14ac:dyDescent="0.2">
      <c r="B195" s="33">
        <v>50</v>
      </c>
      <c r="C195" s="99" t="s">
        <v>185</v>
      </c>
      <c r="D195" s="29">
        <v>0.5</v>
      </c>
      <c r="E195" s="50">
        <v>8</v>
      </c>
      <c r="F195">
        <v>10</v>
      </c>
      <c r="G195">
        <v>20</v>
      </c>
      <c r="R195" s="45" t="s">
        <v>75</v>
      </c>
      <c r="S195" s="45"/>
      <c r="T195" s="33"/>
      <c r="U195" s="33"/>
      <c r="V195" s="33">
        <v>600</v>
      </c>
      <c r="W195" s="50" t="e">
        <f>V195/#REF!</f>
        <v>#REF!</v>
      </c>
      <c r="X195" s="52"/>
      <c r="Y195" s="52"/>
      <c r="AB195" s="33" t="e">
        <f>#REF!</f>
        <v>#REF!</v>
      </c>
      <c r="AC195" s="52" t="e">
        <f>AB195 * (1 - $E$195%)</f>
        <v>#REF!</v>
      </c>
      <c r="AD195" s="33"/>
      <c r="AF195" s="54" t="e">
        <f>($B$195 -#REF!) /#REF!</f>
        <v>#REF!</v>
      </c>
      <c r="AG195" t="e">
        <f>#REF!</f>
        <v>#REF!</v>
      </c>
      <c r="AH195" s="99"/>
      <c r="AI195" s="102"/>
      <c r="AJ195" s="99"/>
      <c r="AK195" s="103"/>
      <c r="AL195" s="104"/>
    </row>
    <row r="196" spans="2:44" ht="15.75" customHeight="1" x14ac:dyDescent="0.2">
      <c r="B196" s="36"/>
      <c r="C196" s="36"/>
      <c r="D196" s="37"/>
      <c r="E196" s="51"/>
      <c r="F196" s="35"/>
      <c r="G196" s="35"/>
      <c r="H196" s="35"/>
      <c r="R196" s="47" t="s">
        <v>75</v>
      </c>
      <c r="S196" s="47"/>
      <c r="T196" s="36"/>
      <c r="U196" s="36"/>
      <c r="V196" s="36">
        <v>520</v>
      </c>
      <c r="W196" s="51" t="e">
        <f>V196/#REF!</f>
        <v>#REF!</v>
      </c>
      <c r="X196" s="52"/>
      <c r="Y196" s="52"/>
      <c r="AB196" s="36" t="e">
        <f>#REF!</f>
        <v>#REF!</v>
      </c>
      <c r="AC196" s="40" t="e">
        <f t="shared" ref="AC196:AC197" si="42">AB196 * (1 - $E$195%)</f>
        <v>#REF!</v>
      </c>
      <c r="AD196" s="33"/>
      <c r="AE196" s="35"/>
      <c r="AF196" s="55" t="e">
        <f>($B$195 -#REF!) /#REF!</f>
        <v>#REF!</v>
      </c>
      <c r="AG196" s="35" t="e">
        <f>#REF!</f>
        <v>#REF!</v>
      </c>
      <c r="AH196" s="99"/>
      <c r="AI196" s="102"/>
      <c r="AJ196" s="99"/>
      <c r="AK196" s="103"/>
      <c r="AL196" s="104"/>
    </row>
    <row r="197" spans="2:44" ht="15.75" customHeight="1" x14ac:dyDescent="0.2">
      <c r="B197" s="33"/>
      <c r="C197" s="33"/>
      <c r="D197" s="29"/>
      <c r="E197" s="50"/>
      <c r="R197" t="s">
        <v>75</v>
      </c>
      <c r="V197" s="33">
        <v>700</v>
      </c>
      <c r="W197" s="50" t="e">
        <f>V197/#REF!</f>
        <v>#REF!</v>
      </c>
      <c r="X197" s="52"/>
      <c r="Y197" s="52"/>
      <c r="AB197" s="33" t="e">
        <f>#REF!</f>
        <v>#REF!</v>
      </c>
      <c r="AC197" s="52" t="e">
        <f t="shared" si="42"/>
        <v>#REF!</v>
      </c>
      <c r="AF197" s="54" t="e">
        <f>($B$195 -#REF!) /#REF!</f>
        <v>#REF!</v>
      </c>
      <c r="AG197" t="e">
        <f>#REF!</f>
        <v>#REF!</v>
      </c>
      <c r="AH197" s="45"/>
      <c r="AI197" s="45"/>
      <c r="AJ197" s="45"/>
      <c r="AK197" s="45"/>
      <c r="AL197" s="45"/>
    </row>
    <row r="198" spans="2:44" ht="15.75" customHeight="1" x14ac:dyDescent="0.2">
      <c r="B198" s="99" t="s">
        <v>177</v>
      </c>
      <c r="C198" s="33"/>
      <c r="D198" s="29"/>
      <c r="E198" s="50"/>
      <c r="R198" s="47" t="s">
        <v>75</v>
      </c>
      <c r="S198" s="47"/>
      <c r="T198" s="35"/>
      <c r="U198" s="35"/>
      <c r="V198" s="36">
        <v>255</v>
      </c>
      <c r="W198" s="51" t="e">
        <f>V198/#REF!</f>
        <v>#REF!</v>
      </c>
      <c r="AB198" s="36" t="e">
        <f>#REF!</f>
        <v>#REF!</v>
      </c>
      <c r="AC198" s="40" t="e">
        <f>(AB198 * (1 - $E$195%)) / (1 +#REF! %)</f>
        <v>#REF!</v>
      </c>
      <c r="AE198" s="35"/>
      <c r="AF198" s="106" t="e">
        <f>($B$195 -#REF!) /#REF!</f>
        <v>#REF!</v>
      </c>
      <c r="AG198" s="35" t="e">
        <f>#REF!</f>
        <v>#REF!</v>
      </c>
    </row>
    <row r="199" spans="2:44" ht="15.75" customHeight="1" x14ac:dyDescent="0.2">
      <c r="B199" s="57" t="s">
        <v>2</v>
      </c>
      <c r="C199" s="57" t="s">
        <v>178</v>
      </c>
      <c r="D199" s="57" t="s">
        <v>180</v>
      </c>
      <c r="R199" s="45" t="s">
        <v>75</v>
      </c>
      <c r="S199" s="45"/>
      <c r="V199" s="33">
        <v>1100</v>
      </c>
      <c r="W199" s="50" t="e">
        <f>V199/#REF!</f>
        <v>#REF!</v>
      </c>
      <c r="AB199" s="33" t="e">
        <f>#REF!</f>
        <v>#REF!</v>
      </c>
      <c r="AE199" s="100" t="e">
        <f>IF(
      OR(
        (B193*(1+#REF!/100)/C200-1)*100 &lt;= -E193,
        (B193*(1+#REF!/100)/C201-1)*100 &lt;= -E193,
        (B193*(1+#REF!/100)/C202-1)*100 &lt;= -E193,
        (B193*(1+#REF!/100)/C203-1)*100 &lt;= -E193,
        (B193*(1+#REF!/100)/C204-1)*100 &lt;= -E193
      ),
      MIN(
        IF((B193*(1+#REF!/100)/C200-1)*100 &lt;= -E193, (B193*(1+#REF!/100)/C200-1)*100, 0),
        IF((B193*(1+#REF!/100)/C201-1)*100 &lt;= -E193, (B193*(1+#REF!/100)/C201-1)*100, 0),
        IF((B193*(1+#REF!/100)/C202-1)*100 &lt;= -E193, (B193*(1+#REF!/100)/C202-1)*100, 0),
        IF((B193*(1+#REF!/100)/C203-1)*100 &lt;= -E193, (B193*(1+#REF!/100)/C203-1)*100, 0),
        IF((B193*(1+#REF!/100)/C204-1)*100 &lt;= -E193, (B193*(1+#REF!/100)/C204-1)*100, 0)
      )/100,
      ""
    )</f>
        <v>#REF!</v>
      </c>
      <c r="AF199" s="108" t="e">
        <f>($B$193 -#REF!) /#REF!</f>
        <v>#REF!</v>
      </c>
      <c r="AG199" t="e">
        <f>#REF!</f>
        <v>#REF!</v>
      </c>
    </row>
    <row r="200" spans="2:44" ht="15.75" customHeight="1" x14ac:dyDescent="0.2">
      <c r="B200" s="98">
        <v>45924</v>
      </c>
      <c r="C200" s="97">
        <v>106</v>
      </c>
    </row>
    <row r="201" spans="2:44" ht="15.75" customHeight="1" x14ac:dyDescent="0.2">
      <c r="B201" s="98">
        <v>45923</v>
      </c>
      <c r="C201" s="97">
        <v>105</v>
      </c>
    </row>
    <row r="202" spans="2:44" ht="15.75" customHeight="1" x14ac:dyDescent="0.2">
      <c r="B202" s="98">
        <v>45922</v>
      </c>
      <c r="C202" s="97">
        <v>108</v>
      </c>
    </row>
    <row r="203" spans="2:44" ht="15.75" customHeight="1" x14ac:dyDescent="0.2">
      <c r="B203" s="98">
        <v>45921</v>
      </c>
      <c r="C203" s="97">
        <v>107</v>
      </c>
    </row>
    <row r="204" spans="2:44" ht="15.75" customHeight="1" x14ac:dyDescent="0.2">
      <c r="B204" s="98">
        <v>45920</v>
      </c>
      <c r="C204" s="97">
        <v>104</v>
      </c>
      <c r="Q204" s="45"/>
      <c r="AC204" s="68"/>
    </row>
    <row r="205" spans="2:44" ht="15.75" customHeight="1" x14ac:dyDescent="0.2">
      <c r="Q205" s="45"/>
    </row>
    <row r="206" spans="2:44" ht="15.75" customHeight="1" x14ac:dyDescent="0.2">
      <c r="Q206" s="45"/>
    </row>
    <row r="207" spans="2:44" ht="15.75" customHeight="1" x14ac:dyDescent="0.2">
      <c r="Q207" s="92"/>
      <c r="AC207" s="45" t="s">
        <v>74</v>
      </c>
      <c r="AM207" s="45" t="s">
        <v>94</v>
      </c>
    </row>
    <row r="208" spans="2:44" ht="15.75" customHeight="1" x14ac:dyDescent="0.2">
      <c r="AC208" s="69" t="s">
        <v>2</v>
      </c>
      <c r="AD208" s="70" t="s">
        <v>3</v>
      </c>
      <c r="AE208" s="70"/>
      <c r="AF208" s="70" t="s">
        <v>76</v>
      </c>
      <c r="AG208" s="70" t="s">
        <v>4</v>
      </c>
      <c r="AH208" s="70" t="s">
        <v>0</v>
      </c>
      <c r="AI208" s="70" t="s">
        <v>1</v>
      </c>
      <c r="AJ208" s="70" t="s">
        <v>62</v>
      </c>
      <c r="AK208" s="70"/>
      <c r="AL208" s="70" t="s">
        <v>77</v>
      </c>
      <c r="AM208" s="70" t="s">
        <v>84</v>
      </c>
      <c r="AN208" s="70" t="s">
        <v>83</v>
      </c>
      <c r="AO208" s="70" t="s">
        <v>7</v>
      </c>
      <c r="AP208" s="70" t="s">
        <v>81</v>
      </c>
      <c r="AQ208" s="70" t="s">
        <v>79</v>
      </c>
      <c r="AR208" s="70" t="s">
        <v>82</v>
      </c>
    </row>
    <row r="209" spans="26:44" ht="15.75" customHeight="1" x14ac:dyDescent="0.2">
      <c r="AC209" s="78">
        <v>45658</v>
      </c>
      <c r="AD209" s="79" t="s">
        <v>75</v>
      </c>
      <c r="AE209" s="79"/>
      <c r="AF209" s="80" t="s">
        <v>85</v>
      </c>
      <c r="AG209" s="79" t="s">
        <v>78</v>
      </c>
      <c r="AH209" s="81">
        <v>200</v>
      </c>
      <c r="AI209" s="81">
        <v>200</v>
      </c>
      <c r="AJ209" s="82">
        <f>AI209/AH209</f>
        <v>1</v>
      </c>
      <c r="AK209" s="82"/>
      <c r="AL209" s="79"/>
      <c r="AM209" s="82">
        <v>1</v>
      </c>
      <c r="AN209" s="82">
        <f>AM209/2</f>
        <v>0.5</v>
      </c>
      <c r="AO209" s="83">
        <f>AM209/2</f>
        <v>0.5</v>
      </c>
      <c r="AP209" s="81">
        <v>0</v>
      </c>
      <c r="AQ209" s="84">
        <f>ABS(AP209-AI209)</f>
        <v>200</v>
      </c>
      <c r="AR209" s="85">
        <f>((AP209+(AJ209*AH209)-AQ209)/AQ209)</f>
        <v>0</v>
      </c>
    </row>
    <row r="210" spans="26:44" ht="15.75" customHeight="1" x14ac:dyDescent="0.2">
      <c r="AC210" s="71">
        <v>45659</v>
      </c>
      <c r="AD210" s="72" t="s">
        <v>73</v>
      </c>
      <c r="AE210" s="72"/>
      <c r="AF210" s="74" t="s">
        <v>86</v>
      </c>
      <c r="AG210" s="72" t="s">
        <v>10</v>
      </c>
      <c r="AH210" s="73">
        <v>220</v>
      </c>
      <c r="AI210" s="72"/>
      <c r="AJ210" s="75">
        <f>AN209</f>
        <v>0.5</v>
      </c>
      <c r="AK210" s="75"/>
      <c r="AL210" s="73">
        <f>AH210*AJ210</f>
        <v>110</v>
      </c>
      <c r="AM210" s="75">
        <v>0.5</v>
      </c>
      <c r="AN210" s="75">
        <v>0</v>
      </c>
      <c r="AO210" s="75">
        <v>0.5</v>
      </c>
      <c r="AP210" s="73">
        <f>AL210+AP209</f>
        <v>110</v>
      </c>
      <c r="AQ210" s="73">
        <f>AQ209</f>
        <v>200</v>
      </c>
      <c r="AR210" s="77">
        <f t="shared" ref="AR210:AR218" si="43">((AP210+(AM210*AH210)-AQ210)/AQ210)</f>
        <v>0.1</v>
      </c>
    </row>
    <row r="211" spans="26:44" ht="15.75" customHeight="1" x14ac:dyDescent="0.2">
      <c r="AC211" s="78">
        <v>45660</v>
      </c>
      <c r="AD211" s="79" t="s">
        <v>75</v>
      </c>
      <c r="AE211" s="79"/>
      <c r="AF211" s="80" t="s">
        <v>87</v>
      </c>
      <c r="AG211" s="79" t="s">
        <v>80</v>
      </c>
      <c r="AH211" s="81">
        <v>220</v>
      </c>
      <c r="AI211" s="81">
        <v>220</v>
      </c>
      <c r="AJ211" s="82">
        <f>AI211/AH211</f>
        <v>1</v>
      </c>
      <c r="AK211" s="82"/>
      <c r="AL211" s="79"/>
      <c r="AM211" s="82">
        <f>AJ211+AM210</f>
        <v>1.5</v>
      </c>
      <c r="AN211" s="82">
        <f>AN210+(AJ211/2)</f>
        <v>0.5</v>
      </c>
      <c r="AO211" s="82">
        <f>AO210+(AJ211/2)</f>
        <v>1</v>
      </c>
      <c r="AP211" s="81">
        <v>0</v>
      </c>
      <c r="AQ211" s="81">
        <f>AQ210+(AI211-AP210)</f>
        <v>310</v>
      </c>
      <c r="AR211" s="85">
        <f t="shared" si="43"/>
        <v>6.4516129032258063E-2</v>
      </c>
    </row>
    <row r="212" spans="26:44" ht="15.75" customHeight="1" x14ac:dyDescent="0.2">
      <c r="AC212" s="71">
        <v>45661</v>
      </c>
      <c r="AD212" s="72" t="s">
        <v>73</v>
      </c>
      <c r="AE212" s="72"/>
      <c r="AF212" s="74" t="s">
        <v>88</v>
      </c>
      <c r="AG212" s="72" t="s">
        <v>80</v>
      </c>
      <c r="AH212" s="73">
        <v>190</v>
      </c>
      <c r="AI212" s="72"/>
      <c r="AJ212" s="75">
        <v>0.5</v>
      </c>
      <c r="AK212" s="75"/>
      <c r="AL212" s="73">
        <f>AH212*AJ212</f>
        <v>95</v>
      </c>
      <c r="AM212" s="75">
        <f>AM211-AJ212</f>
        <v>1</v>
      </c>
      <c r="AN212" s="75">
        <f>AN211</f>
        <v>0.5</v>
      </c>
      <c r="AO212" s="75">
        <f>AO211-AJ212</f>
        <v>0.5</v>
      </c>
      <c r="AP212" s="73">
        <f>AP211+AL212</f>
        <v>95</v>
      </c>
      <c r="AQ212" s="73">
        <f>AQ211</f>
        <v>310</v>
      </c>
      <c r="AR212" s="77">
        <f t="shared" si="43"/>
        <v>-8.0645161290322578E-2</v>
      </c>
    </row>
    <row r="213" spans="26:44" ht="15.75" customHeight="1" x14ac:dyDescent="0.2">
      <c r="AC213" s="78">
        <v>45662</v>
      </c>
      <c r="AD213" s="79" t="s">
        <v>75</v>
      </c>
      <c r="AE213" s="79"/>
      <c r="AF213" s="80" t="s">
        <v>89</v>
      </c>
      <c r="AG213" s="79" t="s">
        <v>80</v>
      </c>
      <c r="AH213" s="81">
        <v>200</v>
      </c>
      <c r="AI213" s="81">
        <v>200</v>
      </c>
      <c r="AJ213" s="82">
        <f>AI213/AH213</f>
        <v>1</v>
      </c>
      <c r="AK213" s="82"/>
      <c r="AL213" s="79"/>
      <c r="AM213" s="82">
        <f>AM212+AJ213</f>
        <v>2</v>
      </c>
      <c r="AN213" s="82">
        <f>AN212+(AJ213/2)</f>
        <v>1</v>
      </c>
      <c r="AO213" s="82">
        <f>AO212+(AJ213/2)</f>
        <v>1</v>
      </c>
      <c r="AP213" s="81">
        <v>0</v>
      </c>
      <c r="AQ213" s="81">
        <f>AQ212+(AI213-AP212)</f>
        <v>415</v>
      </c>
      <c r="AR213" s="85">
        <f t="shared" si="43"/>
        <v>-3.614457831325301E-2</v>
      </c>
    </row>
    <row r="214" spans="26:44" ht="15.75" customHeight="1" x14ac:dyDescent="0.2">
      <c r="AC214" s="71">
        <v>45663</v>
      </c>
      <c r="AD214" s="72" t="s">
        <v>73</v>
      </c>
      <c r="AE214" s="72"/>
      <c r="AF214" s="74" t="s">
        <v>90</v>
      </c>
      <c r="AG214" s="72" t="s">
        <v>80</v>
      </c>
      <c r="AH214" s="73">
        <v>210</v>
      </c>
      <c r="AI214" s="72"/>
      <c r="AJ214" s="75">
        <v>0.5</v>
      </c>
      <c r="AK214" s="75"/>
      <c r="AL214" s="73">
        <f>AH214*AJ214</f>
        <v>105</v>
      </c>
      <c r="AM214" s="75">
        <f>AM213-AJ214</f>
        <v>1.5</v>
      </c>
      <c r="AN214" s="75">
        <f>AN213-AJ214</f>
        <v>0.5</v>
      </c>
      <c r="AO214" s="75">
        <f>AO213</f>
        <v>1</v>
      </c>
      <c r="AP214" s="73">
        <f>AP213+AL214</f>
        <v>105</v>
      </c>
      <c r="AQ214" s="73">
        <f>AQ213</f>
        <v>415</v>
      </c>
      <c r="AR214" s="77">
        <f t="shared" si="43"/>
        <v>1.2048192771084338E-2</v>
      </c>
    </row>
    <row r="215" spans="26:44" ht="15.75" customHeight="1" x14ac:dyDescent="0.2">
      <c r="AC215" s="71">
        <v>45664</v>
      </c>
      <c r="AD215" s="72" t="s">
        <v>73</v>
      </c>
      <c r="AE215" s="72"/>
      <c r="AF215" s="74" t="s">
        <v>91</v>
      </c>
      <c r="AG215" s="72" t="s">
        <v>80</v>
      </c>
      <c r="AH215" s="73">
        <v>210</v>
      </c>
      <c r="AI215" s="72"/>
      <c r="AJ215" s="75">
        <v>0.5</v>
      </c>
      <c r="AK215" s="75"/>
      <c r="AL215" s="73">
        <f>AH215/2</f>
        <v>105</v>
      </c>
      <c r="AM215" s="75">
        <f>AM214-AJ215</f>
        <v>1</v>
      </c>
      <c r="AN215" s="75">
        <f>AN214</f>
        <v>0.5</v>
      </c>
      <c r="AO215" s="75">
        <f>AO214-AJ215</f>
        <v>0.5</v>
      </c>
      <c r="AP215" s="73">
        <f>AL215+AP214</f>
        <v>210</v>
      </c>
      <c r="AQ215" s="73">
        <f>AQ214</f>
        <v>415</v>
      </c>
      <c r="AR215" s="77">
        <f t="shared" si="43"/>
        <v>1.2048192771084338E-2</v>
      </c>
    </row>
    <row r="216" spans="26:44" ht="15.75" customHeight="1" x14ac:dyDescent="0.2">
      <c r="Z216" s="92"/>
      <c r="AC216" s="78">
        <v>45665</v>
      </c>
      <c r="AD216" s="80" t="s">
        <v>75</v>
      </c>
      <c r="AE216" s="80"/>
      <c r="AF216" s="80" t="s">
        <v>92</v>
      </c>
      <c r="AG216" s="80" t="s">
        <v>80</v>
      </c>
      <c r="AH216" s="81">
        <v>200</v>
      </c>
      <c r="AI216" s="81">
        <v>200</v>
      </c>
      <c r="AJ216" s="82">
        <v>1</v>
      </c>
      <c r="AK216" s="82"/>
      <c r="AL216" s="79"/>
      <c r="AM216" s="82">
        <f>AM215+AJ216</f>
        <v>2</v>
      </c>
      <c r="AN216" s="82">
        <f>AJ216+AN215</f>
        <v>1.5</v>
      </c>
      <c r="AO216" s="83">
        <f>AO215</f>
        <v>0.5</v>
      </c>
      <c r="AP216" s="81">
        <f>AP215-AI216</f>
        <v>10</v>
      </c>
      <c r="AQ216" s="81">
        <f>AQ214</f>
        <v>415</v>
      </c>
      <c r="AR216" s="85">
        <f t="shared" si="43"/>
        <v>-1.2048192771084338E-2</v>
      </c>
    </row>
    <row r="217" spans="26:44" ht="15.75" customHeight="1" x14ac:dyDescent="0.2">
      <c r="Z217" s="93"/>
      <c r="AC217" s="71">
        <v>45666</v>
      </c>
      <c r="AD217" s="74" t="s">
        <v>73</v>
      </c>
      <c r="AE217" s="74"/>
      <c r="AF217" s="74" t="s">
        <v>92</v>
      </c>
      <c r="AG217" s="74" t="s">
        <v>80</v>
      </c>
      <c r="AH217" s="73">
        <v>230</v>
      </c>
      <c r="AI217" s="72"/>
      <c r="AJ217" s="75">
        <v>0.5</v>
      </c>
      <c r="AK217" s="75"/>
      <c r="AL217" s="73">
        <f>AH217/2</f>
        <v>115</v>
      </c>
      <c r="AM217" s="75">
        <f>AM216-AJ217</f>
        <v>1.5</v>
      </c>
      <c r="AN217" s="75">
        <f>AN216-AJ217</f>
        <v>1</v>
      </c>
      <c r="AO217" s="75">
        <f>AO216</f>
        <v>0.5</v>
      </c>
      <c r="AP217" s="73">
        <f>AP216+AL217</f>
        <v>125</v>
      </c>
      <c r="AQ217" s="73">
        <f>AQ216</f>
        <v>415</v>
      </c>
      <c r="AR217" s="77">
        <f t="shared" si="43"/>
        <v>0.13253012048192772</v>
      </c>
    </row>
    <row r="218" spans="26:44" ht="15.75" customHeight="1" x14ac:dyDescent="0.2">
      <c r="Z218" s="93"/>
      <c r="AC218" s="78">
        <v>45667</v>
      </c>
      <c r="AD218" s="80" t="s">
        <v>75</v>
      </c>
      <c r="AE218" s="80"/>
      <c r="AF218" s="80" t="s">
        <v>93</v>
      </c>
      <c r="AG218" s="80" t="s">
        <v>80</v>
      </c>
      <c r="AH218" s="81">
        <v>230</v>
      </c>
      <c r="AI218" s="81">
        <v>230</v>
      </c>
      <c r="AJ218" s="82">
        <v>1</v>
      </c>
      <c r="AK218" s="82"/>
      <c r="AL218" s="79"/>
      <c r="AM218" s="82">
        <f>AM217+AJ218</f>
        <v>2.5</v>
      </c>
      <c r="AN218" s="82">
        <f>AN217</f>
        <v>1</v>
      </c>
      <c r="AO218" s="82">
        <f>AO217+AJ218</f>
        <v>1.5</v>
      </c>
      <c r="AP218" s="81">
        <v>0</v>
      </c>
      <c r="AQ218" s="81">
        <f>AQ217+(AI218-AP217)</f>
        <v>520</v>
      </c>
      <c r="AR218" s="85">
        <f t="shared" si="43"/>
        <v>0.10576923076923077</v>
      </c>
    </row>
    <row r="219" spans="26:44" ht="15.75" customHeight="1" x14ac:dyDescent="0.2">
      <c r="Z219" s="93"/>
    </row>
    <row r="220" spans="26:44" ht="15.75" customHeight="1" x14ac:dyDescent="0.2">
      <c r="Z220" s="93"/>
    </row>
    <row r="221" spans="26:44" ht="12.75" x14ac:dyDescent="0.2">
      <c r="AC221" s="45" t="s">
        <v>74</v>
      </c>
      <c r="AM221" s="45" t="s">
        <v>94</v>
      </c>
    </row>
    <row r="222" spans="26:44" ht="15.75" customHeight="1" x14ac:dyDescent="0.2">
      <c r="Z222" s="54"/>
      <c r="AC222" s="69" t="s">
        <v>2</v>
      </c>
      <c r="AD222" s="70" t="s">
        <v>3</v>
      </c>
      <c r="AE222" s="70"/>
      <c r="AF222" s="70" t="s">
        <v>76</v>
      </c>
      <c r="AG222" s="70" t="s">
        <v>4</v>
      </c>
      <c r="AH222" s="70" t="s">
        <v>0</v>
      </c>
      <c r="AI222" s="70" t="s">
        <v>1</v>
      </c>
      <c r="AJ222" s="70" t="s">
        <v>62</v>
      </c>
      <c r="AK222" s="70"/>
      <c r="AL222" s="70" t="s">
        <v>77</v>
      </c>
      <c r="AM222" s="70" t="s">
        <v>84</v>
      </c>
      <c r="AN222" s="70" t="s">
        <v>83</v>
      </c>
      <c r="AO222" s="70" t="s">
        <v>7</v>
      </c>
      <c r="AP222" s="70" t="s">
        <v>81</v>
      </c>
      <c r="AQ222" s="70" t="s">
        <v>79</v>
      </c>
      <c r="AR222" s="70" t="s">
        <v>82</v>
      </c>
    </row>
    <row r="223" spans="26:44" ht="15.75" customHeight="1" x14ac:dyDescent="0.2">
      <c r="Z223" s="94"/>
      <c r="AC223" s="78"/>
      <c r="AD223" s="79" t="s">
        <v>75</v>
      </c>
      <c r="AE223" s="79"/>
      <c r="AF223" s="80" t="s">
        <v>70</v>
      </c>
      <c r="AG223" s="79" t="s">
        <v>78</v>
      </c>
      <c r="AH223" s="89">
        <v>232.37</v>
      </c>
      <c r="AI223" s="81">
        <v>1000</v>
      </c>
      <c r="AJ223" s="86">
        <f t="shared" ref="AJ223:AJ228" si="44">AI223/AH223</f>
        <v>4.3034815165468867</v>
      </c>
      <c r="AK223" s="86"/>
      <c r="AL223" s="89"/>
      <c r="AM223" s="86">
        <f>AJ223</f>
        <v>4.3034815165468867</v>
      </c>
      <c r="AN223" s="86">
        <f>AM223/2</f>
        <v>2.1517407582734434</v>
      </c>
      <c r="AO223" s="88">
        <f>AM223/2</f>
        <v>2.1517407582734434</v>
      </c>
      <c r="AP223" s="89">
        <v>0</v>
      </c>
      <c r="AQ223" s="91">
        <f>ABS(AP223-AI223)</f>
        <v>1000</v>
      </c>
      <c r="AR223" s="85">
        <f>((AP223+(AJ223*AH223)-AQ223)/AQ223)</f>
        <v>1.1368683772161603E-16</v>
      </c>
    </row>
    <row r="224" spans="26:44" ht="15.75" customHeight="1" x14ac:dyDescent="0.2">
      <c r="AC224" s="78"/>
      <c r="AD224" s="79" t="s">
        <v>75</v>
      </c>
      <c r="AE224" s="79"/>
      <c r="AF224" s="80" t="s">
        <v>70</v>
      </c>
      <c r="AG224" s="79" t="s">
        <v>80</v>
      </c>
      <c r="AH224" s="89">
        <v>205.6</v>
      </c>
      <c r="AI224" s="81">
        <v>500</v>
      </c>
      <c r="AJ224" s="86">
        <f t="shared" si="44"/>
        <v>2.4319066147859925</v>
      </c>
      <c r="AK224" s="86"/>
      <c r="AL224" s="89"/>
      <c r="AM224" s="86">
        <f>AJ224+AM223</f>
        <v>6.7353881313328792</v>
      </c>
      <c r="AN224" s="86">
        <f>AN223+(AJ224/2)</f>
        <v>3.3676940656664396</v>
      </c>
      <c r="AO224" s="86">
        <f>AO223+(AJ224/2)</f>
        <v>3.3676940656664396</v>
      </c>
      <c r="AP224" s="89">
        <v>0</v>
      </c>
      <c r="AQ224" s="89">
        <f>AQ223+(AI224-AP223)</f>
        <v>1500</v>
      </c>
      <c r="AR224" s="85">
        <f t="shared" ref="AR224:AR234" si="45">((AP224+(AM224*AH224)-AQ224)/AQ224)</f>
        <v>-7.6802800131973381E-2</v>
      </c>
    </row>
    <row r="225" spans="29:44" ht="15.75" customHeight="1" x14ac:dyDescent="0.2">
      <c r="AC225" s="78"/>
      <c r="AD225" s="79" t="s">
        <v>75</v>
      </c>
      <c r="AE225" s="79"/>
      <c r="AF225" s="80" t="s">
        <v>70</v>
      </c>
      <c r="AG225" s="79" t="s">
        <v>80</v>
      </c>
      <c r="AH225" s="89">
        <v>199.37</v>
      </c>
      <c r="AI225" s="81">
        <v>500</v>
      </c>
      <c r="AJ225" s="86">
        <f t="shared" si="44"/>
        <v>2.5078998846366054</v>
      </c>
      <c r="AK225" s="86"/>
      <c r="AL225" s="89"/>
      <c r="AM225" s="86">
        <f>AJ225+AM224</f>
        <v>9.243288015969485</v>
      </c>
      <c r="AN225" s="86">
        <f>AN224+(AJ225/2)</f>
        <v>4.6216440079847425</v>
      </c>
      <c r="AO225" s="86">
        <f>AO224+(AJ225/2)</f>
        <v>4.6216440079847425</v>
      </c>
      <c r="AP225" s="89">
        <v>0</v>
      </c>
      <c r="AQ225" s="89">
        <f>AQ224+(AI225-AP224)</f>
        <v>2000</v>
      </c>
      <c r="AR225" s="85">
        <f t="shared" si="45"/>
        <v>-7.858283412808191E-2</v>
      </c>
    </row>
    <row r="226" spans="29:44" ht="15.75" customHeight="1" x14ac:dyDescent="0.2">
      <c r="AC226" s="78"/>
      <c r="AD226" s="79" t="s">
        <v>75</v>
      </c>
      <c r="AE226" s="79"/>
      <c r="AF226" s="80" t="s">
        <v>70</v>
      </c>
      <c r="AG226" s="79" t="s">
        <v>80</v>
      </c>
      <c r="AH226" s="89">
        <v>196.54</v>
      </c>
      <c r="AI226" s="81">
        <v>500</v>
      </c>
      <c r="AJ226" s="86">
        <f t="shared" si="44"/>
        <v>2.5440113971710594</v>
      </c>
      <c r="AK226" s="86"/>
      <c r="AL226" s="89"/>
      <c r="AM226" s="86">
        <f>AJ226+AM225</f>
        <v>11.787299413140545</v>
      </c>
      <c r="AN226" s="86">
        <f>AN225+(AJ226/2)</f>
        <v>5.8936497065702724</v>
      </c>
      <c r="AO226" s="86">
        <f>AO225+(AJ226/2)</f>
        <v>5.8936497065702724</v>
      </c>
      <c r="AP226" s="89">
        <v>0</v>
      </c>
      <c r="AQ226" s="89">
        <f>AQ225+(AI226-AP225)</f>
        <v>2500</v>
      </c>
      <c r="AR226" s="85">
        <f t="shared" si="45"/>
        <v>-7.3329669336542974E-2</v>
      </c>
    </row>
    <row r="227" spans="29:44" ht="15.75" customHeight="1" x14ac:dyDescent="0.2">
      <c r="AC227" s="78"/>
      <c r="AD227" s="79" t="s">
        <v>75</v>
      </c>
      <c r="AE227" s="79"/>
      <c r="AF227" s="80" t="s">
        <v>70</v>
      </c>
      <c r="AG227" s="79" t="s">
        <v>80</v>
      </c>
      <c r="AH227" s="89">
        <v>184.88</v>
      </c>
      <c r="AI227" s="81">
        <v>50</v>
      </c>
      <c r="AJ227" s="86">
        <f t="shared" si="44"/>
        <v>0.27044569450454348</v>
      </c>
      <c r="AK227" s="86"/>
      <c r="AL227" s="89"/>
      <c r="AM227" s="86">
        <f>AJ227+AM226</f>
        <v>12.057745107645088</v>
      </c>
      <c r="AN227" s="86">
        <f>AN226+(AJ227/2)</f>
        <v>6.0288725538225441</v>
      </c>
      <c r="AO227" s="86">
        <f>AO226+(AJ227/2)</f>
        <v>6.0288725538225441</v>
      </c>
      <c r="AP227" s="89">
        <v>0</v>
      </c>
      <c r="AQ227" s="89">
        <f>AQ226+(AI227-AP226)</f>
        <v>2550</v>
      </c>
      <c r="AR227" s="85">
        <f t="shared" si="45"/>
        <v>-0.12578983705826521</v>
      </c>
    </row>
    <row r="228" spans="29:44" ht="15.75" customHeight="1" x14ac:dyDescent="0.2">
      <c r="AC228" s="78"/>
      <c r="AD228" s="79" t="s">
        <v>75</v>
      </c>
      <c r="AE228" s="79"/>
      <c r="AF228" s="80" t="s">
        <v>70</v>
      </c>
      <c r="AG228" s="79" t="s">
        <v>80</v>
      </c>
      <c r="AH228" s="89">
        <v>180.62</v>
      </c>
      <c r="AI228" s="81">
        <v>50</v>
      </c>
      <c r="AJ228" s="86">
        <f t="shared" si="44"/>
        <v>0.27682427195216475</v>
      </c>
      <c r="AK228" s="86"/>
      <c r="AL228" s="89"/>
      <c r="AM228" s="86">
        <f>AJ228+AM227</f>
        <v>12.334569379597253</v>
      </c>
      <c r="AN228" s="86">
        <f>AN227+(AJ228/2)</f>
        <v>6.1672846897986267</v>
      </c>
      <c r="AO228" s="86">
        <f>AO227+(AJ228/2)</f>
        <v>6.1672846897986267</v>
      </c>
      <c r="AP228" s="89">
        <v>0</v>
      </c>
      <c r="AQ228" s="89">
        <f>AQ227+(AI228-AP227)</f>
        <v>2600</v>
      </c>
      <c r="AR228" s="85">
        <f t="shared" si="45"/>
        <v>-0.14312695332967085</v>
      </c>
    </row>
    <row r="229" spans="29:44" ht="15.75" customHeight="1" x14ac:dyDescent="0.2">
      <c r="AC229" s="71"/>
      <c r="AD229" s="72" t="s">
        <v>73</v>
      </c>
      <c r="AE229" s="72"/>
      <c r="AF229" s="74" t="s">
        <v>27</v>
      </c>
      <c r="AG229" s="72" t="s">
        <v>10</v>
      </c>
      <c r="AH229" s="90">
        <v>208.59</v>
      </c>
      <c r="AI229" s="72"/>
      <c r="AJ229" s="87">
        <v>0.13841000000000001</v>
      </c>
      <c r="AK229" s="87"/>
      <c r="AL229" s="90">
        <f>AH229*AJ229</f>
        <v>28.870941900000002</v>
      </c>
      <c r="AM229" s="87">
        <f>AM228-AJ229</f>
        <v>12.196159379597253</v>
      </c>
      <c r="AN229" s="87">
        <f>AN228-AJ229</f>
        <v>6.0288746897986263</v>
      </c>
      <c r="AO229" s="87">
        <f>AO228</f>
        <v>6.1672846897986267</v>
      </c>
      <c r="AP229" s="90">
        <f>AL229+AP223</f>
        <v>28.870941900000002</v>
      </c>
      <c r="AQ229" s="90">
        <f>AQ228</f>
        <v>2600</v>
      </c>
      <c r="AR229" s="77">
        <f t="shared" si="45"/>
        <v>-1.0435451196080277E-2</v>
      </c>
    </row>
    <row r="230" spans="29:44" ht="15.75" customHeight="1" x14ac:dyDescent="0.2">
      <c r="AC230" s="78"/>
      <c r="AD230" s="72" t="s">
        <v>73</v>
      </c>
      <c r="AE230" s="72"/>
      <c r="AF230" s="74" t="s">
        <v>27</v>
      </c>
      <c r="AG230" s="72" t="s">
        <v>10</v>
      </c>
      <c r="AH230" s="90">
        <v>208.54</v>
      </c>
      <c r="AI230" s="72"/>
      <c r="AJ230" s="87">
        <v>0.13522000000000001</v>
      </c>
      <c r="AK230" s="87"/>
      <c r="AL230" s="90">
        <f>AH230*AJ230</f>
        <v>28.198778799999999</v>
      </c>
      <c r="AM230" s="87">
        <f>AM229-AJ230</f>
        <v>12.060939379597253</v>
      </c>
      <c r="AN230" s="87">
        <f>AN229-AJ230</f>
        <v>5.8936546897986259</v>
      </c>
      <c r="AO230" s="87">
        <f>AO229</f>
        <v>6.1672846897986267</v>
      </c>
      <c r="AP230" s="90">
        <f>AL230+AP224</f>
        <v>28.198778799999999</v>
      </c>
      <c r="AQ230" s="90">
        <f>AQ229</f>
        <v>2600</v>
      </c>
      <c r="AR230" s="85">
        <f t="shared" si="45"/>
        <v>-2.1774201145688038E-2</v>
      </c>
    </row>
    <row r="231" spans="29:44" ht="15.75" customHeight="1" x14ac:dyDescent="0.2">
      <c r="AC231" s="71"/>
      <c r="AD231" s="72" t="s">
        <v>73</v>
      </c>
      <c r="AE231" s="72"/>
      <c r="AF231" s="74" t="s">
        <v>95</v>
      </c>
      <c r="AG231" s="72" t="s">
        <v>80</v>
      </c>
      <c r="AH231" s="90">
        <v>28.25</v>
      </c>
      <c r="AI231" s="72"/>
      <c r="AJ231" s="87">
        <f>AN230</f>
        <v>5.8936546897986259</v>
      </c>
      <c r="AK231" s="87"/>
      <c r="AL231" s="90">
        <f>AH231*AJ231</f>
        <v>166.49574498681119</v>
      </c>
      <c r="AM231" s="87">
        <f>AM230-AJ231</f>
        <v>6.1672846897986267</v>
      </c>
      <c r="AN231" s="87">
        <f>AN230-AJ231</f>
        <v>0</v>
      </c>
      <c r="AO231" s="87">
        <f>AO230</f>
        <v>6.1672846897986267</v>
      </c>
      <c r="AP231" s="90">
        <f>AP230+AL231</f>
        <v>194.6945237868112</v>
      </c>
      <c r="AQ231" s="90">
        <f>AQ230</f>
        <v>2600</v>
      </c>
      <c r="AR231" s="77">
        <f t="shared" si="45"/>
        <v>-0.85810757066399135</v>
      </c>
    </row>
    <row r="232" spans="29:44" ht="15.75" customHeight="1" x14ac:dyDescent="0.2">
      <c r="AC232" s="78"/>
      <c r="AD232" s="79" t="s">
        <v>75</v>
      </c>
      <c r="AE232" s="79"/>
      <c r="AF232" s="80" t="s">
        <v>89</v>
      </c>
      <c r="AG232" s="79" t="s">
        <v>80</v>
      </c>
      <c r="AH232" s="89">
        <v>28.39</v>
      </c>
      <c r="AI232" s="81">
        <v>200</v>
      </c>
      <c r="AJ232" s="86">
        <f>AI232/AH232</f>
        <v>7.0447340612891862</v>
      </c>
      <c r="AK232" s="86"/>
      <c r="AL232" s="89"/>
      <c r="AM232" s="86">
        <f>AM231+AJ232</f>
        <v>13.212018751087813</v>
      </c>
      <c r="AN232" s="86">
        <f>AN231+(AJ232/2)</f>
        <v>3.5223670306445931</v>
      </c>
      <c r="AO232" s="86">
        <f>AO231+(AJ232/2)</f>
        <v>9.6896517204432193</v>
      </c>
      <c r="AP232" s="89">
        <v>0</v>
      </c>
      <c r="AQ232" s="89">
        <f>AQ231+(AI232-AP231)</f>
        <v>2605.3054762131887</v>
      </c>
      <c r="AR232" s="85">
        <f t="shared" si="45"/>
        <v>-0.85602870152156774</v>
      </c>
    </row>
    <row r="233" spans="29:44" ht="15.75" customHeight="1" x14ac:dyDescent="0.2">
      <c r="AC233" s="78"/>
      <c r="AD233" s="80" t="s">
        <v>75</v>
      </c>
      <c r="AE233" s="80"/>
      <c r="AF233" s="80" t="s">
        <v>96</v>
      </c>
      <c r="AG233" s="80" t="s">
        <v>80</v>
      </c>
      <c r="AH233" s="89">
        <v>27.28</v>
      </c>
      <c r="AI233" s="81">
        <v>200</v>
      </c>
      <c r="AJ233" s="86">
        <f>AI233/AH233</f>
        <v>7.3313782991202343</v>
      </c>
      <c r="AK233" s="86"/>
      <c r="AL233" s="89"/>
      <c r="AM233" s="86">
        <f>AM232+AJ233</f>
        <v>20.543397050208046</v>
      </c>
      <c r="AN233" s="86">
        <f>AN232+(AJ233/2)</f>
        <v>7.1880561802047103</v>
      </c>
      <c r="AO233" s="86">
        <f>AO232+(AJ233/2)</f>
        <v>13.355340870003337</v>
      </c>
      <c r="AP233" s="89">
        <v>0</v>
      </c>
      <c r="AQ233" s="89">
        <f>AQ232+(AI233-AP232)</f>
        <v>2805.3054762131887</v>
      </c>
      <c r="AR233" s="85">
        <f t="shared" si="45"/>
        <v>-0.80022714949169182</v>
      </c>
    </row>
    <row r="234" spans="29:44" ht="15.75" customHeight="1" x14ac:dyDescent="0.2">
      <c r="AC234" s="78"/>
      <c r="AD234" s="80" t="s">
        <v>75</v>
      </c>
      <c r="AE234" s="80"/>
      <c r="AF234" s="80" t="s">
        <v>97</v>
      </c>
      <c r="AG234" s="80" t="s">
        <v>80</v>
      </c>
      <c r="AH234" s="89">
        <v>27.38</v>
      </c>
      <c r="AI234" s="81">
        <v>200</v>
      </c>
      <c r="AJ234" s="86">
        <f>AI234/AH234</f>
        <v>7.3046018991964941</v>
      </c>
      <c r="AK234" s="86"/>
      <c r="AL234" s="89"/>
      <c r="AM234" s="86">
        <f>AM233+AJ234</f>
        <v>27.847998949404541</v>
      </c>
      <c r="AN234" s="86">
        <f>AN233+(AJ234/2)</f>
        <v>10.840357129802957</v>
      </c>
      <c r="AO234" s="86">
        <f>AO233+(AJ234/2)</f>
        <v>17.007641819601584</v>
      </c>
      <c r="AP234" s="89">
        <v>0</v>
      </c>
      <c r="AQ234" s="89">
        <f>AQ233+(AI234-AP233)</f>
        <v>3005.3054762131887</v>
      </c>
      <c r="AR234" s="85">
        <f t="shared" si="45"/>
        <v>-0.74628928164884878</v>
      </c>
    </row>
  </sheetData>
  <pageMargins left="0.7" right="0.7" top="0.75" bottom="0.75" header="0.3" footer="0.3"/>
  <pageSetup orientation="portrait" horizontalDpi="300" verticalDpi="300" r:id="rId1"/>
  <ignoredErrors>
    <ignoredError sqref="AM139 AB140 AO141 AP138 BF139 BF141 BF144 AL151 AF151 BF152 AB151:AD151 AH151:AJ151 AE174:AE175"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2026-01-09T02:43:25Z</dcterms:modified>
</cp:coreProperties>
</file>