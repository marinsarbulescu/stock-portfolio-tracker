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A5648811-842A-4DDF-B432-4CEE57E0839A}" xr6:coauthVersionLast="47" xr6:coauthVersionMax="47" xr10:uidLastSave="{00000000-0000-0000-0000-000000000000}"/>
  <bookViews>
    <workbookView xWindow="2760" yWindow="165"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O28" i="14" l="1"/>
  <c r="AJ32" i="14"/>
  <c r="AI32" i="14"/>
  <c r="AD32" i="14"/>
  <c r="AC32" i="14"/>
  <c r="AW28" i="14"/>
  <c r="AT28" i="14" s="1"/>
  <c r="AV28" i="14"/>
  <c r="AU28" i="14"/>
  <c r="AQ28" i="14"/>
  <c r="AR28" i="14" s="1"/>
  <c r="AP28" i="14"/>
  <c r="AK28" i="14"/>
  <c r="AL28" i="14" s="1"/>
  <c r="AI28" i="14"/>
  <c r="AJ28" i="14"/>
  <c r="AF28" i="14"/>
  <c r="AE28" i="14"/>
  <c r="AD28" i="14"/>
  <c r="AC28" i="14"/>
  <c r="AX130" i="14"/>
  <c r="BB130" i="14" s="1"/>
  <c r="W130" i="14"/>
  <c r="AP130" i="14" s="1"/>
  <c r="U130" i="14"/>
  <c r="AN130" i="14" s="1"/>
  <c r="AQ130" i="14" s="1"/>
  <c r="AR130" i="14" s="1"/>
  <c r="U122" i="14"/>
  <c r="U114" i="14"/>
  <c r="U116" i="14" s="1"/>
  <c r="W110" i="14"/>
  <c r="U110" i="14"/>
  <c r="X110" i="14" s="1"/>
  <c r="AY107" i="14"/>
  <c r="X109" i="14"/>
  <c r="W104" i="14"/>
  <c r="AJ104" i="14" s="1"/>
  <c r="AJ107" i="14" s="1"/>
  <c r="AJ110" i="14" s="1"/>
  <c r="AJ112" i="14" s="1"/>
  <c r="AJ116" i="14" s="1"/>
  <c r="AJ118" i="14" s="1"/>
  <c r="AJ122" i="14" s="1"/>
  <c r="AJ124" i="14" s="1"/>
  <c r="U104" i="14"/>
  <c r="U107" i="14" s="1"/>
  <c r="AX102" i="14"/>
  <c r="BB102" i="14" s="1"/>
  <c r="U103" i="14"/>
  <c r="U105" i="14" s="1"/>
  <c r="U108" i="14" s="1"/>
  <c r="W102" i="14"/>
  <c r="AD102" i="14" s="1"/>
  <c r="AD103" i="14" s="1"/>
  <c r="AD105" i="14" s="1"/>
  <c r="AD108" i="14" s="1"/>
  <c r="U102" i="14"/>
  <c r="AB102" i="14" s="1"/>
  <c r="AE102" i="14" s="1"/>
  <c r="AF102" i="14" s="1"/>
  <c r="AW88" i="14"/>
  <c r="U88" i="14"/>
  <c r="AB88" i="14" s="1"/>
  <c r="AB90" i="14" s="1"/>
  <c r="AB97" i="14" s="1"/>
  <c r="AE97" i="14" s="1"/>
  <c r="AF97" i="14" s="1"/>
  <c r="W86" i="14"/>
  <c r="AP86" i="14" s="1"/>
  <c r="U86" i="14"/>
  <c r="AH86" i="14" s="1"/>
  <c r="AK86" i="14" s="1"/>
  <c r="AL86" i="14" s="1"/>
  <c r="AL88" i="14" s="1"/>
  <c r="AL90" i="14" s="1"/>
  <c r="AL97" i="14" s="1"/>
  <c r="W75" i="14"/>
  <c r="AJ75" i="14" s="1"/>
  <c r="AJ78" i="14" s="1"/>
  <c r="U75" i="14"/>
  <c r="W73" i="14"/>
  <c r="AJ73" i="14" s="1"/>
  <c r="AJ76" i="14" s="1"/>
  <c r="AJ79" i="14" s="1"/>
  <c r="U73" i="14"/>
  <c r="AN73" i="14" s="1"/>
  <c r="AQ73" i="14" s="1"/>
  <c r="AR73" i="14" s="1"/>
  <c r="U78" i="14"/>
  <c r="W72" i="14"/>
  <c r="U72" i="14"/>
  <c r="AB72" i="14" s="1"/>
  <c r="AE72" i="14" s="1"/>
  <c r="AF72" i="14" s="1"/>
  <c r="AE67" i="14"/>
  <c r="AF67" i="14" s="1"/>
  <c r="W67" i="14"/>
  <c r="U67" i="14"/>
  <c r="X67" i="14" s="1"/>
  <c r="W61" i="14"/>
  <c r="AP61" i="14" s="1"/>
  <c r="AP63" i="14" s="1"/>
  <c r="U61" i="14"/>
  <c r="X61" i="14" s="1"/>
  <c r="U60" i="14"/>
  <c r="AE58" i="14"/>
  <c r="W63" i="14"/>
  <c r="AJ58" i="14"/>
  <c r="AJ59" i="14" s="1"/>
  <c r="AP58" i="14"/>
  <c r="AP59" i="14" s="1"/>
  <c r="AO58" i="14"/>
  <c r="AO59" i="14" s="1"/>
  <c r="AN58" i="14"/>
  <c r="AQ58" i="14" s="1"/>
  <c r="AI58" i="14"/>
  <c r="AI59" i="14" s="1"/>
  <c r="AD58" i="14"/>
  <c r="AD59" i="14" s="1"/>
  <c r="AC58" i="14"/>
  <c r="V59" i="14" s="1"/>
  <c r="AB58" i="14"/>
  <c r="W58" i="14"/>
  <c r="U58" i="14"/>
  <c r="X58" i="14" s="1"/>
  <c r="L59" i="14"/>
  <c r="U59" i="14" s="1"/>
  <c r="S52" i="14"/>
  <c r="S51" i="14"/>
  <c r="S50" i="14"/>
  <c r="AP48" i="14"/>
  <c r="AP49" i="14" s="1"/>
  <c r="AP50" i="14" s="1"/>
  <c r="AP51" i="14" s="1"/>
  <c r="AP52" i="14" s="1"/>
  <c r="AO48" i="14"/>
  <c r="AW48" i="14" s="1"/>
  <c r="AN48" i="14"/>
  <c r="AN49" i="14" s="1"/>
  <c r="AJ48" i="14"/>
  <c r="AJ49" i="14" s="1"/>
  <c r="AJ50" i="14" s="1"/>
  <c r="AJ51" i="14" s="1"/>
  <c r="AJ52" i="14" s="1"/>
  <c r="AI48" i="14"/>
  <c r="AV48" i="14" s="1"/>
  <c r="AD48" i="14"/>
  <c r="AD49" i="14" s="1"/>
  <c r="AD50" i="14" s="1"/>
  <c r="AD51" i="14" s="1"/>
  <c r="AD52" i="14" s="1"/>
  <c r="AC48" i="14"/>
  <c r="AC49" i="14" s="1"/>
  <c r="AB48" i="14"/>
  <c r="AB49" i="14" s="1"/>
  <c r="S49" i="14"/>
  <c r="S48" i="14"/>
  <c r="AH48"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203" i="14"/>
  <c r="AH203" i="14"/>
  <c r="AJ203" i="14" s="1"/>
  <c r="AC203" i="14"/>
  <c r="AB203" i="14"/>
  <c r="AD203" i="14" s="1"/>
  <c r="AN203" i="14" s="1"/>
  <c r="W203" i="14"/>
  <c r="AI199" i="14"/>
  <c r="AI200" i="14" s="1"/>
  <c r="AI201" i="14" s="1"/>
  <c r="AI202" i="14" s="1"/>
  <c r="AH199" i="14"/>
  <c r="AJ199" i="14" s="1"/>
  <c r="AO199" i="14" s="1"/>
  <c r="AC199" i="14"/>
  <c r="AC200" i="14" s="1"/>
  <c r="AC201" i="14" s="1"/>
  <c r="AC202" i="14" s="1"/>
  <c r="AB199" i="14"/>
  <c r="AD199" i="14" s="1"/>
  <c r="W199" i="14"/>
  <c r="AB220" i="14"/>
  <c r="AC220" i="14" s="1"/>
  <c r="AF221" i="14"/>
  <c r="AE221" i="14"/>
  <c r="W221" i="14"/>
  <c r="AB221" i="14"/>
  <c r="AG221" i="14"/>
  <c r="AG217" i="14"/>
  <c r="AG218" i="14"/>
  <c r="AG220" i="14"/>
  <c r="AF220" i="14"/>
  <c r="W220" i="14"/>
  <c r="AB219" i="14"/>
  <c r="AC219" i="14" s="1"/>
  <c r="AB218" i="14"/>
  <c r="AC218" i="14" s="1"/>
  <c r="AB217" i="14"/>
  <c r="AC217" i="14" s="1"/>
  <c r="AG219" i="14"/>
  <c r="AF218" i="14"/>
  <c r="AF219" i="14"/>
  <c r="AF217" i="14"/>
  <c r="W219" i="14"/>
  <c r="W218" i="14"/>
  <c r="W217" i="14"/>
  <c r="AG216" i="14"/>
  <c r="AE216" i="14"/>
  <c r="AE215" i="14"/>
  <c r="W216" i="14"/>
  <c r="W215" i="14"/>
  <c r="C50" i="15"/>
  <c r="C49" i="15"/>
  <c r="C48" i="15"/>
  <c r="C47" i="15"/>
  <c r="C46" i="15"/>
  <c r="C44" i="15"/>
  <c r="C43" i="15"/>
  <c r="C42" i="15"/>
  <c r="C41" i="15"/>
  <c r="C37" i="15"/>
  <c r="C36" i="15"/>
  <c r="C35" i="15"/>
  <c r="C34" i="15"/>
  <c r="W195" i="14"/>
  <c r="AI195" i="14"/>
  <c r="AI196" i="14" s="1"/>
  <c r="AI197" i="14" s="1"/>
  <c r="AI198" i="14" s="1"/>
  <c r="AH195" i="14"/>
  <c r="AJ195" i="14" s="1"/>
  <c r="AO195" i="14" s="1"/>
  <c r="AC195" i="14"/>
  <c r="AC196" i="14" s="1"/>
  <c r="AC197" i="14" s="1"/>
  <c r="AC198" i="14" s="1"/>
  <c r="AB195" i="14"/>
  <c r="AB196" i="14" s="1"/>
  <c r="AB197" i="14" s="1"/>
  <c r="AB198" i="14" s="1"/>
  <c r="AL252" i="14"/>
  <c r="AP252" i="14" s="1"/>
  <c r="AJ250" i="14"/>
  <c r="AJ249" i="14"/>
  <c r="AJ248" i="14"/>
  <c r="AJ247" i="14"/>
  <c r="AJ246" i="14"/>
  <c r="AJ256" i="14"/>
  <c r="AJ255" i="14"/>
  <c r="AJ254" i="14"/>
  <c r="AQ245" i="14"/>
  <c r="AJ245" i="14"/>
  <c r="AL239" i="14"/>
  <c r="AL237" i="14"/>
  <c r="AO231" i="14"/>
  <c r="AN231" i="14"/>
  <c r="AJ232" i="14" s="1"/>
  <c r="AL232" i="14" s="1"/>
  <c r="AP232" i="14" s="1"/>
  <c r="AQ231" i="14"/>
  <c r="AL236" i="14"/>
  <c r="AP236" i="14" s="1"/>
  <c r="AJ235" i="14"/>
  <c r="AL234" i="14"/>
  <c r="AP234" i="14" s="1"/>
  <c r="AJ233" i="14"/>
  <c r="AM233" i="14" s="1"/>
  <c r="AM234" i="14" s="1"/>
  <c r="AJ231" i="14"/>
  <c r="AI188" i="14"/>
  <c r="AI189" i="14" s="1"/>
  <c r="AI190" i="14" s="1"/>
  <c r="AI191" i="14" s="1"/>
  <c r="AC188" i="14"/>
  <c r="AC189" i="14" s="1"/>
  <c r="AC190" i="14" s="1"/>
  <c r="AC191" i="14" s="1"/>
  <c r="AC181" i="14"/>
  <c r="AI183" i="14"/>
  <c r="AI179" i="14"/>
  <c r="AC179" i="14"/>
  <c r="AJ174" i="14"/>
  <c r="AJ172" i="14"/>
  <c r="AJ173" i="14" s="1"/>
  <c r="AJ175" i="14" s="1"/>
  <c r="AD174" i="14"/>
  <c r="AD172" i="14"/>
  <c r="AJ168" i="14"/>
  <c r="AJ164" i="14"/>
  <c r="AJ167" i="14" s="1"/>
  <c r="AD168" i="14"/>
  <c r="AJ161" i="14"/>
  <c r="AJ163" i="14" s="1"/>
  <c r="AJ166" i="14" s="1"/>
  <c r="AJ159" i="14"/>
  <c r="AD162" i="14"/>
  <c r="AD164" i="14" s="1"/>
  <c r="AD167" i="14" s="1"/>
  <c r="AD161" i="14"/>
  <c r="AD163" i="14" s="1"/>
  <c r="AD166" i="14" s="1"/>
  <c r="AD159" i="14"/>
  <c r="BI174" i="14"/>
  <c r="AH174" i="14"/>
  <c r="AC174" i="14"/>
  <c r="AB174" i="14"/>
  <c r="AI174" i="14"/>
  <c r="W174" i="14"/>
  <c r="BK173" i="14"/>
  <c r="BJ173" i="14"/>
  <c r="BI173" i="14"/>
  <c r="BH173" i="14"/>
  <c r="BG173" i="14"/>
  <c r="BF173" i="14"/>
  <c r="BE173" i="14"/>
  <c r="BC173" i="14"/>
  <c r="BB173" i="14"/>
  <c r="BA173" i="14"/>
  <c r="AZ173" i="14"/>
  <c r="AY173" i="14"/>
  <c r="AX173" i="14"/>
  <c r="AW173" i="14"/>
  <c r="AV173" i="14"/>
  <c r="AU173" i="14"/>
  <c r="AT173" i="14"/>
  <c r="AS173" i="14"/>
  <c r="AR173" i="14"/>
  <c r="AV174" i="14"/>
  <c r="AW174" i="14" s="1"/>
  <c r="AU174" i="14"/>
  <c r="AT174" i="14"/>
  <c r="AS174" i="14"/>
  <c r="AR174" i="14"/>
  <c r="AI172" i="14"/>
  <c r="AI173" i="14" s="1"/>
  <c r="AI175" i="14" s="1"/>
  <c r="AH172" i="14"/>
  <c r="AH173" i="14" s="1"/>
  <c r="AH175" i="14" s="1"/>
  <c r="AC172" i="14"/>
  <c r="AC173" i="14" s="1"/>
  <c r="AC175" i="14" s="1"/>
  <c r="AB172" i="14"/>
  <c r="W172" i="14"/>
  <c r="AW166" i="14"/>
  <c r="AV166" i="14"/>
  <c r="AU166" i="14"/>
  <c r="AT166" i="14"/>
  <c r="AS166" i="14"/>
  <c r="AR166" i="14"/>
  <c r="BI160" i="14"/>
  <c r="BI161" i="14" s="1"/>
  <c r="BI163" i="14" s="1"/>
  <c r="BI165" i="14" s="1"/>
  <c r="BI166" i="14" s="1"/>
  <c r="AV160" i="14"/>
  <c r="AV161" i="14" s="1"/>
  <c r="W166" i="14"/>
  <c r="W163" i="14"/>
  <c r="W161" i="14"/>
  <c r="W159" i="14"/>
  <c r="BG160" i="14"/>
  <c r="BF160" i="14"/>
  <c r="BC160" i="14"/>
  <c r="BB160" i="14"/>
  <c r="BA160" i="14"/>
  <c r="AZ160" i="14"/>
  <c r="AY160" i="14"/>
  <c r="AX160" i="14"/>
  <c r="BH160" i="14"/>
  <c r="AU160" i="14"/>
  <c r="AU161" i="14" s="1"/>
  <c r="AU163" i="14" s="1"/>
  <c r="AU165" i="14" s="1"/>
  <c r="AS160" i="14"/>
  <c r="AS161" i="14" s="1"/>
  <c r="AS163" i="14" s="1"/>
  <c r="AS165" i="14" s="1"/>
  <c r="AT160" i="14"/>
  <c r="AT161" i="14" s="1"/>
  <c r="AT163" i="14" s="1"/>
  <c r="AR160" i="14"/>
  <c r="AR161" i="14" s="1"/>
  <c r="AR163" i="14" s="1"/>
  <c r="AH191" i="14"/>
  <c r="AB191" i="14"/>
  <c r="AH190" i="14"/>
  <c r="AB189" i="14"/>
  <c r="AH188" i="14"/>
  <c r="AB188" i="14"/>
  <c r="AH183" i="14"/>
  <c r="AB181" i="14"/>
  <c r="AH179" i="14"/>
  <c r="AB179" i="14"/>
  <c r="AI168" i="14"/>
  <c r="AH168" i="14"/>
  <c r="AC168" i="14"/>
  <c r="AB168" i="14"/>
  <c r="AI164" i="14"/>
  <c r="AH164" i="14"/>
  <c r="AC162" i="14"/>
  <c r="AB162" i="14"/>
  <c r="AB164" i="14" s="1"/>
  <c r="AI159" i="14"/>
  <c r="AH159" i="14"/>
  <c r="AC159" i="14"/>
  <c r="AB159" i="14"/>
  <c r="AB161" i="14" s="1"/>
  <c r="AB163"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V130" i="14" l="1"/>
  <c r="AH130" i="14"/>
  <c r="AK130" i="14" s="1"/>
  <c r="AL130" i="14" s="1"/>
  <c r="AD130" i="14"/>
  <c r="AJ130" i="14"/>
  <c r="AB130" i="14"/>
  <c r="AE130" i="14" s="1"/>
  <c r="AF130" i="14" s="1"/>
  <c r="X130" i="14"/>
  <c r="AD111" i="14"/>
  <c r="AD113" i="14" s="1"/>
  <c r="AD115" i="14" s="1"/>
  <c r="AD117" i="14" s="1"/>
  <c r="AD119" i="14" s="1"/>
  <c r="AD121" i="14" s="1"/>
  <c r="AD123" i="14" s="1"/>
  <c r="AD125" i="14" s="1"/>
  <c r="AX103" i="14"/>
  <c r="W106" i="14"/>
  <c r="W109" i="14" s="1"/>
  <c r="W107" i="14"/>
  <c r="U106" i="14"/>
  <c r="U109" i="14" s="1"/>
  <c r="AN102" i="14"/>
  <c r="AB103" i="14"/>
  <c r="AB105" i="14" s="1"/>
  <c r="V110" i="14"/>
  <c r="V104" i="14"/>
  <c r="V107" i="14" s="1"/>
  <c r="X104" i="14"/>
  <c r="X107" i="14" s="1"/>
  <c r="AB104" i="14"/>
  <c r="AH104" i="14"/>
  <c r="AI104" i="14"/>
  <c r="AD104" i="14"/>
  <c r="AD107" i="14" s="1"/>
  <c r="AD110" i="14" s="1"/>
  <c r="AD112" i="14" s="1"/>
  <c r="AD114" i="14" s="1"/>
  <c r="AD116" i="14" s="1"/>
  <c r="AD118" i="14" s="1"/>
  <c r="AD120" i="14" s="1"/>
  <c r="AD122" i="14" s="1"/>
  <c r="AD124" i="14" s="1"/>
  <c r="AE103" i="14"/>
  <c r="AF103" i="14" s="1"/>
  <c r="AP102" i="14"/>
  <c r="AP103" i="14" s="1"/>
  <c r="AP104" i="14" s="1"/>
  <c r="AP107" i="14" s="1"/>
  <c r="AP110" i="14" s="1"/>
  <c r="AP112" i="14" s="1"/>
  <c r="AP114" i="14" s="1"/>
  <c r="AP116" i="14" s="1"/>
  <c r="AP118" i="14" s="1"/>
  <c r="AP120" i="14" s="1"/>
  <c r="AP122" i="14" s="1"/>
  <c r="AP124" i="14" s="1"/>
  <c r="X102" i="14"/>
  <c r="X106" i="14" s="1"/>
  <c r="V102" i="14"/>
  <c r="V106" i="14" s="1"/>
  <c r="V109" i="14" s="1"/>
  <c r="AH102" i="14"/>
  <c r="AJ102" i="14"/>
  <c r="AJ103" i="14" s="1"/>
  <c r="AJ105" i="14" s="1"/>
  <c r="AJ108" i="14" s="1"/>
  <c r="AJ111" i="14" s="1"/>
  <c r="AJ113" i="14" s="1"/>
  <c r="AJ115" i="14" s="1"/>
  <c r="AJ117" i="14" s="1"/>
  <c r="AJ119" i="14" s="1"/>
  <c r="AJ121" i="14" s="1"/>
  <c r="AJ123" i="14" s="1"/>
  <c r="AJ125" i="14" s="1"/>
  <c r="AH88" i="14"/>
  <c r="AH90" i="14" s="1"/>
  <c r="AH97" i="14" s="1"/>
  <c r="AK88" i="14"/>
  <c r="AK90" i="14" s="1"/>
  <c r="AK97" i="14" s="1"/>
  <c r="AB86" i="14"/>
  <c r="AE86" i="14" s="1"/>
  <c r="AD86" i="14"/>
  <c r="AD88" i="14" s="1"/>
  <c r="AD90" i="14" s="1"/>
  <c r="AD97" i="14" s="1"/>
  <c r="AJ86" i="14"/>
  <c r="AJ88" i="14" s="1"/>
  <c r="AJ90" i="14" s="1"/>
  <c r="AJ97" i="14" s="1"/>
  <c r="V86" i="14"/>
  <c r="AN86" i="14"/>
  <c r="AQ86" i="14" s="1"/>
  <c r="AR86" i="14" s="1"/>
  <c r="X86" i="14"/>
  <c r="AN76" i="14"/>
  <c r="AN79" i="14" s="1"/>
  <c r="AQ79" i="14" s="1"/>
  <c r="AQ76" i="14"/>
  <c r="AR76" i="14" s="1"/>
  <c r="AD75" i="14"/>
  <c r="AD78" i="14" s="1"/>
  <c r="AP75" i="14"/>
  <c r="AP78" i="14" s="1"/>
  <c r="V75" i="14"/>
  <c r="AC75" i="14" s="1"/>
  <c r="AH75" i="14"/>
  <c r="AH78" i="14" s="1"/>
  <c r="AK78" i="14" s="1"/>
  <c r="AL78" i="14" s="1"/>
  <c r="AN75" i="14"/>
  <c r="AN78" i="14" s="1"/>
  <c r="AQ78" i="14" s="1"/>
  <c r="AR78" i="14" s="1"/>
  <c r="X75" i="14"/>
  <c r="AB75" i="14"/>
  <c r="AB74" i="14"/>
  <c r="AB77" i="14" s="1"/>
  <c r="AB80" i="14" s="1"/>
  <c r="AE80" i="14" s="1"/>
  <c r="AF80" i="14" s="1"/>
  <c r="AP73" i="14"/>
  <c r="AP76" i="14" s="1"/>
  <c r="AP79" i="14" s="1"/>
  <c r="V73" i="14"/>
  <c r="AD73" i="14"/>
  <c r="AD76" i="14" s="1"/>
  <c r="AD79" i="14" s="1"/>
  <c r="AB73" i="14"/>
  <c r="AH73" i="14"/>
  <c r="X73" i="14"/>
  <c r="AD72" i="14"/>
  <c r="AJ72" i="14"/>
  <c r="V72" i="14"/>
  <c r="AH72" i="14"/>
  <c r="AN72" i="14"/>
  <c r="AP72" i="14"/>
  <c r="X72" i="14"/>
  <c r="V67" i="14"/>
  <c r="AP65" i="14"/>
  <c r="AP67" i="14" s="1"/>
  <c r="AU63" i="14"/>
  <c r="AU65" i="14" s="1"/>
  <c r="AI60" i="14"/>
  <c r="AI62" i="14" s="1"/>
  <c r="AI64" i="14" s="1"/>
  <c r="AI66" i="14" s="1"/>
  <c r="AI68" i="14" s="1"/>
  <c r="AJ60" i="14"/>
  <c r="AJ62" i="14" s="1"/>
  <c r="AJ64" i="14" s="1"/>
  <c r="AJ66" i="14" s="1"/>
  <c r="AJ68" i="14" s="1"/>
  <c r="AJ61" i="14"/>
  <c r="AJ63" i="14" s="1"/>
  <c r="AJ65" i="14" s="1"/>
  <c r="AJ67" i="14" s="1"/>
  <c r="AN61" i="14"/>
  <c r="V61" i="14"/>
  <c r="AD61" i="14"/>
  <c r="AD63" i="14" s="1"/>
  <c r="AD65" i="14" s="1"/>
  <c r="AD67" i="14" s="1"/>
  <c r="AB61" i="14"/>
  <c r="AH61" i="14"/>
  <c r="AO60" i="14"/>
  <c r="AO62" i="14" s="1"/>
  <c r="AO64" i="14" s="1"/>
  <c r="AO66" i="14" s="1"/>
  <c r="AO68" i="14" s="1"/>
  <c r="AP60" i="14"/>
  <c r="AP62" i="14" s="1"/>
  <c r="AP64" i="14" s="1"/>
  <c r="AP66" i="14" s="1"/>
  <c r="AP68" i="14" s="1"/>
  <c r="AF58" i="14"/>
  <c r="AR58" i="14"/>
  <c r="AQ48" i="14"/>
  <c r="AR48" i="14" s="1"/>
  <c r="AU48" i="14"/>
  <c r="AE48" i="14"/>
  <c r="AF48" i="14" s="1"/>
  <c r="W48" i="14" s="1"/>
  <c r="AT48" i="14"/>
  <c r="AT58" i="14"/>
  <c r="AC59" i="14"/>
  <c r="V60" i="14" s="1"/>
  <c r="W60" i="14" s="1"/>
  <c r="Y60" i="14" s="1"/>
  <c r="Z60" i="14" s="1"/>
  <c r="V58" i="14"/>
  <c r="AB59" i="14"/>
  <c r="AH58" i="14"/>
  <c r="AK58" i="14" s="1"/>
  <c r="AN59" i="14"/>
  <c r="AN60" i="14" s="1"/>
  <c r="AN62" i="14" s="1"/>
  <c r="AN64" i="14" s="1"/>
  <c r="AN66" i="14" s="1"/>
  <c r="AN68" i="14" s="1"/>
  <c r="W59" i="14"/>
  <c r="AH49" i="14"/>
  <c r="AH50" i="14" s="1"/>
  <c r="AK50" i="14" s="1"/>
  <c r="AL50" i="14" s="1"/>
  <c r="AK48" i="14"/>
  <c r="AL48" i="14" s="1"/>
  <c r="X7" i="14"/>
  <c r="X10" i="14" s="1"/>
  <c r="X13" i="14" s="1"/>
  <c r="AU49" i="14"/>
  <c r="AC50" i="14"/>
  <c r="AQ49" i="14"/>
  <c r="AR49" i="14" s="1"/>
  <c r="AN50" i="14"/>
  <c r="AB50" i="14"/>
  <c r="AE49" i="14"/>
  <c r="AF49" i="14" s="1"/>
  <c r="W49" i="14" s="1"/>
  <c r="AI49" i="14"/>
  <c r="AO49" i="14"/>
  <c r="U30" i="14"/>
  <c r="U28" i="14"/>
  <c r="U26" i="14"/>
  <c r="S26" i="14"/>
  <c r="S27" i="14"/>
  <c r="S31" i="14" s="1"/>
  <c r="R26" i="14"/>
  <c r="R27" i="14"/>
  <c r="R31" i="14" s="1"/>
  <c r="X32" i="14"/>
  <c r="V32" i="14"/>
  <c r="V28" i="14" s="1"/>
  <c r="AH32" i="14"/>
  <c r="AH28" i="14" s="1"/>
  <c r="AN32" i="14"/>
  <c r="AN28" i="14" s="1"/>
  <c r="V19" i="14"/>
  <c r="AI19" i="14" s="1"/>
  <c r="AI20" i="14" s="1"/>
  <c r="V25" i="14" s="1"/>
  <c r="X19" i="14"/>
  <c r="AB19" i="14"/>
  <c r="AE19" i="14" s="1"/>
  <c r="AF19" i="14" s="1"/>
  <c r="AH19" i="14"/>
  <c r="AK19" i="14" s="1"/>
  <c r="AL19" i="14" s="1"/>
  <c r="AJ19" i="14"/>
  <c r="AJ20" i="14" s="1"/>
  <c r="AJ22" i="14" s="1"/>
  <c r="W21" i="14"/>
  <c r="W24" i="14" s="1"/>
  <c r="W27" i="14" s="1"/>
  <c r="W31" i="14" s="1"/>
  <c r="AD19" i="14"/>
  <c r="AD20" i="14" s="1"/>
  <c r="AD22" i="14" s="1"/>
  <c r="AD25" i="14" s="1"/>
  <c r="U21" i="14"/>
  <c r="AN19" i="14"/>
  <c r="AQ19" i="14" s="1"/>
  <c r="AR19" i="14" s="1"/>
  <c r="AP19" i="14"/>
  <c r="AP20" i="14" s="1"/>
  <c r="AP22" i="14" s="1"/>
  <c r="AP25" i="14" s="1"/>
  <c r="AP32"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203" i="14"/>
  <c r="AO203" i="14"/>
  <c r="AK203" i="14"/>
  <c r="AE203" i="14"/>
  <c r="AN199" i="14"/>
  <c r="AE199" i="14"/>
  <c r="AF199" i="14"/>
  <c r="AF200" i="14" s="1"/>
  <c r="AF201" i="14" s="1"/>
  <c r="AF202" i="14" s="1"/>
  <c r="AF203" i="14" s="1"/>
  <c r="AB200" i="14"/>
  <c r="AB201" i="14" s="1"/>
  <c r="AB202" i="14" s="1"/>
  <c r="AD195" i="14"/>
  <c r="AD196" i="14" s="1"/>
  <c r="AK199" i="14"/>
  <c r="AJ196" i="14"/>
  <c r="AO196" i="14" s="1"/>
  <c r="AD200" i="14"/>
  <c r="AL199" i="14"/>
  <c r="AL200" i="14" s="1"/>
  <c r="AL201" i="14" s="1"/>
  <c r="AL202" i="14" s="1"/>
  <c r="AJ200" i="14"/>
  <c r="AO200" i="14" s="1"/>
  <c r="AM235" i="14"/>
  <c r="AM236" i="14" s="1"/>
  <c r="AP237" i="14"/>
  <c r="AP238" i="14" s="1"/>
  <c r="AK195" i="14"/>
  <c r="AF195" i="14"/>
  <c r="AF196" i="14" s="1"/>
  <c r="AF197" i="14" s="1"/>
  <c r="AF198" i="14" s="1"/>
  <c r="AL195" i="14"/>
  <c r="AL196" i="14" s="1"/>
  <c r="AL197" i="14" s="1"/>
  <c r="AL198" i="14" s="1"/>
  <c r="AF174" i="14"/>
  <c r="AR231" i="14"/>
  <c r="AQ246" i="14"/>
  <c r="AQ247" i="14" s="1"/>
  <c r="AQ248" i="14" s="1"/>
  <c r="AQ249" i="14" s="1"/>
  <c r="AQ250" i="14" s="1"/>
  <c r="AQ251" i="14" s="1"/>
  <c r="AQ252" i="14" s="1"/>
  <c r="AR245" i="14"/>
  <c r="AM245" i="14"/>
  <c r="AM246" i="14" s="1"/>
  <c r="AM247" i="14" s="1"/>
  <c r="AN233" i="14"/>
  <c r="AN234" i="14" s="1"/>
  <c r="AN235" i="14" s="1"/>
  <c r="AN236" i="14" s="1"/>
  <c r="AN237" i="14" s="1"/>
  <c r="AN238" i="14" s="1"/>
  <c r="AN239" i="14" s="1"/>
  <c r="AN240" i="14" s="1"/>
  <c r="AO233" i="14"/>
  <c r="AO234" i="14" s="1"/>
  <c r="AO235" i="14" s="1"/>
  <c r="AO236" i="14" s="1"/>
  <c r="AO237" i="14" s="1"/>
  <c r="AO238" i="14" s="1"/>
  <c r="AO239" i="14" s="1"/>
  <c r="AO240" i="14" s="1"/>
  <c r="AQ232" i="14"/>
  <c r="AL174" i="14"/>
  <c r="AD173" i="14"/>
  <c r="AD175" i="14" s="1"/>
  <c r="AB173" i="14"/>
  <c r="AB175" i="14" s="1"/>
  <c r="AF172" i="14"/>
  <c r="AF173" i="14" s="1"/>
  <c r="AF175" i="14" s="1"/>
  <c r="AL172" i="14"/>
  <c r="AL173" i="14" s="1"/>
  <c r="AL175" i="14" s="1"/>
  <c r="AR165" i="14"/>
  <c r="BE160" i="14"/>
  <c r="BJ160" i="14" s="1"/>
  <c r="BK160" i="14" s="1"/>
  <c r="AT165" i="14"/>
  <c r="AW160" i="14"/>
  <c r="AL191" i="14"/>
  <c r="AF189" i="14"/>
  <c r="AL190" i="14"/>
  <c r="AF191" i="14"/>
  <c r="AF179" i="14"/>
  <c r="AF188" i="14"/>
  <c r="AL179" i="14"/>
  <c r="AF181" i="14"/>
  <c r="AL183" i="14"/>
  <c r="AL188" i="14"/>
  <c r="AL168" i="14"/>
  <c r="AO166" i="14" s="1"/>
  <c r="AZ166" i="14" s="1"/>
  <c r="BA166" i="14" s="1"/>
  <c r="AF168" i="14"/>
  <c r="AM166" i="14" s="1"/>
  <c r="AL164" i="14"/>
  <c r="AL159" i="14"/>
  <c r="AO159" i="14" s="1"/>
  <c r="AO160" i="14" s="1"/>
  <c r="AO161" i="14" s="1"/>
  <c r="AF159" i="14"/>
  <c r="AM159" i="14" s="1"/>
  <c r="AF162" i="14"/>
  <c r="O8" i="12"/>
  <c r="O7" i="12" s="1"/>
  <c r="O8" i="9"/>
  <c r="O7" i="9" s="1"/>
  <c r="O8" i="11"/>
  <c r="O7" i="11" s="1"/>
  <c r="O8" i="6"/>
  <c r="O7" i="6" s="1"/>
  <c r="J3" i="9"/>
  <c r="J3" i="12"/>
  <c r="J4" i="6"/>
  <c r="J4" i="12"/>
  <c r="J4" i="9"/>
  <c r="J5" i="12"/>
  <c r="J5" i="9"/>
  <c r="J6" i="12"/>
  <c r="AO130" i="14" l="1"/>
  <c r="AW130" i="14" s="1"/>
  <c r="AC130" i="14"/>
  <c r="AU130" i="14" s="1"/>
  <c r="AI130" i="14"/>
  <c r="AV130" i="14" s="1"/>
  <c r="AI75" i="14"/>
  <c r="AI78" i="14" s="1"/>
  <c r="AO75" i="14"/>
  <c r="AO78" i="14" s="1"/>
  <c r="AC104" i="14"/>
  <c r="AI107" i="14"/>
  <c r="AI110" i="14" s="1"/>
  <c r="AC107" i="14"/>
  <c r="AC110" i="14" s="1"/>
  <c r="AK102" i="14"/>
  <c r="AL102" i="14" s="1"/>
  <c r="AH103" i="14"/>
  <c r="AK104" i="14"/>
  <c r="AL104" i="14" s="1"/>
  <c r="AH107" i="14"/>
  <c r="AE104" i="14"/>
  <c r="AF104" i="14" s="1"/>
  <c r="AF107" i="14" s="1"/>
  <c r="AB107" i="14"/>
  <c r="AQ102" i="14"/>
  <c r="AR102" i="14" s="1"/>
  <c r="AN103" i="14"/>
  <c r="AE105" i="14"/>
  <c r="AF105" i="14" s="1"/>
  <c r="AF108" i="14" s="1"/>
  <c r="AB108" i="14"/>
  <c r="AC102" i="14"/>
  <c r="AO102" i="14"/>
  <c r="AI102" i="14"/>
  <c r="AF86" i="14"/>
  <c r="AF88" i="14" s="1"/>
  <c r="AF90" i="14" s="1"/>
  <c r="AE88" i="14"/>
  <c r="AE90" i="14" s="1"/>
  <c r="AC86" i="14"/>
  <c r="AC88" i="14" s="1"/>
  <c r="AO86" i="14"/>
  <c r="AI86" i="14"/>
  <c r="AE75" i="14"/>
  <c r="AF75" i="14" s="1"/>
  <c r="AB78" i="14"/>
  <c r="AE78" i="14" s="1"/>
  <c r="AF78" i="14" s="1"/>
  <c r="AK73" i="14"/>
  <c r="AH76" i="14"/>
  <c r="AH79" i="14" s="1"/>
  <c r="AK79" i="14" s="1"/>
  <c r="AE73" i="14"/>
  <c r="AB76" i="14"/>
  <c r="AB79" i="14" s="1"/>
  <c r="AE79" i="14" s="1"/>
  <c r="V78" i="14"/>
  <c r="AC78" i="14" s="1"/>
  <c r="AQ75" i="14"/>
  <c r="AR75" i="14" s="1"/>
  <c r="AK75" i="14"/>
  <c r="AL75" i="14" s="1"/>
  <c r="AE74" i="14"/>
  <c r="AK72" i="14"/>
  <c r="AL72" i="14" s="1"/>
  <c r="AH74" i="14"/>
  <c r="AH77" i="14" s="1"/>
  <c r="AH80" i="14" s="1"/>
  <c r="AK80" i="14" s="1"/>
  <c r="AL80" i="14" s="1"/>
  <c r="AP74" i="14"/>
  <c r="AP77" i="14" s="1"/>
  <c r="AP80" i="14" s="1"/>
  <c r="AQ72" i="14"/>
  <c r="AR72" i="14" s="1"/>
  <c r="AN74" i="14"/>
  <c r="AN77" i="14" s="1"/>
  <c r="AN80" i="14" s="1"/>
  <c r="AQ80" i="14" s="1"/>
  <c r="AR80" i="14" s="1"/>
  <c r="AJ74" i="14"/>
  <c r="AJ77" i="14" s="1"/>
  <c r="AJ80" i="14" s="1"/>
  <c r="AD74" i="14"/>
  <c r="AD77" i="14" s="1"/>
  <c r="AD80" i="14" s="1"/>
  <c r="AI73" i="14"/>
  <c r="AI76" i="14" s="1"/>
  <c r="AC73" i="14"/>
  <c r="AC76" i="14" s="1"/>
  <c r="AO73" i="14"/>
  <c r="AO76" i="14" s="1"/>
  <c r="AO72" i="14"/>
  <c r="AO74" i="14" s="1"/>
  <c r="AO77" i="14" s="1"/>
  <c r="AO80" i="14" s="1"/>
  <c r="AI72" i="14"/>
  <c r="AI74" i="14" s="1"/>
  <c r="AI77" i="14" s="1"/>
  <c r="AI80" i="14" s="1"/>
  <c r="AC72" i="14"/>
  <c r="AC74" i="14" s="1"/>
  <c r="AC77" i="14" s="1"/>
  <c r="AC80" i="14" s="1"/>
  <c r="AE61" i="14"/>
  <c r="AB63" i="14"/>
  <c r="AB65" i="14" s="1"/>
  <c r="AB67" i="14" s="1"/>
  <c r="AQ61" i="14"/>
  <c r="AN63" i="14"/>
  <c r="AN65" i="14" s="1"/>
  <c r="AN67" i="14" s="1"/>
  <c r="AQ67" i="14" s="1"/>
  <c r="AR67" i="14" s="1"/>
  <c r="AK61" i="14"/>
  <c r="AH63" i="14"/>
  <c r="AC61" i="14"/>
  <c r="AC63" i="14" s="1"/>
  <c r="AI61" i="14"/>
  <c r="AI63" i="14" s="1"/>
  <c r="AI65" i="14" s="1"/>
  <c r="AI67" i="14" s="1"/>
  <c r="AO61" i="14"/>
  <c r="AO63" i="14" s="1"/>
  <c r="AO65" i="14" s="1"/>
  <c r="AO67" i="14" s="1"/>
  <c r="AT59" i="14"/>
  <c r="AX58" i="14"/>
  <c r="AU59" i="14"/>
  <c r="AU60" i="14" s="1"/>
  <c r="AV60" i="14"/>
  <c r="AK49" i="14"/>
  <c r="AL49" i="14" s="1"/>
  <c r="AQ59" i="14"/>
  <c r="AQ60" i="14" s="1"/>
  <c r="AH51" i="14"/>
  <c r="AH52" i="14" s="1"/>
  <c r="AK52" i="14" s="1"/>
  <c r="AL52" i="14" s="1"/>
  <c r="W52" i="14" s="1"/>
  <c r="AT49" i="14"/>
  <c r="AE59" i="14"/>
  <c r="AV59" i="14"/>
  <c r="AV58" i="14"/>
  <c r="AW58" i="14" s="1"/>
  <c r="AH59" i="14"/>
  <c r="AH60" i="14" s="1"/>
  <c r="Y59" i="14"/>
  <c r="AO50" i="14"/>
  <c r="AW49" i="14"/>
  <c r="AC19" i="14"/>
  <c r="V20" i="14" s="1"/>
  <c r="AC20" i="14" s="1"/>
  <c r="AC22" i="14" s="1"/>
  <c r="AJ197" i="14"/>
  <c r="AO197" i="14" s="1"/>
  <c r="AK196" i="14"/>
  <c r="AO19" i="14"/>
  <c r="AO20" i="14" s="1"/>
  <c r="AO22" i="14" s="1"/>
  <c r="AW22" i="14" s="1"/>
  <c r="AQ50" i="14"/>
  <c r="AR50" i="14" s="1"/>
  <c r="AN51" i="14"/>
  <c r="AU50" i="14"/>
  <c r="AC51" i="14"/>
  <c r="AI50" i="14"/>
  <c r="AV49" i="14"/>
  <c r="V21" i="14"/>
  <c r="V24" i="14" s="1"/>
  <c r="V27" i="14" s="1"/>
  <c r="V31" i="14" s="1"/>
  <c r="AE50" i="14"/>
  <c r="AF50" i="14" s="1"/>
  <c r="W50" i="14" s="1"/>
  <c r="AB51" i="14"/>
  <c r="X28" i="14"/>
  <c r="W25" i="14"/>
  <c r="W33" i="14" s="1"/>
  <c r="W29" i="14" s="1"/>
  <c r="V33" i="14"/>
  <c r="V29" i="14" s="1"/>
  <c r="AJ25" i="14"/>
  <c r="AV19" i="14"/>
  <c r="W35" i="14"/>
  <c r="AQ32" i="14"/>
  <c r="AK32" i="14"/>
  <c r="V22" i="14"/>
  <c r="AI22" i="14"/>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74" i="14"/>
  <c r="AZ174" i="14" s="1"/>
  <c r="BG174" i="14" s="1"/>
  <c r="BH174" i="14" s="1"/>
  <c r="AM174" i="14"/>
  <c r="AN200" i="14"/>
  <c r="AE200" i="14"/>
  <c r="AN196" i="14"/>
  <c r="AE196" i="14"/>
  <c r="AN195" i="14"/>
  <c r="AE195" i="14"/>
  <c r="AK200" i="14"/>
  <c r="AJ201" i="14"/>
  <c r="AO201" i="14" s="1"/>
  <c r="AD201" i="14"/>
  <c r="AD197" i="14"/>
  <c r="AR247" i="14"/>
  <c r="AM248" i="14"/>
  <c r="AR246" i="14"/>
  <c r="AO245" i="14"/>
  <c r="AN245" i="14"/>
  <c r="AN246" i="14" s="1"/>
  <c r="AN247" i="14" s="1"/>
  <c r="AN248" i="14" s="1"/>
  <c r="AN249" i="14" s="1"/>
  <c r="AN250" i="14" s="1"/>
  <c r="AN251" i="14" s="1"/>
  <c r="AN252" i="14" s="1"/>
  <c r="AQ233" i="14"/>
  <c r="AQ234" i="14" s="1"/>
  <c r="AR234" i="14" s="1"/>
  <c r="AM237" i="14"/>
  <c r="AM238" i="14" s="1"/>
  <c r="AM239" i="14" s="1"/>
  <c r="AM240" i="14" s="1"/>
  <c r="AP239" i="14"/>
  <c r="AR232" i="14"/>
  <c r="AO172" i="14"/>
  <c r="AO173" i="14" s="1"/>
  <c r="AM172" i="14"/>
  <c r="AM173" i="14" s="1"/>
  <c r="AZ161" i="14"/>
  <c r="BG161" i="14" s="1"/>
  <c r="BH161" i="14" s="1"/>
  <c r="AO163" i="14"/>
  <c r="AX166" i="14"/>
  <c r="AP166" i="14"/>
  <c r="BG166" i="14"/>
  <c r="BH166" i="14" s="1"/>
  <c r="AW161" i="14"/>
  <c r="AW163" i="14" s="1"/>
  <c r="AW165" i="14" s="1"/>
  <c r="AV163" i="14"/>
  <c r="AV165" i="14" s="1"/>
  <c r="AP159" i="14"/>
  <c r="AP160" i="14" s="1"/>
  <c r="AM160" i="14"/>
  <c r="AM161" i="14" s="1"/>
  <c r="AX161" i="14" s="1"/>
  <c r="AY161" i="14" s="1"/>
  <c r="AT130" i="14" l="1"/>
  <c r="AZ130" i="14" s="1"/>
  <c r="BA130" i="14" s="1"/>
  <c r="AE108" i="14"/>
  <c r="AB111" i="14"/>
  <c r="AC112" i="14"/>
  <c r="AC114" i="14" s="1"/>
  <c r="AC116" i="14" s="1"/>
  <c r="AC118" i="14" s="1"/>
  <c r="AN104" i="14"/>
  <c r="AQ103" i="14"/>
  <c r="AR103" i="14" s="1"/>
  <c r="AH105" i="14"/>
  <c r="AK103" i="14"/>
  <c r="AL103" i="14" s="1"/>
  <c r="AE107" i="14"/>
  <c r="AB110" i="14"/>
  <c r="AE110" i="14" s="1"/>
  <c r="AF110" i="14" s="1"/>
  <c r="AK107" i="14"/>
  <c r="AL107" i="14" s="1"/>
  <c r="AH110" i="14"/>
  <c r="AI112" i="14"/>
  <c r="AV102" i="14"/>
  <c r="AI103" i="14"/>
  <c r="AW102" i="14"/>
  <c r="AO103" i="14"/>
  <c r="AU102" i="14"/>
  <c r="V103" i="14"/>
  <c r="AC103" i="14" s="1"/>
  <c r="AV86" i="14"/>
  <c r="AI88" i="14"/>
  <c r="AU88" i="14"/>
  <c r="AC90" i="14"/>
  <c r="AT88" i="14"/>
  <c r="AW86" i="14"/>
  <c r="V88" i="14"/>
  <c r="W88" i="14" s="1"/>
  <c r="Y88" i="14" s="1"/>
  <c r="Z88" i="14" s="1"/>
  <c r="AU86" i="14"/>
  <c r="AT86" i="14"/>
  <c r="AW75" i="14"/>
  <c r="AO79" i="14"/>
  <c r="AW78" i="14" s="1"/>
  <c r="AU75" i="14"/>
  <c r="AC79" i="14"/>
  <c r="AU78" i="14" s="1"/>
  <c r="AV75" i="14"/>
  <c r="AI79" i="14"/>
  <c r="AF74" i="14"/>
  <c r="AE77" i="14"/>
  <c r="AF73" i="14"/>
  <c r="AE76" i="14"/>
  <c r="AF76" i="14" s="1"/>
  <c r="AV78" i="14"/>
  <c r="AL73" i="14"/>
  <c r="AK76" i="14"/>
  <c r="AL76" i="14" s="1"/>
  <c r="AQ74" i="14"/>
  <c r="AK74" i="14"/>
  <c r="AV73" i="14"/>
  <c r="AW73" i="14"/>
  <c r="AU73" i="14"/>
  <c r="AW59" i="14"/>
  <c r="W78" i="14"/>
  <c r="AU72" i="14"/>
  <c r="AT72" i="14"/>
  <c r="AV72" i="14"/>
  <c r="AW72" i="14"/>
  <c r="AV63" i="14"/>
  <c r="AR61" i="14"/>
  <c r="AQ63" i="14"/>
  <c r="AR63" i="14" s="1"/>
  <c r="AL61" i="14"/>
  <c r="AK63" i="14"/>
  <c r="AL63" i="14" s="1"/>
  <c r="AK51" i="14"/>
  <c r="AL51" i="14" s="1"/>
  <c r="AF61" i="14"/>
  <c r="AE63" i="14"/>
  <c r="AF63" i="14" s="1"/>
  <c r="AU19" i="14"/>
  <c r="AK60" i="14"/>
  <c r="AH62" i="14"/>
  <c r="AH64" i="14" s="1"/>
  <c r="AH66" i="14" s="1"/>
  <c r="AH68" i="14" s="1"/>
  <c r="AR60" i="14"/>
  <c r="AQ62" i="14"/>
  <c r="AV61" i="14"/>
  <c r="Z59" i="14"/>
  <c r="AT60" i="14"/>
  <c r="AX59" i="14"/>
  <c r="AH65" i="14"/>
  <c r="AH67" i="14" s="1"/>
  <c r="AK67" i="14" s="1"/>
  <c r="AL67" i="14" s="1"/>
  <c r="AK59" i="14"/>
  <c r="AR59" i="14"/>
  <c r="AP174" i="14"/>
  <c r="AC65" i="14"/>
  <c r="V35" i="14"/>
  <c r="AF59" i="14"/>
  <c r="AJ198" i="14"/>
  <c r="AK198" i="14" s="1"/>
  <c r="AK197" i="14"/>
  <c r="AO25" i="14"/>
  <c r="AO32" i="14" s="1"/>
  <c r="AL58" i="14"/>
  <c r="AW19" i="14"/>
  <c r="AW20" i="14"/>
  <c r="AT19" i="14"/>
  <c r="AE51" i="14"/>
  <c r="AF51" i="14" s="1"/>
  <c r="W51" i="14" s="1"/>
  <c r="AB52" i="14"/>
  <c r="AE52" i="14" s="1"/>
  <c r="AF52" i="14" s="1"/>
  <c r="AC52" i="14"/>
  <c r="AU51" i="14"/>
  <c r="AV50" i="14"/>
  <c r="AI51" i="14"/>
  <c r="AT50" i="14"/>
  <c r="AQ51" i="14"/>
  <c r="AR51" i="14" s="1"/>
  <c r="AN52" i="14"/>
  <c r="AQ52" i="14" s="1"/>
  <c r="AR52" i="14" s="1"/>
  <c r="AW50" i="14"/>
  <c r="AO51" i="14"/>
  <c r="AC25" i="14"/>
  <c r="AU25" i="14" s="1"/>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74" i="14"/>
  <c r="AX174" i="14"/>
  <c r="BB174" i="14" s="1"/>
  <c r="BC174" i="14" s="1"/>
  <c r="AC5" i="14"/>
  <c r="AU4" i="14"/>
  <c r="AN197" i="14"/>
  <c r="AE197" i="14"/>
  <c r="AN201" i="14"/>
  <c r="AE201" i="14"/>
  <c r="AJ202" i="14"/>
  <c r="AK201" i="14"/>
  <c r="AD202" i="14"/>
  <c r="AR233" i="14"/>
  <c r="AP173" i="14"/>
  <c r="AD198" i="14"/>
  <c r="AR248" i="14"/>
  <c r="AM249" i="14"/>
  <c r="AO246" i="14"/>
  <c r="AO247" i="14" s="1"/>
  <c r="AO248" i="14" s="1"/>
  <c r="AO249" i="14" s="1"/>
  <c r="AO250" i="14" s="1"/>
  <c r="AO251" i="14" s="1"/>
  <c r="AO252" i="14" s="1"/>
  <c r="AO253" i="14" s="1"/>
  <c r="AO254" i="14" s="1"/>
  <c r="AQ235" i="14"/>
  <c r="AQ236" i="14" s="1"/>
  <c r="AQ237" i="14" s="1"/>
  <c r="AR237" i="14" s="1"/>
  <c r="AP172" i="14"/>
  <c r="BA161" i="14"/>
  <c r="AY166" i="14"/>
  <c r="BF166" i="14" s="1"/>
  <c r="BE166" i="14"/>
  <c r="BJ166" i="14" s="1"/>
  <c r="BK166" i="14" s="1"/>
  <c r="BB166" i="14"/>
  <c r="BC166" i="14" s="1"/>
  <c r="AO165" i="14"/>
  <c r="AZ163" i="14"/>
  <c r="BE161" i="14"/>
  <c r="BJ161" i="14" s="1"/>
  <c r="BK161" i="14" s="1"/>
  <c r="AM163" i="14"/>
  <c r="AP161" i="14"/>
  <c r="AC120" i="14" l="1"/>
  <c r="AC122" i="14" s="1"/>
  <c r="V114" i="14"/>
  <c r="V116" i="14" s="1"/>
  <c r="W116" i="14" s="1"/>
  <c r="AI116" i="14"/>
  <c r="AI118" i="14" s="1"/>
  <c r="AI122" i="14" s="1"/>
  <c r="AT75" i="14"/>
  <c r="W103" i="14"/>
  <c r="V105" i="14"/>
  <c r="V108" i="14" s="1"/>
  <c r="AW103" i="14"/>
  <c r="AO104" i="14"/>
  <c r="AI105" i="14"/>
  <c r="AV103" i="14"/>
  <c r="AH108" i="14"/>
  <c r="AK105" i="14"/>
  <c r="AL105" i="14" s="1"/>
  <c r="AN107" i="14"/>
  <c r="AQ104" i="14"/>
  <c r="AR104" i="14" s="1"/>
  <c r="AT102" i="14"/>
  <c r="AZ102" i="14" s="1"/>
  <c r="BA102" i="14" s="1"/>
  <c r="AH112" i="14"/>
  <c r="AH116" i="14" s="1"/>
  <c r="AK110" i="14"/>
  <c r="AL110" i="14" s="1"/>
  <c r="AB112" i="14"/>
  <c r="AB113" i="14"/>
  <c r="AE111" i="14"/>
  <c r="AF111" i="14" s="1"/>
  <c r="AU103" i="14"/>
  <c r="AC105" i="14"/>
  <c r="Y103" i="14"/>
  <c r="AT73" i="14"/>
  <c r="AC97" i="14"/>
  <c r="AU90" i="14"/>
  <c r="AV88" i="14"/>
  <c r="AI90" i="14"/>
  <c r="AR74" i="14"/>
  <c r="AQ77" i="14"/>
  <c r="Y78" i="14"/>
  <c r="Z78" i="14" s="1"/>
  <c r="AL74" i="14"/>
  <c r="AK77" i="14"/>
  <c r="AF79" i="14"/>
  <c r="AF77" i="14"/>
  <c r="AT78" i="14"/>
  <c r="AQ65" i="14"/>
  <c r="AR65" i="14" s="1"/>
  <c r="AQ64" i="14"/>
  <c r="AR62" i="14"/>
  <c r="AE65" i="14"/>
  <c r="AF65" i="14" s="1"/>
  <c r="AV65" i="14"/>
  <c r="AC67" i="14"/>
  <c r="AV67" i="14" s="1"/>
  <c r="AX60" i="14"/>
  <c r="AT61" i="14"/>
  <c r="AW61" i="14" s="1"/>
  <c r="AL60" i="14"/>
  <c r="AK62" i="14"/>
  <c r="AW60" i="14"/>
  <c r="AW25" i="14"/>
  <c r="AL59" i="14"/>
  <c r="AK65" i="14"/>
  <c r="AL65" i="14" s="1"/>
  <c r="AW32" i="14"/>
  <c r="AO198" i="14"/>
  <c r="AV51" i="14"/>
  <c r="AI52" i="14"/>
  <c r="AV52" i="14" s="1"/>
  <c r="AT51" i="14"/>
  <c r="AW51" i="14"/>
  <c r="AO52" i="14"/>
  <c r="AW52" i="14" s="1"/>
  <c r="Z25" i="14"/>
  <c r="Z33" i="14" s="1"/>
  <c r="Z29" i="14" s="1"/>
  <c r="Y33" i="14"/>
  <c r="Y29" i="14" s="1"/>
  <c r="AV25" i="14"/>
  <c r="AN25" i="14"/>
  <c r="AH25" i="14"/>
  <c r="AK25" i="14" s="1"/>
  <c r="AL25" i="14" s="1"/>
  <c r="AB32" i="14"/>
  <c r="V34" i="14"/>
  <c r="AU32" i="14"/>
  <c r="Y22" i="14"/>
  <c r="W23" i="14"/>
  <c r="W26" i="14" s="1"/>
  <c r="AE22" i="14"/>
  <c r="AE25" i="14" s="1"/>
  <c r="AF25" i="14" s="1"/>
  <c r="AF20" i="14"/>
  <c r="AQ22" i="14"/>
  <c r="AQ25" i="14" s="1"/>
  <c r="AR20" i="14"/>
  <c r="AK22" i="14"/>
  <c r="AL20" i="14"/>
  <c r="AL22" i="14" s="1"/>
  <c r="AT22" i="14"/>
  <c r="AY174" i="14"/>
  <c r="BF174" i="14" s="1"/>
  <c r="BE174" i="14"/>
  <c r="BJ174" i="14" s="1"/>
  <c r="BK174" i="14" s="1"/>
  <c r="AO14" i="14"/>
  <c r="AW13" i="14" s="1"/>
  <c r="AC14" i="14"/>
  <c r="AU13" i="14" s="1"/>
  <c r="AI14" i="14"/>
  <c r="AV13" i="14" s="1"/>
  <c r="AI8" i="14"/>
  <c r="AV7" i="14" s="1"/>
  <c r="AV5" i="14"/>
  <c r="AC8" i="14"/>
  <c r="AC12" i="14" s="1"/>
  <c r="AU10" i="14" s="1"/>
  <c r="AT10" i="14" s="1"/>
  <c r="AU5" i="14"/>
  <c r="AT5" i="14"/>
  <c r="AN198" i="14"/>
  <c r="AE198" i="14"/>
  <c r="AN202" i="14"/>
  <c r="AE202" i="14"/>
  <c r="AK202" i="14"/>
  <c r="AO202" i="14"/>
  <c r="AR235" i="14"/>
  <c r="AR249" i="14"/>
  <c r="AM250" i="14"/>
  <c r="AJ253" i="14"/>
  <c r="AL253" i="14" s="1"/>
  <c r="AP253" i="14" s="1"/>
  <c r="AO255" i="14"/>
  <c r="AO256" i="14" s="1"/>
  <c r="AL251" i="14"/>
  <c r="AP251" i="14" s="1"/>
  <c r="AQ238" i="14"/>
  <c r="AR236" i="14"/>
  <c r="AX163" i="14"/>
  <c r="BB163" i="14" s="1"/>
  <c r="AP163" i="14"/>
  <c r="AM165" i="14"/>
  <c r="AP165" i="14" s="1"/>
  <c r="BA163" i="14"/>
  <c r="BA165" i="14" s="1"/>
  <c r="AZ165" i="14"/>
  <c r="BG163" i="14"/>
  <c r="BB161" i="14"/>
  <c r="BC161" i="14" s="1"/>
  <c r="BF161" i="14"/>
  <c r="AI124" i="14" l="1"/>
  <c r="AC124" i="14"/>
  <c r="AK116" i="14"/>
  <c r="AL116" i="14" s="1"/>
  <c r="AH118" i="14"/>
  <c r="V120" i="14"/>
  <c r="AE113" i="14"/>
  <c r="AF113" i="14" s="1"/>
  <c r="AB115" i="14"/>
  <c r="AB117" i="14" s="1"/>
  <c r="AE112" i="14"/>
  <c r="AF112" i="14" s="1"/>
  <c r="AB114" i="14"/>
  <c r="AB116" i="14" s="1"/>
  <c r="AK112" i="14"/>
  <c r="AL112" i="14" s="1"/>
  <c r="AI108" i="14"/>
  <c r="AV104" i="14"/>
  <c r="AW104" i="14"/>
  <c r="AO107" i="14"/>
  <c r="Z103" i="14"/>
  <c r="Z105" i="14" s="1"/>
  <c r="Z108" i="14" s="1"/>
  <c r="Y105" i="14"/>
  <c r="Y108" i="14" s="1"/>
  <c r="AQ107" i="14"/>
  <c r="AR107" i="14" s="1"/>
  <c r="AN110" i="14"/>
  <c r="AT103" i="14"/>
  <c r="AZ103" i="14" s="1"/>
  <c r="AC108" i="14"/>
  <c r="AU104" i="14"/>
  <c r="AH111" i="14"/>
  <c r="AK108" i="14"/>
  <c r="AL108" i="14" s="1"/>
  <c r="W105" i="14"/>
  <c r="W108" i="14" s="1"/>
  <c r="AY103" i="14"/>
  <c r="AI97" i="14"/>
  <c r="AV97" i="14" s="1"/>
  <c r="AV90" i="14"/>
  <c r="AT90" i="14"/>
  <c r="AU97" i="14"/>
  <c r="AT97" i="14"/>
  <c r="AT25" i="14"/>
  <c r="AR77" i="14"/>
  <c r="AR79" i="14"/>
  <c r="AL77" i="14"/>
  <c r="AL79" i="14"/>
  <c r="AQ66" i="14"/>
  <c r="AR64" i="14"/>
  <c r="AK64" i="14"/>
  <c r="AL62" i="14"/>
  <c r="AX61" i="14"/>
  <c r="AT63" i="14"/>
  <c r="AT65" i="14" s="1"/>
  <c r="AT52" i="14"/>
  <c r="AE32" i="14"/>
  <c r="AB28" i="14"/>
  <c r="V30" i="14"/>
  <c r="AV32" i="14"/>
  <c r="AT32" i="14" s="1"/>
  <c r="AF22" i="14"/>
  <c r="AR22" i="14"/>
  <c r="W34" i="14"/>
  <c r="W30" i="14" s="1"/>
  <c r="Z20" i="14"/>
  <c r="Z23" i="14" s="1"/>
  <c r="Z26" i="14" s="1"/>
  <c r="Y23" i="14"/>
  <c r="Y26" i="14" s="1"/>
  <c r="Z22" i="14"/>
  <c r="AT13" i="14"/>
  <c r="AU7" i="14"/>
  <c r="AT7" i="14" s="1"/>
  <c r="AR250" i="14"/>
  <c r="AM251" i="14"/>
  <c r="AM252" i="14" s="1"/>
  <c r="AM253" i="14" s="1"/>
  <c r="AN253" i="14"/>
  <c r="AN254" i="14" s="1"/>
  <c r="AN255" i="14" s="1"/>
  <c r="AN256" i="14" s="1"/>
  <c r="AQ253" i="14"/>
  <c r="AQ254" i="14" s="1"/>
  <c r="AQ255" i="14" s="1"/>
  <c r="AQ256" i="14" s="1"/>
  <c r="AQ239" i="14"/>
  <c r="AQ240" i="14" s="1"/>
  <c r="AR240" i="14" s="1"/>
  <c r="AR238" i="14"/>
  <c r="BH163" i="14"/>
  <c r="BH165" i="14" s="1"/>
  <c r="BG165" i="14"/>
  <c r="BC163" i="14"/>
  <c r="BC165" i="14" s="1"/>
  <c r="BB165" i="14"/>
  <c r="AY163" i="14"/>
  <c r="AX165" i="14"/>
  <c r="BE163" i="14"/>
  <c r="AK118" i="14" l="1"/>
  <c r="AL118" i="14" s="1"/>
  <c r="AH122" i="14"/>
  <c r="W120" i="14"/>
  <c r="V122" i="14"/>
  <c r="W122" i="14" s="1"/>
  <c r="AY120" i="14"/>
  <c r="Y120" i="14"/>
  <c r="AE116" i="14"/>
  <c r="AB118" i="14"/>
  <c r="AE117" i="14"/>
  <c r="AF117" i="14" s="1"/>
  <c r="AB119" i="14"/>
  <c r="AE114" i="14"/>
  <c r="AF114" i="14" s="1"/>
  <c r="AF116" i="14"/>
  <c r="AE115" i="14"/>
  <c r="AF115" i="14" s="1"/>
  <c r="AC111" i="14"/>
  <c r="AU107" i="14"/>
  <c r="AT104" i="14"/>
  <c r="AZ104" i="14" s="1"/>
  <c r="BA103" i="14"/>
  <c r="AN112" i="14"/>
  <c r="AQ110" i="14"/>
  <c r="AR110" i="14" s="1"/>
  <c r="AO110" i="14"/>
  <c r="AW107" i="14"/>
  <c r="AX104" i="14"/>
  <c r="BB103" i="14"/>
  <c r="AK111" i="14"/>
  <c r="AL111" i="14" s="1"/>
  <c r="AH113" i="14"/>
  <c r="AI111" i="14"/>
  <c r="AV107" i="14"/>
  <c r="AR251" i="14"/>
  <c r="AT67" i="14"/>
  <c r="AW67" i="14" s="1"/>
  <c r="AQ68" i="14"/>
  <c r="AR66" i="14"/>
  <c r="AR68" i="14" s="1"/>
  <c r="AK66" i="14"/>
  <c r="AL64" i="14"/>
  <c r="AX65" i="14"/>
  <c r="AW65" i="14"/>
  <c r="AX63" i="14"/>
  <c r="AW63" i="14"/>
  <c r="AF32" i="14"/>
  <c r="AR25" i="14"/>
  <c r="Z34" i="14"/>
  <c r="Y34" i="14"/>
  <c r="AR252" i="14"/>
  <c r="AM254" i="14"/>
  <c r="AR253" i="14"/>
  <c r="AR239" i="14"/>
  <c r="BJ163" i="14"/>
  <c r="BK163" i="14" s="1"/>
  <c r="BE165" i="14"/>
  <c r="BJ165" i="14" s="1"/>
  <c r="BK165" i="14" s="1"/>
  <c r="BF163" i="14"/>
  <c r="BF165" i="14" s="1"/>
  <c r="AY165" i="14"/>
  <c r="Z120" i="14" l="1"/>
  <c r="Z122" i="14" s="1"/>
  <c r="Y122" i="14"/>
  <c r="AK122" i="14"/>
  <c r="AL122" i="14" s="1"/>
  <c r="AH124" i="14"/>
  <c r="AK124" i="14" s="1"/>
  <c r="AL124" i="14" s="1"/>
  <c r="AB121" i="14"/>
  <c r="AE119" i="14"/>
  <c r="AF119" i="14" s="1"/>
  <c r="AE118" i="14"/>
  <c r="AF118" i="14" s="1"/>
  <c r="AB120" i="14"/>
  <c r="AQ112" i="14"/>
  <c r="AR112" i="14" s="1"/>
  <c r="AN114" i="14"/>
  <c r="AK113" i="14"/>
  <c r="AL113" i="14" s="1"/>
  <c r="AH115" i="14"/>
  <c r="AH117" i="14" s="1"/>
  <c r="AO112" i="14"/>
  <c r="AW110" i="14"/>
  <c r="AI113" i="14"/>
  <c r="AI115" i="14" s="1"/>
  <c r="AI117" i="14" s="1"/>
  <c r="AV110" i="14"/>
  <c r="BB104" i="14"/>
  <c r="AX107" i="14"/>
  <c r="AT107" i="14"/>
  <c r="AZ107" i="14" s="1"/>
  <c r="BA107" i="14" s="1"/>
  <c r="BA104" i="14"/>
  <c r="AC113" i="14"/>
  <c r="AU110" i="14"/>
  <c r="AX67" i="14"/>
  <c r="AL66" i="14"/>
  <c r="AL68" i="14" s="1"/>
  <c r="AK68" i="14"/>
  <c r="Y30" i="14"/>
  <c r="Z30" i="14"/>
  <c r="AR254" i="14"/>
  <c r="AM255" i="14"/>
  <c r="AM256" i="14" s="1"/>
  <c r="AR256" i="14" s="1"/>
  <c r="AE120" i="14" l="1"/>
  <c r="AF120" i="14" s="1"/>
  <c r="AB122" i="14"/>
  <c r="AE121" i="14"/>
  <c r="AF121" i="14" s="1"/>
  <c r="AB123" i="14"/>
  <c r="AV116" i="14"/>
  <c r="AI119" i="14"/>
  <c r="AK117" i="14"/>
  <c r="AL117" i="14" s="1"/>
  <c r="AH119" i="14"/>
  <c r="AU112" i="14"/>
  <c r="AC115" i="14"/>
  <c r="AK115" i="14"/>
  <c r="AL115" i="14" s="1"/>
  <c r="AQ114" i="14"/>
  <c r="AR114" i="14" s="1"/>
  <c r="AN116" i="14"/>
  <c r="AV112" i="14"/>
  <c r="AW112" i="14"/>
  <c r="AO114" i="14"/>
  <c r="AX110" i="14"/>
  <c r="BB107" i="14"/>
  <c r="AT110" i="14"/>
  <c r="AZ110" i="14" s="1"/>
  <c r="AR255" i="14"/>
  <c r="AE123" i="14" l="1"/>
  <c r="AF123" i="14" s="1"/>
  <c r="AB125" i="14"/>
  <c r="AE125" i="14" s="1"/>
  <c r="AF125" i="14" s="1"/>
  <c r="AE122" i="14"/>
  <c r="AF122" i="14" s="1"/>
  <c r="AB124" i="14"/>
  <c r="AE124" i="14" s="1"/>
  <c r="AF124" i="14" s="1"/>
  <c r="AQ116" i="14"/>
  <c r="AR116" i="14" s="1"/>
  <c r="AN118" i="14"/>
  <c r="AI121" i="14"/>
  <c r="AV118" i="14"/>
  <c r="AH121" i="14"/>
  <c r="AK119" i="14"/>
  <c r="AL119" i="14" s="1"/>
  <c r="AC117" i="14"/>
  <c r="AU114" i="14"/>
  <c r="AW114" i="14"/>
  <c r="AO116" i="14"/>
  <c r="AT112" i="14"/>
  <c r="AZ112" i="14" s="1"/>
  <c r="AV114" i="14"/>
  <c r="W114" i="14"/>
  <c r="Y114" i="14" s="1"/>
  <c r="BA110" i="14"/>
  <c r="AX112" i="14"/>
  <c r="BB110" i="14"/>
  <c r="AT114" i="14" l="1"/>
  <c r="AZ114" i="14" s="1"/>
  <c r="AK121" i="14"/>
  <c r="AL121" i="14" s="1"/>
  <c r="AH123" i="14"/>
  <c r="AV120" i="14"/>
  <c r="AI123" i="14"/>
  <c r="AW116" i="14"/>
  <c r="AO118" i="14"/>
  <c r="AU116" i="14"/>
  <c r="AC119" i="14"/>
  <c r="AQ118" i="14"/>
  <c r="AR118" i="14" s="1"/>
  <c r="AN120" i="14"/>
  <c r="Z114" i="14"/>
  <c r="Z116" i="14" s="1"/>
  <c r="Y116" i="14"/>
  <c r="BB112" i="14"/>
  <c r="AX114" i="14"/>
  <c r="AX116" i="14" s="1"/>
  <c r="AY114" i="14"/>
  <c r="BA112" i="14"/>
  <c r="AQ120" i="14" l="1"/>
  <c r="AR120" i="14" s="1"/>
  <c r="AN122" i="14"/>
  <c r="AI125" i="14"/>
  <c r="AV124" i="14" s="1"/>
  <c r="AV122" i="14"/>
  <c r="AK123" i="14"/>
  <c r="AL123" i="14" s="1"/>
  <c r="AH125" i="14"/>
  <c r="AK125" i="14" s="1"/>
  <c r="AL125" i="14" s="1"/>
  <c r="BB116" i="14"/>
  <c r="AX118" i="14"/>
  <c r="AC121" i="14"/>
  <c r="AU118" i="14"/>
  <c r="AW118" i="14"/>
  <c r="AT118" i="14" s="1"/>
  <c r="AZ118" i="14" s="1"/>
  <c r="BA118" i="14" s="1"/>
  <c r="AO120" i="14"/>
  <c r="AT116" i="14"/>
  <c r="AZ116" i="14" s="1"/>
  <c r="BA116" i="14" s="1"/>
  <c r="BB114" i="14"/>
  <c r="BA114" i="14"/>
  <c r="AW120" i="14" l="1"/>
  <c r="AO122" i="14"/>
  <c r="AU120" i="14"/>
  <c r="AC123" i="14"/>
  <c r="AQ122" i="14"/>
  <c r="AR122" i="14" s="1"/>
  <c r="AN124" i="14"/>
  <c r="AQ124" i="14" s="1"/>
  <c r="AR124" i="14" s="1"/>
  <c r="BB118" i="14"/>
  <c r="AX120" i="14"/>
  <c r="BB120" i="14" l="1"/>
  <c r="AX122" i="14"/>
  <c r="AC125" i="14"/>
  <c r="AU124" i="14" s="1"/>
  <c r="AU122" i="14"/>
  <c r="AW122" i="14"/>
  <c r="AT122" i="14" s="1"/>
  <c r="AZ122" i="14" s="1"/>
  <c r="BA122" i="14" s="1"/>
  <c r="AO124" i="14"/>
  <c r="AW124" i="14" s="1"/>
  <c r="AT124" i="14" s="1"/>
  <c r="AZ124" i="14" s="1"/>
  <c r="AT120" i="14"/>
  <c r="AZ120" i="14" s="1"/>
  <c r="BA120" i="14" s="1"/>
  <c r="BB122" i="14" l="1"/>
  <c r="AX124" i="14"/>
  <c r="BB124" i="14" s="1"/>
  <c r="BA124"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charset val="1"/>
          </rPr>
          <t>Marin Sarbulescu:</t>
        </r>
        <r>
          <rPr>
            <sz val="9"/>
            <color indexed="81"/>
            <rFont val="Tahoma"/>
            <charset val="1"/>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47"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47"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47"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57"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57"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71" authorId="0" shapeId="0" xr:uid="{8F04C767-0EEA-4A16-8E50-1ED3497F19C2}">
      <text>
        <r>
          <rPr>
            <b/>
            <sz val="9"/>
            <color indexed="81"/>
            <rFont val="Tahoma"/>
            <family val="2"/>
          </rPr>
          <t>Marin Sarbulescu:</t>
        </r>
        <r>
          <rPr>
            <sz val="9"/>
            <color indexed="81"/>
            <rFont val="Tahoma"/>
            <family val="2"/>
          </rPr>
          <t xml:space="preserve">
=BuyPrice * (1 + PT_Percent) / (1 - Commission_Percent)</t>
        </r>
      </text>
    </comment>
    <comment ref="AF71" authorId="0" shapeId="0" xr:uid="{7B9A88AB-7504-4C51-BE9C-86C416DBA5D8}">
      <text>
        <r>
          <rPr>
            <b/>
            <sz val="9"/>
            <color indexed="81"/>
            <rFont val="Tahoma"/>
            <family val="2"/>
          </rPr>
          <t>Marin Sarbulescu:</t>
        </r>
        <r>
          <rPr>
            <sz val="9"/>
            <color indexed="81"/>
            <rFont val="Tahoma"/>
            <family val="2"/>
          </rPr>
          <t xml:space="preserve">
=(CurrentPrice - PT_Price) / PT_Price</t>
        </r>
      </text>
    </comment>
    <comment ref="AE85"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85"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101"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101"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29"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29"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R160"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S160"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T160"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U160"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V160"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W160"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E160"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F160"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G160"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H160"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I160" authorId="0" shapeId="0" xr:uid="{44F6E4E3-EEED-4802-956A-284A28EABB1A}">
      <text>
        <r>
          <rPr>
            <b/>
            <sz val="9"/>
            <color indexed="81"/>
            <rFont val="Tahoma"/>
            <charset val="1"/>
          </rPr>
          <t>Marin Sarbulescu:</t>
        </r>
        <r>
          <rPr>
            <sz val="9"/>
            <color indexed="81"/>
            <rFont val="Tahoma"/>
            <charset val="1"/>
          </rPr>
          <t xml:space="preserve">
SUM(All_Div + All_SLP)</t>
        </r>
      </text>
    </comment>
    <comment ref="BJ160"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K160"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X161"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61"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61"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61"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61"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C161"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74"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S174"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T174"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U174"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V174"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W174"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X174"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74"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74"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BA174"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74"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C174"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216"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F219"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F220"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<sst xmlns="http://schemas.openxmlformats.org/spreadsheetml/2006/main" count="1609" uniqueCount="281">
  <si>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</si>
  <si>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</si>
  <si>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</si>
  <si>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</si>
  <si>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</si>
  <si>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</si>
  <si>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</si>
  <si>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</si>
  <si>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</si>
  <si>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</si>
  <si>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</si>
  <si>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</si>
  <si>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</si>
  <si>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</si>
  <si>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</si>
  <si>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</si>
  <si>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</si>
  <si>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</si>
  <si>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</si>
  <si>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</si>
  <si>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</si>
  <si>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</si>
  <si>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</si>
  <si>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</si>
  <si>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</si>
  <si>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</si>
  <si>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</si>
  <si>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</si>
  <si>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</si>
  <si>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</si>
  <si>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</si>
  <si>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</si>
  <si>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</si>
  <si>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</si>
  <si>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</si>
  <si>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</si>
  <si>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</si>
  <si>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</si>
  <si>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</si>
  <si>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</si>
  <si>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</si>
  <si>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</si>
  <si>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</si>
  <si>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</si>
  <si>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</si>
  <si>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</si>
  <si>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</si>
  <si>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</si>
  <si>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</si>
  <si>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</si>
  <si>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</si>
  <si>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</si>
  <si>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</si>
  <si>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</si>
  <si>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</si>
  <si>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</si>
  <si>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</si>
  <si>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</si>
  <si>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</si>
  <si>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</si>
  <si>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</si>
  <si>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</si>
  <si>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</si>
  <si>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</si>
  <si>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</si>
  <si>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</si>
  <si>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</si>
  <si>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</si>
  <si>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</si>
  <si>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</si>
  <si>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</si>
  <si>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</si>
  <si>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</si>
  <si>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</si>
  <si>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</si>
  <si>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</si>
  <si>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</si>
  <si>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</si>
  <si>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</si>
  <si>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</si>
  <si>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</si>
  <si>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</si>
  <si>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</si>
  <si>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</si>
  <si>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</si>
  <si>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</si>
  <si>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</si>
  <si>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</si>
  <si>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</si>
  <si>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</si>
  <si>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</si>
  <si>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</si>
  <si>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</si>
  <si>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</si>
  <si>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</si>
  <si>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</si>
  <si>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</si>
  <si>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</si>
  <si>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</si>
  <si>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</si>
  <si>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</si>
  <si>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</si>
  <si>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</si>
  <si>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</si>
  <si>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</si>
  <si>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</si>
  <si>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</si>
  <si>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</si>
  <si>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</si>
  <si>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</si>
  <si>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</si>
  <si>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</si>
  <si>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</si>
  <si>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</si>
  <si>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</si>
  <si>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</si>
  <si>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</si>
  <si>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</si>
  <si>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</si>
  <si>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</si>
  <si>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</si>
  <si>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</si>
  <si>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</si>
  <si>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</si>
  <si>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</si>
  <si>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</si>
  <si>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</si>
  <si>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</si>
  <si>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</si>
  <si>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</si>
  <si>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</si>
  <si>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</si>
  <si>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</si>
  <si>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</si>
  <si>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</si>
  <si>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</si>
  <si>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</si>
  <si>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</si>
  <si>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</si>
  <si>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</si>
  <si>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</si>
  <si>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</si>
  <si>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</si>
  <si>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</si>
  <si>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</si>
  <si>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</si>
  <si>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</si>
  <si>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</si>
  <si>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</si>
  <si>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</si>
  <si>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</si>
  <si>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</si>
  <si>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</si>
  <si>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</si>
  <si>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</si>
  <si>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</si>
  <si>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</si>
  <si>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</si>
  <si>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</si>
  <si>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</si>
  <si>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</si>
  <si>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</si>
  <si>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</si>
  <si>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</si>
  <si>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</si>
  <si>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</si>
  <si>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</si>
  <si>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</si>
  <si>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</si>
  <si>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</si>
  <si>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</si>
  <si>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</si>
  <si>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</si>
  <si>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</si>
  <si>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</si>
  <si>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</si>
  <si>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</si>
  <si>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</si>
  <si>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</si>
  <si>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</si>
  <si>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</si>
  <si>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</si>
  <si>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</si>
  <si>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</si>
  <si>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</si>
  <si>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</si>
  <si>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</si>
  <si>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</si>
  <si>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</si>
  <si>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</si>
  <si>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</si>
  <si>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</si>
  <si>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</si>
  <si>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</si>
  <si>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</si>
  <si>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</si>
  <si>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</si>
  <si>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</si>
  <si>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</si>
  <si>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</si>
  <si>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</si>
  <si>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</si>
  <si>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</si>
  <si>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</si>
  <si>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</si>
  <si>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</si>
  <si>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</si>
  <si>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</si>
  <si>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</si>
  <si>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</si>
  <si>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</si>
  <si>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</si>
  <si>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</si>
  <si>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</si>
  <si>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</si>
  <si>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</si>
  <si>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</si>
  <si>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</si>
  <si>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</si>
  <si>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</si>
  <si>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</si>
  <si>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</si>
  <si>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</si>
  <si>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</si>
  <si>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</si>
  <si>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</si>
  <si>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</si>
  <si>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</si>
  <si>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</si>
  <si>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</si>
  <si>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</si>
  <si>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</si>
  <si>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</si>
  <si>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</si>
  <si>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</si>
  <si>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</si>
  <si>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</si>
  <si>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</si>
  <si>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</si>
  <si>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</si>
  <si>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Div, SPL and other transactions</t>
  </si>
  <si>
    <t>Mkt Val</t>
  </si>
  <si>
    <t>Bal</t>
  </si>
  <si>
    <t>Available</t>
  </si>
  <si>
    <t>Budget</t>
  </si>
  <si>
    <t>DividendA</t>
  </si>
  <si>
    <t>Div</t>
  </si>
  <si>
    <t>Dividend</t>
  </si>
  <si>
    <t>SLPA</t>
  </si>
  <si>
    <t>SLP</t>
  </si>
  <si>
    <t>asset-roi.spec.ts</t>
  </si>
  <si>
    <t>ROI</t>
  </si>
  <si>
    <t>asset-config-changes.spec.ts</t>
  </si>
  <si>
    <t>EditBuyA</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</si>
  <si>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</si>
  <si>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</si>
  <si>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</si>
  <si>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</si>
  <si>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</si>
  <si>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</si>
  <si>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</si>
  <si>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</si>
  <si>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</si>
  <si>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</si>
  <si>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</si>
  <si>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</si>
  <si>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</si>
  <si>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</si>
  <si>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asset-et-crud</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</si>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</sst>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4"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49">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7"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6" fillId="0" borderId="0" xfId="0" applyNumberFormat="1" applyFont="1" applyAlignment="1">
      <alignment horizontal="right"/>
    </xf>
    <xf numFmtId="166" fontId="26" fillId="0" borderId="0" xfId="0" applyNumberFormat="1" applyFont="1" applyAlignment="1">
      <alignment horizontal="right"/>
    </xf>
    <xf numFmtId="164" fontId="26" fillId="0" borderId="0" xfId="2" applyNumberFormat="1" applyFont="1" applyAlignment="1">
      <alignment horizontal="right"/>
    </xf>
    <xf numFmtId="164" fontId="27" fillId="0" borderId="0" xfId="0" applyNumberFormat="1" applyFont="1" applyAlignment="1">
      <alignment horizontal="right"/>
    </xf>
    <xf numFmtId="0" fontId="25" fillId="3" borderId="0" xfId="0" applyFont="1" applyFill="1"/>
    <xf numFmtId="8" fontId="25" fillId="3" borderId="0" xfId="0" applyNumberFormat="1" applyFont="1" applyFill="1"/>
    <xf numFmtId="10" fontId="26" fillId="3" borderId="0" xfId="0" applyNumberFormat="1" applyFont="1" applyFill="1" applyAlignment="1">
      <alignment horizontal="right"/>
    </xf>
    <xf numFmtId="10" fontId="25" fillId="3" borderId="0" xfId="0" applyNumberFormat="1" applyFont="1" applyFill="1"/>
    <xf numFmtId="166" fontId="7" fillId="3" borderId="0" xfId="0" applyNumberFormat="1" applyFont="1" applyFill="1" applyAlignment="1">
      <alignment horizontal="right"/>
    </xf>
    <xf numFmtId="164" fontId="27" fillId="3" borderId="0" xfId="0" applyNumberFormat="1" applyFont="1" applyFill="1" applyAlignment="1">
      <alignment horizontal="right"/>
    </xf>
    <xf numFmtId="2" fontId="11" fillId="3" borderId="0" xfId="0" applyNumberFormat="1" applyFont="1" applyFill="1"/>
    <xf numFmtId="49" fontId="26" fillId="3" borderId="0" xfId="0" applyNumberFormat="1" applyFont="1" applyFill="1"/>
    <xf numFmtId="164" fontId="26" fillId="3" borderId="0" xfId="0" applyNumberFormat="1" applyFont="1" applyFill="1" applyAlignment="1">
      <alignment horizontal="right"/>
    </xf>
    <xf numFmtId="166" fontId="26" fillId="3" borderId="0" xfId="0" applyNumberFormat="1" applyFont="1" applyFill="1" applyAlignment="1">
      <alignment horizontal="right"/>
    </xf>
    <xf numFmtId="10" fontId="10" fillId="3" borderId="0" xfId="0" applyNumberFormat="1" applyFont="1" applyFill="1" applyAlignment="1">
      <alignment horizontal="right"/>
    </xf>
    <xf numFmtId="0" fontId="20" fillId="3" borderId="0" xfId="0" applyFont="1" applyFill="1"/>
    <xf numFmtId="0" fontId="8" fillId="9" borderId="0" xfId="0" applyFont="1" applyFill="1"/>
    <xf numFmtId="0" fontId="9" fillId="9" borderId="0" xfId="0" applyFont="1" applyFill="1"/>
    <xf numFmtId="164" fontId="29" fillId="0" borderId="0" xfId="0" applyNumberFormat="1" applyFont="1"/>
    <xf numFmtId="1" fontId="30" fillId="0" borderId="0" xfId="0" applyNumberFormat="1" applyFont="1" applyAlignment="1">
      <alignment horizontal="right"/>
    </xf>
    <xf numFmtId="0" fontId="11" fillId="3" borderId="0" xfId="0" applyFont="1" applyFill="1" applyAlignment="1">
      <alignment wrapText="1"/>
    </xf>
    <xf numFmtId="164" fontId="29" fillId="3" borderId="0" xfId="0" applyNumberFormat="1" applyFont="1" applyFill="1"/>
    <xf numFmtId="1" fontId="30" fillId="3" borderId="0" xfId="0" applyNumberFormat="1" applyFont="1" applyFill="1" applyAlignment="1">
      <alignment horizontal="right"/>
    </xf>
    <xf numFmtId="10" fontId="27" fillId="0" borderId="0" xfId="1" applyNumberFormat="1" applyFont="1" applyFill="1" applyAlignment="1">
      <alignment horizontal="right"/>
    </xf>
    <xf numFmtId="10" fontId="27" fillId="0" borderId="0" xfId="0" applyNumberFormat="1" applyFont="1" applyAlignment="1">
      <alignment horizontal="right"/>
    </xf>
    <xf numFmtId="10" fontId="27" fillId="3" borderId="0" xfId="1" applyNumberFormat="1" applyFont="1" applyFill="1" applyAlignment="1">
      <alignment horizontal="right"/>
    </xf>
    <xf numFmtId="10" fontId="31" fillId="3" borderId="0" xfId="0" applyNumberFormat="1" applyFont="1" applyFill="1" applyAlignment="1">
      <alignment horizontal="right"/>
    </xf>
    <xf numFmtId="10" fontId="31" fillId="3" borderId="0" xfId="1" applyNumberFormat="1" applyFont="1" applyFill="1" applyAlignment="1">
      <alignment horizontal="right"/>
    </xf>
    <xf numFmtId="10" fontId="28" fillId="0" borderId="0" xfId="1" applyNumberFormat="1" applyFont="1" applyAlignment="1">
      <alignment horizontal="right"/>
    </xf>
    <xf numFmtId="10" fontId="31" fillId="0" borderId="0" xfId="0" applyNumberFormat="1" applyFont="1" applyAlignment="1">
      <alignment horizontal="right"/>
    </xf>
    <xf numFmtId="10" fontId="31" fillId="0" borderId="0" xfId="1" applyNumberFormat="1" applyFont="1" applyFill="1" applyAlignment="1">
      <alignment horizontal="right"/>
    </xf>
    <xf numFmtId="164" fontId="26" fillId="0" borderId="0" xfId="2" applyNumberFormat="1" applyFont="1" applyFill="1" applyAlignment="1">
      <alignment horizontal="right"/>
    </xf>
    <xf numFmtId="10" fontId="32" fillId="0" borderId="0" xfId="0" applyNumberFormat="1" applyFont="1" applyAlignment="1">
      <alignment horizontal="right"/>
    </xf>
    <xf numFmtId="0" fontId="33"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0" fontId="9" fillId="10" borderId="0" xfId="0" applyFont="1" applyFill="1"/>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6" fillId="0" borderId="0" xfId="1" quotePrefix="1" applyNumberFormat="1" applyFont="1" applyFill="1" applyAlignment="1">
      <alignment horizontal="center"/>
    </xf>
    <xf numFmtId="10" fontId="3" fillId="0" borderId="0" xfId="0" applyNumberFormat="1" applyFont="1" applyFill="1" applyAlignment="1">
      <alignment horizontal="right"/>
    </xf>
    <xf numFmtId="0" fontId="11" fillId="0" borderId="0" xfId="0" applyFont="1" applyFill="1" applyAlignment="1">
      <alignment wrapText="1"/>
    </xf>
    <xf numFmtId="8" fontId="0" fillId="0" borderId="0" xfId="0" applyNumberFormat="1" applyFill="1"/>
    <xf numFmtId="10" fontId="0" fillId="0" borderId="0" xfId="0" applyNumberFormat="1" applyFill="1"/>
    <xf numFmtId="164" fontId="0" fillId="0" borderId="0" xfId="0" applyNumberFormat="1" applyFill="1"/>
    <xf numFmtId="0" fontId="0" fillId="0" borderId="0" xfId="0" applyFill="1"/>
    <xf numFmtId="0" fontId="25" fillId="0" borderId="0" xfId="0" applyFont="1" applyFill="1"/>
    <xf numFmtId="49" fontId="26" fillId="0" borderId="0" xfId="0" applyNumberFormat="1" applyFont="1" applyFill="1"/>
    <xf numFmtId="164" fontId="26" fillId="0" borderId="0" xfId="0" applyNumberFormat="1" applyFont="1" applyFill="1" applyAlignment="1">
      <alignment horizontal="right"/>
    </xf>
    <xf numFmtId="166" fontId="26" fillId="0" borderId="0" xfId="0" applyNumberFormat="1" applyFont="1" applyFill="1" applyAlignment="1">
      <alignment horizontal="right"/>
    </xf>
    <xf numFmtId="164" fontId="26" fillId="0" borderId="0" xfId="0" quotePrefix="1" applyNumberFormat="1" applyFont="1" applyFill="1" applyAlignment="1">
      <alignment horizontal="center"/>
    </xf>
    <xf numFmtId="0" fontId="3" fillId="0" borderId="0" xfId="0"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11" fillId="0" borderId="0" xfId="0" applyFont="1" applyFill="1"/>
    <xf numFmtId="164" fontId="3" fillId="0" borderId="0" xfId="0" quotePrefix="1" applyNumberFormat="1" applyFont="1" applyFill="1" applyAlignment="1">
      <alignment horizontal="center"/>
    </xf>
    <xf numFmtId="166" fontId="0" fillId="0" borderId="0" xfId="0" applyNumberFormat="1" applyFill="1"/>
    <xf numFmtId="164" fontId="10" fillId="0" borderId="0" xfId="0" applyNumberFormat="1" applyFont="1" applyFill="1"/>
    <xf numFmtId="164" fontId="26" fillId="3" borderId="0" xfId="0" quotePrefix="1" applyNumberFormat="1" applyFont="1" applyFill="1" applyAlignment="1">
      <alignment horizontal="center"/>
    </xf>
    <xf numFmtId="10" fontId="26" fillId="3" borderId="0" xfId="1" quotePrefix="1" applyNumberFormat="1" applyFont="1" applyFill="1" applyAlignment="1">
      <alignment horizontal="center"/>
    </xf>
    <xf numFmtId="49" fontId="10" fillId="0" borderId="0" xfId="0" applyNumberFormat="1" applyFont="1" applyFill="1"/>
    <xf numFmtId="164" fontId="28" fillId="0" borderId="0" xfId="0" applyNumberFormat="1" applyFont="1" applyFill="1" applyAlignment="1">
      <alignment horizontal="right"/>
    </xf>
    <xf numFmtId="166" fontId="7" fillId="0" borderId="0" xfId="0" applyNumberFormat="1" applyFont="1" applyFill="1" applyAlignment="1">
      <alignment horizontal="right"/>
    </xf>
    <xf numFmtId="8" fontId="25" fillId="0" borderId="0" xfId="0" applyNumberFormat="1" applyFont="1" applyFill="1"/>
    <xf numFmtId="10" fontId="26" fillId="0" borderId="0" xfId="0" applyNumberFormat="1" applyFont="1" applyFill="1" applyAlignment="1">
      <alignment horizontal="right"/>
    </xf>
    <xf numFmtId="10" fontId="25" fillId="0" borderId="0" xfId="0" applyNumberFormat="1" applyFont="1" applyFill="1"/>
    <xf numFmtId="164" fontId="26" fillId="0" borderId="0" xfId="0" quotePrefix="1" applyNumberFormat="1" applyFont="1" applyFill="1" applyAlignment="1">
      <alignment horizontal="right"/>
    </xf>
    <xf numFmtId="10" fontId="26" fillId="0" borderId="0" xfId="1" quotePrefix="1" applyNumberFormat="1" applyFont="1" applyFill="1" applyAlignment="1">
      <alignment horizontal="right"/>
    </xf>
    <xf numFmtId="164" fontId="3" fillId="0" borderId="0" xfId="0" quotePrefix="1" applyNumberFormat="1" applyFont="1" applyFill="1" applyAlignment="1">
      <alignment horizontal="right"/>
    </xf>
    <xf numFmtId="165" fontId="3" fillId="0" borderId="0" xfId="0"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56"/>
  <sheetViews>
    <sheetView tabSelected="1" topLeftCell="A17" workbookViewId="0">
      <selection activeCell="AC32" sqref="AC32"/>
    </sheetView>
  </sheetViews>
  <sheetFormatPr defaultColWidth="12.5703125" defaultRowHeight="15.75" customHeight="1" x14ac:dyDescent="0.2"/>
  <cols>
    <col min="1" max="1" width="23.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8" width="9.140625" bestFit="1" customWidth="1"/>
    <col min="9" max="10" width="6.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5703125" bestFit="1" customWidth="1"/>
    <col min="23" max="23" width="7.5703125" bestFit="1" customWidth="1"/>
    <col min="24" max="24" width="8" customWidth="1"/>
    <col min="25" max="25" width="8.5703125" bestFit="1" customWidth="1"/>
    <col min="26" max="26" width="7.85546875" bestFit="1" customWidth="1"/>
    <col min="27" max="27" width="4.85546875" customWidth="1"/>
    <col min="28" max="28" width="7.28515625" customWidth="1"/>
    <col min="29" max="29" width="8.42578125" customWidth="1"/>
    <col min="30" max="30" width="8.28515625" customWidth="1"/>
    <col min="31" max="31" width="8.5703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5703125" bestFit="1" customWidth="1"/>
    <col min="42" max="42" width="8.140625" customWidth="1"/>
    <col min="43" max="43" width="9.7109375" bestFit="1" customWidth="1"/>
    <col min="44" max="44" width="7.5703125" customWidth="1"/>
    <col min="45" max="45" width="5.5703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5703125" bestFit="1" customWidth="1"/>
    <col min="62" max="62" width="9.7109375" bestFit="1" customWidth="1"/>
    <col min="63" max="63" width="9.28515625" bestFit="1" customWidth="1"/>
  </cols>
  <sheetData>
    <row r="1" spans="1:49" ht="12.75" x14ac:dyDescent="0.2">
      <c r="A1" s="66" t="s">
        <v>266</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5"/>
      <c r="B11" s="52"/>
      <c r="C11" s="95"/>
      <c r="D11" s="124"/>
      <c r="E11" s="95"/>
      <c r="F11" s="95"/>
      <c r="G11" s="95"/>
      <c r="H11" s="95"/>
      <c r="L11" s="52"/>
      <c r="M11" s="52"/>
      <c r="N11" s="124"/>
      <c r="O11" s="95"/>
      <c r="P11" s="9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5"/>
      <c r="B12" s="52"/>
      <c r="C12" s="95"/>
      <c r="D12" s="124"/>
      <c r="E12" s="95"/>
      <c r="F12" s="95"/>
      <c r="G12" s="95"/>
      <c r="H12" s="95"/>
      <c r="L12" s="52"/>
      <c r="M12" s="52"/>
      <c r="N12" s="124"/>
      <c r="O12" s="95"/>
      <c r="P12" s="9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267</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s="222" customFormat="1" ht="12.75" x14ac:dyDescent="0.2">
      <c r="A28" s="231" t="s">
        <v>223</v>
      </c>
      <c r="B28" s="219">
        <v>90</v>
      </c>
      <c r="C28" s="62">
        <v>0.02</v>
      </c>
      <c r="D28" s="217">
        <v>0.04</v>
      </c>
      <c r="E28" s="220">
        <v>0.08</v>
      </c>
      <c r="F28" s="220">
        <v>0.16</v>
      </c>
      <c r="G28" s="220">
        <v>0.01</v>
      </c>
      <c r="H28" s="220"/>
      <c r="J28" s="231" t="s">
        <v>222</v>
      </c>
      <c r="K28" s="232" t="s">
        <v>34</v>
      </c>
      <c r="L28" s="232" t="s">
        <v>34</v>
      </c>
      <c r="M28" s="232" t="s">
        <v>34</v>
      </c>
      <c r="N28" s="232" t="s">
        <v>34</v>
      </c>
      <c r="O28" s="232" t="s">
        <v>34</v>
      </c>
      <c r="P28" s="232" t="s">
        <v>34</v>
      </c>
      <c r="R28" s="231" t="str">
        <f>R32</f>
        <v>BuyB</v>
      </c>
      <c r="S28" s="231" t="str">
        <f>S32</f>
        <v>Buy</v>
      </c>
      <c r="T28" s="237" t="s">
        <v>214</v>
      </c>
      <c r="U28" s="229">
        <f>U32</f>
        <v>100</v>
      </c>
      <c r="V28" s="230">
        <f>V32</f>
        <v>4</v>
      </c>
      <c r="W28" s="229">
        <f>W32</f>
        <v>400</v>
      </c>
      <c r="X28" s="238">
        <f>X32</f>
        <v>98</v>
      </c>
      <c r="Y28" s="232" t="s">
        <v>34</v>
      </c>
      <c r="Z28" s="232" t="s">
        <v>34</v>
      </c>
      <c r="AA28" s="228"/>
      <c r="AB28" s="229">
        <f>AB32</f>
        <v>100</v>
      </c>
      <c r="AC28" s="230">
        <f>AC25</f>
        <v>1.5</v>
      </c>
      <c r="AD28" s="157">
        <f>AD25</f>
        <v>150</v>
      </c>
      <c r="AE28" s="123">
        <f>AB28 * (1 + D28) / (1 - G28)</f>
        <v>105.05050505050505</v>
      </c>
      <c r="AF28" s="124">
        <f>(B28 - AE28) / AE28</f>
        <v>-0.14326923076923079</v>
      </c>
      <c r="AG28" s="239"/>
      <c r="AH28" s="229">
        <f>AH32</f>
        <v>100</v>
      </c>
      <c r="AI28" s="230">
        <f>AI22</f>
        <v>1.7999999999999998</v>
      </c>
      <c r="AJ28" s="157">
        <f>AJ22</f>
        <v>180</v>
      </c>
      <c r="AK28" s="123">
        <f>AH28 * (1 + E28) / (1 - G28)</f>
        <v>109.09090909090909</v>
      </c>
      <c r="AL28" s="124">
        <f>(B28 - AK28) / AK28</f>
        <v>-0.17500000000000002</v>
      </c>
      <c r="AN28" s="229">
        <f>AN32</f>
        <v>100</v>
      </c>
      <c r="AO28" s="230">
        <f>AO25</f>
        <v>1.2000000000000002</v>
      </c>
      <c r="AP28" s="157">
        <f>AP25</f>
        <v>120</v>
      </c>
      <c r="AQ28" s="123">
        <f>AN28 * (1 + F28) / (1 - G28)</f>
        <v>117.17171717171716</v>
      </c>
      <c r="AR28" s="124">
        <f>(B28 - AQ28) / AQ28</f>
        <v>-0.23189655172413787</v>
      </c>
      <c r="AT28" s="233">
        <f>AU28+AV28+AW28</f>
        <v>4.5</v>
      </c>
      <c r="AU28" s="233">
        <f>AC28</f>
        <v>1.5</v>
      </c>
      <c r="AV28" s="233">
        <f>AI28</f>
        <v>1.7999999999999998</v>
      </c>
      <c r="AW28" s="233">
        <f>AO28</f>
        <v>1.2000000000000002</v>
      </c>
    </row>
    <row r="29" spans="1:49" s="222" customFormat="1" ht="12.75" x14ac:dyDescent="0.2">
      <c r="A29" s="231"/>
      <c r="B29" s="219"/>
      <c r="C29" s="62"/>
      <c r="D29" s="217"/>
      <c r="E29" s="220"/>
      <c r="F29" s="220"/>
      <c r="G29" s="220"/>
      <c r="H29" s="220"/>
      <c r="J29" s="223"/>
      <c r="K29" s="223"/>
      <c r="L29" s="240"/>
      <c r="M29" s="240"/>
      <c r="N29" s="241"/>
      <c r="O29" s="242"/>
      <c r="P29" s="242"/>
      <c r="R29" s="223" t="str">
        <f>R33</f>
        <v>SellB</v>
      </c>
      <c r="S29" s="223" t="str">
        <f>S33</f>
        <v>Sell</v>
      </c>
      <c r="T29" s="224" t="s">
        <v>211</v>
      </c>
      <c r="U29" s="225">
        <f>U33</f>
        <v>95</v>
      </c>
      <c r="V29" s="226">
        <f>V33</f>
        <v>0.89999999999999991</v>
      </c>
      <c r="W29" s="225">
        <f>W33</f>
        <v>84.644999999999982</v>
      </c>
      <c r="X29" s="232" t="s">
        <v>34</v>
      </c>
      <c r="Y29" s="243">
        <f>Y33</f>
        <v>-5.355000000000004</v>
      </c>
      <c r="Z29" s="244">
        <f>Z33</f>
        <v>-5.9500000000000053E-2</v>
      </c>
      <c r="AA29" s="228"/>
      <c r="AB29" s="229"/>
      <c r="AC29" s="230"/>
      <c r="AD29" s="157"/>
      <c r="AE29" s="157"/>
      <c r="AF29" s="217"/>
      <c r="AG29" s="239"/>
      <c r="AH29" s="229"/>
      <c r="AI29" s="230"/>
      <c r="AJ29" s="157"/>
      <c r="AK29" s="157"/>
      <c r="AL29" s="217"/>
      <c r="AN29" s="245"/>
      <c r="AO29" s="246"/>
      <c r="AP29" s="246"/>
      <c r="AQ29" s="246"/>
      <c r="AR29" s="246"/>
      <c r="AT29" s="233"/>
      <c r="AU29" s="233"/>
      <c r="AV29" s="233"/>
      <c r="AW29" s="233"/>
    </row>
    <row r="30" spans="1:49" s="222" customFormat="1" ht="12.75" x14ac:dyDescent="0.2">
      <c r="A30" s="231"/>
      <c r="B30" s="219"/>
      <c r="C30" s="62"/>
      <c r="D30" s="217"/>
      <c r="E30" s="220"/>
      <c r="F30" s="220"/>
      <c r="G30" s="220"/>
      <c r="H30" s="220"/>
      <c r="J30" s="223"/>
      <c r="K30" s="223"/>
      <c r="L30" s="240"/>
      <c r="M30" s="240"/>
      <c r="N30" s="241"/>
      <c r="O30" s="242"/>
      <c r="P30" s="242"/>
      <c r="R30" s="231" t="str">
        <f>R34</f>
        <v>SellA</v>
      </c>
      <c r="S30" s="231" t="str">
        <f>S34</f>
        <v>Sell</v>
      </c>
      <c r="T30" s="237" t="s">
        <v>219</v>
      </c>
      <c r="U30" s="229">
        <f>U34</f>
        <v>110</v>
      </c>
      <c r="V30" s="230">
        <f>V34</f>
        <v>1.5</v>
      </c>
      <c r="W30" s="229">
        <f>W34</f>
        <v>163.35</v>
      </c>
      <c r="X30" s="232" t="s">
        <v>34</v>
      </c>
      <c r="Y30" s="245">
        <f>Y34</f>
        <v>13.349999999999994</v>
      </c>
      <c r="Z30" s="212">
        <f>Z34</f>
        <v>8.8999999999999968E-2</v>
      </c>
      <c r="AA30" s="228"/>
      <c r="AB30" s="229"/>
      <c r="AC30" s="230"/>
      <c r="AD30" s="157"/>
      <c r="AE30" s="157"/>
      <c r="AF30" s="217"/>
      <c r="AG30" s="239"/>
      <c r="AH30" s="229"/>
      <c r="AI30" s="230"/>
      <c r="AJ30" s="157"/>
      <c r="AK30" s="157"/>
      <c r="AL30" s="217"/>
      <c r="AN30" s="245"/>
      <c r="AO30" s="246"/>
      <c r="AP30" s="246"/>
      <c r="AQ30" s="246"/>
      <c r="AR30" s="246"/>
      <c r="AT30" s="233"/>
      <c r="AU30" s="233"/>
      <c r="AV30" s="233"/>
      <c r="AW30" s="233"/>
    </row>
    <row r="31" spans="1:49" s="222" customFormat="1" ht="12.75" x14ac:dyDescent="0.2">
      <c r="A31" s="231"/>
      <c r="B31" s="219"/>
      <c r="C31" s="62"/>
      <c r="D31" s="217"/>
      <c r="E31" s="220"/>
      <c r="F31" s="220"/>
      <c r="G31" s="220"/>
      <c r="H31" s="220"/>
      <c r="J31" s="223"/>
      <c r="K31" s="223"/>
      <c r="L31" s="240"/>
      <c r="M31" s="240"/>
      <c r="N31" s="241"/>
      <c r="O31" s="242"/>
      <c r="P31" s="242"/>
      <c r="R31" s="231" t="str">
        <f>R27</f>
        <v>BuyA</v>
      </c>
      <c r="S31" s="231" t="str">
        <f>S27</f>
        <v>Buy</v>
      </c>
      <c r="T31" s="237" t="s">
        <v>78</v>
      </c>
      <c r="U31" s="229">
        <f>U27</f>
        <v>100</v>
      </c>
      <c r="V31" s="230">
        <f>V27</f>
        <v>6</v>
      </c>
      <c r="W31" s="229">
        <f>W27</f>
        <v>600</v>
      </c>
      <c r="X31" s="238">
        <f>X27</f>
        <v>98</v>
      </c>
      <c r="Y31" s="232" t="s">
        <v>34</v>
      </c>
      <c r="Z31" s="232" t="s">
        <v>34</v>
      </c>
      <c r="AA31" s="228"/>
      <c r="AB31" s="229"/>
      <c r="AC31" s="230"/>
      <c r="AD31" s="157"/>
      <c r="AE31" s="157"/>
      <c r="AF31" s="217"/>
      <c r="AG31" s="239"/>
      <c r="AH31" s="229"/>
      <c r="AI31" s="230"/>
      <c r="AJ31" s="157"/>
      <c r="AK31" s="157"/>
      <c r="AL31" s="217"/>
      <c r="AN31" s="245"/>
      <c r="AO31" s="246"/>
      <c r="AP31" s="246"/>
      <c r="AQ31" s="246"/>
      <c r="AR31" s="246"/>
      <c r="AT31" s="233"/>
      <c r="AU31" s="233"/>
      <c r="AV31" s="233"/>
      <c r="AW31" s="233"/>
    </row>
    <row r="32" spans="1:49" ht="12.75" x14ac:dyDescent="0.2">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47" t="s">
        <v>216</v>
      </c>
      <c r="S32" s="247" t="s">
        <v>75</v>
      </c>
      <c r="T32" s="247"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49" ht="12.75" x14ac:dyDescent="0.2">
      <c r="A33" s="47"/>
      <c r="B33" s="40"/>
      <c r="C33" s="125"/>
      <c r="D33" s="129"/>
      <c r="E33" s="125"/>
      <c r="F33" s="125"/>
      <c r="G33" s="125"/>
      <c r="H33" s="125"/>
      <c r="I33" s="35"/>
      <c r="J33" s="35"/>
      <c r="K33" s="35"/>
      <c r="L33" s="40"/>
      <c r="M33" s="40"/>
      <c r="N33" s="129"/>
      <c r="O33" s="125"/>
      <c r="P33" s="125"/>
      <c r="Q33" s="35"/>
      <c r="R33" s="247" t="s">
        <v>221</v>
      </c>
      <c r="S33" s="247" t="s">
        <v>73</v>
      </c>
      <c r="T33" s="247" t="s">
        <v>211</v>
      </c>
      <c r="U33" s="135">
        <f>U25</f>
        <v>95</v>
      </c>
      <c r="V33" s="136">
        <f>V25</f>
        <v>0.89999999999999991</v>
      </c>
      <c r="W33" s="135">
        <f>W25</f>
        <v>84.644999999999982</v>
      </c>
      <c r="X33" s="248"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49" ht="12.75" x14ac:dyDescent="0.2">
      <c r="A34" s="47"/>
      <c r="B34" s="40"/>
      <c r="C34" s="125"/>
      <c r="D34" s="129"/>
      <c r="E34" s="125"/>
      <c r="F34" s="125"/>
      <c r="G34" s="125"/>
      <c r="H34" s="125"/>
      <c r="I34" s="35"/>
      <c r="J34" s="35"/>
      <c r="K34" s="35"/>
      <c r="L34" s="40"/>
      <c r="M34" s="40"/>
      <c r="N34" s="129"/>
      <c r="O34" s="125"/>
      <c r="P34" s="125"/>
      <c r="Q34" s="35"/>
      <c r="R34" s="247" t="s">
        <v>218</v>
      </c>
      <c r="S34" s="247" t="s">
        <v>73</v>
      </c>
      <c r="T34" s="203" t="str">
        <f>T23</f>
        <v>Profit Target</v>
      </c>
      <c r="U34" s="135">
        <f>U23</f>
        <v>110</v>
      </c>
      <c r="V34" s="136">
        <f>V23</f>
        <v>1.5</v>
      </c>
      <c r="W34" s="135">
        <f>W23</f>
        <v>163.35</v>
      </c>
      <c r="X34" s="248"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49" ht="12.75" x14ac:dyDescent="0.2">
      <c r="A35" s="47"/>
      <c r="B35" s="40"/>
      <c r="C35" s="55"/>
      <c r="D35" s="129"/>
      <c r="E35" s="125"/>
      <c r="F35" s="125"/>
      <c r="G35" s="125"/>
      <c r="H35" s="125"/>
      <c r="I35" s="35"/>
      <c r="J35" s="166"/>
      <c r="K35" s="166"/>
      <c r="L35" s="167"/>
      <c r="M35" s="167"/>
      <c r="N35" s="168"/>
      <c r="O35" s="169"/>
      <c r="P35" s="169"/>
      <c r="Q35" s="35"/>
      <c r="R35" s="247" t="s">
        <v>215</v>
      </c>
      <c r="S35" s="247" t="s">
        <v>75</v>
      </c>
      <c r="T35" s="203" t="str">
        <f>T24</f>
        <v>Initial</v>
      </c>
      <c r="U35" s="135">
        <f>U24</f>
        <v>100</v>
      </c>
      <c r="V35" s="136">
        <f>V24</f>
        <v>6</v>
      </c>
      <c r="W35" s="135">
        <f>W24</f>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49"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49" ht="12.75" x14ac:dyDescent="0.2">
      <c r="A37" s="150"/>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49" ht="12.75" x14ac:dyDescent="0.2">
      <c r="A38" s="150"/>
      <c r="B38" s="33"/>
      <c r="C38" s="67"/>
      <c r="D38" s="124"/>
      <c r="E38" s="95"/>
      <c r="F38" s="95"/>
      <c r="G38" s="95"/>
      <c r="H38" s="95"/>
      <c r="L38" s="93"/>
      <c r="M38" s="93"/>
      <c r="N38" s="124"/>
      <c r="O38" s="95"/>
      <c r="P38" s="95"/>
      <c r="R38" s="12"/>
      <c r="S38" s="12"/>
      <c r="T38" s="12"/>
      <c r="U38" s="137"/>
      <c r="V38" s="138"/>
      <c r="W38" s="137"/>
      <c r="X38" s="137"/>
      <c r="Y38" s="12"/>
      <c r="Z38" s="12"/>
      <c r="AA38" s="12"/>
      <c r="AB38" s="139"/>
      <c r="AC38" s="139"/>
      <c r="AD38" s="139"/>
      <c r="AE38" s="139"/>
      <c r="AF38" s="140"/>
      <c r="AG38" s="140"/>
      <c r="AH38" s="139"/>
      <c r="AI38" s="139"/>
      <c r="AJ38" s="139"/>
      <c r="AK38" s="139"/>
      <c r="AL38" s="140"/>
      <c r="AN38" s="139"/>
      <c r="AO38" s="139"/>
      <c r="AP38" s="139"/>
      <c r="AQ38" s="139"/>
      <c r="AR38" s="140"/>
    </row>
    <row r="39" spans="1:49" ht="12.75" x14ac:dyDescent="0.2">
      <c r="A39" s="150"/>
      <c r="B39" s="33"/>
      <c r="C39" s="67"/>
      <c r="D39" s="124"/>
      <c r="E39" s="95"/>
      <c r="F39" s="95"/>
      <c r="G39" s="95"/>
      <c r="H39" s="95"/>
      <c r="L39" s="93"/>
      <c r="M39" s="93"/>
      <c r="N39" s="124"/>
      <c r="O39" s="95"/>
      <c r="P39" s="95"/>
      <c r="R39" s="12"/>
      <c r="S39" s="12"/>
      <c r="T39" s="12"/>
      <c r="U39" s="137"/>
      <c r="V39" s="138"/>
      <c r="W39" s="137"/>
      <c r="X39" s="137"/>
      <c r="Y39" s="12"/>
      <c r="Z39" s="12"/>
      <c r="AA39" s="12"/>
      <c r="AB39" s="139"/>
      <c r="AC39" s="139"/>
      <c r="AD39" s="139"/>
      <c r="AE39" s="139"/>
      <c r="AF39" s="140"/>
      <c r="AG39" s="140"/>
      <c r="AH39" s="139"/>
      <c r="AI39" s="139"/>
      <c r="AJ39" s="139"/>
      <c r="AK39" s="139"/>
      <c r="AL39" s="140"/>
      <c r="AN39" s="139"/>
      <c r="AO39" s="139"/>
      <c r="AP39" s="139"/>
      <c r="AQ39" s="139"/>
      <c r="AR39" s="140"/>
    </row>
    <row r="40" spans="1:49" ht="12.75" x14ac:dyDescent="0.2">
      <c r="A40" s="150"/>
      <c r="B40" s="33"/>
      <c r="C40" s="67"/>
      <c r="D40" s="124"/>
      <c r="E40" s="95"/>
      <c r="F40" s="95"/>
      <c r="G40" s="95"/>
      <c r="H40" s="95"/>
      <c r="L40" s="93"/>
      <c r="M40" s="93"/>
      <c r="N40" s="124"/>
      <c r="O40" s="95"/>
      <c r="P40" s="95"/>
      <c r="R40" s="12"/>
      <c r="S40" s="12"/>
      <c r="T40" s="12"/>
      <c r="U40" s="137"/>
      <c r="V40" s="138"/>
      <c r="W40" s="137"/>
      <c r="X40" s="137"/>
      <c r="Y40" s="12"/>
      <c r="Z40" s="12"/>
      <c r="AA40" s="12"/>
      <c r="AB40" s="139"/>
      <c r="AC40" s="139"/>
      <c r="AD40" s="139"/>
      <c r="AE40" s="139"/>
      <c r="AF40" s="140"/>
      <c r="AG40" s="140"/>
      <c r="AH40" s="139"/>
      <c r="AI40" s="139"/>
      <c r="AJ40" s="139"/>
      <c r="AK40" s="139"/>
      <c r="AL40" s="140"/>
      <c r="AN40" s="139"/>
      <c r="AO40" s="139"/>
      <c r="AP40" s="139"/>
      <c r="AQ40" s="139"/>
      <c r="AR40" s="140"/>
    </row>
    <row r="41" spans="1:49" ht="12.75" x14ac:dyDescent="0.2">
      <c r="A41" s="150"/>
      <c r="B41" s="33"/>
      <c r="C41" s="67"/>
      <c r="D41" s="124"/>
      <c r="E41" s="95"/>
      <c r="F41" s="95"/>
      <c r="G41" s="95"/>
      <c r="H41" s="95"/>
      <c r="L41" s="93"/>
      <c r="M41" s="93"/>
      <c r="N41" s="124"/>
      <c r="O41" s="95"/>
      <c r="P41" s="95"/>
      <c r="R41" s="12"/>
      <c r="S41" s="12"/>
      <c r="T41" s="12"/>
      <c r="U41" s="137"/>
      <c r="V41" s="138"/>
      <c r="W41" s="137"/>
      <c r="X41" s="137"/>
      <c r="Y41" s="12"/>
      <c r="Z41" s="12"/>
      <c r="AA41" s="12"/>
      <c r="AB41" s="139"/>
      <c r="AC41" s="139"/>
      <c r="AD41" s="139"/>
      <c r="AE41" s="139"/>
      <c r="AF41" s="140"/>
      <c r="AG41" s="140"/>
      <c r="AH41" s="139"/>
      <c r="AI41" s="139"/>
      <c r="AJ41" s="139"/>
      <c r="AK41" s="139"/>
      <c r="AL41" s="140"/>
      <c r="AN41" s="139"/>
      <c r="AO41" s="139"/>
      <c r="AP41" s="139"/>
      <c r="AQ41" s="139"/>
      <c r="AR41" s="140"/>
    </row>
    <row r="42" spans="1:49" ht="12.75" x14ac:dyDescent="0.2">
      <c r="A42" s="150"/>
      <c r="B42" s="33"/>
      <c r="C42" s="67"/>
      <c r="D42" s="124"/>
      <c r="E42" s="95"/>
      <c r="F42" s="95"/>
      <c r="G42" s="95"/>
      <c r="H42" s="95"/>
      <c r="L42" s="93"/>
      <c r="M42" s="93"/>
      <c r="N42" s="124"/>
      <c r="O42" s="95"/>
      <c r="P42" s="95"/>
      <c r="R42" s="12"/>
      <c r="S42" s="12"/>
      <c r="T42" s="12"/>
      <c r="U42" s="137"/>
      <c r="V42" s="138"/>
      <c r="W42" s="137"/>
      <c r="X42" s="137"/>
      <c r="Y42" s="12"/>
      <c r="Z42" s="12"/>
      <c r="AA42" s="12"/>
      <c r="AB42" s="139"/>
      <c r="AC42" s="139"/>
      <c r="AD42" s="139"/>
      <c r="AE42" s="139"/>
      <c r="AF42" s="140"/>
      <c r="AG42" s="140"/>
      <c r="AH42" s="139"/>
      <c r="AI42" s="139"/>
      <c r="AJ42" s="139"/>
      <c r="AK42" s="139"/>
      <c r="AL42" s="140"/>
      <c r="AN42" s="139"/>
      <c r="AO42" s="139"/>
      <c r="AP42" s="139"/>
      <c r="AQ42" s="139"/>
      <c r="AR42" s="140"/>
    </row>
    <row r="43" spans="1:49" ht="12.75" x14ac:dyDescent="0.2">
      <c r="A43" s="150"/>
      <c r="B43" s="33"/>
      <c r="C43" s="67"/>
      <c r="D43" s="124"/>
      <c r="E43" s="95"/>
      <c r="F43" s="95"/>
      <c r="G43" s="95"/>
      <c r="H43" s="95"/>
      <c r="L43" s="93"/>
      <c r="M43" s="93"/>
      <c r="N43" s="124"/>
      <c r="O43" s="95"/>
      <c r="P43" s="95"/>
      <c r="R43" s="12"/>
      <c r="S43" s="12"/>
      <c r="T43" s="12"/>
      <c r="U43" s="137"/>
      <c r="V43" s="138"/>
      <c r="W43" s="137"/>
      <c r="X43" s="137"/>
      <c r="Y43" s="12"/>
      <c r="Z43" s="12"/>
      <c r="AA43" s="12"/>
      <c r="AB43" s="139"/>
      <c r="AC43" s="139"/>
      <c r="AD43" s="139"/>
      <c r="AE43" s="139"/>
      <c r="AF43" s="140"/>
      <c r="AG43" s="140"/>
      <c r="AH43" s="139"/>
      <c r="AI43" s="139"/>
      <c r="AJ43" s="139"/>
      <c r="AK43" s="139"/>
      <c r="AL43" s="140"/>
      <c r="AN43" s="139"/>
      <c r="AO43" s="139"/>
      <c r="AP43" s="139"/>
      <c r="AQ43" s="139"/>
      <c r="AR43" s="140"/>
    </row>
    <row r="44" spans="1:49" ht="12.75" x14ac:dyDescent="0.2">
      <c r="A44" s="150"/>
      <c r="B44" s="33"/>
      <c r="C44" s="67"/>
      <c r="D44" s="124"/>
      <c r="E44" s="95"/>
      <c r="F44" s="95"/>
      <c r="G44" s="95"/>
      <c r="H44" s="95"/>
      <c r="L44" s="93"/>
      <c r="M44" s="93"/>
      <c r="N44" s="124"/>
      <c r="O44" s="95"/>
      <c r="P44" s="95"/>
      <c r="R44" s="12"/>
      <c r="S44" s="12"/>
      <c r="T44" s="12"/>
      <c r="U44" s="137"/>
      <c r="V44" s="138"/>
      <c r="W44" s="137"/>
      <c r="X44" s="137"/>
      <c r="Y44" s="12"/>
      <c r="Z44" s="12"/>
      <c r="AA44" s="12"/>
      <c r="AB44" s="139"/>
      <c r="AC44" s="139"/>
      <c r="AD44" s="139"/>
      <c r="AE44" s="139"/>
      <c r="AF44" s="140"/>
      <c r="AG44" s="140"/>
      <c r="AH44" s="139"/>
      <c r="AI44" s="139"/>
      <c r="AJ44" s="139"/>
      <c r="AK44" s="139"/>
      <c r="AL44" s="140"/>
      <c r="AN44" s="139"/>
      <c r="AO44" s="139"/>
      <c r="AP44" s="139"/>
      <c r="AQ44" s="139"/>
      <c r="AR44" s="140"/>
    </row>
    <row r="45" spans="1:49" ht="25.5" x14ac:dyDescent="0.2">
      <c r="A45" s="195" t="s">
        <v>233</v>
      </c>
      <c r="B45" s="33"/>
      <c r="C45" s="67"/>
      <c r="D45" s="124"/>
      <c r="E45" s="95"/>
      <c r="F45" s="95"/>
      <c r="G45" s="95"/>
      <c r="H45" s="95"/>
      <c r="L45" s="93"/>
      <c r="M45" s="93"/>
      <c r="N45" s="124"/>
      <c r="O45" s="95"/>
      <c r="P45" s="95"/>
      <c r="R45" s="12"/>
      <c r="S45" s="12"/>
      <c r="T45" s="12"/>
      <c r="U45" s="137"/>
      <c r="V45" s="138"/>
      <c r="W45" s="137"/>
      <c r="X45" s="137"/>
      <c r="Y45" s="12"/>
      <c r="Z45" s="12"/>
      <c r="AA45" s="12"/>
      <c r="AB45" s="139"/>
      <c r="AC45" s="139"/>
      <c r="AD45" s="139"/>
      <c r="AE45" s="139"/>
      <c r="AF45" s="140"/>
      <c r="AG45" s="140"/>
      <c r="AH45" s="139"/>
      <c r="AI45" s="139"/>
      <c r="AJ45" s="139"/>
      <c r="AK45" s="139"/>
      <c r="AL45" s="140"/>
      <c r="AN45" s="139"/>
      <c r="AO45" s="139"/>
      <c r="AP45" s="139"/>
      <c r="AQ45" s="139"/>
      <c r="AR45" s="140"/>
    </row>
    <row r="46" spans="1:49" ht="12.75" x14ac:dyDescent="0.2">
      <c r="B46" s="45" t="s">
        <v>204</v>
      </c>
      <c r="C46" s="109"/>
      <c r="J46" s="45" t="s">
        <v>202</v>
      </c>
      <c r="R46" s="45" t="s">
        <v>226</v>
      </c>
      <c r="T46" s="12"/>
      <c r="U46" s="12"/>
      <c r="V46" s="12"/>
      <c r="W46" s="12"/>
      <c r="X46" s="12"/>
      <c r="Y46" s="12"/>
      <c r="Z46" s="12"/>
      <c r="AA46" s="12"/>
      <c r="AB46" s="130" t="s">
        <v>205</v>
      </c>
      <c r="AC46" s="46"/>
      <c r="AD46" s="46"/>
      <c r="AE46" s="46"/>
      <c r="AF46" s="46"/>
      <c r="AG46" s="46"/>
      <c r="AH46" s="130" t="s">
        <v>207</v>
      </c>
      <c r="AI46" s="46"/>
      <c r="AJ46" s="46"/>
      <c r="AK46" s="46"/>
      <c r="AL46" s="46"/>
      <c r="AM46" s="45"/>
      <c r="AN46" s="130" t="s">
        <v>208</v>
      </c>
      <c r="AO46" s="12"/>
      <c r="AP46" s="12"/>
      <c r="AQ46" s="12"/>
      <c r="AR46" s="12"/>
      <c r="AT46" s="130" t="s">
        <v>206</v>
      </c>
    </row>
    <row r="47" spans="1:49" ht="12.75" x14ac:dyDescent="0.2">
      <c r="A47" s="150"/>
      <c r="B47" s="57" t="s">
        <v>209</v>
      </c>
      <c r="C47" s="28" t="s">
        <v>190</v>
      </c>
      <c r="D47" s="57" t="s">
        <v>191</v>
      </c>
      <c r="E47" s="28" t="s">
        <v>192</v>
      </c>
      <c r="F47" s="28" t="s">
        <v>193</v>
      </c>
      <c r="G47" s="57" t="s">
        <v>112</v>
      </c>
      <c r="H47" s="57"/>
      <c r="I47" s="101"/>
      <c r="J47" s="28" t="s">
        <v>76</v>
      </c>
      <c r="K47" s="28" t="s">
        <v>4</v>
      </c>
      <c r="L47" s="57" t="s">
        <v>0</v>
      </c>
      <c r="M47" s="57" t="s">
        <v>1</v>
      </c>
      <c r="N47" s="28" t="s">
        <v>191</v>
      </c>
      <c r="O47" s="28" t="s">
        <v>192</v>
      </c>
      <c r="P47" s="28" t="s">
        <v>193</v>
      </c>
      <c r="R47" s="28" t="s">
        <v>232</v>
      </c>
      <c r="S47" s="28" t="s">
        <v>0</v>
      </c>
      <c r="T47" s="28" t="s">
        <v>229</v>
      </c>
      <c r="U47" s="57" t="s">
        <v>230</v>
      </c>
      <c r="V47" s="28" t="s">
        <v>228</v>
      </c>
      <c r="W47" s="57" t="s">
        <v>231</v>
      </c>
      <c r="X47" s="57"/>
      <c r="Y47" s="57"/>
      <c r="Z47" s="28"/>
      <c r="AA47" s="12"/>
      <c r="AB47" s="28" t="s">
        <v>0</v>
      </c>
      <c r="AC47" s="28" t="s">
        <v>196</v>
      </c>
      <c r="AD47" s="57" t="s">
        <v>1</v>
      </c>
      <c r="AE47" s="57" t="s">
        <v>197</v>
      </c>
      <c r="AF47" s="57" t="s">
        <v>231</v>
      </c>
      <c r="AG47" s="60"/>
      <c r="AH47" s="28" t="s">
        <v>0</v>
      </c>
      <c r="AI47" s="28" t="s">
        <v>196</v>
      </c>
      <c r="AJ47" s="57" t="s">
        <v>1</v>
      </c>
      <c r="AK47" s="57" t="s">
        <v>197</v>
      </c>
      <c r="AL47" s="57" t="s">
        <v>231</v>
      </c>
      <c r="AN47" s="28" t="s">
        <v>0</v>
      </c>
      <c r="AO47" s="28" t="s">
        <v>196</v>
      </c>
      <c r="AP47" s="57" t="s">
        <v>1</v>
      </c>
      <c r="AQ47" s="57" t="s">
        <v>197</v>
      </c>
      <c r="AR47" s="57" t="s">
        <v>231</v>
      </c>
      <c r="AT47" s="57" t="s">
        <v>199</v>
      </c>
      <c r="AU47" s="28" t="s">
        <v>191</v>
      </c>
      <c r="AV47" s="28" t="s">
        <v>192</v>
      </c>
      <c r="AW47" s="28" t="s">
        <v>193</v>
      </c>
    </row>
    <row r="48" spans="1:49" ht="12.75" x14ac:dyDescent="0.2">
      <c r="A48" s="150" t="s">
        <v>215</v>
      </c>
      <c r="B48" s="52">
        <v>100</v>
      </c>
      <c r="C48" s="54">
        <v>0.02</v>
      </c>
      <c r="D48" s="124">
        <v>0.04</v>
      </c>
      <c r="E48" s="95">
        <v>0.08</v>
      </c>
      <c r="F48" s="95">
        <v>0.16</v>
      </c>
      <c r="G48" s="95">
        <v>5.0000000000000001E-3</v>
      </c>
      <c r="H48" s="95"/>
      <c r="I48" s="95"/>
      <c r="J48" s="133" t="s">
        <v>75</v>
      </c>
      <c r="K48" s="133" t="s">
        <v>78</v>
      </c>
      <c r="L48" s="52">
        <v>100</v>
      </c>
      <c r="M48" s="52">
        <v>600</v>
      </c>
      <c r="N48" s="124">
        <v>0.5</v>
      </c>
      <c r="O48" s="95">
        <v>0.3</v>
      </c>
      <c r="P48" s="95">
        <v>0.2</v>
      </c>
      <c r="R48" s="45" t="s">
        <v>227</v>
      </c>
      <c r="S48" s="180">
        <f>L48</f>
        <v>100</v>
      </c>
      <c r="T48" s="152" t="s">
        <v>34</v>
      </c>
      <c r="U48" s="152" t="s">
        <v>34</v>
      </c>
      <c r="V48" s="181">
        <v>0</v>
      </c>
      <c r="W48" s="190">
        <f>AF48</f>
        <v>-4.3269230769230817E-2</v>
      </c>
      <c r="X48" s="122"/>
      <c r="Y48" s="152"/>
      <c r="Z48" s="152"/>
      <c r="AA48" s="12"/>
      <c r="AB48" s="122">
        <f>L48</f>
        <v>100</v>
      </c>
      <c r="AC48" s="30">
        <f>M48/L48*N48</f>
        <v>3</v>
      </c>
      <c r="AD48" s="123">
        <f>M48*N48</f>
        <v>300</v>
      </c>
      <c r="AE48" s="123">
        <f>AB48 * (1 + D48) / (1 - G48)</f>
        <v>104.52261306532664</v>
      </c>
      <c r="AF48" s="124">
        <f>(B48 - AE48) / AE48</f>
        <v>-4.3269230769230817E-2</v>
      </c>
      <c r="AG48" s="30"/>
      <c r="AH48" s="122">
        <f>S48</f>
        <v>100</v>
      </c>
      <c r="AI48" s="30">
        <f>M48/L48*O48</f>
        <v>1.7999999999999998</v>
      </c>
      <c r="AJ48" s="123">
        <f>M48*N48</f>
        <v>300</v>
      </c>
      <c r="AK48" s="123">
        <f>AH48 * (1 + E48) / (1 - G48)</f>
        <v>108.5427135678392</v>
      </c>
      <c r="AL48" s="124">
        <f>(B48 - AK48) / AK48</f>
        <v>-7.8703703703703748E-2</v>
      </c>
      <c r="AN48" s="122">
        <f>L48</f>
        <v>100</v>
      </c>
      <c r="AO48" s="30">
        <f>M48/L48*P48</f>
        <v>1.2000000000000002</v>
      </c>
      <c r="AP48" s="123">
        <f>M48*P48</f>
        <v>120</v>
      </c>
      <c r="AQ48" s="123">
        <f>AN48 * (1 + F48) / (1 - G48)</f>
        <v>116.58291457286431</v>
      </c>
      <c r="AR48" s="124">
        <f>(B48 - AQ48) / AQ48</f>
        <v>-0.14224137931034475</v>
      </c>
      <c r="AT48" s="32">
        <f>AC48+AI48+AO48</f>
        <v>6</v>
      </c>
      <c r="AU48" s="32">
        <f>AC48</f>
        <v>3</v>
      </c>
      <c r="AV48" s="32">
        <f>AI48</f>
        <v>1.7999999999999998</v>
      </c>
      <c r="AW48" s="32">
        <f>AO48</f>
        <v>1.2000000000000002</v>
      </c>
    </row>
    <row r="49" spans="1:54" ht="12.75" x14ac:dyDescent="0.2">
      <c r="A49" s="182" t="s">
        <v>236</v>
      </c>
      <c r="B49" s="40">
        <v>104</v>
      </c>
      <c r="C49" s="55">
        <v>0.02</v>
      </c>
      <c r="D49" s="129">
        <v>0.04</v>
      </c>
      <c r="E49" s="125">
        <v>0.08</v>
      </c>
      <c r="F49" s="125">
        <v>0.16</v>
      </c>
      <c r="G49" s="125">
        <v>5.0000000000000001E-3</v>
      </c>
      <c r="H49" s="125"/>
      <c r="I49" s="125"/>
      <c r="J49" s="134"/>
      <c r="K49" s="134"/>
      <c r="L49" s="40"/>
      <c r="M49" s="40"/>
      <c r="N49" s="129"/>
      <c r="O49" s="125"/>
      <c r="P49" s="125"/>
      <c r="Q49" s="35"/>
      <c r="R49" s="47" t="s">
        <v>227</v>
      </c>
      <c r="S49" s="183">
        <f>B49</f>
        <v>104</v>
      </c>
      <c r="T49" s="153" t="s">
        <v>34</v>
      </c>
      <c r="U49" s="153" t="s">
        <v>34</v>
      </c>
      <c r="V49" s="184">
        <v>0</v>
      </c>
      <c r="W49" s="189">
        <f>AF49</f>
        <v>-5.0000000000000469E-3</v>
      </c>
      <c r="X49" s="126"/>
      <c r="Y49" s="153"/>
      <c r="Z49" s="153"/>
      <c r="AA49" s="41"/>
      <c r="AB49" s="126">
        <f t="shared" ref="AB49:AD52" si="5">AB48</f>
        <v>100</v>
      </c>
      <c r="AC49" s="43">
        <f t="shared" si="5"/>
        <v>3</v>
      </c>
      <c r="AD49" s="128">
        <f t="shared" si="5"/>
        <v>300</v>
      </c>
      <c r="AE49" s="128">
        <f>AB49 * (1 + D49) / (1 - G49)</f>
        <v>104.52261306532664</v>
      </c>
      <c r="AF49" s="188">
        <f>(B49 - AE49) / AE49</f>
        <v>-5.0000000000000469E-3</v>
      </c>
      <c r="AG49" s="43"/>
      <c r="AH49" s="126">
        <f t="shared" ref="AH49:AJ52" si="6">AH48</f>
        <v>100</v>
      </c>
      <c r="AI49" s="43">
        <f t="shared" si="6"/>
        <v>1.7999999999999998</v>
      </c>
      <c r="AJ49" s="128">
        <f t="shared" si="6"/>
        <v>300</v>
      </c>
      <c r="AK49" s="128">
        <f>AH49 * (1 + E49) / (1 - G49)</f>
        <v>108.5427135678392</v>
      </c>
      <c r="AL49" s="129">
        <f>(B49 - AK49) / AK49</f>
        <v>-4.185185185185189E-2</v>
      </c>
      <c r="AM49" s="35"/>
      <c r="AN49" s="126">
        <f t="shared" ref="AN49:AP52" si="7">AN48</f>
        <v>100</v>
      </c>
      <c r="AO49" s="43">
        <f t="shared" si="7"/>
        <v>1.2000000000000002</v>
      </c>
      <c r="AP49" s="128">
        <f t="shared" si="7"/>
        <v>120</v>
      </c>
      <c r="AQ49" s="128">
        <f>AN49 * (1 + F49) / (1 - G49)</f>
        <v>116.58291457286431</v>
      </c>
      <c r="AR49" s="129">
        <f>(B49 - AQ49) / AQ49</f>
        <v>-0.10793103448275854</v>
      </c>
      <c r="AS49" s="35"/>
      <c r="AT49" s="39">
        <f>AC49+AI49+AO49</f>
        <v>6</v>
      </c>
      <c r="AU49" s="39">
        <f>AC49</f>
        <v>3</v>
      </c>
      <c r="AV49" s="39">
        <f>AI49</f>
        <v>1.7999999999999998</v>
      </c>
      <c r="AW49" s="39">
        <f>AO49</f>
        <v>1.2000000000000002</v>
      </c>
    </row>
    <row r="50" spans="1:54" ht="12.75" x14ac:dyDescent="0.2">
      <c r="A50" s="150" t="s">
        <v>237</v>
      </c>
      <c r="B50" s="52">
        <v>104.7</v>
      </c>
      <c r="C50" s="54">
        <v>0.02</v>
      </c>
      <c r="D50" s="124">
        <v>0.04</v>
      </c>
      <c r="E50" s="95">
        <v>0.08</v>
      </c>
      <c r="F50" s="95">
        <v>0.16</v>
      </c>
      <c r="G50" s="95">
        <v>5.0000000000000001E-3</v>
      </c>
      <c r="H50" s="95"/>
      <c r="I50" s="95"/>
      <c r="J50" s="133"/>
      <c r="K50" s="133"/>
      <c r="L50" s="52"/>
      <c r="M50" s="52"/>
      <c r="N50" s="124"/>
      <c r="O50" s="95"/>
      <c r="P50" s="95"/>
      <c r="R50" s="45" t="s">
        <v>227</v>
      </c>
      <c r="S50" s="180">
        <f>B50</f>
        <v>104.7</v>
      </c>
      <c r="T50" s="152" t="s">
        <v>34</v>
      </c>
      <c r="U50" s="152" t="s">
        <v>34</v>
      </c>
      <c r="V50" s="181">
        <v>0</v>
      </c>
      <c r="W50" s="185">
        <f>AF50</f>
        <v>1.6971153846153646E-3</v>
      </c>
      <c r="X50" s="122"/>
      <c r="Y50" s="152"/>
      <c r="Z50" s="152"/>
      <c r="AA50" s="12"/>
      <c r="AB50" s="122">
        <f t="shared" si="5"/>
        <v>100</v>
      </c>
      <c r="AC50" s="30">
        <f t="shared" si="5"/>
        <v>3</v>
      </c>
      <c r="AD50" s="157">
        <f t="shared" si="5"/>
        <v>300</v>
      </c>
      <c r="AE50" s="157">
        <f>AB50 * (1 + D50) / (1 - G50)</f>
        <v>104.52261306532664</v>
      </c>
      <c r="AF50" s="186">
        <f>(B50 - AE50) / AE50</f>
        <v>1.6971153846153646E-3</v>
      </c>
      <c r="AG50" s="30"/>
      <c r="AH50" s="122">
        <f t="shared" si="6"/>
        <v>100</v>
      </c>
      <c r="AI50" s="30">
        <f t="shared" si="6"/>
        <v>1.7999999999999998</v>
      </c>
      <c r="AJ50" s="157">
        <f t="shared" si="6"/>
        <v>300</v>
      </c>
      <c r="AK50" s="157">
        <f>AH50 * (1 + E50) / (1 - G50)</f>
        <v>108.5427135678392</v>
      </c>
      <c r="AL50" s="124">
        <f>(B50 - AK50) / AK50</f>
        <v>-3.540277777777779E-2</v>
      </c>
      <c r="AN50" s="122">
        <f t="shared" si="7"/>
        <v>100</v>
      </c>
      <c r="AO50" s="30">
        <f t="shared" si="7"/>
        <v>1.2000000000000002</v>
      </c>
      <c r="AP50" s="157">
        <f t="shared" si="7"/>
        <v>120</v>
      </c>
      <c r="AQ50" s="157">
        <f>AN50 * (1 + F50) / (1 - G50)</f>
        <v>116.58291457286431</v>
      </c>
      <c r="AR50" s="124">
        <f>(B50 - AQ50) / AQ50</f>
        <v>-0.10192672413793093</v>
      </c>
      <c r="AT50" s="32">
        <f>AC50+AI50+AO50</f>
        <v>6</v>
      </c>
      <c r="AU50" s="32">
        <f>AC50</f>
        <v>3</v>
      </c>
      <c r="AV50" s="32">
        <f>AI50</f>
        <v>1.7999999999999998</v>
      </c>
      <c r="AW50" s="32">
        <f>AO50</f>
        <v>1.2000000000000002</v>
      </c>
    </row>
    <row r="51" spans="1:54" ht="12.75" x14ac:dyDescent="0.2">
      <c r="A51" s="182" t="s">
        <v>238</v>
      </c>
      <c r="B51" s="40">
        <v>108.5</v>
      </c>
      <c r="C51" s="55">
        <v>0.02</v>
      </c>
      <c r="D51" s="129">
        <v>0.04</v>
      </c>
      <c r="E51" s="125">
        <v>0.08</v>
      </c>
      <c r="F51" s="125">
        <v>0.16</v>
      </c>
      <c r="G51" s="125">
        <v>5.0000000000000001E-3</v>
      </c>
      <c r="H51" s="125"/>
      <c r="I51" s="125"/>
      <c r="J51" s="134"/>
      <c r="K51" s="134"/>
      <c r="L51" s="40"/>
      <c r="M51" s="40"/>
      <c r="N51" s="129"/>
      <c r="O51" s="125"/>
      <c r="P51" s="125"/>
      <c r="Q51" s="35"/>
      <c r="R51" s="47" t="s">
        <v>227</v>
      </c>
      <c r="S51" s="183">
        <f>B51</f>
        <v>108.5</v>
      </c>
      <c r="T51" s="153" t="s">
        <v>34</v>
      </c>
      <c r="U51" s="153" t="s">
        <v>34</v>
      </c>
      <c r="V51" s="184">
        <v>0</v>
      </c>
      <c r="W51" s="187">
        <f>AF51</f>
        <v>3.8052884615384565E-2</v>
      </c>
      <c r="X51" s="126"/>
      <c r="Y51" s="153"/>
      <c r="Z51" s="153"/>
      <c r="AA51" s="41"/>
      <c r="AB51" s="126">
        <f t="shared" si="5"/>
        <v>100</v>
      </c>
      <c r="AC51" s="43">
        <f t="shared" si="5"/>
        <v>3</v>
      </c>
      <c r="AD51" s="128">
        <f t="shared" si="5"/>
        <v>300</v>
      </c>
      <c r="AE51" s="128">
        <f>AB51 * (1 + D51) / (1 - G51)</f>
        <v>104.52261306532664</v>
      </c>
      <c r="AF51" s="156">
        <f>(B51 - AE51) / AE51</f>
        <v>3.8052884615384565E-2</v>
      </c>
      <c r="AG51" s="43"/>
      <c r="AH51" s="126">
        <f t="shared" si="6"/>
        <v>100</v>
      </c>
      <c r="AI51" s="43">
        <f t="shared" si="6"/>
        <v>1.7999999999999998</v>
      </c>
      <c r="AJ51" s="128">
        <f t="shared" si="6"/>
        <v>300</v>
      </c>
      <c r="AK51" s="128">
        <f>AH51 * (1 + E51) / (1 - G51)</f>
        <v>108.5427135678392</v>
      </c>
      <c r="AL51" s="188">
        <f>(B51 - AK51) / AK51</f>
        <v>-3.9351851851856059E-4</v>
      </c>
      <c r="AM51" s="35"/>
      <c r="AN51" s="126">
        <f t="shared" si="7"/>
        <v>100</v>
      </c>
      <c r="AO51" s="43">
        <f t="shared" si="7"/>
        <v>1.2000000000000002</v>
      </c>
      <c r="AP51" s="128">
        <f t="shared" si="7"/>
        <v>120</v>
      </c>
      <c r="AQ51" s="128">
        <f>AN51 * (1 + F51) / (1 - G51)</f>
        <v>116.58291457286431</v>
      </c>
      <c r="AR51" s="129">
        <f>(B51 - AQ51) / AQ51</f>
        <v>-6.9331896551724059E-2</v>
      </c>
      <c r="AS51" s="35"/>
      <c r="AT51" s="39">
        <f>AC51+AI51+AO51</f>
        <v>6</v>
      </c>
      <c r="AU51" s="39">
        <f>AC51</f>
        <v>3</v>
      </c>
      <c r="AV51" s="39">
        <f>AI51</f>
        <v>1.7999999999999998</v>
      </c>
      <c r="AW51" s="39">
        <f>AO51</f>
        <v>1.2000000000000002</v>
      </c>
    </row>
    <row r="52" spans="1:54" ht="12.75" x14ac:dyDescent="0.2">
      <c r="A52" s="150" t="s">
        <v>218</v>
      </c>
      <c r="B52" s="52">
        <v>108.5</v>
      </c>
      <c r="C52" s="62">
        <v>0.02</v>
      </c>
      <c r="D52" s="124">
        <v>0.04</v>
      </c>
      <c r="E52" s="95">
        <v>0.08</v>
      </c>
      <c r="F52" s="95">
        <v>0.16</v>
      </c>
      <c r="G52" s="95">
        <v>5.0000000000000001E-3</v>
      </c>
      <c r="H52" s="95"/>
      <c r="I52" s="95"/>
      <c r="J52" s="45" t="s">
        <v>73</v>
      </c>
      <c r="K52" s="45" t="s">
        <v>219</v>
      </c>
      <c r="L52" s="52">
        <v>108.5</v>
      </c>
      <c r="M52" s="152" t="s">
        <v>34</v>
      </c>
      <c r="N52" s="124">
        <v>1</v>
      </c>
      <c r="O52" s="152" t="s">
        <v>34</v>
      </c>
      <c r="P52" s="152" t="s">
        <v>34</v>
      </c>
      <c r="R52" s="45" t="s">
        <v>227</v>
      </c>
      <c r="S52" s="180">
        <f>B52</f>
        <v>108.5</v>
      </c>
      <c r="T52" s="152" t="s">
        <v>34</v>
      </c>
      <c r="U52" s="152" t="s">
        <v>34</v>
      </c>
      <c r="V52" s="181">
        <v>0</v>
      </c>
      <c r="W52" s="192">
        <f>AL52</f>
        <v>-3.9351851851856059E-4</v>
      </c>
      <c r="X52" s="122"/>
      <c r="Y52" s="152"/>
      <c r="Z52" s="152"/>
      <c r="AA52" s="12"/>
      <c r="AB52" s="162">
        <f t="shared" si="5"/>
        <v>100</v>
      </c>
      <c r="AC52" s="163">
        <f t="shared" si="5"/>
        <v>3</v>
      </c>
      <c r="AD52" s="193">
        <f t="shared" si="5"/>
        <v>300</v>
      </c>
      <c r="AE52" s="193">
        <f>AB52 * (1 + D52) / (1 - G52)</f>
        <v>104.52261306532664</v>
      </c>
      <c r="AF52" s="194">
        <f>(B52 - AE52) / AE52</f>
        <v>3.8052884615384565E-2</v>
      </c>
      <c r="AG52" s="30"/>
      <c r="AH52" s="122">
        <f t="shared" si="6"/>
        <v>100</v>
      </c>
      <c r="AI52" s="30">
        <f t="shared" si="6"/>
        <v>1.7999999999999998</v>
      </c>
      <c r="AJ52" s="157">
        <f t="shared" si="6"/>
        <v>300</v>
      </c>
      <c r="AK52" s="157">
        <f>AH52 * (1 + E52) / (1 - G52)</f>
        <v>108.5427135678392</v>
      </c>
      <c r="AL52" s="191">
        <f>(B52 - AK52) / AK52</f>
        <v>-3.9351851851856059E-4</v>
      </c>
      <c r="AN52" s="122">
        <f t="shared" si="7"/>
        <v>100</v>
      </c>
      <c r="AO52" s="30">
        <f t="shared" si="7"/>
        <v>1.2000000000000002</v>
      </c>
      <c r="AP52" s="157">
        <f t="shared" si="7"/>
        <v>120</v>
      </c>
      <c r="AQ52" s="157">
        <f>AN52 * (1 + F52) / (1 - G52)</f>
        <v>116.58291457286431</v>
      </c>
      <c r="AR52" s="124">
        <f>(B52 - AQ52) / AQ52</f>
        <v>-6.9331896551724059E-2</v>
      </c>
      <c r="AT52" s="32">
        <f>AU52+AV52+AW52</f>
        <v>3</v>
      </c>
      <c r="AU52" s="32">
        <v>0</v>
      </c>
      <c r="AV52" s="32">
        <f>AI52</f>
        <v>1.7999999999999998</v>
      </c>
      <c r="AW52" s="32">
        <f>AO52</f>
        <v>1.2000000000000002</v>
      </c>
    </row>
    <row r="53" spans="1:54" ht="12.75" x14ac:dyDescent="0.2">
      <c r="A53" s="150"/>
      <c r="B53" s="52"/>
      <c r="C53" s="54"/>
      <c r="D53" s="124"/>
      <c r="E53" s="95"/>
      <c r="F53" s="95"/>
      <c r="G53" s="95"/>
      <c r="H53" s="95"/>
      <c r="I53" s="95"/>
      <c r="J53" s="133" t="s">
        <v>75</v>
      </c>
      <c r="K53" s="133" t="s">
        <v>78</v>
      </c>
      <c r="L53" s="52">
        <v>100</v>
      </c>
      <c r="M53" s="52">
        <v>600</v>
      </c>
      <c r="N53" s="124">
        <v>0.5</v>
      </c>
      <c r="O53" s="95">
        <v>0.3</v>
      </c>
      <c r="P53" s="95">
        <v>0.2</v>
      </c>
      <c r="R53" s="45"/>
      <c r="S53" s="45"/>
      <c r="T53" s="131"/>
      <c r="U53" s="122"/>
      <c r="V53" s="30"/>
      <c r="W53" s="122"/>
      <c r="X53" s="122"/>
      <c r="Y53" s="152"/>
      <c r="Z53" s="152"/>
      <c r="AA53" s="12"/>
      <c r="AB53" s="122"/>
      <c r="AC53" s="30"/>
      <c r="AD53" s="123"/>
      <c r="AE53" s="123"/>
      <c r="AF53" s="124"/>
      <c r="AG53" s="30"/>
      <c r="AH53" s="122"/>
      <c r="AI53" s="30"/>
      <c r="AJ53" s="123"/>
      <c r="AK53" s="123"/>
      <c r="AL53" s="124"/>
      <c r="AN53" s="122"/>
      <c r="AO53" s="30"/>
      <c r="AP53" s="123"/>
      <c r="AQ53" s="123"/>
      <c r="AR53" s="124"/>
      <c r="AT53" s="32"/>
      <c r="AU53" s="32"/>
      <c r="AV53" s="32"/>
      <c r="AW53" s="32"/>
    </row>
    <row r="54" spans="1:54" ht="12.75" x14ac:dyDescent="0.2">
      <c r="A54" s="150"/>
      <c r="B54" s="52"/>
      <c r="C54" s="54"/>
      <c r="D54" s="124"/>
      <c r="E54" s="95"/>
      <c r="F54" s="95"/>
      <c r="G54" s="95"/>
      <c r="H54" s="95"/>
      <c r="I54" s="95"/>
      <c r="J54" s="133"/>
      <c r="K54" s="133"/>
      <c r="L54" s="52"/>
      <c r="M54" s="52"/>
      <c r="N54" s="124"/>
      <c r="O54" s="95"/>
      <c r="P54" s="95"/>
      <c r="R54" s="45"/>
      <c r="S54" s="45"/>
      <c r="T54" s="131"/>
      <c r="U54" s="122"/>
      <c r="V54" s="30"/>
      <c r="W54" s="122"/>
      <c r="X54" s="122"/>
      <c r="Y54" s="152"/>
      <c r="Z54" s="152"/>
      <c r="AA54" s="12"/>
      <c r="AB54" s="122"/>
      <c r="AC54" s="30"/>
      <c r="AD54" s="123"/>
      <c r="AE54" s="123"/>
      <c r="AF54" s="124"/>
      <c r="AG54" s="30"/>
      <c r="AH54" s="122"/>
      <c r="AI54" s="30"/>
      <c r="AJ54" s="123"/>
      <c r="AK54" s="123"/>
      <c r="AL54" s="124"/>
      <c r="AN54" s="122"/>
      <c r="AO54" s="30"/>
      <c r="AP54" s="123"/>
      <c r="AQ54" s="123"/>
      <c r="AR54" s="124"/>
      <c r="AT54" s="32"/>
      <c r="AU54" s="32"/>
      <c r="AV54" s="32"/>
      <c r="AW54" s="32"/>
    </row>
    <row r="55" spans="1:54" ht="12.75" x14ac:dyDescent="0.2">
      <c r="A55" s="208" t="s">
        <v>250</v>
      </c>
      <c r="B55" s="52"/>
      <c r="C55" s="54"/>
      <c r="D55" s="124"/>
      <c r="E55" s="95"/>
      <c r="F55" s="95"/>
      <c r="G55" s="95"/>
      <c r="H55" s="95"/>
      <c r="I55" s="95"/>
      <c r="J55" s="133"/>
      <c r="K55" s="133"/>
      <c r="L55" s="52"/>
      <c r="M55" s="52"/>
      <c r="N55" s="124"/>
      <c r="O55" s="95"/>
      <c r="P55" s="95"/>
      <c r="R55" s="45"/>
      <c r="S55" s="45"/>
      <c r="T55" s="131"/>
      <c r="U55" s="122"/>
      <c r="V55" s="30"/>
      <c r="W55" s="122"/>
      <c r="X55" s="122"/>
      <c r="Y55" s="152"/>
      <c r="Z55" s="152"/>
      <c r="AA55" s="12"/>
      <c r="AB55" s="122"/>
      <c r="AC55" s="30"/>
      <c r="AD55" s="123"/>
      <c r="AE55" s="123"/>
      <c r="AF55" s="124"/>
      <c r="AG55" s="30"/>
      <c r="AH55" s="122"/>
      <c r="AI55" s="30"/>
      <c r="AJ55" s="123"/>
      <c r="AK55" s="123"/>
      <c r="AL55" s="124"/>
      <c r="AN55" s="122"/>
      <c r="AO55" s="30"/>
      <c r="AP55" s="123"/>
      <c r="AQ55" s="123"/>
      <c r="AR55" s="124"/>
      <c r="AT55" s="32"/>
      <c r="AU55" s="32"/>
      <c r="AV55" s="32"/>
      <c r="AW55" s="32"/>
    </row>
    <row r="56" spans="1:54" ht="12.75" x14ac:dyDescent="0.2">
      <c r="A56" s="150"/>
      <c r="B56" s="45" t="s">
        <v>204</v>
      </c>
      <c r="C56" s="109"/>
      <c r="J56" s="45" t="s">
        <v>202</v>
      </c>
      <c r="R56" s="45" t="s">
        <v>203</v>
      </c>
      <c r="T56" s="12"/>
      <c r="U56" s="12"/>
      <c r="V56" s="12"/>
      <c r="W56" s="12"/>
      <c r="X56" s="12"/>
      <c r="Y56" s="12"/>
      <c r="Z56" s="12"/>
      <c r="AA56" s="12"/>
      <c r="AB56" s="130" t="s">
        <v>205</v>
      </c>
      <c r="AC56" s="46"/>
      <c r="AD56" s="46"/>
      <c r="AE56" s="46"/>
      <c r="AF56" s="46"/>
      <c r="AG56" s="46"/>
      <c r="AH56" s="130" t="s">
        <v>207</v>
      </c>
      <c r="AI56" s="46"/>
      <c r="AJ56" s="46"/>
      <c r="AK56" s="46"/>
      <c r="AL56" s="46"/>
      <c r="AM56" s="45"/>
      <c r="AN56" s="130" t="s">
        <v>208</v>
      </c>
      <c r="AO56" s="12"/>
      <c r="AP56" s="12"/>
      <c r="AQ56" s="12"/>
      <c r="AR56" s="12"/>
      <c r="AS56" s="110"/>
      <c r="AT56" s="45" t="s">
        <v>206</v>
      </c>
      <c r="AV56" s="12"/>
      <c r="AW56" s="12"/>
      <c r="AX56" s="12"/>
      <c r="AY56" s="12"/>
      <c r="AZ56" s="12"/>
      <c r="BA56" s="12"/>
      <c r="BB56" s="12"/>
    </row>
    <row r="57" spans="1:54" ht="12.75" x14ac:dyDescent="0.2">
      <c r="A57" s="150"/>
      <c r="B57" s="57" t="s">
        <v>209</v>
      </c>
      <c r="C57" s="28" t="s">
        <v>190</v>
      </c>
      <c r="D57" s="57" t="s">
        <v>191</v>
      </c>
      <c r="E57" s="57" t="s">
        <v>192</v>
      </c>
      <c r="F57" s="28" t="s">
        <v>193</v>
      </c>
      <c r="G57" s="57" t="s">
        <v>112</v>
      </c>
      <c r="H57" s="57" t="s">
        <v>244</v>
      </c>
      <c r="I57" s="101"/>
      <c r="J57" s="28" t="s">
        <v>76</v>
      </c>
      <c r="K57" s="28" t="s">
        <v>4</v>
      </c>
      <c r="L57" s="57" t="s">
        <v>0</v>
      </c>
      <c r="M57" s="57" t="s">
        <v>1</v>
      </c>
      <c r="N57" s="28" t="s">
        <v>191</v>
      </c>
      <c r="O57" s="28" t="s">
        <v>192</v>
      </c>
      <c r="P57" s="28" t="s">
        <v>193</v>
      </c>
      <c r="R57" s="28"/>
      <c r="S57" s="28" t="s">
        <v>76</v>
      </c>
      <c r="T57" s="28" t="s">
        <v>4</v>
      </c>
      <c r="U57" s="57" t="s">
        <v>0</v>
      </c>
      <c r="V57" s="28" t="s">
        <v>62</v>
      </c>
      <c r="W57" s="57" t="s">
        <v>220</v>
      </c>
      <c r="X57" s="57" t="s">
        <v>190</v>
      </c>
      <c r="Y57" s="57" t="s">
        <v>194</v>
      </c>
      <c r="Z57" s="28" t="s">
        <v>195</v>
      </c>
      <c r="AA57" s="12"/>
      <c r="AB57" s="28" t="s">
        <v>0</v>
      </c>
      <c r="AC57" s="28" t="s">
        <v>196</v>
      </c>
      <c r="AD57" s="57" t="s">
        <v>1</v>
      </c>
      <c r="AE57" s="57" t="s">
        <v>197</v>
      </c>
      <c r="AF57" s="57" t="s">
        <v>231</v>
      </c>
      <c r="AG57" s="60"/>
      <c r="AH57" s="28" t="s">
        <v>0</v>
      </c>
      <c r="AI57" s="28" t="s">
        <v>196</v>
      </c>
      <c r="AJ57" s="57" t="s">
        <v>1</v>
      </c>
      <c r="AK57" s="57" t="s">
        <v>197</v>
      </c>
      <c r="AL57" s="57" t="s">
        <v>231</v>
      </c>
      <c r="AN57" s="28" t="s">
        <v>0</v>
      </c>
      <c r="AO57" s="28" t="s">
        <v>196</v>
      </c>
      <c r="AP57" s="57" t="s">
        <v>1</v>
      </c>
      <c r="AQ57" s="57" t="s">
        <v>197</v>
      </c>
      <c r="AR57" s="57" t="s">
        <v>231</v>
      </c>
      <c r="AT57" s="57" t="s">
        <v>79</v>
      </c>
      <c r="AU57" s="57" t="s">
        <v>242</v>
      </c>
      <c r="AV57" s="57" t="s">
        <v>241</v>
      </c>
      <c r="AW57" s="57" t="s">
        <v>251</v>
      </c>
      <c r="AX57" s="57" t="s">
        <v>243</v>
      </c>
      <c r="AY57" s="57"/>
      <c r="AZ57" s="57"/>
      <c r="BA57" s="57"/>
      <c r="BB57" s="28"/>
    </row>
    <row r="58" spans="1:54" ht="12.75" x14ac:dyDescent="0.2">
      <c r="A58" s="150" t="s">
        <v>215</v>
      </c>
      <c r="B58" s="52">
        <v>100</v>
      </c>
      <c r="C58" s="54">
        <v>0.02</v>
      </c>
      <c r="D58" s="124">
        <v>0.04</v>
      </c>
      <c r="E58" s="95">
        <v>0.08</v>
      </c>
      <c r="F58" s="95">
        <v>0.16</v>
      </c>
      <c r="G58" s="95">
        <v>5.0000000000000001E-3</v>
      </c>
      <c r="H58" s="63">
        <v>1200</v>
      </c>
      <c r="I58" s="95"/>
      <c r="J58" s="133" t="s">
        <v>75</v>
      </c>
      <c r="K58" s="133" t="s">
        <v>78</v>
      </c>
      <c r="L58" s="52">
        <v>100</v>
      </c>
      <c r="M58" s="52">
        <v>600</v>
      </c>
      <c r="N58" s="124">
        <v>0.5</v>
      </c>
      <c r="O58" s="95">
        <v>0.3</v>
      </c>
      <c r="P58" s="95">
        <v>0.2</v>
      </c>
      <c r="R58" s="45" t="s">
        <v>215</v>
      </c>
      <c r="S58" s="45" t="s">
        <v>75</v>
      </c>
      <c r="T58" s="131" t="s">
        <v>78</v>
      </c>
      <c r="U58" s="122">
        <f>L58</f>
        <v>100</v>
      </c>
      <c r="V58" s="30">
        <f>W58/U58</f>
        <v>6</v>
      </c>
      <c r="W58" s="122">
        <f>M58</f>
        <v>600</v>
      </c>
      <c r="X58" s="122">
        <f>U58 * (1 - ABS(C58))</f>
        <v>98</v>
      </c>
      <c r="Y58" s="152" t="s">
        <v>34</v>
      </c>
      <c r="Z58" s="152" t="s">
        <v>34</v>
      </c>
      <c r="AA58" s="12"/>
      <c r="AB58" s="122">
        <f>L58</f>
        <v>100</v>
      </c>
      <c r="AC58" s="30">
        <f>M58/L58*N58</f>
        <v>3</v>
      </c>
      <c r="AD58" s="123">
        <f>M58*N58</f>
        <v>300</v>
      </c>
      <c r="AE58" s="123">
        <f>B58 * (1 + D58) / (1 - G58)</f>
        <v>104.52261306532664</v>
      </c>
      <c r="AF58" s="124">
        <f>(B58 - AE58) / AE58</f>
        <v>-4.3269230769230817E-2</v>
      </c>
      <c r="AG58" s="30"/>
      <c r="AH58" s="122">
        <f>U58</f>
        <v>100</v>
      </c>
      <c r="AI58" s="30">
        <f>M58/L58*O58</f>
        <v>1.7999999999999998</v>
      </c>
      <c r="AJ58" s="123">
        <f>M58*O58</f>
        <v>180</v>
      </c>
      <c r="AK58" s="123">
        <f>AH58 * (1 + E58) / (1 - G58)</f>
        <v>108.5427135678392</v>
      </c>
      <c r="AL58" s="124">
        <f>(B58 - AK58) / AK58</f>
        <v>-7.8703703703703748E-2</v>
      </c>
      <c r="AN58" s="122">
        <f>L58</f>
        <v>100</v>
      </c>
      <c r="AO58" s="30">
        <f>M58/L58*P58</f>
        <v>1.2000000000000002</v>
      </c>
      <c r="AP58" s="123">
        <f>M58*P58</f>
        <v>120</v>
      </c>
      <c r="AQ58" s="123">
        <f>AN58 * (1 + F58) / (1 - G58)</f>
        <v>116.58291457286431</v>
      </c>
      <c r="AR58" s="124">
        <f>(B58 - AQ58) / AQ58</f>
        <v>-0.14224137931034475</v>
      </c>
      <c r="AT58" s="196">
        <f>W58</f>
        <v>600</v>
      </c>
      <c r="AU58" s="63">
        <v>0</v>
      </c>
      <c r="AV58" s="122">
        <f>V58*B58</f>
        <v>600</v>
      </c>
      <c r="AW58" s="197">
        <f>(AU58+AV58-AT58)/AT58</f>
        <v>0</v>
      </c>
      <c r="AX58" s="63">
        <f>H58-AT58+AU58</f>
        <v>600</v>
      </c>
      <c r="AY58" s="122"/>
      <c r="AZ58" s="122"/>
      <c r="BA58" s="152"/>
      <c r="BB58" s="152"/>
    </row>
    <row r="59" spans="1:54" ht="12.75" x14ac:dyDescent="0.2">
      <c r="A59" s="182" t="s">
        <v>218</v>
      </c>
      <c r="B59" s="40">
        <v>90</v>
      </c>
      <c r="C59" s="55">
        <v>0.02</v>
      </c>
      <c r="D59" s="129">
        <v>0.04</v>
      </c>
      <c r="E59" s="125">
        <v>0.08</v>
      </c>
      <c r="F59" s="125">
        <v>0.16</v>
      </c>
      <c r="G59" s="125">
        <v>5.0000000000000001E-3</v>
      </c>
      <c r="H59" s="65">
        <v>1200</v>
      </c>
      <c r="I59" s="125"/>
      <c r="J59" s="134" t="s">
        <v>73</v>
      </c>
      <c r="K59" s="134" t="s">
        <v>80</v>
      </c>
      <c r="L59" s="40">
        <f>B59</f>
        <v>90</v>
      </c>
      <c r="M59" s="153"/>
      <c r="N59" s="129">
        <v>0.5</v>
      </c>
      <c r="O59" s="153"/>
      <c r="P59" s="153"/>
      <c r="Q59" s="35"/>
      <c r="R59" s="198" t="s">
        <v>218</v>
      </c>
      <c r="S59" s="47" t="s">
        <v>73</v>
      </c>
      <c r="T59" s="47" t="s">
        <v>80</v>
      </c>
      <c r="U59" s="126">
        <f>L59</f>
        <v>90</v>
      </c>
      <c r="V59" s="43">
        <f>AC58*N59</f>
        <v>1.5</v>
      </c>
      <c r="W59" s="126">
        <f>U59*V59-(U59*V59*G59)</f>
        <v>134.32499999999999</v>
      </c>
      <c r="X59" s="153" t="s">
        <v>34</v>
      </c>
      <c r="Y59" s="153">
        <f>W59-(U58*V59)</f>
        <v>-15.675000000000011</v>
      </c>
      <c r="Z59" s="199">
        <f>Y59/(U58*V59)</f>
        <v>-0.10450000000000008</v>
      </c>
      <c r="AA59" s="41"/>
      <c r="AB59" s="65">
        <f>AB58</f>
        <v>100</v>
      </c>
      <c r="AC59" s="39">
        <f>AC58-V59</f>
        <v>1.5</v>
      </c>
      <c r="AD59" s="65">
        <f>AD58*N59</f>
        <v>150</v>
      </c>
      <c r="AE59" s="128">
        <f>AB59 * (1 + D59) / (1 - G59)</f>
        <v>104.52261306532664</v>
      </c>
      <c r="AF59" s="129">
        <f>(B59 - AE59) / AE59</f>
        <v>-0.13894230769230773</v>
      </c>
      <c r="AG59" s="35"/>
      <c r="AH59" s="200">
        <f t="shared" ref="AH59:AJ60" si="8">AH58</f>
        <v>100</v>
      </c>
      <c r="AI59" s="39">
        <f t="shared" si="8"/>
        <v>1.7999999999999998</v>
      </c>
      <c r="AJ59" s="65">
        <f t="shared" si="8"/>
        <v>180</v>
      </c>
      <c r="AK59" s="128">
        <f>AH59 * (1 + E59) / (1 - G59)</f>
        <v>108.5427135678392</v>
      </c>
      <c r="AL59" s="129">
        <f>(B59 - AK59) / AK59</f>
        <v>-0.17083333333333336</v>
      </c>
      <c r="AM59" s="35"/>
      <c r="AN59" s="65">
        <f t="shared" ref="AN59:AP60" si="9">AN58</f>
        <v>100</v>
      </c>
      <c r="AO59" s="39">
        <f t="shared" si="9"/>
        <v>1.2000000000000002</v>
      </c>
      <c r="AP59" s="65">
        <f t="shared" si="9"/>
        <v>120</v>
      </c>
      <c r="AQ59" s="128">
        <f>AN59 * (1 + F59) / (1 - G59)</f>
        <v>116.58291457286431</v>
      </c>
      <c r="AR59" s="129">
        <f>(B59 - AQ59) / AQ59</f>
        <v>-0.22801724137931029</v>
      </c>
      <c r="AS59" s="35"/>
      <c r="AT59" s="201">
        <f>AT58</f>
        <v>600</v>
      </c>
      <c r="AU59" s="65">
        <f>AU58+W59</f>
        <v>134.32499999999999</v>
      </c>
      <c r="AV59" s="126">
        <f>(AC59+AI59+AO59)*B59</f>
        <v>405</v>
      </c>
      <c r="AW59" s="202">
        <f>(AU59+AV59-AT59)/AT59</f>
        <v>-0.10112499999999992</v>
      </c>
      <c r="AX59" s="65">
        <f>H59-AT59+AU59</f>
        <v>734.32500000000005</v>
      </c>
      <c r="AY59" s="122"/>
      <c r="AZ59" s="122"/>
      <c r="BA59" s="152"/>
      <c r="BB59" s="152"/>
    </row>
    <row r="60" spans="1:54" ht="12.75" x14ac:dyDescent="0.2">
      <c r="A60" s="150" t="s">
        <v>221</v>
      </c>
      <c r="B60" s="52">
        <v>120</v>
      </c>
      <c r="C60" s="54">
        <v>0.02</v>
      </c>
      <c r="D60" s="124">
        <v>0.04</v>
      </c>
      <c r="E60" s="95">
        <v>0.08</v>
      </c>
      <c r="F60" s="95">
        <v>0.16</v>
      </c>
      <c r="G60" s="95">
        <v>5.0000000000000001E-3</v>
      </c>
      <c r="H60" s="63">
        <v>1200</v>
      </c>
      <c r="I60" s="95"/>
      <c r="J60" s="133" t="s">
        <v>73</v>
      </c>
      <c r="K60" s="133" t="s">
        <v>219</v>
      </c>
      <c r="L60" s="52">
        <v>120</v>
      </c>
      <c r="M60" s="52"/>
      <c r="N60" s="124">
        <v>1</v>
      </c>
      <c r="O60" s="95"/>
      <c r="P60" s="95"/>
      <c r="R60" s="45" t="s">
        <v>221</v>
      </c>
      <c r="S60" s="45" t="s">
        <v>73</v>
      </c>
      <c r="T60" s="130" t="s">
        <v>219</v>
      </c>
      <c r="U60" s="122">
        <f>L60</f>
        <v>120</v>
      </c>
      <c r="V60" s="30">
        <f>AC59+(AI59*O60)</f>
        <v>1.5</v>
      </c>
      <c r="W60" s="122">
        <f>U60*V60-(U60*V60*G60)</f>
        <v>179.1</v>
      </c>
      <c r="X60" s="152" t="s">
        <v>34</v>
      </c>
      <c r="Y60" s="152">
        <f>W60-(U58*V60)</f>
        <v>29.099999999999994</v>
      </c>
      <c r="Z60" s="161">
        <f>Y60/(U58*V60)</f>
        <v>0.19399999999999995</v>
      </c>
      <c r="AA60" s="12"/>
      <c r="AB60" s="152"/>
      <c r="AC60" s="152"/>
      <c r="AD60" s="152"/>
      <c r="AE60" s="152"/>
      <c r="AF60" s="152"/>
      <c r="AH60" s="205">
        <f t="shared" si="8"/>
        <v>100</v>
      </c>
      <c r="AI60" s="32">
        <f t="shared" si="8"/>
        <v>1.7999999999999998</v>
      </c>
      <c r="AJ60" s="63">
        <f t="shared" si="8"/>
        <v>180</v>
      </c>
      <c r="AK60" s="157">
        <f>AH60 * (1 + E60) / (1 - G60)</f>
        <v>108.5427135678392</v>
      </c>
      <c r="AL60" s="124">
        <f>(B60 - AK60) / AK60</f>
        <v>0.10555555555555551</v>
      </c>
      <c r="AN60" s="63">
        <f t="shared" si="9"/>
        <v>100</v>
      </c>
      <c r="AO60" s="32">
        <f t="shared" si="9"/>
        <v>1.2000000000000002</v>
      </c>
      <c r="AP60" s="63">
        <f t="shared" si="9"/>
        <v>120</v>
      </c>
      <c r="AQ60" s="157">
        <f>AQ59</f>
        <v>116.58291457286431</v>
      </c>
      <c r="AR60" s="124">
        <f>(B60 - AQ60) / AQ60</f>
        <v>2.9310344827586297E-2</v>
      </c>
      <c r="AT60" s="196">
        <f>AT59</f>
        <v>600</v>
      </c>
      <c r="AU60" s="63">
        <f>AU59+W60</f>
        <v>313.42499999999995</v>
      </c>
      <c r="AV60" s="122">
        <f>(AC60+AI60+AO60)*B60</f>
        <v>360</v>
      </c>
      <c r="AW60" s="206">
        <f>(AU60+AV60-AT60)/AT60</f>
        <v>0.12237499999999993</v>
      </c>
      <c r="AX60" s="63">
        <f>H60-AT60+AU60</f>
        <v>913.42499999999995</v>
      </c>
    </row>
    <row r="61" spans="1:54" ht="12.75" x14ac:dyDescent="0.2">
      <c r="A61" s="182" t="s">
        <v>216</v>
      </c>
      <c r="B61" s="40">
        <v>115</v>
      </c>
      <c r="C61" s="55">
        <v>0.02</v>
      </c>
      <c r="D61" s="129">
        <v>0.04</v>
      </c>
      <c r="E61" s="125">
        <v>0.08</v>
      </c>
      <c r="F61" s="125">
        <v>0.16</v>
      </c>
      <c r="G61" s="125">
        <v>5.0000000000000001E-3</v>
      </c>
      <c r="H61" s="65">
        <v>1200</v>
      </c>
      <c r="I61" s="125"/>
      <c r="J61" s="134" t="s">
        <v>75</v>
      </c>
      <c r="K61" s="134" t="s">
        <v>25</v>
      </c>
      <c r="L61" s="40">
        <v>115</v>
      </c>
      <c r="M61" s="40">
        <v>400</v>
      </c>
      <c r="N61" s="129">
        <v>0.5</v>
      </c>
      <c r="O61" s="125">
        <v>0.3</v>
      </c>
      <c r="P61" s="125">
        <v>0.2</v>
      </c>
      <c r="Q61" s="35"/>
      <c r="R61" s="47" t="s">
        <v>216</v>
      </c>
      <c r="S61" s="47" t="s">
        <v>75</v>
      </c>
      <c r="T61" s="132" t="s">
        <v>25</v>
      </c>
      <c r="U61" s="126">
        <f>L61</f>
        <v>115</v>
      </c>
      <c r="V61" s="43">
        <f>W61/U61</f>
        <v>3.4782608695652173</v>
      </c>
      <c r="W61" s="126">
        <f>M61</f>
        <v>400</v>
      </c>
      <c r="X61" s="126">
        <f>U61 * (1 - ABS(C61))</f>
        <v>112.7</v>
      </c>
      <c r="Y61" s="153" t="s">
        <v>34</v>
      </c>
      <c r="Z61" s="153" t="s">
        <v>34</v>
      </c>
      <c r="AA61" s="41"/>
      <c r="AB61" s="65">
        <f>U61</f>
        <v>115</v>
      </c>
      <c r="AC61" s="39">
        <f>V61*N61</f>
        <v>1.7391304347826086</v>
      </c>
      <c r="AD61" s="65">
        <f>W61*N61</f>
        <v>200</v>
      </c>
      <c r="AE61" s="128">
        <f>AB61 * (1 + D61) / (1 - G61)</f>
        <v>120.20100502512564</v>
      </c>
      <c r="AF61" s="129">
        <f>(B61 - AE61) / AE61</f>
        <v>-4.3269230769230851E-2</v>
      </c>
      <c r="AG61" s="35"/>
      <c r="AH61" s="65">
        <f>U61</f>
        <v>115</v>
      </c>
      <c r="AI61" s="39">
        <f>V61*O61</f>
        <v>1.0434782608695652</v>
      </c>
      <c r="AJ61" s="65">
        <f>W61*O61</f>
        <v>120</v>
      </c>
      <c r="AK61" s="128">
        <f>AH61 * (1 + E61) / (1 - G61)</f>
        <v>124.82412060301507</v>
      </c>
      <c r="AL61" s="129">
        <f>(B61 - AK61) / AK61</f>
        <v>-7.8703703703703706E-2</v>
      </c>
      <c r="AM61" s="35"/>
      <c r="AN61" s="65">
        <f>U61</f>
        <v>115</v>
      </c>
      <c r="AO61" s="35">
        <f>V61*P61</f>
        <v>0.69565217391304346</v>
      </c>
      <c r="AP61" s="65">
        <f>W61*P61</f>
        <v>80</v>
      </c>
      <c r="AQ61" s="128">
        <f>AN61 * (1 + F61) / (1 - G61)</f>
        <v>134.07035175879395</v>
      </c>
      <c r="AR61" s="129">
        <f>(B61 - AQ61) / AQ61</f>
        <v>-0.1422413793103447</v>
      </c>
      <c r="AS61" s="35"/>
      <c r="AT61" s="201">
        <f>AT60+W61-AU60</f>
        <v>686.57500000000005</v>
      </c>
      <c r="AU61" s="65">
        <v>0</v>
      </c>
      <c r="AV61" s="126">
        <f>(AC61+AI61+AI62+AO61+AO62)*B61</f>
        <v>745</v>
      </c>
      <c r="AW61" s="202">
        <f>(AU61+AV61-AT61)/AT61</f>
        <v>8.5096311400793725E-2</v>
      </c>
      <c r="AX61" s="65">
        <f>H61-AT61+AU61</f>
        <v>513.42499999999995</v>
      </c>
    </row>
    <row r="62" spans="1:54" ht="12.75" x14ac:dyDescent="0.2">
      <c r="A62" s="182"/>
      <c r="B62" s="40"/>
      <c r="C62" s="55"/>
      <c r="D62" s="129"/>
      <c r="E62" s="125"/>
      <c r="F62" s="125"/>
      <c r="G62" s="125"/>
      <c r="H62" s="125"/>
      <c r="I62" s="125"/>
      <c r="J62" s="134"/>
      <c r="K62" s="134"/>
      <c r="L62" s="40"/>
      <c r="M62" s="40"/>
      <c r="N62" s="129"/>
      <c r="O62" s="125"/>
      <c r="P62" s="125"/>
      <c r="Q62" s="35"/>
      <c r="R62" s="47"/>
      <c r="S62" s="47"/>
      <c r="T62" s="203"/>
      <c r="U62" s="126"/>
      <c r="V62" s="43"/>
      <c r="W62" s="126"/>
      <c r="X62" s="126"/>
      <c r="Y62" s="153"/>
      <c r="Z62" s="153"/>
      <c r="AA62" s="41"/>
      <c r="AB62" s="35"/>
      <c r="AC62" s="35"/>
      <c r="AD62" s="35"/>
      <c r="AE62" s="35"/>
      <c r="AF62" s="35"/>
      <c r="AG62" s="35"/>
      <c r="AH62" s="65">
        <f t="shared" ref="AH62:AK66" si="10">AH60</f>
        <v>100</v>
      </c>
      <c r="AI62" s="39">
        <f t="shared" si="10"/>
        <v>1.7999999999999998</v>
      </c>
      <c r="AJ62" s="65">
        <f t="shared" si="10"/>
        <v>180</v>
      </c>
      <c r="AK62" s="128">
        <f t="shared" si="10"/>
        <v>108.5427135678392</v>
      </c>
      <c r="AL62" s="129">
        <f>(B61 - AK62) / AK62</f>
        <v>5.9490740740740698E-2</v>
      </c>
      <c r="AM62" s="35"/>
      <c r="AN62" s="65">
        <f t="shared" ref="AN62:AQ66" si="11">AN60</f>
        <v>100</v>
      </c>
      <c r="AO62" s="39">
        <f t="shared" si="11"/>
        <v>1.2000000000000002</v>
      </c>
      <c r="AP62" s="65">
        <f t="shared" si="11"/>
        <v>120</v>
      </c>
      <c r="AQ62" s="65">
        <f t="shared" si="11"/>
        <v>116.58291457286431</v>
      </c>
      <c r="AR62" s="129">
        <f>(B61 - AQ62) / AQ62</f>
        <v>-1.3577586206896464E-2</v>
      </c>
      <c r="AS62" s="35"/>
      <c r="AT62" s="35"/>
      <c r="AU62" s="35"/>
      <c r="AV62" s="39"/>
      <c r="AW62" s="39"/>
      <c r="AX62" s="35"/>
    </row>
    <row r="63" spans="1:54" ht="12.75" x14ac:dyDescent="0.2">
      <c r="A63" s="150" t="s">
        <v>245</v>
      </c>
      <c r="B63" s="52">
        <v>90</v>
      </c>
      <c r="C63" s="62">
        <v>0.02</v>
      </c>
      <c r="D63" s="124">
        <v>0.04</v>
      </c>
      <c r="E63" s="95">
        <v>0.08</v>
      </c>
      <c r="F63" s="95">
        <v>0.16</v>
      </c>
      <c r="G63" s="95">
        <v>5.0000000000000001E-3</v>
      </c>
      <c r="H63" s="63">
        <v>1200</v>
      </c>
      <c r="I63" s="95"/>
      <c r="J63" s="133" t="s">
        <v>246</v>
      </c>
      <c r="K63" s="152"/>
      <c r="L63" s="52"/>
      <c r="M63" s="152">
        <v>20</v>
      </c>
      <c r="N63" s="124"/>
      <c r="O63" s="152"/>
      <c r="P63" s="152"/>
      <c r="R63" t="s">
        <v>245</v>
      </c>
      <c r="S63" t="s">
        <v>247</v>
      </c>
      <c r="T63" s="152" t="s">
        <v>34</v>
      </c>
      <c r="U63" s="152" t="s">
        <v>34</v>
      </c>
      <c r="V63" s="152" t="s">
        <v>34</v>
      </c>
      <c r="W63" s="122">
        <f>M63</f>
        <v>20</v>
      </c>
      <c r="X63" s="152" t="s">
        <v>34</v>
      </c>
      <c r="Y63" s="152" t="s">
        <v>34</v>
      </c>
      <c r="Z63" s="152" t="s">
        <v>34</v>
      </c>
      <c r="AA63" s="12"/>
      <c r="AB63" s="63">
        <f>AB61</f>
        <v>115</v>
      </c>
      <c r="AC63" s="32">
        <f>AC61</f>
        <v>1.7391304347826086</v>
      </c>
      <c r="AD63" s="63">
        <f>AD61</f>
        <v>200</v>
      </c>
      <c r="AE63" s="157">
        <f>AE61</f>
        <v>120.20100502512564</v>
      </c>
      <c r="AF63" s="124">
        <f>(B63 - AE63) / AE63</f>
        <v>-0.25125418060200677</v>
      </c>
      <c r="AH63" s="205">
        <f t="shared" si="10"/>
        <v>115</v>
      </c>
      <c r="AI63" s="32">
        <f t="shared" si="10"/>
        <v>1.0434782608695652</v>
      </c>
      <c r="AJ63" s="63">
        <f t="shared" si="10"/>
        <v>120</v>
      </c>
      <c r="AK63" s="157">
        <f t="shared" si="10"/>
        <v>124.82412060301507</v>
      </c>
      <c r="AL63" s="124">
        <f>(B63 - AK63) / AK63</f>
        <v>-0.27898550724637683</v>
      </c>
      <c r="AN63" s="63">
        <f t="shared" si="11"/>
        <v>115</v>
      </c>
      <c r="AO63" s="32">
        <f t="shared" si="11"/>
        <v>0.69565217391304346</v>
      </c>
      <c r="AP63" s="63">
        <f t="shared" si="11"/>
        <v>80</v>
      </c>
      <c r="AQ63" s="63">
        <f t="shared" si="11"/>
        <v>134.07035175879395</v>
      </c>
      <c r="AR63" s="124">
        <f>(B63 - AQ63) / AQ63</f>
        <v>-0.32871064467766103</v>
      </c>
      <c r="AT63" s="196">
        <f>AT61</f>
        <v>686.57500000000005</v>
      </c>
      <c r="AU63" s="63">
        <f>AU61+W63</f>
        <v>20</v>
      </c>
      <c r="AV63" s="122">
        <f>(AC63+AI63+AI64+AO63+AO64)*B63</f>
        <v>583.04347826086962</v>
      </c>
      <c r="AW63" s="206">
        <f>(AU63+AV63-AT63)/AT63</f>
        <v>-0.12166408875815522</v>
      </c>
      <c r="AX63" s="63">
        <f>H63-AT63+AU63</f>
        <v>533.42499999999995</v>
      </c>
    </row>
    <row r="64" spans="1:54" ht="12.75" x14ac:dyDescent="0.2">
      <c r="B64" s="52"/>
      <c r="C64" s="62"/>
      <c r="D64" s="124"/>
      <c r="E64" s="95"/>
      <c r="F64" s="95"/>
      <c r="G64" s="95"/>
      <c r="H64" s="95"/>
      <c r="I64" s="95"/>
      <c r="J64" s="133"/>
      <c r="K64" s="133"/>
      <c r="L64" s="52"/>
      <c r="M64" s="52"/>
      <c r="N64" s="124"/>
      <c r="O64" s="95"/>
      <c r="P64" s="95"/>
      <c r="R64" s="204"/>
      <c r="S64" s="45"/>
      <c r="T64" s="45"/>
      <c r="U64" s="122"/>
      <c r="V64" s="30"/>
      <c r="W64" s="122"/>
      <c r="X64" s="152"/>
      <c r="Y64" s="152"/>
      <c r="Z64" s="161"/>
      <c r="AA64" s="12"/>
      <c r="AH64" s="63">
        <f t="shared" si="10"/>
        <v>100</v>
      </c>
      <c r="AI64" s="32">
        <f t="shared" si="10"/>
        <v>1.7999999999999998</v>
      </c>
      <c r="AJ64" s="63">
        <f t="shared" si="10"/>
        <v>180</v>
      </c>
      <c r="AK64" s="157">
        <f t="shared" si="10"/>
        <v>108.5427135678392</v>
      </c>
      <c r="AL64" s="124">
        <f>(B63 - AK64) / AK64</f>
        <v>-0.17083333333333336</v>
      </c>
      <c r="AN64" s="63">
        <f t="shared" si="11"/>
        <v>100</v>
      </c>
      <c r="AO64" s="32">
        <f t="shared" si="11"/>
        <v>1.2000000000000002</v>
      </c>
      <c r="AP64" s="63">
        <f t="shared" si="11"/>
        <v>120</v>
      </c>
      <c r="AQ64" s="63">
        <f t="shared" si="11"/>
        <v>116.58291457286431</v>
      </c>
      <c r="AR64" s="124">
        <f>(B63 - AQ64) / AQ64</f>
        <v>-0.22801724137931029</v>
      </c>
      <c r="AV64" s="32"/>
      <c r="AW64" s="32"/>
    </row>
    <row r="65" spans="1:50" ht="12.75" x14ac:dyDescent="0.2">
      <c r="A65" s="182" t="s">
        <v>248</v>
      </c>
      <c r="B65" s="40">
        <v>80</v>
      </c>
      <c r="C65" s="55">
        <v>0.02</v>
      </c>
      <c r="D65" s="129">
        <v>0.04</v>
      </c>
      <c r="E65" s="125">
        <v>0.08</v>
      </c>
      <c r="F65" s="125">
        <v>0.16</v>
      </c>
      <c r="G65" s="125">
        <v>5.0000000000000001E-3</v>
      </c>
      <c r="H65" s="65">
        <v>1200</v>
      </c>
      <c r="I65" s="125"/>
      <c r="J65" s="134" t="s">
        <v>249</v>
      </c>
      <c r="K65" s="153"/>
      <c r="L65" s="40"/>
      <c r="M65" s="153">
        <v>40</v>
      </c>
      <c r="N65" s="129"/>
      <c r="O65" s="153"/>
      <c r="P65" s="153"/>
      <c r="Q65" s="35"/>
      <c r="R65" s="35" t="s">
        <v>248</v>
      </c>
      <c r="S65" s="35" t="s">
        <v>249</v>
      </c>
      <c r="T65" s="153" t="s">
        <v>34</v>
      </c>
      <c r="U65" s="153" t="s">
        <v>34</v>
      </c>
      <c r="V65" s="153" t="s">
        <v>34</v>
      </c>
      <c r="W65" s="65">
        <v>40</v>
      </c>
      <c r="X65" s="153" t="s">
        <v>34</v>
      </c>
      <c r="Y65" s="153" t="s">
        <v>34</v>
      </c>
      <c r="Z65" s="153" t="s">
        <v>34</v>
      </c>
      <c r="AA65" s="41"/>
      <c r="AB65" s="65">
        <f>AB63</f>
        <v>115</v>
      </c>
      <c r="AC65" s="39">
        <f>AC63</f>
        <v>1.7391304347826086</v>
      </c>
      <c r="AD65" s="65">
        <f>AD63</f>
        <v>200</v>
      </c>
      <c r="AE65" s="128">
        <f>AE63</f>
        <v>120.20100502512564</v>
      </c>
      <c r="AF65" s="129">
        <f>(B65 - AE65) / AE65</f>
        <v>-0.33444816053511711</v>
      </c>
      <c r="AG65" s="35"/>
      <c r="AH65" s="200">
        <f t="shared" si="10"/>
        <v>115</v>
      </c>
      <c r="AI65" s="39">
        <f t="shared" si="10"/>
        <v>1.0434782608695652</v>
      </c>
      <c r="AJ65" s="65">
        <f t="shared" si="10"/>
        <v>120</v>
      </c>
      <c r="AK65" s="128">
        <f t="shared" si="10"/>
        <v>124.82412060301507</v>
      </c>
      <c r="AL65" s="129">
        <f>(B65 - AK65) / AK65</f>
        <v>-0.35909822866344604</v>
      </c>
      <c r="AM65" s="35"/>
      <c r="AN65" s="65">
        <f t="shared" si="11"/>
        <v>115</v>
      </c>
      <c r="AO65" s="39">
        <f t="shared" si="11"/>
        <v>0.69565217391304346</v>
      </c>
      <c r="AP65" s="65">
        <f t="shared" si="11"/>
        <v>80</v>
      </c>
      <c r="AQ65" s="65">
        <f t="shared" si="11"/>
        <v>134.07035175879395</v>
      </c>
      <c r="AR65" s="129">
        <f>(B65 - AQ65) / AQ65</f>
        <v>-0.40329835082458759</v>
      </c>
      <c r="AS65" s="35"/>
      <c r="AT65" s="201">
        <f>AT63</f>
        <v>686.57500000000005</v>
      </c>
      <c r="AU65" s="65">
        <f>AU63+W65</f>
        <v>60</v>
      </c>
      <c r="AV65" s="126">
        <f>(AC65+AI65+AI66+AO65+AO66)*B65</f>
        <v>518.26086956521738</v>
      </c>
      <c r="AW65" s="202">
        <f>(AU65+AV65-AT65)/AT65</f>
        <v>-0.15776008511055989</v>
      </c>
      <c r="AX65" s="65">
        <f>H65-AT65+AU65</f>
        <v>573.42499999999995</v>
      </c>
    </row>
    <row r="66" spans="1:50" ht="12.75" x14ac:dyDescent="0.2">
      <c r="A66" s="182"/>
      <c r="B66" s="40"/>
      <c r="C66" s="55"/>
      <c r="D66" s="129"/>
      <c r="E66" s="125"/>
      <c r="F66" s="125"/>
      <c r="G66" s="125"/>
      <c r="H66" s="125"/>
      <c r="I66" s="125"/>
      <c r="J66" s="134"/>
      <c r="K66" s="134"/>
      <c r="L66" s="40"/>
      <c r="M66" s="40"/>
      <c r="N66" s="129"/>
      <c r="O66" s="125"/>
      <c r="P66" s="125"/>
      <c r="Q66" s="35"/>
      <c r="R66" s="35"/>
      <c r="S66" s="35"/>
      <c r="T66" s="153"/>
      <c r="U66" s="153"/>
      <c r="V66" s="153"/>
      <c r="W66" s="126"/>
      <c r="X66" s="153"/>
      <c r="Y66" s="153"/>
      <c r="Z66" s="153"/>
      <c r="AA66" s="41"/>
      <c r="AB66" s="126"/>
      <c r="AC66" s="43"/>
      <c r="AD66" s="128"/>
      <c r="AE66" s="128"/>
      <c r="AF66" s="129"/>
      <c r="AG66" s="43"/>
      <c r="AH66" s="126">
        <f t="shared" si="10"/>
        <v>100</v>
      </c>
      <c r="AI66" s="43">
        <f t="shared" si="10"/>
        <v>1.7999999999999998</v>
      </c>
      <c r="AJ66" s="128">
        <f t="shared" si="10"/>
        <v>180</v>
      </c>
      <c r="AK66" s="128">
        <f t="shared" si="10"/>
        <v>108.5427135678392</v>
      </c>
      <c r="AL66" s="129">
        <f>(B65 - AK66) / AK66</f>
        <v>-0.26296296296296301</v>
      </c>
      <c r="AM66" s="35"/>
      <c r="AN66" s="126">
        <f t="shared" si="11"/>
        <v>100</v>
      </c>
      <c r="AO66" s="43">
        <f t="shared" si="11"/>
        <v>1.2000000000000002</v>
      </c>
      <c r="AP66" s="128">
        <f t="shared" si="11"/>
        <v>120</v>
      </c>
      <c r="AQ66" s="128">
        <f t="shared" si="11"/>
        <v>116.58291457286431</v>
      </c>
      <c r="AR66" s="129">
        <f>(B65 - AQ66) / AQ66</f>
        <v>-0.31379310344827582</v>
      </c>
      <c r="AS66" s="35"/>
      <c r="AT66" s="39"/>
      <c r="AU66" s="39"/>
      <c r="AV66" s="39"/>
      <c r="AW66" s="39"/>
      <c r="AX66" s="35"/>
    </row>
    <row r="67" spans="1:50" ht="12.75" x14ac:dyDescent="0.2">
      <c r="A67" s="150" t="s">
        <v>217</v>
      </c>
      <c r="B67" s="52">
        <v>115</v>
      </c>
      <c r="C67" s="62">
        <v>0.02</v>
      </c>
      <c r="D67" s="124">
        <v>0.04</v>
      </c>
      <c r="E67" s="95">
        <v>0.08</v>
      </c>
      <c r="F67" s="95">
        <v>0.16</v>
      </c>
      <c r="G67" s="95">
        <v>5.0000000000000001E-3</v>
      </c>
      <c r="H67" s="63">
        <v>1200</v>
      </c>
      <c r="I67" s="95"/>
      <c r="J67" s="133" t="s">
        <v>75</v>
      </c>
      <c r="K67" s="133" t="s">
        <v>211</v>
      </c>
      <c r="L67" s="52">
        <v>115</v>
      </c>
      <c r="M67" s="52">
        <v>700</v>
      </c>
      <c r="N67" s="124">
        <v>0.5</v>
      </c>
      <c r="O67" s="95">
        <v>0.3</v>
      </c>
      <c r="P67" s="95">
        <v>0.2</v>
      </c>
      <c r="R67" s="45" t="s">
        <v>217</v>
      </c>
      <c r="S67" s="45" t="s">
        <v>75</v>
      </c>
      <c r="T67" s="130" t="s">
        <v>211</v>
      </c>
      <c r="U67" s="122">
        <f>L67</f>
        <v>115</v>
      </c>
      <c r="V67" s="30">
        <f>W67/U67</f>
        <v>6.0869565217391308</v>
      </c>
      <c r="W67" s="122">
        <f>M67</f>
        <v>700</v>
      </c>
      <c r="X67" s="122">
        <f>U67 * (1 - ABS(C67))</f>
        <v>112.7</v>
      </c>
      <c r="Y67" s="152" t="s">
        <v>34</v>
      </c>
      <c r="Z67" s="152" t="s">
        <v>34</v>
      </c>
      <c r="AA67" s="12"/>
      <c r="AB67" s="63">
        <f>AB65</f>
        <v>115</v>
      </c>
      <c r="AC67" s="32">
        <f>AC65+(V67*N67)</f>
        <v>4.7826086956521738</v>
      </c>
      <c r="AD67" s="63">
        <f>AD65+(W67*N67)</f>
        <v>550</v>
      </c>
      <c r="AE67" s="123">
        <f>B67 * (1 + D67) / (1 - G67)</f>
        <v>120.20100502512564</v>
      </c>
      <c r="AF67" s="124">
        <f>(B67 - AE67) / AE67</f>
        <v>-4.3269230769230851E-2</v>
      </c>
      <c r="AH67" s="205">
        <f>AH65</f>
        <v>115</v>
      </c>
      <c r="AI67" s="32">
        <f>AI65+(V67*O67)</f>
        <v>2.8695652173913047</v>
      </c>
      <c r="AJ67" s="63">
        <f>AJ65+(W67*O67)</f>
        <v>330</v>
      </c>
      <c r="AK67" s="123">
        <f>AH67 * (1 + E67) / (1 - G67)</f>
        <v>124.82412060301507</v>
      </c>
      <c r="AL67" s="124">
        <f>(B67 - AK67) / AK67</f>
        <v>-7.8703703703703706E-2</v>
      </c>
      <c r="AN67" s="63">
        <f>AN65</f>
        <v>115</v>
      </c>
      <c r="AO67" s="32">
        <f>AO65+(V67*P67)</f>
        <v>1.9130434782608696</v>
      </c>
      <c r="AP67" s="63">
        <f>AP65+(W67*P67)</f>
        <v>220</v>
      </c>
      <c r="AQ67" s="123">
        <f>AN67 * (1 + F67) / (1 - G67)</f>
        <v>134.07035175879395</v>
      </c>
      <c r="AR67" s="124">
        <f>(B67 - AQ67) / AQ67</f>
        <v>-0.1422413793103447</v>
      </c>
      <c r="AT67" s="196">
        <f>AT65+W67-AU65</f>
        <v>1326.575</v>
      </c>
      <c r="AU67" s="63">
        <v>0</v>
      </c>
      <c r="AV67" s="122">
        <f>(AC67+AI67+AI68+AO67+AO68)*B67</f>
        <v>1445</v>
      </c>
      <c r="AW67" s="206">
        <f>(AU67+AV67-AT67)/AT67</f>
        <v>8.9271243616078966E-2</v>
      </c>
      <c r="AX67" s="63">
        <f>H67-AT67+AU67</f>
        <v>-126.57500000000005</v>
      </c>
    </row>
    <row r="68" spans="1:50" ht="12.75" x14ac:dyDescent="0.2">
      <c r="A68" s="150"/>
      <c r="B68" s="33"/>
      <c r="C68" s="67"/>
      <c r="D68" s="124"/>
      <c r="E68" s="95"/>
      <c r="F68" s="95"/>
      <c r="G68" s="95"/>
      <c r="H68" s="95"/>
      <c r="L68" s="207"/>
      <c r="M68" s="207"/>
      <c r="N68" s="124"/>
      <c r="O68" s="95"/>
      <c r="P68" s="95"/>
      <c r="T68" s="152"/>
      <c r="U68" s="152"/>
      <c r="V68" s="152"/>
      <c r="W68" s="122"/>
      <c r="X68" s="152"/>
      <c r="Y68" s="152"/>
      <c r="Z68" s="152"/>
      <c r="AA68" s="12"/>
      <c r="AB68" s="122"/>
      <c r="AC68" s="30"/>
      <c r="AD68" s="157"/>
      <c r="AE68" s="157"/>
      <c r="AF68" s="124"/>
      <c r="AG68" s="30"/>
      <c r="AH68" s="122">
        <f>AH66</f>
        <v>100</v>
      </c>
      <c r="AI68" s="30">
        <f>AI66</f>
        <v>1.7999999999999998</v>
      </c>
      <c r="AJ68" s="157">
        <f>AJ66</f>
        <v>180</v>
      </c>
      <c r="AK68" s="157">
        <f>AK66</f>
        <v>108.5427135678392</v>
      </c>
      <c r="AL68" s="124">
        <f>AL66</f>
        <v>-0.26296296296296301</v>
      </c>
      <c r="AN68" s="122">
        <f>AN66</f>
        <v>100</v>
      </c>
      <c r="AO68" s="30">
        <f>AO66</f>
        <v>1.2000000000000002</v>
      </c>
      <c r="AP68" s="157">
        <f>AP66</f>
        <v>120</v>
      </c>
      <c r="AQ68" s="157">
        <f>AQ66</f>
        <v>116.58291457286431</v>
      </c>
      <c r="AR68" s="124">
        <f>AR66</f>
        <v>-0.31379310344827582</v>
      </c>
      <c r="AT68" s="32"/>
      <c r="AU68" s="32"/>
      <c r="AV68" s="32"/>
      <c r="AW68" s="32"/>
    </row>
    <row r="69" spans="1:50" ht="12.75" x14ac:dyDescent="0.2">
      <c r="A69" s="209" t="s">
        <v>252</v>
      </c>
      <c r="B69" s="33"/>
      <c r="C69" s="67"/>
      <c r="D69" s="124"/>
      <c r="E69" s="95"/>
      <c r="F69" s="95"/>
      <c r="G69" s="95"/>
      <c r="H69" s="95"/>
      <c r="L69" s="33"/>
      <c r="M69" s="33"/>
      <c r="N69" s="124"/>
      <c r="O69" s="95"/>
      <c r="P69" s="95"/>
      <c r="R69" s="12"/>
      <c r="S69" s="12"/>
      <c r="T69" s="12"/>
      <c r="U69" s="137"/>
      <c r="V69" s="138"/>
      <c r="W69" s="137"/>
      <c r="X69" s="137"/>
      <c r="Y69" s="12"/>
      <c r="Z69" s="12"/>
      <c r="AA69" s="12"/>
      <c r="AB69" s="139"/>
      <c r="AC69" s="139"/>
      <c r="AD69" s="139"/>
      <c r="AE69" s="139"/>
      <c r="AF69" s="140"/>
      <c r="AG69" s="140"/>
      <c r="AH69" s="139"/>
      <c r="AI69" s="139"/>
      <c r="AJ69" s="139"/>
      <c r="AK69" s="139"/>
      <c r="AL69" s="140"/>
      <c r="AN69" s="139"/>
      <c r="AO69" s="139"/>
      <c r="AP69" s="139"/>
      <c r="AQ69" s="139"/>
      <c r="AR69" s="140"/>
    </row>
    <row r="70" spans="1:50" ht="12.75" x14ac:dyDescent="0.2">
      <c r="B70" s="45" t="s">
        <v>204</v>
      </c>
      <c r="C70" s="109"/>
      <c r="J70" s="45" t="s">
        <v>202</v>
      </c>
      <c r="R70" s="45" t="s">
        <v>203</v>
      </c>
      <c r="T70" s="12"/>
      <c r="U70" s="12"/>
      <c r="V70" s="12"/>
      <c r="W70" s="12"/>
      <c r="X70" s="12"/>
      <c r="Y70" s="12"/>
      <c r="Z70" s="12"/>
      <c r="AA70" s="12"/>
      <c r="AB70" s="130" t="s">
        <v>205</v>
      </c>
      <c r="AC70" s="46"/>
      <c r="AD70" s="46"/>
      <c r="AE70" s="46"/>
      <c r="AF70" s="46"/>
      <c r="AG70" s="46"/>
      <c r="AH70" s="130" t="s">
        <v>207</v>
      </c>
      <c r="AI70" s="46"/>
      <c r="AJ70" s="46"/>
      <c r="AK70" s="46"/>
      <c r="AL70" s="46"/>
      <c r="AM70" s="45"/>
      <c r="AN70" s="130" t="s">
        <v>208</v>
      </c>
      <c r="AO70" s="12"/>
      <c r="AP70" s="12"/>
      <c r="AQ70" s="12"/>
      <c r="AR70" s="12"/>
      <c r="AT70" s="130" t="s">
        <v>206</v>
      </c>
    </row>
    <row r="71" spans="1:50" ht="12.75" x14ac:dyDescent="0.2">
      <c r="B71" s="57" t="s">
        <v>209</v>
      </c>
      <c r="C71" s="28" t="s">
        <v>190</v>
      </c>
      <c r="D71" s="57" t="s">
        <v>191</v>
      </c>
      <c r="E71" s="28" t="s">
        <v>192</v>
      </c>
      <c r="F71" s="28" t="s">
        <v>193</v>
      </c>
      <c r="G71" s="57" t="s">
        <v>112</v>
      </c>
      <c r="H71" s="57"/>
      <c r="I71" s="101"/>
      <c r="J71" s="28" t="s">
        <v>76</v>
      </c>
      <c r="K71" s="28" t="s">
        <v>4</v>
      </c>
      <c r="L71" s="57" t="s">
        <v>0</v>
      </c>
      <c r="M71" s="57" t="s">
        <v>1</v>
      </c>
      <c r="N71" s="28" t="s">
        <v>191</v>
      </c>
      <c r="O71" s="28" t="s">
        <v>192</v>
      </c>
      <c r="P71" s="28" t="s">
        <v>193</v>
      </c>
      <c r="R71" s="28"/>
      <c r="S71" s="28" t="s">
        <v>76</v>
      </c>
      <c r="T71" s="28" t="s">
        <v>4</v>
      </c>
      <c r="U71" s="57" t="s">
        <v>0</v>
      </c>
      <c r="V71" s="28" t="s">
        <v>62</v>
      </c>
      <c r="W71" s="57" t="s">
        <v>220</v>
      </c>
      <c r="X71" s="57" t="s">
        <v>190</v>
      </c>
      <c r="Y71" s="57" t="s">
        <v>194</v>
      </c>
      <c r="Z71" s="28" t="s">
        <v>195</v>
      </c>
      <c r="AA71" s="12"/>
      <c r="AB71" s="28" t="s">
        <v>0</v>
      </c>
      <c r="AC71" s="28" t="s">
        <v>196</v>
      </c>
      <c r="AD71" s="57" t="s">
        <v>1</v>
      </c>
      <c r="AE71" s="57" t="s">
        <v>197</v>
      </c>
      <c r="AF71" s="57" t="s">
        <v>198</v>
      </c>
      <c r="AG71" s="60"/>
      <c r="AH71" s="28" t="s">
        <v>0</v>
      </c>
      <c r="AI71" s="28" t="s">
        <v>196</v>
      </c>
      <c r="AJ71" s="57" t="s">
        <v>1</v>
      </c>
      <c r="AK71" s="57" t="s">
        <v>197</v>
      </c>
      <c r="AL71" s="57" t="s">
        <v>198</v>
      </c>
      <c r="AN71" s="28" t="s">
        <v>0</v>
      </c>
      <c r="AO71" s="28" t="s">
        <v>196</v>
      </c>
      <c r="AP71" s="57" t="s">
        <v>1</v>
      </c>
      <c r="AQ71" s="57" t="s">
        <v>197</v>
      </c>
      <c r="AR71" s="57" t="s">
        <v>198</v>
      </c>
      <c r="AT71" s="57" t="s">
        <v>199</v>
      </c>
      <c r="AU71" s="28" t="s">
        <v>191</v>
      </c>
      <c r="AV71" s="28" t="s">
        <v>192</v>
      </c>
      <c r="AW71" s="28" t="s">
        <v>193</v>
      </c>
    </row>
    <row r="72" spans="1:50" ht="12.75" x14ac:dyDescent="0.2">
      <c r="A72" s="110" t="s">
        <v>215</v>
      </c>
      <c r="B72" s="52">
        <v>100</v>
      </c>
      <c r="C72" s="54">
        <v>0.02</v>
      </c>
      <c r="D72" s="124">
        <v>0.04</v>
      </c>
      <c r="E72" s="95">
        <v>0.08</v>
      </c>
      <c r="F72" s="95">
        <v>0.16</v>
      </c>
      <c r="G72" s="95">
        <v>0.01</v>
      </c>
      <c r="H72" s="95"/>
      <c r="I72" s="95"/>
      <c r="J72" s="133" t="s">
        <v>75</v>
      </c>
      <c r="K72" s="133" t="s">
        <v>78</v>
      </c>
      <c r="L72" s="52">
        <v>100</v>
      </c>
      <c r="M72" s="52">
        <v>200</v>
      </c>
      <c r="N72" s="124">
        <v>0.5</v>
      </c>
      <c r="O72" s="95">
        <v>0.3</v>
      </c>
      <c r="P72" s="95">
        <v>0.2</v>
      </c>
      <c r="R72" s="45" t="s">
        <v>215</v>
      </c>
      <c r="S72" s="45" t="s">
        <v>75</v>
      </c>
      <c r="T72" s="131" t="s">
        <v>78</v>
      </c>
      <c r="U72" s="122">
        <f>L72</f>
        <v>100</v>
      </c>
      <c r="V72" s="30">
        <f>W72/U72</f>
        <v>2</v>
      </c>
      <c r="W72" s="122">
        <f>M72</f>
        <v>200</v>
      </c>
      <c r="X72" s="122">
        <f>U72 * (1 - ABS(C72))</f>
        <v>98</v>
      </c>
      <c r="Y72" s="152" t="s">
        <v>34</v>
      </c>
      <c r="Z72" s="152" t="s">
        <v>34</v>
      </c>
      <c r="AA72" s="12"/>
      <c r="AB72" s="122">
        <f>U72</f>
        <v>100</v>
      </c>
      <c r="AC72" s="30">
        <f>V72*N72</f>
        <v>1</v>
      </c>
      <c r="AD72" s="123">
        <f>W72*N72</f>
        <v>100</v>
      </c>
      <c r="AE72" s="123">
        <f>AB72 * (1 + D72) / (1 - G72)</f>
        <v>105.05050505050505</v>
      </c>
      <c r="AF72" s="124">
        <f>(B72 - AE72) / AE72</f>
        <v>-4.8076923076923087E-2</v>
      </c>
      <c r="AG72" s="30"/>
      <c r="AH72" s="122">
        <f>U72</f>
        <v>100</v>
      </c>
      <c r="AI72" s="30">
        <f>V72*O72</f>
        <v>0.6</v>
      </c>
      <c r="AJ72" s="123">
        <f>W72*O72</f>
        <v>60</v>
      </c>
      <c r="AK72" s="123">
        <f>AH72 * (1 + E72) / (1 - G72)</f>
        <v>109.09090909090909</v>
      </c>
      <c r="AL72" s="124">
        <f>(B72 - AK72) / AK72</f>
        <v>-8.3333333333333356E-2</v>
      </c>
      <c r="AN72" s="122">
        <f>U72</f>
        <v>100</v>
      </c>
      <c r="AO72" s="30">
        <f>V72*P72</f>
        <v>0.4</v>
      </c>
      <c r="AP72" s="123">
        <f>W72*P72</f>
        <v>40</v>
      </c>
      <c r="AQ72" s="123">
        <f>AN72 * (1 + F72) / (1 - G72)</f>
        <v>117.17171717171716</v>
      </c>
      <c r="AR72" s="124">
        <f>(B72 - AQ72) / AQ72</f>
        <v>-0.14655172413793097</v>
      </c>
      <c r="AT72" s="32">
        <f>AC72+AI72+AO72</f>
        <v>2</v>
      </c>
      <c r="AU72" s="32">
        <f>AC72</f>
        <v>1</v>
      </c>
      <c r="AV72" s="32">
        <f>AI72</f>
        <v>0.6</v>
      </c>
      <c r="AW72" s="32">
        <f>AO72</f>
        <v>0.4</v>
      </c>
    </row>
    <row r="73" spans="1:50" s="35" customFormat="1" ht="12.75" x14ac:dyDescent="0.2">
      <c r="A73" s="177" t="s">
        <v>216</v>
      </c>
      <c r="B73" s="40">
        <v>110</v>
      </c>
      <c r="C73" s="55">
        <v>0.04</v>
      </c>
      <c r="D73" s="129">
        <v>0.04</v>
      </c>
      <c r="E73" s="125">
        <v>0.08</v>
      </c>
      <c r="F73" s="125">
        <v>0.16</v>
      </c>
      <c r="G73" s="125">
        <v>0.01</v>
      </c>
      <c r="H73" s="125"/>
      <c r="I73" s="125"/>
      <c r="J73" s="134" t="s">
        <v>75</v>
      </c>
      <c r="K73" s="134" t="s">
        <v>211</v>
      </c>
      <c r="L73" s="40">
        <v>110</v>
      </c>
      <c r="M73" s="40">
        <v>300</v>
      </c>
      <c r="N73" s="129">
        <v>0.5</v>
      </c>
      <c r="O73" s="125">
        <v>0.3</v>
      </c>
      <c r="P73" s="125">
        <v>0.2</v>
      </c>
      <c r="R73" s="47" t="s">
        <v>216</v>
      </c>
      <c r="S73" s="47" t="s">
        <v>75</v>
      </c>
      <c r="T73" s="203" t="s">
        <v>211</v>
      </c>
      <c r="U73" s="126">
        <f>L73</f>
        <v>110</v>
      </c>
      <c r="V73" s="43">
        <f>W73/U73</f>
        <v>2.7272727272727271</v>
      </c>
      <c r="W73" s="126">
        <f>M73</f>
        <v>300</v>
      </c>
      <c r="X73" s="126">
        <f>U73 * (1 - ABS(C73))</f>
        <v>105.6</v>
      </c>
      <c r="Y73" s="153" t="s">
        <v>34</v>
      </c>
      <c r="Z73" s="153" t="s">
        <v>34</v>
      </c>
      <c r="AA73" s="41"/>
      <c r="AB73" s="126">
        <f>U73</f>
        <v>110</v>
      </c>
      <c r="AC73" s="43">
        <f>V73*N73</f>
        <v>1.3636363636363635</v>
      </c>
      <c r="AD73" s="128">
        <f>W73*N73</f>
        <v>150</v>
      </c>
      <c r="AE73" s="128">
        <f>AB73 * (1 + D73) / (1 - G73)</f>
        <v>115.55555555555556</v>
      </c>
      <c r="AF73" s="129">
        <f>(B73 - AE73) / AE73</f>
        <v>-4.8076923076923087E-2</v>
      </c>
      <c r="AG73" s="43"/>
      <c r="AH73" s="126">
        <f>U73</f>
        <v>110</v>
      </c>
      <c r="AI73" s="43">
        <f>V73*O73</f>
        <v>0.81818181818181812</v>
      </c>
      <c r="AJ73" s="128">
        <f>W73*O73</f>
        <v>90</v>
      </c>
      <c r="AK73" s="128">
        <f>AH73 * (1 + E73) / (1 - G73)</f>
        <v>120.00000000000001</v>
      </c>
      <c r="AL73" s="129">
        <f>(B73 - AK73) / AK73</f>
        <v>-8.333333333333344E-2</v>
      </c>
      <c r="AN73" s="126">
        <f>U73</f>
        <v>110</v>
      </c>
      <c r="AO73" s="43">
        <f>V73*P73</f>
        <v>0.54545454545454541</v>
      </c>
      <c r="AP73" s="128">
        <f>W73*P73</f>
        <v>60</v>
      </c>
      <c r="AQ73" s="128">
        <f>AN73 * (1 + F73) / (1 - G73)</f>
        <v>128.88888888888889</v>
      </c>
      <c r="AR73" s="129">
        <f>(B73 - AQ73) / AQ73</f>
        <v>-0.14655172413793102</v>
      </c>
      <c r="AT73" s="39">
        <f>AU73+AV73+AW73</f>
        <v>4.7272727272727266</v>
      </c>
      <c r="AU73" s="39">
        <f>AC73+AC74</f>
        <v>2.3636363636363633</v>
      </c>
      <c r="AV73" s="39">
        <f>AI73+AI74</f>
        <v>1.418181818181818</v>
      </c>
      <c r="AW73" s="39">
        <f>AO73+AO74</f>
        <v>0.94545454545454544</v>
      </c>
    </row>
    <row r="74" spans="1:50" s="35" customFormat="1" ht="12.75" x14ac:dyDescent="0.2">
      <c r="A74" s="177"/>
      <c r="B74" s="40"/>
      <c r="C74" s="55"/>
      <c r="D74" s="129"/>
      <c r="E74" s="125"/>
      <c r="F74" s="125"/>
      <c r="G74" s="125"/>
      <c r="H74" s="125"/>
      <c r="I74" s="125"/>
      <c r="J74" s="134"/>
      <c r="K74" s="134"/>
      <c r="L74" s="40"/>
      <c r="M74" s="40"/>
      <c r="N74" s="129"/>
      <c r="O74" s="125"/>
      <c r="P74" s="125"/>
      <c r="R74" s="47"/>
      <c r="S74" s="47"/>
      <c r="T74" s="203"/>
      <c r="U74" s="126"/>
      <c r="V74" s="43"/>
      <c r="W74" s="126"/>
      <c r="X74" s="126"/>
      <c r="Y74" s="153"/>
      <c r="Z74" s="153"/>
      <c r="AA74" s="41"/>
      <c r="AB74" s="126">
        <f>AB72</f>
        <v>100</v>
      </c>
      <c r="AC74" s="43">
        <f>AC72</f>
        <v>1</v>
      </c>
      <c r="AD74" s="128">
        <f>AD72</f>
        <v>100</v>
      </c>
      <c r="AE74" s="128">
        <f>AB74 * (1 + D73) / (1 - G73)</f>
        <v>105.05050505050505</v>
      </c>
      <c r="AF74" s="129">
        <f>(B73 - AE74) / AE74</f>
        <v>4.7115384615384601E-2</v>
      </c>
      <c r="AG74" s="43"/>
      <c r="AH74" s="126">
        <f>AH72</f>
        <v>100</v>
      </c>
      <c r="AI74" s="43">
        <f>AI72</f>
        <v>0.6</v>
      </c>
      <c r="AJ74" s="128">
        <f>AJ72</f>
        <v>60</v>
      </c>
      <c r="AK74" s="128">
        <f>AH74 * (1 + E73) / (1 - G73)</f>
        <v>109.09090909090909</v>
      </c>
      <c r="AL74" s="129">
        <f>(B73 - AK74) / AK74</f>
        <v>8.3333333333333089E-3</v>
      </c>
      <c r="AN74" s="126">
        <f>AN72</f>
        <v>100</v>
      </c>
      <c r="AO74" s="43">
        <f>AO72</f>
        <v>0.4</v>
      </c>
      <c r="AP74" s="128">
        <f>AP72</f>
        <v>40</v>
      </c>
      <c r="AQ74" s="128">
        <f>AN74 * (1 + F73) / (1 - G73)</f>
        <v>117.17171717171716</v>
      </c>
      <c r="AR74" s="129">
        <f>(B73 - AQ74) / AQ74</f>
        <v>-6.1206896551724066E-2</v>
      </c>
      <c r="AU74" s="39"/>
      <c r="AV74" s="39"/>
      <c r="AW74" s="39"/>
    </row>
    <row r="75" spans="1:50" ht="12.75" x14ac:dyDescent="0.2">
      <c r="A75" s="110" t="s">
        <v>217</v>
      </c>
      <c r="B75" s="52">
        <v>120</v>
      </c>
      <c r="C75" s="62">
        <v>0.04</v>
      </c>
      <c r="D75" s="124">
        <v>0.04</v>
      </c>
      <c r="E75" s="95">
        <v>0.08</v>
      </c>
      <c r="F75" s="95">
        <v>0.16</v>
      </c>
      <c r="G75" s="95">
        <v>0.01</v>
      </c>
      <c r="H75" s="95"/>
      <c r="I75" s="95"/>
      <c r="J75" s="133" t="s">
        <v>75</v>
      </c>
      <c r="K75" s="133" t="s">
        <v>214</v>
      </c>
      <c r="L75" s="52">
        <v>120</v>
      </c>
      <c r="M75" s="52">
        <v>400</v>
      </c>
      <c r="N75" s="124">
        <v>0.4</v>
      </c>
      <c r="O75" s="95">
        <v>0.4</v>
      </c>
      <c r="P75" s="95">
        <v>0.2</v>
      </c>
      <c r="R75" s="45" t="s">
        <v>217</v>
      </c>
      <c r="S75" s="45" t="s">
        <v>75</v>
      </c>
      <c r="T75" s="133" t="s">
        <v>214</v>
      </c>
      <c r="U75" s="122">
        <f>L75</f>
        <v>120</v>
      </c>
      <c r="V75" s="30">
        <f>W75/U75</f>
        <v>3.3333333333333335</v>
      </c>
      <c r="W75" s="122">
        <f>M75</f>
        <v>400</v>
      </c>
      <c r="X75" s="122">
        <f>U75 * (1 - ABS(C75))</f>
        <v>115.19999999999999</v>
      </c>
      <c r="Y75" s="152" t="s">
        <v>34</v>
      </c>
      <c r="Z75" s="152" t="s">
        <v>34</v>
      </c>
      <c r="AA75" s="12"/>
      <c r="AB75" s="122">
        <f>U75</f>
        <v>120</v>
      </c>
      <c r="AC75" s="30">
        <f>V75*N75</f>
        <v>1.3333333333333335</v>
      </c>
      <c r="AD75" s="157">
        <f>W75*N75</f>
        <v>160</v>
      </c>
      <c r="AE75" s="157">
        <f>AB75 * (1 + D75) / (1 - G75)</f>
        <v>126.06060606060608</v>
      </c>
      <c r="AF75" s="124">
        <f>(B75 - AE75) / AE75</f>
        <v>-4.8076923076923198E-2</v>
      </c>
      <c r="AG75" s="30"/>
      <c r="AH75" s="122">
        <f>U75</f>
        <v>120</v>
      </c>
      <c r="AI75" s="30">
        <f>V75*O75</f>
        <v>1.3333333333333335</v>
      </c>
      <c r="AJ75" s="157">
        <f>W75*O75</f>
        <v>160</v>
      </c>
      <c r="AK75" s="157">
        <f>AH75 * (1 + E75) / (1 - G75)</f>
        <v>130.90909090909093</v>
      </c>
      <c r="AL75" s="124">
        <f>(B75 - AK75) / AK75</f>
        <v>-8.3333333333333509E-2</v>
      </c>
      <c r="AN75" s="122">
        <f>U75</f>
        <v>120</v>
      </c>
      <c r="AO75" s="30">
        <f>V75*P75</f>
        <v>0.66666666666666674</v>
      </c>
      <c r="AP75" s="157">
        <f>W75*P75</f>
        <v>80</v>
      </c>
      <c r="AQ75" s="157">
        <f>AN75 * (1 + F75) / (1 - G75)</f>
        <v>140.60606060606059</v>
      </c>
      <c r="AR75" s="124">
        <f>(B75 - AQ75) / AQ75</f>
        <v>-0.14655172413793097</v>
      </c>
      <c r="AT75" s="32">
        <f>AU75+AV75+AW75</f>
        <v>8.0606060606060623</v>
      </c>
      <c r="AU75" s="32">
        <f>AC75+AC76+AC77</f>
        <v>3.6969696969696972</v>
      </c>
      <c r="AV75" s="32">
        <f>AI75+AI76+AI77</f>
        <v>2.7515151515151515</v>
      </c>
      <c r="AW75" s="32">
        <f>AO75+AO76+AO77</f>
        <v>1.6121212121212123</v>
      </c>
    </row>
    <row r="76" spans="1:50" ht="12.75" x14ac:dyDescent="0.2">
      <c r="A76" s="110"/>
      <c r="B76" s="52"/>
      <c r="C76" s="62"/>
      <c r="D76" s="124"/>
      <c r="E76" s="95"/>
      <c r="F76" s="95"/>
      <c r="G76" s="95"/>
      <c r="H76" s="95"/>
      <c r="I76" s="95"/>
      <c r="J76" s="133"/>
      <c r="K76" s="133"/>
      <c r="L76" s="52"/>
      <c r="M76" s="52"/>
      <c r="N76" s="124"/>
      <c r="O76" s="95"/>
      <c r="P76" s="95"/>
      <c r="R76" s="45"/>
      <c r="S76" s="45"/>
      <c r="T76" s="131"/>
      <c r="U76" s="122"/>
      <c r="V76" s="30"/>
      <c r="W76" s="122"/>
      <c r="X76" s="122"/>
      <c r="Y76" s="152"/>
      <c r="Z76" s="152"/>
      <c r="AA76" s="12"/>
      <c r="AB76" s="122">
        <f t="shared" ref="AB76:AE77" si="12">AB73</f>
        <v>110</v>
      </c>
      <c r="AC76" s="30">
        <f t="shared" si="12"/>
        <v>1.3636363636363635</v>
      </c>
      <c r="AD76" s="157">
        <f t="shared" si="12"/>
        <v>150</v>
      </c>
      <c r="AE76" s="157">
        <f t="shared" si="12"/>
        <v>115.55555555555556</v>
      </c>
      <c r="AF76" s="124">
        <f>(B75 - AE76) / AE76</f>
        <v>3.846153846153845E-2</v>
      </c>
      <c r="AG76" s="30"/>
      <c r="AH76" s="122">
        <f t="shared" ref="AH76:AK77" si="13">AH73</f>
        <v>110</v>
      </c>
      <c r="AI76" s="30">
        <f t="shared" si="13"/>
        <v>0.81818181818181812</v>
      </c>
      <c r="AJ76" s="157">
        <f t="shared" si="13"/>
        <v>90</v>
      </c>
      <c r="AK76" s="157">
        <f t="shared" si="13"/>
        <v>120.00000000000001</v>
      </c>
      <c r="AL76" s="124">
        <f>(B75 - AK76) / AK76</f>
        <v>-1.1842378929335E-16</v>
      </c>
      <c r="AN76" s="122">
        <f t="shared" ref="AN76:AQ77" si="14">AN73</f>
        <v>110</v>
      </c>
      <c r="AO76" s="30">
        <f t="shared" si="14"/>
        <v>0.54545454545454541</v>
      </c>
      <c r="AP76" s="157">
        <f t="shared" si="14"/>
        <v>60</v>
      </c>
      <c r="AQ76" s="157">
        <f t="shared" si="14"/>
        <v>128.88888888888889</v>
      </c>
      <c r="AR76" s="124">
        <f>(B75 - AQ76) / AQ76</f>
        <v>-6.8965517241379282E-2</v>
      </c>
      <c r="AU76" s="32"/>
      <c r="AV76" s="32"/>
      <c r="AW76" s="32"/>
    </row>
    <row r="77" spans="1:50" ht="12.75" x14ac:dyDescent="0.2">
      <c r="A77" s="110"/>
      <c r="B77" s="52"/>
      <c r="C77" s="62"/>
      <c r="D77" s="124"/>
      <c r="E77" s="95"/>
      <c r="F77" s="95"/>
      <c r="G77" s="95"/>
      <c r="H77" s="95"/>
      <c r="I77" s="95"/>
      <c r="J77" s="133"/>
      <c r="K77" s="133"/>
      <c r="L77" s="52"/>
      <c r="M77" s="52"/>
      <c r="N77" s="124"/>
      <c r="O77" s="95"/>
      <c r="P77" s="95"/>
      <c r="R77" s="45"/>
      <c r="S77" s="45"/>
      <c r="T77" s="131"/>
      <c r="U77" s="122"/>
      <c r="V77" s="30"/>
      <c r="W77" s="122"/>
      <c r="X77" s="122"/>
      <c r="Y77" s="152"/>
      <c r="Z77" s="152"/>
      <c r="AA77" s="12"/>
      <c r="AB77" s="122">
        <f t="shared" si="12"/>
        <v>100</v>
      </c>
      <c r="AC77" s="30">
        <f t="shared" si="12"/>
        <v>1</v>
      </c>
      <c r="AD77" s="157">
        <f t="shared" si="12"/>
        <v>100</v>
      </c>
      <c r="AE77" s="157">
        <f t="shared" si="12"/>
        <v>105.05050505050505</v>
      </c>
      <c r="AF77" s="124">
        <f>(B75 - AE77) / AE77</f>
        <v>0.1423076923076923</v>
      </c>
      <c r="AG77" s="30"/>
      <c r="AH77" s="122">
        <f t="shared" si="13"/>
        <v>100</v>
      </c>
      <c r="AI77" s="30">
        <f t="shared" si="13"/>
        <v>0.6</v>
      </c>
      <c r="AJ77" s="157">
        <f t="shared" si="13"/>
        <v>60</v>
      </c>
      <c r="AK77" s="157">
        <f t="shared" si="13"/>
        <v>109.09090909090909</v>
      </c>
      <c r="AL77" s="124">
        <f>(B75 - AK77) / AK77</f>
        <v>9.9999999999999978E-2</v>
      </c>
      <c r="AN77" s="122">
        <f t="shared" si="14"/>
        <v>100</v>
      </c>
      <c r="AO77" s="30">
        <f t="shared" si="14"/>
        <v>0.4</v>
      </c>
      <c r="AP77" s="157">
        <f t="shared" si="14"/>
        <v>40</v>
      </c>
      <c r="AQ77" s="157">
        <f t="shared" si="14"/>
        <v>117.17171717171716</v>
      </c>
      <c r="AR77" s="124">
        <f>(B75 - AQ77) / AQ77</f>
        <v>2.4137931034482842E-2</v>
      </c>
      <c r="AU77" s="32"/>
      <c r="AV77" s="32"/>
      <c r="AW77" s="32"/>
    </row>
    <row r="78" spans="1:50" s="35" customFormat="1" ht="12.75" x14ac:dyDescent="0.2">
      <c r="A78" s="177" t="s">
        <v>218</v>
      </c>
      <c r="B78" s="40">
        <v>130</v>
      </c>
      <c r="C78" s="55">
        <v>0.04</v>
      </c>
      <c r="D78" s="129">
        <v>0.04</v>
      </c>
      <c r="E78" s="125">
        <v>0.08</v>
      </c>
      <c r="F78" s="125">
        <v>0.16</v>
      </c>
      <c r="G78" s="125">
        <v>5.0000000000000001E-3</v>
      </c>
      <c r="H78" s="125"/>
      <c r="I78" s="125"/>
      <c r="J78" s="134" t="s">
        <v>73</v>
      </c>
      <c r="K78" s="134" t="s">
        <v>219</v>
      </c>
      <c r="L78" s="40">
        <v>130</v>
      </c>
      <c r="M78" s="153" t="s">
        <v>34</v>
      </c>
      <c r="N78" s="129">
        <v>0.4</v>
      </c>
      <c r="O78" s="153" t="s">
        <v>34</v>
      </c>
      <c r="P78" s="153" t="s">
        <v>34</v>
      </c>
      <c r="R78" s="47" t="s">
        <v>218</v>
      </c>
      <c r="S78" s="47" t="s">
        <v>73</v>
      </c>
      <c r="T78" s="132" t="s">
        <v>219</v>
      </c>
      <c r="U78" s="126">
        <f>L78</f>
        <v>130</v>
      </c>
      <c r="V78" s="43">
        <f>AC75*N78</f>
        <v>0.53333333333333344</v>
      </c>
      <c r="W78" s="126">
        <f>U78*V78-(U78*V78*G78)</f>
        <v>68.986666666666679</v>
      </c>
      <c r="X78" s="153" t="s">
        <v>34</v>
      </c>
      <c r="Y78" s="127">
        <f>W78-(U75*V78)</f>
        <v>4.9866666666666646</v>
      </c>
      <c r="Z78" s="151">
        <f>Y78/(U75*V78)</f>
        <v>7.791666666666662E-2</v>
      </c>
      <c r="AA78" s="41"/>
      <c r="AB78" s="126">
        <f>AB75</f>
        <v>120</v>
      </c>
      <c r="AC78" s="43">
        <f>AC75-V78</f>
        <v>0.8</v>
      </c>
      <c r="AD78" s="128">
        <f>AD75-(AD75*N78)</f>
        <v>96</v>
      </c>
      <c r="AE78" s="128">
        <f>AB78 * (1 + D78) / (1 - G78)</f>
        <v>125.42713567839198</v>
      </c>
      <c r="AF78" s="129">
        <f>(B78 - AE78) / AE78</f>
        <v>3.645833333333319E-2</v>
      </c>
      <c r="AG78" s="43"/>
      <c r="AH78" s="126">
        <f t="shared" ref="AH78:AJ80" si="15">AH75</f>
        <v>120</v>
      </c>
      <c r="AI78" s="43">
        <f t="shared" si="15"/>
        <v>1.3333333333333335</v>
      </c>
      <c r="AJ78" s="128">
        <f t="shared" si="15"/>
        <v>160</v>
      </c>
      <c r="AK78" s="128">
        <f>AH78 * (1 + E78) / (1 - G78)</f>
        <v>130.25125628140705</v>
      </c>
      <c r="AL78" s="129">
        <f>(B78 - AK78) / AK78</f>
        <v>-1.9290123456791415E-3</v>
      </c>
      <c r="AN78" s="126">
        <f t="shared" ref="AN78:AP80" si="16">AN75</f>
        <v>120</v>
      </c>
      <c r="AO78" s="43">
        <f t="shared" si="16"/>
        <v>0.66666666666666674</v>
      </c>
      <c r="AP78" s="128">
        <f t="shared" si="16"/>
        <v>80</v>
      </c>
      <c r="AQ78" s="128">
        <f>AN78 * (1 + F78) / (1 - G78)</f>
        <v>139.89949748743717</v>
      </c>
      <c r="AR78" s="129">
        <f>(B78 - AQ78) / AQ78</f>
        <v>-7.076149425287348E-2</v>
      </c>
      <c r="AT78" s="39">
        <f>AU78+AV78+AW78</f>
        <v>7.5272727272727273</v>
      </c>
      <c r="AU78" s="39">
        <f>AC78+AC79+AC80</f>
        <v>3.1636363636363636</v>
      </c>
      <c r="AV78" s="39">
        <f>AI78+AI79+AI80</f>
        <v>2.7515151515151515</v>
      </c>
      <c r="AW78" s="39">
        <f>AO78+AO79+AO80</f>
        <v>1.6121212121212123</v>
      </c>
    </row>
    <row r="79" spans="1:50" s="35" customFormat="1" ht="12.75" x14ac:dyDescent="0.2">
      <c r="A79" s="177"/>
      <c r="B79" s="40"/>
      <c r="C79" s="55"/>
      <c r="D79" s="129"/>
      <c r="E79" s="125"/>
      <c r="F79" s="125"/>
      <c r="G79" s="125"/>
      <c r="H79" s="125"/>
      <c r="I79" s="125"/>
      <c r="J79" s="134"/>
      <c r="K79" s="134"/>
      <c r="L79" s="40"/>
      <c r="M79" s="40"/>
      <c r="N79" s="129"/>
      <c r="O79" s="125"/>
      <c r="P79" s="125"/>
      <c r="R79" s="47"/>
      <c r="S79" s="47"/>
      <c r="T79" s="132"/>
      <c r="U79" s="126"/>
      <c r="V79" s="43"/>
      <c r="W79" s="126"/>
      <c r="X79" s="126"/>
      <c r="Y79" s="153"/>
      <c r="Z79" s="153"/>
      <c r="AA79" s="41"/>
      <c r="AB79" s="126">
        <f>AB76</f>
        <v>110</v>
      </c>
      <c r="AC79" s="43">
        <f>AC76</f>
        <v>1.3636363636363635</v>
      </c>
      <c r="AD79" s="128">
        <f>AD76</f>
        <v>150</v>
      </c>
      <c r="AE79" s="128">
        <f>AB79 * (1 + D78) / (1 - G78)</f>
        <v>114.9748743718593</v>
      </c>
      <c r="AF79" s="129">
        <f>(B78 - AE79) / AE79</f>
        <v>0.13068181818181815</v>
      </c>
      <c r="AG79" s="43"/>
      <c r="AH79" s="126">
        <f t="shared" si="15"/>
        <v>110</v>
      </c>
      <c r="AI79" s="43">
        <f t="shared" si="15"/>
        <v>0.81818181818181812</v>
      </c>
      <c r="AJ79" s="128">
        <f t="shared" si="15"/>
        <v>90</v>
      </c>
      <c r="AK79" s="128">
        <f>AH79 * (1 + E78) / (1 - G78)</f>
        <v>119.39698492462313</v>
      </c>
      <c r="AL79" s="129">
        <f>(B78 - AK79) / AK79</f>
        <v>8.8804713804713706E-2</v>
      </c>
      <c r="AN79" s="126">
        <f t="shared" si="16"/>
        <v>110</v>
      </c>
      <c r="AO79" s="43">
        <f t="shared" si="16"/>
        <v>0.54545454545454541</v>
      </c>
      <c r="AP79" s="128">
        <f t="shared" si="16"/>
        <v>60</v>
      </c>
      <c r="AQ79" s="128">
        <f>AN79 * (1 + F78) / (1 - G78)</f>
        <v>128.24120603015075</v>
      </c>
      <c r="AR79" s="129">
        <f>(B78 - AQ79) / AQ79</f>
        <v>1.3714733542319783E-2</v>
      </c>
      <c r="AU79" s="39"/>
      <c r="AV79" s="39"/>
      <c r="AW79" s="39"/>
    </row>
    <row r="80" spans="1:50" s="35" customFormat="1" ht="12.75" x14ac:dyDescent="0.2">
      <c r="A80" s="182"/>
      <c r="B80" s="36"/>
      <c r="C80" s="210"/>
      <c r="D80" s="129"/>
      <c r="E80" s="125"/>
      <c r="F80" s="125"/>
      <c r="G80" s="125"/>
      <c r="H80" s="125"/>
      <c r="L80" s="211"/>
      <c r="M80" s="211"/>
      <c r="N80" s="129"/>
      <c r="O80" s="125"/>
      <c r="P80" s="125"/>
      <c r="Q80" s="36"/>
      <c r="R80" s="47"/>
      <c r="S80" s="36"/>
      <c r="T80" s="121"/>
      <c r="U80" s="132"/>
      <c r="V80" s="202"/>
      <c r="W80" s="126"/>
      <c r="X80" s="126"/>
      <c r="Y80" s="153"/>
      <c r="Z80" s="153"/>
      <c r="AA80" s="41"/>
      <c r="AB80" s="126">
        <f>AB77</f>
        <v>100</v>
      </c>
      <c r="AC80" s="43">
        <f>AC77</f>
        <v>1</v>
      </c>
      <c r="AD80" s="128">
        <f>AD77</f>
        <v>100</v>
      </c>
      <c r="AE80" s="128">
        <f>AB80 * (1 + D78) / (1 - G78)</f>
        <v>104.52261306532664</v>
      </c>
      <c r="AF80" s="129">
        <f>(B78 - AE80) / AE80</f>
        <v>0.24374999999999994</v>
      </c>
      <c r="AG80" s="43"/>
      <c r="AH80" s="126">
        <f t="shared" si="15"/>
        <v>100</v>
      </c>
      <c r="AI80" s="43">
        <f t="shared" si="15"/>
        <v>0.6</v>
      </c>
      <c r="AJ80" s="128">
        <f t="shared" si="15"/>
        <v>60</v>
      </c>
      <c r="AK80" s="128">
        <f>AH80 * (1 + E78) / (1 - G78)</f>
        <v>108.5427135678392</v>
      </c>
      <c r="AL80" s="129">
        <f>(B78 - AK80) / AK80</f>
        <v>0.19768518518518513</v>
      </c>
      <c r="AN80" s="126">
        <f t="shared" si="16"/>
        <v>100</v>
      </c>
      <c r="AO80" s="43">
        <f t="shared" si="16"/>
        <v>0.4</v>
      </c>
      <c r="AP80" s="128">
        <f t="shared" si="16"/>
        <v>40</v>
      </c>
      <c r="AQ80" s="128">
        <f>AN80 * (1 + F78) / (1 - G78)</f>
        <v>116.58291457286431</v>
      </c>
      <c r="AR80" s="129">
        <f>(B78 - AQ80) / AQ80</f>
        <v>0.11508620689655183</v>
      </c>
      <c r="AU80" s="39"/>
      <c r="AV80" s="39"/>
      <c r="AW80" s="39"/>
    </row>
    <row r="81" spans="1:49" ht="12.75" x14ac:dyDescent="0.2">
      <c r="A81" s="150" t="s">
        <v>253</v>
      </c>
      <c r="B81" s="52">
        <v>130</v>
      </c>
      <c r="C81" s="62">
        <v>0.04</v>
      </c>
      <c r="D81" s="124">
        <v>0.04</v>
      </c>
      <c r="E81" s="95">
        <v>0.08</v>
      </c>
      <c r="F81" s="95">
        <v>0.16</v>
      </c>
      <c r="G81" s="95">
        <v>5.0000000000000001E-3</v>
      </c>
      <c r="H81" s="95"/>
      <c r="J81" s="133" t="s">
        <v>75</v>
      </c>
      <c r="K81" s="133" t="s">
        <v>78</v>
      </c>
      <c r="L81" s="52">
        <v>100</v>
      </c>
      <c r="M81" s="52">
        <v>300</v>
      </c>
      <c r="N81" s="124">
        <v>0.5</v>
      </c>
      <c r="O81" s="95">
        <v>0.3</v>
      </c>
      <c r="P81" s="95">
        <v>0.2</v>
      </c>
      <c r="Q81" s="99"/>
      <c r="R81" s="45"/>
      <c r="S81" s="45"/>
      <c r="T81" s="131"/>
      <c r="U81" s="122"/>
      <c r="V81" s="30"/>
      <c r="W81" s="122"/>
      <c r="X81" s="122"/>
      <c r="Y81" s="152"/>
      <c r="Z81" s="152"/>
      <c r="AA81" s="12"/>
      <c r="AB81" s="139"/>
      <c r="AC81" s="139"/>
      <c r="AD81" s="139"/>
      <c r="AE81" s="139"/>
      <c r="AF81" s="140"/>
      <c r="AG81" s="140"/>
      <c r="AH81" s="139"/>
      <c r="AI81" s="139"/>
      <c r="AJ81" s="139"/>
      <c r="AK81" s="139"/>
      <c r="AL81" s="140"/>
      <c r="AN81" s="139"/>
      <c r="AO81" s="139"/>
      <c r="AP81" s="139"/>
      <c r="AQ81" s="139"/>
      <c r="AR81" s="140"/>
    </row>
    <row r="82" spans="1:49" ht="12.75" x14ac:dyDescent="0.2">
      <c r="A82" s="150"/>
      <c r="B82" s="33"/>
      <c r="C82" s="67"/>
      <c r="D82" s="124"/>
      <c r="E82" s="95"/>
      <c r="F82" s="95"/>
      <c r="G82" s="95"/>
      <c r="H82" s="95"/>
      <c r="L82" s="207"/>
      <c r="M82" s="207"/>
      <c r="N82" s="124"/>
      <c r="O82" s="95"/>
      <c r="P82" s="95"/>
      <c r="Q82" s="45"/>
      <c r="R82" s="45"/>
      <c r="V82" s="30"/>
      <c r="W82" s="122"/>
      <c r="X82" s="122"/>
      <c r="Y82" s="152"/>
      <c r="Z82" s="152"/>
      <c r="AA82" s="12"/>
      <c r="AB82" s="139"/>
      <c r="AC82" s="139"/>
      <c r="AD82" s="139"/>
      <c r="AE82" s="139"/>
      <c r="AF82" s="140"/>
      <c r="AG82" s="140"/>
      <c r="AH82" s="139"/>
      <c r="AI82" s="139"/>
      <c r="AJ82" s="139"/>
      <c r="AK82" s="139"/>
      <c r="AL82" s="140"/>
      <c r="AN82" s="139"/>
      <c r="AO82" s="139"/>
      <c r="AP82" s="139"/>
      <c r="AQ82" s="139"/>
      <c r="AR82" s="140"/>
    </row>
    <row r="83" spans="1:49" ht="12.75" x14ac:dyDescent="0.2">
      <c r="A83" s="208" t="s">
        <v>259</v>
      </c>
      <c r="B83" s="33"/>
      <c r="C83" s="67"/>
      <c r="D83" s="124"/>
      <c r="E83" s="95"/>
      <c r="F83" s="95"/>
      <c r="G83" s="95"/>
      <c r="H83" s="95"/>
      <c r="L83" s="207"/>
      <c r="M83" s="207"/>
      <c r="N83" s="124"/>
      <c r="O83" s="95"/>
      <c r="P83" s="95"/>
      <c r="Q83" s="45"/>
      <c r="R83" s="45"/>
      <c r="V83" s="30"/>
      <c r="W83" s="122"/>
      <c r="X83" s="122"/>
      <c r="Y83" s="152"/>
      <c r="Z83" s="152"/>
      <c r="AA83" s="12"/>
      <c r="AB83" s="139"/>
      <c r="AC83" s="139"/>
      <c r="AD83" s="139"/>
      <c r="AE83" s="139"/>
      <c r="AF83" s="140"/>
      <c r="AG83" s="140"/>
      <c r="AH83" s="139"/>
      <c r="AI83" s="139"/>
      <c r="AJ83" s="139"/>
      <c r="AK83" s="139"/>
      <c r="AL83" s="140"/>
      <c r="AN83" s="139"/>
      <c r="AO83" s="139"/>
      <c r="AP83" s="139"/>
      <c r="AQ83" s="139"/>
      <c r="AR83" s="140"/>
    </row>
    <row r="84" spans="1:49" ht="12.75" x14ac:dyDescent="0.2">
      <c r="B84" s="45" t="s">
        <v>204</v>
      </c>
      <c r="C84" s="109"/>
      <c r="J84" s="45" t="s">
        <v>202</v>
      </c>
      <c r="R84" s="45" t="s">
        <v>203</v>
      </c>
      <c r="T84" s="12"/>
      <c r="U84" s="12"/>
      <c r="V84" s="12"/>
      <c r="W84" s="12"/>
      <c r="X84" s="12"/>
      <c r="Y84" s="12"/>
      <c r="Z84" s="12"/>
      <c r="AA84" s="12"/>
      <c r="AB84" s="130" t="s">
        <v>205</v>
      </c>
      <c r="AC84" s="46"/>
      <c r="AD84" s="46"/>
      <c r="AE84" s="46"/>
      <c r="AF84" s="46"/>
      <c r="AG84" s="46"/>
      <c r="AH84" s="130" t="s">
        <v>207</v>
      </c>
      <c r="AI84" s="46"/>
      <c r="AJ84" s="46"/>
      <c r="AK84" s="46"/>
      <c r="AL84" s="46"/>
      <c r="AM84" s="45"/>
      <c r="AN84" s="130" t="s">
        <v>208</v>
      </c>
      <c r="AO84" s="12"/>
      <c r="AP84" s="12"/>
      <c r="AQ84" s="12"/>
      <c r="AR84" s="12"/>
      <c r="AT84" s="130" t="s">
        <v>206</v>
      </c>
    </row>
    <row r="85" spans="1:49" ht="12.75" x14ac:dyDescent="0.2">
      <c r="B85" s="57" t="s">
        <v>209</v>
      </c>
      <c r="C85" s="28" t="s">
        <v>190</v>
      </c>
      <c r="D85" s="57" t="s">
        <v>191</v>
      </c>
      <c r="E85" s="28" t="s">
        <v>192</v>
      </c>
      <c r="F85" s="28" t="s">
        <v>193</v>
      </c>
      <c r="G85" s="57" t="s">
        <v>112</v>
      </c>
      <c r="H85" s="57"/>
      <c r="I85" s="101"/>
      <c r="J85" s="28" t="s">
        <v>76</v>
      </c>
      <c r="K85" s="28" t="s">
        <v>4</v>
      </c>
      <c r="L85" s="57" t="s">
        <v>0</v>
      </c>
      <c r="M85" s="57" t="s">
        <v>1</v>
      </c>
      <c r="N85" s="28" t="s">
        <v>191</v>
      </c>
      <c r="O85" s="28" t="s">
        <v>192</v>
      </c>
      <c r="P85" s="28" t="s">
        <v>193</v>
      </c>
      <c r="R85" s="28"/>
      <c r="S85" s="28" t="s">
        <v>76</v>
      </c>
      <c r="T85" s="28" t="s">
        <v>4</v>
      </c>
      <c r="U85" s="57" t="s">
        <v>0</v>
      </c>
      <c r="V85" s="28" t="s">
        <v>62</v>
      </c>
      <c r="W85" s="57" t="s">
        <v>220</v>
      </c>
      <c r="X85" s="57" t="s">
        <v>190</v>
      </c>
      <c r="Y85" s="57" t="s">
        <v>194</v>
      </c>
      <c r="Z85" s="28" t="s">
        <v>195</v>
      </c>
      <c r="AA85" s="12"/>
      <c r="AB85" s="28" t="s">
        <v>0</v>
      </c>
      <c r="AC85" s="28" t="s">
        <v>196</v>
      </c>
      <c r="AD85" s="57" t="s">
        <v>1</v>
      </c>
      <c r="AE85" s="57" t="s">
        <v>197</v>
      </c>
      <c r="AF85" s="57" t="s">
        <v>198</v>
      </c>
      <c r="AG85" s="60"/>
      <c r="AH85" s="28" t="s">
        <v>0</v>
      </c>
      <c r="AI85" s="28" t="s">
        <v>196</v>
      </c>
      <c r="AJ85" s="57" t="s">
        <v>1</v>
      </c>
      <c r="AK85" s="57" t="s">
        <v>197</v>
      </c>
      <c r="AL85" s="57" t="s">
        <v>198</v>
      </c>
      <c r="AN85" s="28" t="s">
        <v>0</v>
      </c>
      <c r="AO85" s="28" t="s">
        <v>196</v>
      </c>
      <c r="AP85" s="57" t="s">
        <v>1</v>
      </c>
      <c r="AQ85" s="57" t="s">
        <v>197</v>
      </c>
      <c r="AR85" s="57" t="s">
        <v>198</v>
      </c>
      <c r="AT85" s="57" t="s">
        <v>199</v>
      </c>
      <c r="AU85" s="28" t="s">
        <v>191</v>
      </c>
      <c r="AV85" s="28" t="s">
        <v>192</v>
      </c>
      <c r="AW85" s="28" t="s">
        <v>193</v>
      </c>
    </row>
    <row r="86" spans="1:49" ht="12.75" x14ac:dyDescent="0.2">
      <c r="A86" s="110" t="s">
        <v>215</v>
      </c>
      <c r="B86" s="52">
        <v>100</v>
      </c>
      <c r="C86" s="54">
        <v>0.04</v>
      </c>
      <c r="D86" s="124">
        <v>0.04</v>
      </c>
      <c r="E86" s="95">
        <v>0.08</v>
      </c>
      <c r="F86" s="95">
        <v>0.16</v>
      </c>
      <c r="G86" s="95">
        <v>0.01</v>
      </c>
      <c r="H86" s="95"/>
      <c r="I86" s="95"/>
      <c r="J86" s="133" t="s">
        <v>75</v>
      </c>
      <c r="K86" s="133" t="s">
        <v>78</v>
      </c>
      <c r="L86" s="52">
        <v>100</v>
      </c>
      <c r="M86" s="52">
        <v>100</v>
      </c>
      <c r="N86" s="124">
        <v>0.5</v>
      </c>
      <c r="O86" s="95">
        <v>0.3</v>
      </c>
      <c r="P86" s="95">
        <v>0.2</v>
      </c>
      <c r="R86" s="45" t="s">
        <v>215</v>
      </c>
      <c r="S86" s="45" t="s">
        <v>75</v>
      </c>
      <c r="T86" s="131" t="s">
        <v>78</v>
      </c>
      <c r="U86" s="122">
        <f>L86</f>
        <v>100</v>
      </c>
      <c r="V86" s="30">
        <f>W86/U86</f>
        <v>1</v>
      </c>
      <c r="W86" s="122">
        <f>M86</f>
        <v>100</v>
      </c>
      <c r="X86" s="122">
        <f>U86 * (1 - ABS(C86))</f>
        <v>96</v>
      </c>
      <c r="Y86" s="152" t="s">
        <v>34</v>
      </c>
      <c r="Z86" s="152" t="s">
        <v>34</v>
      </c>
      <c r="AA86" s="12"/>
      <c r="AB86" s="122">
        <f>U86</f>
        <v>100</v>
      </c>
      <c r="AC86" s="30">
        <f>V86*N86</f>
        <v>0.5</v>
      </c>
      <c r="AD86" s="123">
        <f>W86*N86</f>
        <v>50</v>
      </c>
      <c r="AE86" s="123">
        <f>AB86 * (1 + D86) / (1 - G86)</f>
        <v>105.05050505050505</v>
      </c>
      <c r="AF86" s="124">
        <f>(B86 - AE86) / AE86</f>
        <v>-4.8076923076923087E-2</v>
      </c>
      <c r="AG86" s="30"/>
      <c r="AH86" s="122">
        <f>U86</f>
        <v>100</v>
      </c>
      <c r="AI86" s="30">
        <f>V86*O86</f>
        <v>0.3</v>
      </c>
      <c r="AJ86" s="123">
        <f>W86*O86</f>
        <v>30</v>
      </c>
      <c r="AK86" s="123">
        <f>AH86 * (1 + E86) / (1 - G86)</f>
        <v>109.09090909090909</v>
      </c>
      <c r="AL86" s="124">
        <f>(B86 - AK86) / AK86</f>
        <v>-8.3333333333333356E-2</v>
      </c>
      <c r="AN86" s="122">
        <f>U86</f>
        <v>100</v>
      </c>
      <c r="AO86" s="30">
        <f>V86*P86</f>
        <v>0.2</v>
      </c>
      <c r="AP86" s="123">
        <f>W86*P86</f>
        <v>20</v>
      </c>
      <c r="AQ86" s="123">
        <f>AN86 * (1 + F86) / (1 - G86)</f>
        <v>117.17171717171716</v>
      </c>
      <c r="AR86" s="124">
        <f>(B86 - AQ86) / AQ86</f>
        <v>-0.14655172413793097</v>
      </c>
      <c r="AT86" s="32">
        <f>AC86+AI86+AO86</f>
        <v>1</v>
      </c>
      <c r="AU86" s="32">
        <f>AC86</f>
        <v>0.5</v>
      </c>
      <c r="AV86" s="32">
        <f>AI86</f>
        <v>0.3</v>
      </c>
      <c r="AW86" s="32">
        <f>AO86</f>
        <v>0.2</v>
      </c>
    </row>
    <row r="87" spans="1:49" ht="12.75" x14ac:dyDescent="0.2">
      <c r="A87" s="182" t="s">
        <v>261</v>
      </c>
      <c r="B87" s="36"/>
      <c r="C87" s="210"/>
      <c r="D87" s="129"/>
      <c r="E87" s="125"/>
      <c r="F87" s="125"/>
      <c r="G87" s="125"/>
      <c r="H87" s="125"/>
      <c r="I87" s="35"/>
      <c r="J87" s="35"/>
      <c r="K87" s="35"/>
      <c r="L87" s="211"/>
      <c r="M87" s="211"/>
      <c r="N87" s="129"/>
      <c r="O87" s="125"/>
      <c r="P87" s="125"/>
      <c r="Q87" s="47"/>
      <c r="R87" s="47"/>
      <c r="S87" s="35"/>
      <c r="T87" s="35"/>
      <c r="U87" s="35"/>
      <c r="V87" s="43"/>
      <c r="W87" s="126"/>
      <c r="X87" s="126"/>
      <c r="Y87" s="153"/>
      <c r="Z87" s="153"/>
      <c r="AA87" s="41"/>
      <c r="AB87" s="213"/>
      <c r="AC87" s="213"/>
      <c r="AD87" s="213"/>
      <c r="AE87" s="213"/>
      <c r="AF87" s="170"/>
      <c r="AG87" s="170"/>
      <c r="AH87" s="213"/>
      <c r="AI87" s="213"/>
      <c r="AJ87" s="213"/>
      <c r="AK87" s="213"/>
      <c r="AL87" s="170"/>
      <c r="AM87" s="35"/>
      <c r="AN87" s="213"/>
      <c r="AO87" s="213"/>
      <c r="AP87" s="213"/>
      <c r="AQ87" s="213"/>
      <c r="AR87" s="170"/>
      <c r="AS87" s="35"/>
      <c r="AT87" s="35"/>
      <c r="AU87" s="35"/>
      <c r="AV87" s="35"/>
      <c r="AW87" s="35"/>
    </row>
    <row r="88" spans="1:49" ht="12.75" x14ac:dyDescent="0.2">
      <c r="A88" s="150" t="s">
        <v>218</v>
      </c>
      <c r="B88" s="52">
        <v>100</v>
      </c>
      <c r="C88" s="54">
        <v>0.04</v>
      </c>
      <c r="D88" s="124">
        <v>0.04</v>
      </c>
      <c r="E88" s="95">
        <v>0.08</v>
      </c>
      <c r="F88" s="95">
        <v>0.16</v>
      </c>
      <c r="G88" s="95">
        <v>0.01</v>
      </c>
      <c r="H88" s="95"/>
      <c r="J88" s="133" t="s">
        <v>73</v>
      </c>
      <c r="K88" s="130" t="s">
        <v>211</v>
      </c>
      <c r="L88" s="52">
        <v>100</v>
      </c>
      <c r="M88" s="152" t="s">
        <v>34</v>
      </c>
      <c r="N88" s="152" t="s">
        <v>34</v>
      </c>
      <c r="O88" s="152" t="s">
        <v>34</v>
      </c>
      <c r="P88" s="95">
        <v>1</v>
      </c>
      <c r="R88" s="45" t="s">
        <v>218</v>
      </c>
      <c r="S88" s="45" t="s">
        <v>73</v>
      </c>
      <c r="T88" s="130" t="s">
        <v>211</v>
      </c>
      <c r="U88" s="122">
        <f>L88</f>
        <v>100</v>
      </c>
      <c r="V88" s="30">
        <f>AO86*P88</f>
        <v>0.2</v>
      </c>
      <c r="W88" s="122">
        <f>U88*V88-(U88*V88*G88)</f>
        <v>19.8</v>
      </c>
      <c r="X88" s="152" t="s">
        <v>34</v>
      </c>
      <c r="Y88" s="158">
        <f>W88-(U86*V88)</f>
        <v>-0.19999999999999929</v>
      </c>
      <c r="Z88" s="212">
        <f>Y88/(U86*V88)</f>
        <v>-9.9999999999999638E-3</v>
      </c>
      <c r="AA88" s="12"/>
      <c r="AB88" s="122">
        <f>U88</f>
        <v>100</v>
      </c>
      <c r="AC88" s="30">
        <f>AC86</f>
        <v>0.5</v>
      </c>
      <c r="AD88" s="123">
        <f>AD86</f>
        <v>50</v>
      </c>
      <c r="AE88" s="123">
        <f>AE86</f>
        <v>105.05050505050505</v>
      </c>
      <c r="AF88" s="124">
        <f>AF86</f>
        <v>-4.8076923076923087E-2</v>
      </c>
      <c r="AG88" s="30"/>
      <c r="AH88" s="122">
        <f>AH86</f>
        <v>100</v>
      </c>
      <c r="AI88" s="30">
        <f>AI86</f>
        <v>0.3</v>
      </c>
      <c r="AJ88" s="123">
        <f>AJ86</f>
        <v>30</v>
      </c>
      <c r="AK88" s="123">
        <f>AK86</f>
        <v>109.09090909090909</v>
      </c>
      <c r="AL88" s="124">
        <f>AL86</f>
        <v>-8.3333333333333356E-2</v>
      </c>
      <c r="AN88" s="162"/>
      <c r="AO88" s="163"/>
      <c r="AP88" s="164"/>
      <c r="AQ88" s="164"/>
      <c r="AR88" s="148"/>
      <c r="AT88" s="32">
        <f>AC88+AI88+AO88</f>
        <v>0.8</v>
      </c>
      <c r="AU88" s="32">
        <f>AC88</f>
        <v>0.5</v>
      </c>
      <c r="AV88" s="32">
        <f>AI88</f>
        <v>0.3</v>
      </c>
      <c r="AW88" s="32">
        <f>AO88</f>
        <v>0</v>
      </c>
    </row>
    <row r="89" spans="1:49" ht="12.75" x14ac:dyDescent="0.2">
      <c r="A89" s="182" t="s">
        <v>260</v>
      </c>
      <c r="B89" s="36"/>
      <c r="C89" s="210"/>
      <c r="D89" s="129"/>
      <c r="E89" s="125"/>
      <c r="F89" s="125"/>
      <c r="G89" s="125"/>
      <c r="H89" s="125"/>
      <c r="I89" s="35"/>
      <c r="J89" s="35"/>
      <c r="K89" s="35"/>
      <c r="L89" s="211"/>
      <c r="M89" s="211"/>
      <c r="N89" s="129"/>
      <c r="O89" s="125"/>
      <c r="P89" s="125"/>
      <c r="Q89" s="47"/>
      <c r="R89" s="47"/>
      <c r="S89" s="35"/>
      <c r="T89" s="35"/>
      <c r="U89" s="35"/>
      <c r="V89" s="43"/>
      <c r="W89" s="126"/>
      <c r="X89" s="126"/>
      <c r="Y89" s="153"/>
      <c r="Z89" s="153"/>
      <c r="AA89" s="41"/>
      <c r="AB89" s="213"/>
      <c r="AC89" s="213"/>
      <c r="AD89" s="213"/>
      <c r="AE89" s="213"/>
      <c r="AF89" s="170"/>
      <c r="AG89" s="170"/>
      <c r="AH89" s="213"/>
      <c r="AI89" s="213"/>
      <c r="AJ89" s="213"/>
      <c r="AK89" s="213"/>
      <c r="AL89" s="170"/>
      <c r="AM89" s="35"/>
      <c r="AN89" s="213"/>
      <c r="AO89" s="213"/>
      <c r="AP89" s="213"/>
      <c r="AQ89" s="213"/>
      <c r="AR89" s="170"/>
      <c r="AS89" s="35"/>
      <c r="AT89" s="35"/>
      <c r="AU89" s="35"/>
      <c r="AV89" s="35"/>
      <c r="AW89" s="35"/>
    </row>
    <row r="90" spans="1:49" ht="12.75" x14ac:dyDescent="0.2">
      <c r="A90" s="150" t="s">
        <v>262</v>
      </c>
      <c r="B90" s="52">
        <v>100</v>
      </c>
      <c r="C90" s="54">
        <v>0.04</v>
      </c>
      <c r="D90" s="124">
        <v>0.04</v>
      </c>
      <c r="E90" s="95">
        <v>0.08</v>
      </c>
      <c r="F90" s="95"/>
      <c r="G90" s="95">
        <v>0.01</v>
      </c>
      <c r="H90" s="95"/>
      <c r="J90" s="133"/>
      <c r="K90" s="130"/>
      <c r="L90" s="52"/>
      <c r="M90" s="152"/>
      <c r="N90" s="152"/>
      <c r="O90" s="152"/>
      <c r="P90" s="95"/>
      <c r="R90" s="45"/>
      <c r="S90" s="45"/>
      <c r="T90" s="130"/>
      <c r="U90" s="122"/>
      <c r="V90" s="30"/>
      <c r="W90" s="122"/>
      <c r="X90" s="152"/>
      <c r="Y90" s="158"/>
      <c r="Z90" s="212"/>
      <c r="AA90" s="12"/>
      <c r="AB90" s="122">
        <f>AB88</f>
        <v>100</v>
      </c>
      <c r="AC90" s="30">
        <f>AC88</f>
        <v>0.5</v>
      </c>
      <c r="AD90" s="123">
        <f>AD88</f>
        <v>50</v>
      </c>
      <c r="AE90" s="123">
        <f>AE88</f>
        <v>105.05050505050505</v>
      </c>
      <c r="AF90" s="124">
        <f>AF88</f>
        <v>-4.8076923076923087E-2</v>
      </c>
      <c r="AG90" s="30"/>
      <c r="AH90" s="122">
        <f>AH88</f>
        <v>100</v>
      </c>
      <c r="AI90" s="30">
        <f>AI88</f>
        <v>0.3</v>
      </c>
      <c r="AJ90" s="123">
        <f>AJ88</f>
        <v>30</v>
      </c>
      <c r="AK90" s="123">
        <f>AK88</f>
        <v>109.09090909090909</v>
      </c>
      <c r="AL90" s="124">
        <f>AL88</f>
        <v>-8.3333333333333356E-2</v>
      </c>
      <c r="AN90" s="204" t="s">
        <v>263</v>
      </c>
      <c r="AO90" s="163"/>
      <c r="AP90" s="164"/>
      <c r="AQ90" s="164"/>
      <c r="AR90" s="148"/>
      <c r="AT90" s="32">
        <f>AC90+AI90+AO90</f>
        <v>0.8</v>
      </c>
      <c r="AU90" s="32">
        <f>AC90</f>
        <v>0.5</v>
      </c>
      <c r="AV90" s="32">
        <f>AI90</f>
        <v>0.3</v>
      </c>
      <c r="AW90" s="32"/>
    </row>
    <row r="91" spans="1:49" ht="25.5" x14ac:dyDescent="0.2">
      <c r="A91" s="150" t="s">
        <v>264</v>
      </c>
      <c r="B91" s="33"/>
      <c r="C91" s="67"/>
      <c r="D91" s="124"/>
      <c r="E91" s="95"/>
      <c r="F91" s="95"/>
      <c r="G91" s="95"/>
      <c r="H91" s="95"/>
      <c r="L91" s="207"/>
      <c r="M91" s="207"/>
      <c r="N91" s="124"/>
      <c r="O91" s="95"/>
      <c r="P91" s="95"/>
      <c r="Q91" s="45"/>
      <c r="R91" s="45"/>
      <c r="V91" s="30"/>
      <c r="W91" s="122"/>
      <c r="X91" s="122"/>
      <c r="Y91" s="152"/>
      <c r="Z91" s="152"/>
      <c r="AA91" s="12"/>
      <c r="AB91" s="139"/>
      <c r="AC91" s="139"/>
      <c r="AD91" s="139"/>
      <c r="AE91" s="139"/>
      <c r="AF91" s="140"/>
      <c r="AG91" s="140"/>
      <c r="AH91" s="139"/>
      <c r="AI91" s="139"/>
      <c r="AJ91" s="139"/>
      <c r="AK91" s="139"/>
      <c r="AL91" s="140"/>
      <c r="AN91" s="139"/>
      <c r="AO91" s="139"/>
      <c r="AP91" s="139"/>
      <c r="AQ91" s="139"/>
      <c r="AR91" s="140"/>
    </row>
    <row r="92" spans="1:49" ht="12.75" x14ac:dyDescent="0.2">
      <c r="A92" t="s">
        <v>256</v>
      </c>
      <c r="C92" s="67"/>
      <c r="D92" s="124"/>
      <c r="E92" s="95"/>
      <c r="F92" s="95"/>
      <c r="G92" s="95"/>
      <c r="H92" s="95"/>
      <c r="L92" s="207"/>
      <c r="M92" s="207"/>
      <c r="N92" s="124"/>
      <c r="O92" s="95"/>
      <c r="P92" s="95"/>
      <c r="Q92" s="45"/>
      <c r="R92" s="45"/>
      <c r="V92" s="30"/>
      <c r="W92" s="122"/>
      <c r="X92" s="122"/>
      <c r="Y92" s="152"/>
      <c r="Z92" s="152"/>
      <c r="AA92" s="12"/>
      <c r="AB92" s="139"/>
      <c r="AC92" s="139"/>
      <c r="AD92" s="139"/>
      <c r="AE92" s="139"/>
      <c r="AF92" s="140"/>
      <c r="AG92" s="140"/>
      <c r="AH92" s="139"/>
      <c r="AI92" s="139"/>
      <c r="AJ92" s="139"/>
      <c r="AK92" s="139"/>
      <c r="AL92" s="140"/>
      <c r="AN92" s="139"/>
      <c r="AO92" s="139"/>
      <c r="AP92" s="139"/>
      <c r="AQ92" s="139"/>
      <c r="AR92" s="140"/>
    </row>
    <row r="93" spans="1:49" ht="12.75" x14ac:dyDescent="0.2">
      <c r="A93" t="s">
        <v>257</v>
      </c>
      <c r="C93" s="67"/>
      <c r="D93" s="124"/>
      <c r="E93" s="95"/>
      <c r="F93" s="95"/>
      <c r="G93" s="95"/>
      <c r="H93" s="95"/>
      <c r="L93" s="207"/>
      <c r="M93" s="207"/>
      <c r="N93" s="124"/>
      <c r="O93" s="95"/>
      <c r="P93" s="95"/>
      <c r="Q93" s="45"/>
      <c r="R93" s="45"/>
      <c r="V93" s="30"/>
      <c r="W93" s="122"/>
      <c r="X93" s="122"/>
      <c r="Y93" s="152"/>
      <c r="Z93" s="152"/>
      <c r="AA93" s="12"/>
      <c r="AB93" s="139"/>
      <c r="AC93" s="139"/>
      <c r="AD93" s="139"/>
      <c r="AE93" s="139"/>
      <c r="AF93" s="140"/>
      <c r="AG93" s="140"/>
      <c r="AH93" s="139"/>
      <c r="AI93" s="139"/>
      <c r="AJ93" s="139"/>
      <c r="AK93" s="139"/>
      <c r="AL93" s="140"/>
      <c r="AN93" s="139"/>
      <c r="AO93" s="139"/>
      <c r="AP93" s="139"/>
      <c r="AQ93" s="139"/>
      <c r="AR93" s="140"/>
    </row>
    <row r="94" spans="1:49" ht="12.75" x14ac:dyDescent="0.2">
      <c r="A94" t="s">
        <v>254</v>
      </c>
      <c r="C94" s="67"/>
      <c r="D94" s="124"/>
      <c r="E94" s="95"/>
      <c r="F94" s="95"/>
      <c r="G94" s="95"/>
      <c r="H94" s="95"/>
      <c r="L94" s="207"/>
      <c r="M94" s="207"/>
      <c r="N94" s="124"/>
      <c r="O94" s="95"/>
      <c r="P94" s="95"/>
      <c r="Q94" s="45"/>
      <c r="R94" s="45"/>
      <c r="V94" s="30"/>
      <c r="W94" s="122"/>
      <c r="X94" s="122"/>
      <c r="Y94" s="152"/>
      <c r="Z94" s="152"/>
      <c r="AA94" s="12"/>
      <c r="AB94" s="139"/>
      <c r="AC94" s="139"/>
      <c r="AD94" s="139"/>
      <c r="AE94" s="139"/>
      <c r="AF94" s="140"/>
      <c r="AG94" s="140"/>
      <c r="AH94" s="139"/>
      <c r="AI94" s="139"/>
      <c r="AJ94" s="139"/>
      <c r="AK94" s="139"/>
      <c r="AL94" s="140"/>
      <c r="AN94" s="139"/>
      <c r="AO94" s="139"/>
      <c r="AP94" s="139"/>
      <c r="AQ94" s="139"/>
      <c r="AR94" s="140"/>
    </row>
    <row r="95" spans="1:49" ht="12.75" x14ac:dyDescent="0.2">
      <c r="A95" t="s">
        <v>255</v>
      </c>
      <c r="C95" s="67"/>
      <c r="D95" s="124"/>
      <c r="E95" s="95"/>
      <c r="F95" s="95"/>
      <c r="G95" s="95"/>
      <c r="H95" s="95"/>
      <c r="L95" s="207"/>
      <c r="M95" s="207"/>
      <c r="N95" s="124"/>
      <c r="O95" s="95"/>
      <c r="P95" s="95"/>
      <c r="Q95" s="45"/>
      <c r="R95" s="45"/>
      <c r="V95" s="30"/>
      <c r="W95" s="122"/>
      <c r="X95" s="122"/>
      <c r="Y95" s="152"/>
      <c r="Z95" s="152"/>
      <c r="AA95" s="12"/>
      <c r="AB95" s="139"/>
      <c r="AC95" s="139"/>
      <c r="AD95" s="139"/>
      <c r="AE95" s="139"/>
      <c r="AF95" s="140"/>
      <c r="AG95" s="140"/>
      <c r="AH95" s="139"/>
      <c r="AI95" s="139"/>
      <c r="AJ95" s="139"/>
      <c r="AK95" s="139"/>
      <c r="AL95" s="140"/>
      <c r="AN95" s="139"/>
      <c r="AO95" s="139"/>
      <c r="AP95" s="139"/>
      <c r="AQ95" s="139"/>
      <c r="AR95" s="140"/>
    </row>
    <row r="96" spans="1:49" ht="12.75" x14ac:dyDescent="0.2">
      <c r="A96" t="s">
        <v>258</v>
      </c>
      <c r="C96" s="67"/>
      <c r="D96" s="124"/>
      <c r="E96" s="95"/>
      <c r="F96" s="95"/>
      <c r="G96" s="95"/>
      <c r="H96" s="95"/>
      <c r="L96" s="207"/>
      <c r="M96" s="207"/>
      <c r="N96" s="124"/>
      <c r="O96" s="95"/>
      <c r="P96" s="95"/>
      <c r="Q96" s="45"/>
      <c r="R96" s="45"/>
      <c r="V96" s="30"/>
      <c r="W96" s="122"/>
      <c r="X96" s="122"/>
      <c r="Y96" s="152"/>
      <c r="Z96" s="152"/>
      <c r="AA96" s="12"/>
      <c r="AB96" s="139"/>
      <c r="AC96" s="139"/>
      <c r="AD96" s="139"/>
      <c r="AE96" s="139"/>
      <c r="AF96" s="140"/>
      <c r="AG96" s="140"/>
      <c r="AH96" s="139"/>
      <c r="AI96" s="139"/>
      <c r="AJ96" s="139"/>
      <c r="AK96" s="139"/>
      <c r="AL96" s="140"/>
      <c r="AN96" s="139"/>
      <c r="AO96" s="139"/>
      <c r="AP96" s="139"/>
      <c r="AQ96" s="139"/>
      <c r="AR96" s="140"/>
    </row>
    <row r="97" spans="1:54" ht="12.75" x14ac:dyDescent="0.2">
      <c r="A97" s="182" t="s">
        <v>265</v>
      </c>
      <c r="B97" s="40">
        <v>100</v>
      </c>
      <c r="C97" s="55">
        <v>0.04</v>
      </c>
      <c r="D97" s="129">
        <v>0.05</v>
      </c>
      <c r="E97" s="125">
        <v>0.08</v>
      </c>
      <c r="F97" s="125"/>
      <c r="G97" s="125">
        <v>0.01</v>
      </c>
      <c r="H97" s="125"/>
      <c r="I97" s="35"/>
      <c r="J97" s="35"/>
      <c r="K97" s="35"/>
      <c r="L97" s="211"/>
      <c r="M97" s="211"/>
      <c r="N97" s="129"/>
      <c r="O97" s="125"/>
      <c r="P97" s="125"/>
      <c r="Q97" s="47"/>
      <c r="R97" s="47"/>
      <c r="S97" s="35"/>
      <c r="T97" s="35"/>
      <c r="U97" s="35"/>
      <c r="V97" s="43"/>
      <c r="W97" s="126"/>
      <c r="X97" s="126"/>
      <c r="Y97" s="153"/>
      <c r="Z97" s="153"/>
      <c r="AA97" s="41"/>
      <c r="AB97" s="126">
        <f>AB90</f>
        <v>100</v>
      </c>
      <c r="AC97" s="43">
        <f>AC90</f>
        <v>0.5</v>
      </c>
      <c r="AD97" s="128">
        <f>AD90</f>
        <v>50</v>
      </c>
      <c r="AE97" s="128">
        <f>AB97 * (1 + D97) / (1 - G97)</f>
        <v>106.06060606060606</v>
      </c>
      <c r="AF97" s="129">
        <f>(B97 - AE97) / AE97</f>
        <v>-5.7142857142857155E-2</v>
      </c>
      <c r="AG97" s="43"/>
      <c r="AH97" s="126">
        <f>AH90</f>
        <v>100</v>
      </c>
      <c r="AI97" s="43">
        <f>AI90</f>
        <v>0.3</v>
      </c>
      <c r="AJ97" s="128">
        <f>AJ90</f>
        <v>30</v>
      </c>
      <c r="AK97" s="128">
        <f>AK90</f>
        <v>109.09090909090909</v>
      </c>
      <c r="AL97" s="129">
        <f>AL90</f>
        <v>-8.3333333333333356E-2</v>
      </c>
      <c r="AM97" s="35"/>
      <c r="AN97" s="213"/>
      <c r="AO97" s="213"/>
      <c r="AP97" s="213"/>
      <c r="AQ97" s="213"/>
      <c r="AR97" s="170"/>
      <c r="AS97" s="35"/>
      <c r="AT97" s="39">
        <f>AC97+AI97+AO97</f>
        <v>0.8</v>
      </c>
      <c r="AU97" s="39">
        <f>AC97</f>
        <v>0.5</v>
      </c>
      <c r="AV97" s="39">
        <f>AI97</f>
        <v>0.3</v>
      </c>
      <c r="AW97" s="35"/>
    </row>
    <row r="98" spans="1:54" ht="12.75" x14ac:dyDescent="0.2">
      <c r="A98" s="150"/>
      <c r="B98" s="33"/>
      <c r="C98" s="67"/>
      <c r="D98" s="124"/>
      <c r="E98" s="95"/>
      <c r="F98" s="95"/>
      <c r="G98" s="95"/>
      <c r="H98" s="95"/>
      <c r="L98" s="207"/>
      <c r="M98" s="207"/>
      <c r="N98" s="124"/>
      <c r="O98" s="95"/>
      <c r="P98" s="95"/>
      <c r="Q98" s="45"/>
      <c r="R98" s="45"/>
      <c r="V98" s="30"/>
      <c r="W98" s="122"/>
      <c r="X98" s="122"/>
      <c r="Y98" s="152"/>
      <c r="Z98" s="152"/>
      <c r="AA98" s="12"/>
      <c r="AB98" s="139"/>
      <c r="AC98" s="139"/>
      <c r="AD98" s="139"/>
      <c r="AE98" s="139"/>
      <c r="AF98" s="140"/>
      <c r="AG98" s="140"/>
      <c r="AH98" s="139"/>
      <c r="AI98" s="139"/>
      <c r="AJ98" s="139"/>
      <c r="AK98" s="139"/>
      <c r="AL98" s="140"/>
      <c r="AN98" s="139"/>
      <c r="AO98" s="139"/>
      <c r="AP98" s="139"/>
      <c r="AQ98" s="139"/>
      <c r="AR98" s="140"/>
    </row>
    <row r="99" spans="1:54" ht="12.75" x14ac:dyDescent="0.2">
      <c r="A99" s="208" t="s">
        <v>269</v>
      </c>
      <c r="B99" s="33"/>
      <c r="C99" s="67"/>
      <c r="D99" s="124"/>
      <c r="E99" s="95"/>
      <c r="F99" s="95"/>
      <c r="G99" s="95"/>
      <c r="H99" s="95"/>
      <c r="L99" s="207"/>
      <c r="M99" s="207"/>
      <c r="N99" s="124"/>
      <c r="O99" s="95"/>
      <c r="P99" s="95"/>
      <c r="Q99" s="45"/>
      <c r="R99" s="45"/>
      <c r="V99" s="30"/>
      <c r="W99" s="122"/>
      <c r="X99" s="122"/>
      <c r="Y99" s="152"/>
      <c r="Z99" s="152"/>
      <c r="AA99" s="12"/>
      <c r="AB99" s="139"/>
      <c r="AC99" s="139"/>
      <c r="AD99" s="139"/>
      <c r="AE99" s="139"/>
      <c r="AF99" s="140"/>
      <c r="AG99" s="140"/>
      <c r="AH99" s="139"/>
      <c r="AI99" s="139"/>
      <c r="AJ99" s="139"/>
      <c r="AK99" s="139"/>
      <c r="AL99" s="140"/>
      <c r="AN99" s="139"/>
      <c r="AO99" s="139"/>
      <c r="AP99" s="139"/>
      <c r="AQ99" s="139"/>
      <c r="AR99" s="140"/>
    </row>
    <row r="100" spans="1:54" ht="12.75" x14ac:dyDescent="0.2">
      <c r="B100" s="45" t="s">
        <v>204</v>
      </c>
      <c r="C100" s="109"/>
      <c r="J100" s="45" t="s">
        <v>202</v>
      </c>
      <c r="R100" s="45" t="s">
        <v>203</v>
      </c>
      <c r="T100" s="12"/>
      <c r="U100" s="12"/>
      <c r="V100" s="12"/>
      <c r="W100" s="12"/>
      <c r="X100" s="12"/>
      <c r="Y100" s="12"/>
      <c r="Z100" s="12"/>
      <c r="AA100" s="12"/>
      <c r="AB100" s="130" t="s">
        <v>205</v>
      </c>
      <c r="AC100" s="46"/>
      <c r="AD100" s="46"/>
      <c r="AE100" s="46"/>
      <c r="AF100" s="46"/>
      <c r="AG100" s="46"/>
      <c r="AH100" s="130" t="s">
        <v>207</v>
      </c>
      <c r="AI100" s="46"/>
      <c r="AJ100" s="46"/>
      <c r="AK100" s="46"/>
      <c r="AL100" s="46"/>
      <c r="AM100" s="45"/>
      <c r="AN100" s="130" t="s">
        <v>208</v>
      </c>
      <c r="AO100" s="12"/>
      <c r="AP100" s="12"/>
      <c r="AQ100" s="12"/>
      <c r="AR100" s="12"/>
      <c r="AT100" s="130" t="s">
        <v>206</v>
      </c>
    </row>
    <row r="101" spans="1:54" ht="12.75" x14ac:dyDescent="0.2">
      <c r="B101" s="57" t="s">
        <v>209</v>
      </c>
      <c r="C101" s="28" t="s">
        <v>190</v>
      </c>
      <c r="D101" s="57" t="s">
        <v>191</v>
      </c>
      <c r="E101" s="28" t="s">
        <v>192</v>
      </c>
      <c r="F101" s="28" t="s">
        <v>193</v>
      </c>
      <c r="G101" s="57" t="s">
        <v>112</v>
      </c>
      <c r="H101" s="57" t="s">
        <v>244</v>
      </c>
      <c r="I101" s="101"/>
      <c r="J101" s="28" t="s">
        <v>76</v>
      </c>
      <c r="K101" s="28" t="s">
        <v>4</v>
      </c>
      <c r="L101" s="57" t="s">
        <v>0</v>
      </c>
      <c r="M101" s="57" t="s">
        <v>1</v>
      </c>
      <c r="N101" s="28" t="s">
        <v>191</v>
      </c>
      <c r="O101" s="28" t="s">
        <v>192</v>
      </c>
      <c r="P101" s="28" t="s">
        <v>193</v>
      </c>
      <c r="R101" s="28"/>
      <c r="S101" s="28" t="s">
        <v>76</v>
      </c>
      <c r="T101" s="28" t="s">
        <v>4</v>
      </c>
      <c r="U101" s="57" t="s">
        <v>0</v>
      </c>
      <c r="V101" s="28" t="s">
        <v>62</v>
      </c>
      <c r="W101" s="57" t="s">
        <v>220</v>
      </c>
      <c r="X101" s="57" t="s">
        <v>190</v>
      </c>
      <c r="Y101" s="57" t="s">
        <v>194</v>
      </c>
      <c r="Z101" s="28" t="s">
        <v>195</v>
      </c>
      <c r="AA101" s="12"/>
      <c r="AB101" s="28" t="s">
        <v>0</v>
      </c>
      <c r="AC101" s="28" t="s">
        <v>196</v>
      </c>
      <c r="AD101" s="57" t="s">
        <v>1</v>
      </c>
      <c r="AE101" s="57" t="s">
        <v>197</v>
      </c>
      <c r="AF101" s="57" t="s">
        <v>198</v>
      </c>
      <c r="AG101" s="60"/>
      <c r="AH101" s="28" t="s">
        <v>0</v>
      </c>
      <c r="AI101" s="28" t="s">
        <v>196</v>
      </c>
      <c r="AJ101" s="57" t="s">
        <v>1</v>
      </c>
      <c r="AK101" s="57" t="s">
        <v>197</v>
      </c>
      <c r="AL101" s="57" t="s">
        <v>198</v>
      </c>
      <c r="AN101" s="28" t="s">
        <v>0</v>
      </c>
      <c r="AO101" s="28" t="s">
        <v>196</v>
      </c>
      <c r="AP101" s="57" t="s">
        <v>1</v>
      </c>
      <c r="AQ101" s="57" t="s">
        <v>197</v>
      </c>
      <c r="AR101" s="57" t="s">
        <v>198</v>
      </c>
      <c r="AT101" s="57" t="s">
        <v>199</v>
      </c>
      <c r="AU101" s="28" t="s">
        <v>191</v>
      </c>
      <c r="AV101" s="28" t="s">
        <v>192</v>
      </c>
      <c r="AW101" s="28" t="s">
        <v>193</v>
      </c>
      <c r="AX101" s="57" t="s">
        <v>79</v>
      </c>
      <c r="AY101" s="57" t="s">
        <v>242</v>
      </c>
      <c r="AZ101" s="57" t="s">
        <v>241</v>
      </c>
      <c r="BA101" s="57" t="s">
        <v>251</v>
      </c>
      <c r="BB101" s="57" t="s">
        <v>243</v>
      </c>
    </row>
    <row r="102" spans="1:54" ht="12.75" x14ac:dyDescent="0.2">
      <c r="A102" s="110" t="s">
        <v>215</v>
      </c>
      <c r="B102" s="52">
        <v>100</v>
      </c>
      <c r="C102" s="54">
        <v>0.02</v>
      </c>
      <c r="D102" s="124">
        <v>0.04</v>
      </c>
      <c r="E102" s="95">
        <v>0.08</v>
      </c>
      <c r="F102" s="95">
        <v>0.16</v>
      </c>
      <c r="G102" s="95">
        <v>5.0000000000000001E-3</v>
      </c>
      <c r="H102" s="63">
        <v>1200</v>
      </c>
      <c r="I102" s="95"/>
      <c r="J102" s="133" t="s">
        <v>75</v>
      </c>
      <c r="K102" s="133" t="s">
        <v>78</v>
      </c>
      <c r="L102" s="52">
        <v>100</v>
      </c>
      <c r="M102" s="52">
        <v>300</v>
      </c>
      <c r="N102" s="124">
        <v>0.5</v>
      </c>
      <c r="O102" s="95">
        <v>0.3</v>
      </c>
      <c r="P102" s="95">
        <v>0.2</v>
      </c>
      <c r="R102" s="45" t="s">
        <v>215</v>
      </c>
      <c r="S102" s="45" t="s">
        <v>75</v>
      </c>
      <c r="T102" s="131" t="s">
        <v>78</v>
      </c>
      <c r="U102" s="122">
        <f>L102</f>
        <v>100</v>
      </c>
      <c r="V102" s="30">
        <f>W102/U102</f>
        <v>3</v>
      </c>
      <c r="W102" s="122">
        <f>M102</f>
        <v>300</v>
      </c>
      <c r="X102" s="122">
        <f>U102 * (1 - ABS(C102))</f>
        <v>98</v>
      </c>
      <c r="Y102" s="152" t="s">
        <v>34</v>
      </c>
      <c r="Z102" s="152" t="s">
        <v>34</v>
      </c>
      <c r="AA102" s="12"/>
      <c r="AB102" s="122">
        <f>U102</f>
        <v>100</v>
      </c>
      <c r="AC102" s="30">
        <f>V102*N102</f>
        <v>1.5</v>
      </c>
      <c r="AD102" s="123">
        <f>W102*N102</f>
        <v>150</v>
      </c>
      <c r="AE102" s="123">
        <f>AB102 * (1 + D102) / (1 - G102)</f>
        <v>104.52261306532664</v>
      </c>
      <c r="AF102" s="124">
        <f>(B102 - AE102) / AE102</f>
        <v>-4.3269230769230817E-2</v>
      </c>
      <c r="AG102" s="30"/>
      <c r="AH102" s="122">
        <f>U102</f>
        <v>100</v>
      </c>
      <c r="AI102" s="30">
        <f>V102*O102</f>
        <v>0.89999999999999991</v>
      </c>
      <c r="AJ102" s="123">
        <f>W102*O102</f>
        <v>90</v>
      </c>
      <c r="AK102" s="123">
        <f>AH102 * (1 + E102) / (1 - G102)</f>
        <v>108.5427135678392</v>
      </c>
      <c r="AL102" s="124">
        <f>(B102 - AK102) / AK102</f>
        <v>-7.8703703703703748E-2</v>
      </c>
      <c r="AN102" s="122">
        <f>U102</f>
        <v>100</v>
      </c>
      <c r="AO102" s="30">
        <f>V102*P102</f>
        <v>0.60000000000000009</v>
      </c>
      <c r="AP102" s="123">
        <f>W102*P102</f>
        <v>60</v>
      </c>
      <c r="AQ102" s="123">
        <f>AN102 * (1 + F102) / (1 - G102)</f>
        <v>116.58291457286431</v>
      </c>
      <c r="AR102" s="124">
        <f>(B102 - AQ102) / AQ102</f>
        <v>-0.14224137931034475</v>
      </c>
      <c r="AT102" s="32">
        <f>AW102+AV102+AU102</f>
        <v>3</v>
      </c>
      <c r="AU102" s="32">
        <f>AC102</f>
        <v>1.5</v>
      </c>
      <c r="AV102" s="32">
        <f>AI102</f>
        <v>0.89999999999999991</v>
      </c>
      <c r="AW102" s="32">
        <f>AO102</f>
        <v>0.60000000000000009</v>
      </c>
      <c r="AX102" s="196">
        <f>M102</f>
        <v>300</v>
      </c>
      <c r="AY102" s="63">
        <v>0</v>
      </c>
      <c r="AZ102" s="122">
        <f>AT102*B102</f>
        <v>300</v>
      </c>
      <c r="BA102" s="197">
        <f>(AY102+AZ102-AX102)/AX102</f>
        <v>0</v>
      </c>
      <c r="BB102" s="63">
        <f>H102-AX102+AY102</f>
        <v>900</v>
      </c>
    </row>
    <row r="103" spans="1:54" ht="12.75" x14ac:dyDescent="0.2">
      <c r="A103" s="182" t="s">
        <v>218</v>
      </c>
      <c r="B103" s="40">
        <v>110</v>
      </c>
      <c r="C103" s="55">
        <v>0.02</v>
      </c>
      <c r="D103" s="129">
        <v>0.04</v>
      </c>
      <c r="E103" s="125">
        <v>0.08</v>
      </c>
      <c r="F103" s="125">
        <v>0.16</v>
      </c>
      <c r="G103" s="125">
        <v>5.0000000000000001E-3</v>
      </c>
      <c r="H103" s="65">
        <v>1200</v>
      </c>
      <c r="I103" s="125"/>
      <c r="J103" s="134" t="s">
        <v>73</v>
      </c>
      <c r="K103" s="134" t="s">
        <v>219</v>
      </c>
      <c r="L103" s="40">
        <v>110</v>
      </c>
      <c r="M103" s="153" t="s">
        <v>34</v>
      </c>
      <c r="N103" s="129">
        <v>0.5</v>
      </c>
      <c r="O103" s="153" t="s">
        <v>34</v>
      </c>
      <c r="P103" s="153" t="s">
        <v>34</v>
      </c>
      <c r="Q103" s="35"/>
      <c r="R103" s="47" t="s">
        <v>218</v>
      </c>
      <c r="S103" s="47" t="s">
        <v>73</v>
      </c>
      <c r="T103" s="203" t="s">
        <v>219</v>
      </c>
      <c r="U103" s="126">
        <f>L103</f>
        <v>110</v>
      </c>
      <c r="V103" s="43">
        <f>AC102*N103</f>
        <v>0.75</v>
      </c>
      <c r="W103" s="126">
        <f>U103*V103-(U103*V103*G103)</f>
        <v>82.087500000000006</v>
      </c>
      <c r="X103" s="153" t="s">
        <v>34</v>
      </c>
      <c r="Y103" s="153">
        <f>W103-(U102*V103)</f>
        <v>7.0875000000000057</v>
      </c>
      <c r="Z103" s="199">
        <f>Y103/(U102*V103)</f>
        <v>9.450000000000007E-2</v>
      </c>
      <c r="AA103" s="41"/>
      <c r="AB103" s="126">
        <f>AB102</f>
        <v>100</v>
      </c>
      <c r="AC103" s="43">
        <f>AC102-V103</f>
        <v>0.75</v>
      </c>
      <c r="AD103" s="128">
        <f>AD102*N103</f>
        <v>75</v>
      </c>
      <c r="AE103" s="128">
        <f>AB103 * (1 + D103) / (1 - G103)</f>
        <v>104.52261306532664</v>
      </c>
      <c r="AF103" s="129">
        <f>(B103 - AE103) / AE103</f>
        <v>5.2403846153846106E-2</v>
      </c>
      <c r="AG103" s="43"/>
      <c r="AH103" s="126">
        <f>AH102</f>
        <v>100</v>
      </c>
      <c r="AI103" s="43">
        <f>AI102</f>
        <v>0.89999999999999991</v>
      </c>
      <c r="AJ103" s="128">
        <f>AJ102</f>
        <v>90</v>
      </c>
      <c r="AK103" s="128">
        <f>AH103 * (1 + E103) / (1 - G103)</f>
        <v>108.5427135678392</v>
      </c>
      <c r="AL103" s="129">
        <f>(B103 - AK103) / AK103</f>
        <v>1.3425925925925883E-2</v>
      </c>
      <c r="AM103" s="35"/>
      <c r="AN103" s="126">
        <f t="shared" ref="AN103:AP104" si="17">AN102</f>
        <v>100</v>
      </c>
      <c r="AO103" s="43">
        <f t="shared" si="17"/>
        <v>0.60000000000000009</v>
      </c>
      <c r="AP103" s="128">
        <f t="shared" si="17"/>
        <v>60</v>
      </c>
      <c r="AQ103" s="128">
        <f>AN103 * (1 + F103) / (1 - G103)</f>
        <v>116.58291457286431</v>
      </c>
      <c r="AR103" s="129">
        <f>(B103 - AQ103) / AQ103</f>
        <v>-5.6465517241379229E-2</v>
      </c>
      <c r="AS103" s="35"/>
      <c r="AT103" s="39">
        <f>AW103+AV103+AU103</f>
        <v>2.25</v>
      </c>
      <c r="AU103" s="39">
        <f>AC103</f>
        <v>0.75</v>
      </c>
      <c r="AV103" s="39">
        <f>AI103</f>
        <v>0.89999999999999991</v>
      </c>
      <c r="AW103" s="39">
        <f>AO103</f>
        <v>0.60000000000000009</v>
      </c>
      <c r="AX103" s="201">
        <f>AX102</f>
        <v>300</v>
      </c>
      <c r="AY103" s="65">
        <f>W103</f>
        <v>82.087500000000006</v>
      </c>
      <c r="AZ103" s="126">
        <f>AT103*B103</f>
        <v>247.5</v>
      </c>
      <c r="BA103" s="202">
        <f>(AY103+AZ103-AX103)/AX103</f>
        <v>9.8624999999999921E-2</v>
      </c>
      <c r="BB103" s="65">
        <f>H103-AX103+AY103</f>
        <v>982.08749999999998</v>
      </c>
    </row>
    <row r="104" spans="1:54" ht="12.75" x14ac:dyDescent="0.2">
      <c r="A104" s="150" t="s">
        <v>216</v>
      </c>
      <c r="B104" s="52">
        <v>90</v>
      </c>
      <c r="C104" s="54">
        <v>0.02</v>
      </c>
      <c r="D104" s="124">
        <v>0.04</v>
      </c>
      <c r="E104" s="95">
        <v>0.08</v>
      </c>
      <c r="F104" s="95">
        <v>0.16</v>
      </c>
      <c r="G104" s="95">
        <v>5.0000000000000001E-3</v>
      </c>
      <c r="H104" s="63">
        <v>1200</v>
      </c>
      <c r="I104" s="95"/>
      <c r="J104" s="133" t="s">
        <v>75</v>
      </c>
      <c r="K104" s="133" t="s">
        <v>214</v>
      </c>
      <c r="L104" s="52">
        <v>90</v>
      </c>
      <c r="M104" s="52">
        <v>200</v>
      </c>
      <c r="N104" s="124">
        <v>0.5</v>
      </c>
      <c r="O104" s="95">
        <v>0.5</v>
      </c>
      <c r="P104" s="95">
        <v>0</v>
      </c>
      <c r="R104" s="45" t="s">
        <v>216</v>
      </c>
      <c r="S104" s="45" t="s">
        <v>75</v>
      </c>
      <c r="T104" s="131" t="s">
        <v>214</v>
      </c>
      <c r="U104" s="122">
        <f>L104</f>
        <v>90</v>
      </c>
      <c r="V104" s="30">
        <f>W104/U104</f>
        <v>2.2222222222222223</v>
      </c>
      <c r="W104" s="122">
        <f>M104</f>
        <v>200</v>
      </c>
      <c r="X104" s="122">
        <f>U104 * (1 - ABS(C104))</f>
        <v>88.2</v>
      </c>
      <c r="Y104" s="152" t="s">
        <v>34</v>
      </c>
      <c r="Z104" s="152" t="s">
        <v>34</v>
      </c>
      <c r="AA104" s="12"/>
      <c r="AB104" s="122">
        <f>U104</f>
        <v>90</v>
      </c>
      <c r="AC104" s="30">
        <f>V104*N104</f>
        <v>1.1111111111111112</v>
      </c>
      <c r="AD104" s="123">
        <f>W104*N104</f>
        <v>100</v>
      </c>
      <c r="AE104" s="123">
        <f>AB104 * (1 + D104) / (1 - G104)</f>
        <v>94.070351758793976</v>
      </c>
      <c r="AF104" s="124">
        <f>(B104 - AE104) / AE104</f>
        <v>-4.3269230769230831E-2</v>
      </c>
      <c r="AG104" s="30"/>
      <c r="AH104" s="122">
        <f>U104</f>
        <v>90</v>
      </c>
      <c r="AI104" s="30">
        <f>V104*O104</f>
        <v>1.1111111111111112</v>
      </c>
      <c r="AJ104" s="123">
        <f>W104*O104</f>
        <v>100</v>
      </c>
      <c r="AK104" s="123">
        <f>AH104 * (1 + E104) / (1 - G104)</f>
        <v>97.688442211055275</v>
      </c>
      <c r="AL104" s="124">
        <f>(B104 - AK104) / AK104</f>
        <v>-7.8703703703703692E-2</v>
      </c>
      <c r="AN104" s="122">
        <f t="shared" si="17"/>
        <v>100</v>
      </c>
      <c r="AO104" s="30">
        <f t="shared" si="17"/>
        <v>0.60000000000000009</v>
      </c>
      <c r="AP104" s="123">
        <f t="shared" si="17"/>
        <v>60</v>
      </c>
      <c r="AQ104" s="123">
        <f>AN104 * (1 + F104) / (1 - G104)</f>
        <v>116.58291457286431</v>
      </c>
      <c r="AR104" s="124">
        <f>(B104 - AQ104) / AQ104</f>
        <v>-0.22801724137931029</v>
      </c>
      <c r="AT104" s="32">
        <f>AW104+AV104+AU104</f>
        <v>4.4722222222222223</v>
      </c>
      <c r="AU104" s="32">
        <f>AC104+AC105</f>
        <v>1.8611111111111112</v>
      </c>
      <c r="AV104" s="32">
        <f>AI104+AI105</f>
        <v>2.0111111111111111</v>
      </c>
      <c r="AW104" s="32">
        <f>AO104</f>
        <v>0.60000000000000009</v>
      </c>
      <c r="AX104" s="196">
        <f>AX103+M104-AY103</f>
        <v>417.91250000000002</v>
      </c>
      <c r="AY104" s="63">
        <v>0</v>
      </c>
      <c r="AZ104" s="122">
        <f>AT104*B104</f>
        <v>402.5</v>
      </c>
      <c r="BA104" s="197">
        <f>(AY104+AZ104-AX104)/AX104</f>
        <v>-3.6879729608470725E-2</v>
      </c>
      <c r="BB104" s="63">
        <f>H104-AX104+AY104</f>
        <v>782.08749999999998</v>
      </c>
    </row>
    <row r="105" spans="1:54" ht="12.75" x14ac:dyDescent="0.2">
      <c r="A105" s="150"/>
      <c r="B105" s="33"/>
      <c r="C105" s="67"/>
      <c r="D105" s="124"/>
      <c r="E105" s="95"/>
      <c r="F105" s="95"/>
      <c r="G105" s="95"/>
      <c r="H105" s="95"/>
      <c r="L105" s="207"/>
      <c r="N105" s="152"/>
      <c r="O105" s="95"/>
      <c r="P105" s="95"/>
      <c r="Q105" s="45"/>
      <c r="R105" s="45" t="s">
        <v>218</v>
      </c>
      <c r="S105" s="45" t="s">
        <v>73</v>
      </c>
      <c r="T105" s="131" t="s">
        <v>219</v>
      </c>
      <c r="U105" s="122">
        <f>U103</f>
        <v>110</v>
      </c>
      <c r="V105" s="30">
        <f>V103</f>
        <v>0.75</v>
      </c>
      <c r="W105" s="122">
        <f>W103</f>
        <v>82.087500000000006</v>
      </c>
      <c r="X105" s="152" t="s">
        <v>34</v>
      </c>
      <c r="Y105" s="152">
        <f>Y103</f>
        <v>7.0875000000000057</v>
      </c>
      <c r="Z105" s="161">
        <f>Z103</f>
        <v>9.450000000000007E-2</v>
      </c>
      <c r="AA105" s="12"/>
      <c r="AB105" s="122">
        <f>AB103</f>
        <v>100</v>
      </c>
      <c r="AC105" s="30">
        <f>AC103</f>
        <v>0.75</v>
      </c>
      <c r="AD105" s="157">
        <f>AD103</f>
        <v>75</v>
      </c>
      <c r="AE105" s="157">
        <f>AB105 * (1 + D104) / (1 - G104)</f>
        <v>104.52261306532664</v>
      </c>
      <c r="AF105" s="124">
        <f>(B104 - AE105) / AE105</f>
        <v>-0.13894230769230773</v>
      </c>
      <c r="AG105" s="30"/>
      <c r="AH105" s="122">
        <f>AH103</f>
        <v>100</v>
      </c>
      <c r="AI105" s="30">
        <f>AI103</f>
        <v>0.89999999999999991</v>
      </c>
      <c r="AJ105" s="157">
        <f>AJ103</f>
        <v>90</v>
      </c>
      <c r="AK105" s="157">
        <f>AH105 * (1 + E104) / (1 - G104)</f>
        <v>108.5427135678392</v>
      </c>
      <c r="AL105" s="124">
        <f>(B104 - AK105) / AK105</f>
        <v>-0.17083333333333336</v>
      </c>
      <c r="AN105" s="122"/>
      <c r="AO105" s="30"/>
      <c r="AP105" s="157"/>
      <c r="AQ105" s="157"/>
      <c r="AR105" s="124"/>
    </row>
    <row r="106" spans="1:54" ht="12.75" x14ac:dyDescent="0.2">
      <c r="A106" s="150"/>
      <c r="B106" s="33"/>
      <c r="C106" s="67"/>
      <c r="D106" s="124"/>
      <c r="E106" s="95"/>
      <c r="F106" s="95"/>
      <c r="G106" s="95"/>
      <c r="H106" s="95"/>
      <c r="L106" s="207"/>
      <c r="M106" s="207"/>
      <c r="N106" s="124"/>
      <c r="O106" s="95"/>
      <c r="P106" s="95"/>
      <c r="Q106" s="45"/>
      <c r="R106" s="45" t="s">
        <v>215</v>
      </c>
      <c r="S106" s="45" t="s">
        <v>75</v>
      </c>
      <c r="T106" s="131" t="s">
        <v>78</v>
      </c>
      <c r="U106" s="122">
        <f>U102</f>
        <v>100</v>
      </c>
      <c r="V106" s="30">
        <f>V102</f>
        <v>3</v>
      </c>
      <c r="W106" s="122">
        <f>W102</f>
        <v>300</v>
      </c>
      <c r="X106" s="122">
        <f>X102</f>
        <v>98</v>
      </c>
      <c r="Y106" s="152" t="s">
        <v>34</v>
      </c>
      <c r="Z106" s="152" t="s">
        <v>34</v>
      </c>
      <c r="AA106" s="12"/>
      <c r="AB106" s="139"/>
      <c r="AC106" s="139"/>
      <c r="AD106" s="139"/>
      <c r="AE106" s="139"/>
      <c r="AF106" s="140"/>
      <c r="AG106" s="140"/>
      <c r="AH106" s="139"/>
      <c r="AI106" s="139"/>
      <c r="AJ106" s="139"/>
      <c r="AK106" s="139"/>
      <c r="AL106" s="140"/>
      <c r="AN106" s="139"/>
      <c r="AO106" s="139"/>
      <c r="AP106" s="139"/>
      <c r="AQ106" s="139"/>
      <c r="AR106" s="140"/>
    </row>
    <row r="107" spans="1:54" ht="12.75" x14ac:dyDescent="0.2">
      <c r="A107" s="182" t="s">
        <v>85</v>
      </c>
      <c r="B107" s="40">
        <v>45</v>
      </c>
      <c r="C107" s="55">
        <v>0.02</v>
      </c>
      <c r="D107" s="129">
        <v>0.04</v>
      </c>
      <c r="E107" s="125">
        <v>0.08</v>
      </c>
      <c r="F107" s="125">
        <v>0.16</v>
      </c>
      <c r="G107" s="125">
        <v>5.0000000000000001E-3</v>
      </c>
      <c r="H107" s="65">
        <v>1200</v>
      </c>
      <c r="I107" s="125"/>
      <c r="J107" s="134" t="s">
        <v>70</v>
      </c>
      <c r="K107" s="215">
        <v>2</v>
      </c>
      <c r="L107" s="40"/>
      <c r="M107" s="40"/>
      <c r="N107" s="129"/>
      <c r="O107" s="125"/>
      <c r="P107" s="125"/>
      <c r="Q107" s="35"/>
      <c r="R107" s="47" t="s">
        <v>216</v>
      </c>
      <c r="S107" s="47" t="s">
        <v>75</v>
      </c>
      <c r="T107" s="203" t="s">
        <v>214</v>
      </c>
      <c r="U107" s="126">
        <f>U104</f>
        <v>90</v>
      </c>
      <c r="V107" s="43">
        <f>V104</f>
        <v>2.2222222222222223</v>
      </c>
      <c r="W107" s="126">
        <f>W104</f>
        <v>200</v>
      </c>
      <c r="X107" s="126">
        <f>X104</f>
        <v>88.2</v>
      </c>
      <c r="Y107" s="153" t="s">
        <v>34</v>
      </c>
      <c r="Z107" s="153" t="s">
        <v>34</v>
      </c>
      <c r="AA107" s="41"/>
      <c r="AB107" s="126">
        <f>AB104/K107</f>
        <v>45</v>
      </c>
      <c r="AC107" s="43">
        <f>AC104*K107</f>
        <v>2.2222222222222223</v>
      </c>
      <c r="AD107" s="128">
        <f>AD104</f>
        <v>100</v>
      </c>
      <c r="AE107" s="128">
        <f>AB107 * (1 + D107) / (1 - G107)</f>
        <v>47.035175879396988</v>
      </c>
      <c r="AF107" s="129">
        <f>AF104</f>
        <v>-4.3269230769230831E-2</v>
      </c>
      <c r="AG107" s="43"/>
      <c r="AH107" s="126">
        <f>AH104/K107</f>
        <v>45</v>
      </c>
      <c r="AI107" s="43">
        <f>AI104*K107</f>
        <v>2.2222222222222223</v>
      </c>
      <c r="AJ107" s="128">
        <f>AJ104</f>
        <v>100</v>
      </c>
      <c r="AK107" s="128">
        <f>AH107 * (1 + E107) / (1 - G107)</f>
        <v>48.844221105527637</v>
      </c>
      <c r="AL107" s="129">
        <f>(B107 - AK107) / AK107</f>
        <v>-7.8703703703703692E-2</v>
      </c>
      <c r="AM107" s="35"/>
      <c r="AN107" s="126">
        <f>AN104/K107</f>
        <v>50</v>
      </c>
      <c r="AO107" s="43">
        <f>AO104*K107</f>
        <v>1.2000000000000002</v>
      </c>
      <c r="AP107" s="128">
        <f>AP104</f>
        <v>60</v>
      </c>
      <c r="AQ107" s="128">
        <f>AN107 * (1 + F107) / (1 - G107)</f>
        <v>58.291457286432156</v>
      </c>
      <c r="AR107" s="129">
        <f>(B107 - AQ107) / AQ107</f>
        <v>-0.22801724137931029</v>
      </c>
      <c r="AS107" s="35"/>
      <c r="AT107" s="39">
        <f>AW107+AV107+AU107</f>
        <v>8.9444444444444446</v>
      </c>
      <c r="AU107" s="39">
        <f>AC107+AC108</f>
        <v>3.7222222222222223</v>
      </c>
      <c r="AV107" s="39">
        <f>AI107+AI108</f>
        <v>4.0222222222222221</v>
      </c>
      <c r="AW107" s="39">
        <f>AO107</f>
        <v>1.2000000000000002</v>
      </c>
      <c r="AX107" s="201">
        <f>AX104</f>
        <v>417.91250000000002</v>
      </c>
      <c r="AY107" s="65">
        <f>AY104</f>
        <v>0</v>
      </c>
      <c r="AZ107" s="126">
        <f>AT107*B107</f>
        <v>402.5</v>
      </c>
      <c r="BA107" s="202">
        <f>(AY107+AZ107-AX107)/AX107</f>
        <v>-3.6879729608470725E-2</v>
      </c>
      <c r="BB107" s="65">
        <f>H107-AX107+AY107</f>
        <v>782.08749999999998</v>
      </c>
    </row>
    <row r="108" spans="1:54" ht="15.75" customHeight="1" x14ac:dyDescent="0.2">
      <c r="A108" s="35"/>
      <c r="B108" s="36"/>
      <c r="C108" s="210"/>
      <c r="D108" s="129"/>
      <c r="E108" s="125"/>
      <c r="F108" s="125"/>
      <c r="G108" s="125"/>
      <c r="H108" s="125"/>
      <c r="I108" s="35"/>
      <c r="J108" s="35"/>
      <c r="K108" s="35"/>
      <c r="L108" s="211"/>
      <c r="M108" s="35"/>
      <c r="N108" s="153"/>
      <c r="O108" s="125"/>
      <c r="P108" s="125"/>
      <c r="Q108" s="47"/>
      <c r="R108" s="47" t="s">
        <v>218</v>
      </c>
      <c r="S108" s="47" t="s">
        <v>73</v>
      </c>
      <c r="T108" s="203" t="s">
        <v>219</v>
      </c>
      <c r="U108" s="126">
        <f t="shared" ref="U108:W109" si="18">U105</f>
        <v>110</v>
      </c>
      <c r="V108" s="43">
        <f t="shared" si="18"/>
        <v>0.75</v>
      </c>
      <c r="W108" s="126">
        <f t="shared" si="18"/>
        <v>82.087500000000006</v>
      </c>
      <c r="X108" s="153" t="s">
        <v>34</v>
      </c>
      <c r="Y108" s="153">
        <f>Y105</f>
        <v>7.0875000000000057</v>
      </c>
      <c r="Z108" s="199">
        <f>Z105</f>
        <v>9.450000000000007E-2</v>
      </c>
      <c r="AA108" s="41"/>
      <c r="AB108" s="126">
        <f>AB105/K107</f>
        <v>50</v>
      </c>
      <c r="AC108" s="43">
        <f>AC105*K107</f>
        <v>1.5</v>
      </c>
      <c r="AD108" s="128">
        <f>AD105</f>
        <v>75</v>
      </c>
      <c r="AE108" s="128">
        <f>AB108 * (1 + D107) / (1 - G107)</f>
        <v>52.261306532663319</v>
      </c>
      <c r="AF108" s="129">
        <f>AF105</f>
        <v>-0.13894230769230773</v>
      </c>
      <c r="AG108" s="43"/>
      <c r="AH108" s="126">
        <f>AH105/K107</f>
        <v>50</v>
      </c>
      <c r="AI108" s="43">
        <f>AI105*K107</f>
        <v>1.7999999999999998</v>
      </c>
      <c r="AJ108" s="128">
        <f>AJ105</f>
        <v>90</v>
      </c>
      <c r="AK108" s="128">
        <f>AH108 * (1 + E107) / (1 - G107)</f>
        <v>54.2713567839196</v>
      </c>
      <c r="AL108" s="129">
        <f>(B107 - AK108) / AK108</f>
        <v>-0.17083333333333336</v>
      </c>
      <c r="AM108" s="35"/>
      <c r="AN108" s="126"/>
      <c r="AO108" s="43"/>
      <c r="AP108" s="128"/>
      <c r="AQ108" s="128"/>
      <c r="AR108" s="129"/>
      <c r="AS108" s="35"/>
      <c r="AT108" s="35"/>
      <c r="AU108" s="35"/>
      <c r="AV108" s="35"/>
      <c r="AW108" s="35"/>
      <c r="AX108" s="35"/>
      <c r="AY108" s="35"/>
      <c r="AZ108" s="35"/>
      <c r="BA108" s="35"/>
      <c r="BB108" s="35"/>
    </row>
    <row r="109" spans="1:54" ht="12.75" x14ac:dyDescent="0.2">
      <c r="A109" s="182"/>
      <c r="B109" s="36"/>
      <c r="C109" s="210"/>
      <c r="D109" s="129"/>
      <c r="E109" s="125"/>
      <c r="F109" s="125"/>
      <c r="G109" s="125"/>
      <c r="H109" s="125"/>
      <c r="I109" s="35"/>
      <c r="J109" s="35"/>
      <c r="K109" s="35"/>
      <c r="L109" s="211"/>
      <c r="M109" s="211"/>
      <c r="N109" s="129"/>
      <c r="O109" s="125"/>
      <c r="P109" s="125"/>
      <c r="Q109" s="47"/>
      <c r="R109" s="47" t="s">
        <v>215</v>
      </c>
      <c r="S109" s="47" t="s">
        <v>75</v>
      </c>
      <c r="T109" s="203" t="s">
        <v>78</v>
      </c>
      <c r="U109" s="126">
        <f t="shared" si="18"/>
        <v>100</v>
      </c>
      <c r="V109" s="43">
        <f t="shared" si="18"/>
        <v>3</v>
      </c>
      <c r="W109" s="126">
        <f t="shared" si="18"/>
        <v>300</v>
      </c>
      <c r="X109" s="126" t="str">
        <f>X105</f>
        <v>-</v>
      </c>
      <c r="Y109" s="153" t="s">
        <v>34</v>
      </c>
      <c r="Z109" s="153" t="s">
        <v>34</v>
      </c>
      <c r="AA109" s="41"/>
      <c r="AB109" s="213"/>
      <c r="AC109" s="213"/>
      <c r="AD109" s="213"/>
      <c r="AE109" s="213"/>
      <c r="AF109" s="170"/>
      <c r="AG109" s="170"/>
      <c r="AH109" s="213"/>
      <c r="AI109" s="213"/>
      <c r="AJ109" s="213"/>
      <c r="AK109" s="213"/>
      <c r="AL109" s="170"/>
      <c r="AM109" s="35"/>
      <c r="AN109" s="213"/>
      <c r="AO109" s="213"/>
      <c r="AP109" s="213"/>
      <c r="AQ109" s="213"/>
      <c r="AR109" s="170"/>
      <c r="AS109" s="35"/>
      <c r="AT109" s="35"/>
      <c r="AU109" s="35"/>
      <c r="AV109" s="35"/>
      <c r="AW109" s="35"/>
      <c r="AX109" s="35"/>
      <c r="AY109" s="35"/>
      <c r="AZ109" s="35"/>
      <c r="BA109" s="35"/>
      <c r="BB109" s="35"/>
    </row>
    <row r="110" spans="1:54" ht="12.75" x14ac:dyDescent="0.2">
      <c r="A110" s="110" t="s">
        <v>217</v>
      </c>
      <c r="B110" s="52">
        <v>50</v>
      </c>
      <c r="C110" s="54">
        <v>0.02</v>
      </c>
      <c r="D110" s="124">
        <v>0.04</v>
      </c>
      <c r="E110" s="95">
        <v>0.08</v>
      </c>
      <c r="F110" s="95">
        <v>0.16</v>
      </c>
      <c r="G110" s="95">
        <v>5.0000000000000001E-3</v>
      </c>
      <c r="H110" s="63">
        <v>1200</v>
      </c>
      <c r="I110" s="95"/>
      <c r="J110" s="133" t="s">
        <v>75</v>
      </c>
      <c r="K110" s="133" t="s">
        <v>211</v>
      </c>
      <c r="L110" s="52">
        <v>50</v>
      </c>
      <c r="M110" s="52">
        <v>300</v>
      </c>
      <c r="N110" s="124">
        <v>0.5</v>
      </c>
      <c r="O110" s="95">
        <v>0.3</v>
      </c>
      <c r="P110" s="95">
        <v>0.2</v>
      </c>
      <c r="R110" s="45" t="s">
        <v>217</v>
      </c>
      <c r="S110" s="45" t="s">
        <v>75</v>
      </c>
      <c r="T110" s="131" t="s">
        <v>211</v>
      </c>
      <c r="U110" s="122">
        <f>L110</f>
        <v>50</v>
      </c>
      <c r="V110" s="30">
        <f>W110/U110</f>
        <v>6</v>
      </c>
      <c r="W110" s="122">
        <f>M110</f>
        <v>300</v>
      </c>
      <c r="X110" s="122">
        <f>U110 * (1 - ABS(C110))</f>
        <v>49</v>
      </c>
      <c r="Y110" s="152" t="s">
        <v>34</v>
      </c>
      <c r="Z110" s="152" t="s">
        <v>34</v>
      </c>
      <c r="AA110" s="12"/>
      <c r="AB110" s="122">
        <f>AB107</f>
        <v>45</v>
      </c>
      <c r="AC110" s="30">
        <f>AC107</f>
        <v>2.2222222222222223</v>
      </c>
      <c r="AD110" s="123">
        <f>AD107</f>
        <v>100</v>
      </c>
      <c r="AE110" s="123">
        <f>AB110 * (1 + D110) / (1 - G110)</f>
        <v>47.035175879396988</v>
      </c>
      <c r="AF110" s="124">
        <f>(B110 - AE110) / AE110</f>
        <v>6.3034188034187963E-2</v>
      </c>
      <c r="AG110" s="30"/>
      <c r="AH110" s="122">
        <f>AH107</f>
        <v>45</v>
      </c>
      <c r="AI110" s="30">
        <f>AI107</f>
        <v>2.2222222222222223</v>
      </c>
      <c r="AJ110" s="123">
        <f>AJ107</f>
        <v>100</v>
      </c>
      <c r="AK110" s="123">
        <f>AH110 * (1 + E110) / (1 - G110)</f>
        <v>48.844221105527637</v>
      </c>
      <c r="AL110" s="124">
        <f>(B110 - AK110) / AK110</f>
        <v>2.3662551440329235E-2</v>
      </c>
      <c r="AN110" s="122">
        <f>AN107</f>
        <v>50</v>
      </c>
      <c r="AO110" s="30">
        <f>AO107+V110*P110</f>
        <v>2.4000000000000004</v>
      </c>
      <c r="AP110" s="123">
        <f>AP107+W110*P110</f>
        <v>120</v>
      </c>
      <c r="AQ110" s="123">
        <f>AN110 * (1 + F110) / (1 - G110)</f>
        <v>58.291457286432156</v>
      </c>
      <c r="AR110" s="124">
        <f>(B110 - AQ110) / AQ110</f>
        <v>-0.14224137931034475</v>
      </c>
      <c r="AT110" s="32">
        <f>AW110+AV110+AU110</f>
        <v>14.944444444444443</v>
      </c>
      <c r="AU110" s="32">
        <f>AC110+AC111</f>
        <v>6.7222222222222223</v>
      </c>
      <c r="AV110" s="32">
        <f>AI110+AI111</f>
        <v>5.822222222222222</v>
      </c>
      <c r="AW110" s="32">
        <f>AO110</f>
        <v>2.4000000000000004</v>
      </c>
      <c r="AX110" s="196">
        <f>AX107+W110</f>
        <v>717.91250000000002</v>
      </c>
      <c r="AY110" s="63">
        <v>0</v>
      </c>
      <c r="AZ110" s="122">
        <f>AT110*B110</f>
        <v>747.22222222222217</v>
      </c>
      <c r="BA110" s="197">
        <f>(AY110+AZ110-AX110)/AX110</f>
        <v>4.0826315494189261E-2</v>
      </c>
      <c r="BB110" s="63">
        <f>H110-AX110+AY110</f>
        <v>482.08749999999998</v>
      </c>
    </row>
    <row r="111" spans="1:54" ht="12.75" x14ac:dyDescent="0.2">
      <c r="A111" s="150"/>
      <c r="B111" s="33"/>
      <c r="C111" s="67"/>
      <c r="D111" s="124"/>
      <c r="E111" s="95"/>
      <c r="F111" s="95"/>
      <c r="G111" s="95"/>
      <c r="H111" s="95"/>
      <c r="L111" s="207"/>
      <c r="M111" s="207"/>
      <c r="N111" s="124"/>
      <c r="O111" s="95"/>
      <c r="P111" s="95"/>
      <c r="Q111" s="45"/>
      <c r="R111" s="45"/>
      <c r="V111" s="30"/>
      <c r="W111" s="122"/>
      <c r="X111" s="122"/>
      <c r="Y111" s="152"/>
      <c r="Z111" s="152"/>
      <c r="AA111" s="12"/>
      <c r="AB111" s="122">
        <f>AB108</f>
        <v>50</v>
      </c>
      <c r="AC111" s="30">
        <f>AC108+V110*N110</f>
        <v>4.5</v>
      </c>
      <c r="AD111" s="157">
        <f>AD108+W110*N110</f>
        <v>225</v>
      </c>
      <c r="AE111" s="157">
        <f>AB111 * (1 + D110) / (1 - G110)</f>
        <v>52.261306532663319</v>
      </c>
      <c r="AF111" s="124">
        <f>(B110 - AE111) / AE111</f>
        <v>-4.3269230769230817E-2</v>
      </c>
      <c r="AG111" s="30"/>
      <c r="AH111" s="122">
        <f>AH108</f>
        <v>50</v>
      </c>
      <c r="AI111" s="30">
        <f>AI108+V110*O110</f>
        <v>3.5999999999999996</v>
      </c>
      <c r="AJ111" s="157">
        <f>AJ108+W110*O110</f>
        <v>180</v>
      </c>
      <c r="AK111" s="157">
        <f>AH111 * (1 + E110) / (1 - G110)</f>
        <v>54.2713567839196</v>
      </c>
      <c r="AL111" s="124">
        <f>(B110 - AK111) / AK111</f>
        <v>-7.8703703703703748E-2</v>
      </c>
    </row>
    <row r="112" spans="1:54" ht="12.75" x14ac:dyDescent="0.2">
      <c r="A112" s="182" t="s">
        <v>87</v>
      </c>
      <c r="B112" s="40">
        <v>16.66667</v>
      </c>
      <c r="C112" s="55">
        <v>0.02</v>
      </c>
      <c r="D112" s="129">
        <v>0.04</v>
      </c>
      <c r="E112" s="125">
        <v>0.08</v>
      </c>
      <c r="F112" s="125">
        <v>0.16</v>
      </c>
      <c r="G112" s="125">
        <v>5.0000000000000001E-3</v>
      </c>
      <c r="H112" s="65">
        <v>1200</v>
      </c>
      <c r="I112" s="35"/>
      <c r="J112" s="35" t="s">
        <v>70</v>
      </c>
      <c r="K112" s="35">
        <v>3</v>
      </c>
      <c r="L112" s="211"/>
      <c r="M112" s="211"/>
      <c r="N112" s="129"/>
      <c r="O112" s="125"/>
      <c r="P112" s="125"/>
      <c r="Q112" s="47"/>
      <c r="R112" s="47"/>
      <c r="S112" s="35"/>
      <c r="T112" s="35"/>
      <c r="U112" s="35"/>
      <c r="V112" s="43"/>
      <c r="W112" s="126"/>
      <c r="X112" s="126"/>
      <c r="Y112" s="153"/>
      <c r="Z112" s="153"/>
      <c r="AA112" s="41"/>
      <c r="AB112" s="126">
        <f>AB110/K112</f>
        <v>15</v>
      </c>
      <c r="AC112" s="43">
        <f>AC110*K112</f>
        <v>6.666666666666667</v>
      </c>
      <c r="AD112" s="128">
        <f>AD110</f>
        <v>100</v>
      </c>
      <c r="AE112" s="128">
        <f>AB112 * (1 + D112) / (1 - G112)</f>
        <v>15.678391959798997</v>
      </c>
      <c r="AF112" s="129">
        <f>(B112 - AE112) / AE112</f>
        <v>6.3034400641025487E-2</v>
      </c>
      <c r="AG112" s="43"/>
      <c r="AH112" s="126">
        <f>AH110/K112</f>
        <v>15</v>
      </c>
      <c r="AI112" s="43">
        <f>AI110*K112</f>
        <v>6.666666666666667</v>
      </c>
      <c r="AJ112" s="128">
        <f>AJ110</f>
        <v>100</v>
      </c>
      <c r="AK112" s="128">
        <f>AH112 * (1 + E112) / (1 - G112)</f>
        <v>16.281407035175882</v>
      </c>
      <c r="AL112" s="129">
        <f>(B112 - AK112) / AK112</f>
        <v>2.3662756172839364E-2</v>
      </c>
      <c r="AM112" s="35"/>
      <c r="AN112" s="126">
        <f>AN110/K112</f>
        <v>16.666666666666668</v>
      </c>
      <c r="AO112" s="43">
        <f>AO110*K112</f>
        <v>7.2000000000000011</v>
      </c>
      <c r="AP112" s="128">
        <f>AP110</f>
        <v>120</v>
      </c>
      <c r="AQ112" s="128">
        <f>AN112 * (1 + F112) / (1 - G112)</f>
        <v>19.430485762144052</v>
      </c>
      <c r="AR112" s="129">
        <f>(B112 - AQ112) / AQ112</f>
        <v>-0.14224120775862062</v>
      </c>
      <c r="AS112" s="35"/>
      <c r="AT112" s="39">
        <f>AW112+AV112+AU112</f>
        <v>44.833333333333329</v>
      </c>
      <c r="AU112" s="39">
        <f>AC112+AC113</f>
        <v>20.166666666666668</v>
      </c>
      <c r="AV112" s="39">
        <f>AI112+AI113</f>
        <v>17.466666666666665</v>
      </c>
      <c r="AW112" s="39">
        <f>AO112</f>
        <v>7.2000000000000011</v>
      </c>
      <c r="AX112" s="201">
        <f>AX110</f>
        <v>717.91250000000002</v>
      </c>
      <c r="AY112" s="65">
        <v>0</v>
      </c>
      <c r="AZ112" s="126">
        <f>AT112*B112</f>
        <v>747.22237166666662</v>
      </c>
      <c r="BA112" s="202">
        <f>(AY112+AZ112-AX112)/AX112</f>
        <v>4.0826523659452364E-2</v>
      </c>
      <c r="BB112" s="65">
        <f>H112-AX112+AY112</f>
        <v>482.08749999999998</v>
      </c>
    </row>
    <row r="113" spans="1:54" ht="12.75" x14ac:dyDescent="0.2">
      <c r="A113" s="182"/>
      <c r="B113" s="36"/>
      <c r="C113" s="210"/>
      <c r="D113" s="129"/>
      <c r="E113" s="125"/>
      <c r="F113" s="125"/>
      <c r="G113" s="125"/>
      <c r="H113" s="125"/>
      <c r="I113" s="35"/>
      <c r="J113" s="35"/>
      <c r="K113" s="35"/>
      <c r="L113" s="211"/>
      <c r="M113" s="211"/>
      <c r="N113" s="129"/>
      <c r="O113" s="125"/>
      <c r="P113" s="125"/>
      <c r="Q113" s="47"/>
      <c r="R113" s="47"/>
      <c r="S113" s="35"/>
      <c r="T113" s="35"/>
      <c r="U113" s="35"/>
      <c r="V113" s="43"/>
      <c r="W113" s="126"/>
      <c r="X113" s="126"/>
      <c r="Y113" s="153"/>
      <c r="Z113" s="153"/>
      <c r="AA113" s="41"/>
      <c r="AB113" s="126">
        <f>AB111/K112</f>
        <v>16.666666666666668</v>
      </c>
      <c r="AC113" s="43">
        <f>AC111*K112</f>
        <v>13.5</v>
      </c>
      <c r="AD113" s="128">
        <f>AD111</f>
        <v>225</v>
      </c>
      <c r="AE113" s="128">
        <f>AB113 * (1 + D112) / (1 - G112)</f>
        <v>17.420435510887774</v>
      </c>
      <c r="AF113" s="129">
        <f>(B112 - AE113) / AE113</f>
        <v>-4.3269039423077041E-2</v>
      </c>
      <c r="AG113" s="43"/>
      <c r="AH113" s="126">
        <f>AH111/K112</f>
        <v>16.666666666666668</v>
      </c>
      <c r="AI113" s="43">
        <f>AI111*K112</f>
        <v>10.799999999999999</v>
      </c>
      <c r="AJ113" s="128">
        <f>AJ111</f>
        <v>180</v>
      </c>
      <c r="AK113" s="128">
        <f>AH113 * (1 + E112) / (1 - G112)</f>
        <v>18.090452261306535</v>
      </c>
      <c r="AL113" s="129">
        <f>(B112 - AK113) / AK113</f>
        <v>-7.870351944444455E-2</v>
      </c>
      <c r="AM113" s="35"/>
      <c r="AN113" s="35"/>
      <c r="AO113" s="35"/>
      <c r="AP113" s="35"/>
      <c r="AQ113" s="35"/>
      <c r="AR113" s="35"/>
      <c r="AS113" s="35"/>
      <c r="AT113" s="35"/>
      <c r="AU113" s="35"/>
      <c r="AV113" s="35"/>
      <c r="AW113" s="35"/>
      <c r="AX113" s="35"/>
      <c r="AY113" s="35"/>
      <c r="AZ113" s="35"/>
      <c r="BA113" s="35"/>
      <c r="BB113" s="35"/>
    </row>
    <row r="114" spans="1:54" ht="12.75" x14ac:dyDescent="0.2">
      <c r="A114" s="150" t="s">
        <v>270</v>
      </c>
      <c r="B114" s="52">
        <v>20</v>
      </c>
      <c r="C114" s="62">
        <v>0.02</v>
      </c>
      <c r="D114" s="124">
        <v>0.04</v>
      </c>
      <c r="E114" s="95">
        <v>0.08</v>
      </c>
      <c r="F114" s="95">
        <v>0.16</v>
      </c>
      <c r="G114" s="95">
        <v>5.0000000000000001E-3</v>
      </c>
      <c r="H114" s="63">
        <v>1200</v>
      </c>
      <c r="I114" s="95"/>
      <c r="J114" s="133" t="s">
        <v>73</v>
      </c>
      <c r="K114" s="133" t="s">
        <v>211</v>
      </c>
      <c r="L114" s="52">
        <v>20</v>
      </c>
      <c r="M114" s="152" t="s">
        <v>34</v>
      </c>
      <c r="N114" s="152" t="s">
        <v>34</v>
      </c>
      <c r="O114" s="95">
        <v>1</v>
      </c>
      <c r="P114" s="152" t="s">
        <v>34</v>
      </c>
      <c r="R114" s="45" t="s">
        <v>270</v>
      </c>
      <c r="S114" s="45" t="s">
        <v>73</v>
      </c>
      <c r="T114" s="131" t="s">
        <v>211</v>
      </c>
      <c r="U114" s="122">
        <f>L114</f>
        <v>20</v>
      </c>
      <c r="V114" s="30">
        <f>AI112*O114</f>
        <v>6.666666666666667</v>
      </c>
      <c r="W114" s="122">
        <f>U114*V114-(U114*V114*G114)</f>
        <v>132.66666666666669</v>
      </c>
      <c r="X114" s="152" t="s">
        <v>34</v>
      </c>
      <c r="Y114" s="152">
        <f>W114-(AH112*V114)</f>
        <v>32.666666666666686</v>
      </c>
      <c r="Z114" s="161">
        <f>Y114/(AH112*V114)</f>
        <v>0.32666666666666688</v>
      </c>
      <c r="AA114" s="12"/>
      <c r="AB114" s="122">
        <f>AB112</f>
        <v>15</v>
      </c>
      <c r="AC114" s="30">
        <f>AC112</f>
        <v>6.666666666666667</v>
      </c>
      <c r="AD114" s="157">
        <f>AD112</f>
        <v>100</v>
      </c>
      <c r="AE114" s="157">
        <f>AB114 * (1 + D114) / (1 - G114)</f>
        <v>15.678391959798997</v>
      </c>
      <c r="AF114" s="124">
        <f>(B114 - AE114) / AE114</f>
        <v>0.27564102564102544</v>
      </c>
      <c r="AG114" s="30"/>
      <c r="AH114" s="122"/>
      <c r="AI114" s="30"/>
      <c r="AJ114" s="157"/>
      <c r="AK114" s="157"/>
      <c r="AL114" s="217"/>
      <c r="AN114" s="122">
        <f>AN112</f>
        <v>16.666666666666668</v>
      </c>
      <c r="AO114" s="30">
        <f>AO112</f>
        <v>7.2000000000000011</v>
      </c>
      <c r="AP114" s="157">
        <f>AP112</f>
        <v>120</v>
      </c>
      <c r="AQ114" s="157">
        <f>AN114 * (1 + F114) / (1 - G114)</f>
        <v>19.430485762144052</v>
      </c>
      <c r="AR114" s="124">
        <f>(B114 - AQ114) / AQ114</f>
        <v>2.9310344827586297E-2</v>
      </c>
      <c r="AT114" s="32">
        <f>AW114+AV114+AU114</f>
        <v>38.166666666666671</v>
      </c>
      <c r="AU114" s="32">
        <f>AC114+AC115</f>
        <v>20.166666666666668</v>
      </c>
      <c r="AV114" s="32">
        <f>AI114+AI115</f>
        <v>10.799999999999999</v>
      </c>
      <c r="AW114" s="32">
        <f>AO114</f>
        <v>7.2000000000000011</v>
      </c>
      <c r="AX114" s="196">
        <f>AX112</f>
        <v>717.91250000000002</v>
      </c>
      <c r="AY114" s="63">
        <f>W114</f>
        <v>132.66666666666669</v>
      </c>
      <c r="AZ114" s="122">
        <f>AT114*B114</f>
        <v>763.33333333333348</v>
      </c>
      <c r="BA114" s="206">
        <f>(AY114+AZ114-AX114)/AX114</f>
        <v>0.24806296031898065</v>
      </c>
      <c r="BB114" s="63">
        <f>H114-AX114+AY114</f>
        <v>614.75416666666661</v>
      </c>
    </row>
    <row r="115" spans="1:54" ht="12.75" x14ac:dyDescent="0.2">
      <c r="AA115" s="228"/>
      <c r="AB115" s="229">
        <f>AB113</f>
        <v>16.666666666666668</v>
      </c>
      <c r="AC115" s="230">
        <f>AC113</f>
        <v>13.5</v>
      </c>
      <c r="AD115" s="157">
        <f>AD113</f>
        <v>225</v>
      </c>
      <c r="AE115" s="157">
        <f>AB115 * (1 + D114) / (1 - G114)</f>
        <v>17.420435510887774</v>
      </c>
      <c r="AF115" s="217">
        <f>(B114 - AE115) / AE115</f>
        <v>0.14807692307692294</v>
      </c>
      <c r="AG115" s="230"/>
      <c r="AH115" s="229">
        <f>AH113</f>
        <v>16.666666666666668</v>
      </c>
      <c r="AI115" s="230">
        <f>AI113</f>
        <v>10.799999999999999</v>
      </c>
      <c r="AJ115" s="157">
        <f>AJ113</f>
        <v>180</v>
      </c>
      <c r="AK115" s="157">
        <f>AH115 * (1 + E114) / (1 - G114)</f>
        <v>18.090452261306535</v>
      </c>
      <c r="AL115" s="217">
        <f>(B114 - AK115) / AK115</f>
        <v>0.10555555555555543</v>
      </c>
      <c r="AM115" s="222"/>
      <c r="AN115" s="222"/>
      <c r="AO115" s="222"/>
      <c r="AP115" s="222"/>
      <c r="AQ115" s="222"/>
      <c r="AR115" s="222"/>
      <c r="AS115" s="222"/>
      <c r="AT115" s="222"/>
      <c r="AU115" s="222"/>
      <c r="AV115" s="222"/>
      <c r="AW115" s="222"/>
      <c r="AX115" s="222"/>
      <c r="AY115" s="222"/>
      <c r="AZ115" s="222"/>
      <c r="BA115" s="222"/>
      <c r="BB115" s="222"/>
    </row>
    <row r="116" spans="1:54" ht="12.75" x14ac:dyDescent="0.2">
      <c r="A116" s="182" t="s">
        <v>272</v>
      </c>
      <c r="B116" s="40">
        <v>20</v>
      </c>
      <c r="C116" s="55">
        <v>0.02</v>
      </c>
      <c r="D116" s="129">
        <v>0.04</v>
      </c>
      <c r="E116" s="125">
        <v>0.08</v>
      </c>
      <c r="F116" s="125">
        <v>0.16</v>
      </c>
      <c r="G116" s="125">
        <v>5.0000000000000001E-3</v>
      </c>
      <c r="H116" s="65">
        <v>1200</v>
      </c>
      <c r="I116" s="35"/>
      <c r="J116" s="35" t="s">
        <v>273</v>
      </c>
      <c r="K116" s="35"/>
      <c r="L116" s="211"/>
      <c r="M116" s="211"/>
      <c r="N116" s="129"/>
      <c r="O116" s="125"/>
      <c r="P116" s="125"/>
      <c r="Q116" s="35"/>
      <c r="R116" s="166" t="s">
        <v>270</v>
      </c>
      <c r="S116" s="166" t="s">
        <v>73</v>
      </c>
      <c r="T116" s="173" t="s">
        <v>211</v>
      </c>
      <c r="U116" s="174">
        <f>U114</f>
        <v>20</v>
      </c>
      <c r="V116" s="175">
        <f>V114</f>
        <v>6.666666666666667</v>
      </c>
      <c r="W116" s="174">
        <f>U116*V116-(U116*V116*G116)</f>
        <v>132.66666666666669</v>
      </c>
      <c r="X116" s="235" t="s">
        <v>34</v>
      </c>
      <c r="Y116" s="235">
        <f>Y114</f>
        <v>32.666666666666686</v>
      </c>
      <c r="Z116" s="236">
        <f>Z114</f>
        <v>0.32666666666666688</v>
      </c>
      <c r="AA116" s="41"/>
      <c r="AB116" s="126">
        <f>AB114</f>
        <v>15</v>
      </c>
      <c r="AC116" s="43">
        <f>AC114</f>
        <v>6.666666666666667</v>
      </c>
      <c r="AD116" s="128">
        <f>AD114</f>
        <v>100</v>
      </c>
      <c r="AE116" s="128">
        <f>AB116 * (1 + D116) / (1 - G116)</f>
        <v>15.678391959798997</v>
      </c>
      <c r="AF116" s="129">
        <f>(B116 - AE116) / AE116</f>
        <v>0.27564102564102544</v>
      </c>
      <c r="AG116" s="43"/>
      <c r="AH116" s="126">
        <f>AH112</f>
        <v>15</v>
      </c>
      <c r="AI116" s="43">
        <f>AI112</f>
        <v>6.666666666666667</v>
      </c>
      <c r="AJ116" s="128">
        <f>AJ112</f>
        <v>100</v>
      </c>
      <c r="AK116" s="128">
        <f>AH116 * (1 + E116) / (1 - G116)</f>
        <v>16.281407035175882</v>
      </c>
      <c r="AL116" s="129">
        <f>(B116 - AK116) / AK116</f>
        <v>0.22839506172839491</v>
      </c>
      <c r="AM116" s="35"/>
      <c r="AN116" s="126">
        <f>AN114</f>
        <v>16.666666666666668</v>
      </c>
      <c r="AO116" s="43">
        <f>AO114</f>
        <v>7.2000000000000011</v>
      </c>
      <c r="AP116" s="128">
        <f>AP114</f>
        <v>120</v>
      </c>
      <c r="AQ116" s="128">
        <f>AN116 * (1 + F116) / (1 - G116)</f>
        <v>19.430485762144052</v>
      </c>
      <c r="AR116" s="129">
        <f>(B116 - AQ116) / AQ116</f>
        <v>2.9310344827586297E-2</v>
      </c>
      <c r="AS116" s="35"/>
      <c r="AT116" s="39">
        <f>AW116+AV116+AU116</f>
        <v>44.833333333333329</v>
      </c>
      <c r="AU116" s="39">
        <f>AC116+AC117</f>
        <v>20.166666666666668</v>
      </c>
      <c r="AV116" s="39">
        <f>AI116+AI117</f>
        <v>17.466666666666665</v>
      </c>
      <c r="AW116" s="39">
        <f>AO116</f>
        <v>7.2000000000000011</v>
      </c>
      <c r="AX116" s="201">
        <f>AX114</f>
        <v>717.91250000000002</v>
      </c>
      <c r="AY116" s="65">
        <v>0</v>
      </c>
      <c r="AZ116" s="126">
        <f>AT116*B116</f>
        <v>896.66666666666652</v>
      </c>
      <c r="BA116" s="202">
        <f>(AY116+AZ116-AX116)/AX116</f>
        <v>0.24899157859302698</v>
      </c>
      <c r="BB116" s="65">
        <f>H116-AX116+AY116</f>
        <v>482.08749999999998</v>
      </c>
    </row>
    <row r="117" spans="1:54" ht="12.75" x14ac:dyDescent="0.2">
      <c r="A117" s="182"/>
      <c r="B117" s="40"/>
      <c r="C117" s="55"/>
      <c r="D117" s="129"/>
      <c r="E117" s="125"/>
      <c r="F117" s="125"/>
      <c r="G117" s="125"/>
      <c r="H117" s="65"/>
      <c r="I117" s="35"/>
      <c r="J117" s="35"/>
      <c r="K117" s="35"/>
      <c r="L117" s="211"/>
      <c r="M117" s="211"/>
      <c r="N117" s="129"/>
      <c r="O117" s="125"/>
      <c r="P117" s="125"/>
      <c r="Q117" s="35"/>
      <c r="R117" s="166"/>
      <c r="S117" s="166"/>
      <c r="T117" s="173"/>
      <c r="U117" s="174"/>
      <c r="V117" s="175"/>
      <c r="W117" s="174"/>
      <c r="X117" s="235"/>
      <c r="Y117" s="235"/>
      <c r="Z117" s="236"/>
      <c r="AA117" s="41"/>
      <c r="AB117" s="126">
        <f>AB115</f>
        <v>16.666666666666668</v>
      </c>
      <c r="AC117" s="43">
        <f>AC115</f>
        <v>13.5</v>
      </c>
      <c r="AD117" s="128">
        <f>AD115</f>
        <v>225</v>
      </c>
      <c r="AE117" s="128">
        <f>AB117 * (1 + D116) / (1 - G116)</f>
        <v>17.420435510887774</v>
      </c>
      <c r="AF117" s="129">
        <f>(B116 - AE117) / AE117</f>
        <v>0.14807692307692294</v>
      </c>
      <c r="AG117" s="43"/>
      <c r="AH117" s="126">
        <f>AH115</f>
        <v>16.666666666666668</v>
      </c>
      <c r="AI117" s="43">
        <f>AI115</f>
        <v>10.799999999999999</v>
      </c>
      <c r="AJ117" s="128">
        <f>AJ115</f>
        <v>180</v>
      </c>
      <c r="AK117" s="128">
        <f>AH117 * (1 + E116) / (1 - G116)</f>
        <v>18.090452261306535</v>
      </c>
      <c r="AL117" s="129">
        <f>(B116 - AK117) / AK117</f>
        <v>0.10555555555555543</v>
      </c>
      <c r="AM117" s="35"/>
      <c r="AN117" s="126"/>
      <c r="AO117" s="43"/>
      <c r="AP117" s="128"/>
      <c r="AQ117" s="128"/>
      <c r="AR117" s="129"/>
      <c r="AS117" s="35"/>
      <c r="AT117" s="39"/>
      <c r="AU117" s="39"/>
      <c r="AV117" s="39"/>
      <c r="AW117" s="39"/>
      <c r="AX117" s="201"/>
      <c r="AY117" s="65"/>
      <c r="AZ117" s="126"/>
      <c r="BA117" s="202"/>
      <c r="BB117" s="65"/>
    </row>
    <row r="118" spans="1:54" ht="12.75" x14ac:dyDescent="0.2">
      <c r="A118" s="150" t="s">
        <v>271</v>
      </c>
      <c r="B118" s="219">
        <v>25</v>
      </c>
      <c r="C118" s="62">
        <v>0.02</v>
      </c>
      <c r="D118" s="217">
        <v>0.04</v>
      </c>
      <c r="E118" s="220">
        <v>0.08</v>
      </c>
      <c r="F118" s="220">
        <v>0.16</v>
      </c>
      <c r="G118" s="220">
        <v>5.0000000000000001E-3</v>
      </c>
      <c r="H118" s="221">
        <v>1200</v>
      </c>
      <c r="I118" s="222"/>
      <c r="J118" s="231" t="s">
        <v>278</v>
      </c>
      <c r="K118" s="222">
        <v>2</v>
      </c>
      <c r="L118" s="207"/>
      <c r="M118" s="207"/>
      <c r="N118" s="124"/>
      <c r="O118" s="95"/>
      <c r="P118" s="95"/>
      <c r="R118" s="45"/>
      <c r="S118" s="45"/>
      <c r="T118" s="131"/>
      <c r="U118" s="122"/>
      <c r="V118" s="30"/>
      <c r="W118" s="122"/>
      <c r="X118" s="122"/>
      <c r="Y118" s="152"/>
      <c r="Z118" s="152"/>
      <c r="AA118" s="12"/>
      <c r="AB118" s="229">
        <f>AB116*K112/K118</f>
        <v>22.5</v>
      </c>
      <c r="AC118" s="230">
        <f>AC116*K118/K112</f>
        <v>4.4444444444444446</v>
      </c>
      <c r="AD118" s="157">
        <f>AD116</f>
        <v>100</v>
      </c>
      <c r="AE118" s="157">
        <f>AB118 * (1 + D118) / (1 - G118)</f>
        <v>23.517587939698494</v>
      </c>
      <c r="AF118" s="217">
        <f>(B118 - AE118) / AE118</f>
        <v>6.3034188034187963E-2</v>
      </c>
      <c r="AG118" s="230"/>
      <c r="AH118" s="229">
        <f>AH116*K112/K118</f>
        <v>22.5</v>
      </c>
      <c r="AI118" s="230">
        <f>AI116*K118/K112</f>
        <v>4.4444444444444446</v>
      </c>
      <c r="AJ118" s="157">
        <f>AJ116</f>
        <v>100</v>
      </c>
      <c r="AK118" s="157">
        <f>AH118 * (1 + E118) / (1 - G118)</f>
        <v>24.422110552763819</v>
      </c>
      <c r="AL118" s="217">
        <f>(B118 - AK118) / AK118</f>
        <v>2.3662551440329235E-2</v>
      </c>
      <c r="AM118" s="222"/>
      <c r="AN118" s="229">
        <f>AN116*K112/K118</f>
        <v>25</v>
      </c>
      <c r="AO118" s="230">
        <f>AO116*K118/K112</f>
        <v>4.8000000000000007</v>
      </c>
      <c r="AP118" s="157">
        <f>AP116</f>
        <v>120</v>
      </c>
      <c r="AQ118" s="157">
        <f>AN118 * (1 + F118) / (1 - G118)</f>
        <v>29.145728643216078</v>
      </c>
      <c r="AR118" s="217">
        <f>(B118 - AQ118) / AQ118</f>
        <v>-0.14224137931034475</v>
      </c>
      <c r="AS118" s="222"/>
      <c r="AT118" s="233">
        <f>AW118+AV118+AU118</f>
        <v>29.888888888888886</v>
      </c>
      <c r="AU118" s="233">
        <f>AC118+AC119</f>
        <v>13.444444444444445</v>
      </c>
      <c r="AV118" s="233">
        <f>AI118+AI119</f>
        <v>11.644444444444444</v>
      </c>
      <c r="AW118" s="233">
        <f>AO118</f>
        <v>4.8000000000000007</v>
      </c>
      <c r="AX118" s="234">
        <f>AX116</f>
        <v>717.91250000000002</v>
      </c>
      <c r="AY118" s="221">
        <v>0</v>
      </c>
      <c r="AZ118" s="229">
        <f>AT118*B118</f>
        <v>747.22222222222217</v>
      </c>
      <c r="BA118" s="206">
        <f>(AY118+AZ118-AX118)/AX118</f>
        <v>4.0826315494189261E-2</v>
      </c>
      <c r="BB118" s="221">
        <f>H118-AX118+AY118</f>
        <v>482.08749999999998</v>
      </c>
    </row>
    <row r="119" spans="1:54" ht="12.75" x14ac:dyDescent="0.2">
      <c r="A119" s="150"/>
      <c r="B119" s="33"/>
      <c r="C119" s="67"/>
      <c r="D119" s="124"/>
      <c r="E119" s="95"/>
      <c r="F119" s="95"/>
      <c r="G119" s="95"/>
      <c r="H119" s="95"/>
      <c r="L119" s="207"/>
      <c r="M119" s="207"/>
      <c r="N119" s="124"/>
      <c r="O119" s="95"/>
      <c r="P119" s="95"/>
      <c r="R119" s="45"/>
      <c r="S119" s="45"/>
      <c r="T119" s="131"/>
      <c r="U119" s="122"/>
      <c r="V119" s="30"/>
      <c r="W119" s="122"/>
      <c r="X119" s="122"/>
      <c r="Y119" s="152"/>
      <c r="Z119" s="152"/>
      <c r="AA119" s="12"/>
      <c r="AB119" s="229">
        <f>AB117*K112/K118</f>
        <v>25</v>
      </c>
      <c r="AC119" s="230">
        <f>AC117*K118/K112</f>
        <v>9</v>
      </c>
      <c r="AD119" s="157">
        <f>AD117</f>
        <v>225</v>
      </c>
      <c r="AE119" s="157">
        <f>AB119 * (1 + D118) / (1 - G118)</f>
        <v>26.13065326633166</v>
      </c>
      <c r="AF119" s="217">
        <f>(B118 - AE119) / AE119</f>
        <v>-4.3269230769230817E-2</v>
      </c>
      <c r="AG119" s="230"/>
      <c r="AH119" s="229">
        <f>AH117*K112/K118</f>
        <v>25</v>
      </c>
      <c r="AI119" s="230">
        <f>AI117*K118/K112</f>
        <v>7.1999999999999993</v>
      </c>
      <c r="AJ119" s="157">
        <f>AJ117</f>
        <v>180</v>
      </c>
      <c r="AK119" s="157">
        <f>AH119 * (1 + E118) / (1 - G118)</f>
        <v>27.1356783919598</v>
      </c>
      <c r="AL119" s="217">
        <f>(B118 - AK119) / AK119</f>
        <v>-7.8703703703703748E-2</v>
      </c>
      <c r="AM119" s="222"/>
      <c r="AN119" s="229"/>
      <c r="AO119" s="230"/>
      <c r="AP119" s="157"/>
      <c r="AQ119" s="157"/>
      <c r="AR119" s="217"/>
      <c r="AS119" s="222"/>
      <c r="AT119" s="233"/>
      <c r="AU119" s="233"/>
      <c r="AV119" s="233"/>
      <c r="AW119" s="233"/>
      <c r="AX119" s="234"/>
      <c r="AY119" s="221"/>
      <c r="AZ119" s="229"/>
      <c r="BA119" s="206"/>
      <c r="BB119" s="221"/>
    </row>
    <row r="120" spans="1:54" ht="12.75" x14ac:dyDescent="0.2">
      <c r="A120" s="182" t="s">
        <v>274</v>
      </c>
      <c r="B120" s="40">
        <v>25</v>
      </c>
      <c r="C120" s="55">
        <v>0.02</v>
      </c>
      <c r="D120" s="129">
        <v>0.04</v>
      </c>
      <c r="E120" s="125">
        <v>0.08</v>
      </c>
      <c r="F120" s="125">
        <v>0.16</v>
      </c>
      <c r="G120" s="125">
        <v>5.0000000000000001E-3</v>
      </c>
      <c r="H120" s="65">
        <v>1200</v>
      </c>
      <c r="I120" s="125"/>
      <c r="J120" s="134" t="s">
        <v>73</v>
      </c>
      <c r="K120" s="134" t="s">
        <v>211</v>
      </c>
      <c r="L120" s="40">
        <v>20</v>
      </c>
      <c r="M120" s="153" t="s">
        <v>34</v>
      </c>
      <c r="N120" s="153" t="s">
        <v>34</v>
      </c>
      <c r="O120" s="125">
        <v>1</v>
      </c>
      <c r="P120" s="153" t="s">
        <v>34</v>
      </c>
      <c r="Q120" s="35"/>
      <c r="R120" s="47" t="s">
        <v>274</v>
      </c>
      <c r="S120" s="47" t="s">
        <v>73</v>
      </c>
      <c r="T120" s="203" t="s">
        <v>211</v>
      </c>
      <c r="U120" s="126">
        <v>25</v>
      </c>
      <c r="V120" s="43">
        <f>AI118*O120</f>
        <v>4.4444444444444446</v>
      </c>
      <c r="W120" s="126">
        <f>U120*V120-(U120*V120*G120)</f>
        <v>110.55555555555556</v>
      </c>
      <c r="X120" s="153" t="s">
        <v>34</v>
      </c>
      <c r="Y120" s="153">
        <f>W120-(AH118*V120)</f>
        <v>10.555555555555557</v>
      </c>
      <c r="Z120" s="199">
        <f>Y120/(AH118*V120)</f>
        <v>0.10555555555555557</v>
      </c>
      <c r="AA120" s="41"/>
      <c r="AB120" s="126">
        <f>AB118</f>
        <v>22.5</v>
      </c>
      <c r="AC120" s="43">
        <f>AC118</f>
        <v>4.4444444444444446</v>
      </c>
      <c r="AD120" s="128">
        <f>AD118</f>
        <v>100</v>
      </c>
      <c r="AE120" s="128">
        <f>AB120 * (1 + D120) / (1 - G120)</f>
        <v>23.517587939698494</v>
      </c>
      <c r="AF120" s="129">
        <f>(B120 - AE120) / AE120</f>
        <v>6.3034188034187963E-2</v>
      </c>
      <c r="AG120" s="43"/>
      <c r="AH120" s="126"/>
      <c r="AI120" s="43"/>
      <c r="AJ120" s="128"/>
      <c r="AK120" s="128"/>
      <c r="AL120" s="129"/>
      <c r="AM120" s="35"/>
      <c r="AN120" s="126">
        <f>AN118</f>
        <v>25</v>
      </c>
      <c r="AO120" s="43">
        <f>AO118</f>
        <v>4.8000000000000007</v>
      </c>
      <c r="AP120" s="128">
        <f>AP118</f>
        <v>120</v>
      </c>
      <c r="AQ120" s="128">
        <f>AN120 * (1 + F120) / (1 - G120)</f>
        <v>29.145728643216078</v>
      </c>
      <c r="AR120" s="129">
        <f>(B120 - AQ120) / AQ120</f>
        <v>-0.14224137931034475</v>
      </c>
      <c r="AS120" s="35"/>
      <c r="AT120" s="39">
        <f>AW120+AV120+AU120</f>
        <v>25.444444444444443</v>
      </c>
      <c r="AU120" s="39">
        <f>AC120+AC121</f>
        <v>13.444444444444445</v>
      </c>
      <c r="AV120" s="39">
        <f>AI120+AI121</f>
        <v>7.1999999999999993</v>
      </c>
      <c r="AW120" s="39">
        <f>AO120</f>
        <v>4.8000000000000007</v>
      </c>
      <c r="AX120" s="201">
        <f>AX118</f>
        <v>717.91250000000002</v>
      </c>
      <c r="AY120" s="65">
        <f>W120</f>
        <v>110.55555555555556</v>
      </c>
      <c r="AZ120" s="126">
        <f>AT120*B120</f>
        <v>636.11111111111109</v>
      </c>
      <c r="BA120" s="202">
        <f>(AY120+AZ120-AX120)/AX120</f>
        <v>4.0052466932483564E-2</v>
      </c>
      <c r="BB120" s="65">
        <f>H120-AX120+AY120</f>
        <v>592.64305555555552</v>
      </c>
    </row>
    <row r="121" spans="1:54" ht="12.75" x14ac:dyDescent="0.2">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41"/>
      <c r="AB121" s="126">
        <f>AB119</f>
        <v>25</v>
      </c>
      <c r="AC121" s="43">
        <f>AC119</f>
        <v>9</v>
      </c>
      <c r="AD121" s="128">
        <f>AD119</f>
        <v>225</v>
      </c>
      <c r="AE121" s="128">
        <f>AB121 * (1 + D120) / (1 - G120)</f>
        <v>26.13065326633166</v>
      </c>
      <c r="AF121" s="129">
        <f>(B120 - AE121) / AE121</f>
        <v>-4.3269230769230817E-2</v>
      </c>
      <c r="AG121" s="43"/>
      <c r="AH121" s="126">
        <f>AH119</f>
        <v>25</v>
      </c>
      <c r="AI121" s="43">
        <f>AI119</f>
        <v>7.1999999999999993</v>
      </c>
      <c r="AJ121" s="128">
        <f>AJ119</f>
        <v>180</v>
      </c>
      <c r="AK121" s="128">
        <f>AH121 * (1 + E120) / (1 - G120)</f>
        <v>27.1356783919598</v>
      </c>
      <c r="AL121" s="129">
        <f>(B120 - AK121) / AK121</f>
        <v>-7.8703703703703748E-2</v>
      </c>
      <c r="AM121" s="35"/>
      <c r="AN121" s="35"/>
      <c r="AO121" s="35"/>
      <c r="AP121" s="35"/>
      <c r="AQ121" s="35"/>
      <c r="AR121" s="35"/>
      <c r="AS121" s="35"/>
      <c r="AT121" s="35"/>
      <c r="AU121" s="35"/>
      <c r="AV121" s="35"/>
      <c r="AW121" s="35"/>
      <c r="AX121" s="35"/>
      <c r="AY121" s="35"/>
      <c r="AZ121" s="35"/>
      <c r="BA121" s="35"/>
      <c r="BB121" s="35"/>
    </row>
    <row r="122" spans="1:54" ht="12.75" x14ac:dyDescent="0.2">
      <c r="A122" s="218" t="s">
        <v>275</v>
      </c>
      <c r="B122" s="219">
        <v>25</v>
      </c>
      <c r="C122" s="62">
        <v>0.02</v>
      </c>
      <c r="D122" s="217">
        <v>0.04</v>
      </c>
      <c r="E122" s="220">
        <v>0.08</v>
      </c>
      <c r="F122" s="220">
        <v>0.16</v>
      </c>
      <c r="G122" s="220">
        <v>5.0000000000000001E-3</v>
      </c>
      <c r="H122" s="221">
        <v>1200</v>
      </c>
      <c r="I122" s="222"/>
      <c r="J122" s="231" t="s">
        <v>276</v>
      </c>
      <c r="K122" s="222"/>
      <c r="L122" s="207"/>
      <c r="M122" s="207"/>
      <c r="N122" s="217"/>
      <c r="O122" s="220"/>
      <c r="P122" s="220"/>
      <c r="Q122" s="222"/>
      <c r="R122" s="223" t="s">
        <v>274</v>
      </c>
      <c r="S122" s="223" t="s">
        <v>73</v>
      </c>
      <c r="T122" s="224" t="s">
        <v>211</v>
      </c>
      <c r="U122" s="225">
        <f>U120</f>
        <v>25</v>
      </c>
      <c r="V122" s="226">
        <f>V120</f>
        <v>4.4444444444444446</v>
      </c>
      <c r="W122" s="225">
        <f>U122*V122-(U122*V122*G122)</f>
        <v>110.55555555555556</v>
      </c>
      <c r="X122" s="227" t="s">
        <v>34</v>
      </c>
      <c r="Y122" s="227">
        <f>Y120</f>
        <v>10.555555555555557</v>
      </c>
      <c r="Z122" s="216">
        <f>Z120</f>
        <v>0.10555555555555557</v>
      </c>
      <c r="AA122" s="228"/>
      <c r="AB122" s="229">
        <f>AB120</f>
        <v>22.5</v>
      </c>
      <c r="AC122" s="230">
        <f>AC120</f>
        <v>4.4444444444444446</v>
      </c>
      <c r="AD122" s="157">
        <f>AD120</f>
        <v>100</v>
      </c>
      <c r="AE122" s="157">
        <f>AB122 * (1 + D122) / (1 - G122)</f>
        <v>23.517587939698494</v>
      </c>
      <c r="AF122" s="217">
        <f>(B122 - AE122) / AE122</f>
        <v>6.3034188034187963E-2</v>
      </c>
      <c r="AG122" s="230"/>
      <c r="AH122" s="229">
        <f>AH118</f>
        <v>22.5</v>
      </c>
      <c r="AI122" s="230">
        <f>AI118</f>
        <v>4.4444444444444446</v>
      </c>
      <c r="AJ122" s="157">
        <f>AJ118</f>
        <v>100</v>
      </c>
      <c r="AK122" s="157">
        <f>AH122 * (1 + E122) / (1 - G122)</f>
        <v>24.422110552763819</v>
      </c>
      <c r="AL122" s="217">
        <f>(B122 - AK122) / AK122</f>
        <v>2.3662551440329235E-2</v>
      </c>
      <c r="AM122" s="222"/>
      <c r="AN122" s="229">
        <f>AN120</f>
        <v>25</v>
      </c>
      <c r="AO122" s="230">
        <f>AO120</f>
        <v>4.8000000000000007</v>
      </c>
      <c r="AP122" s="157">
        <f>AP120</f>
        <v>120</v>
      </c>
      <c r="AQ122" s="157">
        <f>AN122 * (1 + F122) / (1 - G122)</f>
        <v>29.145728643216078</v>
      </c>
      <c r="AR122" s="217">
        <f>(B122 - AQ122) / AQ122</f>
        <v>-0.14224137931034475</v>
      </c>
      <c r="AS122" s="222"/>
      <c r="AT122" s="233">
        <f>AW122+AV122+AU122</f>
        <v>29.888888888888886</v>
      </c>
      <c r="AU122" s="233">
        <f>AC122+AC123</f>
        <v>13.444444444444445</v>
      </c>
      <c r="AV122" s="233">
        <f>AI122+AI123</f>
        <v>11.644444444444444</v>
      </c>
      <c r="AW122" s="233">
        <f>AO122</f>
        <v>4.8000000000000007</v>
      </c>
      <c r="AX122" s="234">
        <f>AX120</f>
        <v>717.91250000000002</v>
      </c>
      <c r="AY122" s="221">
        <v>0</v>
      </c>
      <c r="AZ122" s="229">
        <f>AT122*B122</f>
        <v>747.22222222222217</v>
      </c>
      <c r="BA122" s="206">
        <f>(AY122+AZ122-AX122)/AX122</f>
        <v>4.0826315494189261E-2</v>
      </c>
      <c r="BB122" s="221">
        <f>H122-AX122+AY122</f>
        <v>482.08749999999998</v>
      </c>
    </row>
    <row r="123" spans="1:54" ht="12.75" x14ac:dyDescent="0.2">
      <c r="A123" s="218"/>
      <c r="B123" s="219"/>
      <c r="C123" s="62"/>
      <c r="D123" s="217"/>
      <c r="E123" s="220"/>
      <c r="F123" s="220"/>
      <c r="G123" s="220"/>
      <c r="H123" s="221"/>
      <c r="I123" s="222"/>
      <c r="J123" s="222"/>
      <c r="K123" s="222"/>
      <c r="L123" s="207"/>
      <c r="M123" s="207"/>
      <c r="N123" s="217"/>
      <c r="O123" s="220"/>
      <c r="P123" s="220"/>
      <c r="Q123" s="222"/>
      <c r="R123" s="223"/>
      <c r="S123" s="223"/>
      <c r="T123" s="224"/>
      <c r="U123" s="225"/>
      <c r="V123" s="226"/>
      <c r="W123" s="225"/>
      <c r="X123" s="227"/>
      <c r="Y123" s="227"/>
      <c r="Z123" s="216"/>
      <c r="AA123" s="228"/>
      <c r="AB123" s="229">
        <f>AB121</f>
        <v>25</v>
      </c>
      <c r="AC123" s="230">
        <f>AC121</f>
        <v>9</v>
      </c>
      <c r="AD123" s="157">
        <f>AD121</f>
        <v>225</v>
      </c>
      <c r="AE123" s="157">
        <f>AB123 * (1 + D122) / (1 - G122)</f>
        <v>26.13065326633166</v>
      </c>
      <c r="AF123" s="217">
        <f>(B122 - AE123) / AE123</f>
        <v>-4.3269230769230817E-2</v>
      </c>
      <c r="AG123" s="230"/>
      <c r="AH123" s="229">
        <f>AH121</f>
        <v>25</v>
      </c>
      <c r="AI123" s="230">
        <f>AI121</f>
        <v>7.1999999999999993</v>
      </c>
      <c r="AJ123" s="157">
        <f>AJ121</f>
        <v>180</v>
      </c>
      <c r="AK123" s="157">
        <f>AH123 * (1 + E122) / (1 - G122)</f>
        <v>27.1356783919598</v>
      </c>
      <c r="AL123" s="217">
        <f>(B122 - AK123) / AK123</f>
        <v>-7.8703703703703748E-2</v>
      </c>
      <c r="AM123" s="222"/>
      <c r="AN123" s="229"/>
      <c r="AO123" s="230"/>
      <c r="AP123" s="157"/>
      <c r="AQ123" s="157"/>
      <c r="AR123" s="217"/>
      <c r="AS123" s="222"/>
      <c r="AT123" s="233"/>
      <c r="AU123" s="233"/>
      <c r="AV123" s="233"/>
      <c r="AW123" s="233"/>
      <c r="AX123" s="234"/>
      <c r="AY123" s="221"/>
      <c r="AZ123" s="229"/>
      <c r="BA123" s="206"/>
      <c r="BB123" s="221"/>
    </row>
    <row r="124" spans="1:54" ht="12.75" x14ac:dyDescent="0.2">
      <c r="A124" s="182" t="s">
        <v>277</v>
      </c>
      <c r="B124" s="40">
        <v>25</v>
      </c>
      <c r="C124" s="55">
        <v>0.02</v>
      </c>
      <c r="D124" s="129">
        <v>0.04</v>
      </c>
      <c r="E124" s="125">
        <v>0.08</v>
      </c>
      <c r="F124" s="125">
        <v>0.16</v>
      </c>
      <c r="G124" s="125">
        <v>5.0000000000000001E-3</v>
      </c>
      <c r="H124" s="65">
        <v>1200</v>
      </c>
      <c r="I124" s="35"/>
      <c r="J124" s="47" t="s">
        <v>277</v>
      </c>
      <c r="K124" s="35"/>
      <c r="L124" s="211"/>
      <c r="M124" s="211"/>
      <c r="N124" s="129"/>
      <c r="O124" s="125"/>
      <c r="P124" s="125"/>
      <c r="Q124" s="35"/>
      <c r="R124" s="47"/>
      <c r="S124" s="47"/>
      <c r="T124" s="203"/>
      <c r="U124" s="126"/>
      <c r="V124" s="43"/>
      <c r="W124" s="126"/>
      <c r="X124" s="126"/>
      <c r="Y124" s="153"/>
      <c r="Z124" s="153"/>
      <c r="AA124" s="41"/>
      <c r="AB124" s="126">
        <f>AB122*K118</f>
        <v>45</v>
      </c>
      <c r="AC124" s="43">
        <f>AC122/K118</f>
        <v>2.2222222222222223</v>
      </c>
      <c r="AD124" s="128">
        <f>AD122</f>
        <v>100</v>
      </c>
      <c r="AE124" s="128">
        <f>AB124 * (1 + D124) / (1 - G124)</f>
        <v>47.035175879396988</v>
      </c>
      <c r="AF124" s="129">
        <f>(B124 - AE124) / AE124</f>
        <v>-0.46848290598290604</v>
      </c>
      <c r="AG124" s="43"/>
      <c r="AH124" s="126">
        <f>AH122*K118</f>
        <v>45</v>
      </c>
      <c r="AI124" s="43">
        <f>AI122/K118</f>
        <v>2.2222222222222223</v>
      </c>
      <c r="AJ124" s="128">
        <f>AJ122</f>
        <v>100</v>
      </c>
      <c r="AK124" s="128">
        <f>AH124 * (1 + E124) / (1 - G124)</f>
        <v>48.844221105527637</v>
      </c>
      <c r="AL124" s="129">
        <f>(B124 - AK124) / AK124</f>
        <v>-0.48816872427983538</v>
      </c>
      <c r="AM124" s="35"/>
      <c r="AN124" s="126">
        <f>AN122*K118</f>
        <v>50</v>
      </c>
      <c r="AO124" s="43">
        <f>AO122/K118</f>
        <v>2.4000000000000004</v>
      </c>
      <c r="AP124" s="128">
        <f>AP122</f>
        <v>120</v>
      </c>
      <c r="AQ124" s="128">
        <f>AN124 * (1 + F124) / (1 - G124)</f>
        <v>58.291457286432156</v>
      </c>
      <c r="AR124" s="129">
        <f>(B124 - AQ124) / AQ124</f>
        <v>-0.57112068965517238</v>
      </c>
      <c r="AS124" s="35"/>
      <c r="AT124" s="39">
        <f>AW124+AV124+AU124</f>
        <v>14.944444444444443</v>
      </c>
      <c r="AU124" s="39">
        <f>AC124+AC125</f>
        <v>6.7222222222222223</v>
      </c>
      <c r="AV124" s="39">
        <f>AI124+AI125</f>
        <v>5.822222222222222</v>
      </c>
      <c r="AW124" s="39">
        <f>AO124</f>
        <v>2.4000000000000004</v>
      </c>
      <c r="AX124" s="201">
        <f>AX122</f>
        <v>717.91250000000002</v>
      </c>
      <c r="AY124" s="65">
        <v>0</v>
      </c>
      <c r="AZ124" s="126">
        <f>AT124*B124</f>
        <v>373.61111111111109</v>
      </c>
      <c r="BA124" s="202">
        <f>(AY124+AZ124-AX124)/AX124</f>
        <v>-0.47958684225290538</v>
      </c>
      <c r="BB124" s="65">
        <f>H124-AX124+AY124</f>
        <v>482.08749999999998</v>
      </c>
    </row>
    <row r="125" spans="1:54" ht="12.75" x14ac:dyDescent="0.2">
      <c r="A125" s="182"/>
      <c r="B125" s="36"/>
      <c r="C125" s="210"/>
      <c r="D125" s="129"/>
      <c r="E125" s="125"/>
      <c r="F125" s="125"/>
      <c r="G125" s="125"/>
      <c r="H125" s="125"/>
      <c r="I125" s="35"/>
      <c r="J125" s="35"/>
      <c r="K125" s="35"/>
      <c r="L125" s="211"/>
      <c r="M125" s="211"/>
      <c r="N125" s="129"/>
      <c r="O125" s="125"/>
      <c r="P125" s="125"/>
      <c r="Q125" s="35"/>
      <c r="R125" s="47"/>
      <c r="S125" s="47"/>
      <c r="T125" s="203"/>
      <c r="U125" s="126"/>
      <c r="V125" s="43"/>
      <c r="W125" s="126"/>
      <c r="X125" s="126"/>
      <c r="Y125" s="153"/>
      <c r="Z125" s="153"/>
      <c r="AA125" s="41"/>
      <c r="AB125" s="126">
        <f>AB123*K118</f>
        <v>50</v>
      </c>
      <c r="AC125" s="43">
        <f>AC123/K118</f>
        <v>4.5</v>
      </c>
      <c r="AD125" s="128">
        <f>AD123</f>
        <v>225</v>
      </c>
      <c r="AE125" s="128">
        <f>AB125 * (1 + D124) / (1 - G124)</f>
        <v>52.261306532663319</v>
      </c>
      <c r="AF125" s="129">
        <f>(B124 - AE125) / AE125</f>
        <v>-0.52163461538461542</v>
      </c>
      <c r="AG125" s="43"/>
      <c r="AH125" s="126">
        <f>AH123*K118</f>
        <v>50</v>
      </c>
      <c r="AI125" s="43">
        <f>AI123/K118</f>
        <v>3.5999999999999996</v>
      </c>
      <c r="AJ125" s="128">
        <f>AJ123</f>
        <v>180</v>
      </c>
      <c r="AK125" s="128">
        <f>AH125 * (1 + E124) / (1 - G124)</f>
        <v>54.2713567839196</v>
      </c>
      <c r="AL125" s="129">
        <f>(B124 - AK125) / AK125</f>
        <v>-0.53935185185185186</v>
      </c>
      <c r="AM125" s="35"/>
      <c r="AN125" s="126"/>
      <c r="AO125" s="43"/>
      <c r="AP125" s="128"/>
      <c r="AQ125" s="128"/>
      <c r="AR125" s="129"/>
      <c r="AS125" s="35"/>
      <c r="AT125" s="39"/>
      <c r="AU125" s="39"/>
      <c r="AV125" s="39"/>
      <c r="AW125" s="39"/>
      <c r="AX125" s="201"/>
      <c r="AY125" s="65"/>
      <c r="AZ125" s="126"/>
      <c r="BA125" s="202"/>
      <c r="BB125" s="65"/>
    </row>
    <row r="126" spans="1:54" ht="12.75" x14ac:dyDescent="0.2">
      <c r="A126" s="150"/>
      <c r="B126" s="219"/>
      <c r="C126" s="62"/>
      <c r="D126" s="217"/>
      <c r="E126" s="220"/>
      <c r="F126" s="220"/>
      <c r="G126" s="220"/>
      <c r="H126" s="221"/>
      <c r="L126" s="207"/>
      <c r="M126" s="207"/>
      <c r="N126" s="124"/>
      <c r="O126" s="95"/>
      <c r="P126" s="95"/>
      <c r="R126" s="45"/>
      <c r="S126" s="45"/>
      <c r="T126" s="131"/>
      <c r="U126" s="122"/>
      <c r="V126" s="30"/>
      <c r="W126" s="122"/>
      <c r="X126" s="122"/>
      <c r="Y126" s="152"/>
      <c r="Z126" s="152"/>
      <c r="AA126" s="12"/>
      <c r="AB126" s="229"/>
      <c r="AC126" s="230"/>
      <c r="AD126" s="157"/>
      <c r="AE126" s="157"/>
      <c r="AF126" s="217"/>
      <c r="AG126" s="230"/>
      <c r="AH126" s="229"/>
      <c r="AI126" s="230"/>
      <c r="AJ126" s="157"/>
      <c r="AK126" s="157"/>
      <c r="AL126" s="217"/>
      <c r="AM126" s="222"/>
      <c r="AN126" s="222"/>
      <c r="AO126" s="222"/>
      <c r="AP126" s="222"/>
      <c r="AQ126" s="222"/>
      <c r="AR126" s="222"/>
      <c r="AS126" s="222"/>
      <c r="AT126" s="222"/>
      <c r="AU126" s="222"/>
      <c r="AV126" s="222"/>
      <c r="AW126" s="222"/>
      <c r="AX126" s="222"/>
      <c r="AY126" s="222"/>
      <c r="AZ126" s="222"/>
      <c r="BA126" s="222"/>
      <c r="BB126" s="222"/>
    </row>
    <row r="127" spans="1:54" ht="12.75" x14ac:dyDescent="0.2">
      <c r="A127" s="214" t="s">
        <v>279</v>
      </c>
      <c r="B127" s="33"/>
      <c r="C127" s="67"/>
      <c r="D127" s="124"/>
      <c r="E127" s="95"/>
      <c r="F127" s="95"/>
      <c r="G127" s="95"/>
      <c r="H127" s="95"/>
      <c r="L127" s="207"/>
      <c r="M127" s="207"/>
      <c r="N127" s="124"/>
      <c r="O127" s="95"/>
      <c r="P127" s="95"/>
      <c r="R127" s="45"/>
      <c r="S127" s="45"/>
      <c r="T127" s="131"/>
      <c r="U127" s="122"/>
      <c r="V127" s="30"/>
      <c r="W127" s="122"/>
      <c r="X127" s="122"/>
      <c r="Y127" s="152"/>
      <c r="Z127" s="152"/>
      <c r="AA127" s="12"/>
      <c r="AB127" s="229"/>
      <c r="AC127" s="230"/>
      <c r="AD127" s="157"/>
      <c r="AE127" s="157"/>
      <c r="AF127" s="217"/>
      <c r="AG127" s="230"/>
      <c r="AH127" s="229"/>
      <c r="AI127" s="230"/>
      <c r="AJ127" s="157"/>
      <c r="AK127" s="157"/>
      <c r="AL127" s="217"/>
      <c r="AM127" s="222"/>
      <c r="AN127" s="222"/>
      <c r="AO127" s="222"/>
      <c r="AP127" s="222"/>
      <c r="AQ127" s="222"/>
      <c r="AR127" s="222"/>
      <c r="AS127" s="222"/>
      <c r="AT127" s="222"/>
      <c r="AU127" s="222"/>
      <c r="AV127" s="222"/>
      <c r="AW127" s="222"/>
      <c r="AX127" s="222"/>
      <c r="AY127" s="222"/>
      <c r="AZ127" s="222"/>
      <c r="BA127" s="222"/>
      <c r="BB127" s="222"/>
    </row>
    <row r="128" spans="1:54" ht="12.75" x14ac:dyDescent="0.2">
      <c r="B128" s="45" t="s">
        <v>204</v>
      </c>
      <c r="C128" s="109"/>
      <c r="J128" s="45" t="s">
        <v>202</v>
      </c>
      <c r="R128" s="45" t="s">
        <v>203</v>
      </c>
      <c r="T128" s="12"/>
      <c r="U128" s="12"/>
      <c r="V128" s="12"/>
      <c r="W128" s="12"/>
      <c r="X128" s="12"/>
      <c r="Y128" s="12"/>
      <c r="Z128" s="12"/>
      <c r="AA128" s="12"/>
      <c r="AB128" s="130" t="s">
        <v>205</v>
      </c>
      <c r="AC128" s="46"/>
      <c r="AD128" s="46"/>
      <c r="AE128" s="46"/>
      <c r="AF128" s="46"/>
      <c r="AG128" s="46"/>
      <c r="AH128" s="130" t="s">
        <v>207</v>
      </c>
      <c r="AI128" s="46"/>
      <c r="AJ128" s="46"/>
      <c r="AK128" s="46"/>
      <c r="AL128" s="46"/>
      <c r="AM128" s="45"/>
      <c r="AN128" s="130" t="s">
        <v>208</v>
      </c>
      <c r="AO128" s="12"/>
      <c r="AP128" s="12"/>
      <c r="AQ128" s="12"/>
      <c r="AR128" s="12"/>
      <c r="AT128" s="130" t="s">
        <v>206</v>
      </c>
    </row>
    <row r="129" spans="1:54" ht="12.75" x14ac:dyDescent="0.2">
      <c r="B129" s="57" t="s">
        <v>209</v>
      </c>
      <c r="C129" s="28" t="s">
        <v>190</v>
      </c>
      <c r="D129" s="57" t="s">
        <v>191</v>
      </c>
      <c r="E129" s="28" t="s">
        <v>192</v>
      </c>
      <c r="F129" s="28" t="s">
        <v>193</v>
      </c>
      <c r="G129" s="57" t="s">
        <v>112</v>
      </c>
      <c r="H129" s="57" t="s">
        <v>244</v>
      </c>
      <c r="I129" s="101"/>
      <c r="J129" s="28" t="s">
        <v>76</v>
      </c>
      <c r="K129" s="28" t="s">
        <v>4</v>
      </c>
      <c r="L129" s="57" t="s">
        <v>0</v>
      </c>
      <c r="M129" s="57" t="s">
        <v>1</v>
      </c>
      <c r="N129" s="28" t="s">
        <v>191</v>
      </c>
      <c r="O129" s="28" t="s">
        <v>192</v>
      </c>
      <c r="P129" s="28" t="s">
        <v>193</v>
      </c>
      <c r="R129" s="28"/>
      <c r="S129" s="28" t="s">
        <v>76</v>
      </c>
      <c r="T129" s="28" t="s">
        <v>4</v>
      </c>
      <c r="U129" s="57" t="s">
        <v>0</v>
      </c>
      <c r="V129" s="28" t="s">
        <v>62</v>
      </c>
      <c r="W129" s="57" t="s">
        <v>220</v>
      </c>
      <c r="X129" s="57" t="s">
        <v>190</v>
      </c>
      <c r="Y129" s="57" t="s">
        <v>194</v>
      </c>
      <c r="Z129" s="28" t="s">
        <v>195</v>
      </c>
      <c r="AA129" s="12"/>
      <c r="AB129" s="28" t="s">
        <v>0</v>
      </c>
      <c r="AC129" s="28" t="s">
        <v>196</v>
      </c>
      <c r="AD129" s="57" t="s">
        <v>1</v>
      </c>
      <c r="AE129" s="57" t="s">
        <v>197</v>
      </c>
      <c r="AF129" s="57" t="s">
        <v>198</v>
      </c>
      <c r="AG129" s="60"/>
      <c r="AH129" s="28" t="s">
        <v>0</v>
      </c>
      <c r="AI129" s="28" t="s">
        <v>196</v>
      </c>
      <c r="AJ129" s="57" t="s">
        <v>1</v>
      </c>
      <c r="AK129" s="57" t="s">
        <v>197</v>
      </c>
      <c r="AL129" s="57" t="s">
        <v>198</v>
      </c>
      <c r="AN129" s="28" t="s">
        <v>0</v>
      </c>
      <c r="AO129" s="28" t="s">
        <v>196</v>
      </c>
      <c r="AP129" s="57" t="s">
        <v>1</v>
      </c>
      <c r="AQ129" s="57" t="s">
        <v>197</v>
      </c>
      <c r="AR129" s="57" t="s">
        <v>198</v>
      </c>
      <c r="AT129" s="57" t="s">
        <v>199</v>
      </c>
      <c r="AU129" s="28" t="s">
        <v>191</v>
      </c>
      <c r="AV129" s="28" t="s">
        <v>192</v>
      </c>
      <c r="AW129" s="28" t="s">
        <v>193</v>
      </c>
      <c r="AX129" s="57" t="s">
        <v>79</v>
      </c>
      <c r="AY129" s="57" t="s">
        <v>242</v>
      </c>
      <c r="AZ129" s="57" t="s">
        <v>241</v>
      </c>
      <c r="BA129" s="57" t="s">
        <v>251</v>
      </c>
      <c r="BB129" s="57" t="s">
        <v>243</v>
      </c>
    </row>
    <row r="130" spans="1:54" ht="12.75" x14ac:dyDescent="0.2">
      <c r="A130" s="110" t="s">
        <v>215</v>
      </c>
      <c r="B130" s="52">
        <v>100</v>
      </c>
      <c r="C130" s="54">
        <v>0.02</v>
      </c>
      <c r="D130" s="124">
        <v>0.04</v>
      </c>
      <c r="E130" s="95">
        <v>0.08</v>
      </c>
      <c r="F130" s="95">
        <v>0.16</v>
      </c>
      <c r="G130" s="95">
        <v>5.0000000000000001E-3</v>
      </c>
      <c r="H130" s="63">
        <v>1200</v>
      </c>
      <c r="I130" s="95"/>
      <c r="J130" s="133" t="s">
        <v>75</v>
      </c>
      <c r="K130" s="133" t="s">
        <v>78</v>
      </c>
      <c r="L130" s="52">
        <v>100</v>
      </c>
      <c r="M130" s="52">
        <v>300</v>
      </c>
      <c r="N130" s="124">
        <v>0.5</v>
      </c>
      <c r="O130" s="95">
        <v>0.3</v>
      </c>
      <c r="P130" s="95">
        <v>0.2</v>
      </c>
      <c r="R130" s="45" t="s">
        <v>215</v>
      </c>
      <c r="S130" s="45" t="s">
        <v>75</v>
      </c>
      <c r="T130" s="131" t="s">
        <v>78</v>
      </c>
      <c r="U130" s="122">
        <f>L130</f>
        <v>100</v>
      </c>
      <c r="V130" s="30">
        <f>W130/U130</f>
        <v>3</v>
      </c>
      <c r="W130" s="122">
        <f>M130</f>
        <v>300</v>
      </c>
      <c r="X130" s="122">
        <f>U130 * (1 - ABS(C130))</f>
        <v>98</v>
      </c>
      <c r="Y130" s="152" t="s">
        <v>34</v>
      </c>
      <c r="Z130" s="152" t="s">
        <v>34</v>
      </c>
      <c r="AA130" s="12"/>
      <c r="AB130" s="122">
        <f>U130</f>
        <v>100</v>
      </c>
      <c r="AC130" s="30">
        <f>V130*N130</f>
        <v>1.5</v>
      </c>
      <c r="AD130" s="123">
        <f>W130*N130</f>
        <v>150</v>
      </c>
      <c r="AE130" s="123">
        <f>AB130 * (1 + D130) / (1 - G130)</f>
        <v>104.52261306532664</v>
      </c>
      <c r="AF130" s="124">
        <f>(B130 - AE130) / AE130</f>
        <v>-4.3269230769230817E-2</v>
      </c>
      <c r="AG130" s="30"/>
      <c r="AH130" s="122">
        <f>U130</f>
        <v>100</v>
      </c>
      <c r="AI130" s="30">
        <f>V130*O130</f>
        <v>0.89999999999999991</v>
      </c>
      <c r="AJ130" s="123">
        <f>W130*O130</f>
        <v>90</v>
      </c>
      <c r="AK130" s="123">
        <f>AH130 * (1 + E130) / (1 - G130)</f>
        <v>108.5427135678392</v>
      </c>
      <c r="AL130" s="124">
        <f>(B130 - AK130) / AK130</f>
        <v>-7.8703703703703748E-2</v>
      </c>
      <c r="AN130" s="122">
        <f>U130</f>
        <v>100</v>
      </c>
      <c r="AO130" s="30">
        <f>V130*P130</f>
        <v>0.60000000000000009</v>
      </c>
      <c r="AP130" s="123">
        <f>W130*P130</f>
        <v>60</v>
      </c>
      <c r="AQ130" s="123">
        <f>AN130 * (1 + F130) / (1 - G130)</f>
        <v>116.58291457286431</v>
      </c>
      <c r="AR130" s="124">
        <f>(B130 - AQ130) / AQ130</f>
        <v>-0.14224137931034475</v>
      </c>
      <c r="AT130" s="32">
        <f>AW130+AV130+AU130</f>
        <v>3</v>
      </c>
      <c r="AU130" s="32">
        <f>AC130</f>
        <v>1.5</v>
      </c>
      <c r="AV130" s="32">
        <f>AI130</f>
        <v>0.89999999999999991</v>
      </c>
      <c r="AW130" s="32">
        <f>AO130</f>
        <v>0.60000000000000009</v>
      </c>
      <c r="AX130" s="196">
        <f>M130</f>
        <v>300</v>
      </c>
      <c r="AY130" s="63">
        <v>0</v>
      </c>
      <c r="AZ130" s="122">
        <f>AT130*B130</f>
        <v>300</v>
      </c>
      <c r="BA130" s="197">
        <f>(AY130+AZ130-AX130)/AX130</f>
        <v>0</v>
      </c>
      <c r="BB130" s="63">
        <f>H130-AX130+AY130</f>
        <v>900</v>
      </c>
    </row>
    <row r="131" spans="1:54" ht="12.75" x14ac:dyDescent="0.2">
      <c r="A131" s="150"/>
      <c r="B131" s="33"/>
      <c r="C131" s="67"/>
      <c r="D131" s="124"/>
      <c r="E131" s="95"/>
      <c r="F131" s="95"/>
      <c r="G131" s="95"/>
      <c r="H131" s="95"/>
      <c r="L131" s="207"/>
      <c r="M131" s="207"/>
      <c r="N131" s="124"/>
      <c r="O131" s="95"/>
      <c r="P131" s="95"/>
      <c r="R131" s="45"/>
      <c r="S131" s="45"/>
      <c r="T131" s="131"/>
      <c r="U131" s="122"/>
      <c r="V131" s="30"/>
      <c r="W131" s="122"/>
      <c r="X131" s="122"/>
      <c r="Y131" s="152"/>
      <c r="Z131" s="152"/>
      <c r="AA131" s="12"/>
      <c r="AB131" s="229"/>
      <c r="AC131" s="230"/>
      <c r="AD131" s="157"/>
      <c r="AE131" s="157"/>
      <c r="AF131" s="217"/>
      <c r="AG131" s="230"/>
      <c r="AH131" s="229"/>
      <c r="AI131" s="230"/>
      <c r="AJ131" s="157"/>
      <c r="AK131" s="157"/>
      <c r="AL131" s="217"/>
      <c r="AM131" s="222"/>
      <c r="AN131" s="222"/>
      <c r="AO131" s="222"/>
      <c r="AP131" s="222"/>
      <c r="AQ131" s="222"/>
      <c r="AR131" s="222"/>
      <c r="AS131" s="222"/>
      <c r="AT131" s="222"/>
      <c r="AU131" s="222"/>
      <c r="AV131" s="222"/>
      <c r="AW131" s="222"/>
      <c r="AX131" s="222"/>
      <c r="AY131" s="222"/>
      <c r="AZ131" s="222"/>
      <c r="BA131" s="222"/>
      <c r="BB131" s="222"/>
    </row>
    <row r="132" spans="1:54" ht="12.75" x14ac:dyDescent="0.2">
      <c r="A132" s="150"/>
      <c r="B132" s="33"/>
      <c r="C132" s="67"/>
      <c r="D132" s="124"/>
      <c r="E132" s="95"/>
      <c r="F132" s="95"/>
      <c r="G132" s="95"/>
      <c r="H132" s="95"/>
      <c r="L132" s="207"/>
      <c r="M132" s="207"/>
      <c r="N132" s="124"/>
      <c r="O132" s="95"/>
      <c r="P132" s="95"/>
      <c r="R132" s="45"/>
      <c r="S132" s="45"/>
      <c r="T132" s="131"/>
      <c r="U132" s="122"/>
      <c r="V132" s="30"/>
      <c r="W132" s="122"/>
      <c r="X132" s="122"/>
      <c r="Y132" s="152"/>
      <c r="Z132" s="152"/>
      <c r="AA132" s="12"/>
      <c r="AB132" s="229"/>
      <c r="AC132" s="230"/>
      <c r="AD132" s="157"/>
      <c r="AE132" s="157"/>
      <c r="AF132" s="217"/>
      <c r="AG132" s="230"/>
      <c r="AH132" s="229"/>
      <c r="AI132" s="230"/>
      <c r="AJ132" s="157"/>
      <c r="AK132" s="157"/>
      <c r="AL132" s="217"/>
      <c r="AM132" s="222"/>
      <c r="AN132" s="222"/>
      <c r="AO132" s="222"/>
      <c r="AP132" s="222"/>
      <c r="AQ132" s="222"/>
      <c r="AR132" s="222"/>
      <c r="AS132" s="222"/>
      <c r="AT132" s="222"/>
      <c r="AU132" s="222"/>
      <c r="AV132" s="222"/>
      <c r="AW132" s="222"/>
      <c r="AX132" s="222"/>
      <c r="AY132" s="222"/>
      <c r="AZ132" s="222"/>
      <c r="BA132" s="222"/>
      <c r="BB132" s="222"/>
    </row>
    <row r="133" spans="1:54" ht="12.75" x14ac:dyDescent="0.2">
      <c r="A133" s="150"/>
      <c r="B133" s="33"/>
      <c r="C133" s="67"/>
      <c r="D133" s="124"/>
      <c r="E133" s="95"/>
      <c r="F133" s="95"/>
      <c r="G133" s="95"/>
      <c r="H133" s="95"/>
      <c r="L133" s="207"/>
      <c r="M133" s="207"/>
      <c r="N133" s="124"/>
      <c r="O133" s="95"/>
      <c r="P133" s="95"/>
      <c r="R133" s="45"/>
      <c r="S133" s="45"/>
      <c r="T133" s="131"/>
      <c r="U133" s="122"/>
      <c r="V133" s="30"/>
      <c r="W133" s="122"/>
      <c r="X133" s="122"/>
      <c r="Y133" s="152"/>
      <c r="Z133" s="152"/>
      <c r="AA133" s="12"/>
      <c r="AB133" s="229"/>
      <c r="AC133" s="230"/>
      <c r="AD133" s="157"/>
      <c r="AE133" s="157"/>
      <c r="AF133" s="217"/>
      <c r="AG133" s="230"/>
      <c r="AH133" s="229"/>
      <c r="AI133" s="230"/>
      <c r="AJ133" s="157"/>
      <c r="AK133" s="157"/>
      <c r="AL133" s="217"/>
      <c r="AM133" s="222"/>
      <c r="AN133" s="222"/>
      <c r="AO133" s="222"/>
      <c r="AP133" s="222"/>
      <c r="AQ133" s="222"/>
      <c r="AR133" s="222"/>
      <c r="AS133" s="222"/>
      <c r="AT133" s="222"/>
      <c r="AU133" s="222"/>
      <c r="AV133" s="222"/>
      <c r="AW133" s="222"/>
      <c r="AX133" s="222"/>
      <c r="AY133" s="222"/>
      <c r="AZ133" s="222"/>
      <c r="BA133" s="222"/>
      <c r="BB133" s="222"/>
    </row>
    <row r="134" spans="1:54" ht="38.25" x14ac:dyDescent="0.2">
      <c r="A134" s="150" t="s">
        <v>280</v>
      </c>
      <c r="B134" s="33"/>
      <c r="C134" s="67"/>
      <c r="D134" s="124"/>
      <c r="E134" s="95"/>
      <c r="F134" s="95"/>
      <c r="G134" s="95"/>
      <c r="H134" s="95"/>
      <c r="L134" s="207"/>
      <c r="M134" s="207"/>
      <c r="N134" s="124"/>
      <c r="O134" s="95"/>
      <c r="P134" s="95"/>
      <c r="R134" s="45"/>
      <c r="S134" s="45"/>
      <c r="T134" s="131"/>
      <c r="U134" s="122"/>
      <c r="V134" s="30"/>
      <c r="W134" s="122"/>
      <c r="X134" s="122"/>
      <c r="Y134" s="152"/>
      <c r="Z134" s="152"/>
      <c r="AA134" s="12"/>
      <c r="AB134" s="229"/>
      <c r="AC134" s="230"/>
      <c r="AD134" s="157"/>
      <c r="AE134" s="157"/>
      <c r="AF134" s="217"/>
      <c r="AG134" s="230"/>
      <c r="AH134" s="229"/>
      <c r="AI134" s="230"/>
      <c r="AJ134" s="157"/>
      <c r="AK134" s="157"/>
      <c r="AL134" s="217"/>
      <c r="AM134" s="222"/>
      <c r="AN134" s="222"/>
      <c r="AO134" s="222"/>
      <c r="AP134" s="222"/>
      <c r="AQ134" s="222"/>
      <c r="AR134" s="222"/>
      <c r="AS134" s="222"/>
      <c r="AT134" s="222"/>
      <c r="AU134" s="222"/>
      <c r="AV134" s="222"/>
      <c r="AW134" s="222"/>
      <c r="AX134" s="222"/>
      <c r="AY134" s="222"/>
      <c r="AZ134" s="222"/>
      <c r="BA134" s="222"/>
      <c r="BB134" s="222"/>
    </row>
    <row r="135" spans="1:54" ht="12.75" x14ac:dyDescent="0.2">
      <c r="A135" s="150"/>
      <c r="B135" s="33"/>
      <c r="C135" s="67"/>
      <c r="D135" s="124"/>
      <c r="E135" s="95"/>
      <c r="F135" s="95"/>
      <c r="G135" s="95"/>
      <c r="H135" s="95"/>
      <c r="L135" s="207"/>
      <c r="M135" s="207"/>
      <c r="N135" s="124"/>
      <c r="O135" s="95"/>
      <c r="P135" s="95"/>
      <c r="R135" s="45"/>
      <c r="S135" s="45"/>
      <c r="T135" s="131"/>
      <c r="U135" s="122"/>
      <c r="V135" s="30"/>
      <c r="W135" s="122"/>
      <c r="X135" s="122"/>
      <c r="Y135" s="152"/>
      <c r="Z135" s="152"/>
      <c r="AA135" s="12"/>
      <c r="AB135" s="122"/>
      <c r="AC135" s="30"/>
      <c r="AD135" s="157"/>
      <c r="AE135" s="157"/>
      <c r="AF135" s="124"/>
      <c r="AG135" s="30"/>
      <c r="AH135" s="122"/>
      <c r="AI135" s="30"/>
      <c r="AJ135" s="157"/>
      <c r="AK135" s="157"/>
      <c r="AL135" s="124"/>
    </row>
    <row r="136" spans="1:54" ht="12.75" x14ac:dyDescent="0.2">
      <c r="A136" s="150"/>
      <c r="B136" s="33"/>
      <c r="C136" s="67"/>
      <c r="D136" s="124"/>
      <c r="E136" s="95"/>
      <c r="F136" s="95"/>
      <c r="G136" s="95"/>
      <c r="H136" s="95"/>
      <c r="L136" s="207"/>
      <c r="M136" s="207"/>
      <c r="N136" s="124"/>
      <c r="O136" s="95"/>
      <c r="P136" s="95"/>
      <c r="R136" s="45"/>
      <c r="S136" s="45"/>
      <c r="T136" s="131"/>
      <c r="U136" s="122"/>
      <c r="V136" s="30"/>
      <c r="W136" s="122"/>
      <c r="X136" s="122"/>
      <c r="Y136" s="152"/>
      <c r="Z136" s="152"/>
      <c r="AA136" s="12"/>
      <c r="AB136" s="139"/>
      <c r="AC136" s="139"/>
      <c r="AD136" s="139"/>
      <c r="AE136" s="139"/>
      <c r="AF136" s="140"/>
      <c r="AG136" s="140"/>
      <c r="AH136" s="139"/>
      <c r="AI136" s="139"/>
      <c r="AJ136" s="139"/>
      <c r="AK136" s="139"/>
      <c r="AL136" s="140"/>
      <c r="AN136" s="139"/>
      <c r="AO136" s="139"/>
      <c r="AP136" s="139"/>
      <c r="AQ136" s="139"/>
      <c r="AR136" s="140"/>
    </row>
    <row r="137" spans="1:54" ht="12.75" x14ac:dyDescent="0.2">
      <c r="B137" s="33"/>
      <c r="C137" s="67"/>
      <c r="D137" s="124"/>
      <c r="E137" s="95"/>
      <c r="F137" s="95"/>
      <c r="G137" s="95"/>
      <c r="H137" s="95"/>
      <c r="L137" s="207"/>
      <c r="M137" s="207"/>
      <c r="N137" s="124"/>
      <c r="O137" s="95"/>
      <c r="P137" s="95"/>
      <c r="R137" s="45"/>
      <c r="S137" s="45"/>
      <c r="T137" s="131"/>
      <c r="U137" s="122"/>
      <c r="V137" s="30"/>
      <c r="W137" s="122"/>
      <c r="X137" s="122"/>
      <c r="Y137" s="152"/>
      <c r="Z137" s="152"/>
      <c r="AA137" s="12"/>
      <c r="AB137" s="139">
        <v>100</v>
      </c>
      <c r="AC137" s="139">
        <v>5</v>
      </c>
      <c r="AD137" s="139"/>
      <c r="AE137" s="139"/>
      <c r="AF137" s="140"/>
      <c r="AG137" s="140"/>
      <c r="AH137" s="139"/>
      <c r="AI137" s="139"/>
      <c r="AJ137" s="139"/>
      <c r="AK137" s="139"/>
      <c r="AL137" s="140"/>
      <c r="AN137" s="139"/>
      <c r="AO137" s="139"/>
      <c r="AP137" s="139"/>
      <c r="AQ137" s="139"/>
      <c r="AR137" s="140"/>
    </row>
    <row r="138" spans="1:54" ht="12.75" x14ac:dyDescent="0.2">
      <c r="B138" s="33"/>
      <c r="C138" s="67"/>
      <c r="D138" s="124"/>
      <c r="E138" s="95"/>
      <c r="F138" s="95"/>
      <c r="G138" s="95"/>
      <c r="H138" s="95"/>
      <c r="L138" s="207"/>
      <c r="M138" s="207"/>
      <c r="N138" s="124"/>
      <c r="O138" s="95"/>
      <c r="P138" s="95"/>
      <c r="R138" s="45"/>
      <c r="S138" s="45"/>
      <c r="T138" s="131"/>
      <c r="U138" s="122"/>
      <c r="V138" s="30"/>
      <c r="W138" s="122"/>
      <c r="X138" s="122"/>
      <c r="Y138" s="152"/>
      <c r="Z138" s="152"/>
      <c r="AA138" s="12">
        <v>4</v>
      </c>
      <c r="AB138" s="139">
        <v>25</v>
      </c>
      <c r="AC138" s="139">
        <v>20</v>
      </c>
      <c r="AD138" s="139"/>
      <c r="AE138" s="139"/>
      <c r="AF138" s="140"/>
      <c r="AG138" s="140"/>
      <c r="AH138" s="139"/>
      <c r="AI138" s="139"/>
      <c r="AJ138" s="139"/>
      <c r="AK138" s="139"/>
      <c r="AL138" s="140"/>
      <c r="AN138" s="139"/>
      <c r="AO138" s="139"/>
      <c r="AP138" s="139"/>
      <c r="AQ138" s="139"/>
      <c r="AR138" s="140"/>
    </row>
    <row r="139" spans="1:54" ht="12.75" x14ac:dyDescent="0.2">
      <c r="A139" s="150"/>
      <c r="B139" s="33"/>
      <c r="C139" s="67"/>
      <c r="D139" s="124"/>
      <c r="E139" s="95"/>
      <c r="F139" s="95"/>
      <c r="G139" s="95"/>
      <c r="H139" s="95"/>
      <c r="L139" s="207"/>
      <c r="M139" s="207"/>
      <c r="N139" s="124"/>
      <c r="O139" s="95"/>
      <c r="P139" s="95"/>
      <c r="R139" s="45"/>
      <c r="S139" s="45"/>
      <c r="T139" s="131"/>
      <c r="U139" s="122"/>
      <c r="V139" s="30"/>
      <c r="W139" s="122"/>
      <c r="X139" s="122"/>
      <c r="Y139" s="152"/>
      <c r="Z139" s="152"/>
      <c r="AA139" s="12"/>
      <c r="AB139" s="139">
        <v>50</v>
      </c>
      <c r="AC139" s="139">
        <v>20</v>
      </c>
      <c r="AD139" s="139"/>
      <c r="AE139" s="139"/>
      <c r="AF139" s="140"/>
      <c r="AG139" s="140"/>
      <c r="AH139" s="139"/>
      <c r="AI139" s="139"/>
      <c r="AJ139" s="139"/>
      <c r="AK139" s="139"/>
      <c r="AL139" s="140"/>
      <c r="AN139" s="139"/>
      <c r="AO139" s="139"/>
      <c r="AP139" s="139"/>
      <c r="AQ139" s="139"/>
      <c r="AR139" s="140"/>
    </row>
    <row r="140" spans="1:54" ht="12.75" x14ac:dyDescent="0.2">
      <c r="A140" s="150"/>
      <c r="B140" s="33"/>
      <c r="C140" s="67"/>
      <c r="D140" s="124"/>
      <c r="E140" s="95"/>
      <c r="F140" s="95"/>
      <c r="G140" s="95"/>
      <c r="H140" s="95"/>
      <c r="L140" s="207"/>
      <c r="M140" s="207"/>
      <c r="N140" s="124"/>
      <c r="O140" s="95"/>
      <c r="P140" s="95"/>
      <c r="R140" s="45"/>
      <c r="S140" s="45"/>
      <c r="T140" s="131"/>
      <c r="U140" s="122"/>
      <c r="V140" s="30"/>
      <c r="W140" s="122"/>
      <c r="X140" s="122"/>
      <c r="Y140" s="152"/>
      <c r="Z140" s="152"/>
      <c r="AA140" s="12"/>
      <c r="AB140" s="139"/>
      <c r="AC140" s="139"/>
      <c r="AD140" s="139"/>
      <c r="AE140" s="139"/>
      <c r="AF140" s="140"/>
      <c r="AG140" s="140"/>
      <c r="AH140" s="139"/>
      <c r="AI140" s="139"/>
      <c r="AJ140" s="139"/>
      <c r="AK140" s="139"/>
      <c r="AL140" s="140"/>
      <c r="AN140" s="139"/>
      <c r="AO140" s="139"/>
      <c r="AP140" s="139"/>
      <c r="AQ140" s="139"/>
      <c r="AR140" s="140"/>
    </row>
    <row r="141" spans="1:54" ht="12.75" x14ac:dyDescent="0.2">
      <c r="A141" s="150"/>
      <c r="B141" s="33"/>
      <c r="C141" s="67"/>
      <c r="D141" s="124"/>
      <c r="E141" s="95"/>
      <c r="F141" s="95"/>
      <c r="G141" s="95"/>
      <c r="H141" s="95"/>
      <c r="L141" s="207"/>
      <c r="M141" s="207"/>
      <c r="N141" s="124"/>
      <c r="O141" s="95"/>
      <c r="P141" s="95"/>
      <c r="R141" s="45"/>
      <c r="S141" s="45"/>
      <c r="T141" s="131"/>
      <c r="U141" s="122"/>
      <c r="V141" s="30"/>
      <c r="W141" s="122"/>
      <c r="X141" s="122"/>
      <c r="Y141" s="152"/>
      <c r="Z141" s="152"/>
      <c r="AA141" s="12"/>
      <c r="AB141" s="139"/>
      <c r="AC141" s="139"/>
      <c r="AD141" s="139"/>
      <c r="AE141" s="139"/>
      <c r="AF141" s="140"/>
      <c r="AG141" s="140"/>
      <c r="AH141" s="139"/>
      <c r="AI141" s="139"/>
      <c r="AJ141" s="139"/>
      <c r="AK141" s="139"/>
      <c r="AL141" s="140"/>
      <c r="AN141" s="139"/>
      <c r="AO141" s="139"/>
      <c r="AP141" s="139"/>
      <c r="AQ141" s="139"/>
      <c r="AR141" s="140"/>
    </row>
    <row r="142" spans="1:54" ht="12.75" x14ac:dyDescent="0.2">
      <c r="A142" s="150"/>
      <c r="B142" s="33"/>
      <c r="C142" s="67"/>
      <c r="D142" s="124"/>
      <c r="E142" s="95"/>
      <c r="F142" s="95"/>
      <c r="G142" s="95"/>
      <c r="H142" s="95"/>
      <c r="L142" s="207"/>
      <c r="M142" s="207"/>
      <c r="N142" s="124"/>
      <c r="O142" s="95"/>
      <c r="P142" s="95"/>
      <c r="R142" s="45"/>
      <c r="S142" s="45"/>
      <c r="T142" s="131"/>
      <c r="U142" s="122"/>
      <c r="V142" s="30"/>
      <c r="W142" s="122"/>
      <c r="X142" s="122"/>
      <c r="Y142" s="152"/>
      <c r="Z142" s="152"/>
      <c r="AA142" s="12"/>
      <c r="AB142" s="139"/>
      <c r="AC142" s="139"/>
      <c r="AD142" s="139"/>
      <c r="AE142" s="139"/>
      <c r="AF142" s="140"/>
      <c r="AG142" s="140"/>
      <c r="AH142" s="139"/>
      <c r="AI142" s="139"/>
      <c r="AJ142" s="139"/>
      <c r="AK142" s="139"/>
      <c r="AL142" s="140"/>
      <c r="AN142" s="139"/>
      <c r="AO142" s="139"/>
      <c r="AP142" s="139"/>
      <c r="AQ142" s="139"/>
      <c r="AR142" s="140"/>
    </row>
    <row r="143" spans="1:54" ht="12.75" x14ac:dyDescent="0.2">
      <c r="A143" s="150"/>
      <c r="B143" s="33"/>
      <c r="C143" s="67"/>
      <c r="D143" s="124"/>
      <c r="E143" s="95"/>
      <c r="F143" s="95"/>
      <c r="G143" s="95"/>
      <c r="H143" s="95"/>
      <c r="L143" s="207"/>
      <c r="M143" s="207"/>
      <c r="N143" s="124"/>
      <c r="O143" s="95"/>
      <c r="P143" s="95"/>
      <c r="R143" s="45"/>
      <c r="S143" s="45"/>
      <c r="T143" s="131"/>
      <c r="U143" s="122"/>
      <c r="V143" s="30"/>
      <c r="W143" s="122"/>
      <c r="X143" s="122"/>
      <c r="Y143" s="152"/>
      <c r="Z143" s="152"/>
      <c r="AA143" s="12"/>
      <c r="AB143" s="139"/>
      <c r="AC143" s="139"/>
      <c r="AD143" s="139"/>
      <c r="AE143" s="139"/>
      <c r="AF143" s="140"/>
      <c r="AG143" s="140"/>
      <c r="AH143" s="139"/>
      <c r="AI143" s="139"/>
      <c r="AJ143" s="139"/>
      <c r="AK143" s="139"/>
      <c r="AL143" s="140"/>
      <c r="AN143" s="139"/>
      <c r="AO143" s="139"/>
      <c r="AP143" s="139"/>
      <c r="AQ143" s="139"/>
      <c r="AR143" s="140"/>
    </row>
    <row r="144" spans="1:54" ht="12.75" x14ac:dyDescent="0.2">
      <c r="A144" s="150"/>
      <c r="B144" s="33"/>
      <c r="C144" s="67"/>
      <c r="D144" s="124"/>
      <c r="E144" s="95"/>
      <c r="F144" s="95"/>
      <c r="G144" s="95"/>
      <c r="H144" s="95"/>
      <c r="L144" s="207"/>
      <c r="M144" s="207"/>
      <c r="N144" s="124"/>
      <c r="O144" s="95"/>
      <c r="P144" s="95"/>
      <c r="R144" s="45"/>
      <c r="S144" s="45"/>
      <c r="T144" s="131"/>
      <c r="U144" s="122"/>
      <c r="V144" s="30"/>
      <c r="W144" s="122"/>
      <c r="X144" s="122"/>
      <c r="Y144" s="152"/>
      <c r="Z144" s="152"/>
      <c r="AA144" s="12"/>
      <c r="AB144" s="139"/>
      <c r="AC144" s="139"/>
      <c r="AD144" s="139"/>
      <c r="AE144" s="139"/>
      <c r="AF144" s="140"/>
      <c r="AG144" s="140"/>
      <c r="AH144" s="139"/>
      <c r="AI144" s="139"/>
      <c r="AJ144" s="139"/>
      <c r="AK144" s="139"/>
      <c r="AL144" s="140"/>
      <c r="AN144" s="139"/>
      <c r="AO144" s="139"/>
      <c r="AP144" s="139"/>
      <c r="AQ144" s="139"/>
      <c r="AR144" s="140"/>
    </row>
    <row r="145" spans="1:63" ht="12.75" x14ac:dyDescent="0.2">
      <c r="A145" s="150"/>
      <c r="B145" s="33"/>
      <c r="C145" s="67"/>
      <c r="D145" s="124"/>
      <c r="E145" s="95"/>
      <c r="F145" s="95"/>
      <c r="G145" s="95"/>
      <c r="H145" s="95"/>
      <c r="L145" s="207"/>
      <c r="M145" s="207"/>
      <c r="N145" s="124"/>
      <c r="O145" s="95"/>
      <c r="P145" s="95"/>
      <c r="R145" s="45"/>
      <c r="S145" s="45"/>
      <c r="T145" s="131"/>
      <c r="U145" s="122"/>
      <c r="V145" s="30"/>
      <c r="W145" s="122"/>
      <c r="X145" s="122"/>
      <c r="Y145" s="152"/>
      <c r="Z145" s="152"/>
      <c r="AA145" s="12"/>
      <c r="AB145" s="139"/>
      <c r="AC145" s="139"/>
      <c r="AD145" s="139"/>
      <c r="AE145" s="139"/>
      <c r="AF145" s="140"/>
      <c r="AG145" s="140"/>
      <c r="AH145" s="139"/>
      <c r="AI145" s="139"/>
      <c r="AJ145" s="139"/>
      <c r="AK145" s="139"/>
      <c r="AL145" s="140"/>
      <c r="AN145" s="139"/>
      <c r="AO145" s="139"/>
      <c r="AP145" s="139"/>
      <c r="AQ145" s="139"/>
      <c r="AR145" s="140"/>
    </row>
    <row r="146" spans="1:63" ht="12.75" x14ac:dyDescent="0.2">
      <c r="A146" s="150"/>
      <c r="B146" s="33"/>
      <c r="C146" s="67"/>
      <c r="D146" s="124"/>
      <c r="E146" s="95"/>
      <c r="F146" s="95"/>
      <c r="G146" s="95"/>
      <c r="H146" s="95"/>
      <c r="L146" s="207"/>
      <c r="M146" s="207"/>
      <c r="N146" s="124"/>
      <c r="O146" s="95"/>
      <c r="P146" s="95"/>
      <c r="R146" s="45"/>
      <c r="S146" s="45"/>
      <c r="T146" s="131"/>
      <c r="U146" s="122"/>
      <c r="V146" s="30"/>
      <c r="W146" s="122"/>
      <c r="X146" s="122"/>
      <c r="Y146" s="152"/>
      <c r="Z146" s="152"/>
      <c r="AA146" s="12"/>
      <c r="AB146" s="139"/>
      <c r="AC146" s="139"/>
      <c r="AD146" s="139"/>
      <c r="AE146" s="139"/>
      <c r="AF146" s="140"/>
      <c r="AG146" s="140"/>
      <c r="AH146" s="139"/>
      <c r="AI146" s="139"/>
      <c r="AJ146" s="139"/>
      <c r="AK146" s="139"/>
      <c r="AL146" s="140"/>
      <c r="AN146" s="139"/>
      <c r="AO146" s="139"/>
      <c r="AP146" s="139"/>
      <c r="AQ146" s="139"/>
      <c r="AR146" s="140"/>
    </row>
    <row r="147" spans="1:63" ht="12.75" x14ac:dyDescent="0.2">
      <c r="A147" s="150"/>
      <c r="B147" s="33"/>
      <c r="C147" s="67"/>
      <c r="D147" s="124"/>
      <c r="E147" s="95"/>
      <c r="F147" s="95"/>
      <c r="G147" s="95"/>
      <c r="H147" s="95"/>
      <c r="L147" s="207"/>
      <c r="M147" s="207"/>
      <c r="N147" s="124"/>
      <c r="O147" s="95"/>
      <c r="P147" s="95"/>
      <c r="R147" s="45"/>
      <c r="S147" s="45"/>
      <c r="T147" s="131"/>
      <c r="U147" s="122"/>
      <c r="V147" s="30"/>
      <c r="W147" s="122"/>
      <c r="X147" s="122"/>
      <c r="Y147" s="152"/>
      <c r="Z147" s="152"/>
      <c r="AA147" s="12"/>
      <c r="AB147" s="139"/>
      <c r="AC147" s="139"/>
      <c r="AD147" s="139"/>
      <c r="AE147" s="139"/>
      <c r="AF147" s="140"/>
      <c r="AG147" s="140"/>
      <c r="AH147" s="139"/>
      <c r="AI147" s="139"/>
      <c r="AJ147" s="139"/>
      <c r="AK147" s="139"/>
      <c r="AL147" s="140"/>
      <c r="AN147" s="139"/>
      <c r="AO147" s="139"/>
      <c r="AP147" s="139"/>
      <c r="AQ147" s="139"/>
      <c r="AR147" s="140"/>
    </row>
    <row r="148" spans="1:63" ht="12.75" x14ac:dyDescent="0.2">
      <c r="A148" s="150"/>
      <c r="B148" s="33"/>
      <c r="C148" s="67"/>
      <c r="D148" s="124"/>
      <c r="E148" s="95"/>
      <c r="F148" s="95"/>
      <c r="G148" s="95"/>
      <c r="H148" s="95"/>
      <c r="L148" s="207"/>
      <c r="M148" s="207"/>
      <c r="N148" s="124"/>
      <c r="O148" s="95"/>
      <c r="P148" s="95"/>
      <c r="R148" s="45"/>
      <c r="S148" s="45"/>
      <c r="T148" s="131"/>
      <c r="U148" s="122"/>
      <c r="V148" s="30"/>
      <c r="W148" s="122"/>
      <c r="X148" s="122"/>
      <c r="Y148" s="152"/>
      <c r="Z148" s="152"/>
      <c r="AA148" s="12"/>
      <c r="AB148" s="139"/>
      <c r="AC148" s="139"/>
      <c r="AD148" s="139"/>
      <c r="AE148" s="139"/>
      <c r="AF148" s="140"/>
      <c r="AG148" s="140"/>
      <c r="AH148" s="139"/>
      <c r="AI148" s="139"/>
      <c r="AJ148" s="139"/>
      <c r="AK148" s="139"/>
      <c r="AL148" s="140"/>
      <c r="AN148" s="139"/>
      <c r="AO148" s="139"/>
      <c r="AP148" s="139"/>
      <c r="AQ148" s="139"/>
      <c r="AR148" s="140"/>
    </row>
    <row r="149" spans="1:63" ht="12.75" x14ac:dyDescent="0.2">
      <c r="A149" s="150"/>
      <c r="B149" s="33"/>
      <c r="C149" s="67"/>
      <c r="D149" s="124"/>
      <c r="E149" s="95"/>
      <c r="F149" s="95"/>
      <c r="G149" s="95"/>
      <c r="H149" s="95"/>
      <c r="L149" s="207"/>
      <c r="M149" s="207"/>
      <c r="N149" s="124"/>
      <c r="O149" s="95"/>
      <c r="P149" s="95"/>
      <c r="R149" s="45"/>
      <c r="S149" s="45"/>
      <c r="T149" s="131"/>
      <c r="U149" s="122"/>
      <c r="V149" s="30"/>
      <c r="W149" s="122"/>
      <c r="X149" s="122"/>
      <c r="Y149" s="152"/>
      <c r="Z149" s="152"/>
      <c r="AA149" s="12"/>
      <c r="AB149" s="139"/>
      <c r="AC149" s="139"/>
      <c r="AD149" s="139"/>
      <c r="AE149" s="139"/>
      <c r="AF149" s="140"/>
      <c r="AG149" s="140"/>
      <c r="AH149" s="139"/>
      <c r="AI149" s="139"/>
      <c r="AJ149" s="139"/>
      <c r="AK149" s="139"/>
      <c r="AL149" s="140"/>
      <c r="AN149" s="139"/>
      <c r="AO149" s="139"/>
      <c r="AP149" s="139"/>
      <c r="AQ149" s="139"/>
      <c r="AR149" s="140"/>
    </row>
    <row r="150" spans="1:63" ht="12.75" x14ac:dyDescent="0.2">
      <c r="A150" s="150"/>
      <c r="B150" s="33"/>
      <c r="C150" s="67"/>
      <c r="D150" s="124"/>
      <c r="E150" s="95"/>
      <c r="F150" s="95"/>
      <c r="G150" s="95"/>
      <c r="H150" s="95"/>
      <c r="L150" s="207"/>
      <c r="M150" s="207"/>
      <c r="N150" s="124"/>
      <c r="O150" s="95"/>
      <c r="P150" s="95"/>
      <c r="R150" s="45"/>
      <c r="S150" s="45"/>
      <c r="T150" s="131"/>
      <c r="U150" s="122"/>
      <c r="V150" s="30"/>
      <c r="W150" s="122"/>
      <c r="X150" s="122"/>
      <c r="Y150" s="152"/>
      <c r="Z150" s="152"/>
      <c r="AA150" s="12"/>
      <c r="AB150" s="139"/>
      <c r="AC150" s="139"/>
      <c r="AD150" s="139"/>
      <c r="AE150" s="139"/>
      <c r="AF150" s="140"/>
      <c r="AG150" s="140"/>
      <c r="AH150" s="139"/>
      <c r="AI150" s="139"/>
      <c r="AJ150" s="139"/>
      <c r="AK150" s="139"/>
      <c r="AL150" s="140"/>
      <c r="AN150" s="139"/>
      <c r="AO150" s="139"/>
      <c r="AP150" s="139"/>
      <c r="AQ150" s="139"/>
      <c r="AR150" s="140"/>
    </row>
    <row r="151" spans="1:63" ht="12.75" x14ac:dyDescent="0.2">
      <c r="A151" s="150" t="s">
        <v>268</v>
      </c>
      <c r="B151" s="33"/>
      <c r="C151" s="67"/>
      <c r="D151" s="124"/>
      <c r="E151" s="95"/>
      <c r="F151" s="95"/>
      <c r="G151" s="95"/>
      <c r="H151" s="95"/>
      <c r="L151" s="207"/>
      <c r="M151" s="207"/>
      <c r="N151" s="124"/>
      <c r="O151" s="95"/>
      <c r="P151" s="95"/>
      <c r="R151" s="45"/>
      <c r="S151" s="45"/>
      <c r="T151" s="131"/>
      <c r="U151" s="122"/>
      <c r="V151" s="30"/>
      <c r="W151" s="122"/>
      <c r="X151" s="122"/>
      <c r="Y151" s="152"/>
      <c r="Z151" s="152"/>
      <c r="AA151" s="12"/>
      <c r="AB151" s="139"/>
      <c r="AC151" s="139"/>
      <c r="AD151" s="139"/>
      <c r="AE151" s="139"/>
      <c r="AF151" s="140"/>
      <c r="AG151" s="140"/>
      <c r="AH151" s="139"/>
      <c r="AI151" s="139"/>
      <c r="AJ151" s="139"/>
      <c r="AK151" s="139"/>
      <c r="AL151" s="140"/>
      <c r="AN151" s="139"/>
      <c r="AO151" s="139"/>
      <c r="AP151" s="139"/>
      <c r="AQ151" s="139"/>
      <c r="AR151" s="140"/>
    </row>
    <row r="152" spans="1:63" ht="25.5" x14ac:dyDescent="0.2">
      <c r="A152" s="150" t="s">
        <v>240</v>
      </c>
      <c r="B152" s="33"/>
      <c r="C152" s="67"/>
      <c r="D152" s="124"/>
      <c r="E152" s="95"/>
      <c r="F152" s="95"/>
      <c r="G152" s="95"/>
      <c r="H152" s="95"/>
      <c r="L152" s="93"/>
      <c r="M152" s="93"/>
      <c r="N152" s="124"/>
      <c r="O152" s="95"/>
      <c r="P152" s="95"/>
      <c r="R152" s="12"/>
      <c r="S152" s="12"/>
      <c r="T152" s="12"/>
      <c r="U152" s="137"/>
      <c r="V152" s="138"/>
      <c r="W152" s="137"/>
      <c r="X152" s="137"/>
      <c r="Y152" s="12"/>
      <c r="Z152" s="12"/>
      <c r="AA152" s="12"/>
      <c r="AB152" s="139"/>
      <c r="AC152" s="139"/>
      <c r="AD152" s="139"/>
      <c r="AE152" s="139"/>
      <c r="AF152" s="140"/>
      <c r="AG152" s="140"/>
      <c r="AH152" s="139"/>
      <c r="AI152" s="139"/>
      <c r="AJ152" s="139"/>
      <c r="AK152" s="139"/>
      <c r="AL152" s="140"/>
      <c r="AN152" s="139"/>
      <c r="AO152" s="139"/>
      <c r="AP152" s="139"/>
      <c r="AQ152" s="139"/>
      <c r="AR152" s="140"/>
    </row>
    <row r="153" spans="1:63" ht="12.75" x14ac:dyDescent="0.2">
      <c r="A153" s="45" t="s">
        <v>234</v>
      </c>
      <c r="B153" s="33"/>
      <c r="C153" s="67"/>
      <c r="D153" s="124"/>
      <c r="E153" s="95"/>
      <c r="F153" s="95"/>
      <c r="G153" s="95"/>
      <c r="H153" s="95"/>
      <c r="L153" s="33"/>
      <c r="M153" s="33"/>
      <c r="N153" s="124"/>
      <c r="O153" s="95"/>
      <c r="P153" s="95"/>
      <c r="R153" s="12"/>
      <c r="S153" s="12"/>
      <c r="T153" s="12"/>
      <c r="U153" s="137"/>
      <c r="V153" s="138"/>
      <c r="W153" s="137"/>
      <c r="X153" s="137"/>
      <c r="Y153" s="12"/>
      <c r="Z153" s="12"/>
      <c r="AA153" s="12"/>
      <c r="AB153" s="139"/>
      <c r="AC153" s="139"/>
      <c r="AD153" s="139"/>
      <c r="AE153" s="139"/>
      <c r="AF153" s="140"/>
      <c r="AG153" s="140"/>
      <c r="AH153" s="139"/>
      <c r="AI153" s="139"/>
      <c r="AJ153" s="139"/>
      <c r="AK153" s="139"/>
      <c r="AL153" s="140"/>
      <c r="AN153" s="139"/>
      <c r="AO153" s="139"/>
      <c r="AP153" s="139"/>
      <c r="AQ153" s="139"/>
      <c r="AR153" s="140"/>
    </row>
    <row r="154" spans="1:63" ht="12.75" x14ac:dyDescent="0.2">
      <c r="A154" s="45" t="s">
        <v>235</v>
      </c>
      <c r="R154" s="12"/>
      <c r="S154" s="12"/>
      <c r="T154" s="12"/>
      <c r="U154" s="12"/>
      <c r="V154" s="12"/>
      <c r="W154" s="12"/>
      <c r="X154" s="12"/>
      <c r="Y154" s="12"/>
      <c r="Z154" s="12"/>
      <c r="AA154" s="12"/>
      <c r="AB154" s="13"/>
      <c r="AC154" s="13"/>
      <c r="AD154" s="13"/>
      <c r="AE154" s="13"/>
      <c r="AF154" s="30"/>
      <c r="AG154" s="30"/>
      <c r="AH154" s="13"/>
      <c r="AI154" s="13"/>
      <c r="AJ154" s="13"/>
      <c r="AK154" s="13"/>
      <c r="AL154" s="30"/>
      <c r="AN154" s="13"/>
      <c r="AO154" s="13"/>
      <c r="AP154" s="13"/>
      <c r="AQ154" s="13"/>
      <c r="AR154" s="30"/>
    </row>
    <row r="155" spans="1:63" ht="12.75" x14ac:dyDescent="0.2">
      <c r="A155" s="45"/>
      <c r="R155" s="12"/>
      <c r="S155" s="12"/>
      <c r="T155" s="12"/>
      <c r="U155" s="12"/>
      <c r="V155" s="12"/>
      <c r="W155" s="12"/>
      <c r="X155" s="12"/>
      <c r="Y155" s="12"/>
      <c r="Z155" s="12"/>
      <c r="AA155" s="12"/>
      <c r="AB155" s="13"/>
      <c r="AC155" s="13"/>
      <c r="AD155" s="13"/>
      <c r="AE155" s="13"/>
      <c r="AF155" s="30"/>
      <c r="AG155" s="30"/>
      <c r="AH155" s="13"/>
      <c r="AI155" s="13"/>
      <c r="AJ155" s="13"/>
      <c r="AK155" s="13"/>
      <c r="AL155" s="30"/>
      <c r="AN155" s="13"/>
      <c r="AO155" s="13"/>
      <c r="AP155" s="13"/>
      <c r="AQ155" s="13"/>
      <c r="AR155" s="30"/>
    </row>
    <row r="156" spans="1:63" ht="15.75" customHeight="1" x14ac:dyDescent="0.2">
      <c r="A156" s="45" t="s">
        <v>239</v>
      </c>
    </row>
    <row r="157" spans="1:63" ht="15.75" customHeight="1" x14ac:dyDescent="0.2">
      <c r="B157" s="178" t="s">
        <v>31</v>
      </c>
      <c r="C157" s="34"/>
      <c r="AB157" s="56" t="s">
        <v>27</v>
      </c>
      <c r="AC157" s="12"/>
      <c r="AD157" s="12"/>
      <c r="AE157" s="12"/>
      <c r="AF157" s="12"/>
      <c r="AG157" s="12"/>
      <c r="AH157" s="56" t="s">
        <v>28</v>
      </c>
      <c r="AI157" s="12"/>
      <c r="AJ157" s="12"/>
      <c r="AK157" s="12"/>
      <c r="AL157" s="12"/>
      <c r="AR157" s="34" t="s">
        <v>52</v>
      </c>
      <c r="AX157" s="34" t="s">
        <v>53</v>
      </c>
      <c r="BE157" s="34" t="s">
        <v>65</v>
      </c>
    </row>
    <row r="158" spans="1:63" ht="15.75" customHeight="1" x14ac:dyDescent="0.2">
      <c r="B158" s="28" t="s">
        <v>61</v>
      </c>
      <c r="C158" s="28"/>
      <c r="D158" s="28" t="s">
        <v>29</v>
      </c>
      <c r="E158" s="57" t="s">
        <v>63</v>
      </c>
      <c r="F158" s="57" t="s">
        <v>72</v>
      </c>
      <c r="G158" s="57"/>
      <c r="H158" s="57"/>
      <c r="I158" s="101"/>
      <c r="J158" s="101"/>
      <c r="K158" s="101"/>
      <c r="L158" s="101"/>
      <c r="M158" s="101"/>
      <c r="N158" s="101"/>
      <c r="O158" s="101"/>
      <c r="P158" s="101"/>
      <c r="R158" s="28" t="s">
        <v>3</v>
      </c>
      <c r="S158" s="28"/>
      <c r="T158" s="57" t="s">
        <v>50</v>
      </c>
      <c r="U158" s="57" t="s">
        <v>70</v>
      </c>
      <c r="V158" s="28" t="s">
        <v>1</v>
      </c>
      <c r="W158" s="57" t="s">
        <v>62</v>
      </c>
      <c r="X158" s="57" t="s">
        <v>9</v>
      </c>
      <c r="Y158" s="57"/>
      <c r="AB158" s="28" t="s">
        <v>30</v>
      </c>
      <c r="AC158" s="28" t="s">
        <v>1</v>
      </c>
      <c r="AD158" s="57" t="s">
        <v>10</v>
      </c>
      <c r="AE158" s="57"/>
      <c r="AF158" s="57" t="s">
        <v>64</v>
      </c>
      <c r="AG158" s="60"/>
      <c r="AH158" s="28" t="s">
        <v>30</v>
      </c>
      <c r="AI158" s="28" t="s">
        <v>1</v>
      </c>
      <c r="AJ158" s="57" t="s">
        <v>10</v>
      </c>
      <c r="AK158" s="57"/>
      <c r="AL158" s="57" t="s">
        <v>64</v>
      </c>
      <c r="AM158" s="28" t="s">
        <v>58</v>
      </c>
      <c r="AN158" s="28"/>
      <c r="AO158" s="28" t="s">
        <v>59</v>
      </c>
      <c r="AP158" s="28" t="s">
        <v>60</v>
      </c>
      <c r="AR158" s="61" t="s">
        <v>54</v>
      </c>
      <c r="AS158" s="61" t="s">
        <v>57</v>
      </c>
      <c r="AT158" s="61" t="s">
        <v>55</v>
      </c>
      <c r="AU158" s="61" t="s">
        <v>57</v>
      </c>
      <c r="AV158" s="61" t="s">
        <v>56</v>
      </c>
      <c r="AW158" s="61" t="s">
        <v>57</v>
      </c>
      <c r="AX158" s="28" t="s">
        <v>54</v>
      </c>
      <c r="AY158" s="28" t="s">
        <v>57</v>
      </c>
      <c r="AZ158" s="28" t="s">
        <v>55</v>
      </c>
      <c r="BA158" s="28" t="s">
        <v>57</v>
      </c>
      <c r="BB158" s="28" t="s">
        <v>56</v>
      </c>
      <c r="BC158" s="28" t="s">
        <v>57</v>
      </c>
      <c r="BD158" s="60"/>
      <c r="BE158" s="61" t="s">
        <v>54</v>
      </c>
      <c r="BF158" s="61" t="s">
        <v>57</v>
      </c>
      <c r="BG158" s="61" t="s">
        <v>55</v>
      </c>
      <c r="BH158" s="61" t="s">
        <v>57</v>
      </c>
      <c r="BI158" s="61" t="s">
        <v>66</v>
      </c>
      <c r="BJ158" s="61" t="s">
        <v>56</v>
      </c>
      <c r="BK158" s="61" t="s">
        <v>57</v>
      </c>
    </row>
    <row r="159" spans="1:63" ht="15.75" customHeight="1" x14ac:dyDescent="0.2">
      <c r="B159" s="33">
        <v>100</v>
      </c>
      <c r="C159" s="33"/>
      <c r="D159" s="29">
        <v>0.7</v>
      </c>
      <c r="E159" s="50">
        <v>5</v>
      </c>
      <c r="F159">
        <v>10</v>
      </c>
      <c r="R159" s="12" t="s">
        <v>32</v>
      </c>
      <c r="S159" s="12"/>
      <c r="T159" s="13"/>
      <c r="U159" s="13"/>
      <c r="V159" s="13">
        <v>200</v>
      </c>
      <c r="W159" s="58" t="e">
        <f>V159/#REF!</f>
        <v>#REF!</v>
      </c>
      <c r="X159" s="58"/>
      <c r="Y159" s="58"/>
      <c r="AB159" s="31" t="e">
        <f>#REF!</f>
        <v>#REF!</v>
      </c>
      <c r="AC159" s="31">
        <f>V159*D159</f>
        <v>140</v>
      </c>
      <c r="AD159" s="63" t="e">
        <f>(#REF!+(#REF!*(F159/100)))/(1-#REF!/100)</f>
        <v>#REF!</v>
      </c>
      <c r="AE159" s="63"/>
      <c r="AF159" s="32" t="e">
        <f>AC159/AB159</f>
        <v>#REF!</v>
      </c>
      <c r="AG159" s="32"/>
      <c r="AH159" s="31" t="e">
        <f>#REF!</f>
        <v>#REF!</v>
      </c>
      <c r="AI159" s="31">
        <f>V159*(1-D159)</f>
        <v>60.000000000000007</v>
      </c>
      <c r="AJ159" s="63" t="e">
        <f>(#REF!+(#REF!*(F159/100)))/(1-#REF!/100)</f>
        <v>#REF!</v>
      </c>
      <c r="AK159" s="63"/>
      <c r="AL159" s="32" t="e">
        <f>AI159/AH159</f>
        <v>#REF!</v>
      </c>
      <c r="AM159" s="32" t="e">
        <f>AF159</f>
        <v>#REF!</v>
      </c>
      <c r="AN159" s="32"/>
      <c r="AO159" s="32" t="e">
        <f>AL159</f>
        <v>#REF!</v>
      </c>
      <c r="AP159" s="32" t="e">
        <f>AM159+AO159</f>
        <v>#REF!</v>
      </c>
      <c r="AR159" s="52">
        <v>0</v>
      </c>
      <c r="AS159" s="50">
        <v>0</v>
      </c>
      <c r="AT159" s="52">
        <v>0</v>
      </c>
      <c r="AU159" s="50">
        <v>0</v>
      </c>
      <c r="AV159" s="52">
        <v>0</v>
      </c>
      <c r="AW159" s="54">
        <v>0</v>
      </c>
      <c r="AX159" s="52">
        <v>0</v>
      </c>
      <c r="AY159" s="50">
        <v>0</v>
      </c>
      <c r="AZ159" s="52">
        <v>0</v>
      </c>
      <c r="BA159" s="50">
        <v>0</v>
      </c>
      <c r="BB159" s="52">
        <v>0</v>
      </c>
      <c r="BC159" s="50">
        <v>0</v>
      </c>
      <c r="BD159" s="50"/>
      <c r="BE159" s="52">
        <v>0</v>
      </c>
      <c r="BF159" s="50">
        <v>0</v>
      </c>
      <c r="BG159" s="52">
        <v>0</v>
      </c>
      <c r="BH159" s="50">
        <v>0</v>
      </c>
      <c r="BI159" s="52">
        <v>0</v>
      </c>
      <c r="BJ159" s="52">
        <v>0</v>
      </c>
      <c r="BK159" s="50">
        <v>0</v>
      </c>
    </row>
    <row r="160" spans="1:63" ht="15.75" customHeight="1" x14ac:dyDescent="0.2">
      <c r="B160" s="36">
        <v>100</v>
      </c>
      <c r="C160" s="36"/>
      <c r="D160" s="37">
        <v>0.7</v>
      </c>
      <c r="E160" s="51">
        <v>5</v>
      </c>
      <c r="F160" s="35">
        <v>10</v>
      </c>
      <c r="G160" s="35"/>
      <c r="H160" s="35"/>
      <c r="R160" s="41" t="s">
        <v>51</v>
      </c>
      <c r="S160" s="41"/>
      <c r="T160" s="42">
        <v>20</v>
      </c>
      <c r="U160" s="42"/>
      <c r="V160" s="42"/>
      <c r="W160" s="59"/>
      <c r="X160" s="59"/>
      <c r="Y160" s="59"/>
      <c r="AB160" s="38"/>
      <c r="AC160" s="38"/>
      <c r="AD160" s="65"/>
      <c r="AE160" s="65"/>
      <c r="AF160" s="39"/>
      <c r="AG160" s="32"/>
      <c r="AH160" s="38"/>
      <c r="AI160" s="38"/>
      <c r="AJ160" s="38"/>
      <c r="AK160" s="38"/>
      <c r="AL160" s="39"/>
      <c r="AM160" s="39" t="e">
        <f t="shared" ref="AM160:AP160" si="19">AM159</f>
        <v>#REF!</v>
      </c>
      <c r="AN160" s="39"/>
      <c r="AO160" s="39" t="e">
        <f t="shared" si="19"/>
        <v>#REF!</v>
      </c>
      <c r="AP160" s="39" t="e">
        <f t="shared" si="19"/>
        <v>#REF!</v>
      </c>
      <c r="AR160" s="40">
        <f>AR159</f>
        <v>0</v>
      </c>
      <c r="AS160" s="51">
        <f t="shared" ref="AS160:AU160" si="20">AS159</f>
        <v>0</v>
      </c>
      <c r="AT160" s="40">
        <f t="shared" si="20"/>
        <v>0</v>
      </c>
      <c r="AU160" s="51">
        <f t="shared" si="20"/>
        <v>0</v>
      </c>
      <c r="AV160" s="40">
        <f>AV159</f>
        <v>0</v>
      </c>
      <c r="AW160" s="55">
        <f>AV160/V159</f>
        <v>0</v>
      </c>
      <c r="AX160" s="40">
        <f>AX159</f>
        <v>0</v>
      </c>
      <c r="AY160" s="51">
        <f t="shared" ref="AY160" si="21">AY159</f>
        <v>0</v>
      </c>
      <c r="AZ160" s="40">
        <f t="shared" ref="AZ160" si="22">AZ159</f>
        <v>0</v>
      </c>
      <c r="BA160" s="51">
        <f t="shared" ref="BA160" si="23">BA159</f>
        <v>0</v>
      </c>
      <c r="BB160" s="40">
        <f>BB159</f>
        <v>0</v>
      </c>
      <c r="BC160" s="51">
        <f t="shared" ref="BC160" si="24">BC159</f>
        <v>0</v>
      </c>
      <c r="BD160" s="50"/>
      <c r="BE160" s="40">
        <f>AR160+AX160</f>
        <v>0</v>
      </c>
      <c r="BF160" s="51">
        <f t="shared" ref="BF160" si="25">BF159</f>
        <v>0</v>
      </c>
      <c r="BG160" s="40">
        <f t="shared" ref="BG160" si="26">BG159</f>
        <v>0</v>
      </c>
      <c r="BH160" s="51">
        <f t="shared" ref="BH160" si="27">BH159</f>
        <v>0</v>
      </c>
      <c r="BI160" s="65">
        <f>T160</f>
        <v>20</v>
      </c>
      <c r="BJ160" s="65">
        <f>BE160+BG160+BI160</f>
        <v>20</v>
      </c>
      <c r="BK160" s="55">
        <f>BJ160/(AC159+AI159)</f>
        <v>0.1</v>
      </c>
    </row>
    <row r="161" spans="2:63" ht="15.75" customHeight="1" x14ac:dyDescent="0.2">
      <c r="B161" s="33">
        <v>300</v>
      </c>
      <c r="C161" s="33"/>
      <c r="D161" s="29">
        <v>0.7</v>
      </c>
      <c r="E161" s="50">
        <v>5</v>
      </c>
      <c r="F161">
        <v>10</v>
      </c>
      <c r="R161" t="s">
        <v>33</v>
      </c>
      <c r="T161" s="33"/>
      <c r="U161" s="33"/>
      <c r="V161" s="33">
        <v>400</v>
      </c>
      <c r="W161" s="50" t="e">
        <f>V161/#REF!</f>
        <v>#REF!</v>
      </c>
      <c r="X161" s="50"/>
      <c r="Y161" s="50"/>
      <c r="AB161" s="31" t="e">
        <f>AB159</f>
        <v>#REF!</v>
      </c>
      <c r="AC161" s="31">
        <v>140</v>
      </c>
      <c r="AD161" s="63" t="e">
        <f>(#REF!+(#REF!*(F159/100)))/(1-#REF!/100)</f>
        <v>#REF!</v>
      </c>
      <c r="AE161" s="63"/>
      <c r="AF161" s="32">
        <v>1.4</v>
      </c>
      <c r="AG161" s="32"/>
      <c r="AH161" s="31">
        <v>100</v>
      </c>
      <c r="AI161" s="31">
        <v>60.000000000000007</v>
      </c>
      <c r="AJ161" s="63" t="e">
        <f>(#REF!+(#REF!*(F159/100)))/(1-#REF!/100)</f>
        <v>#REF!</v>
      </c>
      <c r="AK161" s="63"/>
      <c r="AL161" s="32">
        <v>0.60000000000000009</v>
      </c>
      <c r="AM161" s="32" t="e">
        <f>AM160+AF162</f>
        <v>#REF!</v>
      </c>
      <c r="AN161" s="32"/>
      <c r="AO161" s="32" t="e">
        <f>AO160</f>
        <v>#REF!</v>
      </c>
      <c r="AP161" s="32" t="e">
        <f>AM161+AO161</f>
        <v>#REF!</v>
      </c>
      <c r="AR161" s="52">
        <f>AR160</f>
        <v>0</v>
      </c>
      <c r="AS161" s="50">
        <f>AS160</f>
        <v>0</v>
      </c>
      <c r="AT161" s="52">
        <f>AT160</f>
        <v>0</v>
      </c>
      <c r="AU161" s="50">
        <f>AU160</f>
        <v>0</v>
      </c>
      <c r="AV161" s="52">
        <f>AV160</f>
        <v>0</v>
      </c>
      <c r="AW161" s="64">
        <f>AV161 / (V159+V161)</f>
        <v>0</v>
      </c>
      <c r="AX161" s="52" t="e">
        <f>(B161*AM161)-(AC161+AC162)</f>
        <v>#REF!</v>
      </c>
      <c r="AY161" s="54" t="e">
        <f>AX161/(AC161+AC162)</f>
        <v>#REF!</v>
      </c>
      <c r="AZ161" s="52" t="e">
        <f>(AO161*B161)-AI161</f>
        <v>#REF!</v>
      </c>
      <c r="BA161" s="53" t="e">
        <f>AZ161/(AH161*AL161)</f>
        <v>#REF!</v>
      </c>
      <c r="BB161" s="52" t="e">
        <f>AX161+AZ161</f>
        <v>#REF!</v>
      </c>
      <c r="BC161" s="62" t="e">
        <f>BB161/(AC161+AC162+AI161)</f>
        <v>#REF!</v>
      </c>
      <c r="BD161" s="62"/>
      <c r="BE161" s="52" t="e">
        <f>AR161+AX161</f>
        <v>#REF!</v>
      </c>
      <c r="BF161" s="54" t="e">
        <f>AY161</f>
        <v>#REF!</v>
      </c>
      <c r="BG161" s="52" t="e">
        <f>AT161+AZ161</f>
        <v>#REF!</v>
      </c>
      <c r="BH161" s="53" t="e">
        <f>BG161/AI161</f>
        <v>#REF!</v>
      </c>
      <c r="BI161" s="63">
        <f>BI160</f>
        <v>20</v>
      </c>
      <c r="BJ161" s="52" t="e">
        <f>BE161+BG161+BI161</f>
        <v>#REF!</v>
      </c>
      <c r="BK161" s="54" t="e">
        <f>BJ161/(AC161+AC162+AI161)</f>
        <v>#REF!</v>
      </c>
    </row>
    <row r="162" spans="2:63" ht="15.75" customHeight="1" x14ac:dyDescent="0.2">
      <c r="E162" s="50"/>
      <c r="W162" s="50"/>
      <c r="X162" s="50"/>
      <c r="Y162" s="50"/>
      <c r="AB162" s="31" t="e">
        <f>#REF!</f>
        <v>#REF!</v>
      </c>
      <c r="AC162" s="31">
        <f>V161</f>
        <v>400</v>
      </c>
      <c r="AD162" s="63" t="e">
        <f>(#REF!+(#REF!*(F161/100)))/(1-#REF!/100)</f>
        <v>#REF!</v>
      </c>
      <c r="AE162" s="63"/>
      <c r="AF162" s="32" t="e">
        <f>AC162/AB162</f>
        <v>#REF!</v>
      </c>
      <c r="AG162" s="32"/>
      <c r="AH162" s="49" t="s">
        <v>34</v>
      </c>
      <c r="AI162" s="49" t="s">
        <v>34</v>
      </c>
      <c r="AJ162" s="49" t="s">
        <v>34</v>
      </c>
      <c r="AK162" s="49"/>
      <c r="AL162" s="49" t="s">
        <v>34</v>
      </c>
      <c r="AS162" s="50"/>
      <c r="AU162" s="50"/>
      <c r="AW162" s="54"/>
      <c r="AX162" s="31"/>
      <c r="AY162" s="54"/>
      <c r="BA162" s="50"/>
      <c r="BC162" s="50"/>
      <c r="BD162" s="50"/>
      <c r="BF162" s="50"/>
      <c r="BH162" s="50"/>
      <c r="BI162" s="63"/>
      <c r="BK162" s="50"/>
    </row>
    <row r="163" spans="2:63" ht="15.75" customHeight="1" x14ac:dyDescent="0.2">
      <c r="B163" s="36">
        <v>910</v>
      </c>
      <c r="C163" s="36"/>
      <c r="D163" s="37">
        <v>0.7</v>
      </c>
      <c r="E163" s="51">
        <v>5</v>
      </c>
      <c r="F163" s="35">
        <v>10</v>
      </c>
      <c r="G163" s="35"/>
      <c r="H163" s="35"/>
      <c r="R163" s="35" t="s">
        <v>35</v>
      </c>
      <c r="S163" s="35"/>
      <c r="T163" s="36"/>
      <c r="U163" s="36"/>
      <c r="V163" s="36">
        <v>350</v>
      </c>
      <c r="W163" s="51" t="e">
        <f>V163/#REF!</f>
        <v>#REF!</v>
      </c>
      <c r="X163" s="51"/>
      <c r="Y163" s="51"/>
      <c r="AB163" s="38" t="e">
        <f>AB161</f>
        <v>#REF!</v>
      </c>
      <c r="AC163" s="38">
        <v>140</v>
      </c>
      <c r="AD163" s="65" t="e">
        <f>AD161</f>
        <v>#REF!</v>
      </c>
      <c r="AE163" s="65"/>
      <c r="AF163" s="39">
        <v>1.4</v>
      </c>
      <c r="AG163" s="32"/>
      <c r="AH163" s="38">
        <v>100</v>
      </c>
      <c r="AI163" s="38">
        <v>60.000000000000007</v>
      </c>
      <c r="AJ163" s="65" t="e">
        <f>AJ161</f>
        <v>#REF!</v>
      </c>
      <c r="AK163" s="65"/>
      <c r="AL163" s="39">
        <v>0.60000000000000009</v>
      </c>
      <c r="AM163" s="39" t="e">
        <f>AM161</f>
        <v>#REF!</v>
      </c>
      <c r="AN163" s="39"/>
      <c r="AO163" s="39" t="e">
        <f>AO161+AL164</f>
        <v>#REF!</v>
      </c>
      <c r="AP163" s="39" t="e">
        <f>AM163+AO163</f>
        <v>#REF!</v>
      </c>
      <c r="AR163" s="40">
        <f t="shared" ref="AR163:AW163" si="28">AR161</f>
        <v>0</v>
      </c>
      <c r="AS163" s="51">
        <f t="shared" si="28"/>
        <v>0</v>
      </c>
      <c r="AT163" s="40">
        <f t="shared" si="28"/>
        <v>0</v>
      </c>
      <c r="AU163" s="51">
        <f t="shared" si="28"/>
        <v>0</v>
      </c>
      <c r="AV163" s="40">
        <f t="shared" si="28"/>
        <v>0</v>
      </c>
      <c r="AW163" s="55">
        <f t="shared" si="28"/>
        <v>0</v>
      </c>
      <c r="AX163" s="40" t="e">
        <f>(B163*AM163)-(AC163+AC164)</f>
        <v>#REF!</v>
      </c>
      <c r="AY163" s="55" t="e">
        <f>AX163/(AC163+AC164)</f>
        <v>#REF!</v>
      </c>
      <c r="AZ163" s="40" t="e">
        <f>(AO163*B163)-(AI163+AI164)</f>
        <v>#REF!</v>
      </c>
      <c r="BA163" s="55" t="e">
        <f>AZ163/(AI163+AI164)</f>
        <v>#REF!</v>
      </c>
      <c r="BB163" s="40" t="e">
        <f>AX163+AZ163</f>
        <v>#REF!</v>
      </c>
      <c r="BC163" s="55" t="e">
        <f>BB163/(AC163+AC164+AI163+AI164)</f>
        <v>#REF!</v>
      </c>
      <c r="BD163" s="50"/>
      <c r="BE163" s="40" t="e">
        <f>AR163+AX163</f>
        <v>#REF!</v>
      </c>
      <c r="BF163" s="55" t="e">
        <f>AY163</f>
        <v>#REF!</v>
      </c>
      <c r="BG163" s="40" t="e">
        <f>AT163+AZ163</f>
        <v>#REF!</v>
      </c>
      <c r="BH163" s="55" t="e">
        <f>BG163/(AI163+AI164)</f>
        <v>#REF!</v>
      </c>
      <c r="BI163" s="65">
        <f>BI161</f>
        <v>20</v>
      </c>
      <c r="BJ163" s="40" t="e">
        <f>BE163+BG163+BI163</f>
        <v>#REF!</v>
      </c>
      <c r="BK163" s="55" t="e">
        <f>BJ163/(AC163+AC164+AI163+AI164)</f>
        <v>#REF!</v>
      </c>
    </row>
    <row r="164" spans="2:63" ht="15.75" customHeight="1" x14ac:dyDescent="0.2">
      <c r="B164" s="35"/>
      <c r="C164" s="35"/>
      <c r="D164" s="35"/>
      <c r="E164" s="51"/>
      <c r="F164" s="35"/>
      <c r="G164" s="35"/>
      <c r="H164" s="35"/>
      <c r="R164" s="35"/>
      <c r="S164" s="35"/>
      <c r="T164" s="35"/>
      <c r="U164" s="35"/>
      <c r="V164" s="35"/>
      <c r="W164" s="51"/>
      <c r="X164" s="51"/>
      <c r="Y164" s="51"/>
      <c r="AB164" s="38" t="e">
        <f>AB162</f>
        <v>#REF!</v>
      </c>
      <c r="AC164" s="38">
        <v>400</v>
      </c>
      <c r="AD164" s="65" t="e">
        <f>AD162</f>
        <v>#REF!</v>
      </c>
      <c r="AE164" s="65"/>
      <c r="AF164" s="39">
        <v>1.6</v>
      </c>
      <c r="AG164" s="32"/>
      <c r="AH164" s="36" t="e">
        <f>#REF!</f>
        <v>#REF!</v>
      </c>
      <c r="AI164" s="36">
        <f>V163</f>
        <v>350</v>
      </c>
      <c r="AJ164" s="65" t="e">
        <f>(#REF!+(#REF!*(F163/100)))/(1-#REF!/100)</f>
        <v>#REF!</v>
      </c>
      <c r="AK164" s="65"/>
      <c r="AL164" s="39" t="e">
        <f>AI164/AH164</f>
        <v>#REF!</v>
      </c>
      <c r="AS164" s="50"/>
      <c r="AU164" s="50"/>
      <c r="AW164" s="50"/>
      <c r="AY164" s="50"/>
      <c r="BA164" s="50"/>
      <c r="BC164" s="50"/>
      <c r="BD164" s="50"/>
      <c r="BF164" s="50"/>
      <c r="BH164" s="50"/>
      <c r="BI164" s="63"/>
      <c r="BK164" s="50"/>
    </row>
    <row r="165" spans="2:63" ht="15.75" customHeight="1" x14ac:dyDescent="0.2">
      <c r="B165" s="33">
        <v>910</v>
      </c>
      <c r="C165" s="33"/>
      <c r="D165" s="29">
        <v>0.7</v>
      </c>
      <c r="E165" s="50">
        <v>5</v>
      </c>
      <c r="F165">
        <v>10</v>
      </c>
      <c r="R165" t="s">
        <v>49</v>
      </c>
      <c r="T165" s="33">
        <v>10</v>
      </c>
      <c r="U165" s="33"/>
      <c r="W165" s="50"/>
      <c r="X165" s="50"/>
      <c r="Y165" s="50"/>
      <c r="AB165" s="31"/>
      <c r="AC165" s="31"/>
      <c r="AD165" s="31"/>
      <c r="AE165" s="31"/>
      <c r="AF165" s="31"/>
      <c r="AG165" s="31"/>
      <c r="AH165" s="33"/>
      <c r="AI165" s="33"/>
      <c r="AJ165" s="31"/>
      <c r="AK165" s="31"/>
      <c r="AL165" s="32"/>
      <c r="AM165" s="32" t="e">
        <f>AM163</f>
        <v>#REF!</v>
      </c>
      <c r="AN165" s="32"/>
      <c r="AO165" s="32" t="e">
        <f>AO163+AL166</f>
        <v>#REF!</v>
      </c>
      <c r="AP165" s="32" t="e">
        <f>AM165+AO165</f>
        <v>#REF!</v>
      </c>
      <c r="AR165" s="52">
        <f t="shared" ref="AR165:AW166" si="29">AR163</f>
        <v>0</v>
      </c>
      <c r="AS165" s="50">
        <f t="shared" si="29"/>
        <v>0</v>
      </c>
      <c r="AT165" s="52">
        <f t="shared" si="29"/>
        <v>0</v>
      </c>
      <c r="AU165" s="50">
        <f t="shared" si="29"/>
        <v>0</v>
      </c>
      <c r="AV165" s="52">
        <f t="shared" si="29"/>
        <v>0</v>
      </c>
      <c r="AW165" s="62">
        <f t="shared" si="29"/>
        <v>0</v>
      </c>
      <c r="AX165" s="52" t="e">
        <f t="shared" ref="AX165:BC165" si="30">AX163</f>
        <v>#REF!</v>
      </c>
      <c r="AY165" s="62" t="e">
        <f t="shared" si="30"/>
        <v>#REF!</v>
      </c>
      <c r="AZ165" s="52" t="e">
        <f t="shared" si="30"/>
        <v>#REF!</v>
      </c>
      <c r="BA165" s="62" t="e">
        <f t="shared" si="30"/>
        <v>#REF!</v>
      </c>
      <c r="BB165" s="52" t="e">
        <f t="shared" si="30"/>
        <v>#REF!</v>
      </c>
      <c r="BC165" s="62" t="e">
        <f t="shared" si="30"/>
        <v>#REF!</v>
      </c>
      <c r="BD165" s="50"/>
      <c r="BE165" s="52" t="e">
        <f>BE163</f>
        <v>#REF!</v>
      </c>
      <c r="BF165" s="62" t="e">
        <f>BF163</f>
        <v>#REF!</v>
      </c>
      <c r="BG165" s="52" t="e">
        <f>BG163</f>
        <v>#REF!</v>
      </c>
      <c r="BH165" s="62" t="e">
        <f>BH163</f>
        <v>#REF!</v>
      </c>
      <c r="BI165" s="63">
        <f>BI163+T165</f>
        <v>30</v>
      </c>
      <c r="BJ165" s="52" t="e">
        <f>BE165+BG165+BI165</f>
        <v>#REF!</v>
      </c>
      <c r="BK165" s="62" t="e">
        <f>BJ165/(AC163+AC164+AI163+AI164)</f>
        <v>#REF!</v>
      </c>
    </row>
    <row r="166" spans="2:63" ht="15.75" customHeight="1" x14ac:dyDescent="0.2">
      <c r="B166" s="36">
        <v>510</v>
      </c>
      <c r="C166" s="36"/>
      <c r="D166" s="37">
        <v>0.7</v>
      </c>
      <c r="E166" s="51">
        <v>5</v>
      </c>
      <c r="F166" s="35">
        <v>10</v>
      </c>
      <c r="G166" s="35"/>
      <c r="H166" s="35"/>
      <c r="R166" s="35" t="s">
        <v>36</v>
      </c>
      <c r="S166" s="35"/>
      <c r="T166" s="40"/>
      <c r="U166" s="40"/>
      <c r="V166" s="36">
        <v>100</v>
      </c>
      <c r="W166" s="51" t="e">
        <f>V166/#REF!</f>
        <v>#REF!</v>
      </c>
      <c r="X166" s="51"/>
      <c r="Y166" s="51"/>
      <c r="AB166" s="38">
        <v>100</v>
      </c>
      <c r="AC166" s="38">
        <v>140</v>
      </c>
      <c r="AD166" s="38" t="e">
        <f>AD163</f>
        <v>#REF!</v>
      </c>
      <c r="AE166" s="38"/>
      <c r="AF166" s="39">
        <v>1.4</v>
      </c>
      <c r="AG166" s="32"/>
      <c r="AH166" s="38">
        <v>100</v>
      </c>
      <c r="AI166" s="38">
        <v>60.000000000000007</v>
      </c>
      <c r="AJ166" s="38" t="e">
        <f>AJ163</f>
        <v>#REF!</v>
      </c>
      <c r="AK166" s="38"/>
      <c r="AL166" s="39">
        <v>0.60000000000000009</v>
      </c>
      <c r="AM166" s="39" t="e">
        <f>AF166+AF167+AF168</f>
        <v>#REF!</v>
      </c>
      <c r="AN166" s="39"/>
      <c r="AO166" s="39" t="e">
        <f>AL166+AL167+AL168</f>
        <v>#REF!</v>
      </c>
      <c r="AP166" s="39" t="e">
        <f>AM166+AO166</f>
        <v>#REF!</v>
      </c>
      <c r="AR166" s="40">
        <f t="shared" si="29"/>
        <v>0</v>
      </c>
      <c r="AS166" s="51">
        <f t="shared" si="29"/>
        <v>0</v>
      </c>
      <c r="AT166" s="40">
        <f t="shared" si="29"/>
        <v>0</v>
      </c>
      <c r="AU166" s="51">
        <f t="shared" si="29"/>
        <v>0</v>
      </c>
      <c r="AV166" s="40">
        <f t="shared" si="29"/>
        <v>0</v>
      </c>
      <c r="AW166" s="55">
        <f t="shared" si="29"/>
        <v>0</v>
      </c>
      <c r="AX166" s="40" t="e">
        <f>(B166*AM166)-(AC166+AC167+AC168)</f>
        <v>#REF!</v>
      </c>
      <c r="AY166" s="55" t="e">
        <f>AX166/(AC166+AC167+AC168)</f>
        <v>#REF!</v>
      </c>
      <c r="AZ166" s="40" t="e">
        <f>(AO166*B166)-(AI166+AI167+AI168)</f>
        <v>#REF!</v>
      </c>
      <c r="BA166" s="55" t="e">
        <f>AZ166/(AI166+AI167+AI168)</f>
        <v>#REF!</v>
      </c>
      <c r="BB166" s="40" t="e">
        <f>AX166+AZ166</f>
        <v>#REF!</v>
      </c>
      <c r="BC166" s="55" t="e">
        <f>BB166/(AC166+AC167+AC168+AI166+AI167+AI168)</f>
        <v>#REF!</v>
      </c>
      <c r="BD166" s="50"/>
      <c r="BE166" s="40" t="e">
        <f>AR166+AX166</f>
        <v>#REF!</v>
      </c>
      <c r="BF166" s="55" t="e">
        <f>AY166</f>
        <v>#REF!</v>
      </c>
      <c r="BG166" s="40" t="e">
        <f>AT166+AZ166</f>
        <v>#REF!</v>
      </c>
      <c r="BH166" s="55" t="e">
        <f>BG166/(AI166+AI167+AI168)</f>
        <v>#REF!</v>
      </c>
      <c r="BI166" s="65">
        <f>BI165</f>
        <v>30</v>
      </c>
      <c r="BJ166" s="40" t="e">
        <f>BE166+BG166+BI166</f>
        <v>#REF!</v>
      </c>
      <c r="BK166" s="55" t="e">
        <f>BJ166/(AC166+AC167+AC168+AI166+AI167+AI168)</f>
        <v>#REF!</v>
      </c>
    </row>
    <row r="167" spans="2:63" ht="15.75" customHeight="1" x14ac:dyDescent="0.2">
      <c r="B167" s="35"/>
      <c r="C167" s="35"/>
      <c r="D167" s="35"/>
      <c r="E167" s="51"/>
      <c r="F167" s="35"/>
      <c r="G167" s="35"/>
      <c r="H167" s="35"/>
      <c r="R167" s="35"/>
      <c r="S167" s="35"/>
      <c r="T167" s="35"/>
      <c r="U167" s="35"/>
      <c r="V167" s="35"/>
      <c r="W167" s="51"/>
      <c r="X167" s="51"/>
      <c r="Y167" s="51"/>
      <c r="AB167" s="38">
        <v>250</v>
      </c>
      <c r="AC167" s="38">
        <v>400</v>
      </c>
      <c r="AD167" s="38" t="e">
        <f>AD164</f>
        <v>#REF!</v>
      </c>
      <c r="AE167" s="38"/>
      <c r="AF167" s="39">
        <v>1.6</v>
      </c>
      <c r="AG167" s="32"/>
      <c r="AH167" s="36">
        <v>900</v>
      </c>
      <c r="AI167" s="36">
        <v>350</v>
      </c>
      <c r="AJ167" s="38" t="e">
        <f>AJ164</f>
        <v>#REF!</v>
      </c>
      <c r="AK167" s="38"/>
      <c r="AL167" s="39">
        <v>0.3888888888888889</v>
      </c>
      <c r="AM167" s="35"/>
      <c r="AN167" s="35"/>
      <c r="AO167" s="35"/>
      <c r="AP167" s="35"/>
      <c r="AR167" s="35"/>
      <c r="AS167" s="51"/>
      <c r="AT167" s="35"/>
      <c r="AU167" s="51"/>
      <c r="AV167" s="35"/>
      <c r="AW167" s="51"/>
      <c r="AX167" s="35"/>
      <c r="AY167" s="51"/>
      <c r="AZ167" s="35"/>
      <c r="BA167" s="51"/>
      <c r="BB167" s="35"/>
      <c r="BC167" s="51"/>
      <c r="BD167" s="50"/>
      <c r="BE167" s="35"/>
      <c r="BF167" s="51"/>
      <c r="BG167" s="35"/>
      <c r="BH167" s="51"/>
      <c r="BI167" s="35"/>
      <c r="BJ167" s="35"/>
      <c r="BK167" s="51"/>
    </row>
    <row r="168" spans="2:63" ht="15.75" customHeight="1" x14ac:dyDescent="0.2">
      <c r="B168" s="35"/>
      <c r="C168" s="35"/>
      <c r="D168" s="35"/>
      <c r="E168" s="51"/>
      <c r="F168" s="35"/>
      <c r="G168" s="35"/>
      <c r="H168" s="35"/>
      <c r="R168" s="35"/>
      <c r="S168" s="35"/>
      <c r="T168" s="35"/>
      <c r="U168" s="35"/>
      <c r="V168" s="35"/>
      <c r="W168" s="51"/>
      <c r="X168" s="51"/>
      <c r="Y168" s="51"/>
      <c r="AB168" s="40" t="e">
        <f>#REF!</f>
        <v>#REF!</v>
      </c>
      <c r="AC168" s="36">
        <f>V166*D166</f>
        <v>70</v>
      </c>
      <c r="AD168" s="65" t="e">
        <f>(#REF!+(#REF!*(F166/100)))/(1-#REF!/100)</f>
        <v>#REF!</v>
      </c>
      <c r="AE168" s="65"/>
      <c r="AF168" s="39" t="e">
        <f>AC168/AB168</f>
        <v>#REF!</v>
      </c>
      <c r="AG168" s="31"/>
      <c r="AH168" s="40" t="e">
        <f>#REF!</f>
        <v>#REF!</v>
      </c>
      <c r="AI168" s="36">
        <f>V166*(1-D166)</f>
        <v>30.000000000000004</v>
      </c>
      <c r="AJ168" s="65" t="e">
        <f>(#REF!+(#REF!*(F166/100)))/(1-#REF!/100)</f>
        <v>#REF!</v>
      </c>
      <c r="AK168" s="65"/>
      <c r="AL168" s="39" t="e">
        <f>AI168/AH168</f>
        <v>#REF!</v>
      </c>
      <c r="AM168" s="35"/>
      <c r="AN168" s="35"/>
      <c r="AO168" s="35"/>
      <c r="AP168" s="35"/>
      <c r="AR168" s="35"/>
      <c r="AS168" s="51"/>
      <c r="AT168" s="35"/>
      <c r="AU168" s="51"/>
      <c r="AV168" s="35"/>
      <c r="AW168" s="51"/>
      <c r="AX168" s="35"/>
      <c r="AY168" s="51"/>
      <c r="AZ168" s="35"/>
      <c r="BA168" s="51"/>
      <c r="BB168" s="35"/>
      <c r="BC168" s="51"/>
      <c r="BD168" s="50"/>
      <c r="BE168" s="35"/>
      <c r="BF168" s="51"/>
      <c r="BG168" s="35"/>
      <c r="BH168" s="51"/>
      <c r="BI168" s="35"/>
      <c r="BJ168" s="35"/>
      <c r="BK168" s="51"/>
    </row>
    <row r="169" spans="2:63" ht="15.75" customHeight="1" x14ac:dyDescent="0.2">
      <c r="E169" s="50"/>
      <c r="W169" s="50"/>
      <c r="X169" s="50"/>
      <c r="Y169" s="50"/>
      <c r="AB169" s="52"/>
      <c r="AC169" s="33"/>
      <c r="AD169" s="33"/>
      <c r="AE169" s="33"/>
      <c r="AF169" s="32"/>
      <c r="AG169" s="31"/>
      <c r="AH169" s="52"/>
      <c r="AI169" s="33"/>
      <c r="AJ169" s="33"/>
      <c r="AK169" s="33"/>
      <c r="AL169" s="32"/>
      <c r="AS169" s="50"/>
      <c r="AU169" s="50"/>
      <c r="AW169" s="50"/>
      <c r="AY169" s="50"/>
      <c r="BA169" s="50"/>
      <c r="BC169" s="50"/>
      <c r="BD169" s="50"/>
      <c r="BF169" s="50"/>
      <c r="BH169" s="50"/>
      <c r="BK169" s="50"/>
    </row>
    <row r="170" spans="2:63" ht="15.75" customHeight="1" x14ac:dyDescent="0.2">
      <c r="B170" s="178" t="s">
        <v>67</v>
      </c>
      <c r="C170" s="34"/>
      <c r="AB170" s="56" t="s">
        <v>27</v>
      </c>
      <c r="AC170" s="12"/>
      <c r="AD170" s="12"/>
      <c r="AE170" s="12"/>
      <c r="AF170" s="12"/>
      <c r="AG170" s="12"/>
      <c r="AH170" s="56" t="s">
        <v>28</v>
      </c>
      <c r="AI170" s="12"/>
      <c r="AJ170" s="12"/>
      <c r="AK170" s="12"/>
      <c r="AL170" s="12"/>
      <c r="AR170" s="34" t="s">
        <v>52</v>
      </c>
      <c r="AX170" s="34" t="s">
        <v>53</v>
      </c>
      <c r="BE170" s="34" t="s">
        <v>65</v>
      </c>
    </row>
    <row r="171" spans="2:63" ht="15.75" customHeight="1" x14ac:dyDescent="0.2">
      <c r="B171" s="28" t="s">
        <v>61</v>
      </c>
      <c r="C171" s="28"/>
      <c r="D171" s="28" t="s">
        <v>29</v>
      </c>
      <c r="E171" s="57" t="s">
        <v>63</v>
      </c>
      <c r="F171" s="57" t="s">
        <v>72</v>
      </c>
      <c r="G171" s="57"/>
      <c r="H171" s="57"/>
      <c r="I171" s="101"/>
      <c r="J171" s="101"/>
      <c r="K171" s="101"/>
      <c r="L171" s="101"/>
      <c r="M171" s="101"/>
      <c r="N171" s="101"/>
      <c r="O171" s="101"/>
      <c r="P171" s="101"/>
      <c r="R171" s="28" t="s">
        <v>3</v>
      </c>
      <c r="S171" s="28"/>
      <c r="T171" s="57" t="s">
        <v>50</v>
      </c>
      <c r="U171" s="57" t="s">
        <v>70</v>
      </c>
      <c r="V171" s="28" t="s">
        <v>1</v>
      </c>
      <c r="W171" s="57" t="s">
        <v>62</v>
      </c>
      <c r="X171" s="57" t="s">
        <v>9</v>
      </c>
      <c r="Y171" s="57"/>
      <c r="AB171" s="28" t="s">
        <v>30</v>
      </c>
      <c r="AC171" s="28" t="s">
        <v>1</v>
      </c>
      <c r="AD171" s="57" t="s">
        <v>10</v>
      </c>
      <c r="AE171" s="57"/>
      <c r="AF171" s="57" t="s">
        <v>64</v>
      </c>
      <c r="AG171" s="60"/>
      <c r="AH171" s="28" t="s">
        <v>30</v>
      </c>
      <c r="AI171" s="28" t="s">
        <v>1</v>
      </c>
      <c r="AJ171" s="57" t="s">
        <v>10</v>
      </c>
      <c r="AK171" s="57"/>
      <c r="AL171" s="57" t="s">
        <v>64</v>
      </c>
      <c r="AM171" s="28" t="s">
        <v>58</v>
      </c>
      <c r="AN171" s="28"/>
      <c r="AO171" s="28" t="s">
        <v>59</v>
      </c>
      <c r="AP171" s="28" t="s">
        <v>60</v>
      </c>
      <c r="AR171" s="61" t="s">
        <v>54</v>
      </c>
      <c r="AS171" s="61" t="s">
        <v>57</v>
      </c>
      <c r="AT171" s="61" t="s">
        <v>55</v>
      </c>
      <c r="AU171" s="61" t="s">
        <v>57</v>
      </c>
      <c r="AV171" s="61" t="s">
        <v>56</v>
      </c>
      <c r="AW171" s="61" t="s">
        <v>57</v>
      </c>
      <c r="AX171" s="28" t="s">
        <v>54</v>
      </c>
      <c r="AY171" s="28" t="s">
        <v>57</v>
      </c>
      <c r="AZ171" s="28" t="s">
        <v>55</v>
      </c>
      <c r="BA171" s="28" t="s">
        <v>57</v>
      </c>
      <c r="BB171" s="28" t="s">
        <v>56</v>
      </c>
      <c r="BC171" s="28" t="s">
        <v>57</v>
      </c>
      <c r="BD171" s="60"/>
      <c r="BE171" s="61" t="s">
        <v>54</v>
      </c>
      <c r="BF171" s="61" t="s">
        <v>57</v>
      </c>
      <c r="BG171" s="61" t="s">
        <v>55</v>
      </c>
      <c r="BH171" s="61" t="s">
        <v>57</v>
      </c>
      <c r="BI171" s="61" t="s">
        <v>66</v>
      </c>
      <c r="BJ171" s="61" t="s">
        <v>56</v>
      </c>
      <c r="BK171" s="61" t="s">
        <v>57</v>
      </c>
    </row>
    <row r="172" spans="2:63" ht="15.75" customHeight="1" x14ac:dyDescent="0.2">
      <c r="B172" s="33">
        <v>200</v>
      </c>
      <c r="C172" s="33"/>
      <c r="D172" s="29">
        <v>0.6</v>
      </c>
      <c r="E172" s="50">
        <v>5</v>
      </c>
      <c r="F172">
        <v>10</v>
      </c>
      <c r="R172" s="12" t="s">
        <v>68</v>
      </c>
      <c r="S172" s="12"/>
      <c r="T172" s="13"/>
      <c r="U172" s="13"/>
      <c r="V172" s="13">
        <v>400</v>
      </c>
      <c r="W172" s="58" t="e">
        <f>V172/#REF!</f>
        <v>#REF!</v>
      </c>
      <c r="X172" s="58"/>
      <c r="Y172" s="58"/>
      <c r="AB172" s="31" t="e">
        <f>#REF!</f>
        <v>#REF!</v>
      </c>
      <c r="AC172" s="31">
        <f>V172*D172</f>
        <v>240</v>
      </c>
      <c r="AD172" s="63" t="e">
        <f>(#REF!+(#REF!*(F172/100)))/(1-#REF!/100)</f>
        <v>#REF!</v>
      </c>
      <c r="AE172" s="63"/>
      <c r="AF172" s="32" t="e">
        <f>AC172/AB172</f>
        <v>#REF!</v>
      </c>
      <c r="AG172" s="32"/>
      <c r="AH172" s="31" t="e">
        <f>#REF!</f>
        <v>#REF!</v>
      </c>
      <c r="AI172" s="31">
        <f>V172*(1-D172)</f>
        <v>160</v>
      </c>
      <c r="AJ172" s="63" t="e">
        <f>(#REF!+(#REF!*(F172/100)))/(1-#REF!/100)</f>
        <v>#REF!</v>
      </c>
      <c r="AK172" s="63"/>
      <c r="AL172" s="32" t="e">
        <f>AI172/AH172</f>
        <v>#REF!</v>
      </c>
      <c r="AM172" s="32" t="e">
        <f>AF172</f>
        <v>#REF!</v>
      </c>
      <c r="AN172" s="32"/>
      <c r="AO172" s="32" t="e">
        <f>AL172</f>
        <v>#REF!</v>
      </c>
      <c r="AP172" s="32" t="e">
        <f>AM172+AO172</f>
        <v>#REF!</v>
      </c>
      <c r="AR172" s="52">
        <v>0</v>
      </c>
      <c r="AS172" s="50">
        <v>0</v>
      </c>
      <c r="AT172" s="52">
        <v>0</v>
      </c>
      <c r="AU172" s="50">
        <v>0</v>
      </c>
      <c r="AV172" s="52">
        <v>0</v>
      </c>
      <c r="AW172" s="54">
        <v>0</v>
      </c>
      <c r="AX172" s="52">
        <v>0</v>
      </c>
      <c r="AY172" s="50">
        <v>0</v>
      </c>
      <c r="AZ172" s="52">
        <v>0</v>
      </c>
      <c r="BA172" s="50">
        <v>0</v>
      </c>
      <c r="BB172" s="52">
        <v>0</v>
      </c>
      <c r="BC172" s="50">
        <v>0</v>
      </c>
      <c r="BD172" s="50"/>
      <c r="BE172" s="52">
        <v>0</v>
      </c>
      <c r="BF172" s="50">
        <v>0</v>
      </c>
      <c r="BG172" s="52">
        <v>0</v>
      </c>
      <c r="BH172" s="50">
        <v>0</v>
      </c>
      <c r="BI172" s="52">
        <v>0</v>
      </c>
      <c r="BJ172" s="52">
        <v>0</v>
      </c>
      <c r="BK172" s="50">
        <v>0</v>
      </c>
    </row>
    <row r="173" spans="2:63" ht="15.75" customHeight="1" x14ac:dyDescent="0.2">
      <c r="B173" s="36">
        <v>100</v>
      </c>
      <c r="C173" s="36"/>
      <c r="D173" s="37">
        <v>0.6</v>
      </c>
      <c r="E173" s="51">
        <v>5</v>
      </c>
      <c r="F173" s="35">
        <v>10</v>
      </c>
      <c r="G173" s="35"/>
      <c r="H173" s="35"/>
      <c r="R173" s="41" t="s">
        <v>69</v>
      </c>
      <c r="S173" s="41"/>
      <c r="T173" s="35"/>
      <c r="U173" s="59">
        <v>2</v>
      </c>
      <c r="V173" s="42"/>
      <c r="W173" s="59"/>
      <c r="X173" s="59"/>
      <c r="Y173" s="59"/>
      <c r="AB173" s="38" t="e">
        <f>AB172/U173</f>
        <v>#REF!</v>
      </c>
      <c r="AC173" s="38">
        <f>AC172</f>
        <v>240</v>
      </c>
      <c r="AD173" s="65" t="e">
        <f>AD172/U173</f>
        <v>#REF!</v>
      </c>
      <c r="AE173" s="65"/>
      <c r="AF173" s="39" t="e">
        <f>AF172*U173</f>
        <v>#REF!</v>
      </c>
      <c r="AG173" s="32"/>
      <c r="AH173" s="38" t="e">
        <f>AH172/U173</f>
        <v>#REF!</v>
      </c>
      <c r="AI173" s="38">
        <f>AI172</f>
        <v>160</v>
      </c>
      <c r="AJ173" s="65" t="e">
        <f>AJ172/U173</f>
        <v>#REF!</v>
      </c>
      <c r="AK173" s="65"/>
      <c r="AL173" s="39" t="e">
        <f>AL172*U173</f>
        <v>#REF!</v>
      </c>
      <c r="AM173" s="39" t="e">
        <f>AM172*U173</f>
        <v>#REF!</v>
      </c>
      <c r="AN173" s="39"/>
      <c r="AO173" s="39" t="e">
        <f>AO172*U173</f>
        <v>#REF!</v>
      </c>
      <c r="AP173" s="39" t="e">
        <f>AM173+AO173</f>
        <v>#REF!</v>
      </c>
      <c r="AR173" s="40">
        <f t="shared" ref="AR173:AW173" si="31">AR172</f>
        <v>0</v>
      </c>
      <c r="AS173" s="51">
        <f t="shared" si="31"/>
        <v>0</v>
      </c>
      <c r="AT173" s="40">
        <f t="shared" si="31"/>
        <v>0</v>
      </c>
      <c r="AU173" s="51">
        <f t="shared" si="31"/>
        <v>0</v>
      </c>
      <c r="AV173" s="40">
        <f t="shared" si="31"/>
        <v>0</v>
      </c>
      <c r="AW173" s="55">
        <f t="shared" si="31"/>
        <v>0</v>
      </c>
      <c r="AX173" s="40">
        <f t="shared" ref="AX173:BC173" si="32">AX172</f>
        <v>0</v>
      </c>
      <c r="AY173" s="51">
        <f t="shared" si="32"/>
        <v>0</v>
      </c>
      <c r="AZ173" s="40">
        <f t="shared" si="32"/>
        <v>0</v>
      </c>
      <c r="BA173" s="51">
        <f t="shared" si="32"/>
        <v>0</v>
      </c>
      <c r="BB173" s="40">
        <f t="shared" si="32"/>
        <v>0</v>
      </c>
      <c r="BC173" s="51">
        <f t="shared" si="32"/>
        <v>0</v>
      </c>
      <c r="BD173" s="50"/>
      <c r="BE173" s="40">
        <f t="shared" ref="BE173:BK173" si="33">BE172</f>
        <v>0</v>
      </c>
      <c r="BF173" s="51">
        <f t="shared" si="33"/>
        <v>0</v>
      </c>
      <c r="BG173" s="40">
        <f t="shared" si="33"/>
        <v>0</v>
      </c>
      <c r="BH173" s="51">
        <f t="shared" si="33"/>
        <v>0</v>
      </c>
      <c r="BI173" s="40">
        <f t="shared" si="33"/>
        <v>0</v>
      </c>
      <c r="BJ173" s="40">
        <f t="shared" si="33"/>
        <v>0</v>
      </c>
      <c r="BK173" s="51">
        <f t="shared" si="33"/>
        <v>0</v>
      </c>
    </row>
    <row r="174" spans="2:63" ht="15.75" customHeight="1" x14ac:dyDescent="0.2">
      <c r="B174" s="33">
        <v>100</v>
      </c>
      <c r="C174" s="33"/>
      <c r="D174" s="29">
        <v>0.6</v>
      </c>
      <c r="E174" s="50">
        <v>5</v>
      </c>
      <c r="F174">
        <v>10</v>
      </c>
      <c r="R174" s="12" t="s">
        <v>71</v>
      </c>
      <c r="S174" s="12"/>
      <c r="T174" s="13"/>
      <c r="U174" s="13"/>
      <c r="V174" s="13">
        <v>300</v>
      </c>
      <c r="W174" s="58" t="e">
        <f>V174/#REF!</f>
        <v>#REF!</v>
      </c>
      <c r="X174" s="58"/>
      <c r="Y174" s="58"/>
      <c r="AB174" s="31" t="e">
        <f>#REF!</f>
        <v>#REF!</v>
      </c>
      <c r="AC174" s="31">
        <f>V174*D174</f>
        <v>180</v>
      </c>
      <c r="AD174" s="63" t="e">
        <f>(#REF!+(#REF!*(F174/100)))/(1-#REF!/100)</f>
        <v>#REF!</v>
      </c>
      <c r="AE174" s="63"/>
      <c r="AF174" s="32" t="e">
        <f>AC174/AB174</f>
        <v>#REF!</v>
      </c>
      <c r="AG174" s="32"/>
      <c r="AH174" s="31" t="e">
        <f>#REF!</f>
        <v>#REF!</v>
      </c>
      <c r="AI174" s="31">
        <f>V174*(1-D174)</f>
        <v>120</v>
      </c>
      <c r="AJ174" s="63" t="e">
        <f>(#REF!+(#REF!*(F174/100)))/(1-#REF!/100)</f>
        <v>#REF!</v>
      </c>
      <c r="AK174" s="63"/>
      <c r="AL174" s="32" t="e">
        <f>AI174/AH174</f>
        <v>#REF!</v>
      </c>
      <c r="AM174" s="32" t="e">
        <f>AF174+AF175</f>
        <v>#REF!</v>
      </c>
      <c r="AN174" s="32"/>
      <c r="AO174" s="32" t="e">
        <f>AL174+AL175</f>
        <v>#REF!</v>
      </c>
      <c r="AP174" s="32" t="e">
        <f>AM174+AO174</f>
        <v>#REF!</v>
      </c>
      <c r="AR174" s="52">
        <f>AR172</f>
        <v>0</v>
      </c>
      <c r="AS174" s="50">
        <f t="shared" ref="AS174:AU174" si="34">AS172</f>
        <v>0</v>
      </c>
      <c r="AT174" s="52">
        <f t="shared" si="34"/>
        <v>0</v>
      </c>
      <c r="AU174" s="50">
        <f t="shared" si="34"/>
        <v>0</v>
      </c>
      <c r="AV174" s="52">
        <f>AV172</f>
        <v>0</v>
      </c>
      <c r="AW174" s="62">
        <f>AV174/V172</f>
        <v>0</v>
      </c>
      <c r="AX174" s="63" t="e">
        <f>(B174*AM174)-(AC174+AC175)</f>
        <v>#REF!</v>
      </c>
      <c r="AY174" s="62" t="e">
        <f>AX174/(AC174+AC175)</f>
        <v>#REF!</v>
      </c>
      <c r="AZ174" s="63" t="e">
        <f>(AO174*B174)-(AI174+AI175)</f>
        <v>#REF!</v>
      </c>
      <c r="BA174" s="62" t="e">
        <f>AZ174/(AI174+AI175)</f>
        <v>#REF!</v>
      </c>
      <c r="BB174" s="63" t="e">
        <f>AX174+AZ174</f>
        <v>#REF!</v>
      </c>
      <c r="BC174" s="62" t="e">
        <f>BB174/(AC174+AC175+AI174+AI175)</f>
        <v>#REF!</v>
      </c>
      <c r="BD174" s="50"/>
      <c r="BE174" s="63" t="e">
        <f>AR174+AX174</f>
        <v>#REF!</v>
      </c>
      <c r="BF174" s="62" t="e">
        <f>AY174</f>
        <v>#REF!</v>
      </c>
      <c r="BG174" s="63" t="e">
        <f>AT174+AZ174</f>
        <v>#REF!</v>
      </c>
      <c r="BH174" s="62" t="e">
        <f>BG174/(AI174+AI175)</f>
        <v>#REF!</v>
      </c>
      <c r="BI174" s="63">
        <f>BI172</f>
        <v>0</v>
      </c>
      <c r="BJ174" s="63" t="e">
        <f>BE174+BG174+BI174</f>
        <v>#REF!</v>
      </c>
      <c r="BK174" s="62" t="e">
        <f>BJ174/(AC174+AC175+AI174+AI175)</f>
        <v>#REF!</v>
      </c>
    </row>
    <row r="175" spans="2:63" ht="15.75" customHeight="1" x14ac:dyDescent="0.2">
      <c r="B175" s="33"/>
      <c r="C175" s="33"/>
      <c r="D175" s="29"/>
      <c r="E175" s="50"/>
      <c r="R175" s="12"/>
      <c r="S175" s="12"/>
      <c r="T175" s="13"/>
      <c r="U175" s="13"/>
      <c r="V175" s="13"/>
      <c r="W175" s="58"/>
      <c r="X175" s="58"/>
      <c r="Y175" s="58"/>
      <c r="AB175" s="31" t="e">
        <f>AB173</f>
        <v>#REF!</v>
      </c>
      <c r="AC175" s="31">
        <f>AC173</f>
        <v>240</v>
      </c>
      <c r="AD175" s="63" t="e">
        <f>AD173</f>
        <v>#REF!</v>
      </c>
      <c r="AE175" s="63"/>
      <c r="AF175" s="32" t="e">
        <f>AF173</f>
        <v>#REF!</v>
      </c>
      <c r="AG175" s="32"/>
      <c r="AH175" s="31" t="e">
        <f>AH173</f>
        <v>#REF!</v>
      </c>
      <c r="AI175" s="31">
        <f>AI173</f>
        <v>160</v>
      </c>
      <c r="AJ175" s="63" t="e">
        <f>AJ173</f>
        <v>#REF!</v>
      </c>
      <c r="AK175" s="63"/>
      <c r="AL175" s="32" t="e">
        <f>AL173</f>
        <v>#REF!</v>
      </c>
      <c r="AM175" s="32"/>
      <c r="AN175" s="32"/>
      <c r="AO175" s="32"/>
      <c r="AP175" s="32"/>
      <c r="AR175" s="52"/>
      <c r="AS175" s="50"/>
      <c r="AT175" s="52"/>
      <c r="AU175" s="50"/>
      <c r="AV175" s="52"/>
      <c r="AW175" s="62"/>
      <c r="AX175" s="52"/>
      <c r="AY175" s="50"/>
      <c r="AZ175" s="52"/>
      <c r="BA175" s="50"/>
      <c r="BB175" s="52"/>
      <c r="BC175" s="50"/>
      <c r="BD175" s="50"/>
      <c r="BE175" s="52"/>
      <c r="BF175" s="50"/>
      <c r="BG175" s="52"/>
      <c r="BH175" s="50"/>
      <c r="BI175" s="63"/>
      <c r="BJ175" s="63"/>
      <c r="BK175" s="62"/>
    </row>
    <row r="176" spans="2:63" ht="15.75" customHeight="1" x14ac:dyDescent="0.2">
      <c r="B176" s="33"/>
      <c r="C176" s="33"/>
      <c r="D176" s="29"/>
      <c r="E176" s="50"/>
      <c r="R176" s="12"/>
      <c r="S176" s="12"/>
      <c r="T176" s="13"/>
      <c r="U176" s="13"/>
      <c r="V176" s="13"/>
      <c r="W176" s="58"/>
      <c r="X176" s="58"/>
      <c r="Y176" s="58"/>
      <c r="AB176" s="31"/>
      <c r="AC176" s="31"/>
      <c r="AD176" s="63"/>
      <c r="AE176" s="63"/>
      <c r="AF176" s="32"/>
      <c r="AG176" s="32"/>
      <c r="AH176" s="31"/>
      <c r="AI176" s="31"/>
      <c r="AJ176" s="63"/>
      <c r="AK176" s="63"/>
      <c r="AL176" s="32"/>
      <c r="AM176" s="32"/>
      <c r="AN176" s="32"/>
      <c r="AO176" s="32"/>
      <c r="AP176" s="32"/>
      <c r="AR176" s="52"/>
      <c r="AS176" s="50"/>
      <c r="AT176" s="52"/>
      <c r="AU176" s="50"/>
      <c r="AV176" s="52"/>
      <c r="AW176" s="62"/>
      <c r="AX176" s="52"/>
      <c r="AY176" s="50"/>
      <c r="AZ176" s="52"/>
      <c r="BA176" s="50"/>
      <c r="BB176" s="52"/>
      <c r="BC176" s="50"/>
      <c r="BD176" s="50"/>
      <c r="BE176" s="52"/>
      <c r="BF176" s="50"/>
      <c r="BG176" s="52"/>
      <c r="BH176" s="50"/>
      <c r="BI176" s="63"/>
      <c r="BJ176" s="63"/>
      <c r="BK176" s="62"/>
    </row>
    <row r="177" spans="2:50" ht="15.75" customHeight="1" x14ac:dyDescent="0.2">
      <c r="B177" s="179" t="s">
        <v>37</v>
      </c>
      <c r="C177" s="109"/>
      <c r="T177" s="12"/>
      <c r="U177" s="12"/>
      <c r="V177" s="12"/>
      <c r="W177" s="12"/>
      <c r="X177" s="12"/>
      <c r="Y177" s="12"/>
      <c r="Z177" s="12"/>
      <c r="AA177" s="12"/>
      <c r="AB177" s="56" t="s">
        <v>27</v>
      </c>
      <c r="AC177" s="12"/>
      <c r="AD177" s="12"/>
      <c r="AE177" s="12"/>
      <c r="AF177" s="12"/>
      <c r="AG177" s="12"/>
      <c r="AH177" s="56" t="s">
        <v>28</v>
      </c>
      <c r="AI177" s="12"/>
      <c r="AJ177" s="12"/>
      <c r="AK177" s="12"/>
      <c r="AL177" s="12"/>
      <c r="AS177" s="33"/>
      <c r="AX177" s="63"/>
    </row>
    <row r="178" spans="2:50" ht="15.75" customHeight="1" x14ac:dyDescent="0.2">
      <c r="B178" s="28" t="s">
        <v>61</v>
      </c>
      <c r="C178" s="28"/>
      <c r="D178" s="28" t="s">
        <v>29</v>
      </c>
      <c r="E178" s="57" t="s">
        <v>63</v>
      </c>
      <c r="F178" s="57" t="s">
        <v>72</v>
      </c>
      <c r="G178" s="57"/>
      <c r="H178" s="57"/>
      <c r="I178" s="101"/>
      <c r="J178" s="101"/>
      <c r="K178" s="101"/>
      <c r="L178" s="101"/>
      <c r="M178" s="101"/>
      <c r="N178" s="101"/>
      <c r="O178" s="101"/>
      <c r="P178" s="101"/>
      <c r="R178" s="28" t="s">
        <v>3</v>
      </c>
      <c r="S178" s="28"/>
      <c r="T178" s="57" t="s">
        <v>50</v>
      </c>
      <c r="U178" s="57" t="s">
        <v>70</v>
      </c>
      <c r="V178" s="28" t="s">
        <v>1</v>
      </c>
      <c r="W178" s="57" t="s">
        <v>62</v>
      </c>
      <c r="X178" s="57" t="s">
        <v>9</v>
      </c>
      <c r="Y178" s="57"/>
      <c r="Z178" s="60"/>
      <c r="AA178" s="12"/>
      <c r="AB178" s="28" t="s">
        <v>30</v>
      </c>
      <c r="AC178" s="28" t="s">
        <v>1</v>
      </c>
      <c r="AD178" s="57" t="s">
        <v>10</v>
      </c>
      <c r="AE178" s="57"/>
      <c r="AF178" s="57" t="s">
        <v>64</v>
      </c>
      <c r="AG178" s="60"/>
      <c r="AH178" s="28" t="s">
        <v>30</v>
      </c>
      <c r="AI178" s="28" t="s">
        <v>1</v>
      </c>
      <c r="AJ178" s="57" t="s">
        <v>10</v>
      </c>
      <c r="AK178" s="57"/>
      <c r="AL178" s="57" t="s">
        <v>64</v>
      </c>
      <c r="AS178" s="33"/>
    </row>
    <row r="179" spans="2:50" ht="15.75" customHeight="1" x14ac:dyDescent="0.2">
      <c r="B179" s="33">
        <v>100</v>
      </c>
      <c r="C179" s="33"/>
      <c r="D179" s="29">
        <v>0.6</v>
      </c>
      <c r="E179" s="50">
        <v>5</v>
      </c>
      <c r="F179">
        <v>10</v>
      </c>
      <c r="R179" t="s">
        <v>38</v>
      </c>
      <c r="T179" s="33"/>
      <c r="U179" s="33"/>
      <c r="V179" s="33">
        <v>200</v>
      </c>
      <c r="W179" s="33"/>
      <c r="X179" s="33"/>
      <c r="Y179" s="33"/>
      <c r="Z179" s="67"/>
      <c r="AB179" s="33" t="e">
        <f>#REF!</f>
        <v>#REF!</v>
      </c>
      <c r="AC179" s="33">
        <f>V179*D179</f>
        <v>120</v>
      </c>
      <c r="AD179" s="33"/>
      <c r="AE179" s="33"/>
      <c r="AF179" s="44" t="e">
        <f>AC179/AB179</f>
        <v>#REF!</v>
      </c>
      <c r="AG179" s="44"/>
      <c r="AH179" s="33" t="e">
        <f>#REF!</f>
        <v>#REF!</v>
      </c>
      <c r="AI179" s="31">
        <f>V179*(1-D179)</f>
        <v>80</v>
      </c>
      <c r="AJ179" s="33"/>
      <c r="AK179" s="33"/>
      <c r="AL179" s="32" t="e">
        <f>AI179/AH179</f>
        <v>#REF!</v>
      </c>
    </row>
    <row r="180" spans="2:50" ht="15.75" customHeight="1" x14ac:dyDescent="0.2">
      <c r="B180" s="36">
        <v>100</v>
      </c>
      <c r="C180" s="36"/>
      <c r="D180" s="37">
        <v>0.6</v>
      </c>
      <c r="E180" s="51">
        <v>5</v>
      </c>
      <c r="F180" s="35">
        <v>10</v>
      </c>
      <c r="G180" s="35"/>
      <c r="H180" s="35"/>
      <c r="R180" s="35" t="s">
        <v>39</v>
      </c>
      <c r="S180" s="35"/>
      <c r="T180" s="35"/>
      <c r="U180" s="35"/>
      <c r="V180" s="35"/>
      <c r="W180" s="35"/>
      <c r="X180" s="35"/>
      <c r="Y180" s="35"/>
      <c r="AB180" s="38" t="s">
        <v>34</v>
      </c>
      <c r="AC180" s="38" t="s">
        <v>34</v>
      </c>
      <c r="AD180" s="38"/>
      <c r="AE180" s="38"/>
      <c r="AF180" s="38" t="s">
        <v>34</v>
      </c>
      <c r="AG180" s="31"/>
      <c r="AH180" s="38" t="s">
        <v>34</v>
      </c>
      <c r="AI180" s="38" t="s">
        <v>34</v>
      </c>
      <c r="AJ180" s="38"/>
      <c r="AK180" s="38"/>
      <c r="AL180" s="38" t="s">
        <v>34</v>
      </c>
    </row>
    <row r="181" spans="2:50" ht="15.75" customHeight="1" x14ac:dyDescent="0.2">
      <c r="B181" s="33">
        <v>100</v>
      </c>
      <c r="C181" s="33"/>
      <c r="D181" s="29">
        <v>0.6</v>
      </c>
      <c r="E181" s="50">
        <v>5</v>
      </c>
      <c r="F181">
        <v>10</v>
      </c>
      <c r="R181" t="s">
        <v>40</v>
      </c>
      <c r="T181" s="33"/>
      <c r="U181" s="33"/>
      <c r="V181" s="33">
        <v>500</v>
      </c>
      <c r="W181" s="33"/>
      <c r="X181" s="33"/>
      <c r="Y181" s="33"/>
      <c r="Z181" s="67"/>
      <c r="AB181" s="33" t="e">
        <f>#REF!</f>
        <v>#REF!</v>
      </c>
      <c r="AC181" s="33">
        <f>V181</f>
        <v>500</v>
      </c>
      <c r="AD181" s="33"/>
      <c r="AE181" s="33"/>
      <c r="AF181" s="44" t="e">
        <f>AC181/AB181</f>
        <v>#REF!</v>
      </c>
      <c r="AG181" s="44"/>
      <c r="AH181" s="31" t="s">
        <v>34</v>
      </c>
      <c r="AI181" s="31" t="s">
        <v>34</v>
      </c>
      <c r="AJ181" s="33"/>
      <c r="AK181" s="33"/>
      <c r="AL181" s="31" t="s">
        <v>34</v>
      </c>
    </row>
    <row r="182" spans="2:50" ht="15.75" customHeight="1" x14ac:dyDescent="0.2">
      <c r="B182" s="36">
        <v>100</v>
      </c>
      <c r="C182" s="36"/>
      <c r="D182" s="37">
        <v>0.6</v>
      </c>
      <c r="E182" s="51">
        <v>5</v>
      </c>
      <c r="F182" s="35">
        <v>10</v>
      </c>
      <c r="G182" s="35"/>
      <c r="H182" s="35"/>
      <c r="R182" s="35" t="s">
        <v>41</v>
      </c>
      <c r="S182" s="35"/>
      <c r="T182" s="35"/>
      <c r="U182" s="35"/>
      <c r="V182" s="35"/>
      <c r="W182" s="35"/>
      <c r="X182" s="35"/>
      <c r="Y182" s="35"/>
      <c r="AB182" s="38" t="s">
        <v>34</v>
      </c>
      <c r="AC182" s="38" t="s">
        <v>34</v>
      </c>
      <c r="AD182" s="38"/>
      <c r="AE182" s="38"/>
      <c r="AF182" s="38" t="s">
        <v>34</v>
      </c>
      <c r="AG182" s="31"/>
      <c r="AH182" s="38" t="s">
        <v>34</v>
      </c>
      <c r="AI182" s="38" t="s">
        <v>34</v>
      </c>
      <c r="AJ182" s="38"/>
      <c r="AK182" s="38"/>
      <c r="AL182" s="38" t="s">
        <v>34</v>
      </c>
    </row>
    <row r="183" spans="2:50" ht="15.75" customHeight="1" x14ac:dyDescent="0.2">
      <c r="B183" s="33">
        <v>100</v>
      </c>
      <c r="C183" s="33"/>
      <c r="D183" s="29">
        <v>0.6</v>
      </c>
      <c r="E183" s="50">
        <v>5</v>
      </c>
      <c r="F183">
        <v>10</v>
      </c>
      <c r="R183" t="s">
        <v>42</v>
      </c>
      <c r="T183" s="33"/>
      <c r="U183" s="33"/>
      <c r="V183" s="33">
        <v>350</v>
      </c>
      <c r="W183" s="33"/>
      <c r="X183" s="33"/>
      <c r="Y183" s="33"/>
      <c r="Z183" s="67"/>
      <c r="AB183" s="31" t="s">
        <v>34</v>
      </c>
      <c r="AC183" s="31" t="s">
        <v>34</v>
      </c>
      <c r="AD183" s="31"/>
      <c r="AE183" s="31"/>
      <c r="AF183" s="31" t="s">
        <v>34</v>
      </c>
      <c r="AG183" s="31"/>
      <c r="AH183" s="33" t="e">
        <f>#REF!</f>
        <v>#REF!</v>
      </c>
      <c r="AI183" s="31">
        <f>V183*(1-D183)</f>
        <v>140</v>
      </c>
      <c r="AJ183" s="31"/>
      <c r="AK183" s="31"/>
      <c r="AL183" s="32" t="e">
        <f>AI183/AH183</f>
        <v>#REF!</v>
      </c>
    </row>
    <row r="184" spans="2:50" ht="15.75" customHeight="1" x14ac:dyDescent="0.2">
      <c r="B184" s="36">
        <v>100</v>
      </c>
      <c r="C184" s="36"/>
      <c r="D184" s="37">
        <v>0.6</v>
      </c>
      <c r="E184" s="51">
        <v>5</v>
      </c>
      <c r="F184" s="35">
        <v>10</v>
      </c>
      <c r="G184" s="35"/>
      <c r="H184" s="35"/>
      <c r="R184" s="35" t="s">
        <v>43</v>
      </c>
      <c r="S184" s="35"/>
      <c r="T184" s="35"/>
      <c r="U184" s="35"/>
      <c r="V184" s="35"/>
      <c r="W184" s="35"/>
      <c r="X184" s="35"/>
      <c r="Y184" s="35"/>
      <c r="AB184" s="38" t="s">
        <v>34</v>
      </c>
      <c r="AC184" s="38" t="s">
        <v>34</v>
      </c>
      <c r="AD184" s="38"/>
      <c r="AE184" s="38"/>
      <c r="AF184" s="38" t="s">
        <v>34</v>
      </c>
      <c r="AG184" s="31"/>
      <c r="AH184" s="38" t="s">
        <v>34</v>
      </c>
      <c r="AI184" s="38" t="s">
        <v>34</v>
      </c>
      <c r="AJ184" s="38"/>
      <c r="AK184" s="38"/>
      <c r="AL184" s="38" t="s">
        <v>34</v>
      </c>
    </row>
    <row r="186" spans="2:50" ht="15.75" customHeight="1" x14ac:dyDescent="0.2">
      <c r="B186" s="178" t="s">
        <v>44</v>
      </c>
      <c r="C186" s="34"/>
      <c r="AB186" s="56" t="s">
        <v>27</v>
      </c>
      <c r="AC186" s="12"/>
      <c r="AD186" s="12"/>
      <c r="AE186" s="12"/>
      <c r="AF186" s="12"/>
      <c r="AG186" s="12"/>
      <c r="AH186" s="56" t="s">
        <v>28</v>
      </c>
      <c r="AJ186" s="12"/>
      <c r="AK186" s="12"/>
    </row>
    <row r="187" spans="2:50" ht="15.75" customHeight="1" x14ac:dyDescent="0.2">
      <c r="B187" s="28" t="s">
        <v>61</v>
      </c>
      <c r="C187" s="28"/>
      <c r="D187" s="28" t="s">
        <v>29</v>
      </c>
      <c r="E187" s="57" t="s">
        <v>63</v>
      </c>
      <c r="F187" s="57" t="s">
        <v>72</v>
      </c>
      <c r="G187" s="57"/>
      <c r="H187" s="57"/>
      <c r="I187" s="101"/>
      <c r="J187" s="101"/>
      <c r="K187" s="101"/>
      <c r="L187" s="101"/>
      <c r="M187" s="101"/>
      <c r="N187" s="101"/>
      <c r="O187" s="101"/>
      <c r="P187" s="101"/>
      <c r="R187" s="28" t="s">
        <v>3</v>
      </c>
      <c r="S187" s="28"/>
      <c r="T187" s="57" t="s">
        <v>50</v>
      </c>
      <c r="U187" s="57" t="s">
        <v>70</v>
      </c>
      <c r="V187" s="28" t="s">
        <v>1</v>
      </c>
      <c r="W187" s="57" t="s">
        <v>62</v>
      </c>
      <c r="X187" s="57" t="s">
        <v>9</v>
      </c>
      <c r="Y187" s="57"/>
      <c r="Z187" s="60"/>
      <c r="AA187" s="12"/>
      <c r="AB187" s="28" t="s">
        <v>30</v>
      </c>
      <c r="AC187" s="28" t="s">
        <v>1</v>
      </c>
      <c r="AD187" s="57" t="s">
        <v>10</v>
      </c>
      <c r="AE187" s="57"/>
      <c r="AF187" s="57" t="s">
        <v>64</v>
      </c>
      <c r="AG187" s="60"/>
      <c r="AH187" s="28" t="s">
        <v>30</v>
      </c>
      <c r="AI187" s="28" t="s">
        <v>1</v>
      </c>
      <c r="AJ187" s="57" t="s">
        <v>10</v>
      </c>
      <c r="AK187" s="57"/>
      <c r="AL187" s="57" t="s">
        <v>64</v>
      </c>
    </row>
    <row r="188" spans="2:50" ht="15.75" customHeight="1" x14ac:dyDescent="0.2">
      <c r="B188" s="33">
        <v>100</v>
      </c>
      <c r="C188" s="33"/>
      <c r="D188" s="29">
        <v>0.3</v>
      </c>
      <c r="E188" s="50">
        <v>5</v>
      </c>
      <c r="F188">
        <v>10</v>
      </c>
      <c r="R188" s="45" t="s">
        <v>47</v>
      </c>
      <c r="S188" s="45"/>
      <c r="T188" s="33"/>
      <c r="U188" s="33"/>
      <c r="V188" s="33">
        <v>200</v>
      </c>
      <c r="W188" s="33"/>
      <c r="X188" s="33"/>
      <c r="Y188" s="33"/>
      <c r="Z188" s="67"/>
      <c r="AB188" s="33" t="e">
        <f>#REF!</f>
        <v>#REF!</v>
      </c>
      <c r="AC188" s="33">
        <f>V188*D188</f>
        <v>60</v>
      </c>
      <c r="AD188" s="33"/>
      <c r="AE188" s="33"/>
      <c r="AF188" s="44" t="e">
        <f>AC188/AB188</f>
        <v>#REF!</v>
      </c>
      <c r="AG188" s="44"/>
      <c r="AH188" s="33" t="e">
        <f>#REF!</f>
        <v>#REF!</v>
      </c>
      <c r="AI188" s="31">
        <f>V188*(1-D188)</f>
        <v>140</v>
      </c>
      <c r="AJ188" s="33"/>
      <c r="AK188" s="33"/>
      <c r="AL188" s="32" t="e">
        <f>AI188/AH188</f>
        <v>#REF!</v>
      </c>
    </row>
    <row r="189" spans="2:50" ht="15.75" customHeight="1" x14ac:dyDescent="0.2">
      <c r="B189" s="36">
        <v>100</v>
      </c>
      <c r="C189" s="36"/>
      <c r="D189" s="37">
        <v>0.3</v>
      </c>
      <c r="E189" s="51">
        <v>5</v>
      </c>
      <c r="F189" s="35">
        <v>10</v>
      </c>
      <c r="G189" s="35"/>
      <c r="H189" s="35"/>
      <c r="R189" s="47" t="s">
        <v>45</v>
      </c>
      <c r="S189" s="47"/>
      <c r="T189" s="36"/>
      <c r="U189" s="36"/>
      <c r="V189" s="36">
        <v>300</v>
      </c>
      <c r="W189" s="36"/>
      <c r="X189" s="36"/>
      <c r="Y189" s="36"/>
      <c r="Z189" s="67"/>
      <c r="AB189" s="36" t="e">
        <f>#REF!</f>
        <v>#REF!</v>
      </c>
      <c r="AC189" s="36">
        <f>V189+AC188</f>
        <v>360</v>
      </c>
      <c r="AD189" s="36"/>
      <c r="AE189" s="36"/>
      <c r="AF189" s="48" t="e">
        <f>AC189/AB189</f>
        <v>#REF!</v>
      </c>
      <c r="AG189" s="44"/>
      <c r="AH189" s="36">
        <v>100</v>
      </c>
      <c r="AI189" s="38">
        <f>AI188</f>
        <v>140</v>
      </c>
      <c r="AJ189" s="36"/>
      <c r="AK189" s="36"/>
      <c r="AL189" s="39">
        <v>1.4</v>
      </c>
    </row>
    <row r="190" spans="2:50" ht="15.75" customHeight="1" x14ac:dyDescent="0.2">
      <c r="B190" s="33">
        <v>100</v>
      </c>
      <c r="C190" s="33"/>
      <c r="D190" s="29">
        <v>0.3</v>
      </c>
      <c r="E190" s="50">
        <v>5</v>
      </c>
      <c r="F190">
        <v>10</v>
      </c>
      <c r="R190" s="45" t="s">
        <v>46</v>
      </c>
      <c r="S190" s="45"/>
      <c r="T190" s="33"/>
      <c r="U190" s="33"/>
      <c r="V190" s="33">
        <v>400</v>
      </c>
      <c r="W190" s="33"/>
      <c r="X190" s="33"/>
      <c r="Y190" s="33"/>
      <c r="AB190" s="33">
        <v>100</v>
      </c>
      <c r="AC190" s="33">
        <f>AC189</f>
        <v>360</v>
      </c>
      <c r="AD190" s="33"/>
      <c r="AE190" s="33"/>
      <c r="AF190" s="44">
        <v>3.6</v>
      </c>
      <c r="AG190" s="44"/>
      <c r="AH190" s="33" t="e">
        <f>#REF!</f>
        <v>#REF!</v>
      </c>
      <c r="AI190" s="33">
        <f>V190+AI189</f>
        <v>540</v>
      </c>
      <c r="AJ190" s="33"/>
      <c r="AK190" s="33"/>
      <c r="AL190" s="32" t="e">
        <f>AI190/AH190</f>
        <v>#REF!</v>
      </c>
    </row>
    <row r="191" spans="2:50" ht="15.75" customHeight="1" x14ac:dyDescent="0.2">
      <c r="B191" s="36">
        <v>100</v>
      </c>
      <c r="C191" s="36"/>
      <c r="D191" s="37">
        <v>0.3</v>
      </c>
      <c r="E191" s="51">
        <v>5</v>
      </c>
      <c r="F191" s="35">
        <v>10</v>
      </c>
      <c r="G191" s="35"/>
      <c r="H191" s="35"/>
      <c r="R191" s="47" t="s">
        <v>48</v>
      </c>
      <c r="S191" s="47"/>
      <c r="T191" s="36"/>
      <c r="U191" s="36"/>
      <c r="V191" s="36">
        <v>500</v>
      </c>
      <c r="W191" s="36"/>
      <c r="X191" s="36"/>
      <c r="Y191" s="36"/>
      <c r="Z191" s="67"/>
      <c r="AB191" s="36" t="e">
        <f>#REF!</f>
        <v>#REF!</v>
      </c>
      <c r="AC191" s="36">
        <f>AC190+(V191*D191)</f>
        <v>510</v>
      </c>
      <c r="AD191" s="36"/>
      <c r="AE191" s="36"/>
      <c r="AF191" s="48" t="e">
        <f>AC191/AB191</f>
        <v>#REF!</v>
      </c>
      <c r="AG191" s="44"/>
      <c r="AH191" s="36" t="e">
        <f>#REF!</f>
        <v>#REF!</v>
      </c>
      <c r="AI191" s="36">
        <f>AI190+(V191*(1-D191))</f>
        <v>890</v>
      </c>
      <c r="AJ191" s="36"/>
      <c r="AK191" s="36"/>
      <c r="AL191" s="39" t="e">
        <f>AI191/AH191</f>
        <v>#REF!</v>
      </c>
    </row>
    <row r="193" spans="2:43" ht="15.75" customHeight="1" x14ac:dyDescent="0.2">
      <c r="B193" s="178" t="s">
        <v>98</v>
      </c>
      <c r="C193" s="34"/>
      <c r="AB193" s="56" t="s">
        <v>27</v>
      </c>
      <c r="AC193" s="12"/>
      <c r="AD193" s="12"/>
      <c r="AE193" s="12"/>
      <c r="AF193" s="12"/>
      <c r="AG193" s="12"/>
      <c r="AH193" s="56" t="s">
        <v>28</v>
      </c>
      <c r="AJ193" s="12"/>
      <c r="AK193" s="12"/>
      <c r="AN193" s="34" t="s">
        <v>179</v>
      </c>
    </row>
    <row r="194" spans="2:43" ht="15.75" customHeight="1" x14ac:dyDescent="0.2">
      <c r="B194" s="28" t="s">
        <v>61</v>
      </c>
      <c r="C194" s="28"/>
      <c r="D194" s="28" t="s">
        <v>29</v>
      </c>
      <c r="E194" s="57" t="s">
        <v>63</v>
      </c>
      <c r="F194" s="57" t="s">
        <v>72</v>
      </c>
      <c r="G194" s="57" t="s">
        <v>99</v>
      </c>
      <c r="H194" s="57"/>
      <c r="I194" s="101"/>
      <c r="J194" s="101"/>
      <c r="K194" s="101"/>
      <c r="L194" s="101"/>
      <c r="M194" s="101"/>
      <c r="N194" s="101"/>
      <c r="O194" s="101"/>
      <c r="P194" s="101"/>
      <c r="R194" s="28" t="s">
        <v>3</v>
      </c>
      <c r="S194" s="28"/>
      <c r="T194" s="57" t="s">
        <v>50</v>
      </c>
      <c r="U194" s="57" t="s">
        <v>70</v>
      </c>
      <c r="V194" s="28" t="s">
        <v>1</v>
      </c>
      <c r="W194" s="57" t="s">
        <v>62</v>
      </c>
      <c r="X194" s="57" t="s">
        <v>9</v>
      </c>
      <c r="Y194" s="57"/>
      <c r="Z194" s="60"/>
      <c r="AA194" s="12"/>
      <c r="AB194" s="28" t="s">
        <v>30</v>
      </c>
      <c r="AC194" s="28" t="s">
        <v>1</v>
      </c>
      <c r="AD194" s="57" t="s">
        <v>72</v>
      </c>
      <c r="AE194" s="57" t="s">
        <v>100</v>
      </c>
      <c r="AF194" s="57" t="s">
        <v>64</v>
      </c>
      <c r="AG194" s="60"/>
      <c r="AH194" s="28" t="s">
        <v>30</v>
      </c>
      <c r="AI194" s="28" t="s">
        <v>1</v>
      </c>
      <c r="AJ194" s="57" t="s">
        <v>99</v>
      </c>
      <c r="AK194" s="57" t="s">
        <v>101</v>
      </c>
      <c r="AL194" s="57" t="s">
        <v>64</v>
      </c>
      <c r="AN194" s="28" t="s">
        <v>100</v>
      </c>
      <c r="AO194" s="57" t="s">
        <v>101</v>
      </c>
      <c r="AP194" s="101"/>
      <c r="AQ194" s="101"/>
    </row>
    <row r="195" spans="2:43" ht="15.75" customHeight="1" x14ac:dyDescent="0.2">
      <c r="B195" s="33">
        <v>100</v>
      </c>
      <c r="C195" s="33" t="s">
        <v>187</v>
      </c>
      <c r="D195" s="29">
        <v>0.5</v>
      </c>
      <c r="E195" s="50">
        <v>5</v>
      </c>
      <c r="F195">
        <v>10</v>
      </c>
      <c r="G195">
        <v>20</v>
      </c>
      <c r="R195" s="45" t="s">
        <v>102</v>
      </c>
      <c r="S195" s="45"/>
      <c r="T195" s="33"/>
      <c r="U195" s="33"/>
      <c r="V195" s="33">
        <v>200</v>
      </c>
      <c r="W195" s="50" t="e">
        <f>V195/#REF!</f>
        <v>#REF!</v>
      </c>
      <c r="X195" s="33"/>
      <c r="Y195" s="33"/>
      <c r="Z195" s="67"/>
      <c r="AB195" s="33" t="e">
        <f>#REF!</f>
        <v>#REF!</v>
      </c>
      <c r="AC195" s="33">
        <f>V195*D195</f>
        <v>100</v>
      </c>
      <c r="AD195" s="52" t="e">
        <f>AB195*(1+F195/100)/(1-#REF!/100)</f>
        <v>#REF!</v>
      </c>
      <c r="AE195" s="95" t="e">
        <f t="shared" ref="AE195:AE203" si="35">(B195-AD195)/AD195</f>
        <v>#REF!</v>
      </c>
      <c r="AF195" s="44" t="e">
        <f>AC195/AB195</f>
        <v>#REF!</v>
      </c>
      <c r="AG195" s="44"/>
      <c r="AH195" s="33" t="e">
        <f>#REF!</f>
        <v>#REF!</v>
      </c>
      <c r="AI195" s="31">
        <f>V195*(1-D195)</f>
        <v>100</v>
      </c>
      <c r="AJ195" s="52" t="e">
        <f>AH195*(1+G195/100)/(1-#REF!/100)</f>
        <v>#REF!</v>
      </c>
      <c r="AK195" s="54" t="e">
        <f t="shared" ref="AK195:AK203" si="36">(B195-AJ195)/AJ195</f>
        <v>#REF!</v>
      </c>
      <c r="AL195" s="32" t="e">
        <f>AI195/AH195</f>
        <v>#REF!</v>
      </c>
      <c r="AN195" s="54" t="e">
        <f t="shared" ref="AN195:AN203" si="37">(B195-AD195)/AD195</f>
        <v>#REF!</v>
      </c>
      <c r="AO195" s="54" t="e">
        <f t="shared" ref="AO195:AO203" si="38">(B195-AJ195)/AJ195</f>
        <v>#REF!</v>
      </c>
    </row>
    <row r="196" spans="2:43" ht="15.75" customHeight="1" x14ac:dyDescent="0.2">
      <c r="B196" s="36">
        <v>109</v>
      </c>
      <c r="C196" s="36" t="s">
        <v>187</v>
      </c>
      <c r="D196" s="37">
        <v>0.5</v>
      </c>
      <c r="E196" s="51">
        <v>5</v>
      </c>
      <c r="F196" s="35">
        <v>10</v>
      </c>
      <c r="G196" s="35">
        <v>20</v>
      </c>
      <c r="H196" s="35"/>
      <c r="R196" s="47"/>
      <c r="S196" s="47"/>
      <c r="T196" s="36"/>
      <c r="U196" s="36"/>
      <c r="V196" s="36"/>
      <c r="W196" s="51"/>
      <c r="X196" s="36"/>
      <c r="Y196" s="36"/>
      <c r="Z196" s="67"/>
      <c r="AB196" s="36" t="e">
        <f t="shared" ref="AB196:AD198" si="39">AB195</f>
        <v>#REF!</v>
      </c>
      <c r="AC196" s="36">
        <f t="shared" si="39"/>
        <v>100</v>
      </c>
      <c r="AD196" s="40" t="e">
        <f t="shared" si="39"/>
        <v>#REF!</v>
      </c>
      <c r="AE196" s="116" t="e">
        <f t="shared" si="35"/>
        <v>#REF!</v>
      </c>
      <c r="AF196" s="48" t="e">
        <f>AF195</f>
        <v>#REF!</v>
      </c>
      <c r="AG196" s="44"/>
      <c r="AH196" s="36">
        <v>100</v>
      </c>
      <c r="AI196" s="38">
        <f t="shared" ref="AI196:AJ198" si="40">AI195</f>
        <v>100</v>
      </c>
      <c r="AJ196" s="40" t="e">
        <f t="shared" si="40"/>
        <v>#REF!</v>
      </c>
      <c r="AK196" s="55" t="e">
        <f t="shared" si="36"/>
        <v>#REF!</v>
      </c>
      <c r="AL196" s="39" t="e">
        <f>AL195</f>
        <v>#REF!</v>
      </c>
      <c r="AN196" s="115" t="e">
        <f t="shared" si="37"/>
        <v>#REF!</v>
      </c>
      <c r="AO196" s="55" t="e">
        <f t="shared" si="38"/>
        <v>#REF!</v>
      </c>
    </row>
    <row r="197" spans="2:43" ht="15.75" customHeight="1" x14ac:dyDescent="0.2">
      <c r="B197" s="33">
        <v>115</v>
      </c>
      <c r="C197" s="33" t="s">
        <v>187</v>
      </c>
      <c r="D197" s="29">
        <v>0.5</v>
      </c>
      <c r="E197" s="50">
        <v>5</v>
      </c>
      <c r="F197">
        <v>10</v>
      </c>
      <c r="G197">
        <v>20</v>
      </c>
      <c r="R197" s="45"/>
      <c r="S197" s="45"/>
      <c r="T197" s="33"/>
      <c r="U197" s="33"/>
      <c r="V197" s="33"/>
      <c r="W197" s="50"/>
      <c r="X197" s="33"/>
      <c r="Y197" s="33"/>
      <c r="AB197" s="33" t="e">
        <f t="shared" si="39"/>
        <v>#REF!</v>
      </c>
      <c r="AC197" s="33">
        <f t="shared" si="39"/>
        <v>100</v>
      </c>
      <c r="AD197" s="118" t="e">
        <f t="shared" si="39"/>
        <v>#REF!</v>
      </c>
      <c r="AE197" s="113" t="e">
        <f t="shared" si="35"/>
        <v>#REF!</v>
      </c>
      <c r="AF197" s="44" t="e">
        <f>AF196</f>
        <v>#REF!</v>
      </c>
      <c r="AG197" s="44"/>
      <c r="AH197" s="33">
        <v>100</v>
      </c>
      <c r="AI197" s="31">
        <f t="shared" si="40"/>
        <v>100</v>
      </c>
      <c r="AJ197" s="52" t="e">
        <f t="shared" si="40"/>
        <v>#REF!</v>
      </c>
      <c r="AK197" s="62" t="e">
        <f t="shared" si="36"/>
        <v>#REF!</v>
      </c>
      <c r="AL197" s="32" t="e">
        <f>AL196</f>
        <v>#REF!</v>
      </c>
      <c r="AN197" s="117" t="e">
        <f t="shared" si="37"/>
        <v>#REF!</v>
      </c>
      <c r="AO197" s="54" t="e">
        <f t="shared" si="38"/>
        <v>#REF!</v>
      </c>
    </row>
    <row r="198" spans="2:43" ht="15.75" customHeight="1" x14ac:dyDescent="0.2">
      <c r="B198" s="36">
        <v>122</v>
      </c>
      <c r="C198" s="36" t="s">
        <v>187</v>
      </c>
      <c r="D198" s="37">
        <v>0.5</v>
      </c>
      <c r="E198" s="51">
        <v>5</v>
      </c>
      <c r="F198" s="35">
        <v>10</v>
      </c>
      <c r="G198" s="35">
        <v>20</v>
      </c>
      <c r="H198" s="35"/>
      <c r="R198" s="47"/>
      <c r="S198" s="47"/>
      <c r="T198" s="36"/>
      <c r="U198" s="36"/>
      <c r="V198" s="36"/>
      <c r="W198" s="51"/>
      <c r="X198" s="36"/>
      <c r="Y198" s="36"/>
      <c r="Z198" s="67"/>
      <c r="AB198" s="36" t="e">
        <f t="shared" si="39"/>
        <v>#REF!</v>
      </c>
      <c r="AC198" s="36">
        <f t="shared" si="39"/>
        <v>100</v>
      </c>
      <c r="AD198" s="119" t="e">
        <f t="shared" si="39"/>
        <v>#REF!</v>
      </c>
      <c r="AE198" s="114" t="e">
        <f t="shared" si="35"/>
        <v>#REF!</v>
      </c>
      <c r="AF198" s="48" t="e">
        <f>AF197</f>
        <v>#REF!</v>
      </c>
      <c r="AG198" s="44"/>
      <c r="AH198" s="36">
        <v>100</v>
      </c>
      <c r="AI198" s="38">
        <f t="shared" si="40"/>
        <v>100</v>
      </c>
      <c r="AJ198" s="119" t="e">
        <f t="shared" si="40"/>
        <v>#REF!</v>
      </c>
      <c r="AK198" s="114" t="e">
        <f t="shared" si="36"/>
        <v>#REF!</v>
      </c>
      <c r="AL198" s="39" t="e">
        <f>AL197</f>
        <v>#REF!</v>
      </c>
      <c r="AN198" s="114" t="e">
        <f t="shared" si="37"/>
        <v>#REF!</v>
      </c>
      <c r="AO198" s="114" t="e">
        <f t="shared" si="38"/>
        <v>#REF!</v>
      </c>
    </row>
    <row r="199" spans="2:43" ht="15.75" customHeight="1" x14ac:dyDescent="0.2">
      <c r="B199" s="33">
        <v>100</v>
      </c>
      <c r="C199" s="33" t="s">
        <v>188</v>
      </c>
      <c r="D199" s="29">
        <v>0.5</v>
      </c>
      <c r="E199" s="50">
        <v>5</v>
      </c>
      <c r="F199">
        <v>10</v>
      </c>
      <c r="G199">
        <v>20</v>
      </c>
      <c r="R199" s="45" t="s">
        <v>102</v>
      </c>
      <c r="S199" s="45"/>
      <c r="T199" s="33"/>
      <c r="U199" s="33"/>
      <c r="V199" s="33">
        <v>200</v>
      </c>
      <c r="W199" s="50" t="e">
        <f>V199/#REF!</f>
        <v>#REF!</v>
      </c>
      <c r="X199" s="33"/>
      <c r="Y199" s="33"/>
      <c r="Z199" s="67"/>
      <c r="AB199" s="33" t="e">
        <f>#REF!</f>
        <v>#REF!</v>
      </c>
      <c r="AC199" s="33">
        <f>V199*D199</f>
        <v>100</v>
      </c>
      <c r="AD199" s="52" t="e">
        <f>AB199*(1+F199/100)/(1-#REF!/100)</f>
        <v>#REF!</v>
      </c>
      <c r="AE199" s="95" t="e">
        <f t="shared" si="35"/>
        <v>#REF!</v>
      </c>
      <c r="AF199" s="44" t="e">
        <f>AC199/AB199</f>
        <v>#REF!</v>
      </c>
      <c r="AG199" s="44"/>
      <c r="AH199" s="33" t="e">
        <f>#REF!</f>
        <v>#REF!</v>
      </c>
      <c r="AI199" s="31">
        <f>V199*(1-D199)</f>
        <v>100</v>
      </c>
      <c r="AJ199" s="52" t="e">
        <f>AH199*(1+G199/100)/(1-#REF!/100)</f>
        <v>#REF!</v>
      </c>
      <c r="AK199" s="54" t="e">
        <f t="shared" si="36"/>
        <v>#REF!</v>
      </c>
      <c r="AL199" s="32" t="e">
        <f>AI199/AH199</f>
        <v>#REF!</v>
      </c>
      <c r="AN199" s="54" t="e">
        <f t="shared" si="37"/>
        <v>#REF!</v>
      </c>
      <c r="AO199" s="54" t="e">
        <f t="shared" si="38"/>
        <v>#REF!</v>
      </c>
    </row>
    <row r="200" spans="2:43" ht="15.75" customHeight="1" x14ac:dyDescent="0.2">
      <c r="B200" s="36">
        <v>109</v>
      </c>
      <c r="C200" s="36" t="s">
        <v>188</v>
      </c>
      <c r="D200" s="37">
        <v>0.5</v>
      </c>
      <c r="E200" s="51">
        <v>5</v>
      </c>
      <c r="F200" s="35">
        <v>10</v>
      </c>
      <c r="G200" s="35">
        <v>20</v>
      </c>
      <c r="H200" s="35"/>
      <c r="R200" s="47"/>
      <c r="S200" s="47"/>
      <c r="T200" s="36"/>
      <c r="U200" s="36"/>
      <c r="V200" s="36"/>
      <c r="W200" s="51"/>
      <c r="X200" s="36"/>
      <c r="Y200" s="36"/>
      <c r="Z200" s="67"/>
      <c r="AB200" s="36" t="e">
        <f t="shared" ref="AB200:AD200" si="41">AB199</f>
        <v>#REF!</v>
      </c>
      <c r="AC200" s="36">
        <f t="shared" si="41"/>
        <v>100</v>
      </c>
      <c r="AD200" s="40" t="e">
        <f t="shared" si="41"/>
        <v>#REF!</v>
      </c>
      <c r="AE200" s="55" t="e">
        <f t="shared" si="35"/>
        <v>#REF!</v>
      </c>
      <c r="AF200" s="48" t="e">
        <f>AF199</f>
        <v>#REF!</v>
      </c>
      <c r="AG200" s="44"/>
      <c r="AH200" s="36">
        <v>100</v>
      </c>
      <c r="AI200" s="38">
        <f t="shared" ref="AI200:AJ200" si="42">AI199</f>
        <v>100</v>
      </c>
      <c r="AJ200" s="40" t="e">
        <f t="shared" si="42"/>
        <v>#REF!</v>
      </c>
      <c r="AK200" s="55" t="e">
        <f t="shared" si="36"/>
        <v>#REF!</v>
      </c>
      <c r="AL200" s="39" t="e">
        <f>AL199</f>
        <v>#REF!</v>
      </c>
      <c r="AN200" s="55" t="e">
        <f t="shared" si="37"/>
        <v>#REF!</v>
      </c>
      <c r="AO200" s="55" t="e">
        <f t="shared" si="38"/>
        <v>#REF!</v>
      </c>
    </row>
    <row r="201" spans="2:43" ht="15.75" customHeight="1" x14ac:dyDescent="0.2">
      <c r="B201" s="33">
        <v>115</v>
      </c>
      <c r="C201" s="33" t="s">
        <v>188</v>
      </c>
      <c r="D201" s="29">
        <v>0.5</v>
      </c>
      <c r="E201" s="50">
        <v>5</v>
      </c>
      <c r="F201">
        <v>10</v>
      </c>
      <c r="G201">
        <v>20</v>
      </c>
      <c r="R201" s="45"/>
      <c r="S201" s="45"/>
      <c r="T201" s="33"/>
      <c r="U201" s="33"/>
      <c r="V201" s="33"/>
      <c r="W201" s="50"/>
      <c r="X201" s="33"/>
      <c r="Y201" s="33"/>
      <c r="Z201" s="67"/>
      <c r="AB201" s="33" t="e">
        <f t="shared" ref="AB201:AD201" si="43">AB200</f>
        <v>#REF!</v>
      </c>
      <c r="AC201" s="33">
        <f t="shared" si="43"/>
        <v>100</v>
      </c>
      <c r="AD201" s="118" t="e">
        <f t="shared" si="43"/>
        <v>#REF!</v>
      </c>
      <c r="AE201" s="113" t="e">
        <f t="shared" si="35"/>
        <v>#REF!</v>
      </c>
      <c r="AF201" s="44" t="e">
        <f>AF200</f>
        <v>#REF!</v>
      </c>
      <c r="AG201" s="44"/>
      <c r="AH201" s="33">
        <v>100</v>
      </c>
      <c r="AI201" s="31">
        <f t="shared" ref="AI201:AJ201" si="44">AI200</f>
        <v>100</v>
      </c>
      <c r="AJ201" s="52" t="e">
        <f t="shared" si="44"/>
        <v>#REF!</v>
      </c>
      <c r="AK201" s="62" t="e">
        <f t="shared" si="36"/>
        <v>#REF!</v>
      </c>
      <c r="AL201" s="32" t="e">
        <f>AL200</f>
        <v>#REF!</v>
      </c>
      <c r="AN201" s="117" t="e">
        <f t="shared" si="37"/>
        <v>#REF!</v>
      </c>
      <c r="AO201" s="54" t="e">
        <f t="shared" si="38"/>
        <v>#REF!</v>
      </c>
    </row>
    <row r="202" spans="2:43" ht="15.75" customHeight="1" x14ac:dyDescent="0.2">
      <c r="B202" s="36">
        <v>122</v>
      </c>
      <c r="C202" s="121" t="s">
        <v>188</v>
      </c>
      <c r="D202" s="37">
        <v>0.5</v>
      </c>
      <c r="E202" s="51">
        <v>5</v>
      </c>
      <c r="F202" s="35">
        <v>10</v>
      </c>
      <c r="G202" s="35">
        <v>20</v>
      </c>
      <c r="H202" s="35"/>
      <c r="R202" s="47"/>
      <c r="S202" s="47"/>
      <c r="T202" s="36"/>
      <c r="U202" s="36"/>
      <c r="V202" s="36"/>
      <c r="W202" s="51"/>
      <c r="X202" s="36"/>
      <c r="Y202" s="36"/>
      <c r="Z202" s="67"/>
      <c r="AB202" s="36" t="e">
        <f t="shared" ref="AB202:AD202" si="45">AB201</f>
        <v>#REF!</v>
      </c>
      <c r="AC202" s="36">
        <f t="shared" si="45"/>
        <v>100</v>
      </c>
      <c r="AD202" s="119" t="e">
        <f t="shared" si="45"/>
        <v>#REF!</v>
      </c>
      <c r="AE202" s="114" t="e">
        <f t="shared" si="35"/>
        <v>#REF!</v>
      </c>
      <c r="AF202" s="48" t="e">
        <f>AF201</f>
        <v>#REF!</v>
      </c>
      <c r="AG202" s="44"/>
      <c r="AH202" s="36">
        <v>100</v>
      </c>
      <c r="AI202" s="38">
        <f t="shared" ref="AI202:AJ202" si="46">AI201</f>
        <v>100</v>
      </c>
      <c r="AJ202" s="119" t="e">
        <f t="shared" si="46"/>
        <v>#REF!</v>
      </c>
      <c r="AK202" s="114" t="e">
        <f t="shared" si="36"/>
        <v>#REF!</v>
      </c>
      <c r="AL202" s="39" t="e">
        <f>AL201</f>
        <v>#REF!</v>
      </c>
      <c r="AN202" s="114" t="e">
        <f t="shared" si="37"/>
        <v>#REF!</v>
      </c>
      <c r="AO202" s="114" t="e">
        <f t="shared" si="38"/>
        <v>#REF!</v>
      </c>
    </row>
    <row r="203" spans="2:43" ht="15.75" customHeight="1" x14ac:dyDescent="0.2">
      <c r="B203" s="33">
        <v>122</v>
      </c>
      <c r="C203" s="33" t="s">
        <v>188</v>
      </c>
      <c r="D203" s="29">
        <v>0.5</v>
      </c>
      <c r="E203" s="50">
        <v>5</v>
      </c>
      <c r="F203">
        <v>10</v>
      </c>
      <c r="G203">
        <v>20</v>
      </c>
      <c r="R203" s="45" t="s">
        <v>189</v>
      </c>
      <c r="S203" s="45"/>
      <c r="T203" s="33"/>
      <c r="U203" s="33"/>
      <c r="V203" s="33">
        <v>200</v>
      </c>
      <c r="W203" s="50" t="e">
        <f>V203/#REF!</f>
        <v>#REF!</v>
      </c>
      <c r="X203" s="33"/>
      <c r="Y203" s="33"/>
      <c r="Z203" s="67"/>
      <c r="AB203" s="33" t="e">
        <f>#REF!</f>
        <v>#REF!</v>
      </c>
      <c r="AC203" s="33">
        <f>V203*D203</f>
        <v>100</v>
      </c>
      <c r="AD203" s="118" t="e">
        <f>AB203*(1+F203/100)/(1-#REF!/100)</f>
        <v>#REF!</v>
      </c>
      <c r="AE203" s="113" t="e">
        <f t="shared" si="35"/>
        <v>#REF!</v>
      </c>
      <c r="AF203" s="44" t="e">
        <f>AF202</f>
        <v>#REF!</v>
      </c>
      <c r="AG203" s="44"/>
      <c r="AH203" s="33" t="e">
        <f>#REF!</f>
        <v>#REF!</v>
      </c>
      <c r="AI203" s="31">
        <f>V203*(1-D203)</f>
        <v>100</v>
      </c>
      <c r="AJ203" s="52" t="e">
        <f>AH203*(1+G203/100)/(1-#REF!/100)</f>
        <v>#REF!</v>
      </c>
      <c r="AK203" s="54" t="e">
        <f t="shared" si="36"/>
        <v>#REF!</v>
      </c>
      <c r="AL203" s="32" t="e">
        <f>AI203/AH203</f>
        <v>#REF!</v>
      </c>
      <c r="AN203" s="117" t="e">
        <f t="shared" si="37"/>
        <v>#REF!</v>
      </c>
      <c r="AO203" s="54" t="e">
        <f t="shared" si="38"/>
        <v>#REF!</v>
      </c>
    </row>
    <row r="204" spans="2:43" ht="15.75" customHeight="1" x14ac:dyDescent="0.2">
      <c r="B204" s="33"/>
      <c r="C204" s="33"/>
      <c r="D204" s="29"/>
      <c r="E204" s="50"/>
      <c r="R204" s="45"/>
      <c r="S204" s="45"/>
      <c r="T204" s="33"/>
      <c r="U204" s="33"/>
      <c r="V204" s="33"/>
      <c r="W204" s="50"/>
      <c r="X204" s="33"/>
      <c r="Y204" s="33"/>
      <c r="Z204" s="67"/>
      <c r="AB204" s="33"/>
      <c r="AC204" s="33"/>
      <c r="AD204" s="52"/>
      <c r="AE204" s="62"/>
      <c r="AF204" s="44"/>
      <c r="AG204" s="44"/>
      <c r="AH204" s="33"/>
      <c r="AI204" s="31"/>
      <c r="AJ204" s="33"/>
      <c r="AK204" s="62"/>
      <c r="AL204" s="32"/>
    </row>
    <row r="205" spans="2:43" ht="15.75" customHeight="1" x14ac:dyDescent="0.2">
      <c r="AB205" s="110"/>
      <c r="AC205" s="110"/>
      <c r="AD205" s="110"/>
      <c r="AE205" s="110"/>
      <c r="AF205" s="110"/>
      <c r="AG205" s="110"/>
      <c r="AH205" s="110"/>
      <c r="AI205" s="110"/>
      <c r="AJ205" s="110"/>
      <c r="AK205" s="110"/>
      <c r="AL205" s="110"/>
      <c r="AM205" s="110"/>
    </row>
    <row r="206" spans="2:43" ht="15.75" customHeight="1" x14ac:dyDescent="0.2">
      <c r="B206" s="178" t="s">
        <v>103</v>
      </c>
      <c r="C206" s="34"/>
      <c r="AB206" s="110"/>
      <c r="AC206" s="110"/>
      <c r="AD206" s="111"/>
      <c r="AE206" s="110"/>
      <c r="AF206" s="110"/>
      <c r="AG206" s="110"/>
      <c r="AH206" s="110"/>
      <c r="AI206" s="110"/>
      <c r="AJ206" s="110"/>
      <c r="AK206" s="110"/>
      <c r="AL206" s="110"/>
      <c r="AM206" s="110"/>
    </row>
    <row r="207" spans="2:43" ht="15.75" customHeight="1" x14ac:dyDescent="0.2">
      <c r="B207" s="28" t="s">
        <v>61</v>
      </c>
      <c r="C207" s="28"/>
      <c r="D207" s="28" t="s">
        <v>29</v>
      </c>
      <c r="E207" s="57" t="s">
        <v>63</v>
      </c>
      <c r="F207" s="57" t="s">
        <v>72</v>
      </c>
      <c r="G207" s="57" t="s">
        <v>99</v>
      </c>
      <c r="H207" s="57"/>
      <c r="I207" s="101"/>
      <c r="J207" s="101"/>
      <c r="K207" s="101"/>
      <c r="L207" s="101"/>
      <c r="M207" s="101"/>
      <c r="N207" s="101"/>
      <c r="O207" s="101"/>
      <c r="P207" s="101"/>
      <c r="AB207" s="110"/>
      <c r="AC207" s="110"/>
      <c r="AD207" s="112"/>
      <c r="AE207" s="110"/>
      <c r="AF207" s="110"/>
      <c r="AG207" s="110"/>
      <c r="AH207" s="110"/>
      <c r="AI207" s="110"/>
      <c r="AJ207" s="110"/>
      <c r="AK207" s="110"/>
      <c r="AL207" s="110"/>
      <c r="AM207" s="110"/>
    </row>
    <row r="208" spans="2:43" ht="15.75" customHeight="1" x14ac:dyDescent="0.2">
      <c r="B208" s="33">
        <v>100</v>
      </c>
      <c r="C208" s="33"/>
      <c r="D208" s="29">
        <v>0.5</v>
      </c>
      <c r="E208" s="50">
        <v>5</v>
      </c>
      <c r="F208">
        <v>10</v>
      </c>
      <c r="G208">
        <v>20</v>
      </c>
      <c r="AB208" s="110"/>
      <c r="AC208" s="110"/>
      <c r="AD208" s="110"/>
      <c r="AE208" s="110"/>
      <c r="AF208" s="110"/>
      <c r="AG208" s="110"/>
      <c r="AH208" s="110"/>
      <c r="AI208" s="110"/>
      <c r="AJ208" s="110"/>
      <c r="AK208" s="110"/>
      <c r="AL208" s="110"/>
      <c r="AM208" s="110"/>
    </row>
    <row r="209" spans="2:39" ht="15.75" customHeight="1" x14ac:dyDescent="0.2">
      <c r="B209" s="36">
        <v>109</v>
      </c>
      <c r="C209" s="36"/>
      <c r="D209" s="37">
        <v>0.5</v>
      </c>
      <c r="E209" s="51">
        <v>5</v>
      </c>
      <c r="F209" s="35">
        <v>10</v>
      </c>
      <c r="G209" s="35">
        <v>20</v>
      </c>
      <c r="H209" s="35"/>
      <c r="AB209" s="110"/>
      <c r="AC209" s="110"/>
      <c r="AD209" s="110"/>
      <c r="AE209" s="110"/>
      <c r="AF209" s="110"/>
      <c r="AG209" s="110"/>
      <c r="AH209" s="110"/>
      <c r="AI209" s="110"/>
      <c r="AJ209" s="110"/>
      <c r="AK209" s="110"/>
      <c r="AL209" s="110"/>
      <c r="AM209" s="110"/>
    </row>
    <row r="210" spans="2:39" ht="15.75" customHeight="1" x14ac:dyDescent="0.2">
      <c r="B210" s="33">
        <v>115</v>
      </c>
      <c r="C210" s="33"/>
      <c r="D210" s="29">
        <v>0.5</v>
      </c>
      <c r="E210" s="50">
        <v>5</v>
      </c>
      <c r="F210">
        <v>10</v>
      </c>
      <c r="G210">
        <v>20</v>
      </c>
      <c r="AB210" s="110"/>
      <c r="AC210" s="110"/>
      <c r="AD210" s="110"/>
      <c r="AE210" s="110"/>
      <c r="AF210" s="110"/>
      <c r="AG210" s="110"/>
      <c r="AH210" s="110"/>
      <c r="AI210" s="110"/>
      <c r="AJ210" s="110"/>
      <c r="AK210" s="110"/>
      <c r="AL210" s="110"/>
      <c r="AM210" s="110"/>
    </row>
    <row r="211" spans="2:39" ht="15.75" customHeight="1" x14ac:dyDescent="0.2">
      <c r="B211" s="36">
        <v>122</v>
      </c>
      <c r="C211" s="36"/>
      <c r="D211" s="37">
        <v>0.5</v>
      </c>
      <c r="E211" s="51">
        <v>5</v>
      </c>
      <c r="F211" s="35">
        <v>10</v>
      </c>
      <c r="G211" s="35">
        <v>20</v>
      </c>
      <c r="H211" s="35"/>
      <c r="AB211" s="110"/>
      <c r="AC211" s="110"/>
      <c r="AD211" s="110"/>
      <c r="AE211" s="110"/>
      <c r="AF211" s="110"/>
      <c r="AG211" s="110"/>
      <c r="AH211" s="110"/>
      <c r="AI211" s="110"/>
      <c r="AJ211" s="110"/>
      <c r="AK211" s="110"/>
      <c r="AL211" s="110"/>
      <c r="AM211" s="110"/>
    </row>
    <row r="212" spans="2:39" ht="15.75" customHeight="1" x14ac:dyDescent="0.2">
      <c r="AM212" s="120"/>
    </row>
    <row r="213" spans="2:39" ht="15.75" customHeight="1" x14ac:dyDescent="0.2">
      <c r="B213" s="178" t="s">
        <v>175</v>
      </c>
      <c r="C213" s="34"/>
      <c r="AB213" s="56" t="s">
        <v>186</v>
      </c>
      <c r="AC213" s="12"/>
      <c r="AD213" s="12"/>
      <c r="AE213" s="34" t="s">
        <v>179</v>
      </c>
      <c r="AH213" s="46"/>
      <c r="AI213" s="45"/>
      <c r="AJ213" s="46"/>
      <c r="AK213" s="46"/>
      <c r="AL213" s="45"/>
    </row>
    <row r="214" spans="2:39" ht="15.75" customHeight="1" x14ac:dyDescent="0.2">
      <c r="B214" s="28" t="s">
        <v>110</v>
      </c>
      <c r="C214" s="28" t="s">
        <v>114</v>
      </c>
      <c r="D214" s="28" t="s">
        <v>29</v>
      </c>
      <c r="E214" s="57" t="s">
        <v>63</v>
      </c>
      <c r="F214" s="57" t="s">
        <v>72</v>
      </c>
      <c r="G214" s="57" t="s">
        <v>99</v>
      </c>
      <c r="H214" s="57"/>
      <c r="I214" s="101"/>
      <c r="J214" s="101"/>
      <c r="K214" s="101"/>
      <c r="L214" s="101"/>
      <c r="M214" s="101"/>
      <c r="N214" s="101"/>
      <c r="O214" s="101"/>
      <c r="P214" s="101"/>
      <c r="R214" s="28" t="s">
        <v>3</v>
      </c>
      <c r="S214" s="28"/>
      <c r="T214" s="28"/>
      <c r="U214" s="57" t="s">
        <v>70</v>
      </c>
      <c r="V214" s="28" t="s">
        <v>1</v>
      </c>
      <c r="W214" s="57" t="s">
        <v>62</v>
      </c>
      <c r="X214" s="101"/>
      <c r="Y214" s="101"/>
      <c r="AB214" s="57" t="s">
        <v>0</v>
      </c>
      <c r="AC214" s="57" t="s">
        <v>9</v>
      </c>
      <c r="AD214" s="101"/>
      <c r="AE214" s="57" t="s">
        <v>182</v>
      </c>
      <c r="AF214" s="57" t="s">
        <v>183</v>
      </c>
      <c r="AG214" s="57" t="s">
        <v>181</v>
      </c>
      <c r="AH214" s="101"/>
      <c r="AI214" s="101"/>
      <c r="AJ214" s="101"/>
      <c r="AK214" s="101"/>
      <c r="AL214" s="101"/>
    </row>
    <row r="215" spans="2:39" ht="15.75" customHeight="1" x14ac:dyDescent="0.2">
      <c r="B215" s="33">
        <v>100</v>
      </c>
      <c r="C215" s="99" t="s">
        <v>176</v>
      </c>
      <c r="D215" s="29">
        <v>0.5</v>
      </c>
      <c r="E215" s="50">
        <v>5</v>
      </c>
      <c r="F215">
        <v>10</v>
      </c>
      <c r="G215">
        <v>20</v>
      </c>
      <c r="R215" s="45" t="s">
        <v>75</v>
      </c>
      <c r="S215" s="45"/>
      <c r="T215" s="33"/>
      <c r="U215" s="33"/>
      <c r="V215" s="33">
        <v>500</v>
      </c>
      <c r="W215" s="50" t="e">
        <f>V215/#REF!</f>
        <v>#REF!</v>
      </c>
      <c r="X215" s="52"/>
      <c r="Y215" s="52"/>
      <c r="AB215" s="33"/>
      <c r="AC215" s="33"/>
      <c r="AD215" s="33"/>
      <c r="AE215" s="100" t="e">
        <f>IF(
      OR(
        (B215*(1+#REF!/100)/C222-1)*100 &lt;= -E215,
        (B215*(1+#REF!/100)/C223-1)*100 &lt;= -E215,
        (B215*(1+#REF!/100)/C224-1)*100 &lt;= -E215,
        (B215*(1+#REF!/100)/C225-1)*100 &lt;= -E215,
        (B215*(1+#REF!/100)/C226-1)*100 &lt;= -E215
      ),
      MIN(
        IF((B215*(1+#REF!/100)/C222-1)*100 &lt;= -E215, (B215*(1+#REF!/100)/C222-1)*100, 0),
        IF((B215*(1+#REF!/100)/C223-1)*100 &lt;= -E215, (B215*(1+#REF!/100)/C223-1)*100, 0),
        IF((B215*(1+#REF!/100)/C224-1)*100 &lt;= -E215, (B215*(1+#REF!/100)/C224-1)*100, 0),
        IF((B215*(1+#REF!/100)/C225-1)*100 &lt;= -E215, (B215*(1+#REF!/100)/C225-1)*100, 0),
        IF((B215*(1+#REF!/100)/C226-1)*100 &lt;= -E215, (B215*(1+#REF!/100)/C226-1)*100, 0)
      )/100,
      ""
    )</f>
        <v>#REF!</v>
      </c>
      <c r="AF215" s="92" t="s">
        <v>34</v>
      </c>
      <c r="AG215" t="s">
        <v>184</v>
      </c>
      <c r="AH215" s="99"/>
      <c r="AI215" s="102"/>
      <c r="AJ215" s="99"/>
      <c r="AK215" s="103"/>
      <c r="AL215" s="104"/>
    </row>
    <row r="216" spans="2:39" ht="15.75" customHeight="1" x14ac:dyDescent="0.2">
      <c r="B216" s="36"/>
      <c r="C216" s="36"/>
      <c r="D216" s="37"/>
      <c r="E216" s="51"/>
      <c r="F216" s="35"/>
      <c r="G216" s="35"/>
      <c r="H216" s="35"/>
      <c r="R216" s="47" t="s">
        <v>75</v>
      </c>
      <c r="S216" s="47"/>
      <c r="T216" s="36"/>
      <c r="U216" s="36"/>
      <c r="V216" s="36">
        <v>200</v>
      </c>
      <c r="W216" s="51" t="e">
        <f>V216/#REF!</f>
        <v>#REF!</v>
      </c>
      <c r="X216" s="52"/>
      <c r="Y216" s="52"/>
      <c r="AB216" s="36"/>
      <c r="AC216" s="36"/>
      <c r="AD216" s="33"/>
      <c r="AE216" s="107" t="e">
        <f>IF(
      OR(
        (B215*(1+#REF!/100)/C222-1)*100 &lt;= -E215,
        (B215*(1+#REF!/100)/C223-1)*100 &lt;= -E215,
        (B215*(1+#REF!/100)/C224-1)*100 &lt;= -E215,
        (B215*(1+#REF!/100)/C225-1)*100 &lt;= -E215,
        (B215*(1+#REF!/100)/C226-1)*100 &lt;= -E215
      ),
      MIN(
        IF((B215*(1+#REF!/100)/C222-1)*100 &lt;= -E215, (B215*(1+#REF!/100)/C222-1)*100, 0),
        IF((B215*(1+#REF!/100)/C223-1)*100 &lt;= -E215, (B215*(1+#REF!/100)/C223-1)*100, 0),
        IF((B215*(1+#REF!/100)/C224-1)*100 &lt;= -E215, (B215*(1+#REF!/100)/C224-1)*100, 0),
        IF((B215*(1+#REF!/100)/C225-1)*100 &lt;= -E215, (B215*(1+#REF!/100)/C225-1)*100, 0),
        IF((B215*(1+#REF!/100)/C226-1)*100 &lt;= -E215, (B215*(1+#REF!/100)/C226-1)*100, 0)
      )/100,
      ""
    )</f>
        <v>#REF!</v>
      </c>
      <c r="AF216" s="105" t="s">
        <v>34</v>
      </c>
      <c r="AG216" s="35" t="e">
        <f>#REF!</f>
        <v>#REF!</v>
      </c>
      <c r="AH216" s="99"/>
      <c r="AI216" s="102"/>
      <c r="AJ216" s="99"/>
      <c r="AK216" s="103"/>
      <c r="AL216" s="104"/>
    </row>
    <row r="217" spans="2:39" ht="15.75" customHeight="1" x14ac:dyDescent="0.2">
      <c r="B217" s="33">
        <v>50</v>
      </c>
      <c r="C217" s="99" t="s">
        <v>185</v>
      </c>
      <c r="D217" s="29">
        <v>0.5</v>
      </c>
      <c r="E217" s="50">
        <v>8</v>
      </c>
      <c r="F217">
        <v>10</v>
      </c>
      <c r="G217">
        <v>20</v>
      </c>
      <c r="R217" s="45" t="s">
        <v>75</v>
      </c>
      <c r="S217" s="45"/>
      <c r="T217" s="33"/>
      <c r="U217" s="33"/>
      <c r="V217" s="33">
        <v>600</v>
      </c>
      <c r="W217" s="50" t="e">
        <f>V217/#REF!</f>
        <v>#REF!</v>
      </c>
      <c r="X217" s="52"/>
      <c r="Y217" s="52"/>
      <c r="AB217" s="33" t="e">
        <f>#REF!</f>
        <v>#REF!</v>
      </c>
      <c r="AC217" s="52" t="e">
        <f>AB217 * (1 - $E$217%)</f>
        <v>#REF!</v>
      </c>
      <c r="AD217" s="33"/>
      <c r="AF217" s="54" t="e">
        <f>($B$217 -#REF!) /#REF!</f>
        <v>#REF!</v>
      </c>
      <c r="AG217" t="e">
        <f>#REF!</f>
        <v>#REF!</v>
      </c>
      <c r="AH217" s="99"/>
      <c r="AI217" s="102"/>
      <c r="AJ217" s="99"/>
      <c r="AK217" s="103"/>
      <c r="AL217" s="104"/>
    </row>
    <row r="218" spans="2:39" ht="15.75" customHeight="1" x14ac:dyDescent="0.2">
      <c r="B218" s="36"/>
      <c r="C218" s="36"/>
      <c r="D218" s="37"/>
      <c r="E218" s="51"/>
      <c r="F218" s="35"/>
      <c r="G218" s="35"/>
      <c r="H218" s="35"/>
      <c r="R218" s="47" t="s">
        <v>75</v>
      </c>
      <c r="S218" s="47"/>
      <c r="T218" s="36"/>
      <c r="U218" s="36"/>
      <c r="V218" s="36">
        <v>520</v>
      </c>
      <c r="W218" s="51" t="e">
        <f>V218/#REF!</f>
        <v>#REF!</v>
      </c>
      <c r="X218" s="52"/>
      <c r="Y218" s="52"/>
      <c r="AB218" s="36" t="e">
        <f>#REF!</f>
        <v>#REF!</v>
      </c>
      <c r="AC218" s="40" t="e">
        <f t="shared" ref="AC218:AC219" si="47">AB218 * (1 - $E$217%)</f>
        <v>#REF!</v>
      </c>
      <c r="AD218" s="33"/>
      <c r="AE218" s="35"/>
      <c r="AF218" s="55" t="e">
        <f>($B$217 -#REF!) /#REF!</f>
        <v>#REF!</v>
      </c>
      <c r="AG218" s="35" t="e">
        <f>#REF!</f>
        <v>#REF!</v>
      </c>
      <c r="AH218" s="99"/>
      <c r="AI218" s="102"/>
      <c r="AJ218" s="99"/>
      <c r="AK218" s="103"/>
      <c r="AL218" s="104"/>
    </row>
    <row r="219" spans="2:39" ht="15.75" customHeight="1" x14ac:dyDescent="0.2">
      <c r="B219" s="33"/>
      <c r="C219" s="33"/>
      <c r="D219" s="29"/>
      <c r="E219" s="50"/>
      <c r="R219" t="s">
        <v>75</v>
      </c>
      <c r="V219" s="33">
        <v>700</v>
      </c>
      <c r="W219" s="50" t="e">
        <f>V219/#REF!</f>
        <v>#REF!</v>
      </c>
      <c r="X219" s="52"/>
      <c r="Y219" s="52"/>
      <c r="AB219" s="33" t="e">
        <f>#REF!</f>
        <v>#REF!</v>
      </c>
      <c r="AC219" s="52" t="e">
        <f t="shared" si="47"/>
        <v>#REF!</v>
      </c>
      <c r="AF219" s="54" t="e">
        <f>($B$217 -#REF!) /#REF!</f>
        <v>#REF!</v>
      </c>
      <c r="AG219" t="e">
        <f>#REF!</f>
        <v>#REF!</v>
      </c>
      <c r="AH219" s="45"/>
      <c r="AI219" s="45"/>
      <c r="AJ219" s="45"/>
      <c r="AK219" s="45"/>
      <c r="AL219" s="45"/>
    </row>
    <row r="220" spans="2:39" ht="15.75" customHeight="1" x14ac:dyDescent="0.2">
      <c r="B220" s="99" t="s">
        <v>177</v>
      </c>
      <c r="C220" s="33"/>
      <c r="D220" s="29"/>
      <c r="E220" s="50"/>
      <c r="R220" s="47" t="s">
        <v>75</v>
      </c>
      <c r="S220" s="47"/>
      <c r="T220" s="35"/>
      <c r="U220" s="35"/>
      <c r="V220" s="36">
        <v>255</v>
      </c>
      <c r="W220" s="51" t="e">
        <f>V220/#REF!</f>
        <v>#REF!</v>
      </c>
      <c r="AB220" s="36" t="e">
        <f>#REF!</f>
        <v>#REF!</v>
      </c>
      <c r="AC220" s="40" t="e">
        <f>(AB220 * (1 - $E$217%)) / (1 +#REF! %)</f>
        <v>#REF!</v>
      </c>
      <c r="AE220" s="35"/>
      <c r="AF220" s="106" t="e">
        <f>($B$217 -#REF!) /#REF!</f>
        <v>#REF!</v>
      </c>
      <c r="AG220" s="35" t="e">
        <f>#REF!</f>
        <v>#REF!</v>
      </c>
    </row>
    <row r="221" spans="2:39" ht="15.75" customHeight="1" x14ac:dyDescent="0.2">
      <c r="B221" s="57" t="s">
        <v>2</v>
      </c>
      <c r="C221" s="57" t="s">
        <v>178</v>
      </c>
      <c r="D221" s="57" t="s">
        <v>180</v>
      </c>
      <c r="R221" s="45" t="s">
        <v>75</v>
      </c>
      <c r="S221" s="45"/>
      <c r="V221" s="33">
        <v>1100</v>
      </c>
      <c r="W221" s="50" t="e">
        <f>V221/#REF!</f>
        <v>#REF!</v>
      </c>
      <c r="AB221" s="33" t="e">
        <f>#REF!</f>
        <v>#REF!</v>
      </c>
      <c r="AE221" s="100" t="e">
        <f>IF(
      OR(
        (B215*(1+#REF!/100)/C222-1)*100 &lt;= -E215,
        (B215*(1+#REF!/100)/C223-1)*100 &lt;= -E215,
        (B215*(1+#REF!/100)/C224-1)*100 &lt;= -E215,
        (B215*(1+#REF!/100)/C225-1)*100 &lt;= -E215,
        (B215*(1+#REF!/100)/C226-1)*100 &lt;= -E215
      ),
      MIN(
        IF((B215*(1+#REF!/100)/C222-1)*100 &lt;= -E215, (B215*(1+#REF!/100)/C222-1)*100, 0),
        IF((B215*(1+#REF!/100)/C223-1)*100 &lt;= -E215, (B215*(1+#REF!/100)/C223-1)*100, 0),
        IF((B215*(1+#REF!/100)/C224-1)*100 &lt;= -E215, (B215*(1+#REF!/100)/C224-1)*100, 0),
        IF((B215*(1+#REF!/100)/C225-1)*100 &lt;= -E215, (B215*(1+#REF!/100)/C225-1)*100, 0),
        IF((B215*(1+#REF!/100)/C226-1)*100 &lt;= -E215, (B215*(1+#REF!/100)/C226-1)*100, 0)
      )/100,
      ""
    )</f>
        <v>#REF!</v>
      </c>
      <c r="AF221" s="108" t="e">
        <f>($B$215 -#REF!) /#REF!</f>
        <v>#REF!</v>
      </c>
      <c r="AG221" t="e">
        <f>#REF!</f>
        <v>#REF!</v>
      </c>
    </row>
    <row r="222" spans="2:39" ht="15.75" customHeight="1" x14ac:dyDescent="0.2">
      <c r="B222" s="98">
        <v>45924</v>
      </c>
      <c r="C222" s="97">
        <v>106</v>
      </c>
    </row>
    <row r="223" spans="2:39" ht="15.75" customHeight="1" x14ac:dyDescent="0.2">
      <c r="B223" s="98">
        <v>45923</v>
      </c>
      <c r="C223" s="97">
        <v>105</v>
      </c>
    </row>
    <row r="224" spans="2:39" ht="15.75" customHeight="1" x14ac:dyDescent="0.2">
      <c r="B224" s="98">
        <v>45922</v>
      </c>
      <c r="C224" s="97">
        <v>108</v>
      </c>
    </row>
    <row r="225" spans="2:44" ht="15.75" customHeight="1" x14ac:dyDescent="0.2">
      <c r="B225" s="98">
        <v>45921</v>
      </c>
      <c r="C225" s="97">
        <v>107</v>
      </c>
    </row>
    <row r="226" spans="2:44" ht="15.75" customHeight="1" x14ac:dyDescent="0.2">
      <c r="B226" s="98">
        <v>45920</v>
      </c>
      <c r="C226" s="97">
        <v>104</v>
      </c>
      <c r="Q226" s="45"/>
      <c r="AC226" s="68"/>
    </row>
    <row r="227" spans="2:44" ht="15.75" customHeight="1" x14ac:dyDescent="0.2">
      <c r="Q227" s="45"/>
    </row>
    <row r="228" spans="2:44" ht="15.75" customHeight="1" x14ac:dyDescent="0.2">
      <c r="Q228" s="45"/>
    </row>
    <row r="229" spans="2:44" ht="15.75" customHeight="1" x14ac:dyDescent="0.2">
      <c r="Q229" s="92"/>
      <c r="AC229" s="45" t="s">
        <v>74</v>
      </c>
      <c r="AM229" s="45" t="s">
        <v>94</v>
      </c>
    </row>
    <row r="230" spans="2:44" ht="15.75" customHeight="1" x14ac:dyDescent="0.2">
      <c r="AC230" s="69" t="s">
        <v>2</v>
      </c>
      <c r="AD230" s="70" t="s">
        <v>3</v>
      </c>
      <c r="AE230" s="70"/>
      <c r="AF230" s="70" t="s">
        <v>76</v>
      </c>
      <c r="AG230" s="70" t="s">
        <v>4</v>
      </c>
      <c r="AH230" s="70" t="s">
        <v>0</v>
      </c>
      <c r="AI230" s="70" t="s">
        <v>1</v>
      </c>
      <c r="AJ230" s="70" t="s">
        <v>62</v>
      </c>
      <c r="AK230" s="70"/>
      <c r="AL230" s="70" t="s">
        <v>77</v>
      </c>
      <c r="AM230" s="70" t="s">
        <v>84</v>
      </c>
      <c r="AN230" s="70" t="s">
        <v>83</v>
      </c>
      <c r="AO230" s="70" t="s">
        <v>7</v>
      </c>
      <c r="AP230" s="70" t="s">
        <v>81</v>
      </c>
      <c r="AQ230" s="70" t="s">
        <v>79</v>
      </c>
      <c r="AR230" s="70" t="s">
        <v>82</v>
      </c>
    </row>
    <row r="231" spans="2:44" ht="15.75" customHeight="1" x14ac:dyDescent="0.2">
      <c r="AC231" s="78">
        <v>45658</v>
      </c>
      <c r="AD231" s="79" t="s">
        <v>75</v>
      </c>
      <c r="AE231" s="79"/>
      <c r="AF231" s="80" t="s">
        <v>85</v>
      </c>
      <c r="AG231" s="79" t="s">
        <v>78</v>
      </c>
      <c r="AH231" s="81">
        <v>200</v>
      </c>
      <c r="AI231" s="81">
        <v>200</v>
      </c>
      <c r="AJ231" s="82">
        <f>AI231/AH231</f>
        <v>1</v>
      </c>
      <c r="AK231" s="82"/>
      <c r="AL231" s="79"/>
      <c r="AM231" s="82">
        <v>1</v>
      </c>
      <c r="AN231" s="82">
        <f>AM231/2</f>
        <v>0.5</v>
      </c>
      <c r="AO231" s="83">
        <f>AM231/2</f>
        <v>0.5</v>
      </c>
      <c r="AP231" s="81">
        <v>0</v>
      </c>
      <c r="AQ231" s="84">
        <f>ABS(AP231-AI231)</f>
        <v>200</v>
      </c>
      <c r="AR231" s="85">
        <f>((AP231+(AJ231*AH231)-AQ231)/AQ231)</f>
        <v>0</v>
      </c>
    </row>
    <row r="232" spans="2:44" ht="15.75" customHeight="1" x14ac:dyDescent="0.2">
      <c r="AC232" s="71">
        <v>45659</v>
      </c>
      <c r="AD232" s="72" t="s">
        <v>73</v>
      </c>
      <c r="AE232" s="72"/>
      <c r="AF232" s="74" t="s">
        <v>86</v>
      </c>
      <c r="AG232" s="72" t="s">
        <v>10</v>
      </c>
      <c r="AH232" s="73">
        <v>220</v>
      </c>
      <c r="AI232" s="72"/>
      <c r="AJ232" s="75">
        <f>AN231</f>
        <v>0.5</v>
      </c>
      <c r="AK232" s="75"/>
      <c r="AL232" s="73">
        <f>AH232*AJ232</f>
        <v>110</v>
      </c>
      <c r="AM232" s="75">
        <v>0.5</v>
      </c>
      <c r="AN232" s="75">
        <v>0</v>
      </c>
      <c r="AO232" s="75">
        <v>0.5</v>
      </c>
      <c r="AP232" s="73">
        <f>AL232+AP231</f>
        <v>110</v>
      </c>
      <c r="AQ232" s="73">
        <f>AQ231</f>
        <v>200</v>
      </c>
      <c r="AR232" s="77">
        <f t="shared" ref="AR232:AR240" si="48">((AP232+(AM232*AH232)-AQ232)/AQ232)</f>
        <v>0.1</v>
      </c>
    </row>
    <row r="233" spans="2:44" ht="15.75" customHeight="1" x14ac:dyDescent="0.2">
      <c r="AC233" s="78">
        <v>45660</v>
      </c>
      <c r="AD233" s="79" t="s">
        <v>75</v>
      </c>
      <c r="AE233" s="79"/>
      <c r="AF233" s="80" t="s">
        <v>87</v>
      </c>
      <c r="AG233" s="79" t="s">
        <v>80</v>
      </c>
      <c r="AH233" s="81">
        <v>220</v>
      </c>
      <c r="AI233" s="81">
        <v>220</v>
      </c>
      <c r="AJ233" s="82">
        <f>AI233/AH233</f>
        <v>1</v>
      </c>
      <c r="AK233" s="82"/>
      <c r="AL233" s="79"/>
      <c r="AM233" s="82">
        <f>AJ233+AM232</f>
        <v>1.5</v>
      </c>
      <c r="AN233" s="82">
        <f>AN232+(AJ233/2)</f>
        <v>0.5</v>
      </c>
      <c r="AO233" s="82">
        <f>AO232+(AJ233/2)</f>
        <v>1</v>
      </c>
      <c r="AP233" s="81">
        <v>0</v>
      </c>
      <c r="AQ233" s="81">
        <f>AQ232+(AI233-AP232)</f>
        <v>310</v>
      </c>
      <c r="AR233" s="85">
        <f t="shared" si="48"/>
        <v>6.4516129032258063E-2</v>
      </c>
    </row>
    <row r="234" spans="2:44" ht="15.75" customHeight="1" x14ac:dyDescent="0.2">
      <c r="AC234" s="71">
        <v>45661</v>
      </c>
      <c r="AD234" s="72" t="s">
        <v>73</v>
      </c>
      <c r="AE234" s="72"/>
      <c r="AF234" s="74" t="s">
        <v>88</v>
      </c>
      <c r="AG234" s="72" t="s">
        <v>80</v>
      </c>
      <c r="AH234" s="73">
        <v>190</v>
      </c>
      <c r="AI234" s="72"/>
      <c r="AJ234" s="75">
        <v>0.5</v>
      </c>
      <c r="AK234" s="75"/>
      <c r="AL234" s="73">
        <f>AH234*AJ234</f>
        <v>95</v>
      </c>
      <c r="AM234" s="75">
        <f>AM233-AJ234</f>
        <v>1</v>
      </c>
      <c r="AN234" s="75">
        <f>AN233</f>
        <v>0.5</v>
      </c>
      <c r="AO234" s="75">
        <f>AO233-AJ234</f>
        <v>0.5</v>
      </c>
      <c r="AP234" s="73">
        <f>AP233+AL234</f>
        <v>95</v>
      </c>
      <c r="AQ234" s="73">
        <f>AQ233</f>
        <v>310</v>
      </c>
      <c r="AR234" s="77">
        <f t="shared" si="48"/>
        <v>-8.0645161290322578E-2</v>
      </c>
    </row>
    <row r="235" spans="2:44" ht="15.75" customHeight="1" x14ac:dyDescent="0.2">
      <c r="AC235" s="78">
        <v>45662</v>
      </c>
      <c r="AD235" s="79" t="s">
        <v>75</v>
      </c>
      <c r="AE235" s="79"/>
      <c r="AF235" s="80" t="s">
        <v>89</v>
      </c>
      <c r="AG235" s="79" t="s">
        <v>80</v>
      </c>
      <c r="AH235" s="81">
        <v>200</v>
      </c>
      <c r="AI235" s="81">
        <v>200</v>
      </c>
      <c r="AJ235" s="82">
        <f>AI235/AH235</f>
        <v>1</v>
      </c>
      <c r="AK235" s="82"/>
      <c r="AL235" s="79"/>
      <c r="AM235" s="82">
        <f>AM234+AJ235</f>
        <v>2</v>
      </c>
      <c r="AN235" s="82">
        <f>AN234+(AJ235/2)</f>
        <v>1</v>
      </c>
      <c r="AO235" s="82">
        <f>AO234+(AJ235/2)</f>
        <v>1</v>
      </c>
      <c r="AP235" s="81">
        <v>0</v>
      </c>
      <c r="AQ235" s="81">
        <f>AQ234+(AI235-AP234)</f>
        <v>415</v>
      </c>
      <c r="AR235" s="85">
        <f t="shared" si="48"/>
        <v>-3.614457831325301E-2</v>
      </c>
    </row>
    <row r="236" spans="2:44" ht="15.75" customHeight="1" x14ac:dyDescent="0.2">
      <c r="AC236" s="71">
        <v>45663</v>
      </c>
      <c r="AD236" s="72" t="s">
        <v>73</v>
      </c>
      <c r="AE236" s="72"/>
      <c r="AF236" s="74" t="s">
        <v>90</v>
      </c>
      <c r="AG236" s="72" t="s">
        <v>80</v>
      </c>
      <c r="AH236" s="73">
        <v>210</v>
      </c>
      <c r="AI236" s="72"/>
      <c r="AJ236" s="75">
        <v>0.5</v>
      </c>
      <c r="AK236" s="75"/>
      <c r="AL236" s="73">
        <f>AH236*AJ236</f>
        <v>105</v>
      </c>
      <c r="AM236" s="75">
        <f>AM235-AJ236</f>
        <v>1.5</v>
      </c>
      <c r="AN236" s="75">
        <f>AN235-AJ236</f>
        <v>0.5</v>
      </c>
      <c r="AO236" s="75">
        <f>AO235</f>
        <v>1</v>
      </c>
      <c r="AP236" s="73">
        <f>AP235+AL236</f>
        <v>105</v>
      </c>
      <c r="AQ236" s="73">
        <f>AQ235</f>
        <v>415</v>
      </c>
      <c r="AR236" s="77">
        <f t="shared" si="48"/>
        <v>1.2048192771084338E-2</v>
      </c>
    </row>
    <row r="237" spans="2:44" ht="15.75" customHeight="1" x14ac:dyDescent="0.2">
      <c r="AC237" s="71">
        <v>45664</v>
      </c>
      <c r="AD237" s="72" t="s">
        <v>73</v>
      </c>
      <c r="AE237" s="72"/>
      <c r="AF237" s="74" t="s">
        <v>91</v>
      </c>
      <c r="AG237" s="72" t="s">
        <v>80</v>
      </c>
      <c r="AH237" s="73">
        <v>210</v>
      </c>
      <c r="AI237" s="72"/>
      <c r="AJ237" s="75">
        <v>0.5</v>
      </c>
      <c r="AK237" s="75"/>
      <c r="AL237" s="73">
        <f>AH237/2</f>
        <v>105</v>
      </c>
      <c r="AM237" s="75">
        <f>AM236-AJ237</f>
        <v>1</v>
      </c>
      <c r="AN237" s="75">
        <f>AN236</f>
        <v>0.5</v>
      </c>
      <c r="AO237" s="75">
        <f>AO236-AJ237</f>
        <v>0.5</v>
      </c>
      <c r="AP237" s="73">
        <f>AL237+AP236</f>
        <v>210</v>
      </c>
      <c r="AQ237" s="73">
        <f>AQ236</f>
        <v>415</v>
      </c>
      <c r="AR237" s="77">
        <f t="shared" si="48"/>
        <v>1.2048192771084338E-2</v>
      </c>
    </row>
    <row r="238" spans="2:44" ht="15.75" customHeight="1" x14ac:dyDescent="0.2">
      <c r="Z238" s="92"/>
      <c r="AC238" s="78">
        <v>45665</v>
      </c>
      <c r="AD238" s="80" t="s">
        <v>75</v>
      </c>
      <c r="AE238" s="80"/>
      <c r="AF238" s="80" t="s">
        <v>92</v>
      </c>
      <c r="AG238" s="80" t="s">
        <v>80</v>
      </c>
      <c r="AH238" s="81">
        <v>200</v>
      </c>
      <c r="AI238" s="81">
        <v>200</v>
      </c>
      <c r="AJ238" s="82">
        <v>1</v>
      </c>
      <c r="AK238" s="82"/>
      <c r="AL238" s="79"/>
      <c r="AM238" s="82">
        <f>AM237+AJ238</f>
        <v>2</v>
      </c>
      <c r="AN238" s="82">
        <f>AJ238+AN237</f>
        <v>1.5</v>
      </c>
      <c r="AO238" s="83">
        <f>AO237</f>
        <v>0.5</v>
      </c>
      <c r="AP238" s="81">
        <f>AP237-AI238</f>
        <v>10</v>
      </c>
      <c r="AQ238" s="81">
        <f>AQ236</f>
        <v>415</v>
      </c>
      <c r="AR238" s="85">
        <f t="shared" si="48"/>
        <v>-1.2048192771084338E-2</v>
      </c>
    </row>
    <row r="239" spans="2:44" ht="15.75" customHeight="1" x14ac:dyDescent="0.2">
      <c r="Z239" s="93"/>
      <c r="AC239" s="71">
        <v>45666</v>
      </c>
      <c r="AD239" s="74" t="s">
        <v>73</v>
      </c>
      <c r="AE239" s="74"/>
      <c r="AF239" s="74" t="s">
        <v>92</v>
      </c>
      <c r="AG239" s="74" t="s">
        <v>80</v>
      </c>
      <c r="AH239" s="73">
        <v>230</v>
      </c>
      <c r="AI239" s="72"/>
      <c r="AJ239" s="75">
        <v>0.5</v>
      </c>
      <c r="AK239" s="75"/>
      <c r="AL239" s="73">
        <f>AH239/2</f>
        <v>115</v>
      </c>
      <c r="AM239" s="75">
        <f>AM238-AJ239</f>
        <v>1.5</v>
      </c>
      <c r="AN239" s="75">
        <f>AN238-AJ239</f>
        <v>1</v>
      </c>
      <c r="AO239" s="75">
        <f>AO238</f>
        <v>0.5</v>
      </c>
      <c r="AP239" s="73">
        <f>AP238+AL239</f>
        <v>125</v>
      </c>
      <c r="AQ239" s="73">
        <f>AQ238</f>
        <v>415</v>
      </c>
      <c r="AR239" s="77">
        <f t="shared" si="48"/>
        <v>0.13253012048192772</v>
      </c>
    </row>
    <row r="240" spans="2:44" ht="15.75" customHeight="1" x14ac:dyDescent="0.2">
      <c r="Z240" s="93"/>
      <c r="AC240" s="78">
        <v>45667</v>
      </c>
      <c r="AD240" s="80" t="s">
        <v>75</v>
      </c>
      <c r="AE240" s="80"/>
      <c r="AF240" s="80" t="s">
        <v>93</v>
      </c>
      <c r="AG240" s="80" t="s">
        <v>80</v>
      </c>
      <c r="AH240" s="81">
        <v>230</v>
      </c>
      <c r="AI240" s="81">
        <v>230</v>
      </c>
      <c r="AJ240" s="82">
        <v>1</v>
      </c>
      <c r="AK240" s="82"/>
      <c r="AL240" s="79"/>
      <c r="AM240" s="82">
        <f>AM239+AJ240</f>
        <v>2.5</v>
      </c>
      <c r="AN240" s="82">
        <f>AN239</f>
        <v>1</v>
      </c>
      <c r="AO240" s="82">
        <f>AO239+AJ240</f>
        <v>1.5</v>
      </c>
      <c r="AP240" s="81">
        <v>0</v>
      </c>
      <c r="AQ240" s="81">
        <f>AQ239+(AI240-AP239)</f>
        <v>520</v>
      </c>
      <c r="AR240" s="85">
        <f t="shared" si="48"/>
        <v>0.10576923076923077</v>
      </c>
    </row>
    <row r="241" spans="26:44" ht="15.75" customHeight="1" x14ac:dyDescent="0.2">
      <c r="Z241" s="93"/>
    </row>
    <row r="242" spans="26:44" ht="15.75" customHeight="1" x14ac:dyDescent="0.2">
      <c r="Z242" s="93"/>
    </row>
    <row r="243" spans="26:44" ht="12.75" x14ac:dyDescent="0.2">
      <c r="AC243" s="45" t="s">
        <v>74</v>
      </c>
      <c r="AM243" s="45" t="s">
        <v>94</v>
      </c>
    </row>
    <row r="244" spans="26:44" ht="15.75" customHeight="1" x14ac:dyDescent="0.2">
      <c r="Z244" s="54"/>
      <c r="AC244" s="69" t="s">
        <v>2</v>
      </c>
      <c r="AD244" s="70" t="s">
        <v>3</v>
      </c>
      <c r="AE244" s="70"/>
      <c r="AF244" s="70" t="s">
        <v>76</v>
      </c>
      <c r="AG244" s="70" t="s">
        <v>4</v>
      </c>
      <c r="AH244" s="70" t="s">
        <v>0</v>
      </c>
      <c r="AI244" s="70" t="s">
        <v>1</v>
      </c>
      <c r="AJ244" s="70" t="s">
        <v>62</v>
      </c>
      <c r="AK244" s="70"/>
      <c r="AL244" s="70" t="s">
        <v>77</v>
      </c>
      <c r="AM244" s="70" t="s">
        <v>84</v>
      </c>
      <c r="AN244" s="70" t="s">
        <v>83</v>
      </c>
      <c r="AO244" s="70" t="s">
        <v>7</v>
      </c>
      <c r="AP244" s="70" t="s">
        <v>81</v>
      </c>
      <c r="AQ244" s="70" t="s">
        <v>79</v>
      </c>
      <c r="AR244" s="70" t="s">
        <v>82</v>
      </c>
    </row>
    <row r="245" spans="26:44" ht="15.75" customHeight="1" x14ac:dyDescent="0.2">
      <c r="Z245" s="94"/>
      <c r="AC245" s="78"/>
      <c r="AD245" s="79" t="s">
        <v>75</v>
      </c>
      <c r="AE245" s="79"/>
      <c r="AF245" s="80" t="s">
        <v>70</v>
      </c>
      <c r="AG245" s="79" t="s">
        <v>78</v>
      </c>
      <c r="AH245" s="89">
        <v>232.37</v>
      </c>
      <c r="AI245" s="81">
        <v>1000</v>
      </c>
      <c r="AJ245" s="86">
        <f t="shared" ref="AJ245:AJ250" si="49">AI245/AH245</f>
        <v>4.3034815165468867</v>
      </c>
      <c r="AK245" s="86"/>
      <c r="AL245" s="89"/>
      <c r="AM245" s="86">
        <f>AJ245</f>
        <v>4.3034815165468867</v>
      </c>
      <c r="AN245" s="86">
        <f>AM245/2</f>
        <v>2.1517407582734434</v>
      </c>
      <c r="AO245" s="88">
        <f>AM245/2</f>
        <v>2.1517407582734434</v>
      </c>
      <c r="AP245" s="89">
        <v>0</v>
      </c>
      <c r="AQ245" s="91">
        <f>ABS(AP245-AI245)</f>
        <v>1000</v>
      </c>
      <c r="AR245" s="85">
        <f>((AP245+(AJ245*AH245)-AQ245)/AQ245)</f>
        <v>1.1368683772161603E-16</v>
      </c>
    </row>
    <row r="246" spans="26:44" ht="15.75" customHeight="1" x14ac:dyDescent="0.2">
      <c r="AC246" s="78"/>
      <c r="AD246" s="79" t="s">
        <v>75</v>
      </c>
      <c r="AE246" s="79"/>
      <c r="AF246" s="80" t="s">
        <v>70</v>
      </c>
      <c r="AG246" s="79" t="s">
        <v>80</v>
      </c>
      <c r="AH246" s="89">
        <v>205.6</v>
      </c>
      <c r="AI246" s="81">
        <v>500</v>
      </c>
      <c r="AJ246" s="86">
        <f t="shared" si="49"/>
        <v>2.4319066147859925</v>
      </c>
      <c r="AK246" s="86"/>
      <c r="AL246" s="89"/>
      <c r="AM246" s="86">
        <f>AJ246+AM245</f>
        <v>6.7353881313328792</v>
      </c>
      <c r="AN246" s="86">
        <f>AN245+(AJ246/2)</f>
        <v>3.3676940656664396</v>
      </c>
      <c r="AO246" s="86">
        <f>AO245+(AJ246/2)</f>
        <v>3.3676940656664396</v>
      </c>
      <c r="AP246" s="89">
        <v>0</v>
      </c>
      <c r="AQ246" s="89">
        <f>AQ245+(AI246-AP245)</f>
        <v>1500</v>
      </c>
      <c r="AR246" s="85">
        <f t="shared" ref="AR246:AR256" si="50">((AP246+(AM246*AH246)-AQ246)/AQ246)</f>
        <v>-7.6802800131973381E-2</v>
      </c>
    </row>
    <row r="247" spans="26:44" ht="15.75" customHeight="1" x14ac:dyDescent="0.2">
      <c r="AC247" s="78"/>
      <c r="AD247" s="79" t="s">
        <v>75</v>
      </c>
      <c r="AE247" s="79"/>
      <c r="AF247" s="80" t="s">
        <v>70</v>
      </c>
      <c r="AG247" s="79" t="s">
        <v>80</v>
      </c>
      <c r="AH247" s="89">
        <v>199.37</v>
      </c>
      <c r="AI247" s="81">
        <v>500</v>
      </c>
      <c r="AJ247" s="86">
        <f t="shared" si="49"/>
        <v>2.5078998846366054</v>
      </c>
      <c r="AK247" s="86"/>
      <c r="AL247" s="89"/>
      <c r="AM247" s="86">
        <f>AJ247+AM246</f>
        <v>9.243288015969485</v>
      </c>
      <c r="AN247" s="86">
        <f>AN246+(AJ247/2)</f>
        <v>4.6216440079847425</v>
      </c>
      <c r="AO247" s="86">
        <f>AO246+(AJ247/2)</f>
        <v>4.6216440079847425</v>
      </c>
      <c r="AP247" s="89">
        <v>0</v>
      </c>
      <c r="AQ247" s="89">
        <f>AQ246+(AI247-AP246)</f>
        <v>2000</v>
      </c>
      <c r="AR247" s="85">
        <f t="shared" si="50"/>
        <v>-7.858283412808191E-2</v>
      </c>
    </row>
    <row r="248" spans="26:44" ht="15.75" customHeight="1" x14ac:dyDescent="0.2">
      <c r="AC248" s="78"/>
      <c r="AD248" s="79" t="s">
        <v>75</v>
      </c>
      <c r="AE248" s="79"/>
      <c r="AF248" s="80" t="s">
        <v>70</v>
      </c>
      <c r="AG248" s="79" t="s">
        <v>80</v>
      </c>
      <c r="AH248" s="89">
        <v>196.54</v>
      </c>
      <c r="AI248" s="81">
        <v>500</v>
      </c>
      <c r="AJ248" s="86">
        <f t="shared" si="49"/>
        <v>2.5440113971710594</v>
      </c>
      <c r="AK248" s="86"/>
      <c r="AL248" s="89"/>
      <c r="AM248" s="86">
        <f>AJ248+AM247</f>
        <v>11.787299413140545</v>
      </c>
      <c r="AN248" s="86">
        <f>AN247+(AJ248/2)</f>
        <v>5.8936497065702724</v>
      </c>
      <c r="AO248" s="86">
        <f>AO247+(AJ248/2)</f>
        <v>5.8936497065702724</v>
      </c>
      <c r="AP248" s="89">
        <v>0</v>
      </c>
      <c r="AQ248" s="89">
        <f>AQ247+(AI248-AP247)</f>
        <v>2500</v>
      </c>
      <c r="AR248" s="85">
        <f t="shared" si="50"/>
        <v>-7.3329669336542974E-2</v>
      </c>
    </row>
    <row r="249" spans="26:44" ht="15.75" customHeight="1" x14ac:dyDescent="0.2">
      <c r="AC249" s="78"/>
      <c r="AD249" s="79" t="s">
        <v>75</v>
      </c>
      <c r="AE249" s="79"/>
      <c r="AF249" s="80" t="s">
        <v>70</v>
      </c>
      <c r="AG249" s="79" t="s">
        <v>80</v>
      </c>
      <c r="AH249" s="89">
        <v>184.88</v>
      </c>
      <c r="AI249" s="81">
        <v>50</v>
      </c>
      <c r="AJ249" s="86">
        <f t="shared" si="49"/>
        <v>0.27044569450454348</v>
      </c>
      <c r="AK249" s="86"/>
      <c r="AL249" s="89"/>
      <c r="AM249" s="86">
        <f>AJ249+AM248</f>
        <v>12.057745107645088</v>
      </c>
      <c r="AN249" s="86">
        <f>AN248+(AJ249/2)</f>
        <v>6.0288725538225441</v>
      </c>
      <c r="AO249" s="86">
        <f>AO248+(AJ249/2)</f>
        <v>6.0288725538225441</v>
      </c>
      <c r="AP249" s="89">
        <v>0</v>
      </c>
      <c r="AQ249" s="89">
        <f>AQ248+(AI249-AP248)</f>
        <v>2550</v>
      </c>
      <c r="AR249" s="85">
        <f t="shared" si="50"/>
        <v>-0.12578983705826521</v>
      </c>
    </row>
    <row r="250" spans="26:44" ht="15.75" customHeight="1" x14ac:dyDescent="0.2">
      <c r="AC250" s="78"/>
      <c r="AD250" s="79" t="s">
        <v>75</v>
      </c>
      <c r="AE250" s="79"/>
      <c r="AF250" s="80" t="s">
        <v>70</v>
      </c>
      <c r="AG250" s="79" t="s">
        <v>80</v>
      </c>
      <c r="AH250" s="89">
        <v>180.62</v>
      </c>
      <c r="AI250" s="81">
        <v>50</v>
      </c>
      <c r="AJ250" s="86">
        <f t="shared" si="49"/>
        <v>0.27682427195216475</v>
      </c>
      <c r="AK250" s="86"/>
      <c r="AL250" s="89"/>
      <c r="AM250" s="86">
        <f>AJ250+AM249</f>
        <v>12.334569379597253</v>
      </c>
      <c r="AN250" s="86">
        <f>AN249+(AJ250/2)</f>
        <v>6.1672846897986267</v>
      </c>
      <c r="AO250" s="86">
        <f>AO249+(AJ250/2)</f>
        <v>6.1672846897986267</v>
      </c>
      <c r="AP250" s="89">
        <v>0</v>
      </c>
      <c r="AQ250" s="89">
        <f>AQ249+(AI250-AP249)</f>
        <v>2600</v>
      </c>
      <c r="AR250" s="85">
        <f t="shared" si="50"/>
        <v>-0.14312695332967085</v>
      </c>
    </row>
    <row r="251" spans="26:44" ht="15.75" customHeight="1" x14ac:dyDescent="0.2">
      <c r="AC251" s="71"/>
      <c r="AD251" s="72" t="s">
        <v>73</v>
      </c>
      <c r="AE251" s="72"/>
      <c r="AF251" s="74" t="s">
        <v>27</v>
      </c>
      <c r="AG251" s="72" t="s">
        <v>10</v>
      </c>
      <c r="AH251" s="90">
        <v>208.59</v>
      </c>
      <c r="AI251" s="72"/>
      <c r="AJ251" s="87">
        <v>0.13841000000000001</v>
      </c>
      <c r="AK251" s="87"/>
      <c r="AL251" s="90">
        <f>AH251*AJ251</f>
        <v>28.870941900000002</v>
      </c>
      <c r="AM251" s="87">
        <f>AM250-AJ251</f>
        <v>12.196159379597253</v>
      </c>
      <c r="AN251" s="87">
        <f>AN250-AJ251</f>
        <v>6.0288746897986263</v>
      </c>
      <c r="AO251" s="87">
        <f>AO250</f>
        <v>6.1672846897986267</v>
      </c>
      <c r="AP251" s="90">
        <f>AL251+AP245</f>
        <v>28.870941900000002</v>
      </c>
      <c r="AQ251" s="90">
        <f>AQ250</f>
        <v>2600</v>
      </c>
      <c r="AR251" s="77">
        <f t="shared" si="50"/>
        <v>-1.0435451196080277E-2</v>
      </c>
    </row>
    <row r="252" spans="26:44" ht="15.75" customHeight="1" x14ac:dyDescent="0.2">
      <c r="AC252" s="78"/>
      <c r="AD252" s="72" t="s">
        <v>73</v>
      </c>
      <c r="AE252" s="72"/>
      <c r="AF252" s="74" t="s">
        <v>27</v>
      </c>
      <c r="AG252" s="72" t="s">
        <v>10</v>
      </c>
      <c r="AH252" s="90">
        <v>208.54</v>
      </c>
      <c r="AI252" s="72"/>
      <c r="AJ252" s="87">
        <v>0.13522000000000001</v>
      </c>
      <c r="AK252" s="87"/>
      <c r="AL252" s="90">
        <f>AH252*AJ252</f>
        <v>28.198778799999999</v>
      </c>
      <c r="AM252" s="87">
        <f>AM251-AJ252</f>
        <v>12.060939379597253</v>
      </c>
      <c r="AN252" s="87">
        <f>AN251-AJ252</f>
        <v>5.8936546897986259</v>
      </c>
      <c r="AO252" s="87">
        <f>AO251</f>
        <v>6.1672846897986267</v>
      </c>
      <c r="AP252" s="90">
        <f>AL252+AP246</f>
        <v>28.198778799999999</v>
      </c>
      <c r="AQ252" s="90">
        <f>AQ251</f>
        <v>2600</v>
      </c>
      <c r="AR252" s="85">
        <f t="shared" si="50"/>
        <v>-2.1774201145688038E-2</v>
      </c>
    </row>
    <row r="253" spans="26:44" ht="15.75" customHeight="1" x14ac:dyDescent="0.2">
      <c r="AC253" s="71"/>
      <c r="AD253" s="72" t="s">
        <v>73</v>
      </c>
      <c r="AE253" s="72"/>
      <c r="AF253" s="74" t="s">
        <v>95</v>
      </c>
      <c r="AG253" s="72" t="s">
        <v>80</v>
      </c>
      <c r="AH253" s="90">
        <v>28.25</v>
      </c>
      <c r="AI253" s="72"/>
      <c r="AJ253" s="87">
        <f>AN252</f>
        <v>5.8936546897986259</v>
      </c>
      <c r="AK253" s="87"/>
      <c r="AL253" s="90">
        <f>AH253*AJ253</f>
        <v>166.49574498681119</v>
      </c>
      <c r="AM253" s="87">
        <f>AM252-AJ253</f>
        <v>6.1672846897986267</v>
      </c>
      <c r="AN253" s="87">
        <f>AN252-AJ253</f>
        <v>0</v>
      </c>
      <c r="AO253" s="87">
        <f>AO252</f>
        <v>6.1672846897986267</v>
      </c>
      <c r="AP253" s="90">
        <f>AP252+AL253</f>
        <v>194.6945237868112</v>
      </c>
      <c r="AQ253" s="90">
        <f>AQ252</f>
        <v>2600</v>
      </c>
      <c r="AR253" s="77">
        <f t="shared" si="50"/>
        <v>-0.85810757066399135</v>
      </c>
    </row>
    <row r="254" spans="26:44" ht="15.75" customHeight="1" x14ac:dyDescent="0.2">
      <c r="AC254" s="78"/>
      <c r="AD254" s="79" t="s">
        <v>75</v>
      </c>
      <c r="AE254" s="79"/>
      <c r="AF254" s="80" t="s">
        <v>89</v>
      </c>
      <c r="AG254" s="79" t="s">
        <v>80</v>
      </c>
      <c r="AH254" s="89">
        <v>28.39</v>
      </c>
      <c r="AI254" s="81">
        <v>200</v>
      </c>
      <c r="AJ254" s="86">
        <f>AI254/AH254</f>
        <v>7.0447340612891862</v>
      </c>
      <c r="AK254" s="86"/>
      <c r="AL254" s="89"/>
      <c r="AM254" s="86">
        <f>AM253+AJ254</f>
        <v>13.212018751087813</v>
      </c>
      <c r="AN254" s="86">
        <f>AN253+(AJ254/2)</f>
        <v>3.5223670306445931</v>
      </c>
      <c r="AO254" s="86">
        <f>AO253+(AJ254/2)</f>
        <v>9.6896517204432193</v>
      </c>
      <c r="AP254" s="89">
        <v>0</v>
      </c>
      <c r="AQ254" s="89">
        <f>AQ253+(AI254-AP253)</f>
        <v>2605.3054762131887</v>
      </c>
      <c r="AR254" s="85">
        <f t="shared" si="50"/>
        <v>-0.85602870152156774</v>
      </c>
    </row>
    <row r="255" spans="26:44" ht="15.75" customHeight="1" x14ac:dyDescent="0.2">
      <c r="AC255" s="78"/>
      <c r="AD255" s="80" t="s">
        <v>75</v>
      </c>
      <c r="AE255" s="80"/>
      <c r="AF255" s="80" t="s">
        <v>96</v>
      </c>
      <c r="AG255" s="80" t="s">
        <v>80</v>
      </c>
      <c r="AH255" s="89">
        <v>27.28</v>
      </c>
      <c r="AI255" s="81">
        <v>200</v>
      </c>
      <c r="AJ255" s="86">
        <f>AI255/AH255</f>
        <v>7.3313782991202343</v>
      </c>
      <c r="AK255" s="86"/>
      <c r="AL255" s="89"/>
      <c r="AM255" s="86">
        <f>AM254+AJ255</f>
        <v>20.543397050208046</v>
      </c>
      <c r="AN255" s="86">
        <f>AN254+(AJ255/2)</f>
        <v>7.1880561802047103</v>
      </c>
      <c r="AO255" s="86">
        <f>AO254+(AJ255/2)</f>
        <v>13.355340870003337</v>
      </c>
      <c r="AP255" s="89">
        <v>0</v>
      </c>
      <c r="AQ255" s="89">
        <f>AQ254+(AI255-AP254)</f>
        <v>2805.3054762131887</v>
      </c>
      <c r="AR255" s="85">
        <f t="shared" si="50"/>
        <v>-0.80022714949169182</v>
      </c>
    </row>
    <row r="256" spans="26:44" ht="15.75" customHeight="1" x14ac:dyDescent="0.2">
      <c r="AC256" s="78"/>
      <c r="AD256" s="80" t="s">
        <v>75</v>
      </c>
      <c r="AE256" s="80"/>
      <c r="AF256" s="80" t="s">
        <v>97</v>
      </c>
      <c r="AG256" s="80" t="s">
        <v>80</v>
      </c>
      <c r="AH256" s="89">
        <v>27.38</v>
      </c>
      <c r="AI256" s="81">
        <v>200</v>
      </c>
      <c r="AJ256" s="86">
        <f>AI256/AH256</f>
        <v>7.3046018991964941</v>
      </c>
      <c r="AK256" s="86"/>
      <c r="AL256" s="89"/>
      <c r="AM256" s="86">
        <f>AM255+AJ256</f>
        <v>27.847998949404541</v>
      </c>
      <c r="AN256" s="86">
        <f>AN255+(AJ256/2)</f>
        <v>10.840357129802957</v>
      </c>
      <c r="AO256" s="86">
        <f>AO255+(AJ256/2)</f>
        <v>17.007641819601584</v>
      </c>
      <c r="AP256" s="89">
        <v>0</v>
      </c>
      <c r="AQ256" s="89">
        <f>AQ255+(AI256-AP255)</f>
        <v>3005.3054762131887</v>
      </c>
      <c r="AR256" s="85">
        <f t="shared" si="50"/>
        <v>-0.74628928164884878</v>
      </c>
    </row>
  </sheetData>
  <pageMargins left="0.7" right="0.7" top="0.75" bottom="0.75" header="0.3" footer="0.3"/>
  <pageSetup orientation="portrait" horizontalDpi="300" verticalDpi="300" r:id="rId1"/>
  <ignoredErrors>
    <ignoredError sqref="AM161 AB162 AO163 AP160 BF161 BF163 BF166 AL173 AF173 BF174 AB173:AD173 AH173:AJ173 AE196:AE197"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2026-01-09T01:46:49Z</dcterms:modified>
</cp:coreProperties>
</file>