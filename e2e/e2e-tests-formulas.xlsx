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9F153F44-DF86-4B6E-A738-534A2067CA4F}" xr6:coauthVersionLast="47" xr6:coauthVersionMax="47" xr10:uidLastSave="{00000000-0000-0000-0000-000000000000}"/>
  <bookViews>
    <workbookView xWindow="4110" yWindow="3615" windowWidth="46140" windowHeight="13965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" i="14" l="1"/>
  <c r="W11" i="14"/>
  <c r="W10" i="14"/>
  <c r="W6" i="14"/>
  <c r="V6" i="14"/>
  <c r="U6" i="14"/>
  <c r="T6" i="14"/>
  <c r="AQ14" i="14"/>
  <c r="S14" i="14"/>
  <c r="R14" i="14"/>
  <c r="V13" i="14"/>
  <c r="AI13" i="14" s="1"/>
  <c r="S13" i="14"/>
  <c r="V12" i="14"/>
  <c r="AC10" i="14" s="1"/>
  <c r="T12" i="14"/>
  <c r="AA10" i="14" s="1"/>
  <c r="V7" i="14"/>
  <c r="V10" i="14" s="1"/>
  <c r="T7" i="14"/>
  <c r="AD7" i="14" s="1"/>
  <c r="AE7" i="14" s="1"/>
  <c r="AE11" i="14" s="1"/>
  <c r="V5" i="14"/>
  <c r="V8" i="14" s="1"/>
  <c r="T5" i="14"/>
  <c r="AA5" i="14" s="1"/>
  <c r="AA8" i="14" s="1"/>
  <c r="V4" i="14"/>
  <c r="AI4" i="14" s="1"/>
  <c r="T4" i="14"/>
  <c r="AG4" i="14" s="1"/>
  <c r="AQ7" i="14"/>
  <c r="AV7" i="14"/>
  <c r="W7" i="14"/>
  <c r="W13" i="14" s="1"/>
  <c r="AH67" i="14"/>
  <c r="AG67" i="14"/>
  <c r="AI67" i="14" s="1"/>
  <c r="AB67" i="14"/>
  <c r="AA67" i="14"/>
  <c r="AC67" i="14" s="1"/>
  <c r="AM67" i="14" s="1"/>
  <c r="V67" i="14"/>
  <c r="AH63" i="14"/>
  <c r="AH64" i="14" s="1"/>
  <c r="AH65" i="14" s="1"/>
  <c r="AH66" i="14" s="1"/>
  <c r="AG63" i="14"/>
  <c r="AI63" i="14" s="1"/>
  <c r="AN63" i="14" s="1"/>
  <c r="AB63" i="14"/>
  <c r="AB64" i="14" s="1"/>
  <c r="AB65" i="14" s="1"/>
  <c r="AB66" i="14" s="1"/>
  <c r="AA63" i="14"/>
  <c r="AC63" i="14" s="1"/>
  <c r="V63" i="14"/>
  <c r="AA84" i="14"/>
  <c r="AB84" i="14" s="1"/>
  <c r="AE85" i="14"/>
  <c r="AD85" i="14"/>
  <c r="V85" i="14"/>
  <c r="AA85" i="14"/>
  <c r="AF85" i="14"/>
  <c r="AF81" i="14"/>
  <c r="AF82" i="14"/>
  <c r="AF84" i="14"/>
  <c r="AE84" i="14"/>
  <c r="V84" i="14"/>
  <c r="AA83" i="14"/>
  <c r="AB83" i="14" s="1"/>
  <c r="AA82" i="14"/>
  <c r="AB82" i="14" s="1"/>
  <c r="AA81" i="14"/>
  <c r="AB81" i="14" s="1"/>
  <c r="AF83" i="14"/>
  <c r="AE82" i="14"/>
  <c r="AE83" i="14"/>
  <c r="AE81" i="14"/>
  <c r="V83" i="14"/>
  <c r="V82" i="14"/>
  <c r="V81" i="14"/>
  <c r="AF80" i="14"/>
  <c r="AD80" i="14"/>
  <c r="AD79" i="14"/>
  <c r="V80" i="14"/>
  <c r="V79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V59" i="14"/>
  <c r="AH59" i="14"/>
  <c r="AH60" i="14" s="1"/>
  <c r="AH61" i="14" s="1"/>
  <c r="AH62" i="14" s="1"/>
  <c r="AG59" i="14"/>
  <c r="AI59" i="14" s="1"/>
  <c r="AN59" i="14" s="1"/>
  <c r="AB59" i="14"/>
  <c r="AB60" i="14" s="1"/>
  <c r="AB61" i="14" s="1"/>
  <c r="AB62" i="14" s="1"/>
  <c r="AA59" i="14"/>
  <c r="AA60" i="14" s="1"/>
  <c r="AA61" i="14" s="1"/>
  <c r="AA62" i="14" s="1"/>
  <c r="AK116" i="14"/>
  <c r="AO116" i="14" s="1"/>
  <c r="AI114" i="14"/>
  <c r="AI113" i="14"/>
  <c r="AI112" i="14"/>
  <c r="AI111" i="14"/>
  <c r="AI110" i="14"/>
  <c r="AI120" i="14"/>
  <c r="AI119" i="14"/>
  <c r="AI118" i="14"/>
  <c r="AP109" i="14"/>
  <c r="AI109" i="14"/>
  <c r="AK103" i="14"/>
  <c r="AK101" i="14"/>
  <c r="AN95" i="14"/>
  <c r="AM95" i="14"/>
  <c r="AI96" i="14" s="1"/>
  <c r="AK96" i="14" s="1"/>
  <c r="AO96" i="14" s="1"/>
  <c r="AP95" i="14"/>
  <c r="AK100" i="14"/>
  <c r="AO100" i="14" s="1"/>
  <c r="AI99" i="14"/>
  <c r="AK98" i="14"/>
  <c r="AO98" i="14" s="1"/>
  <c r="AI97" i="14"/>
  <c r="AL97" i="14" s="1"/>
  <c r="AL98" i="14" s="1"/>
  <c r="AI95" i="14"/>
  <c r="AH52" i="14"/>
  <c r="AH53" i="14" s="1"/>
  <c r="AH54" i="14" s="1"/>
  <c r="AH55" i="14" s="1"/>
  <c r="AB52" i="14"/>
  <c r="AB53" i="14" s="1"/>
  <c r="AB54" i="14" s="1"/>
  <c r="AB55" i="14" s="1"/>
  <c r="AB45" i="14"/>
  <c r="AH47" i="14"/>
  <c r="AH43" i="14"/>
  <c r="AB43" i="14"/>
  <c r="AI38" i="14"/>
  <c r="AI36" i="14"/>
  <c r="AI37" i="14" s="1"/>
  <c r="AI39" i="14" s="1"/>
  <c r="AC38" i="14"/>
  <c r="AC36" i="14"/>
  <c r="AI32" i="14"/>
  <c r="AI28" i="14"/>
  <c r="AI31" i="14" s="1"/>
  <c r="AC32" i="14"/>
  <c r="AI25" i="14"/>
  <c r="AI27" i="14" s="1"/>
  <c r="AI30" i="14" s="1"/>
  <c r="AI23" i="14"/>
  <c r="AC26" i="14"/>
  <c r="AC28" i="14" s="1"/>
  <c r="AC31" i="14" s="1"/>
  <c r="AC25" i="14"/>
  <c r="AC27" i="14" s="1"/>
  <c r="AC30" i="14" s="1"/>
  <c r="AC23" i="14"/>
  <c r="BH38" i="14"/>
  <c r="AG38" i="14"/>
  <c r="AB38" i="14"/>
  <c r="AA38" i="14"/>
  <c r="AH38" i="14"/>
  <c r="V38" i="14"/>
  <c r="BJ37" i="14"/>
  <c r="BI37" i="14"/>
  <c r="BH37" i="14"/>
  <c r="BG37" i="14"/>
  <c r="BF37" i="14"/>
  <c r="BE37" i="14"/>
  <c r="BD37" i="14"/>
  <c r="BB37" i="14"/>
  <c r="BA37" i="14"/>
  <c r="AZ37" i="14"/>
  <c r="AY37" i="14"/>
  <c r="AX37" i="14"/>
  <c r="AW37" i="14"/>
  <c r="AV37" i="14"/>
  <c r="AU37" i="14"/>
  <c r="AT37" i="14"/>
  <c r="AS37" i="14"/>
  <c r="AR37" i="14"/>
  <c r="AQ37" i="14"/>
  <c r="AU38" i="14"/>
  <c r="AV38" i="14" s="1"/>
  <c r="AT38" i="14"/>
  <c r="AS38" i="14"/>
  <c r="AR38" i="14"/>
  <c r="AQ38" i="14"/>
  <c r="AH36" i="14"/>
  <c r="AH37" i="14" s="1"/>
  <c r="AH39" i="14" s="1"/>
  <c r="AG36" i="14"/>
  <c r="AG37" i="14" s="1"/>
  <c r="AG39" i="14" s="1"/>
  <c r="AB36" i="14"/>
  <c r="AB37" i="14" s="1"/>
  <c r="AB39" i="14" s="1"/>
  <c r="AA36" i="14"/>
  <c r="V36" i="14"/>
  <c r="AV30" i="14"/>
  <c r="AU30" i="14"/>
  <c r="AT30" i="14"/>
  <c r="AS30" i="14"/>
  <c r="AR30" i="14"/>
  <c r="AQ30" i="14"/>
  <c r="BH24" i="14"/>
  <c r="BH25" i="14" s="1"/>
  <c r="BH27" i="14" s="1"/>
  <c r="BH29" i="14" s="1"/>
  <c r="BH30" i="14" s="1"/>
  <c r="AU24" i="14"/>
  <c r="AU25" i="14" s="1"/>
  <c r="V30" i="14"/>
  <c r="V27" i="14"/>
  <c r="V25" i="14"/>
  <c r="V23" i="14"/>
  <c r="BF24" i="14"/>
  <c r="BE24" i="14"/>
  <c r="BB24" i="14"/>
  <c r="BA24" i="14"/>
  <c r="AZ24" i="14"/>
  <c r="AY24" i="14"/>
  <c r="AX24" i="14"/>
  <c r="AW24" i="14"/>
  <c r="BG24" i="14"/>
  <c r="AT24" i="14"/>
  <c r="AT25" i="14" s="1"/>
  <c r="AT27" i="14" s="1"/>
  <c r="AT29" i="14" s="1"/>
  <c r="AR24" i="14"/>
  <c r="AR25" i="14" s="1"/>
  <c r="AR27" i="14" s="1"/>
  <c r="AR29" i="14" s="1"/>
  <c r="AS24" i="14"/>
  <c r="AS25" i="14" s="1"/>
  <c r="AS27" i="14" s="1"/>
  <c r="AQ24" i="14"/>
  <c r="AQ25" i="14" s="1"/>
  <c r="AQ27" i="14" s="1"/>
  <c r="AG55" i="14"/>
  <c r="AA55" i="14"/>
  <c r="AG54" i="14"/>
  <c r="AA53" i="14"/>
  <c r="AG52" i="14"/>
  <c r="AA52" i="14"/>
  <c r="AG47" i="14"/>
  <c r="AA45" i="14"/>
  <c r="AG43" i="14"/>
  <c r="AA43" i="14"/>
  <c r="AH32" i="14"/>
  <c r="AG32" i="14"/>
  <c r="AB32" i="14"/>
  <c r="AA32" i="14"/>
  <c r="AH28" i="14"/>
  <c r="AG28" i="14"/>
  <c r="AB26" i="14"/>
  <c r="AA26" i="14"/>
  <c r="AA28" i="14" s="1"/>
  <c r="AH23" i="14"/>
  <c r="AG23" i="14"/>
  <c r="AB23" i="14"/>
  <c r="AA23" i="14"/>
  <c r="AA25" i="14" s="1"/>
  <c r="AA27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AC13" i="14" l="1"/>
  <c r="T8" i="14"/>
  <c r="U7" i="14"/>
  <c r="U10" i="14" s="1"/>
  <c r="U13" i="14" s="1"/>
  <c r="AG10" i="14"/>
  <c r="AM10" i="14"/>
  <c r="AI5" i="14"/>
  <c r="AI8" i="14" s="1"/>
  <c r="AO10" i="14"/>
  <c r="AI10" i="14"/>
  <c r="AJ10" i="14"/>
  <c r="AK10" i="14" s="1"/>
  <c r="AP10" i="14"/>
  <c r="AQ10" i="14" s="1"/>
  <c r="AD10" i="14"/>
  <c r="AE10" i="14" s="1"/>
  <c r="U12" i="14"/>
  <c r="AD11" i="14"/>
  <c r="U5" i="14"/>
  <c r="AI7" i="14"/>
  <c r="AI11" i="14" s="1"/>
  <c r="AB7" i="14"/>
  <c r="AB11" i="14" s="1"/>
  <c r="AJ7" i="14"/>
  <c r="AP4" i="14"/>
  <c r="T9" i="14"/>
  <c r="T11" i="14"/>
  <c r="T14" i="14" s="1"/>
  <c r="V11" i="14"/>
  <c r="V14" i="14" s="1"/>
  <c r="AG7" i="14"/>
  <c r="AG11" i="14" s="1"/>
  <c r="AH7" i="14"/>
  <c r="AH11" i="14" s="1"/>
  <c r="T10" i="14"/>
  <c r="AA7" i="14"/>
  <c r="AC7" i="14"/>
  <c r="AC11" i="14" s="1"/>
  <c r="AD4" i="14"/>
  <c r="AE4" i="14" s="1"/>
  <c r="AD5" i="14"/>
  <c r="AG5" i="14"/>
  <c r="AG8" i="14" s="1"/>
  <c r="AM4" i="14"/>
  <c r="AQ4" i="14" s="1"/>
  <c r="AO4" i="14"/>
  <c r="AO5" i="14" s="1"/>
  <c r="AJ5" i="14"/>
  <c r="U4" i="14"/>
  <c r="W4" i="14"/>
  <c r="W9" i="14" s="1"/>
  <c r="AP5" i="14"/>
  <c r="AQ5" i="14" s="1"/>
  <c r="AM5" i="14"/>
  <c r="V9" i="14"/>
  <c r="AC4" i="14"/>
  <c r="AC5" i="14" s="1"/>
  <c r="AC8" i="14" s="1"/>
  <c r="AJ4" i="14"/>
  <c r="AK4" i="14" s="1"/>
  <c r="AA4" i="14"/>
  <c r="W5" i="14"/>
  <c r="AK67" i="14"/>
  <c r="AN67" i="14"/>
  <c r="AJ67" i="14"/>
  <c r="AD67" i="14"/>
  <c r="AM63" i="14"/>
  <c r="AD63" i="14"/>
  <c r="AE63" i="14"/>
  <c r="AE64" i="14" s="1"/>
  <c r="AE65" i="14" s="1"/>
  <c r="AE66" i="14" s="1"/>
  <c r="AE67" i="14" s="1"/>
  <c r="AA64" i="14"/>
  <c r="AA65" i="14" s="1"/>
  <c r="AA66" i="14" s="1"/>
  <c r="AC59" i="14"/>
  <c r="AC60" i="14" s="1"/>
  <c r="AJ63" i="14"/>
  <c r="AI60" i="14"/>
  <c r="AN60" i="14" s="1"/>
  <c r="AC64" i="14"/>
  <c r="AK63" i="14"/>
  <c r="AK64" i="14" s="1"/>
  <c r="AK65" i="14" s="1"/>
  <c r="AK66" i="14" s="1"/>
  <c r="AI64" i="14"/>
  <c r="AN64" i="14" s="1"/>
  <c r="AL99" i="14"/>
  <c r="AL100" i="14" s="1"/>
  <c r="AO101" i="14"/>
  <c r="AO102" i="14" s="1"/>
  <c r="AJ60" i="14"/>
  <c r="AI61" i="14"/>
  <c r="AN61" i="14" s="1"/>
  <c r="AJ59" i="14"/>
  <c r="AE59" i="14"/>
  <c r="AE60" i="14" s="1"/>
  <c r="AE61" i="14" s="1"/>
  <c r="AE62" i="14" s="1"/>
  <c r="AK59" i="14"/>
  <c r="AK60" i="14" s="1"/>
  <c r="AK61" i="14" s="1"/>
  <c r="AK62" i="14" s="1"/>
  <c r="AE38" i="14"/>
  <c r="AQ95" i="14"/>
  <c r="AP110" i="14"/>
  <c r="AP111" i="14" s="1"/>
  <c r="AP112" i="14" s="1"/>
  <c r="AP113" i="14" s="1"/>
  <c r="AP114" i="14" s="1"/>
  <c r="AP115" i="14" s="1"/>
  <c r="AP116" i="14" s="1"/>
  <c r="AQ109" i="14"/>
  <c r="AL109" i="14"/>
  <c r="AL110" i="14" s="1"/>
  <c r="AL111" i="14" s="1"/>
  <c r="AM97" i="14"/>
  <c r="AM98" i="14" s="1"/>
  <c r="AM99" i="14" s="1"/>
  <c r="AM100" i="14" s="1"/>
  <c r="AM101" i="14" s="1"/>
  <c r="AM102" i="14" s="1"/>
  <c r="AM103" i="14" s="1"/>
  <c r="AM104" i="14" s="1"/>
  <c r="AN97" i="14"/>
  <c r="AN98" i="14" s="1"/>
  <c r="AN99" i="14" s="1"/>
  <c r="AN100" i="14" s="1"/>
  <c r="AN101" i="14" s="1"/>
  <c r="AN102" i="14" s="1"/>
  <c r="AN103" i="14" s="1"/>
  <c r="AN104" i="14" s="1"/>
  <c r="AP96" i="14"/>
  <c r="AK38" i="14"/>
  <c r="AC37" i="14"/>
  <c r="AC39" i="14" s="1"/>
  <c r="AA37" i="14"/>
  <c r="AA39" i="14" s="1"/>
  <c r="AE36" i="14"/>
  <c r="AE37" i="14" s="1"/>
  <c r="AE39" i="14" s="1"/>
  <c r="AK36" i="14"/>
  <c r="AK37" i="14" s="1"/>
  <c r="AK39" i="14" s="1"/>
  <c r="AQ29" i="14"/>
  <c r="BD24" i="14"/>
  <c r="BI24" i="14" s="1"/>
  <c r="BJ24" i="14" s="1"/>
  <c r="AS29" i="14"/>
  <c r="AV24" i="14"/>
  <c r="AK55" i="14"/>
  <c r="AE53" i="14"/>
  <c r="AK54" i="14"/>
  <c r="AE55" i="14"/>
  <c r="AE43" i="14"/>
  <c r="AE52" i="14"/>
  <c r="AK43" i="14"/>
  <c r="AE45" i="14"/>
  <c r="AK47" i="14"/>
  <c r="AK52" i="14"/>
  <c r="AK32" i="14"/>
  <c r="AN30" i="14" s="1"/>
  <c r="AY30" i="14" s="1"/>
  <c r="AZ30" i="14" s="1"/>
  <c r="AE32" i="14"/>
  <c r="AL30" i="14" s="1"/>
  <c r="AK28" i="14"/>
  <c r="AK23" i="14"/>
  <c r="AN23" i="14" s="1"/>
  <c r="AN24" i="14" s="1"/>
  <c r="AN25" i="14" s="1"/>
  <c r="AE23" i="14"/>
  <c r="AL23" i="14" s="1"/>
  <c r="AE26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A11" i="14" l="1"/>
  <c r="T13" i="14"/>
  <c r="U8" i="14"/>
  <c r="U11" i="14" s="1"/>
  <c r="AH13" i="14"/>
  <c r="AB13" i="14"/>
  <c r="W8" i="14"/>
  <c r="W14" i="14" s="1"/>
  <c r="AO14" i="14"/>
  <c r="AI14" i="14"/>
  <c r="AC14" i="14"/>
  <c r="AM14" i="14"/>
  <c r="AA14" i="14"/>
  <c r="AG14" i="14"/>
  <c r="AD14" i="14"/>
  <c r="AE14" i="14" s="1"/>
  <c r="AM12" i="14"/>
  <c r="AJ12" i="14"/>
  <c r="AA12" i="14"/>
  <c r="AD12" i="14"/>
  <c r="AP12" i="14"/>
  <c r="AQ12" i="14" s="1"/>
  <c r="AG12" i="14"/>
  <c r="AK7" i="14"/>
  <c r="AK11" i="14" s="1"/>
  <c r="AJ11" i="14"/>
  <c r="AI12" i="14"/>
  <c r="AO12" i="14"/>
  <c r="AC12" i="14"/>
  <c r="AN10" i="14"/>
  <c r="AB10" i="14"/>
  <c r="AH10" i="14"/>
  <c r="AK5" i="14"/>
  <c r="AJ8" i="14"/>
  <c r="AK8" i="14" s="1"/>
  <c r="AB4" i="14"/>
  <c r="U9" i="14"/>
  <c r="AH4" i="14"/>
  <c r="AN4" i="14"/>
  <c r="AE5" i="14"/>
  <c r="AD8" i="14"/>
  <c r="AE8" i="14" s="1"/>
  <c r="AE12" i="14" s="1"/>
  <c r="AS4" i="14"/>
  <c r="AN38" i="14"/>
  <c r="AY38" i="14" s="1"/>
  <c r="BF38" i="14" s="1"/>
  <c r="BG38" i="14" s="1"/>
  <c r="AL38" i="14"/>
  <c r="AO38" i="14" s="1"/>
  <c r="AM64" i="14"/>
  <c r="AD64" i="14"/>
  <c r="AM60" i="14"/>
  <c r="AD60" i="14"/>
  <c r="AM59" i="14"/>
  <c r="AD59" i="14"/>
  <c r="AJ64" i="14"/>
  <c r="AI65" i="14"/>
  <c r="AN65" i="14" s="1"/>
  <c r="AC65" i="14"/>
  <c r="AC61" i="14"/>
  <c r="AJ61" i="14"/>
  <c r="AI62" i="14"/>
  <c r="AQ111" i="14"/>
  <c r="AL112" i="14"/>
  <c r="AQ110" i="14"/>
  <c r="AN109" i="14"/>
  <c r="AM109" i="14"/>
  <c r="AM110" i="14" s="1"/>
  <c r="AM111" i="14" s="1"/>
  <c r="AM112" i="14" s="1"/>
  <c r="AM113" i="14" s="1"/>
  <c r="AM114" i="14" s="1"/>
  <c r="AM115" i="14" s="1"/>
  <c r="AM116" i="14" s="1"/>
  <c r="AP97" i="14"/>
  <c r="AP98" i="14" s="1"/>
  <c r="AQ98" i="14" s="1"/>
  <c r="AL101" i="14"/>
  <c r="AL102" i="14" s="1"/>
  <c r="AL103" i="14" s="1"/>
  <c r="AL104" i="14" s="1"/>
  <c r="AO103" i="14"/>
  <c r="AQ96" i="14"/>
  <c r="AN36" i="14"/>
  <c r="AN37" i="14" s="1"/>
  <c r="AL36" i="14"/>
  <c r="AL37" i="14" s="1"/>
  <c r="AY25" i="14"/>
  <c r="BF25" i="14" s="1"/>
  <c r="BG25" i="14" s="1"/>
  <c r="AN27" i="14"/>
  <c r="AW30" i="14"/>
  <c r="AO30" i="14"/>
  <c r="BF30" i="14"/>
  <c r="BG30" i="14" s="1"/>
  <c r="AV25" i="14"/>
  <c r="AV27" i="14" s="1"/>
  <c r="AV29" i="14" s="1"/>
  <c r="AU27" i="14"/>
  <c r="AU29" i="14" s="1"/>
  <c r="AO23" i="14"/>
  <c r="AO24" i="14" s="1"/>
  <c r="AL24" i="14"/>
  <c r="AL25" i="14" s="1"/>
  <c r="AW25" i="14" s="1"/>
  <c r="AX25" i="14" s="1"/>
  <c r="U14" i="14" l="1"/>
  <c r="AH12" i="14"/>
  <c r="AN12" i="14"/>
  <c r="AJ13" i="14"/>
  <c r="AK13" i="14" s="1"/>
  <c r="AG13" i="14"/>
  <c r="AA13" i="14"/>
  <c r="AD13" i="14"/>
  <c r="AE13" i="14" s="1"/>
  <c r="AK12" i="14"/>
  <c r="AJ14" i="14"/>
  <c r="AK14" i="14" s="1"/>
  <c r="AU10" i="14"/>
  <c r="AV10" i="14"/>
  <c r="AN5" i="14"/>
  <c r="AV5" i="14" s="1"/>
  <c r="AV4" i="14"/>
  <c r="AH5" i="14"/>
  <c r="AU4" i="14"/>
  <c r="AZ38" i="14"/>
  <c r="AW38" i="14"/>
  <c r="BA38" i="14" s="1"/>
  <c r="BB38" i="14" s="1"/>
  <c r="AB5" i="14"/>
  <c r="AT4" i="14"/>
  <c r="AJ62" i="14"/>
  <c r="AN62" i="14"/>
  <c r="AM61" i="14"/>
  <c r="AD61" i="14"/>
  <c r="AM65" i="14"/>
  <c r="AD65" i="14"/>
  <c r="AI66" i="14"/>
  <c r="AJ65" i="14"/>
  <c r="AC66" i="14"/>
  <c r="AQ97" i="14"/>
  <c r="AO37" i="14"/>
  <c r="AC62" i="14"/>
  <c r="AQ112" i="14"/>
  <c r="AL113" i="14"/>
  <c r="AN110" i="14"/>
  <c r="AN111" i="14" s="1"/>
  <c r="AN112" i="14" s="1"/>
  <c r="AN113" i="14" s="1"/>
  <c r="AN114" i="14" s="1"/>
  <c r="AN115" i="14" s="1"/>
  <c r="AN116" i="14" s="1"/>
  <c r="AN117" i="14" s="1"/>
  <c r="AN118" i="14" s="1"/>
  <c r="AP99" i="14"/>
  <c r="AP100" i="14" s="1"/>
  <c r="AP101" i="14" s="1"/>
  <c r="AQ101" i="14" s="1"/>
  <c r="AO36" i="14"/>
  <c r="AZ25" i="14"/>
  <c r="AX30" i="14"/>
  <c r="BE30" i="14" s="1"/>
  <c r="BD30" i="14"/>
  <c r="BI30" i="14" s="1"/>
  <c r="BJ30" i="14" s="1"/>
  <c r="BA30" i="14"/>
  <c r="BB30" i="14" s="1"/>
  <c r="AN29" i="14"/>
  <c r="AY27" i="14"/>
  <c r="BD25" i="14"/>
  <c r="BI25" i="14" s="1"/>
  <c r="BJ25" i="14" s="1"/>
  <c r="AL27" i="14"/>
  <c r="AO25" i="14"/>
  <c r="AX38" i="14" l="1"/>
  <c r="BE38" i="14" s="1"/>
  <c r="BD38" i="14"/>
  <c r="BI38" i="14" s="1"/>
  <c r="BJ38" i="14" s="1"/>
  <c r="AN14" i="14"/>
  <c r="AV13" i="14" s="1"/>
  <c r="AB14" i="14"/>
  <c r="AT13" i="14" s="1"/>
  <c r="AS13" i="14" s="1"/>
  <c r="AH14" i="14"/>
  <c r="AU13" i="14" s="1"/>
  <c r="AH8" i="14"/>
  <c r="AU7" i="14" s="1"/>
  <c r="AU5" i="14"/>
  <c r="AB8" i="14"/>
  <c r="AB12" i="14" s="1"/>
  <c r="AT10" i="14" s="1"/>
  <c r="AS10" i="14" s="1"/>
  <c r="AT5" i="14"/>
  <c r="AS5" i="14"/>
  <c r="AM62" i="14"/>
  <c r="AD62" i="14"/>
  <c r="AM66" i="14"/>
  <c r="AD66" i="14"/>
  <c r="AJ66" i="14"/>
  <c r="AN66" i="14"/>
  <c r="AQ99" i="14"/>
  <c r="AQ113" i="14"/>
  <c r="AL114" i="14"/>
  <c r="AI117" i="14"/>
  <c r="AK117" i="14" s="1"/>
  <c r="AO117" i="14" s="1"/>
  <c r="AN119" i="14"/>
  <c r="AN120" i="14" s="1"/>
  <c r="AK115" i="14"/>
  <c r="AO115" i="14" s="1"/>
  <c r="AP102" i="14"/>
  <c r="AQ100" i="14"/>
  <c r="AW27" i="14"/>
  <c r="BA27" i="14" s="1"/>
  <c r="AO27" i="14"/>
  <c r="AL29" i="14"/>
  <c r="AO29" i="14" s="1"/>
  <c r="AZ27" i="14"/>
  <c r="AZ29" i="14" s="1"/>
  <c r="AY29" i="14"/>
  <c r="BF27" i="14"/>
  <c r="BA25" i="14"/>
  <c r="BB25" i="14" s="1"/>
  <c r="BE25" i="14"/>
  <c r="AT7" i="14" l="1"/>
  <c r="AS7" i="14" s="1"/>
  <c r="AQ114" i="14"/>
  <c r="AL115" i="14"/>
  <c r="AL116" i="14" s="1"/>
  <c r="AM117" i="14"/>
  <c r="AM118" i="14" s="1"/>
  <c r="AM119" i="14" s="1"/>
  <c r="AM120" i="14" s="1"/>
  <c r="AL117" i="14"/>
  <c r="AP117" i="14"/>
  <c r="AP118" i="14" s="1"/>
  <c r="AP119" i="14" s="1"/>
  <c r="AP120" i="14" s="1"/>
  <c r="AQ115" i="14"/>
  <c r="AP103" i="14"/>
  <c r="AP104" i="14" s="1"/>
  <c r="AQ104" i="14" s="1"/>
  <c r="AQ102" i="14"/>
  <c r="BG27" i="14"/>
  <c r="BG29" i="14" s="1"/>
  <c r="BF29" i="14"/>
  <c r="BB27" i="14"/>
  <c r="BB29" i="14" s="1"/>
  <c r="BA29" i="14"/>
  <c r="AX27" i="14"/>
  <c r="AW29" i="14"/>
  <c r="BD27" i="14"/>
  <c r="AQ116" i="14" l="1"/>
  <c r="AL118" i="14"/>
  <c r="AQ117" i="14"/>
  <c r="AQ103" i="14"/>
  <c r="BI27" i="14"/>
  <c r="BJ27" i="14" s="1"/>
  <c r="BD29" i="14"/>
  <c r="BI29" i="14" s="1"/>
  <c r="BJ29" i="14" s="1"/>
  <c r="BE27" i="14"/>
  <c r="BE29" i="14" s="1"/>
  <c r="AX29" i="14"/>
  <c r="AQ118" i="14" l="1"/>
  <c r="AL119" i="14"/>
  <c r="AL120" i="14" s="1"/>
  <c r="AQ120" i="14" s="1"/>
  <c r="AQ119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D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S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Q24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24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24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24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24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24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D24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E24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F24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G24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H24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I24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J24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W25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25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25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25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25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25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Q38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38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38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38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38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38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W38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38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38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38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38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38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D80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E83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E84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<sst xmlns="http://schemas.openxmlformats.org/spreadsheetml/2006/main" count="914" uniqueCount="220">
  <si>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</si>
  <si>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</si>
  <si>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</si>
  <si>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</si>
  <si>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</si>
  <si>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</si>
  <si>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</si>
  <si>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</si>
  <si>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</si>
  <si>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</si>
  <si>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</si>
  <si>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</si>
  <si>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</si>
  <si>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</si>
  <si>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</si>
  <si>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</si>
  <si>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</si>
  <si>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</si>
  <si>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</si>
  <si>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</si>
  <si>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</si>
  <si>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</si>
  <si>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</si>
  <si>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</si>
  <si>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</si>
  <si>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</si>
  <si>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</si>
  <si>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</si>
  <si>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</si>
  <si>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</si>
  <si>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</si>
  <si>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</si>
  <si>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</si>
  <si>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</si>
  <si>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</si>
  <si>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</si>
  <si>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</si>
  <si>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</si>
  <si>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</si>
  <si>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</si>
  <si>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</si>
  <si>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</si>
  <si>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</si>
  <si>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</si>
  <si>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</si>
  <si>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</si>
  <si>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</si>
  <si>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</si>
  <si>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</si>
  <si>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</si>
  <si>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</si>
  <si>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</si>
  <si>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</si>
  <si>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</si>
  <si>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</si>
  <si>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</si>
  <si>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</si>
  <si>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</si>
  <si>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</si>
  <si>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</si>
  <si>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</si>
  <si>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</si>
  <si>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</si>
  <si>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</si>
  <si>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</si>
  <si>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</si>
  <si>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</si>
  <si>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</si>
  <si>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</si>
  <si>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</si>
  <si>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</si>
  <si>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</si>
  <si>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</si>
  <si>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</si>
  <si>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</si>
  <si>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</si>
  <si>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</si>
  <si>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</si>
  <si>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</si>
  <si>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</si>
  <si>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</si>
  <si>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</si>
  <si>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</si>
  <si>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</si>
  <si>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</si>
  <si>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</si>
  <si>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</si>
  <si>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</si>
  <si>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</si>
  <si>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</si>
  <si>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</si>
  <si>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</si>
  <si>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</si>
  <si>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</si>
  <si>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</si>
  <si>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</si>
  <si>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</si>
  <si>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</si>
  <si>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</si>
  <si>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</si>
  <si>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</si>
  <si>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</si>
  <si>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</si>
  <si>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</si>
  <si>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</si>
  <si>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</si>
  <si>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</si>
  <si>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</si>
  <si>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</si>
  <si>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</si>
  <si>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</si>
  <si>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</si>
  <si>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</si>
  <si>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</si>
  <si>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</si>
  <si>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</si>
  <si>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</si>
  <si>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</si>
  <si>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</si>
  <si>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</si>
  <si>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</si>
  <si>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</si>
  <si>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</si>
  <si>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</si>
  <si>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</si>
  <si>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</si>
  <si>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</si>
  <si>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</si>
  <si>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</si>
  <si>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</si>
  <si>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</si>
  <si>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</si>
  <si>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</si>
  <si>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</si>
  <si>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</si>
  <si>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</si>
  <si>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</si>
  <si>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</si>
  <si>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</si>
  <si>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</si>
  <si>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</si>
  <si>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</si>
  <si>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</si>
  <si>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</si>
  <si>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</si>
  <si>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</si>
  <si>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</si>
  <si>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</si>
  <si>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</si>
  <si>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</si>
  <si>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</si>
  <si>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</si>
  <si>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</si>
  <si>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</si>
  <si>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</si>
  <si>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</si>
  <si>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</si>
  <si>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</si>
  <si>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</si>
  <si>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</si>
  <si>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</si>
  <si>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</si>
  <si>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</si>
  <si>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</si>
  <si>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</si>
  <si>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</si>
  <si>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</si>
  <si>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</si>
  <si>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</si>
  <si>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</si>
  <si>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</si>
  <si>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</si>
  <si>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</si>
  <si>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</si>
  <si>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</si>
  <si>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</si>
  <si>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</si>
  <si>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</si>
  <si>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</si>
  <si>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</si>
  <si>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</si>
  <si>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</si>
  <si>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</si>
  <si>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</si>
  <si>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</si>
  <si>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</si>
  <si>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</si>
  <si>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</si>
  <si>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</si>
  <si>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</si>
  <si>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</si>
  <si>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</si>
  <si>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</si>
  <si>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</si>
  <si>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</si>
  <si>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</si>
  <si>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</si>
  <si>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</si>
  <si>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</si>
  <si>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</si>
  <si>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</si>
  <si>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</si>
  <si>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</si>
  <si>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</si>
  <si>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</si>
  <si>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</si>
  <si>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</si>
  <si>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</si>
  <si>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</si>
  <si>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</si>
  <si>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</si>
  <si>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</si>
  <si>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</si>
  <si>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</si>
  <si>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</si>
  <si>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</si>
  <si>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</si>
  <si>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</si>
  <si>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</si>
  <si>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Let's add the last action DelBuyA which will delete the BuyA transaction.
1. Update asset price to $90.
2. Find BuyA in the transactions table and delete it.
3. Verify the transactions table for BuyC transaction at $120, check values:
Type: Buy
Signal: Entry Target
Price: $120.00
Quantity: 3.33333
Investment: $400.00
ET: $117.60
4. Verify the transactions table for BuyB transaction at $100, check values:
Type: Buy
Signal: Custom
Price: $100.00
Quantity: 3.00000
Investment: $300.00
ET: $98.00
5. Check PT+4% tab, the $130 wallet should be deleted now.
6. Check PT+4% tab, find the $120 wallet, check values:
Price: $120.00
Shares: 1.66667
Investment: $200.00
PT: $126.06
%2PT: -28.61%
7. Check PT+4% tab, find the $100 wallet, check values:
Price: $120.00
Shares: 1.66667
Investment: $200.00
PT: $126.06
%2PT: -28.61%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</si>
</sst>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2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156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8" fillId="5" borderId="0" xfId="0" applyFon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0" fontId="8" fillId="9" borderId="0" xfId="0" applyFont="1" applyFill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5" fontId="3" fillId="0" borderId="0" xfId="0" quotePrefix="1" applyNumberFormat="1" applyFont="1" applyAlignment="1">
      <alignment horizontal="right"/>
    </xf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9" fillId="9" borderId="0" xfId="0" applyFont="1" applyFill="1"/>
    <xf numFmtId="0" fontId="11" fillId="0" borderId="0" xfId="0" applyFont="1" applyAlignment="1">
      <alignment wrapText="1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J120"/>
  <sheetViews>
    <sheetView tabSelected="1" workbookViewId="0">
      <selection activeCell="AQ12" sqref="AQ12"/>
    </sheetView>
  </sheetViews>
  <sheetFormatPr defaultColWidth="12.5703125" defaultRowHeight="15.75" customHeight="1" x14ac:dyDescent="0.2"/>
  <cols>
    <col min="1" max="1" width="29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9" width="6.5703125" customWidth="1"/>
    <col min="10" max="10" width="11.140625" customWidth="1"/>
    <col min="11" max="12" width="8.140625" bestFit="1" customWidth="1"/>
    <col min="13" max="14" width="7.7109375" bestFit="1" customWidth="1"/>
    <col min="15" max="15" width="8.7109375" bestFit="1" customWidth="1"/>
    <col min="16" max="16" width="6.42578125" customWidth="1"/>
    <col min="17" max="17" width="8.5703125" customWidth="1"/>
    <col min="18" max="18" width="6" customWidth="1"/>
    <col min="19" max="19" width="11.42578125" customWidth="1"/>
    <col min="20" max="20" width="7.42578125" customWidth="1"/>
    <col min="21" max="22" width="7.5703125" bestFit="1" customWidth="1"/>
    <col min="23" max="23" width="8" customWidth="1"/>
    <col min="24" max="24" width="3.85546875" bestFit="1" customWidth="1"/>
    <col min="25" max="25" width="7.28515625" bestFit="1" customWidth="1"/>
    <col min="26" max="26" width="4.85546875" customWidth="1"/>
    <col min="27" max="27" width="7.28515625" customWidth="1"/>
    <col min="28" max="28" width="8.42578125" customWidth="1"/>
    <col min="29" max="29" width="8.140625" customWidth="1"/>
    <col min="30" max="30" width="8.5703125" customWidth="1"/>
    <col min="31" max="31" width="7.7109375" customWidth="1"/>
    <col min="32" max="32" width="6.7109375" bestFit="1" customWidth="1"/>
    <col min="33" max="33" width="7.85546875" customWidth="1"/>
    <col min="34" max="34" width="9" customWidth="1"/>
    <col min="35" max="35" width="7.85546875" customWidth="1"/>
    <col min="36" max="36" width="9.140625" customWidth="1"/>
    <col min="37" max="37" width="7.85546875" customWidth="1"/>
    <col min="38" max="38" width="9.85546875" bestFit="1" customWidth="1"/>
    <col min="39" max="39" width="7.7109375" customWidth="1"/>
    <col min="40" max="40" width="8.5703125" bestFit="1" customWidth="1"/>
    <col min="41" max="41" width="8.140625" customWidth="1"/>
    <col min="42" max="42" width="9.7109375" bestFit="1" customWidth="1"/>
    <col min="43" max="43" width="7.5703125" customWidth="1"/>
    <col min="44" max="44" width="5.5703125" bestFit="1" customWidth="1"/>
    <col min="45" max="45" width="8.85546875" bestFit="1" customWidth="1"/>
    <col min="46" max="46" width="8.28515625" customWidth="1"/>
    <col min="47" max="47" width="7.42578125" bestFit="1" customWidth="1"/>
    <col min="48" max="48" width="8.7109375" bestFit="1" customWidth="1"/>
    <col min="49" max="49" width="14.5703125" bestFit="1" customWidth="1"/>
    <col min="50" max="50" width="8.28515625" bestFit="1" customWidth="1"/>
    <col min="51" max="51" width="8.140625" bestFit="1" customWidth="1"/>
    <col min="52" max="52" width="8.28515625" bestFit="1" customWidth="1"/>
    <col min="53" max="53" width="9.7109375" bestFit="1" customWidth="1"/>
    <col min="54" max="54" width="8.28515625" bestFit="1" customWidth="1"/>
    <col min="55" max="55" width="4.7109375" customWidth="1"/>
    <col min="56" max="56" width="14" bestFit="1" customWidth="1"/>
    <col min="57" max="57" width="8.28515625" bestFit="1" customWidth="1"/>
    <col min="58" max="58" width="8.140625" bestFit="1" customWidth="1"/>
    <col min="59" max="59" width="8.28515625" bestFit="1" customWidth="1"/>
    <col min="60" max="60" width="8.5703125" bestFit="1" customWidth="1"/>
    <col min="61" max="61" width="9.7109375" bestFit="1" customWidth="1"/>
    <col min="62" max="62" width="9.28515625" bestFit="1" customWidth="1"/>
  </cols>
  <sheetData>
    <row r="1" spans="1:48" ht="12.75" x14ac:dyDescent="0.2">
      <c r="A1" s="154" t="s">
        <v>214</v>
      </c>
    </row>
    <row r="2" spans="1:48" ht="12.75" x14ac:dyDescent="0.2">
      <c r="B2" s="45" t="s">
        <v>204</v>
      </c>
      <c r="C2" s="111"/>
      <c r="I2" s="45" t="s">
        <v>202</v>
      </c>
      <c r="Q2" s="45" t="s">
        <v>203</v>
      </c>
      <c r="S2" s="12"/>
      <c r="T2" s="12"/>
      <c r="U2" s="12"/>
      <c r="V2" s="12"/>
      <c r="W2" s="12"/>
      <c r="X2" s="12"/>
      <c r="Y2" s="12"/>
      <c r="Z2" s="12"/>
      <c r="AA2" s="133" t="s">
        <v>205</v>
      </c>
      <c r="AB2" s="46"/>
      <c r="AC2" s="46"/>
      <c r="AD2" s="46"/>
      <c r="AE2" s="46"/>
      <c r="AF2" s="46"/>
      <c r="AG2" s="133" t="s">
        <v>207</v>
      </c>
      <c r="AH2" s="46"/>
      <c r="AI2" s="46"/>
      <c r="AJ2" s="46"/>
      <c r="AK2" s="46"/>
      <c r="AL2" s="45"/>
      <c r="AM2" s="133" t="s">
        <v>208</v>
      </c>
      <c r="AN2" s="12"/>
      <c r="AO2" s="12"/>
      <c r="AP2" s="12"/>
      <c r="AQ2" s="12"/>
      <c r="AS2" s="133" t="s">
        <v>206</v>
      </c>
    </row>
    <row r="3" spans="1:48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103"/>
      <c r="I3" s="28" t="s">
        <v>76</v>
      </c>
      <c r="J3" s="28" t="s">
        <v>4</v>
      </c>
      <c r="K3" s="57" t="s">
        <v>0</v>
      </c>
      <c r="L3" s="57" t="s">
        <v>1</v>
      </c>
      <c r="M3" s="28" t="s">
        <v>191</v>
      </c>
      <c r="N3" s="28" t="s">
        <v>192</v>
      </c>
      <c r="O3" s="28" t="s">
        <v>193</v>
      </c>
      <c r="Q3" s="28"/>
      <c r="R3" s="28" t="s">
        <v>76</v>
      </c>
      <c r="S3" s="28" t="s">
        <v>4</v>
      </c>
      <c r="T3" s="57" t="s">
        <v>0</v>
      </c>
      <c r="U3" s="28" t="s">
        <v>62</v>
      </c>
      <c r="V3" s="57" t="s">
        <v>1</v>
      </c>
      <c r="W3" s="57" t="s">
        <v>190</v>
      </c>
      <c r="X3" s="57" t="s">
        <v>194</v>
      </c>
      <c r="Y3" s="28" t="s">
        <v>195</v>
      </c>
      <c r="Z3" s="12"/>
      <c r="AA3" s="28" t="s">
        <v>0</v>
      </c>
      <c r="AB3" s="28" t="s">
        <v>196</v>
      </c>
      <c r="AC3" s="57" t="s">
        <v>1</v>
      </c>
      <c r="AD3" s="57" t="s">
        <v>197</v>
      </c>
      <c r="AE3" s="57" t="s">
        <v>198</v>
      </c>
      <c r="AF3" s="60"/>
      <c r="AG3" s="28" t="s">
        <v>0</v>
      </c>
      <c r="AH3" s="28" t="s">
        <v>196</v>
      </c>
      <c r="AI3" s="57" t="s">
        <v>1</v>
      </c>
      <c r="AJ3" s="57" t="s">
        <v>197</v>
      </c>
      <c r="AK3" s="57" t="s">
        <v>198</v>
      </c>
      <c r="AM3" s="28" t="s">
        <v>0</v>
      </c>
      <c r="AN3" s="28" t="s">
        <v>196</v>
      </c>
      <c r="AO3" s="57" t="s">
        <v>1</v>
      </c>
      <c r="AP3" s="57" t="s">
        <v>197</v>
      </c>
      <c r="AQ3" s="57" t="s">
        <v>198</v>
      </c>
      <c r="AS3" s="57" t="s">
        <v>199</v>
      </c>
      <c r="AT3" s="28" t="s">
        <v>191</v>
      </c>
      <c r="AU3" s="28" t="s">
        <v>192</v>
      </c>
      <c r="AV3" s="28" t="s">
        <v>193</v>
      </c>
    </row>
    <row r="4" spans="1:48" ht="12.75" x14ac:dyDescent="0.2">
      <c r="A4" s="45" t="s">
        <v>200</v>
      </c>
      <c r="B4" s="52">
        <v>100</v>
      </c>
      <c r="C4" s="54">
        <v>0.02</v>
      </c>
      <c r="D4" s="127">
        <v>0.04</v>
      </c>
      <c r="E4" s="97">
        <v>0.08</v>
      </c>
      <c r="F4" s="97">
        <v>0.16</v>
      </c>
      <c r="G4" s="97">
        <v>0.01</v>
      </c>
      <c r="H4" s="97"/>
      <c r="I4" s="136" t="s">
        <v>75</v>
      </c>
      <c r="J4" s="136" t="s">
        <v>78</v>
      </c>
      <c r="K4" s="52">
        <v>100</v>
      </c>
      <c r="L4" s="52">
        <v>200</v>
      </c>
      <c r="M4" s="127">
        <v>0.5</v>
      </c>
      <c r="N4" s="97">
        <v>0.3</v>
      </c>
      <c r="O4" s="97">
        <v>0.2</v>
      </c>
      <c r="Q4" s="45" t="s">
        <v>216</v>
      </c>
      <c r="R4" s="45" t="s">
        <v>75</v>
      </c>
      <c r="S4" s="134" t="s">
        <v>78</v>
      </c>
      <c r="T4" s="124">
        <f>K4</f>
        <v>100</v>
      </c>
      <c r="U4" s="30">
        <f>V4/T4</f>
        <v>2</v>
      </c>
      <c r="V4" s="124">
        <f>L4</f>
        <v>200</v>
      </c>
      <c r="W4" s="124">
        <f>T4 * (1 - ABS(C4))</f>
        <v>98</v>
      </c>
      <c r="X4" s="125" t="s">
        <v>34</v>
      </c>
      <c r="Y4" s="125" t="s">
        <v>34</v>
      </c>
      <c r="Z4" s="12"/>
      <c r="AA4" s="124">
        <f>T4</f>
        <v>100</v>
      </c>
      <c r="AB4" s="30">
        <f>U4*M4</f>
        <v>1</v>
      </c>
      <c r="AC4" s="126">
        <f>V4*M4</f>
        <v>100</v>
      </c>
      <c r="AD4" s="126">
        <f>T4 * (1 + D4) / (1 - G4)</f>
        <v>105.05050505050505</v>
      </c>
      <c r="AE4" s="127">
        <f>(B4 - AD4) / AD4</f>
        <v>-4.8076923076923087E-2</v>
      </c>
      <c r="AF4" s="30"/>
      <c r="AG4" s="124">
        <f>T4</f>
        <v>100</v>
      </c>
      <c r="AH4" s="30">
        <f>U4*N4</f>
        <v>0.6</v>
      </c>
      <c r="AI4" s="126">
        <f>V4*N4</f>
        <v>60</v>
      </c>
      <c r="AJ4" s="126">
        <f>T4 * (1 + E4) / (1 - G4)</f>
        <v>109.09090909090909</v>
      </c>
      <c r="AK4" s="127">
        <f>(B4 - AJ4) / AJ4</f>
        <v>-8.3333333333333356E-2</v>
      </c>
      <c r="AM4" s="124">
        <f>T4</f>
        <v>100</v>
      </c>
      <c r="AN4" s="30">
        <f>U4*O4</f>
        <v>0.4</v>
      </c>
      <c r="AO4" s="126">
        <f>V4*O4</f>
        <v>40</v>
      </c>
      <c r="AP4" s="126">
        <f>T4 * (1 + F4) / (1 - G4)</f>
        <v>117.17171717171716</v>
      </c>
      <c r="AQ4" s="127">
        <f>(B4 - AP4) / AP4</f>
        <v>-0.14655172413793097</v>
      </c>
      <c r="AS4" s="32">
        <f>AB4+AH4+AN4</f>
        <v>2</v>
      </c>
      <c r="AT4" s="32">
        <f>AB4</f>
        <v>1</v>
      </c>
      <c r="AU4" s="32">
        <f>AH4</f>
        <v>0.6</v>
      </c>
      <c r="AV4" s="32">
        <f>AN4</f>
        <v>0.4</v>
      </c>
    </row>
    <row r="5" spans="1:48" ht="12.75" x14ac:dyDescent="0.2">
      <c r="A5" s="47" t="s">
        <v>210</v>
      </c>
      <c r="B5" s="40">
        <v>100</v>
      </c>
      <c r="C5" s="55">
        <v>0.02</v>
      </c>
      <c r="D5" s="132">
        <v>0.04</v>
      </c>
      <c r="E5" s="128">
        <v>0.08</v>
      </c>
      <c r="F5" s="128">
        <v>0.16</v>
      </c>
      <c r="G5" s="128">
        <v>0.01</v>
      </c>
      <c r="H5" s="128"/>
      <c r="I5" s="137" t="s">
        <v>75</v>
      </c>
      <c r="J5" s="137" t="s">
        <v>211</v>
      </c>
      <c r="K5" s="40">
        <v>100</v>
      </c>
      <c r="L5" s="40">
        <v>300</v>
      </c>
      <c r="M5" s="132">
        <v>0.5</v>
      </c>
      <c r="N5" s="128">
        <v>0.25</v>
      </c>
      <c r="O5" s="128">
        <v>0.25</v>
      </c>
      <c r="P5" s="35"/>
      <c r="Q5" s="47" t="s">
        <v>217</v>
      </c>
      <c r="R5" s="47" t="s">
        <v>75</v>
      </c>
      <c r="S5" s="135" t="s">
        <v>211</v>
      </c>
      <c r="T5" s="129">
        <f>K5</f>
        <v>100</v>
      </c>
      <c r="U5" s="43">
        <f>V5/T5</f>
        <v>3</v>
      </c>
      <c r="V5" s="129">
        <f>L5</f>
        <v>300</v>
      </c>
      <c r="W5" s="129">
        <f>T5 * (1 - ABS(C5))</f>
        <v>98</v>
      </c>
      <c r="X5" s="130" t="s">
        <v>34</v>
      </c>
      <c r="Y5" s="130" t="s">
        <v>34</v>
      </c>
      <c r="Z5" s="41"/>
      <c r="AA5" s="129">
        <f>T5</f>
        <v>100</v>
      </c>
      <c r="AB5" s="43">
        <f>AB4+(U5*M5)</f>
        <v>2.5</v>
      </c>
      <c r="AC5" s="131">
        <f>AC4+(V5*M5)</f>
        <v>250</v>
      </c>
      <c r="AD5" s="131">
        <f>T5 * (1 + D5) / (1 - G5)</f>
        <v>105.05050505050505</v>
      </c>
      <c r="AE5" s="132">
        <f>(B5 - AD5) / AD5</f>
        <v>-4.8076923076923087E-2</v>
      </c>
      <c r="AF5" s="43"/>
      <c r="AG5" s="129">
        <f>T5</f>
        <v>100</v>
      </c>
      <c r="AH5" s="43">
        <f>AH4+(U5*N5)</f>
        <v>1.35</v>
      </c>
      <c r="AI5" s="131">
        <f>AI4+(V5*N5)</f>
        <v>135</v>
      </c>
      <c r="AJ5" s="131">
        <f>T5 * (1 + E5) / (1 - G5)</f>
        <v>109.09090909090909</v>
      </c>
      <c r="AK5" s="132">
        <f>(B5 - AJ5) / AJ5</f>
        <v>-8.3333333333333356E-2</v>
      </c>
      <c r="AL5" s="35"/>
      <c r="AM5" s="129">
        <f>T5</f>
        <v>100</v>
      </c>
      <c r="AN5" s="43">
        <f>AN4+(U5*O5)</f>
        <v>1.1499999999999999</v>
      </c>
      <c r="AO5" s="131">
        <f>AO4+(V5*O5)</f>
        <v>115</v>
      </c>
      <c r="AP5" s="131">
        <f>T5 * (1 + F5) / (1 - G5)</f>
        <v>117.17171717171716</v>
      </c>
      <c r="AQ5" s="132">
        <f>(B5 - AP5) / AP5</f>
        <v>-0.14655172413793097</v>
      </c>
      <c r="AR5" s="35"/>
      <c r="AS5" s="39">
        <f>AB5+AH5+AN5</f>
        <v>5</v>
      </c>
      <c r="AT5" s="39">
        <f>AB5</f>
        <v>2.5</v>
      </c>
      <c r="AU5" s="39">
        <f>AH5</f>
        <v>1.35</v>
      </c>
      <c r="AV5" s="39">
        <f>AN5</f>
        <v>1.1499999999999999</v>
      </c>
    </row>
    <row r="6" spans="1:48" ht="12.75" x14ac:dyDescent="0.2">
      <c r="A6" s="47"/>
      <c r="B6" s="40"/>
      <c r="C6" s="55"/>
      <c r="D6" s="132"/>
      <c r="E6" s="128"/>
      <c r="F6" s="128"/>
      <c r="G6" s="128"/>
      <c r="H6" s="128"/>
      <c r="I6" s="137"/>
      <c r="J6" s="137"/>
      <c r="K6" s="40"/>
      <c r="L6" s="40"/>
      <c r="M6" s="132"/>
      <c r="N6" s="128"/>
      <c r="O6" s="128"/>
      <c r="P6" s="35"/>
      <c r="Q6" s="47" t="s">
        <v>216</v>
      </c>
      <c r="R6" s="47" t="s">
        <v>75</v>
      </c>
      <c r="S6" s="135" t="s">
        <v>78</v>
      </c>
      <c r="T6" s="129">
        <f>T4</f>
        <v>100</v>
      </c>
      <c r="U6" s="43">
        <f>U4</f>
        <v>2</v>
      </c>
      <c r="V6" s="129">
        <f>V4</f>
        <v>200</v>
      </c>
      <c r="W6" s="129">
        <f>W4</f>
        <v>98</v>
      </c>
      <c r="X6" s="130"/>
      <c r="Y6" s="130"/>
      <c r="Z6" s="41"/>
      <c r="AA6" s="129"/>
      <c r="AB6" s="43"/>
      <c r="AC6" s="131"/>
      <c r="AD6" s="131"/>
      <c r="AE6" s="132"/>
      <c r="AF6" s="43"/>
      <c r="AG6" s="129"/>
      <c r="AH6" s="43"/>
      <c r="AI6" s="131"/>
      <c r="AJ6" s="131"/>
      <c r="AK6" s="132"/>
      <c r="AL6" s="35"/>
      <c r="AM6" s="129"/>
      <c r="AN6" s="43"/>
      <c r="AO6" s="131"/>
      <c r="AP6" s="131"/>
      <c r="AQ6" s="132"/>
      <c r="AR6" s="35"/>
      <c r="AS6" s="39"/>
      <c r="AT6" s="39"/>
      <c r="AU6" s="39"/>
      <c r="AV6" s="39"/>
    </row>
    <row r="7" spans="1:48" ht="12.75" x14ac:dyDescent="0.2">
      <c r="A7" s="45" t="s">
        <v>201</v>
      </c>
      <c r="B7" s="52">
        <v>120</v>
      </c>
      <c r="C7" s="54">
        <v>0.02</v>
      </c>
      <c r="D7" s="127">
        <v>0.04</v>
      </c>
      <c r="E7" s="97">
        <v>0.08</v>
      </c>
      <c r="F7" s="97">
        <v>0.16</v>
      </c>
      <c r="G7" s="97">
        <v>0.01</v>
      </c>
      <c r="H7" s="97"/>
      <c r="I7" s="136" t="s">
        <v>75</v>
      </c>
      <c r="J7" s="136" t="s">
        <v>215</v>
      </c>
      <c r="K7" s="52">
        <v>120</v>
      </c>
      <c r="L7" s="52">
        <v>400</v>
      </c>
      <c r="M7" s="127">
        <v>0.5</v>
      </c>
      <c r="N7" s="97">
        <v>0.5</v>
      </c>
      <c r="O7" s="97">
        <v>0</v>
      </c>
      <c r="Q7" s="45" t="s">
        <v>218</v>
      </c>
      <c r="R7" s="45" t="s">
        <v>75</v>
      </c>
      <c r="S7" s="133" t="s">
        <v>215</v>
      </c>
      <c r="T7" s="124">
        <f>K7</f>
        <v>120</v>
      </c>
      <c r="U7" s="30">
        <f>V7/T7</f>
        <v>3.3333333333333335</v>
      </c>
      <c r="V7" s="124">
        <f>L7</f>
        <v>400</v>
      </c>
      <c r="W7" s="124">
        <f>T7 * (1 - ABS(C7))</f>
        <v>117.6</v>
      </c>
      <c r="X7" s="125" t="s">
        <v>34</v>
      </c>
      <c r="Y7" s="125" t="s">
        <v>34</v>
      </c>
      <c r="Z7" s="12"/>
      <c r="AA7" s="124">
        <f>T7</f>
        <v>120</v>
      </c>
      <c r="AB7" s="30">
        <f>U7*M7</f>
        <v>1.6666666666666667</v>
      </c>
      <c r="AC7" s="126">
        <f>V7*M7</f>
        <v>200</v>
      </c>
      <c r="AD7" s="126">
        <f>T7 * (1 + D7) / (1 - G7)</f>
        <v>126.06060606060608</v>
      </c>
      <c r="AE7" s="127">
        <f>(B7 - AD7) / AD7</f>
        <v>-4.8076923076923198E-2</v>
      </c>
      <c r="AF7" s="30"/>
      <c r="AG7" s="124">
        <f>T7</f>
        <v>120</v>
      </c>
      <c r="AH7" s="30">
        <f>U7*M7</f>
        <v>1.6666666666666667</v>
      </c>
      <c r="AI7" s="126">
        <f>V7*M7</f>
        <v>200</v>
      </c>
      <c r="AJ7" s="126">
        <f>T7 * (1 + E7) / (1 - G7)</f>
        <v>130.90909090909093</v>
      </c>
      <c r="AK7" s="127">
        <f>(B7 - AJ7) / AJ7</f>
        <v>-8.3333333333333509E-2</v>
      </c>
      <c r="AM7" s="124">
        <v>100</v>
      </c>
      <c r="AN7" s="30">
        <v>1.1499999999999999</v>
      </c>
      <c r="AO7" s="126">
        <v>115</v>
      </c>
      <c r="AP7" s="126">
        <v>117.17171717171716</v>
      </c>
      <c r="AQ7" s="127">
        <f>(B7 - AP7) / AP7</f>
        <v>2.4137931034482842E-2</v>
      </c>
      <c r="AS7" s="32">
        <f>AT7+AU7+AV7</f>
        <v>8.3333333333333339</v>
      </c>
      <c r="AT7" s="32">
        <f>AB8+AB7</f>
        <v>4.166666666666667</v>
      </c>
      <c r="AU7" s="32">
        <f>AH7+AH8</f>
        <v>3.0166666666666666</v>
      </c>
      <c r="AV7" s="32">
        <f>AN7</f>
        <v>1.1499999999999999</v>
      </c>
    </row>
    <row r="8" spans="1:48" ht="12.75" x14ac:dyDescent="0.2">
      <c r="B8" s="52"/>
      <c r="C8" s="97"/>
      <c r="H8" s="97"/>
      <c r="I8" s="97"/>
      <c r="J8" s="97"/>
      <c r="K8" s="52"/>
      <c r="L8" s="52"/>
      <c r="M8" s="97"/>
      <c r="N8" s="97"/>
      <c r="O8" s="97"/>
      <c r="Q8" s="46" t="s">
        <v>217</v>
      </c>
      <c r="R8" s="46" t="s">
        <v>75</v>
      </c>
      <c r="S8" s="133" t="s">
        <v>211</v>
      </c>
      <c r="T8" s="124">
        <f>T5</f>
        <v>100</v>
      </c>
      <c r="U8" s="30">
        <f>U5</f>
        <v>3</v>
      </c>
      <c r="V8" s="124">
        <f>V5</f>
        <v>300</v>
      </c>
      <c r="W8" s="124">
        <f>W5</f>
        <v>98</v>
      </c>
      <c r="X8" s="125" t="s">
        <v>34</v>
      </c>
      <c r="Y8" s="125" t="s">
        <v>34</v>
      </c>
      <c r="Z8" s="12"/>
      <c r="AA8" s="124">
        <f>AA5</f>
        <v>100</v>
      </c>
      <c r="AB8" s="30">
        <f>AB5</f>
        <v>2.5</v>
      </c>
      <c r="AC8" s="126">
        <f>AC5</f>
        <v>250</v>
      </c>
      <c r="AD8" s="126">
        <f>AD5</f>
        <v>105.05050505050505</v>
      </c>
      <c r="AE8" s="127">
        <f>(B7 - AD8) / AD8</f>
        <v>0.1423076923076923</v>
      </c>
      <c r="AF8" s="30"/>
      <c r="AG8" s="63">
        <f>AG5</f>
        <v>100</v>
      </c>
      <c r="AH8" s="32">
        <f>AH5</f>
        <v>1.35</v>
      </c>
      <c r="AI8" s="63">
        <f>AI5</f>
        <v>135</v>
      </c>
      <c r="AJ8" s="63">
        <f>AJ5</f>
        <v>109.09090909090909</v>
      </c>
      <c r="AK8" s="54">
        <f>(B10 - AJ8) / AJ8</f>
        <v>9.9999999999999978E-2</v>
      </c>
      <c r="AM8" s="125" t="s">
        <v>34</v>
      </c>
      <c r="AN8" s="138" t="s">
        <v>34</v>
      </c>
      <c r="AO8" s="138" t="s">
        <v>34</v>
      </c>
      <c r="AP8" s="138" t="s">
        <v>34</v>
      </c>
      <c r="AQ8" s="138" t="s">
        <v>34</v>
      </c>
    </row>
    <row r="9" spans="1:48" ht="12.75" x14ac:dyDescent="0.2">
      <c r="B9" s="52"/>
      <c r="C9" s="97"/>
      <c r="D9" s="29"/>
      <c r="E9" s="50"/>
      <c r="G9" s="50"/>
      <c r="H9" s="50"/>
      <c r="I9" s="50"/>
      <c r="J9" s="50"/>
      <c r="K9" s="52"/>
      <c r="L9" s="52"/>
      <c r="M9" s="50"/>
      <c r="N9" s="50"/>
      <c r="O9" s="50"/>
      <c r="Q9" s="46" t="s">
        <v>216</v>
      </c>
      <c r="R9" s="46" t="s">
        <v>75</v>
      </c>
      <c r="S9" s="133" t="s">
        <v>78</v>
      </c>
      <c r="T9" s="124">
        <f>T4</f>
        <v>100</v>
      </c>
      <c r="U9" s="30">
        <f>U4</f>
        <v>2</v>
      </c>
      <c r="V9" s="124">
        <f>V4</f>
        <v>200</v>
      </c>
      <c r="W9" s="124">
        <f>W4</f>
        <v>98</v>
      </c>
      <c r="X9" s="125" t="s">
        <v>34</v>
      </c>
      <c r="Y9" s="125" t="s">
        <v>34</v>
      </c>
      <c r="Z9" s="12"/>
      <c r="AA9" s="63"/>
      <c r="AF9" s="30"/>
      <c r="AG9" s="13"/>
      <c r="AH9" s="13"/>
      <c r="AI9" s="13"/>
      <c r="AJ9" s="13"/>
      <c r="AK9" s="30"/>
      <c r="AM9" s="124"/>
      <c r="AN9" s="13"/>
      <c r="AO9" s="13"/>
      <c r="AP9" s="13"/>
      <c r="AQ9" s="30"/>
    </row>
    <row r="10" spans="1:48" ht="12.75" x14ac:dyDescent="0.2">
      <c r="A10" s="47" t="s">
        <v>212</v>
      </c>
      <c r="B10" s="40">
        <v>120</v>
      </c>
      <c r="C10" s="55">
        <v>0.02</v>
      </c>
      <c r="D10" s="132">
        <v>0.04</v>
      </c>
      <c r="E10" s="128">
        <v>0.08</v>
      </c>
      <c r="F10" s="128">
        <v>0.16</v>
      </c>
      <c r="G10" s="128">
        <v>0.01</v>
      </c>
      <c r="H10" s="35"/>
      <c r="I10" s="35" t="s">
        <v>75</v>
      </c>
      <c r="J10" s="35" t="s">
        <v>78</v>
      </c>
      <c r="K10" s="40">
        <v>130</v>
      </c>
      <c r="L10" s="40">
        <v>600</v>
      </c>
      <c r="M10" s="132">
        <v>0.4</v>
      </c>
      <c r="N10" s="128">
        <v>0.5</v>
      </c>
      <c r="O10" s="128">
        <v>0.1</v>
      </c>
      <c r="P10" s="35"/>
      <c r="Q10" s="41" t="s">
        <v>218</v>
      </c>
      <c r="R10" s="41" t="s">
        <v>75</v>
      </c>
      <c r="S10" s="41" t="s">
        <v>215</v>
      </c>
      <c r="T10" s="139">
        <f t="shared" ref="T10:W11" si="0">T7</f>
        <v>120</v>
      </c>
      <c r="U10" s="140">
        <f t="shared" si="0"/>
        <v>3.3333333333333335</v>
      </c>
      <c r="V10" s="139">
        <f t="shared" si="0"/>
        <v>400</v>
      </c>
      <c r="W10" s="139">
        <f>W7</f>
        <v>117.6</v>
      </c>
      <c r="X10" s="130" t="s">
        <v>34</v>
      </c>
      <c r="Y10" s="130" t="s">
        <v>34</v>
      </c>
      <c r="Z10" s="41"/>
      <c r="AA10" s="146">
        <f>T12</f>
        <v>130</v>
      </c>
      <c r="AB10" s="145">
        <f>U12*M10</f>
        <v>1.846153846153846</v>
      </c>
      <c r="AC10" s="146">
        <f>V12*M10</f>
        <v>240</v>
      </c>
      <c r="AD10" s="146">
        <f>T12 * (1 + D10) / (1 - G10)</f>
        <v>136.56565656565658</v>
      </c>
      <c r="AE10" s="147">
        <f>(B10 - AD10) / AD10</f>
        <v>-0.1213017751479291</v>
      </c>
      <c r="AF10" s="145"/>
      <c r="AG10" s="146">
        <f>T12</f>
        <v>130</v>
      </c>
      <c r="AH10" s="145">
        <f>U12*N10</f>
        <v>2.3076923076923075</v>
      </c>
      <c r="AI10" s="146">
        <f>V12*N10</f>
        <v>300</v>
      </c>
      <c r="AJ10" s="146">
        <f>T12 * (1 + E10) / (1 - G10)</f>
        <v>141.81818181818181</v>
      </c>
      <c r="AK10" s="147">
        <f>(B10 - AJ10) / AJ10</f>
        <v>-0.15384615384615383</v>
      </c>
      <c r="AL10" s="47"/>
      <c r="AM10" s="146">
        <f>T12</f>
        <v>130</v>
      </c>
      <c r="AN10" s="145">
        <f>U12*O10</f>
        <v>0.46153846153846151</v>
      </c>
      <c r="AO10" s="146">
        <f>V12*O10</f>
        <v>60</v>
      </c>
      <c r="AP10" s="146">
        <f>T12 * (1 + F10) / (1 - G10)</f>
        <v>152.3232323232323</v>
      </c>
      <c r="AQ10" s="132">
        <f>(B10 - AP10) / AP10</f>
        <v>-0.21220159151193624</v>
      </c>
      <c r="AR10" s="47"/>
      <c r="AS10" s="149">
        <f>AT10+AU10+AV10</f>
        <v>10.948717948717949</v>
      </c>
      <c r="AT10" s="149">
        <f>AB10+AB11+AB12</f>
        <v>5.0128205128205128</v>
      </c>
      <c r="AU10" s="149">
        <f>AH10+AH11+AH12</f>
        <v>4.7243589743589745</v>
      </c>
      <c r="AV10" s="149">
        <f>AN10+AN12</f>
        <v>1.2115384615384615</v>
      </c>
    </row>
    <row r="11" spans="1:48" ht="12.75" x14ac:dyDescent="0.2">
      <c r="A11" s="45"/>
      <c r="B11" s="52"/>
      <c r="C11" s="97"/>
      <c r="D11" s="127"/>
      <c r="E11" s="97"/>
      <c r="F11" s="97"/>
      <c r="G11" s="97"/>
      <c r="K11" s="52"/>
      <c r="L11" s="52"/>
      <c r="M11" s="127"/>
      <c r="N11" s="97"/>
      <c r="O11" s="97"/>
      <c r="Q11" s="41" t="s">
        <v>217</v>
      </c>
      <c r="R11" s="41" t="s">
        <v>75</v>
      </c>
      <c r="S11" s="41" t="s">
        <v>211</v>
      </c>
      <c r="T11" s="139">
        <f t="shared" si="0"/>
        <v>100</v>
      </c>
      <c r="U11" s="140">
        <f t="shared" si="0"/>
        <v>3</v>
      </c>
      <c r="V11" s="139">
        <f t="shared" si="0"/>
        <v>300</v>
      </c>
      <c r="W11" s="139">
        <f>W8</f>
        <v>98</v>
      </c>
      <c r="X11" s="130" t="s">
        <v>34</v>
      </c>
      <c r="Y11" s="130" t="s">
        <v>34</v>
      </c>
      <c r="Z11" s="41"/>
      <c r="AA11" s="146">
        <f>T10</f>
        <v>120</v>
      </c>
      <c r="AB11" s="145">
        <f>AB7</f>
        <v>1.6666666666666667</v>
      </c>
      <c r="AC11" s="146">
        <f>AC7</f>
        <v>200</v>
      </c>
      <c r="AD11" s="131">
        <f>AD7</f>
        <v>126.06060606060608</v>
      </c>
      <c r="AE11" s="132">
        <f>AE7</f>
        <v>-4.8076923076923198E-2</v>
      </c>
      <c r="AF11" s="145"/>
      <c r="AG11" s="146">
        <f>AG7</f>
        <v>120</v>
      </c>
      <c r="AH11" s="145">
        <f>AH7</f>
        <v>1.6666666666666667</v>
      </c>
      <c r="AI11" s="146">
        <f>AI7</f>
        <v>200</v>
      </c>
      <c r="AJ11" s="146">
        <f>AJ7</f>
        <v>130.90909090909093</v>
      </c>
      <c r="AK11" s="132">
        <f>AK7</f>
        <v>-8.3333333333333509E-2</v>
      </c>
      <c r="AL11" s="47"/>
      <c r="AM11" s="130" t="s">
        <v>34</v>
      </c>
      <c r="AN11" s="148" t="s">
        <v>34</v>
      </c>
      <c r="AO11" s="148" t="s">
        <v>34</v>
      </c>
      <c r="AP11" s="148" t="s">
        <v>34</v>
      </c>
      <c r="AQ11" s="148" t="s">
        <v>34</v>
      </c>
      <c r="AR11" s="47"/>
      <c r="AS11" s="47"/>
      <c r="AT11" s="149"/>
      <c r="AU11" s="149"/>
      <c r="AV11" s="149"/>
    </row>
    <row r="12" spans="1:48" ht="12.75" x14ac:dyDescent="0.2">
      <c r="A12" s="45"/>
      <c r="B12" s="52"/>
      <c r="C12" s="97"/>
      <c r="D12" s="127"/>
      <c r="E12" s="97"/>
      <c r="F12" s="97"/>
      <c r="G12" s="97"/>
      <c r="K12" s="52"/>
      <c r="L12" s="52"/>
      <c r="M12" s="127"/>
      <c r="N12" s="97"/>
      <c r="O12" s="97"/>
      <c r="Q12" s="41" t="s">
        <v>216</v>
      </c>
      <c r="R12" s="41" t="s">
        <v>75</v>
      </c>
      <c r="S12" s="41" t="s">
        <v>78</v>
      </c>
      <c r="T12" s="139">
        <f>K10</f>
        <v>130</v>
      </c>
      <c r="U12" s="140">
        <f>V12/T12</f>
        <v>4.615384615384615</v>
      </c>
      <c r="V12" s="139">
        <f>L10</f>
        <v>600</v>
      </c>
      <c r="W12" s="139">
        <f>T12 * (1 - ABS(C10))</f>
        <v>127.39999999999999</v>
      </c>
      <c r="X12" s="130" t="s">
        <v>34</v>
      </c>
      <c r="Y12" s="130" t="s">
        <v>34</v>
      </c>
      <c r="Z12" s="41"/>
      <c r="AA12" s="146">
        <f>T11</f>
        <v>100</v>
      </c>
      <c r="AB12" s="145">
        <f>AB8-AB4</f>
        <v>1.5</v>
      </c>
      <c r="AC12" s="146">
        <f>V11*M5</f>
        <v>150</v>
      </c>
      <c r="AD12" s="131">
        <f>T11 * (1 + D10) / (1 - G10)</f>
        <v>105.05050505050505</v>
      </c>
      <c r="AE12" s="132">
        <f>AE8</f>
        <v>0.1423076923076923</v>
      </c>
      <c r="AF12" s="145"/>
      <c r="AG12" s="146">
        <f>T11</f>
        <v>100</v>
      </c>
      <c r="AH12" s="145">
        <f>U11*N5</f>
        <v>0.75</v>
      </c>
      <c r="AI12" s="146">
        <f>V11*N5</f>
        <v>75</v>
      </c>
      <c r="AJ12" s="146">
        <f>T11 * (1 + E10) / (1 - G10)</f>
        <v>109.09090909090909</v>
      </c>
      <c r="AK12" s="55">
        <f>(B10 - AJ12) / AJ12</f>
        <v>9.9999999999999978E-2</v>
      </c>
      <c r="AL12" s="47"/>
      <c r="AM12" s="146">
        <f>T11</f>
        <v>100</v>
      </c>
      <c r="AN12" s="145">
        <f>U11*O5</f>
        <v>0.75</v>
      </c>
      <c r="AO12" s="146">
        <f>V11*O5</f>
        <v>75</v>
      </c>
      <c r="AP12" s="146">
        <f>T11 * (1 + F10) / (1 - G10)</f>
        <v>117.17171717171716</v>
      </c>
      <c r="AQ12" s="132">
        <f>(B10 - AP12) / AP12</f>
        <v>2.4137931034482842E-2</v>
      </c>
      <c r="AR12" s="47"/>
      <c r="AS12" s="47"/>
      <c r="AT12" s="149"/>
      <c r="AU12" s="149"/>
      <c r="AV12" s="149"/>
    </row>
    <row r="13" spans="1:48" ht="12.75" x14ac:dyDescent="0.2">
      <c r="A13" s="45" t="s">
        <v>213</v>
      </c>
      <c r="B13" s="52">
        <v>90</v>
      </c>
      <c r="C13" s="54">
        <v>0.02</v>
      </c>
      <c r="D13" s="127">
        <v>0.04</v>
      </c>
      <c r="E13" s="97">
        <v>0.08</v>
      </c>
      <c r="F13" s="97">
        <v>0.16</v>
      </c>
      <c r="G13" s="97">
        <v>0.01</v>
      </c>
      <c r="I13" s="150" t="s">
        <v>75</v>
      </c>
      <c r="J13" s="150" t="s">
        <v>78</v>
      </c>
      <c r="K13" s="151">
        <v>130</v>
      </c>
      <c r="L13" s="151">
        <v>600</v>
      </c>
      <c r="M13" s="152">
        <v>0.4</v>
      </c>
      <c r="N13" s="153">
        <v>0.5</v>
      </c>
      <c r="O13" s="153">
        <v>0.1</v>
      </c>
      <c r="Q13" s="12" t="s">
        <v>218</v>
      </c>
      <c r="R13" s="46" t="s">
        <v>75</v>
      </c>
      <c r="S13" s="12" t="str">
        <f t="shared" ref="S13:W14" si="1">S10</f>
        <v>Entry Target</v>
      </c>
      <c r="T13" s="141">
        <f t="shared" si="1"/>
        <v>120</v>
      </c>
      <c r="U13" s="142">
        <f t="shared" si="1"/>
        <v>3.3333333333333335</v>
      </c>
      <c r="V13" s="141">
        <f t="shared" si="1"/>
        <v>400</v>
      </c>
      <c r="W13" s="141">
        <f t="shared" si="1"/>
        <v>117.6</v>
      </c>
      <c r="X13" s="125" t="s">
        <v>34</v>
      </c>
      <c r="Y13" s="125" t="s">
        <v>34</v>
      </c>
      <c r="Z13" s="12"/>
      <c r="AA13" s="124">
        <f>T13</f>
        <v>120</v>
      </c>
      <c r="AB13" s="30">
        <f>U13*M7</f>
        <v>1.6666666666666667</v>
      </c>
      <c r="AC13" s="126">
        <f>V13*M7</f>
        <v>200</v>
      </c>
      <c r="AD13" s="126">
        <f>T13 * (1 + D13) / (1 - G13)</f>
        <v>126.06060606060608</v>
      </c>
      <c r="AE13" s="127">
        <f>(B13 - AD13) / AD13</f>
        <v>-0.2860576923076924</v>
      </c>
      <c r="AF13" s="144"/>
      <c r="AG13" s="124">
        <f>T13</f>
        <v>120</v>
      </c>
      <c r="AH13" s="30">
        <f>U13*N7</f>
        <v>1.6666666666666667</v>
      </c>
      <c r="AI13" s="126">
        <f>V13*N7</f>
        <v>200</v>
      </c>
      <c r="AJ13" s="126">
        <f>T13 * (1 + E13) / (1 - G13)</f>
        <v>130.90909090909093</v>
      </c>
      <c r="AK13" s="127">
        <f>(B13 - AJ13) / AJ13</f>
        <v>-0.31250000000000011</v>
      </c>
      <c r="AM13" s="125" t="s">
        <v>34</v>
      </c>
      <c r="AN13" s="138" t="s">
        <v>34</v>
      </c>
      <c r="AO13" s="138" t="s">
        <v>34</v>
      </c>
      <c r="AP13" s="138" t="s">
        <v>34</v>
      </c>
      <c r="AQ13" s="138" t="s">
        <v>34</v>
      </c>
      <c r="AS13" s="32">
        <f>AT13+AU13+AV13</f>
        <v>6.3333333333333339</v>
      </c>
      <c r="AT13" s="32">
        <f>AB13+AB14</f>
        <v>3.166666666666667</v>
      </c>
      <c r="AU13" s="32">
        <f>AH13+AH14</f>
        <v>2.416666666666667</v>
      </c>
      <c r="AV13" s="32">
        <f>AN14</f>
        <v>0.75</v>
      </c>
    </row>
    <row r="14" spans="1:48" ht="12.75" x14ac:dyDescent="0.2">
      <c r="A14" s="45"/>
      <c r="B14" s="33"/>
      <c r="C14" s="68"/>
      <c r="D14" s="127"/>
      <c r="E14" s="97"/>
      <c r="F14" s="97"/>
      <c r="G14" s="97"/>
      <c r="K14" s="33"/>
      <c r="L14" s="33"/>
      <c r="M14" s="127"/>
      <c r="N14" s="97"/>
      <c r="O14" s="97"/>
      <c r="Q14" s="12" t="s">
        <v>217</v>
      </c>
      <c r="R14" s="12" t="str">
        <f>R11</f>
        <v>Buy</v>
      </c>
      <c r="S14" s="12" t="str">
        <f t="shared" si="1"/>
        <v>Custom</v>
      </c>
      <c r="T14" s="141">
        <f t="shared" si="1"/>
        <v>100</v>
      </c>
      <c r="U14" s="142">
        <f t="shared" si="1"/>
        <v>3</v>
      </c>
      <c r="V14" s="141">
        <f t="shared" si="1"/>
        <v>300</v>
      </c>
      <c r="W14" s="141">
        <f t="shared" si="1"/>
        <v>98</v>
      </c>
      <c r="X14" s="125" t="s">
        <v>34</v>
      </c>
      <c r="Y14" s="125" t="s">
        <v>34</v>
      </c>
      <c r="Z14" s="12"/>
      <c r="AA14" s="124">
        <f>T14</f>
        <v>100</v>
      </c>
      <c r="AB14" s="30">
        <f>U14*M4</f>
        <v>1.5</v>
      </c>
      <c r="AC14" s="126">
        <f>V14*M4</f>
        <v>150</v>
      </c>
      <c r="AD14" s="126">
        <f>T14 * (1 + D13) / (1 - G13)</f>
        <v>105.05050505050505</v>
      </c>
      <c r="AE14" s="127">
        <f>(B13 - AD14) / AD14</f>
        <v>-0.14326923076923079</v>
      </c>
      <c r="AF14" s="144"/>
      <c r="AG14" s="63">
        <f>T14</f>
        <v>100</v>
      </c>
      <c r="AH14" s="32">
        <f>U14*N5</f>
        <v>0.75</v>
      </c>
      <c r="AI14" s="63">
        <f>V14*N5</f>
        <v>75</v>
      </c>
      <c r="AJ14" s="63">
        <f>AJ12</f>
        <v>109.09090909090909</v>
      </c>
      <c r="AK14" s="54">
        <f>(B13 - AJ14) / AJ14</f>
        <v>-0.17500000000000002</v>
      </c>
      <c r="AM14" s="124">
        <f>T14</f>
        <v>100</v>
      </c>
      <c r="AN14" s="30">
        <f>U14*O5</f>
        <v>0.75</v>
      </c>
      <c r="AO14" s="126">
        <f>V14*O5</f>
        <v>75</v>
      </c>
      <c r="AP14" s="126">
        <v>117.17171717171716</v>
      </c>
      <c r="AQ14" s="127">
        <f>(B13 - AP14) / AP14</f>
        <v>-0.23189655172413787</v>
      </c>
    </row>
    <row r="15" spans="1:48" ht="12.75" x14ac:dyDescent="0.2">
      <c r="A15" s="45"/>
      <c r="B15" s="33"/>
      <c r="C15" s="68"/>
      <c r="D15" s="127"/>
      <c r="E15" s="97"/>
      <c r="F15" s="97"/>
      <c r="G15" s="97"/>
      <c r="K15" s="33"/>
      <c r="L15" s="33"/>
      <c r="M15" s="127"/>
      <c r="N15" s="97"/>
      <c r="O15" s="97"/>
      <c r="Q15" s="12"/>
      <c r="R15" s="12"/>
      <c r="S15" s="12"/>
      <c r="T15" s="141"/>
      <c r="U15" s="142"/>
      <c r="V15" s="141"/>
      <c r="W15" s="141"/>
      <c r="X15" s="12"/>
      <c r="Y15" s="12"/>
      <c r="Z15" s="12"/>
      <c r="AA15" s="143"/>
      <c r="AB15" s="143"/>
      <c r="AC15" s="143"/>
      <c r="AD15" s="143"/>
      <c r="AE15" s="144"/>
      <c r="AF15" s="144"/>
      <c r="AG15" s="143"/>
      <c r="AH15" s="143"/>
      <c r="AI15" s="143"/>
      <c r="AJ15" s="143"/>
      <c r="AK15" s="144"/>
      <c r="AM15" s="143"/>
      <c r="AN15" s="143"/>
      <c r="AO15" s="143"/>
      <c r="AP15" s="143"/>
      <c r="AQ15" s="144"/>
    </row>
    <row r="16" spans="1:48" ht="12.75" x14ac:dyDescent="0.2">
      <c r="A16" s="45"/>
      <c r="B16" s="33"/>
      <c r="C16" s="68"/>
      <c r="D16" s="127"/>
      <c r="E16" s="97"/>
      <c r="F16" s="97"/>
      <c r="G16" s="97"/>
      <c r="K16" s="33"/>
      <c r="L16" s="33"/>
      <c r="M16" s="127"/>
      <c r="N16" s="97"/>
      <c r="O16" s="97"/>
      <c r="Q16" s="12"/>
      <c r="R16" s="12"/>
      <c r="S16" s="12"/>
      <c r="T16" s="141"/>
      <c r="U16" s="142"/>
      <c r="V16" s="141"/>
      <c r="W16" s="141"/>
      <c r="X16" s="12"/>
      <c r="Y16" s="12"/>
      <c r="Z16" s="12"/>
      <c r="AA16" s="143"/>
      <c r="AB16" s="143"/>
      <c r="AC16" s="143"/>
      <c r="AD16" s="143"/>
      <c r="AE16" s="144"/>
      <c r="AF16" s="144"/>
      <c r="AG16" s="143"/>
      <c r="AH16" s="143"/>
      <c r="AI16" s="143"/>
      <c r="AJ16" s="143"/>
      <c r="AK16" s="144"/>
      <c r="AM16" s="143"/>
      <c r="AN16" s="143"/>
      <c r="AO16" s="143"/>
      <c r="AP16" s="143"/>
      <c r="AQ16" s="144"/>
    </row>
    <row r="17" spans="1:62" ht="409.5" x14ac:dyDescent="0.2">
      <c r="A17" s="155" t="s">
        <v>219</v>
      </c>
      <c r="B17" s="33"/>
      <c r="C17" s="68"/>
      <c r="D17" s="127"/>
      <c r="E17" s="97"/>
      <c r="F17" s="97"/>
      <c r="G17" s="97"/>
      <c r="K17" s="33"/>
      <c r="L17" s="33"/>
      <c r="M17" s="127"/>
      <c r="N17" s="97"/>
      <c r="O17" s="97"/>
      <c r="Q17" s="12"/>
      <c r="R17" s="12"/>
      <c r="S17" s="12"/>
      <c r="T17" s="141"/>
      <c r="U17" s="142"/>
      <c r="V17" s="141"/>
      <c r="W17" s="141"/>
      <c r="X17" s="12"/>
      <c r="Y17" s="12"/>
      <c r="Z17" s="12"/>
      <c r="AA17" s="143"/>
      <c r="AB17" s="143"/>
      <c r="AC17" s="143"/>
      <c r="AD17" s="143"/>
      <c r="AE17" s="144"/>
      <c r="AF17" s="144"/>
      <c r="AG17" s="143"/>
      <c r="AH17" s="143"/>
      <c r="AI17" s="143"/>
      <c r="AJ17" s="143"/>
      <c r="AK17" s="144"/>
      <c r="AM17" s="143"/>
      <c r="AN17" s="143"/>
      <c r="AO17" s="143"/>
      <c r="AP17" s="143"/>
      <c r="AQ17" s="144"/>
    </row>
    <row r="18" spans="1:62" ht="12.75" x14ac:dyDescent="0.2">
      <c r="A18" s="45"/>
      <c r="B18" s="33"/>
      <c r="C18" s="68"/>
      <c r="D18" s="127"/>
      <c r="E18" s="97"/>
      <c r="F18" s="97"/>
      <c r="G18" s="97"/>
      <c r="K18" s="33"/>
      <c r="L18" s="33"/>
      <c r="M18" s="127"/>
      <c r="N18" s="97"/>
      <c r="O18" s="97"/>
      <c r="Q18" s="12"/>
      <c r="R18" s="12"/>
      <c r="S18" s="12"/>
      <c r="T18" s="141"/>
      <c r="U18" s="142"/>
      <c r="V18" s="141"/>
      <c r="W18" s="141"/>
      <c r="X18" s="12"/>
      <c r="Y18" s="12"/>
      <c r="Z18" s="12"/>
      <c r="AA18" s="143"/>
      <c r="AB18" s="143"/>
      <c r="AC18" s="143"/>
      <c r="AD18" s="143"/>
      <c r="AE18" s="144"/>
      <c r="AF18" s="144"/>
      <c r="AG18" s="143"/>
      <c r="AH18" s="143"/>
      <c r="AI18" s="143"/>
      <c r="AJ18" s="143"/>
      <c r="AK18" s="144"/>
      <c r="AM18" s="143"/>
      <c r="AN18" s="143"/>
      <c r="AO18" s="143"/>
      <c r="AP18" s="143"/>
      <c r="AQ18" s="144"/>
    </row>
    <row r="19" spans="1:62" ht="12.75" x14ac:dyDescent="0.2"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3"/>
      <c r="AB19" s="13"/>
      <c r="AC19" s="13"/>
      <c r="AD19" s="13"/>
      <c r="AE19" s="30"/>
      <c r="AF19" s="30"/>
      <c r="AG19" s="13"/>
      <c r="AH19" s="13"/>
      <c r="AI19" s="13"/>
      <c r="AJ19" s="13"/>
      <c r="AK19" s="30"/>
      <c r="AM19" s="13"/>
      <c r="AN19" s="13"/>
      <c r="AO19" s="13"/>
      <c r="AP19" s="13"/>
      <c r="AQ19" s="30"/>
    </row>
    <row r="21" spans="1:62" ht="15.75" customHeight="1" x14ac:dyDescent="0.2">
      <c r="B21" s="66" t="s">
        <v>31</v>
      </c>
      <c r="C21" s="34"/>
      <c r="AA21" s="56" t="s">
        <v>27</v>
      </c>
      <c r="AB21" s="12"/>
      <c r="AC21" s="12"/>
      <c r="AD21" s="12"/>
      <c r="AE21" s="12"/>
      <c r="AF21" s="12"/>
      <c r="AG21" s="56" t="s">
        <v>28</v>
      </c>
      <c r="AH21" s="12"/>
      <c r="AI21" s="12"/>
      <c r="AJ21" s="12"/>
      <c r="AK21" s="12"/>
      <c r="AQ21" s="34" t="s">
        <v>52</v>
      </c>
      <c r="AW21" s="34" t="s">
        <v>53</v>
      </c>
      <c r="BD21" s="34" t="s">
        <v>65</v>
      </c>
    </row>
    <row r="22" spans="1:62" ht="15.75" customHeight="1" x14ac:dyDescent="0.2">
      <c r="B22" s="28" t="s">
        <v>61</v>
      </c>
      <c r="C22" s="28"/>
      <c r="D22" s="28" t="s">
        <v>29</v>
      </c>
      <c r="E22" s="57" t="s">
        <v>63</v>
      </c>
      <c r="F22" s="57" t="s">
        <v>72</v>
      </c>
      <c r="G22" s="57"/>
      <c r="H22" s="103"/>
      <c r="I22" s="103"/>
      <c r="J22" s="103"/>
      <c r="K22" s="103"/>
      <c r="L22" s="103"/>
      <c r="M22" s="103"/>
      <c r="N22" s="103"/>
      <c r="O22" s="103"/>
      <c r="Q22" s="28" t="s">
        <v>3</v>
      </c>
      <c r="R22" s="28"/>
      <c r="S22" s="57" t="s">
        <v>50</v>
      </c>
      <c r="T22" s="57" t="s">
        <v>70</v>
      </c>
      <c r="U22" s="28" t="s">
        <v>1</v>
      </c>
      <c r="V22" s="57" t="s">
        <v>62</v>
      </c>
      <c r="W22" s="57" t="s">
        <v>9</v>
      </c>
      <c r="X22" s="57"/>
      <c r="AA22" s="28" t="s">
        <v>30</v>
      </c>
      <c r="AB22" s="28" t="s">
        <v>1</v>
      </c>
      <c r="AC22" s="57" t="s">
        <v>10</v>
      </c>
      <c r="AD22" s="57"/>
      <c r="AE22" s="57" t="s">
        <v>64</v>
      </c>
      <c r="AF22" s="60"/>
      <c r="AG22" s="28" t="s">
        <v>30</v>
      </c>
      <c r="AH22" s="28" t="s">
        <v>1</v>
      </c>
      <c r="AI22" s="57" t="s">
        <v>10</v>
      </c>
      <c r="AJ22" s="57"/>
      <c r="AK22" s="57" t="s">
        <v>64</v>
      </c>
      <c r="AL22" s="28" t="s">
        <v>58</v>
      </c>
      <c r="AM22" s="28"/>
      <c r="AN22" s="28" t="s">
        <v>59</v>
      </c>
      <c r="AO22" s="28" t="s">
        <v>60</v>
      </c>
      <c r="AQ22" s="61" t="s">
        <v>54</v>
      </c>
      <c r="AR22" s="61" t="s">
        <v>57</v>
      </c>
      <c r="AS22" s="61" t="s">
        <v>55</v>
      </c>
      <c r="AT22" s="61" t="s">
        <v>57</v>
      </c>
      <c r="AU22" s="61" t="s">
        <v>56</v>
      </c>
      <c r="AV22" s="61" t="s">
        <v>57</v>
      </c>
      <c r="AW22" s="28" t="s">
        <v>54</v>
      </c>
      <c r="AX22" s="28" t="s">
        <v>57</v>
      </c>
      <c r="AY22" s="28" t="s">
        <v>55</v>
      </c>
      <c r="AZ22" s="28" t="s">
        <v>57</v>
      </c>
      <c r="BA22" s="28" t="s">
        <v>56</v>
      </c>
      <c r="BB22" s="28" t="s">
        <v>57</v>
      </c>
      <c r="BC22" s="60"/>
      <c r="BD22" s="61" t="s">
        <v>54</v>
      </c>
      <c r="BE22" s="61" t="s">
        <v>57</v>
      </c>
      <c r="BF22" s="61" t="s">
        <v>55</v>
      </c>
      <c r="BG22" s="61" t="s">
        <v>57</v>
      </c>
      <c r="BH22" s="61" t="s">
        <v>66</v>
      </c>
      <c r="BI22" s="61" t="s">
        <v>56</v>
      </c>
      <c r="BJ22" s="61" t="s">
        <v>57</v>
      </c>
    </row>
    <row r="23" spans="1:62" ht="15.75" customHeight="1" x14ac:dyDescent="0.2">
      <c r="B23" s="33">
        <v>100</v>
      </c>
      <c r="C23" s="33"/>
      <c r="D23" s="29">
        <v>0.7</v>
      </c>
      <c r="E23" s="50">
        <v>5</v>
      </c>
      <c r="F23">
        <v>10</v>
      </c>
      <c r="Q23" s="12" t="s">
        <v>32</v>
      </c>
      <c r="R23" s="12"/>
      <c r="S23" s="13"/>
      <c r="T23" s="13"/>
      <c r="U23" s="13">
        <v>200</v>
      </c>
      <c r="V23" s="58" t="e">
        <f>U23/#REF!</f>
        <v>#REF!</v>
      </c>
      <c r="W23" s="58"/>
      <c r="X23" s="58"/>
      <c r="AA23" s="31" t="e">
        <f>#REF!</f>
        <v>#REF!</v>
      </c>
      <c r="AB23" s="31">
        <f>U23*D23</f>
        <v>140</v>
      </c>
      <c r="AC23" s="63" t="e">
        <f>(#REF!+(#REF!*(F23/100)))/(1-#REF!/100)</f>
        <v>#REF!</v>
      </c>
      <c r="AD23" s="63"/>
      <c r="AE23" s="32" t="e">
        <f>AB23/AA23</f>
        <v>#REF!</v>
      </c>
      <c r="AF23" s="32"/>
      <c r="AG23" s="31" t="e">
        <f>#REF!</f>
        <v>#REF!</v>
      </c>
      <c r="AH23" s="31">
        <f>U23*(1-D23)</f>
        <v>60.000000000000007</v>
      </c>
      <c r="AI23" s="63" t="e">
        <f>(#REF!+(#REF!*(F23/100)))/(1-#REF!/100)</f>
        <v>#REF!</v>
      </c>
      <c r="AJ23" s="63"/>
      <c r="AK23" s="32" t="e">
        <f>AH23/AG23</f>
        <v>#REF!</v>
      </c>
      <c r="AL23" s="32" t="e">
        <f>AE23</f>
        <v>#REF!</v>
      </c>
      <c r="AM23" s="32"/>
      <c r="AN23" s="32" t="e">
        <f>AK23</f>
        <v>#REF!</v>
      </c>
      <c r="AO23" s="32" t="e">
        <f>AL23+AN23</f>
        <v>#REF!</v>
      </c>
      <c r="AQ23" s="52">
        <v>0</v>
      </c>
      <c r="AR23" s="50">
        <v>0</v>
      </c>
      <c r="AS23" s="52">
        <v>0</v>
      </c>
      <c r="AT23" s="50">
        <v>0</v>
      </c>
      <c r="AU23" s="52">
        <v>0</v>
      </c>
      <c r="AV23" s="54">
        <v>0</v>
      </c>
      <c r="AW23" s="52">
        <v>0</v>
      </c>
      <c r="AX23" s="50">
        <v>0</v>
      </c>
      <c r="AY23" s="52">
        <v>0</v>
      </c>
      <c r="AZ23" s="50">
        <v>0</v>
      </c>
      <c r="BA23" s="52">
        <v>0</v>
      </c>
      <c r="BB23" s="50">
        <v>0</v>
      </c>
      <c r="BC23" s="50"/>
      <c r="BD23" s="52">
        <v>0</v>
      </c>
      <c r="BE23" s="50">
        <v>0</v>
      </c>
      <c r="BF23" s="52">
        <v>0</v>
      </c>
      <c r="BG23" s="50">
        <v>0</v>
      </c>
      <c r="BH23" s="52">
        <v>0</v>
      </c>
      <c r="BI23" s="52">
        <v>0</v>
      </c>
      <c r="BJ23" s="50">
        <v>0</v>
      </c>
    </row>
    <row r="24" spans="1:62" ht="15.75" customHeight="1" x14ac:dyDescent="0.2">
      <c r="B24" s="36">
        <v>100</v>
      </c>
      <c r="C24" s="36"/>
      <c r="D24" s="37">
        <v>0.7</v>
      </c>
      <c r="E24" s="51">
        <v>5</v>
      </c>
      <c r="F24" s="35">
        <v>10</v>
      </c>
      <c r="G24" s="35"/>
      <c r="Q24" s="41" t="s">
        <v>51</v>
      </c>
      <c r="R24" s="41"/>
      <c r="S24" s="42">
        <v>20</v>
      </c>
      <c r="T24" s="42"/>
      <c r="U24" s="42"/>
      <c r="V24" s="59"/>
      <c r="W24" s="59"/>
      <c r="X24" s="59"/>
      <c r="AA24" s="38"/>
      <c r="AB24" s="38"/>
      <c r="AC24" s="65"/>
      <c r="AD24" s="65"/>
      <c r="AE24" s="39"/>
      <c r="AF24" s="32"/>
      <c r="AG24" s="38"/>
      <c r="AH24" s="38"/>
      <c r="AI24" s="38"/>
      <c r="AJ24" s="38"/>
      <c r="AK24" s="39"/>
      <c r="AL24" s="39" t="e">
        <f t="shared" ref="AL24:AO24" si="2">AL23</f>
        <v>#REF!</v>
      </c>
      <c r="AM24" s="39"/>
      <c r="AN24" s="39" t="e">
        <f t="shared" si="2"/>
        <v>#REF!</v>
      </c>
      <c r="AO24" s="39" t="e">
        <f t="shared" si="2"/>
        <v>#REF!</v>
      </c>
      <c r="AQ24" s="40">
        <f>AQ23</f>
        <v>0</v>
      </c>
      <c r="AR24" s="51">
        <f t="shared" ref="AR24:AT24" si="3">AR23</f>
        <v>0</v>
      </c>
      <c r="AS24" s="40">
        <f t="shared" si="3"/>
        <v>0</v>
      </c>
      <c r="AT24" s="51">
        <f t="shared" si="3"/>
        <v>0</v>
      </c>
      <c r="AU24" s="40">
        <f>AU23</f>
        <v>0</v>
      </c>
      <c r="AV24" s="55">
        <f>AU24/U23</f>
        <v>0</v>
      </c>
      <c r="AW24" s="40">
        <f>AW23</f>
        <v>0</v>
      </c>
      <c r="AX24" s="51">
        <f t="shared" ref="AX24" si="4">AX23</f>
        <v>0</v>
      </c>
      <c r="AY24" s="40">
        <f t="shared" ref="AY24" si="5">AY23</f>
        <v>0</v>
      </c>
      <c r="AZ24" s="51">
        <f t="shared" ref="AZ24" si="6">AZ23</f>
        <v>0</v>
      </c>
      <c r="BA24" s="40">
        <f>BA23</f>
        <v>0</v>
      </c>
      <c r="BB24" s="51">
        <f t="shared" ref="BB24" si="7">BB23</f>
        <v>0</v>
      </c>
      <c r="BC24" s="50"/>
      <c r="BD24" s="40">
        <f>AQ24+AW24</f>
        <v>0</v>
      </c>
      <c r="BE24" s="51">
        <f t="shared" ref="BE24" si="8">BE23</f>
        <v>0</v>
      </c>
      <c r="BF24" s="40">
        <f t="shared" ref="BF24" si="9">BF23</f>
        <v>0</v>
      </c>
      <c r="BG24" s="51">
        <f t="shared" ref="BG24" si="10">BG23</f>
        <v>0</v>
      </c>
      <c r="BH24" s="65">
        <f>S24</f>
        <v>20</v>
      </c>
      <c r="BI24" s="65">
        <f>BD24+BF24+BH24</f>
        <v>20</v>
      </c>
      <c r="BJ24" s="55">
        <f>BI24/(AB23+AH23)</f>
        <v>0.1</v>
      </c>
    </row>
    <row r="25" spans="1:62" ht="15.75" customHeight="1" x14ac:dyDescent="0.2">
      <c r="B25" s="33">
        <v>300</v>
      </c>
      <c r="C25" s="33"/>
      <c r="D25" s="29">
        <v>0.7</v>
      </c>
      <c r="E25" s="50">
        <v>5</v>
      </c>
      <c r="F25">
        <v>10</v>
      </c>
      <c r="Q25" t="s">
        <v>33</v>
      </c>
      <c r="S25" s="33"/>
      <c r="T25" s="33"/>
      <c r="U25" s="33">
        <v>400</v>
      </c>
      <c r="V25" s="50" t="e">
        <f>U25/#REF!</f>
        <v>#REF!</v>
      </c>
      <c r="W25" s="50"/>
      <c r="X25" s="50"/>
      <c r="AA25" s="31" t="e">
        <f>AA23</f>
        <v>#REF!</v>
      </c>
      <c r="AB25" s="31">
        <v>140</v>
      </c>
      <c r="AC25" s="63" t="e">
        <f>(#REF!+(#REF!*(F23/100)))/(1-#REF!/100)</f>
        <v>#REF!</v>
      </c>
      <c r="AD25" s="63"/>
      <c r="AE25" s="32">
        <v>1.4</v>
      </c>
      <c r="AF25" s="32"/>
      <c r="AG25" s="31">
        <v>100</v>
      </c>
      <c r="AH25" s="31">
        <v>60.000000000000007</v>
      </c>
      <c r="AI25" s="63" t="e">
        <f>(#REF!+(#REF!*(F23/100)))/(1-#REF!/100)</f>
        <v>#REF!</v>
      </c>
      <c r="AJ25" s="63"/>
      <c r="AK25" s="32">
        <v>0.60000000000000009</v>
      </c>
      <c r="AL25" s="32" t="e">
        <f>AL24+AE26</f>
        <v>#REF!</v>
      </c>
      <c r="AM25" s="32"/>
      <c r="AN25" s="32" t="e">
        <f>AN24</f>
        <v>#REF!</v>
      </c>
      <c r="AO25" s="32" t="e">
        <f>AL25+AN25</f>
        <v>#REF!</v>
      </c>
      <c r="AQ25" s="52">
        <f>AQ24</f>
        <v>0</v>
      </c>
      <c r="AR25" s="50">
        <f>AR24</f>
        <v>0</v>
      </c>
      <c r="AS25" s="52">
        <f>AS24</f>
        <v>0</v>
      </c>
      <c r="AT25" s="50">
        <f>AT24</f>
        <v>0</v>
      </c>
      <c r="AU25" s="52">
        <f>AU24</f>
        <v>0</v>
      </c>
      <c r="AV25" s="64">
        <f>AU25 / (U23+U25)</f>
        <v>0</v>
      </c>
      <c r="AW25" s="52" t="e">
        <f>(B25*AL25)-(AB25+AB26)</f>
        <v>#REF!</v>
      </c>
      <c r="AX25" s="54" t="e">
        <f>AW25/(AB25+AB26)</f>
        <v>#REF!</v>
      </c>
      <c r="AY25" s="52" t="e">
        <f>(AN25*B25)-AH25</f>
        <v>#REF!</v>
      </c>
      <c r="AZ25" s="53" t="e">
        <f>AY25/(AG25*AK25)</f>
        <v>#REF!</v>
      </c>
      <c r="BA25" s="52" t="e">
        <f>AW25+AY25</f>
        <v>#REF!</v>
      </c>
      <c r="BB25" s="62" t="e">
        <f>BA25/(AB25+AB26+AH25)</f>
        <v>#REF!</v>
      </c>
      <c r="BC25" s="62"/>
      <c r="BD25" s="52" t="e">
        <f>AQ25+AW25</f>
        <v>#REF!</v>
      </c>
      <c r="BE25" s="54" t="e">
        <f>AX25</f>
        <v>#REF!</v>
      </c>
      <c r="BF25" s="52" t="e">
        <f>AS25+AY25</f>
        <v>#REF!</v>
      </c>
      <c r="BG25" s="53" t="e">
        <f>BF25/AH25</f>
        <v>#REF!</v>
      </c>
      <c r="BH25" s="63">
        <f>BH24</f>
        <v>20</v>
      </c>
      <c r="BI25" s="52" t="e">
        <f>BD25+BF25+BH25</f>
        <v>#REF!</v>
      </c>
      <c r="BJ25" s="54" t="e">
        <f>BI25/(AB25+AB26+AH25)</f>
        <v>#REF!</v>
      </c>
    </row>
    <row r="26" spans="1:62" ht="15.75" customHeight="1" x14ac:dyDescent="0.2">
      <c r="E26" s="50"/>
      <c r="V26" s="50"/>
      <c r="W26" s="50"/>
      <c r="X26" s="50"/>
      <c r="AA26" s="31" t="e">
        <f>#REF!</f>
        <v>#REF!</v>
      </c>
      <c r="AB26" s="31">
        <f>U25</f>
        <v>400</v>
      </c>
      <c r="AC26" s="63" t="e">
        <f>(#REF!+(#REF!*(F25/100)))/(1-#REF!/100)</f>
        <v>#REF!</v>
      </c>
      <c r="AD26" s="63"/>
      <c r="AE26" s="32" t="e">
        <f>AB26/AA26</f>
        <v>#REF!</v>
      </c>
      <c r="AF26" s="32"/>
      <c r="AG26" s="49" t="s">
        <v>34</v>
      </c>
      <c r="AH26" s="49" t="s">
        <v>34</v>
      </c>
      <c r="AI26" s="49" t="s">
        <v>34</v>
      </c>
      <c r="AJ26" s="49"/>
      <c r="AK26" s="49" t="s">
        <v>34</v>
      </c>
      <c r="AR26" s="50"/>
      <c r="AT26" s="50"/>
      <c r="AV26" s="54"/>
      <c r="AW26" s="31"/>
      <c r="AX26" s="54"/>
      <c r="AZ26" s="50"/>
      <c r="BB26" s="50"/>
      <c r="BC26" s="50"/>
      <c r="BE26" s="50"/>
      <c r="BG26" s="50"/>
      <c r="BH26" s="63"/>
      <c r="BJ26" s="50"/>
    </row>
    <row r="27" spans="1:62" ht="15.75" customHeight="1" x14ac:dyDescent="0.2">
      <c r="B27" s="36">
        <v>910</v>
      </c>
      <c r="C27" s="36"/>
      <c r="D27" s="37">
        <v>0.7</v>
      </c>
      <c r="E27" s="51">
        <v>5</v>
      </c>
      <c r="F27" s="35">
        <v>10</v>
      </c>
      <c r="G27" s="35"/>
      <c r="Q27" s="35" t="s">
        <v>35</v>
      </c>
      <c r="R27" s="35"/>
      <c r="S27" s="36"/>
      <c r="T27" s="36"/>
      <c r="U27" s="36">
        <v>350</v>
      </c>
      <c r="V27" s="51" t="e">
        <f>U27/#REF!</f>
        <v>#REF!</v>
      </c>
      <c r="W27" s="51"/>
      <c r="X27" s="51"/>
      <c r="AA27" s="38" t="e">
        <f>AA25</f>
        <v>#REF!</v>
      </c>
      <c r="AB27" s="38">
        <v>140</v>
      </c>
      <c r="AC27" s="65" t="e">
        <f>AC25</f>
        <v>#REF!</v>
      </c>
      <c r="AD27" s="65"/>
      <c r="AE27" s="39">
        <v>1.4</v>
      </c>
      <c r="AF27" s="32"/>
      <c r="AG27" s="38">
        <v>100</v>
      </c>
      <c r="AH27" s="38">
        <v>60.000000000000007</v>
      </c>
      <c r="AI27" s="65" t="e">
        <f>AI25</f>
        <v>#REF!</v>
      </c>
      <c r="AJ27" s="65"/>
      <c r="AK27" s="39">
        <v>0.60000000000000009</v>
      </c>
      <c r="AL27" s="39" t="e">
        <f>AL25</f>
        <v>#REF!</v>
      </c>
      <c r="AM27" s="39"/>
      <c r="AN27" s="39" t="e">
        <f>AN25+AK28</f>
        <v>#REF!</v>
      </c>
      <c r="AO27" s="39" t="e">
        <f>AL27+AN27</f>
        <v>#REF!</v>
      </c>
      <c r="AQ27" s="40">
        <f t="shared" ref="AQ27:AV27" si="11">AQ25</f>
        <v>0</v>
      </c>
      <c r="AR27" s="51">
        <f t="shared" si="11"/>
        <v>0</v>
      </c>
      <c r="AS27" s="40">
        <f t="shared" si="11"/>
        <v>0</v>
      </c>
      <c r="AT27" s="51">
        <f t="shared" si="11"/>
        <v>0</v>
      </c>
      <c r="AU27" s="40">
        <f t="shared" si="11"/>
        <v>0</v>
      </c>
      <c r="AV27" s="55">
        <f t="shared" si="11"/>
        <v>0</v>
      </c>
      <c r="AW27" s="40" t="e">
        <f>(B27*AL27)-(AB27+AB28)</f>
        <v>#REF!</v>
      </c>
      <c r="AX27" s="55" t="e">
        <f>AW27/(AB27+AB28)</f>
        <v>#REF!</v>
      </c>
      <c r="AY27" s="40" t="e">
        <f>(AN27*B27)-(AH27+AH28)</f>
        <v>#REF!</v>
      </c>
      <c r="AZ27" s="55" t="e">
        <f>AY27/(AH27+AH28)</f>
        <v>#REF!</v>
      </c>
      <c r="BA27" s="40" t="e">
        <f>AW27+AY27</f>
        <v>#REF!</v>
      </c>
      <c r="BB27" s="55" t="e">
        <f>BA27/(AB27+AB28+AH27+AH28)</f>
        <v>#REF!</v>
      </c>
      <c r="BC27" s="50"/>
      <c r="BD27" s="40" t="e">
        <f>AQ27+AW27</f>
        <v>#REF!</v>
      </c>
      <c r="BE27" s="55" t="e">
        <f>AX27</f>
        <v>#REF!</v>
      </c>
      <c r="BF27" s="40" t="e">
        <f>AS27+AY27</f>
        <v>#REF!</v>
      </c>
      <c r="BG27" s="55" t="e">
        <f>BF27/(AH27+AH28)</f>
        <v>#REF!</v>
      </c>
      <c r="BH27" s="65">
        <f>BH25</f>
        <v>20</v>
      </c>
      <c r="BI27" s="40" t="e">
        <f>BD27+BF27+BH27</f>
        <v>#REF!</v>
      </c>
      <c r="BJ27" s="55" t="e">
        <f>BI27/(AB27+AB28+AH27+AH28)</f>
        <v>#REF!</v>
      </c>
    </row>
    <row r="28" spans="1:62" ht="15.75" customHeight="1" x14ac:dyDescent="0.2">
      <c r="B28" s="35"/>
      <c r="C28" s="35"/>
      <c r="D28" s="35"/>
      <c r="E28" s="51"/>
      <c r="F28" s="35"/>
      <c r="G28" s="35"/>
      <c r="Q28" s="35"/>
      <c r="R28" s="35"/>
      <c r="S28" s="35"/>
      <c r="T28" s="35"/>
      <c r="U28" s="35"/>
      <c r="V28" s="51"/>
      <c r="W28" s="51"/>
      <c r="X28" s="51"/>
      <c r="AA28" s="38" t="e">
        <f>AA26</f>
        <v>#REF!</v>
      </c>
      <c r="AB28" s="38">
        <v>400</v>
      </c>
      <c r="AC28" s="65" t="e">
        <f>AC26</f>
        <v>#REF!</v>
      </c>
      <c r="AD28" s="65"/>
      <c r="AE28" s="39">
        <v>1.6</v>
      </c>
      <c r="AF28" s="32"/>
      <c r="AG28" s="36" t="e">
        <f>#REF!</f>
        <v>#REF!</v>
      </c>
      <c r="AH28" s="36">
        <f>U27</f>
        <v>350</v>
      </c>
      <c r="AI28" s="65" t="e">
        <f>(#REF!+(#REF!*(F27/100)))/(1-#REF!/100)</f>
        <v>#REF!</v>
      </c>
      <c r="AJ28" s="65"/>
      <c r="AK28" s="39" t="e">
        <f>AH28/AG28</f>
        <v>#REF!</v>
      </c>
      <c r="AR28" s="50"/>
      <c r="AT28" s="50"/>
      <c r="AV28" s="50"/>
      <c r="AX28" s="50"/>
      <c r="AZ28" s="50"/>
      <c r="BB28" s="50"/>
      <c r="BC28" s="50"/>
      <c r="BE28" s="50"/>
      <c r="BG28" s="50"/>
      <c r="BH28" s="63"/>
      <c r="BJ28" s="50"/>
    </row>
    <row r="29" spans="1:62" ht="15.75" customHeight="1" x14ac:dyDescent="0.2">
      <c r="B29" s="33">
        <v>910</v>
      </c>
      <c r="C29" s="33"/>
      <c r="D29" s="29">
        <v>0.7</v>
      </c>
      <c r="E29" s="50">
        <v>5</v>
      </c>
      <c r="F29">
        <v>10</v>
      </c>
      <c r="Q29" t="s">
        <v>49</v>
      </c>
      <c r="S29" s="33">
        <v>10</v>
      </c>
      <c r="T29" s="33"/>
      <c r="V29" s="50"/>
      <c r="W29" s="50"/>
      <c r="X29" s="50"/>
      <c r="AA29" s="31"/>
      <c r="AB29" s="31"/>
      <c r="AC29" s="31"/>
      <c r="AD29" s="31"/>
      <c r="AE29" s="31"/>
      <c r="AF29" s="31"/>
      <c r="AG29" s="33"/>
      <c r="AH29" s="33"/>
      <c r="AI29" s="31"/>
      <c r="AJ29" s="31"/>
      <c r="AK29" s="32"/>
      <c r="AL29" s="32" t="e">
        <f>AL27</f>
        <v>#REF!</v>
      </c>
      <c r="AM29" s="32"/>
      <c r="AN29" s="32" t="e">
        <f>AN27+AK30</f>
        <v>#REF!</v>
      </c>
      <c r="AO29" s="32" t="e">
        <f>AL29+AN29</f>
        <v>#REF!</v>
      </c>
      <c r="AQ29" s="52">
        <f t="shared" ref="AQ29:AV30" si="12">AQ27</f>
        <v>0</v>
      </c>
      <c r="AR29" s="50">
        <f t="shared" si="12"/>
        <v>0</v>
      </c>
      <c r="AS29" s="52">
        <f t="shared" si="12"/>
        <v>0</v>
      </c>
      <c r="AT29" s="50">
        <f t="shared" si="12"/>
        <v>0</v>
      </c>
      <c r="AU29" s="52">
        <f t="shared" si="12"/>
        <v>0</v>
      </c>
      <c r="AV29" s="62">
        <f t="shared" si="12"/>
        <v>0</v>
      </c>
      <c r="AW29" s="52" t="e">
        <f t="shared" ref="AW29:BB29" si="13">AW27</f>
        <v>#REF!</v>
      </c>
      <c r="AX29" s="62" t="e">
        <f t="shared" si="13"/>
        <v>#REF!</v>
      </c>
      <c r="AY29" s="52" t="e">
        <f t="shared" si="13"/>
        <v>#REF!</v>
      </c>
      <c r="AZ29" s="62" t="e">
        <f t="shared" si="13"/>
        <v>#REF!</v>
      </c>
      <c r="BA29" s="52" t="e">
        <f t="shared" si="13"/>
        <v>#REF!</v>
      </c>
      <c r="BB29" s="62" t="e">
        <f t="shared" si="13"/>
        <v>#REF!</v>
      </c>
      <c r="BC29" s="50"/>
      <c r="BD29" s="52" t="e">
        <f>BD27</f>
        <v>#REF!</v>
      </c>
      <c r="BE29" s="62" t="e">
        <f>BE27</f>
        <v>#REF!</v>
      </c>
      <c r="BF29" s="52" t="e">
        <f>BF27</f>
        <v>#REF!</v>
      </c>
      <c r="BG29" s="62" t="e">
        <f>BG27</f>
        <v>#REF!</v>
      </c>
      <c r="BH29" s="63">
        <f>BH27+S29</f>
        <v>30</v>
      </c>
      <c r="BI29" s="52" t="e">
        <f>BD29+BF29+BH29</f>
        <v>#REF!</v>
      </c>
      <c r="BJ29" s="62" t="e">
        <f>BI29/(AB27+AB28+AH27+AH28)</f>
        <v>#REF!</v>
      </c>
    </row>
    <row r="30" spans="1:62" ht="15.75" customHeight="1" x14ac:dyDescent="0.2">
      <c r="B30" s="36">
        <v>510</v>
      </c>
      <c r="C30" s="36"/>
      <c r="D30" s="37">
        <v>0.7</v>
      </c>
      <c r="E30" s="51">
        <v>5</v>
      </c>
      <c r="F30" s="35">
        <v>10</v>
      </c>
      <c r="G30" s="35"/>
      <c r="Q30" s="35" t="s">
        <v>36</v>
      </c>
      <c r="R30" s="35"/>
      <c r="S30" s="40"/>
      <c r="T30" s="40"/>
      <c r="U30" s="36">
        <v>100</v>
      </c>
      <c r="V30" s="51" t="e">
        <f>U30/#REF!</f>
        <v>#REF!</v>
      </c>
      <c r="W30" s="51"/>
      <c r="X30" s="51"/>
      <c r="AA30" s="38">
        <v>100</v>
      </c>
      <c r="AB30" s="38">
        <v>140</v>
      </c>
      <c r="AC30" s="38" t="e">
        <f>AC27</f>
        <v>#REF!</v>
      </c>
      <c r="AD30" s="38"/>
      <c r="AE30" s="39">
        <v>1.4</v>
      </c>
      <c r="AF30" s="32"/>
      <c r="AG30" s="38">
        <v>100</v>
      </c>
      <c r="AH30" s="38">
        <v>60.000000000000007</v>
      </c>
      <c r="AI30" s="38" t="e">
        <f>AI27</f>
        <v>#REF!</v>
      </c>
      <c r="AJ30" s="38"/>
      <c r="AK30" s="39">
        <v>0.60000000000000009</v>
      </c>
      <c r="AL30" s="39" t="e">
        <f>AE30+AE31+AE32</f>
        <v>#REF!</v>
      </c>
      <c r="AM30" s="39"/>
      <c r="AN30" s="39" t="e">
        <f>AK30+AK31+AK32</f>
        <v>#REF!</v>
      </c>
      <c r="AO30" s="39" t="e">
        <f>AL30+AN30</f>
        <v>#REF!</v>
      </c>
      <c r="AQ30" s="40">
        <f t="shared" si="12"/>
        <v>0</v>
      </c>
      <c r="AR30" s="51">
        <f t="shared" si="12"/>
        <v>0</v>
      </c>
      <c r="AS30" s="40">
        <f t="shared" si="12"/>
        <v>0</v>
      </c>
      <c r="AT30" s="51">
        <f t="shared" si="12"/>
        <v>0</v>
      </c>
      <c r="AU30" s="40">
        <f t="shared" si="12"/>
        <v>0</v>
      </c>
      <c r="AV30" s="55">
        <f t="shared" si="12"/>
        <v>0</v>
      </c>
      <c r="AW30" s="40" t="e">
        <f>(B30*AL30)-(AB30+AB31+AB32)</f>
        <v>#REF!</v>
      </c>
      <c r="AX30" s="55" t="e">
        <f>AW30/(AB30+AB31+AB32)</f>
        <v>#REF!</v>
      </c>
      <c r="AY30" s="40" t="e">
        <f>(AN30*B30)-(AH30+AH31+AH32)</f>
        <v>#REF!</v>
      </c>
      <c r="AZ30" s="55" t="e">
        <f>AY30/(AH30+AH31+AH32)</f>
        <v>#REF!</v>
      </c>
      <c r="BA30" s="40" t="e">
        <f>AW30+AY30</f>
        <v>#REF!</v>
      </c>
      <c r="BB30" s="55" t="e">
        <f>BA30/(AB30+AB31+AB32+AH30+AH31+AH32)</f>
        <v>#REF!</v>
      </c>
      <c r="BC30" s="50"/>
      <c r="BD30" s="40" t="e">
        <f>AQ30+AW30</f>
        <v>#REF!</v>
      </c>
      <c r="BE30" s="55" t="e">
        <f>AX30</f>
        <v>#REF!</v>
      </c>
      <c r="BF30" s="40" t="e">
        <f>AS30+AY30</f>
        <v>#REF!</v>
      </c>
      <c r="BG30" s="55" t="e">
        <f>BF30/(AH30+AH31+AH32)</f>
        <v>#REF!</v>
      </c>
      <c r="BH30" s="65">
        <f>BH29</f>
        <v>30</v>
      </c>
      <c r="BI30" s="40" t="e">
        <f>BD30+BF30+BH30</f>
        <v>#REF!</v>
      </c>
      <c r="BJ30" s="55" t="e">
        <f>BI30/(AB30+AB31+AB32+AH30+AH31+AH32)</f>
        <v>#REF!</v>
      </c>
    </row>
    <row r="31" spans="1:62" ht="15.75" customHeight="1" x14ac:dyDescent="0.2">
      <c r="B31" s="35"/>
      <c r="C31" s="35"/>
      <c r="D31" s="35"/>
      <c r="E31" s="51"/>
      <c r="F31" s="35"/>
      <c r="G31" s="35"/>
      <c r="Q31" s="35"/>
      <c r="R31" s="35"/>
      <c r="S31" s="35"/>
      <c r="T31" s="35"/>
      <c r="U31" s="35"/>
      <c r="V31" s="51"/>
      <c r="W31" s="51"/>
      <c r="X31" s="51"/>
      <c r="AA31" s="38">
        <v>250</v>
      </c>
      <c r="AB31" s="38">
        <v>400</v>
      </c>
      <c r="AC31" s="38" t="e">
        <f>AC28</f>
        <v>#REF!</v>
      </c>
      <c r="AD31" s="38"/>
      <c r="AE31" s="39">
        <v>1.6</v>
      </c>
      <c r="AF31" s="32"/>
      <c r="AG31" s="36">
        <v>900</v>
      </c>
      <c r="AH31" s="36">
        <v>350</v>
      </c>
      <c r="AI31" s="38" t="e">
        <f>AI28</f>
        <v>#REF!</v>
      </c>
      <c r="AJ31" s="38"/>
      <c r="AK31" s="39">
        <v>0.3888888888888889</v>
      </c>
      <c r="AL31" s="35"/>
      <c r="AM31" s="35"/>
      <c r="AN31" s="35"/>
      <c r="AO31" s="35"/>
      <c r="AQ31" s="35"/>
      <c r="AR31" s="51"/>
      <c r="AS31" s="35"/>
      <c r="AT31" s="51"/>
      <c r="AU31" s="35"/>
      <c r="AV31" s="51"/>
      <c r="AW31" s="35"/>
      <c r="AX31" s="51"/>
      <c r="AY31" s="35"/>
      <c r="AZ31" s="51"/>
      <c r="BA31" s="35"/>
      <c r="BB31" s="51"/>
      <c r="BC31" s="50"/>
      <c r="BD31" s="35"/>
      <c r="BE31" s="51"/>
      <c r="BF31" s="35"/>
      <c r="BG31" s="51"/>
      <c r="BH31" s="35"/>
      <c r="BI31" s="35"/>
      <c r="BJ31" s="51"/>
    </row>
    <row r="32" spans="1:62" ht="15.75" customHeight="1" x14ac:dyDescent="0.2">
      <c r="B32" s="35"/>
      <c r="C32" s="35"/>
      <c r="D32" s="35"/>
      <c r="E32" s="51"/>
      <c r="F32" s="35"/>
      <c r="G32" s="35"/>
      <c r="Q32" s="35"/>
      <c r="R32" s="35"/>
      <c r="S32" s="35"/>
      <c r="T32" s="35"/>
      <c r="U32" s="35"/>
      <c r="V32" s="51"/>
      <c r="W32" s="51"/>
      <c r="X32" s="51"/>
      <c r="AA32" s="40" t="e">
        <f>#REF!</f>
        <v>#REF!</v>
      </c>
      <c r="AB32" s="36">
        <f>U30*D30</f>
        <v>70</v>
      </c>
      <c r="AC32" s="65" t="e">
        <f>(#REF!+(#REF!*(F30/100)))/(1-#REF!/100)</f>
        <v>#REF!</v>
      </c>
      <c r="AD32" s="65"/>
      <c r="AE32" s="39" t="e">
        <f>AB32/AA32</f>
        <v>#REF!</v>
      </c>
      <c r="AF32" s="31"/>
      <c r="AG32" s="40" t="e">
        <f>#REF!</f>
        <v>#REF!</v>
      </c>
      <c r="AH32" s="36">
        <f>U30*(1-D30)</f>
        <v>30.000000000000004</v>
      </c>
      <c r="AI32" s="65" t="e">
        <f>(#REF!+(#REF!*(F30/100)))/(1-#REF!/100)</f>
        <v>#REF!</v>
      </c>
      <c r="AJ32" s="65"/>
      <c r="AK32" s="39" t="e">
        <f>AH32/AG32</f>
        <v>#REF!</v>
      </c>
      <c r="AL32" s="35"/>
      <c r="AM32" s="35"/>
      <c r="AN32" s="35"/>
      <c r="AO32" s="35"/>
      <c r="AQ32" s="35"/>
      <c r="AR32" s="51"/>
      <c r="AS32" s="35"/>
      <c r="AT32" s="51"/>
      <c r="AU32" s="35"/>
      <c r="AV32" s="51"/>
      <c r="AW32" s="35"/>
      <c r="AX32" s="51"/>
      <c r="AY32" s="35"/>
      <c r="AZ32" s="51"/>
      <c r="BA32" s="35"/>
      <c r="BB32" s="51"/>
      <c r="BC32" s="50"/>
      <c r="BD32" s="35"/>
      <c r="BE32" s="51"/>
      <c r="BF32" s="35"/>
      <c r="BG32" s="51"/>
      <c r="BH32" s="35"/>
      <c r="BI32" s="35"/>
      <c r="BJ32" s="51"/>
    </row>
    <row r="33" spans="2:62" ht="15.75" customHeight="1" x14ac:dyDescent="0.2">
      <c r="E33" s="50"/>
      <c r="V33" s="50"/>
      <c r="W33" s="50"/>
      <c r="X33" s="50"/>
      <c r="AA33" s="52"/>
      <c r="AB33" s="33"/>
      <c r="AC33" s="33"/>
      <c r="AD33" s="33"/>
      <c r="AE33" s="32"/>
      <c r="AF33" s="31"/>
      <c r="AG33" s="52"/>
      <c r="AH33" s="33"/>
      <c r="AI33" s="33"/>
      <c r="AJ33" s="33"/>
      <c r="AK33" s="32"/>
      <c r="AR33" s="50"/>
      <c r="AT33" s="50"/>
      <c r="AV33" s="50"/>
      <c r="AX33" s="50"/>
      <c r="AZ33" s="50"/>
      <c r="BB33" s="50"/>
      <c r="BC33" s="50"/>
      <c r="BE33" s="50"/>
      <c r="BG33" s="50"/>
      <c r="BJ33" s="50"/>
    </row>
    <row r="34" spans="2:62" ht="15.75" customHeight="1" x14ac:dyDescent="0.2">
      <c r="B34" s="66" t="s">
        <v>67</v>
      </c>
      <c r="C34" s="34"/>
      <c r="AA34" s="56" t="s">
        <v>27</v>
      </c>
      <c r="AB34" s="12"/>
      <c r="AC34" s="12"/>
      <c r="AD34" s="12"/>
      <c r="AE34" s="12"/>
      <c r="AF34" s="12"/>
      <c r="AG34" s="56" t="s">
        <v>28</v>
      </c>
      <c r="AH34" s="12"/>
      <c r="AI34" s="12"/>
      <c r="AJ34" s="12"/>
      <c r="AK34" s="12"/>
      <c r="AQ34" s="34" t="s">
        <v>52</v>
      </c>
      <c r="AW34" s="34" t="s">
        <v>53</v>
      </c>
      <c r="BD34" s="34" t="s">
        <v>65</v>
      </c>
    </row>
    <row r="35" spans="2:62" ht="15.75" customHeight="1" x14ac:dyDescent="0.2">
      <c r="B35" s="28" t="s">
        <v>61</v>
      </c>
      <c r="C35" s="28"/>
      <c r="D35" s="28" t="s">
        <v>29</v>
      </c>
      <c r="E35" s="57" t="s">
        <v>63</v>
      </c>
      <c r="F35" s="57" t="s">
        <v>72</v>
      </c>
      <c r="G35" s="57"/>
      <c r="H35" s="103"/>
      <c r="I35" s="103"/>
      <c r="J35" s="103"/>
      <c r="K35" s="103"/>
      <c r="L35" s="103"/>
      <c r="M35" s="103"/>
      <c r="N35" s="103"/>
      <c r="O35" s="103"/>
      <c r="Q35" s="28" t="s">
        <v>3</v>
      </c>
      <c r="R35" s="28"/>
      <c r="S35" s="57" t="s">
        <v>50</v>
      </c>
      <c r="T35" s="57" t="s">
        <v>70</v>
      </c>
      <c r="U35" s="28" t="s">
        <v>1</v>
      </c>
      <c r="V35" s="57" t="s">
        <v>62</v>
      </c>
      <c r="W35" s="57" t="s">
        <v>9</v>
      </c>
      <c r="X35" s="57"/>
      <c r="AA35" s="28" t="s">
        <v>30</v>
      </c>
      <c r="AB35" s="28" t="s">
        <v>1</v>
      </c>
      <c r="AC35" s="57" t="s">
        <v>10</v>
      </c>
      <c r="AD35" s="57"/>
      <c r="AE35" s="57" t="s">
        <v>64</v>
      </c>
      <c r="AF35" s="60"/>
      <c r="AG35" s="28" t="s">
        <v>30</v>
      </c>
      <c r="AH35" s="28" t="s">
        <v>1</v>
      </c>
      <c r="AI35" s="57" t="s">
        <v>10</v>
      </c>
      <c r="AJ35" s="57"/>
      <c r="AK35" s="57" t="s">
        <v>64</v>
      </c>
      <c r="AL35" s="28" t="s">
        <v>58</v>
      </c>
      <c r="AM35" s="28"/>
      <c r="AN35" s="28" t="s">
        <v>59</v>
      </c>
      <c r="AO35" s="28" t="s">
        <v>60</v>
      </c>
      <c r="AQ35" s="61" t="s">
        <v>54</v>
      </c>
      <c r="AR35" s="61" t="s">
        <v>57</v>
      </c>
      <c r="AS35" s="61" t="s">
        <v>55</v>
      </c>
      <c r="AT35" s="61" t="s">
        <v>57</v>
      </c>
      <c r="AU35" s="61" t="s">
        <v>56</v>
      </c>
      <c r="AV35" s="61" t="s">
        <v>57</v>
      </c>
      <c r="AW35" s="28" t="s">
        <v>54</v>
      </c>
      <c r="AX35" s="28" t="s">
        <v>57</v>
      </c>
      <c r="AY35" s="28" t="s">
        <v>55</v>
      </c>
      <c r="AZ35" s="28" t="s">
        <v>57</v>
      </c>
      <c r="BA35" s="28" t="s">
        <v>56</v>
      </c>
      <c r="BB35" s="28" t="s">
        <v>57</v>
      </c>
      <c r="BC35" s="60"/>
      <c r="BD35" s="61" t="s">
        <v>54</v>
      </c>
      <c r="BE35" s="61" t="s">
        <v>57</v>
      </c>
      <c r="BF35" s="61" t="s">
        <v>55</v>
      </c>
      <c r="BG35" s="61" t="s">
        <v>57</v>
      </c>
      <c r="BH35" s="61" t="s">
        <v>66</v>
      </c>
      <c r="BI35" s="61" t="s">
        <v>56</v>
      </c>
      <c r="BJ35" s="61" t="s">
        <v>57</v>
      </c>
    </row>
    <row r="36" spans="2:62" ht="15.75" customHeight="1" x14ac:dyDescent="0.2">
      <c r="B36" s="33">
        <v>200</v>
      </c>
      <c r="C36" s="33"/>
      <c r="D36" s="29">
        <v>0.6</v>
      </c>
      <c r="E36" s="50">
        <v>5</v>
      </c>
      <c r="F36">
        <v>10</v>
      </c>
      <c r="Q36" s="12" t="s">
        <v>68</v>
      </c>
      <c r="R36" s="12"/>
      <c r="S36" s="13"/>
      <c r="T36" s="13"/>
      <c r="U36" s="13">
        <v>400</v>
      </c>
      <c r="V36" s="58" t="e">
        <f>U36/#REF!</f>
        <v>#REF!</v>
      </c>
      <c r="W36" s="58"/>
      <c r="X36" s="58"/>
      <c r="AA36" s="31" t="e">
        <f>#REF!</f>
        <v>#REF!</v>
      </c>
      <c r="AB36" s="31">
        <f>U36*D36</f>
        <v>240</v>
      </c>
      <c r="AC36" s="63" t="e">
        <f>(#REF!+(#REF!*(F36/100)))/(1-#REF!/100)</f>
        <v>#REF!</v>
      </c>
      <c r="AD36" s="63"/>
      <c r="AE36" s="32" t="e">
        <f>AB36/AA36</f>
        <v>#REF!</v>
      </c>
      <c r="AF36" s="32"/>
      <c r="AG36" s="31" t="e">
        <f>#REF!</f>
        <v>#REF!</v>
      </c>
      <c r="AH36" s="31">
        <f>U36*(1-D36)</f>
        <v>160</v>
      </c>
      <c r="AI36" s="63" t="e">
        <f>(#REF!+(#REF!*(F36/100)))/(1-#REF!/100)</f>
        <v>#REF!</v>
      </c>
      <c r="AJ36" s="63"/>
      <c r="AK36" s="32" t="e">
        <f>AH36/AG36</f>
        <v>#REF!</v>
      </c>
      <c r="AL36" s="32" t="e">
        <f>AE36</f>
        <v>#REF!</v>
      </c>
      <c r="AM36" s="32"/>
      <c r="AN36" s="32" t="e">
        <f>AK36</f>
        <v>#REF!</v>
      </c>
      <c r="AO36" s="32" t="e">
        <f>AL36+AN36</f>
        <v>#REF!</v>
      </c>
      <c r="AQ36" s="52">
        <v>0</v>
      </c>
      <c r="AR36" s="50">
        <v>0</v>
      </c>
      <c r="AS36" s="52">
        <v>0</v>
      </c>
      <c r="AT36" s="50">
        <v>0</v>
      </c>
      <c r="AU36" s="52">
        <v>0</v>
      </c>
      <c r="AV36" s="54">
        <v>0</v>
      </c>
      <c r="AW36" s="52">
        <v>0</v>
      </c>
      <c r="AX36" s="50">
        <v>0</v>
      </c>
      <c r="AY36" s="52">
        <v>0</v>
      </c>
      <c r="AZ36" s="50">
        <v>0</v>
      </c>
      <c r="BA36" s="52">
        <v>0</v>
      </c>
      <c r="BB36" s="50">
        <v>0</v>
      </c>
      <c r="BC36" s="50"/>
      <c r="BD36" s="52">
        <v>0</v>
      </c>
      <c r="BE36" s="50">
        <v>0</v>
      </c>
      <c r="BF36" s="52">
        <v>0</v>
      </c>
      <c r="BG36" s="50">
        <v>0</v>
      </c>
      <c r="BH36" s="52">
        <v>0</v>
      </c>
      <c r="BI36" s="52">
        <v>0</v>
      </c>
      <c r="BJ36" s="50">
        <v>0</v>
      </c>
    </row>
    <row r="37" spans="2:62" ht="15.75" customHeight="1" x14ac:dyDescent="0.2">
      <c r="B37" s="36">
        <v>100</v>
      </c>
      <c r="C37" s="36"/>
      <c r="D37" s="37">
        <v>0.6</v>
      </c>
      <c r="E37" s="51">
        <v>5</v>
      </c>
      <c r="F37" s="35">
        <v>10</v>
      </c>
      <c r="G37" s="35"/>
      <c r="Q37" s="41" t="s">
        <v>69</v>
      </c>
      <c r="R37" s="41"/>
      <c r="S37" s="35"/>
      <c r="T37" s="59">
        <v>2</v>
      </c>
      <c r="U37" s="42"/>
      <c r="V37" s="59"/>
      <c r="W37" s="59"/>
      <c r="X37" s="59"/>
      <c r="AA37" s="38" t="e">
        <f>AA36/T37</f>
        <v>#REF!</v>
      </c>
      <c r="AB37" s="38">
        <f>AB36</f>
        <v>240</v>
      </c>
      <c r="AC37" s="65" t="e">
        <f>AC36/T37</f>
        <v>#REF!</v>
      </c>
      <c r="AD37" s="65"/>
      <c r="AE37" s="39" t="e">
        <f>AE36*T37</f>
        <v>#REF!</v>
      </c>
      <c r="AF37" s="32"/>
      <c r="AG37" s="38" t="e">
        <f>AG36/T37</f>
        <v>#REF!</v>
      </c>
      <c r="AH37" s="38">
        <f>AH36</f>
        <v>160</v>
      </c>
      <c r="AI37" s="65" t="e">
        <f>AI36/T37</f>
        <v>#REF!</v>
      </c>
      <c r="AJ37" s="65"/>
      <c r="AK37" s="39" t="e">
        <f>AK36*T37</f>
        <v>#REF!</v>
      </c>
      <c r="AL37" s="39" t="e">
        <f>AL36*T37</f>
        <v>#REF!</v>
      </c>
      <c r="AM37" s="39"/>
      <c r="AN37" s="39" t="e">
        <f>AN36*T37</f>
        <v>#REF!</v>
      </c>
      <c r="AO37" s="39" t="e">
        <f>AL37+AN37</f>
        <v>#REF!</v>
      </c>
      <c r="AQ37" s="40">
        <f t="shared" ref="AQ37:AV37" si="14">AQ36</f>
        <v>0</v>
      </c>
      <c r="AR37" s="51">
        <f t="shared" si="14"/>
        <v>0</v>
      </c>
      <c r="AS37" s="40">
        <f t="shared" si="14"/>
        <v>0</v>
      </c>
      <c r="AT37" s="51">
        <f t="shared" si="14"/>
        <v>0</v>
      </c>
      <c r="AU37" s="40">
        <f t="shared" si="14"/>
        <v>0</v>
      </c>
      <c r="AV37" s="55">
        <f t="shared" si="14"/>
        <v>0</v>
      </c>
      <c r="AW37" s="40">
        <f t="shared" ref="AW37:BB37" si="15">AW36</f>
        <v>0</v>
      </c>
      <c r="AX37" s="51">
        <f t="shared" si="15"/>
        <v>0</v>
      </c>
      <c r="AY37" s="40">
        <f t="shared" si="15"/>
        <v>0</v>
      </c>
      <c r="AZ37" s="51">
        <f t="shared" si="15"/>
        <v>0</v>
      </c>
      <c r="BA37" s="40">
        <f t="shared" si="15"/>
        <v>0</v>
      </c>
      <c r="BB37" s="51">
        <f t="shared" si="15"/>
        <v>0</v>
      </c>
      <c r="BC37" s="50"/>
      <c r="BD37" s="40">
        <f t="shared" ref="BD37:BJ37" si="16">BD36</f>
        <v>0</v>
      </c>
      <c r="BE37" s="51">
        <f t="shared" si="16"/>
        <v>0</v>
      </c>
      <c r="BF37" s="40">
        <f t="shared" si="16"/>
        <v>0</v>
      </c>
      <c r="BG37" s="51">
        <f t="shared" si="16"/>
        <v>0</v>
      </c>
      <c r="BH37" s="40">
        <f t="shared" si="16"/>
        <v>0</v>
      </c>
      <c r="BI37" s="40">
        <f t="shared" si="16"/>
        <v>0</v>
      </c>
      <c r="BJ37" s="51">
        <f t="shared" si="16"/>
        <v>0</v>
      </c>
    </row>
    <row r="38" spans="2:62" ht="15.75" customHeight="1" x14ac:dyDescent="0.2">
      <c r="B38" s="33">
        <v>100</v>
      </c>
      <c r="C38" s="33"/>
      <c r="D38" s="29">
        <v>0.6</v>
      </c>
      <c r="E38" s="50">
        <v>5</v>
      </c>
      <c r="F38">
        <v>10</v>
      </c>
      <c r="Q38" s="12" t="s">
        <v>71</v>
      </c>
      <c r="R38" s="12"/>
      <c r="S38" s="13"/>
      <c r="T38" s="13"/>
      <c r="U38" s="13">
        <v>300</v>
      </c>
      <c r="V38" s="58" t="e">
        <f>U38/#REF!</f>
        <v>#REF!</v>
      </c>
      <c r="W38" s="58"/>
      <c r="X38" s="58"/>
      <c r="AA38" s="31" t="e">
        <f>#REF!</f>
        <v>#REF!</v>
      </c>
      <c r="AB38" s="31">
        <f>U38*D38</f>
        <v>180</v>
      </c>
      <c r="AC38" s="63" t="e">
        <f>(#REF!+(#REF!*(F38/100)))/(1-#REF!/100)</f>
        <v>#REF!</v>
      </c>
      <c r="AD38" s="63"/>
      <c r="AE38" s="32" t="e">
        <f>AB38/AA38</f>
        <v>#REF!</v>
      </c>
      <c r="AF38" s="32"/>
      <c r="AG38" s="31" t="e">
        <f>#REF!</f>
        <v>#REF!</v>
      </c>
      <c r="AH38" s="31">
        <f>U38*(1-D38)</f>
        <v>120</v>
      </c>
      <c r="AI38" s="63" t="e">
        <f>(#REF!+(#REF!*(F38/100)))/(1-#REF!/100)</f>
        <v>#REF!</v>
      </c>
      <c r="AJ38" s="63"/>
      <c r="AK38" s="32" t="e">
        <f>AH38/AG38</f>
        <v>#REF!</v>
      </c>
      <c r="AL38" s="32" t="e">
        <f>AE38+AE39</f>
        <v>#REF!</v>
      </c>
      <c r="AM38" s="32"/>
      <c r="AN38" s="32" t="e">
        <f>AK38+AK39</f>
        <v>#REF!</v>
      </c>
      <c r="AO38" s="32" t="e">
        <f>AL38+AN38</f>
        <v>#REF!</v>
      </c>
      <c r="AQ38" s="52">
        <f>AQ36</f>
        <v>0</v>
      </c>
      <c r="AR38" s="50">
        <f t="shared" ref="AR38:AT38" si="17">AR36</f>
        <v>0</v>
      </c>
      <c r="AS38" s="52">
        <f t="shared" si="17"/>
        <v>0</v>
      </c>
      <c r="AT38" s="50">
        <f t="shared" si="17"/>
        <v>0</v>
      </c>
      <c r="AU38" s="52">
        <f>AU36</f>
        <v>0</v>
      </c>
      <c r="AV38" s="62">
        <f>AU38/U36</f>
        <v>0</v>
      </c>
      <c r="AW38" s="63" t="e">
        <f>(B38*AL38)-(AB38+AB39)</f>
        <v>#REF!</v>
      </c>
      <c r="AX38" s="62" t="e">
        <f>AW38/(AB38+AB39)</f>
        <v>#REF!</v>
      </c>
      <c r="AY38" s="63" t="e">
        <f>(AN38*B38)-(AH38+AH39)</f>
        <v>#REF!</v>
      </c>
      <c r="AZ38" s="62" t="e">
        <f>AY38/(AH38+AH39)</f>
        <v>#REF!</v>
      </c>
      <c r="BA38" s="63" t="e">
        <f>AW38+AY38</f>
        <v>#REF!</v>
      </c>
      <c r="BB38" s="62" t="e">
        <f>BA38/(AB38+AB39+AH38+AH39)</f>
        <v>#REF!</v>
      </c>
      <c r="BC38" s="50"/>
      <c r="BD38" s="63" t="e">
        <f>AQ38+AW38</f>
        <v>#REF!</v>
      </c>
      <c r="BE38" s="62" t="e">
        <f>AX38</f>
        <v>#REF!</v>
      </c>
      <c r="BF38" s="63" t="e">
        <f>AS38+AY38</f>
        <v>#REF!</v>
      </c>
      <c r="BG38" s="62" t="e">
        <f>BF38/(AH38+AH39)</f>
        <v>#REF!</v>
      </c>
      <c r="BH38" s="63">
        <f>BH36</f>
        <v>0</v>
      </c>
      <c r="BI38" s="63" t="e">
        <f>BD38+BF38+BH38</f>
        <v>#REF!</v>
      </c>
      <c r="BJ38" s="62" t="e">
        <f>BI38/(AB38+AB39+AH38+AH39)</f>
        <v>#REF!</v>
      </c>
    </row>
    <row r="39" spans="2:62" ht="15.75" customHeight="1" x14ac:dyDescent="0.2">
      <c r="B39" s="33"/>
      <c r="C39" s="33"/>
      <c r="D39" s="29"/>
      <c r="E39" s="50"/>
      <c r="Q39" s="12"/>
      <c r="R39" s="12"/>
      <c r="S39" s="13"/>
      <c r="T39" s="13"/>
      <c r="U39" s="13"/>
      <c r="V39" s="58"/>
      <c r="W39" s="58"/>
      <c r="X39" s="58"/>
      <c r="AA39" s="31" t="e">
        <f>AA37</f>
        <v>#REF!</v>
      </c>
      <c r="AB39" s="31">
        <f>AB37</f>
        <v>240</v>
      </c>
      <c r="AC39" s="63" t="e">
        <f>AC37</f>
        <v>#REF!</v>
      </c>
      <c r="AD39" s="63"/>
      <c r="AE39" s="32" t="e">
        <f>AE37</f>
        <v>#REF!</v>
      </c>
      <c r="AF39" s="32"/>
      <c r="AG39" s="31" t="e">
        <f>AG37</f>
        <v>#REF!</v>
      </c>
      <c r="AH39" s="31">
        <f>AH37</f>
        <v>160</v>
      </c>
      <c r="AI39" s="63" t="e">
        <f>AI37</f>
        <v>#REF!</v>
      </c>
      <c r="AJ39" s="63"/>
      <c r="AK39" s="32" t="e">
        <f>AK37</f>
        <v>#REF!</v>
      </c>
      <c r="AL39" s="32"/>
      <c r="AM39" s="32"/>
      <c r="AN39" s="32"/>
      <c r="AO39" s="32"/>
      <c r="AQ39" s="52"/>
      <c r="AR39" s="50"/>
      <c r="AS39" s="52"/>
      <c r="AT39" s="50"/>
      <c r="AU39" s="52"/>
      <c r="AV39" s="62"/>
      <c r="AW39" s="52"/>
      <c r="AX39" s="50"/>
      <c r="AY39" s="52"/>
      <c r="AZ39" s="50"/>
      <c r="BA39" s="52"/>
      <c r="BB39" s="50"/>
      <c r="BC39" s="50"/>
      <c r="BD39" s="52"/>
      <c r="BE39" s="50"/>
      <c r="BF39" s="52"/>
      <c r="BG39" s="50"/>
      <c r="BH39" s="63"/>
      <c r="BI39" s="63"/>
      <c r="BJ39" s="62"/>
    </row>
    <row r="40" spans="2:62" ht="15.75" customHeight="1" x14ac:dyDescent="0.2">
      <c r="B40" s="33"/>
      <c r="C40" s="33"/>
      <c r="D40" s="29"/>
      <c r="E40" s="50"/>
      <c r="Q40" s="12"/>
      <c r="R40" s="12"/>
      <c r="S40" s="13"/>
      <c r="T40" s="13"/>
      <c r="U40" s="13"/>
      <c r="V40" s="58"/>
      <c r="W40" s="58"/>
      <c r="X40" s="58"/>
      <c r="AA40" s="31"/>
      <c r="AB40" s="31"/>
      <c r="AC40" s="63"/>
      <c r="AD40" s="63"/>
      <c r="AE40" s="32"/>
      <c r="AF40" s="32"/>
      <c r="AG40" s="31"/>
      <c r="AH40" s="31"/>
      <c r="AI40" s="63"/>
      <c r="AJ40" s="63"/>
      <c r="AK40" s="32"/>
      <c r="AL40" s="32"/>
      <c r="AM40" s="32"/>
      <c r="AN40" s="32"/>
      <c r="AO40" s="32"/>
      <c r="AQ40" s="52"/>
      <c r="AR40" s="50"/>
      <c r="AS40" s="52"/>
      <c r="AT40" s="50"/>
      <c r="AU40" s="52"/>
      <c r="AV40" s="62"/>
      <c r="AW40" s="52"/>
      <c r="AX40" s="50"/>
      <c r="AY40" s="52"/>
      <c r="AZ40" s="50"/>
      <c r="BA40" s="52"/>
      <c r="BB40" s="50"/>
      <c r="BC40" s="50"/>
      <c r="BD40" s="52"/>
      <c r="BE40" s="50"/>
      <c r="BF40" s="52"/>
      <c r="BG40" s="50"/>
      <c r="BH40" s="63"/>
      <c r="BI40" s="63"/>
      <c r="BJ40" s="62"/>
    </row>
    <row r="41" spans="2:62" ht="15.75" customHeight="1" x14ac:dyDescent="0.2">
      <c r="B41" s="67" t="s">
        <v>37</v>
      </c>
      <c r="C41" s="111"/>
      <c r="S41" s="12"/>
      <c r="T41" s="12"/>
      <c r="U41" s="12"/>
      <c r="V41" s="12"/>
      <c r="W41" s="12"/>
      <c r="X41" s="12"/>
      <c r="Y41" s="12"/>
      <c r="Z41" s="12"/>
      <c r="AA41" s="56" t="s">
        <v>27</v>
      </c>
      <c r="AB41" s="12"/>
      <c r="AC41" s="12"/>
      <c r="AD41" s="12"/>
      <c r="AE41" s="12"/>
      <c r="AF41" s="12"/>
      <c r="AG41" s="56" t="s">
        <v>28</v>
      </c>
      <c r="AH41" s="12"/>
      <c r="AI41" s="12"/>
      <c r="AJ41" s="12"/>
      <c r="AK41" s="12"/>
      <c r="AR41" s="33"/>
      <c r="AW41" s="63"/>
    </row>
    <row r="42" spans="2:62" ht="15.75" customHeight="1" x14ac:dyDescent="0.2">
      <c r="B42" s="28" t="s">
        <v>61</v>
      </c>
      <c r="C42" s="28"/>
      <c r="D42" s="28" t="s">
        <v>29</v>
      </c>
      <c r="E42" s="57" t="s">
        <v>63</v>
      </c>
      <c r="F42" s="57" t="s">
        <v>72</v>
      </c>
      <c r="G42" s="57"/>
      <c r="H42" s="103"/>
      <c r="I42" s="103"/>
      <c r="J42" s="103"/>
      <c r="K42" s="103"/>
      <c r="L42" s="103"/>
      <c r="M42" s="103"/>
      <c r="N42" s="103"/>
      <c r="O42" s="103"/>
      <c r="Q42" s="28" t="s">
        <v>3</v>
      </c>
      <c r="R42" s="28"/>
      <c r="S42" s="57" t="s">
        <v>50</v>
      </c>
      <c r="T42" s="57" t="s">
        <v>70</v>
      </c>
      <c r="U42" s="28" t="s">
        <v>1</v>
      </c>
      <c r="V42" s="57" t="s">
        <v>62</v>
      </c>
      <c r="W42" s="57" t="s">
        <v>9</v>
      </c>
      <c r="X42" s="57"/>
      <c r="Y42" s="60"/>
      <c r="Z42" s="12"/>
      <c r="AA42" s="28" t="s">
        <v>30</v>
      </c>
      <c r="AB42" s="28" t="s">
        <v>1</v>
      </c>
      <c r="AC42" s="57" t="s">
        <v>10</v>
      </c>
      <c r="AD42" s="57"/>
      <c r="AE42" s="57" t="s">
        <v>64</v>
      </c>
      <c r="AF42" s="60"/>
      <c r="AG42" s="28" t="s">
        <v>30</v>
      </c>
      <c r="AH42" s="28" t="s">
        <v>1</v>
      </c>
      <c r="AI42" s="57" t="s">
        <v>10</v>
      </c>
      <c r="AJ42" s="57"/>
      <c r="AK42" s="57" t="s">
        <v>64</v>
      </c>
      <c r="AR42" s="33"/>
    </row>
    <row r="43" spans="2:62" ht="15.75" customHeight="1" x14ac:dyDescent="0.2">
      <c r="B43" s="33">
        <v>100</v>
      </c>
      <c r="C43" s="33"/>
      <c r="D43" s="29">
        <v>0.6</v>
      </c>
      <c r="E43" s="50">
        <v>5</v>
      </c>
      <c r="F43">
        <v>10</v>
      </c>
      <c r="Q43" t="s">
        <v>38</v>
      </c>
      <c r="S43" s="33"/>
      <c r="T43" s="33"/>
      <c r="U43" s="33">
        <v>200</v>
      </c>
      <c r="V43" s="33"/>
      <c r="W43" s="33"/>
      <c r="X43" s="33"/>
      <c r="Y43" s="68"/>
      <c r="AA43" s="33" t="e">
        <f>#REF!</f>
        <v>#REF!</v>
      </c>
      <c r="AB43" s="33">
        <f>U43*D43</f>
        <v>120</v>
      </c>
      <c r="AC43" s="33"/>
      <c r="AD43" s="33"/>
      <c r="AE43" s="44" t="e">
        <f>AB43/AA43</f>
        <v>#REF!</v>
      </c>
      <c r="AF43" s="44"/>
      <c r="AG43" s="33" t="e">
        <f>#REF!</f>
        <v>#REF!</v>
      </c>
      <c r="AH43" s="31">
        <f>U43*(1-D43)</f>
        <v>80</v>
      </c>
      <c r="AI43" s="33"/>
      <c r="AJ43" s="33"/>
      <c r="AK43" s="32" t="e">
        <f>AH43/AG43</f>
        <v>#REF!</v>
      </c>
    </row>
    <row r="44" spans="2:62" ht="15.75" customHeight="1" x14ac:dyDescent="0.2">
      <c r="B44" s="36">
        <v>100</v>
      </c>
      <c r="C44" s="36"/>
      <c r="D44" s="37">
        <v>0.6</v>
      </c>
      <c r="E44" s="51">
        <v>5</v>
      </c>
      <c r="F44" s="35">
        <v>10</v>
      </c>
      <c r="G44" s="35"/>
      <c r="Q44" s="35" t="s">
        <v>39</v>
      </c>
      <c r="R44" s="35"/>
      <c r="S44" s="35"/>
      <c r="T44" s="35"/>
      <c r="U44" s="35"/>
      <c r="V44" s="35"/>
      <c r="W44" s="35"/>
      <c r="X44" s="35"/>
      <c r="AA44" s="38" t="s">
        <v>34</v>
      </c>
      <c r="AB44" s="38" t="s">
        <v>34</v>
      </c>
      <c r="AC44" s="38"/>
      <c r="AD44" s="38"/>
      <c r="AE44" s="38" t="s">
        <v>34</v>
      </c>
      <c r="AF44" s="31"/>
      <c r="AG44" s="38" t="s">
        <v>34</v>
      </c>
      <c r="AH44" s="38" t="s">
        <v>34</v>
      </c>
      <c r="AI44" s="38"/>
      <c r="AJ44" s="38"/>
      <c r="AK44" s="38" t="s">
        <v>34</v>
      </c>
    </row>
    <row r="45" spans="2:62" ht="15.75" customHeight="1" x14ac:dyDescent="0.2">
      <c r="B45" s="33">
        <v>100</v>
      </c>
      <c r="C45" s="33"/>
      <c r="D45" s="29">
        <v>0.6</v>
      </c>
      <c r="E45" s="50">
        <v>5</v>
      </c>
      <c r="F45">
        <v>10</v>
      </c>
      <c r="Q45" t="s">
        <v>40</v>
      </c>
      <c r="S45" s="33"/>
      <c r="T45" s="33"/>
      <c r="U45" s="33">
        <v>500</v>
      </c>
      <c r="V45" s="33"/>
      <c r="W45" s="33"/>
      <c r="X45" s="33"/>
      <c r="Y45" s="68"/>
      <c r="AA45" s="33" t="e">
        <f>#REF!</f>
        <v>#REF!</v>
      </c>
      <c r="AB45" s="33">
        <f>U45</f>
        <v>500</v>
      </c>
      <c r="AC45" s="33"/>
      <c r="AD45" s="33"/>
      <c r="AE45" s="44" t="e">
        <f>AB45/AA45</f>
        <v>#REF!</v>
      </c>
      <c r="AF45" s="44"/>
      <c r="AG45" s="31" t="s">
        <v>34</v>
      </c>
      <c r="AH45" s="31" t="s">
        <v>34</v>
      </c>
      <c r="AI45" s="33"/>
      <c r="AJ45" s="33"/>
      <c r="AK45" s="31" t="s">
        <v>34</v>
      </c>
    </row>
    <row r="46" spans="2:62" ht="15.75" customHeight="1" x14ac:dyDescent="0.2">
      <c r="B46" s="36">
        <v>100</v>
      </c>
      <c r="C46" s="36"/>
      <c r="D46" s="37">
        <v>0.6</v>
      </c>
      <c r="E46" s="51">
        <v>5</v>
      </c>
      <c r="F46" s="35">
        <v>10</v>
      </c>
      <c r="G46" s="35"/>
      <c r="Q46" s="35" t="s">
        <v>41</v>
      </c>
      <c r="R46" s="35"/>
      <c r="S46" s="35"/>
      <c r="T46" s="35"/>
      <c r="U46" s="35"/>
      <c r="V46" s="35"/>
      <c r="W46" s="35"/>
      <c r="X46" s="35"/>
      <c r="AA46" s="38" t="s">
        <v>34</v>
      </c>
      <c r="AB46" s="38" t="s">
        <v>34</v>
      </c>
      <c r="AC46" s="38"/>
      <c r="AD46" s="38"/>
      <c r="AE46" s="38" t="s">
        <v>34</v>
      </c>
      <c r="AF46" s="31"/>
      <c r="AG46" s="38" t="s">
        <v>34</v>
      </c>
      <c r="AH46" s="38" t="s">
        <v>34</v>
      </c>
      <c r="AI46" s="38"/>
      <c r="AJ46" s="38"/>
      <c r="AK46" s="38" t="s">
        <v>34</v>
      </c>
    </row>
    <row r="47" spans="2:62" ht="15.75" customHeight="1" x14ac:dyDescent="0.2">
      <c r="B47" s="33">
        <v>100</v>
      </c>
      <c r="C47" s="33"/>
      <c r="D47" s="29">
        <v>0.6</v>
      </c>
      <c r="E47" s="50">
        <v>5</v>
      </c>
      <c r="F47">
        <v>10</v>
      </c>
      <c r="Q47" t="s">
        <v>42</v>
      </c>
      <c r="S47" s="33"/>
      <c r="T47" s="33"/>
      <c r="U47" s="33">
        <v>350</v>
      </c>
      <c r="V47" s="33"/>
      <c r="W47" s="33"/>
      <c r="X47" s="33"/>
      <c r="Y47" s="68"/>
      <c r="AA47" s="31" t="s">
        <v>34</v>
      </c>
      <c r="AB47" s="31" t="s">
        <v>34</v>
      </c>
      <c r="AC47" s="31"/>
      <c r="AD47" s="31"/>
      <c r="AE47" s="31" t="s">
        <v>34</v>
      </c>
      <c r="AF47" s="31"/>
      <c r="AG47" s="33" t="e">
        <f>#REF!</f>
        <v>#REF!</v>
      </c>
      <c r="AH47" s="31">
        <f>U47*(1-D47)</f>
        <v>140</v>
      </c>
      <c r="AI47" s="31"/>
      <c r="AJ47" s="31"/>
      <c r="AK47" s="32" t="e">
        <f>AH47/AG47</f>
        <v>#REF!</v>
      </c>
    </row>
    <row r="48" spans="2:62" ht="15.75" customHeight="1" x14ac:dyDescent="0.2">
      <c r="B48" s="36">
        <v>100</v>
      </c>
      <c r="C48" s="36"/>
      <c r="D48" s="37">
        <v>0.6</v>
      </c>
      <c r="E48" s="51">
        <v>5</v>
      </c>
      <c r="F48" s="35">
        <v>10</v>
      </c>
      <c r="G48" s="35"/>
      <c r="Q48" s="35" t="s">
        <v>43</v>
      </c>
      <c r="R48" s="35"/>
      <c r="S48" s="35"/>
      <c r="T48" s="35"/>
      <c r="U48" s="35"/>
      <c r="V48" s="35"/>
      <c r="W48" s="35"/>
      <c r="X48" s="35"/>
      <c r="AA48" s="38" t="s">
        <v>34</v>
      </c>
      <c r="AB48" s="38" t="s">
        <v>34</v>
      </c>
      <c r="AC48" s="38"/>
      <c r="AD48" s="38"/>
      <c r="AE48" s="38" t="s">
        <v>34</v>
      </c>
      <c r="AF48" s="31"/>
      <c r="AG48" s="38" t="s">
        <v>34</v>
      </c>
      <c r="AH48" s="38" t="s">
        <v>34</v>
      </c>
      <c r="AI48" s="38"/>
      <c r="AJ48" s="38"/>
      <c r="AK48" s="38" t="s">
        <v>34</v>
      </c>
    </row>
    <row r="50" spans="2:42" ht="15.75" customHeight="1" x14ac:dyDescent="0.2">
      <c r="B50" s="66" t="s">
        <v>44</v>
      </c>
      <c r="C50" s="34"/>
      <c r="AA50" s="56" t="s">
        <v>27</v>
      </c>
      <c r="AB50" s="12"/>
      <c r="AC50" s="12"/>
      <c r="AD50" s="12"/>
      <c r="AE50" s="12"/>
      <c r="AF50" s="12"/>
      <c r="AG50" s="56" t="s">
        <v>28</v>
      </c>
      <c r="AI50" s="12"/>
      <c r="AJ50" s="12"/>
    </row>
    <row r="51" spans="2:42" ht="15.75" customHeight="1" x14ac:dyDescent="0.2">
      <c r="B51" s="28" t="s">
        <v>61</v>
      </c>
      <c r="C51" s="28"/>
      <c r="D51" s="28" t="s">
        <v>29</v>
      </c>
      <c r="E51" s="57" t="s">
        <v>63</v>
      </c>
      <c r="F51" s="57" t="s">
        <v>72</v>
      </c>
      <c r="G51" s="57"/>
      <c r="H51" s="103"/>
      <c r="I51" s="103"/>
      <c r="J51" s="103"/>
      <c r="K51" s="103"/>
      <c r="L51" s="103"/>
      <c r="M51" s="103"/>
      <c r="N51" s="103"/>
      <c r="O51" s="103"/>
      <c r="Q51" s="28" t="s">
        <v>3</v>
      </c>
      <c r="R51" s="28"/>
      <c r="S51" s="57" t="s">
        <v>50</v>
      </c>
      <c r="T51" s="57" t="s">
        <v>70</v>
      </c>
      <c r="U51" s="28" t="s">
        <v>1</v>
      </c>
      <c r="V51" s="57" t="s">
        <v>62</v>
      </c>
      <c r="W51" s="57" t="s">
        <v>9</v>
      </c>
      <c r="X51" s="57"/>
      <c r="Y51" s="60"/>
      <c r="Z51" s="12"/>
      <c r="AA51" s="28" t="s">
        <v>30</v>
      </c>
      <c r="AB51" s="28" t="s">
        <v>1</v>
      </c>
      <c r="AC51" s="57" t="s">
        <v>10</v>
      </c>
      <c r="AD51" s="57"/>
      <c r="AE51" s="57" t="s">
        <v>64</v>
      </c>
      <c r="AF51" s="60"/>
      <c r="AG51" s="28" t="s">
        <v>30</v>
      </c>
      <c r="AH51" s="28" t="s">
        <v>1</v>
      </c>
      <c r="AI51" s="57" t="s">
        <v>10</v>
      </c>
      <c r="AJ51" s="57"/>
      <c r="AK51" s="57" t="s">
        <v>64</v>
      </c>
    </row>
    <row r="52" spans="2:42" ht="15.75" customHeight="1" x14ac:dyDescent="0.2">
      <c r="B52" s="33">
        <v>100</v>
      </c>
      <c r="C52" s="33"/>
      <c r="D52" s="29">
        <v>0.3</v>
      </c>
      <c r="E52" s="50">
        <v>5</v>
      </c>
      <c r="F52">
        <v>10</v>
      </c>
      <c r="Q52" s="45" t="s">
        <v>47</v>
      </c>
      <c r="R52" s="45"/>
      <c r="S52" s="33"/>
      <c r="T52" s="33"/>
      <c r="U52" s="33">
        <v>200</v>
      </c>
      <c r="V52" s="33"/>
      <c r="W52" s="33"/>
      <c r="X52" s="33"/>
      <c r="Y52" s="68"/>
      <c r="AA52" s="33" t="e">
        <f>#REF!</f>
        <v>#REF!</v>
      </c>
      <c r="AB52" s="33">
        <f>U52*D52</f>
        <v>60</v>
      </c>
      <c r="AC52" s="33"/>
      <c r="AD52" s="33"/>
      <c r="AE52" s="44" t="e">
        <f>AB52/AA52</f>
        <v>#REF!</v>
      </c>
      <c r="AF52" s="44"/>
      <c r="AG52" s="33" t="e">
        <f>#REF!</f>
        <v>#REF!</v>
      </c>
      <c r="AH52" s="31">
        <f>U52*(1-D52)</f>
        <v>140</v>
      </c>
      <c r="AI52" s="33"/>
      <c r="AJ52" s="33"/>
      <c r="AK52" s="32" t="e">
        <f>AH52/AG52</f>
        <v>#REF!</v>
      </c>
    </row>
    <row r="53" spans="2:42" ht="15.75" customHeight="1" x14ac:dyDescent="0.2">
      <c r="B53" s="36">
        <v>100</v>
      </c>
      <c r="C53" s="36"/>
      <c r="D53" s="37">
        <v>0.3</v>
      </c>
      <c r="E53" s="51">
        <v>5</v>
      </c>
      <c r="F53" s="35">
        <v>10</v>
      </c>
      <c r="G53" s="35"/>
      <c r="Q53" s="47" t="s">
        <v>45</v>
      </c>
      <c r="R53" s="47"/>
      <c r="S53" s="36"/>
      <c r="T53" s="36"/>
      <c r="U53" s="36">
        <v>300</v>
      </c>
      <c r="V53" s="36"/>
      <c r="W53" s="36"/>
      <c r="X53" s="36"/>
      <c r="Y53" s="68"/>
      <c r="AA53" s="36" t="e">
        <f>#REF!</f>
        <v>#REF!</v>
      </c>
      <c r="AB53" s="36">
        <f>U53+AB52</f>
        <v>360</v>
      </c>
      <c r="AC53" s="36"/>
      <c r="AD53" s="36"/>
      <c r="AE53" s="48" t="e">
        <f>AB53/AA53</f>
        <v>#REF!</v>
      </c>
      <c r="AF53" s="44"/>
      <c r="AG53" s="36">
        <v>100</v>
      </c>
      <c r="AH53" s="38">
        <f>AH52</f>
        <v>140</v>
      </c>
      <c r="AI53" s="36"/>
      <c r="AJ53" s="36"/>
      <c r="AK53" s="39">
        <v>1.4</v>
      </c>
    </row>
    <row r="54" spans="2:42" ht="15.75" customHeight="1" x14ac:dyDescent="0.2">
      <c r="B54" s="33">
        <v>100</v>
      </c>
      <c r="C54" s="33"/>
      <c r="D54" s="29">
        <v>0.3</v>
      </c>
      <c r="E54" s="50">
        <v>5</v>
      </c>
      <c r="F54">
        <v>10</v>
      </c>
      <c r="Q54" s="45" t="s">
        <v>46</v>
      </c>
      <c r="R54" s="45"/>
      <c r="S54" s="33"/>
      <c r="T54" s="33"/>
      <c r="U54" s="33">
        <v>400</v>
      </c>
      <c r="V54" s="33"/>
      <c r="W54" s="33"/>
      <c r="X54" s="33"/>
      <c r="AA54" s="33">
        <v>100</v>
      </c>
      <c r="AB54" s="33">
        <f>AB53</f>
        <v>360</v>
      </c>
      <c r="AC54" s="33"/>
      <c r="AD54" s="33"/>
      <c r="AE54" s="44">
        <v>3.6</v>
      </c>
      <c r="AF54" s="44"/>
      <c r="AG54" s="33" t="e">
        <f>#REF!</f>
        <v>#REF!</v>
      </c>
      <c r="AH54" s="33">
        <f>U54+AH53</f>
        <v>540</v>
      </c>
      <c r="AI54" s="33"/>
      <c r="AJ54" s="33"/>
      <c r="AK54" s="32" t="e">
        <f>AH54/AG54</f>
        <v>#REF!</v>
      </c>
    </row>
    <row r="55" spans="2:42" ht="15.75" customHeight="1" x14ac:dyDescent="0.2">
      <c r="B55" s="36">
        <v>100</v>
      </c>
      <c r="C55" s="36"/>
      <c r="D55" s="37">
        <v>0.3</v>
      </c>
      <c r="E55" s="51">
        <v>5</v>
      </c>
      <c r="F55" s="35">
        <v>10</v>
      </c>
      <c r="G55" s="35"/>
      <c r="Q55" s="47" t="s">
        <v>48</v>
      </c>
      <c r="R55" s="47"/>
      <c r="S55" s="36"/>
      <c r="T55" s="36"/>
      <c r="U55" s="36">
        <v>500</v>
      </c>
      <c r="V55" s="36"/>
      <c r="W55" s="36"/>
      <c r="X55" s="36"/>
      <c r="Y55" s="68"/>
      <c r="AA55" s="36" t="e">
        <f>#REF!</f>
        <v>#REF!</v>
      </c>
      <c r="AB55" s="36">
        <f>AB54+(U55*D55)</f>
        <v>510</v>
      </c>
      <c r="AC55" s="36"/>
      <c r="AD55" s="36"/>
      <c r="AE55" s="48" t="e">
        <f>AB55/AA55</f>
        <v>#REF!</v>
      </c>
      <c r="AF55" s="44"/>
      <c r="AG55" s="36" t="e">
        <f>#REF!</f>
        <v>#REF!</v>
      </c>
      <c r="AH55" s="36">
        <f>AH54+(U55*(1-D55))</f>
        <v>890</v>
      </c>
      <c r="AI55" s="36"/>
      <c r="AJ55" s="36"/>
      <c r="AK55" s="39" t="e">
        <f>AH55/AG55</f>
        <v>#REF!</v>
      </c>
    </row>
    <row r="57" spans="2:42" ht="15.75" customHeight="1" x14ac:dyDescent="0.2">
      <c r="B57" s="66" t="s">
        <v>98</v>
      </c>
      <c r="C57" s="34"/>
      <c r="AA57" s="56" t="s">
        <v>27</v>
      </c>
      <c r="AB57" s="12"/>
      <c r="AC57" s="12"/>
      <c r="AD57" s="12"/>
      <c r="AE57" s="12"/>
      <c r="AF57" s="12"/>
      <c r="AG57" s="56" t="s">
        <v>28</v>
      </c>
      <c r="AI57" s="12"/>
      <c r="AJ57" s="12"/>
      <c r="AM57" s="34" t="s">
        <v>179</v>
      </c>
    </row>
    <row r="58" spans="2:42" ht="15.75" customHeight="1" x14ac:dyDescent="0.2">
      <c r="B58" s="28" t="s">
        <v>61</v>
      </c>
      <c r="C58" s="28"/>
      <c r="D58" s="28" t="s">
        <v>29</v>
      </c>
      <c r="E58" s="57" t="s">
        <v>63</v>
      </c>
      <c r="F58" s="57" t="s">
        <v>72</v>
      </c>
      <c r="G58" s="57" t="s">
        <v>99</v>
      </c>
      <c r="H58" s="103"/>
      <c r="I58" s="103"/>
      <c r="J58" s="103"/>
      <c r="K58" s="103"/>
      <c r="L58" s="103"/>
      <c r="M58" s="103"/>
      <c r="N58" s="103"/>
      <c r="O58" s="103"/>
      <c r="Q58" s="28" t="s">
        <v>3</v>
      </c>
      <c r="R58" s="28"/>
      <c r="S58" s="57" t="s">
        <v>50</v>
      </c>
      <c r="T58" s="57" t="s">
        <v>70</v>
      </c>
      <c r="U58" s="28" t="s">
        <v>1</v>
      </c>
      <c r="V58" s="57" t="s">
        <v>62</v>
      </c>
      <c r="W58" s="57" t="s">
        <v>9</v>
      </c>
      <c r="X58" s="57"/>
      <c r="Y58" s="60"/>
      <c r="Z58" s="12"/>
      <c r="AA58" s="28" t="s">
        <v>30</v>
      </c>
      <c r="AB58" s="28" t="s">
        <v>1</v>
      </c>
      <c r="AC58" s="57" t="s">
        <v>72</v>
      </c>
      <c r="AD58" s="57" t="s">
        <v>100</v>
      </c>
      <c r="AE58" s="57" t="s">
        <v>64</v>
      </c>
      <c r="AF58" s="60"/>
      <c r="AG58" s="28" t="s">
        <v>30</v>
      </c>
      <c r="AH58" s="28" t="s">
        <v>1</v>
      </c>
      <c r="AI58" s="57" t="s">
        <v>99</v>
      </c>
      <c r="AJ58" s="57" t="s">
        <v>101</v>
      </c>
      <c r="AK58" s="57" t="s">
        <v>64</v>
      </c>
      <c r="AM58" s="28" t="s">
        <v>100</v>
      </c>
      <c r="AN58" s="57" t="s">
        <v>101</v>
      </c>
      <c r="AO58" s="103"/>
      <c r="AP58" s="103"/>
    </row>
    <row r="59" spans="2:42" ht="15.75" customHeight="1" x14ac:dyDescent="0.2">
      <c r="B59" s="33">
        <v>100</v>
      </c>
      <c r="C59" s="33" t="s">
        <v>187</v>
      </c>
      <c r="D59" s="29">
        <v>0.5</v>
      </c>
      <c r="E59" s="50">
        <v>5</v>
      </c>
      <c r="F59">
        <v>10</v>
      </c>
      <c r="G59">
        <v>20</v>
      </c>
      <c r="Q59" s="45" t="s">
        <v>102</v>
      </c>
      <c r="R59" s="45"/>
      <c r="S59" s="33"/>
      <c r="T59" s="33"/>
      <c r="U59" s="33">
        <v>200</v>
      </c>
      <c r="V59" s="50" t="e">
        <f>U59/#REF!</f>
        <v>#REF!</v>
      </c>
      <c r="W59" s="33"/>
      <c r="X59" s="33"/>
      <c r="Y59" s="68"/>
      <c r="AA59" s="33" t="e">
        <f>#REF!</f>
        <v>#REF!</v>
      </c>
      <c r="AB59" s="33">
        <f>U59*D59</f>
        <v>100</v>
      </c>
      <c r="AC59" s="52" t="e">
        <f>AA59*(1+F59/100)/(1-#REF!/100)</f>
        <v>#REF!</v>
      </c>
      <c r="AD59" s="97" t="e">
        <f t="shared" ref="AD59:AD67" si="18">(B59-AC59)/AC59</f>
        <v>#REF!</v>
      </c>
      <c r="AE59" s="44" t="e">
        <f>AB59/AA59</f>
        <v>#REF!</v>
      </c>
      <c r="AF59" s="44"/>
      <c r="AG59" s="33" t="e">
        <f>#REF!</f>
        <v>#REF!</v>
      </c>
      <c r="AH59" s="31">
        <f>U59*(1-D59)</f>
        <v>100</v>
      </c>
      <c r="AI59" s="52" t="e">
        <f>AG59*(1+G59/100)/(1-#REF!/100)</f>
        <v>#REF!</v>
      </c>
      <c r="AJ59" s="54" t="e">
        <f t="shared" ref="AJ59:AJ67" si="19">(B59-AI59)/AI59</f>
        <v>#REF!</v>
      </c>
      <c r="AK59" s="32" t="e">
        <f>AH59/AG59</f>
        <v>#REF!</v>
      </c>
      <c r="AM59" s="54" t="e">
        <f t="shared" ref="AM59:AM67" si="20">(B59-AC59)/AC59</f>
        <v>#REF!</v>
      </c>
      <c r="AN59" s="54" t="e">
        <f t="shared" ref="AN59:AN67" si="21">(B59-AI59)/AI59</f>
        <v>#REF!</v>
      </c>
    </row>
    <row r="60" spans="2:42" ht="15.75" customHeight="1" x14ac:dyDescent="0.2">
      <c r="B60" s="36">
        <v>109</v>
      </c>
      <c r="C60" s="36" t="s">
        <v>187</v>
      </c>
      <c r="D60" s="37">
        <v>0.5</v>
      </c>
      <c r="E60" s="51">
        <v>5</v>
      </c>
      <c r="F60" s="35">
        <v>10</v>
      </c>
      <c r="G60" s="35">
        <v>20</v>
      </c>
      <c r="Q60" s="47"/>
      <c r="R60" s="47"/>
      <c r="S60" s="36"/>
      <c r="T60" s="36"/>
      <c r="U60" s="36"/>
      <c r="V60" s="51"/>
      <c r="W60" s="36"/>
      <c r="X60" s="36"/>
      <c r="Y60" s="68"/>
      <c r="AA60" s="36" t="e">
        <f t="shared" ref="AA60:AC62" si="22">AA59</f>
        <v>#REF!</v>
      </c>
      <c r="AB60" s="36">
        <f t="shared" si="22"/>
        <v>100</v>
      </c>
      <c r="AC60" s="40" t="e">
        <f t="shared" si="22"/>
        <v>#REF!</v>
      </c>
      <c r="AD60" s="118" t="e">
        <f t="shared" si="18"/>
        <v>#REF!</v>
      </c>
      <c r="AE60" s="48" t="e">
        <f>AE59</f>
        <v>#REF!</v>
      </c>
      <c r="AF60" s="44"/>
      <c r="AG60" s="36">
        <v>100</v>
      </c>
      <c r="AH60" s="38">
        <f t="shared" ref="AH60:AI62" si="23">AH59</f>
        <v>100</v>
      </c>
      <c r="AI60" s="40" t="e">
        <f t="shared" si="23"/>
        <v>#REF!</v>
      </c>
      <c r="AJ60" s="55" t="e">
        <f t="shared" si="19"/>
        <v>#REF!</v>
      </c>
      <c r="AK60" s="39" t="e">
        <f>AK59</f>
        <v>#REF!</v>
      </c>
      <c r="AM60" s="117" t="e">
        <f t="shared" si="20"/>
        <v>#REF!</v>
      </c>
      <c r="AN60" s="55" t="e">
        <f t="shared" si="21"/>
        <v>#REF!</v>
      </c>
    </row>
    <row r="61" spans="2:42" ht="15.75" customHeight="1" x14ac:dyDescent="0.2">
      <c r="B61" s="33">
        <v>115</v>
      </c>
      <c r="C61" s="33" t="s">
        <v>187</v>
      </c>
      <c r="D61" s="29">
        <v>0.5</v>
      </c>
      <c r="E61" s="50">
        <v>5</v>
      </c>
      <c r="F61">
        <v>10</v>
      </c>
      <c r="G61">
        <v>20</v>
      </c>
      <c r="Q61" s="45"/>
      <c r="R61" s="45"/>
      <c r="S61" s="33"/>
      <c r="T61" s="33"/>
      <c r="U61" s="33"/>
      <c r="V61" s="50"/>
      <c r="W61" s="33"/>
      <c r="X61" s="33"/>
      <c r="AA61" s="33" t="e">
        <f t="shared" si="22"/>
        <v>#REF!</v>
      </c>
      <c r="AB61" s="33">
        <f t="shared" si="22"/>
        <v>100</v>
      </c>
      <c r="AC61" s="120" t="e">
        <f t="shared" si="22"/>
        <v>#REF!</v>
      </c>
      <c r="AD61" s="115" t="e">
        <f t="shared" si="18"/>
        <v>#REF!</v>
      </c>
      <c r="AE61" s="44" t="e">
        <f>AE60</f>
        <v>#REF!</v>
      </c>
      <c r="AF61" s="44"/>
      <c r="AG61" s="33">
        <v>100</v>
      </c>
      <c r="AH61" s="31">
        <f t="shared" si="23"/>
        <v>100</v>
      </c>
      <c r="AI61" s="52" t="e">
        <f t="shared" si="23"/>
        <v>#REF!</v>
      </c>
      <c r="AJ61" s="62" t="e">
        <f t="shared" si="19"/>
        <v>#REF!</v>
      </c>
      <c r="AK61" s="32" t="e">
        <f>AK60</f>
        <v>#REF!</v>
      </c>
      <c r="AM61" s="119" t="e">
        <f t="shared" si="20"/>
        <v>#REF!</v>
      </c>
      <c r="AN61" s="54" t="e">
        <f t="shared" si="21"/>
        <v>#REF!</v>
      </c>
    </row>
    <row r="62" spans="2:42" ht="15.75" customHeight="1" x14ac:dyDescent="0.2">
      <c r="B62" s="36">
        <v>122</v>
      </c>
      <c r="C62" s="36" t="s">
        <v>187</v>
      </c>
      <c r="D62" s="37">
        <v>0.5</v>
      </c>
      <c r="E62" s="51">
        <v>5</v>
      </c>
      <c r="F62" s="35">
        <v>10</v>
      </c>
      <c r="G62" s="35">
        <v>20</v>
      </c>
      <c r="Q62" s="47"/>
      <c r="R62" s="47"/>
      <c r="S62" s="36"/>
      <c r="T62" s="36"/>
      <c r="U62" s="36"/>
      <c r="V62" s="51"/>
      <c r="W62" s="36"/>
      <c r="X62" s="36"/>
      <c r="Y62" s="68"/>
      <c r="AA62" s="36" t="e">
        <f t="shared" si="22"/>
        <v>#REF!</v>
      </c>
      <c r="AB62" s="36">
        <f t="shared" si="22"/>
        <v>100</v>
      </c>
      <c r="AC62" s="121" t="e">
        <f t="shared" si="22"/>
        <v>#REF!</v>
      </c>
      <c r="AD62" s="116" t="e">
        <f t="shared" si="18"/>
        <v>#REF!</v>
      </c>
      <c r="AE62" s="48" t="e">
        <f>AE61</f>
        <v>#REF!</v>
      </c>
      <c r="AF62" s="44"/>
      <c r="AG62" s="36">
        <v>100</v>
      </c>
      <c r="AH62" s="38">
        <f t="shared" si="23"/>
        <v>100</v>
      </c>
      <c r="AI62" s="121" t="e">
        <f t="shared" si="23"/>
        <v>#REF!</v>
      </c>
      <c r="AJ62" s="116" t="e">
        <f t="shared" si="19"/>
        <v>#REF!</v>
      </c>
      <c r="AK62" s="39" t="e">
        <f>AK61</f>
        <v>#REF!</v>
      </c>
      <c r="AM62" s="116" t="e">
        <f t="shared" si="20"/>
        <v>#REF!</v>
      </c>
      <c r="AN62" s="116" t="e">
        <f t="shared" si="21"/>
        <v>#REF!</v>
      </c>
    </row>
    <row r="63" spans="2:42" ht="15.75" customHeight="1" x14ac:dyDescent="0.2">
      <c r="B63" s="33">
        <v>100</v>
      </c>
      <c r="C63" s="33" t="s">
        <v>188</v>
      </c>
      <c r="D63" s="29">
        <v>0.5</v>
      </c>
      <c r="E63" s="50">
        <v>5</v>
      </c>
      <c r="F63">
        <v>10</v>
      </c>
      <c r="G63">
        <v>20</v>
      </c>
      <c r="Q63" s="45" t="s">
        <v>102</v>
      </c>
      <c r="R63" s="45"/>
      <c r="S63" s="33"/>
      <c r="T63" s="33"/>
      <c r="U63" s="33">
        <v>200</v>
      </c>
      <c r="V63" s="50" t="e">
        <f>U63/#REF!</f>
        <v>#REF!</v>
      </c>
      <c r="W63" s="33"/>
      <c r="X63" s="33"/>
      <c r="Y63" s="68"/>
      <c r="AA63" s="33" t="e">
        <f>#REF!</f>
        <v>#REF!</v>
      </c>
      <c r="AB63" s="33">
        <f>U63*D63</f>
        <v>100</v>
      </c>
      <c r="AC63" s="52" t="e">
        <f>AA63*(1+F63/100)/(1-#REF!/100)</f>
        <v>#REF!</v>
      </c>
      <c r="AD63" s="97" t="e">
        <f t="shared" si="18"/>
        <v>#REF!</v>
      </c>
      <c r="AE63" s="44" t="e">
        <f>AB63/AA63</f>
        <v>#REF!</v>
      </c>
      <c r="AF63" s="44"/>
      <c r="AG63" s="33" t="e">
        <f>#REF!</f>
        <v>#REF!</v>
      </c>
      <c r="AH63" s="31">
        <f>U63*(1-D63)</f>
        <v>100</v>
      </c>
      <c r="AI63" s="52" t="e">
        <f>AG63*(1+G63/100)/(1-#REF!/100)</f>
        <v>#REF!</v>
      </c>
      <c r="AJ63" s="54" t="e">
        <f t="shared" si="19"/>
        <v>#REF!</v>
      </c>
      <c r="AK63" s="32" t="e">
        <f>AH63/AG63</f>
        <v>#REF!</v>
      </c>
      <c r="AM63" s="54" t="e">
        <f t="shared" si="20"/>
        <v>#REF!</v>
      </c>
      <c r="AN63" s="54" t="e">
        <f t="shared" si="21"/>
        <v>#REF!</v>
      </c>
    </row>
    <row r="64" spans="2:42" ht="15.75" customHeight="1" x14ac:dyDescent="0.2">
      <c r="B64" s="36">
        <v>109</v>
      </c>
      <c r="C64" s="36" t="s">
        <v>188</v>
      </c>
      <c r="D64" s="37">
        <v>0.5</v>
      </c>
      <c r="E64" s="51">
        <v>5</v>
      </c>
      <c r="F64" s="35">
        <v>10</v>
      </c>
      <c r="G64" s="35">
        <v>20</v>
      </c>
      <c r="Q64" s="47"/>
      <c r="R64" s="47"/>
      <c r="S64" s="36"/>
      <c r="T64" s="36"/>
      <c r="U64" s="36"/>
      <c r="V64" s="51"/>
      <c r="W64" s="36"/>
      <c r="X64" s="36"/>
      <c r="Y64" s="68"/>
      <c r="AA64" s="36" t="e">
        <f t="shared" ref="AA64:AC64" si="24">AA63</f>
        <v>#REF!</v>
      </c>
      <c r="AB64" s="36">
        <f t="shared" si="24"/>
        <v>100</v>
      </c>
      <c r="AC64" s="40" t="e">
        <f t="shared" si="24"/>
        <v>#REF!</v>
      </c>
      <c r="AD64" s="55" t="e">
        <f t="shared" si="18"/>
        <v>#REF!</v>
      </c>
      <c r="AE64" s="48" t="e">
        <f>AE63</f>
        <v>#REF!</v>
      </c>
      <c r="AF64" s="44"/>
      <c r="AG64" s="36">
        <v>100</v>
      </c>
      <c r="AH64" s="38">
        <f t="shared" ref="AH64:AI64" si="25">AH63</f>
        <v>100</v>
      </c>
      <c r="AI64" s="40" t="e">
        <f t="shared" si="25"/>
        <v>#REF!</v>
      </c>
      <c r="AJ64" s="55" t="e">
        <f t="shared" si="19"/>
        <v>#REF!</v>
      </c>
      <c r="AK64" s="39" t="e">
        <f>AK63</f>
        <v>#REF!</v>
      </c>
      <c r="AM64" s="55" t="e">
        <f t="shared" si="20"/>
        <v>#REF!</v>
      </c>
      <c r="AN64" s="55" t="e">
        <f t="shared" si="21"/>
        <v>#REF!</v>
      </c>
    </row>
    <row r="65" spans="2:40" ht="15.75" customHeight="1" x14ac:dyDescent="0.2">
      <c r="B65" s="33">
        <v>115</v>
      </c>
      <c r="C65" s="33" t="s">
        <v>188</v>
      </c>
      <c r="D65" s="29">
        <v>0.5</v>
      </c>
      <c r="E65" s="50">
        <v>5</v>
      </c>
      <c r="F65">
        <v>10</v>
      </c>
      <c r="G65">
        <v>20</v>
      </c>
      <c r="Q65" s="45"/>
      <c r="R65" s="45"/>
      <c r="S65" s="33"/>
      <c r="T65" s="33"/>
      <c r="U65" s="33"/>
      <c r="V65" s="50"/>
      <c r="W65" s="33"/>
      <c r="X65" s="33"/>
      <c r="Y65" s="68"/>
      <c r="AA65" s="33" t="e">
        <f t="shared" ref="AA65:AC65" si="26">AA64</f>
        <v>#REF!</v>
      </c>
      <c r="AB65" s="33">
        <f t="shared" si="26"/>
        <v>100</v>
      </c>
      <c r="AC65" s="120" t="e">
        <f t="shared" si="26"/>
        <v>#REF!</v>
      </c>
      <c r="AD65" s="115" t="e">
        <f t="shared" si="18"/>
        <v>#REF!</v>
      </c>
      <c r="AE65" s="44" t="e">
        <f>AE64</f>
        <v>#REF!</v>
      </c>
      <c r="AF65" s="44"/>
      <c r="AG65" s="33">
        <v>100</v>
      </c>
      <c r="AH65" s="31">
        <f t="shared" ref="AH65:AI65" si="27">AH64</f>
        <v>100</v>
      </c>
      <c r="AI65" s="52" t="e">
        <f t="shared" si="27"/>
        <v>#REF!</v>
      </c>
      <c r="AJ65" s="62" t="e">
        <f t="shared" si="19"/>
        <v>#REF!</v>
      </c>
      <c r="AK65" s="32" t="e">
        <f>AK64</f>
        <v>#REF!</v>
      </c>
      <c r="AM65" s="119" t="e">
        <f t="shared" si="20"/>
        <v>#REF!</v>
      </c>
      <c r="AN65" s="54" t="e">
        <f t="shared" si="21"/>
        <v>#REF!</v>
      </c>
    </row>
    <row r="66" spans="2:40" ht="15.75" customHeight="1" x14ac:dyDescent="0.2">
      <c r="B66" s="36">
        <v>122</v>
      </c>
      <c r="C66" s="123" t="s">
        <v>188</v>
      </c>
      <c r="D66" s="37">
        <v>0.5</v>
      </c>
      <c r="E66" s="51">
        <v>5</v>
      </c>
      <c r="F66" s="35">
        <v>10</v>
      </c>
      <c r="G66" s="35">
        <v>20</v>
      </c>
      <c r="Q66" s="47"/>
      <c r="R66" s="47"/>
      <c r="S66" s="36"/>
      <c r="T66" s="36"/>
      <c r="U66" s="36"/>
      <c r="V66" s="51"/>
      <c r="W66" s="36"/>
      <c r="X66" s="36"/>
      <c r="Y66" s="68"/>
      <c r="AA66" s="36" t="e">
        <f t="shared" ref="AA66:AC66" si="28">AA65</f>
        <v>#REF!</v>
      </c>
      <c r="AB66" s="36">
        <f t="shared" si="28"/>
        <v>100</v>
      </c>
      <c r="AC66" s="121" t="e">
        <f t="shared" si="28"/>
        <v>#REF!</v>
      </c>
      <c r="AD66" s="116" t="e">
        <f t="shared" si="18"/>
        <v>#REF!</v>
      </c>
      <c r="AE66" s="48" t="e">
        <f>AE65</f>
        <v>#REF!</v>
      </c>
      <c r="AF66" s="44"/>
      <c r="AG66" s="36">
        <v>100</v>
      </c>
      <c r="AH66" s="38">
        <f t="shared" ref="AH66:AI66" si="29">AH65</f>
        <v>100</v>
      </c>
      <c r="AI66" s="121" t="e">
        <f t="shared" si="29"/>
        <v>#REF!</v>
      </c>
      <c r="AJ66" s="116" t="e">
        <f t="shared" si="19"/>
        <v>#REF!</v>
      </c>
      <c r="AK66" s="39" t="e">
        <f>AK65</f>
        <v>#REF!</v>
      </c>
      <c r="AM66" s="116" t="e">
        <f t="shared" si="20"/>
        <v>#REF!</v>
      </c>
      <c r="AN66" s="116" t="e">
        <f t="shared" si="21"/>
        <v>#REF!</v>
      </c>
    </row>
    <row r="67" spans="2:40" ht="15.75" customHeight="1" x14ac:dyDescent="0.2">
      <c r="B67" s="33">
        <v>122</v>
      </c>
      <c r="C67" s="33" t="s">
        <v>188</v>
      </c>
      <c r="D67" s="29">
        <v>0.5</v>
      </c>
      <c r="E67" s="50">
        <v>5</v>
      </c>
      <c r="F67">
        <v>10</v>
      </c>
      <c r="G67">
        <v>20</v>
      </c>
      <c r="Q67" s="45" t="s">
        <v>189</v>
      </c>
      <c r="R67" s="45"/>
      <c r="S67" s="33"/>
      <c r="T67" s="33"/>
      <c r="U67" s="33">
        <v>200</v>
      </c>
      <c r="V67" s="50" t="e">
        <f>U67/#REF!</f>
        <v>#REF!</v>
      </c>
      <c r="W67" s="33"/>
      <c r="X67" s="33"/>
      <c r="Y67" s="68"/>
      <c r="AA67" s="33" t="e">
        <f>#REF!</f>
        <v>#REF!</v>
      </c>
      <c r="AB67" s="33">
        <f>U67*D67</f>
        <v>100</v>
      </c>
      <c r="AC67" s="120" t="e">
        <f>AA67*(1+F67/100)/(1-#REF!/100)</f>
        <v>#REF!</v>
      </c>
      <c r="AD67" s="115" t="e">
        <f t="shared" si="18"/>
        <v>#REF!</v>
      </c>
      <c r="AE67" s="44" t="e">
        <f>AE66</f>
        <v>#REF!</v>
      </c>
      <c r="AF67" s="44"/>
      <c r="AG67" s="33" t="e">
        <f>#REF!</f>
        <v>#REF!</v>
      </c>
      <c r="AH67" s="31">
        <f>U67*(1-D67)</f>
        <v>100</v>
      </c>
      <c r="AI67" s="52" t="e">
        <f>AG67*(1+G67/100)/(1-#REF!/100)</f>
        <v>#REF!</v>
      </c>
      <c r="AJ67" s="54" t="e">
        <f t="shared" si="19"/>
        <v>#REF!</v>
      </c>
      <c r="AK67" s="32" t="e">
        <f>AH67/AG67</f>
        <v>#REF!</v>
      </c>
      <c r="AM67" s="119" t="e">
        <f t="shared" si="20"/>
        <v>#REF!</v>
      </c>
      <c r="AN67" s="54" t="e">
        <f t="shared" si="21"/>
        <v>#REF!</v>
      </c>
    </row>
    <row r="68" spans="2:40" ht="15.75" customHeight="1" x14ac:dyDescent="0.2">
      <c r="B68" s="33"/>
      <c r="C68" s="33"/>
      <c r="D68" s="29"/>
      <c r="E68" s="50"/>
      <c r="Q68" s="45"/>
      <c r="R68" s="45"/>
      <c r="S68" s="33"/>
      <c r="T68" s="33"/>
      <c r="U68" s="33"/>
      <c r="V68" s="50"/>
      <c r="W68" s="33"/>
      <c r="X68" s="33"/>
      <c r="Y68" s="68"/>
      <c r="AA68" s="33"/>
      <c r="AB68" s="33"/>
      <c r="AC68" s="52"/>
      <c r="AD68" s="62"/>
      <c r="AE68" s="44"/>
      <c r="AF68" s="44"/>
      <c r="AG68" s="33"/>
      <c r="AH68" s="31"/>
      <c r="AI68" s="33"/>
      <c r="AJ68" s="62"/>
      <c r="AK68" s="32"/>
    </row>
    <row r="69" spans="2:40" ht="15.75" customHeight="1" x14ac:dyDescent="0.2"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</row>
    <row r="70" spans="2:40" ht="15.75" customHeight="1" x14ac:dyDescent="0.2">
      <c r="B70" s="96" t="s">
        <v>103</v>
      </c>
      <c r="C70" s="34"/>
      <c r="AA70" s="112"/>
      <c r="AB70" s="112"/>
      <c r="AC70" s="113"/>
      <c r="AD70" s="112"/>
      <c r="AE70" s="112"/>
      <c r="AF70" s="112"/>
      <c r="AG70" s="112"/>
      <c r="AH70" s="112"/>
      <c r="AI70" s="112"/>
      <c r="AJ70" s="112"/>
      <c r="AK70" s="112"/>
      <c r="AL70" s="112"/>
    </row>
    <row r="71" spans="2:40" ht="15.75" customHeight="1" x14ac:dyDescent="0.2">
      <c r="B71" s="28" t="s">
        <v>61</v>
      </c>
      <c r="C71" s="28"/>
      <c r="D71" s="28" t="s">
        <v>29</v>
      </c>
      <c r="E71" s="57" t="s">
        <v>63</v>
      </c>
      <c r="F71" s="57" t="s">
        <v>72</v>
      </c>
      <c r="G71" s="57" t="s">
        <v>99</v>
      </c>
      <c r="H71" s="103"/>
      <c r="I71" s="103"/>
      <c r="J71" s="103"/>
      <c r="K71" s="103"/>
      <c r="L71" s="103"/>
      <c r="M71" s="103"/>
      <c r="N71" s="103"/>
      <c r="O71" s="103"/>
      <c r="AA71" s="112"/>
      <c r="AB71" s="112"/>
      <c r="AC71" s="114"/>
      <c r="AD71" s="112"/>
      <c r="AE71" s="112"/>
      <c r="AF71" s="112"/>
      <c r="AG71" s="112"/>
      <c r="AH71" s="112"/>
      <c r="AI71" s="112"/>
      <c r="AJ71" s="112"/>
      <c r="AK71" s="112"/>
      <c r="AL71" s="112"/>
    </row>
    <row r="72" spans="2:40" ht="15.75" customHeight="1" x14ac:dyDescent="0.2">
      <c r="B72" s="33">
        <v>100</v>
      </c>
      <c r="C72" s="33"/>
      <c r="D72" s="29">
        <v>0.5</v>
      </c>
      <c r="E72" s="50">
        <v>5</v>
      </c>
      <c r="F72">
        <v>10</v>
      </c>
      <c r="G72">
        <v>20</v>
      </c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</row>
    <row r="73" spans="2:40" ht="15.75" customHeight="1" x14ac:dyDescent="0.2">
      <c r="B73" s="36">
        <v>109</v>
      </c>
      <c r="C73" s="36"/>
      <c r="D73" s="37">
        <v>0.5</v>
      </c>
      <c r="E73" s="51">
        <v>5</v>
      </c>
      <c r="F73" s="35">
        <v>10</v>
      </c>
      <c r="G73" s="35">
        <v>20</v>
      </c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</row>
    <row r="74" spans="2:40" ht="15.75" customHeight="1" x14ac:dyDescent="0.2">
      <c r="B74" s="33">
        <v>115</v>
      </c>
      <c r="C74" s="33"/>
      <c r="D74" s="29">
        <v>0.5</v>
      </c>
      <c r="E74" s="50">
        <v>5</v>
      </c>
      <c r="F74">
        <v>10</v>
      </c>
      <c r="G74">
        <v>20</v>
      </c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</row>
    <row r="75" spans="2:40" ht="15.75" customHeight="1" x14ac:dyDescent="0.2">
      <c r="B75" s="36">
        <v>122</v>
      </c>
      <c r="C75" s="36"/>
      <c r="D75" s="37">
        <v>0.5</v>
      </c>
      <c r="E75" s="51">
        <v>5</v>
      </c>
      <c r="F75" s="35">
        <v>10</v>
      </c>
      <c r="G75" s="35">
        <v>20</v>
      </c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</row>
    <row r="76" spans="2:40" ht="15.75" customHeight="1" x14ac:dyDescent="0.2">
      <c r="AL76" s="122"/>
    </row>
    <row r="77" spans="2:40" ht="15.75" customHeight="1" x14ac:dyDescent="0.2">
      <c r="B77" s="66" t="s">
        <v>175</v>
      </c>
      <c r="C77" s="34"/>
      <c r="AA77" s="56" t="s">
        <v>186</v>
      </c>
      <c r="AB77" s="12"/>
      <c r="AC77" s="12"/>
      <c r="AD77" s="34" t="s">
        <v>179</v>
      </c>
      <c r="AG77" s="46"/>
      <c r="AH77" s="45"/>
      <c r="AI77" s="46"/>
      <c r="AJ77" s="46"/>
      <c r="AK77" s="45"/>
    </row>
    <row r="78" spans="2:40" ht="15.75" customHeight="1" x14ac:dyDescent="0.2">
      <c r="B78" s="28" t="s">
        <v>110</v>
      </c>
      <c r="C78" s="28" t="s">
        <v>114</v>
      </c>
      <c r="D78" s="28" t="s">
        <v>29</v>
      </c>
      <c r="E78" s="57" t="s">
        <v>63</v>
      </c>
      <c r="F78" s="57" t="s">
        <v>72</v>
      </c>
      <c r="G78" s="57" t="s">
        <v>99</v>
      </c>
      <c r="H78" s="103"/>
      <c r="I78" s="103"/>
      <c r="J78" s="103"/>
      <c r="K78" s="103"/>
      <c r="L78" s="103"/>
      <c r="M78" s="103"/>
      <c r="N78" s="103"/>
      <c r="O78" s="103"/>
      <c r="Q78" s="28" t="s">
        <v>3</v>
      </c>
      <c r="R78" s="28"/>
      <c r="S78" s="28"/>
      <c r="T78" s="57" t="s">
        <v>70</v>
      </c>
      <c r="U78" s="28" t="s">
        <v>1</v>
      </c>
      <c r="V78" s="57" t="s">
        <v>62</v>
      </c>
      <c r="W78" s="103"/>
      <c r="X78" s="103"/>
      <c r="AA78" s="57" t="s">
        <v>0</v>
      </c>
      <c r="AB78" s="57" t="s">
        <v>9</v>
      </c>
      <c r="AC78" s="103"/>
      <c r="AD78" s="57" t="s">
        <v>182</v>
      </c>
      <c r="AE78" s="57" t="s">
        <v>183</v>
      </c>
      <c r="AF78" s="57" t="s">
        <v>181</v>
      </c>
      <c r="AG78" s="103"/>
      <c r="AH78" s="103"/>
      <c r="AI78" s="103"/>
      <c r="AJ78" s="103"/>
      <c r="AK78" s="103"/>
    </row>
    <row r="79" spans="2:40" ht="15.75" customHeight="1" x14ac:dyDescent="0.2">
      <c r="B79" s="33">
        <v>100</v>
      </c>
      <c r="C79" s="101" t="s">
        <v>176</v>
      </c>
      <c r="D79" s="29">
        <v>0.5</v>
      </c>
      <c r="E79" s="50">
        <v>5</v>
      </c>
      <c r="F79">
        <v>10</v>
      </c>
      <c r="G79">
        <v>20</v>
      </c>
      <c r="Q79" s="45" t="s">
        <v>75</v>
      </c>
      <c r="R79" s="45"/>
      <c r="S79" s="33"/>
      <c r="T79" s="33"/>
      <c r="U79" s="33">
        <v>500</v>
      </c>
      <c r="V79" s="50" t="e">
        <f>U79/#REF!</f>
        <v>#REF!</v>
      </c>
      <c r="W79" s="52"/>
      <c r="X79" s="52"/>
      <c r="AA79" s="33"/>
      <c r="AB79" s="33"/>
      <c r="AC79" s="33"/>
      <c r="AD79" s="102" t="e">
        <f>IF(
      OR(
        (B79*(1+#REF!/100)/C86-1)*100 &lt;= -E79,
        (B79*(1+#REF!/100)/C87-1)*100 &lt;= -E79,
        (B79*(1+#REF!/100)/C88-1)*100 &lt;= -E79,
        (B79*(1+#REF!/100)/C89-1)*100 &lt;= -E79,
        (B79*(1+#REF!/100)/C90-1)*100 &lt;= -E79
      ),
      MIN(
        IF((B79*(1+#REF!/100)/C86-1)*100 &lt;= -E79, (B79*(1+#REF!/100)/C86-1)*100, 0),
        IF((B79*(1+#REF!/100)/C87-1)*100 &lt;= -E79, (B79*(1+#REF!/100)/C87-1)*100, 0),
        IF((B79*(1+#REF!/100)/C88-1)*100 &lt;= -E79, (B79*(1+#REF!/100)/C88-1)*100, 0),
        IF((B79*(1+#REF!/100)/C89-1)*100 &lt;= -E79, (B79*(1+#REF!/100)/C89-1)*100, 0),
        IF((B79*(1+#REF!/100)/C90-1)*100 &lt;= -E79, (B79*(1+#REF!/100)/C90-1)*100, 0)
      )/100,
      ""
    )</f>
        <v>#REF!</v>
      </c>
      <c r="AE79" s="93" t="s">
        <v>34</v>
      </c>
      <c r="AF79" t="s">
        <v>184</v>
      </c>
      <c r="AG79" s="101"/>
      <c r="AH79" s="104"/>
      <c r="AI79" s="101"/>
      <c r="AJ79" s="105"/>
      <c r="AK79" s="106"/>
    </row>
    <row r="80" spans="2:40" ht="15.75" customHeight="1" x14ac:dyDescent="0.2">
      <c r="B80" s="36"/>
      <c r="C80" s="36"/>
      <c r="D80" s="37"/>
      <c r="E80" s="51"/>
      <c r="F80" s="35"/>
      <c r="G80" s="35"/>
      <c r="Q80" s="47" t="s">
        <v>75</v>
      </c>
      <c r="R80" s="47"/>
      <c r="S80" s="36"/>
      <c r="T80" s="36"/>
      <c r="U80" s="36">
        <v>200</v>
      </c>
      <c r="V80" s="51" t="e">
        <f>U80/#REF!</f>
        <v>#REF!</v>
      </c>
      <c r="W80" s="52"/>
      <c r="X80" s="52"/>
      <c r="AA80" s="36"/>
      <c r="AB80" s="36"/>
      <c r="AC80" s="33"/>
      <c r="AD80" s="109" t="e">
        <f>IF(
      OR(
        (B79*(1+#REF!/100)/C86-1)*100 &lt;= -E79,
        (B79*(1+#REF!/100)/C87-1)*100 &lt;= -E79,
        (B79*(1+#REF!/100)/C88-1)*100 &lt;= -E79,
        (B79*(1+#REF!/100)/C89-1)*100 &lt;= -E79,
        (B79*(1+#REF!/100)/C90-1)*100 &lt;= -E79
      ),
      MIN(
        IF((B79*(1+#REF!/100)/C86-1)*100 &lt;= -E79, (B79*(1+#REF!/100)/C86-1)*100, 0),
        IF((B79*(1+#REF!/100)/C87-1)*100 &lt;= -E79, (B79*(1+#REF!/100)/C87-1)*100, 0),
        IF((B79*(1+#REF!/100)/C88-1)*100 &lt;= -E79, (B79*(1+#REF!/100)/C88-1)*100, 0),
        IF((B79*(1+#REF!/100)/C89-1)*100 &lt;= -E79, (B79*(1+#REF!/100)/C89-1)*100, 0),
        IF((B79*(1+#REF!/100)/C90-1)*100 &lt;= -E79, (B79*(1+#REF!/100)/C90-1)*100, 0)
      )/100,
      ""
    )</f>
        <v>#REF!</v>
      </c>
      <c r="AE80" s="107" t="s">
        <v>34</v>
      </c>
      <c r="AF80" s="35" t="e">
        <f>#REF!</f>
        <v>#REF!</v>
      </c>
      <c r="AG80" s="101"/>
      <c r="AH80" s="104"/>
      <c r="AI80" s="101"/>
      <c r="AJ80" s="105"/>
      <c r="AK80" s="106"/>
    </row>
    <row r="81" spans="2:43" ht="15.75" customHeight="1" x14ac:dyDescent="0.2">
      <c r="B81" s="33">
        <v>50</v>
      </c>
      <c r="C81" s="101" t="s">
        <v>185</v>
      </c>
      <c r="D81" s="29">
        <v>0.5</v>
      </c>
      <c r="E81" s="50">
        <v>8</v>
      </c>
      <c r="F81">
        <v>10</v>
      </c>
      <c r="G81">
        <v>20</v>
      </c>
      <c r="Q81" s="45" t="s">
        <v>75</v>
      </c>
      <c r="R81" s="45"/>
      <c r="S81" s="33"/>
      <c r="T81" s="33"/>
      <c r="U81" s="33">
        <v>600</v>
      </c>
      <c r="V81" s="50" t="e">
        <f>U81/#REF!</f>
        <v>#REF!</v>
      </c>
      <c r="W81" s="52"/>
      <c r="X81" s="52"/>
      <c r="AA81" s="33" t="e">
        <f>#REF!</f>
        <v>#REF!</v>
      </c>
      <c r="AB81" s="52" t="e">
        <f>AA81 * (1 - $E$81%)</f>
        <v>#REF!</v>
      </c>
      <c r="AC81" s="33"/>
      <c r="AE81" s="54" t="e">
        <f>($B$81 -#REF!) /#REF!</f>
        <v>#REF!</v>
      </c>
      <c r="AF81" t="e">
        <f>#REF!</f>
        <v>#REF!</v>
      </c>
      <c r="AG81" s="101"/>
      <c r="AH81" s="104"/>
      <c r="AI81" s="101"/>
      <c r="AJ81" s="105"/>
      <c r="AK81" s="106"/>
    </row>
    <row r="82" spans="2:43" ht="15.75" customHeight="1" x14ac:dyDescent="0.2">
      <c r="B82" s="36"/>
      <c r="C82" s="36"/>
      <c r="D82" s="37"/>
      <c r="E82" s="51"/>
      <c r="F82" s="35"/>
      <c r="G82" s="35"/>
      <c r="Q82" s="47" t="s">
        <v>75</v>
      </c>
      <c r="R82" s="47"/>
      <c r="S82" s="36"/>
      <c r="T82" s="36"/>
      <c r="U82" s="36">
        <v>520</v>
      </c>
      <c r="V82" s="51" t="e">
        <f>U82/#REF!</f>
        <v>#REF!</v>
      </c>
      <c r="W82" s="52"/>
      <c r="X82" s="52"/>
      <c r="AA82" s="36" t="e">
        <f>#REF!</f>
        <v>#REF!</v>
      </c>
      <c r="AB82" s="40" t="e">
        <f t="shared" ref="AB82:AB83" si="30">AA82 * (1 - $E$81%)</f>
        <v>#REF!</v>
      </c>
      <c r="AC82" s="33"/>
      <c r="AD82" s="35"/>
      <c r="AE82" s="55" t="e">
        <f>($B$81 -#REF!) /#REF!</f>
        <v>#REF!</v>
      </c>
      <c r="AF82" s="35" t="e">
        <f>#REF!</f>
        <v>#REF!</v>
      </c>
      <c r="AG82" s="101"/>
      <c r="AH82" s="104"/>
      <c r="AI82" s="101"/>
      <c r="AJ82" s="105"/>
      <c r="AK82" s="106"/>
    </row>
    <row r="83" spans="2:43" ht="15.75" customHeight="1" x14ac:dyDescent="0.2">
      <c r="B83" s="33"/>
      <c r="C83" s="33"/>
      <c r="D83" s="29"/>
      <c r="E83" s="50"/>
      <c r="Q83" t="s">
        <v>75</v>
      </c>
      <c r="U83" s="33">
        <v>700</v>
      </c>
      <c r="V83" s="50" t="e">
        <f>U83/#REF!</f>
        <v>#REF!</v>
      </c>
      <c r="W83" s="52"/>
      <c r="X83" s="52"/>
      <c r="AA83" s="33" t="e">
        <f>#REF!</f>
        <v>#REF!</v>
      </c>
      <c r="AB83" s="52" t="e">
        <f t="shared" si="30"/>
        <v>#REF!</v>
      </c>
      <c r="AE83" s="54" t="e">
        <f>($B$81 -#REF!) /#REF!</f>
        <v>#REF!</v>
      </c>
      <c r="AF83" t="e">
        <f>#REF!</f>
        <v>#REF!</v>
      </c>
      <c r="AG83" s="45"/>
      <c r="AH83" s="45"/>
      <c r="AI83" s="45"/>
      <c r="AJ83" s="45"/>
      <c r="AK83" s="45"/>
    </row>
    <row r="84" spans="2:43" ht="15.75" customHeight="1" x14ac:dyDescent="0.2">
      <c r="B84" s="101" t="s">
        <v>177</v>
      </c>
      <c r="C84" s="33"/>
      <c r="D84" s="29"/>
      <c r="E84" s="50"/>
      <c r="Q84" s="47" t="s">
        <v>75</v>
      </c>
      <c r="R84" s="47"/>
      <c r="S84" s="35"/>
      <c r="T84" s="35"/>
      <c r="U84" s="36">
        <v>255</v>
      </c>
      <c r="V84" s="51" t="e">
        <f>U84/#REF!</f>
        <v>#REF!</v>
      </c>
      <c r="AA84" s="36" t="e">
        <f>#REF!</f>
        <v>#REF!</v>
      </c>
      <c r="AB84" s="40" t="e">
        <f>(AA84 * (1 - $E$81%)) / (1 +#REF! %)</f>
        <v>#REF!</v>
      </c>
      <c r="AD84" s="35"/>
      <c r="AE84" s="108" t="e">
        <f>($B$81 -#REF!) /#REF!</f>
        <v>#REF!</v>
      </c>
      <c r="AF84" s="35" t="e">
        <f>#REF!</f>
        <v>#REF!</v>
      </c>
    </row>
    <row r="85" spans="2:43" ht="15.75" customHeight="1" x14ac:dyDescent="0.2">
      <c r="B85" s="57" t="s">
        <v>2</v>
      </c>
      <c r="C85" s="57" t="s">
        <v>178</v>
      </c>
      <c r="D85" s="57" t="s">
        <v>180</v>
      </c>
      <c r="Q85" s="45" t="s">
        <v>75</v>
      </c>
      <c r="R85" s="45"/>
      <c r="U85" s="33">
        <v>1100</v>
      </c>
      <c r="V85" s="50" t="e">
        <f>U85/#REF!</f>
        <v>#REF!</v>
      </c>
      <c r="AA85" s="33" t="e">
        <f>#REF!</f>
        <v>#REF!</v>
      </c>
      <c r="AD85" s="102" t="e">
        <f>IF(
      OR(
        (B79*(1+#REF!/100)/C86-1)*100 &lt;= -E79,
        (B79*(1+#REF!/100)/C87-1)*100 &lt;= -E79,
        (B79*(1+#REF!/100)/C88-1)*100 &lt;= -E79,
        (B79*(1+#REF!/100)/C89-1)*100 &lt;= -E79,
        (B79*(1+#REF!/100)/C90-1)*100 &lt;= -E79
      ),
      MIN(
        IF((B79*(1+#REF!/100)/C86-1)*100 &lt;= -E79, (B79*(1+#REF!/100)/C86-1)*100, 0),
        IF((B79*(1+#REF!/100)/C87-1)*100 &lt;= -E79, (B79*(1+#REF!/100)/C87-1)*100, 0),
        IF((B79*(1+#REF!/100)/C88-1)*100 &lt;= -E79, (B79*(1+#REF!/100)/C88-1)*100, 0),
        IF((B79*(1+#REF!/100)/C89-1)*100 &lt;= -E79, (B79*(1+#REF!/100)/C89-1)*100, 0),
        IF((B79*(1+#REF!/100)/C90-1)*100 &lt;= -E79, (B79*(1+#REF!/100)/C90-1)*100, 0)
      )/100,
      ""
    )</f>
        <v>#REF!</v>
      </c>
      <c r="AE85" s="110" t="e">
        <f>($B$79 -#REF!) /#REF!</f>
        <v>#REF!</v>
      </c>
      <c r="AF85" t="e">
        <f>#REF!</f>
        <v>#REF!</v>
      </c>
    </row>
    <row r="86" spans="2:43" ht="15.75" customHeight="1" x14ac:dyDescent="0.2">
      <c r="B86" s="100">
        <v>45924</v>
      </c>
      <c r="C86" s="99">
        <v>106</v>
      </c>
    </row>
    <row r="87" spans="2:43" ht="15.75" customHeight="1" x14ac:dyDescent="0.2">
      <c r="B87" s="100">
        <v>45923</v>
      </c>
      <c r="C87" s="99">
        <v>105</v>
      </c>
    </row>
    <row r="88" spans="2:43" ht="15.75" customHeight="1" x14ac:dyDescent="0.2">
      <c r="B88" s="100">
        <v>45922</v>
      </c>
      <c r="C88" s="99">
        <v>108</v>
      </c>
    </row>
    <row r="89" spans="2:43" ht="15.75" customHeight="1" x14ac:dyDescent="0.2">
      <c r="B89" s="100">
        <v>45921</v>
      </c>
      <c r="C89" s="99">
        <v>107</v>
      </c>
    </row>
    <row r="90" spans="2:43" ht="15.75" customHeight="1" x14ac:dyDescent="0.2">
      <c r="B90" s="100">
        <v>45920</v>
      </c>
      <c r="C90" s="99">
        <v>104</v>
      </c>
      <c r="P90" s="45"/>
      <c r="AB90" s="69"/>
    </row>
    <row r="91" spans="2:43" ht="15.75" customHeight="1" x14ac:dyDescent="0.2">
      <c r="P91" s="45"/>
    </row>
    <row r="92" spans="2:43" ht="15.75" customHeight="1" x14ac:dyDescent="0.2">
      <c r="P92" s="45"/>
    </row>
    <row r="93" spans="2:43" ht="15.75" customHeight="1" x14ac:dyDescent="0.2">
      <c r="P93" s="93"/>
      <c r="AB93" s="45" t="s">
        <v>74</v>
      </c>
      <c r="AL93" s="45" t="s">
        <v>94</v>
      </c>
    </row>
    <row r="94" spans="2:43" ht="15.75" customHeight="1" x14ac:dyDescent="0.2">
      <c r="AB94" s="70" t="s">
        <v>2</v>
      </c>
      <c r="AC94" s="71" t="s">
        <v>3</v>
      </c>
      <c r="AD94" s="71"/>
      <c r="AE94" s="71" t="s">
        <v>76</v>
      </c>
      <c r="AF94" s="71" t="s">
        <v>4</v>
      </c>
      <c r="AG94" s="71" t="s">
        <v>0</v>
      </c>
      <c r="AH94" s="71" t="s">
        <v>1</v>
      </c>
      <c r="AI94" s="71" t="s">
        <v>62</v>
      </c>
      <c r="AJ94" s="71"/>
      <c r="AK94" s="71" t="s">
        <v>77</v>
      </c>
      <c r="AL94" s="71" t="s">
        <v>84</v>
      </c>
      <c r="AM94" s="71" t="s">
        <v>83</v>
      </c>
      <c r="AN94" s="71" t="s">
        <v>7</v>
      </c>
      <c r="AO94" s="71" t="s">
        <v>81</v>
      </c>
      <c r="AP94" s="71" t="s">
        <v>79</v>
      </c>
      <c r="AQ94" s="71" t="s">
        <v>82</v>
      </c>
    </row>
    <row r="95" spans="2:43" ht="15.75" customHeight="1" x14ac:dyDescent="0.2">
      <c r="AB95" s="79">
        <v>45658</v>
      </c>
      <c r="AC95" s="80" t="s">
        <v>75</v>
      </c>
      <c r="AD95" s="80"/>
      <c r="AE95" s="81" t="s">
        <v>85</v>
      </c>
      <c r="AF95" s="80" t="s">
        <v>78</v>
      </c>
      <c r="AG95" s="82">
        <v>200</v>
      </c>
      <c r="AH95" s="82">
        <v>200</v>
      </c>
      <c r="AI95" s="83">
        <f>AH95/AG95</f>
        <v>1</v>
      </c>
      <c r="AJ95" s="83"/>
      <c r="AK95" s="80"/>
      <c r="AL95" s="83">
        <v>1</v>
      </c>
      <c r="AM95" s="83">
        <f>AL95/2</f>
        <v>0.5</v>
      </c>
      <c r="AN95" s="84">
        <f>AL95/2</f>
        <v>0.5</v>
      </c>
      <c r="AO95" s="82">
        <v>0</v>
      </c>
      <c r="AP95" s="85">
        <f>ABS(AO95-AH95)</f>
        <v>200</v>
      </c>
      <c r="AQ95" s="86">
        <f>((AO95+(AI95*AG95)-AP95)/AP95)</f>
        <v>0</v>
      </c>
    </row>
    <row r="96" spans="2:43" ht="15.75" customHeight="1" x14ac:dyDescent="0.2">
      <c r="AB96" s="72">
        <v>45659</v>
      </c>
      <c r="AC96" s="73" t="s">
        <v>73</v>
      </c>
      <c r="AD96" s="73"/>
      <c r="AE96" s="75" t="s">
        <v>86</v>
      </c>
      <c r="AF96" s="73" t="s">
        <v>10</v>
      </c>
      <c r="AG96" s="74">
        <v>220</v>
      </c>
      <c r="AH96" s="73"/>
      <c r="AI96" s="76">
        <f>AM95</f>
        <v>0.5</v>
      </c>
      <c r="AJ96" s="76"/>
      <c r="AK96" s="74">
        <f>AG96*AI96</f>
        <v>110</v>
      </c>
      <c r="AL96" s="76">
        <v>0.5</v>
      </c>
      <c r="AM96" s="76">
        <v>0</v>
      </c>
      <c r="AN96" s="76">
        <v>0.5</v>
      </c>
      <c r="AO96" s="74">
        <f>AK96+AO95</f>
        <v>110</v>
      </c>
      <c r="AP96" s="74">
        <f>AP95</f>
        <v>200</v>
      </c>
      <c r="AQ96" s="78">
        <f t="shared" ref="AQ96:AQ104" si="31">((AO96+(AL96*AG96)-AP96)/AP96)</f>
        <v>0.1</v>
      </c>
    </row>
    <row r="97" spans="25:43" ht="15.75" customHeight="1" x14ac:dyDescent="0.2">
      <c r="AB97" s="79">
        <v>45660</v>
      </c>
      <c r="AC97" s="80" t="s">
        <v>75</v>
      </c>
      <c r="AD97" s="80"/>
      <c r="AE97" s="81" t="s">
        <v>87</v>
      </c>
      <c r="AF97" s="80" t="s">
        <v>80</v>
      </c>
      <c r="AG97" s="82">
        <v>220</v>
      </c>
      <c r="AH97" s="82">
        <v>220</v>
      </c>
      <c r="AI97" s="83">
        <f>AH97/AG97</f>
        <v>1</v>
      </c>
      <c r="AJ97" s="83"/>
      <c r="AK97" s="80"/>
      <c r="AL97" s="83">
        <f>AI97+AL96</f>
        <v>1.5</v>
      </c>
      <c r="AM97" s="83">
        <f>AM96+(AI97/2)</f>
        <v>0.5</v>
      </c>
      <c r="AN97" s="83">
        <f>AN96+(AI97/2)</f>
        <v>1</v>
      </c>
      <c r="AO97" s="82">
        <v>0</v>
      </c>
      <c r="AP97" s="82">
        <f>AP96+(AH97-AO96)</f>
        <v>310</v>
      </c>
      <c r="AQ97" s="86">
        <f t="shared" si="31"/>
        <v>6.4516129032258063E-2</v>
      </c>
    </row>
    <row r="98" spans="25:43" ht="15.75" customHeight="1" x14ac:dyDescent="0.2">
      <c r="AB98" s="72">
        <v>45661</v>
      </c>
      <c r="AC98" s="73" t="s">
        <v>73</v>
      </c>
      <c r="AD98" s="73"/>
      <c r="AE98" s="75" t="s">
        <v>88</v>
      </c>
      <c r="AF98" s="73" t="s">
        <v>80</v>
      </c>
      <c r="AG98" s="74">
        <v>190</v>
      </c>
      <c r="AH98" s="73"/>
      <c r="AI98" s="76">
        <v>0.5</v>
      </c>
      <c r="AJ98" s="76"/>
      <c r="AK98" s="74">
        <f>AG98*AI98</f>
        <v>95</v>
      </c>
      <c r="AL98" s="76">
        <f>AL97-AI98</f>
        <v>1</v>
      </c>
      <c r="AM98" s="76">
        <f>AM97</f>
        <v>0.5</v>
      </c>
      <c r="AN98" s="76">
        <f>AN97-AI98</f>
        <v>0.5</v>
      </c>
      <c r="AO98" s="74">
        <f>AO97+AK98</f>
        <v>95</v>
      </c>
      <c r="AP98" s="74">
        <f>AP97</f>
        <v>310</v>
      </c>
      <c r="AQ98" s="78">
        <f t="shared" si="31"/>
        <v>-8.0645161290322578E-2</v>
      </c>
    </row>
    <row r="99" spans="25:43" ht="15.75" customHeight="1" x14ac:dyDescent="0.2">
      <c r="AB99" s="79">
        <v>45662</v>
      </c>
      <c r="AC99" s="80" t="s">
        <v>75</v>
      </c>
      <c r="AD99" s="80"/>
      <c r="AE99" s="81" t="s">
        <v>89</v>
      </c>
      <c r="AF99" s="80" t="s">
        <v>80</v>
      </c>
      <c r="AG99" s="82">
        <v>200</v>
      </c>
      <c r="AH99" s="82">
        <v>200</v>
      </c>
      <c r="AI99" s="83">
        <f>AH99/AG99</f>
        <v>1</v>
      </c>
      <c r="AJ99" s="83"/>
      <c r="AK99" s="80"/>
      <c r="AL99" s="83">
        <f>AL98+AI99</f>
        <v>2</v>
      </c>
      <c r="AM99" s="83">
        <f>AM98+(AI99/2)</f>
        <v>1</v>
      </c>
      <c r="AN99" s="83">
        <f>AN98+(AI99/2)</f>
        <v>1</v>
      </c>
      <c r="AO99" s="82">
        <v>0</v>
      </c>
      <c r="AP99" s="82">
        <f>AP98+(AH99-AO98)</f>
        <v>415</v>
      </c>
      <c r="AQ99" s="86">
        <f t="shared" si="31"/>
        <v>-3.614457831325301E-2</v>
      </c>
    </row>
    <row r="100" spans="25:43" ht="15.75" customHeight="1" x14ac:dyDescent="0.2">
      <c r="AB100" s="72">
        <v>45663</v>
      </c>
      <c r="AC100" s="73" t="s">
        <v>73</v>
      </c>
      <c r="AD100" s="73"/>
      <c r="AE100" s="75" t="s">
        <v>90</v>
      </c>
      <c r="AF100" s="73" t="s">
        <v>80</v>
      </c>
      <c r="AG100" s="74">
        <v>210</v>
      </c>
      <c r="AH100" s="73"/>
      <c r="AI100" s="76">
        <v>0.5</v>
      </c>
      <c r="AJ100" s="76"/>
      <c r="AK100" s="74">
        <f>AG100*AI100</f>
        <v>105</v>
      </c>
      <c r="AL100" s="76">
        <f>AL99-AI100</f>
        <v>1.5</v>
      </c>
      <c r="AM100" s="76">
        <f>AM99-AI100</f>
        <v>0.5</v>
      </c>
      <c r="AN100" s="76">
        <f>AN99</f>
        <v>1</v>
      </c>
      <c r="AO100" s="74">
        <f>AO99+AK100</f>
        <v>105</v>
      </c>
      <c r="AP100" s="74">
        <f>AP99</f>
        <v>415</v>
      </c>
      <c r="AQ100" s="78">
        <f t="shared" si="31"/>
        <v>1.2048192771084338E-2</v>
      </c>
    </row>
    <row r="101" spans="25:43" ht="15.75" customHeight="1" x14ac:dyDescent="0.2">
      <c r="AB101" s="72">
        <v>45664</v>
      </c>
      <c r="AC101" s="73" t="s">
        <v>73</v>
      </c>
      <c r="AD101" s="73"/>
      <c r="AE101" s="75" t="s">
        <v>91</v>
      </c>
      <c r="AF101" s="73" t="s">
        <v>80</v>
      </c>
      <c r="AG101" s="74">
        <v>210</v>
      </c>
      <c r="AH101" s="73"/>
      <c r="AI101" s="76">
        <v>0.5</v>
      </c>
      <c r="AJ101" s="76"/>
      <c r="AK101" s="74">
        <f>AG101/2</f>
        <v>105</v>
      </c>
      <c r="AL101" s="76">
        <f>AL100-AI101</f>
        <v>1</v>
      </c>
      <c r="AM101" s="76">
        <f>AM100</f>
        <v>0.5</v>
      </c>
      <c r="AN101" s="76">
        <f>AN100-AI101</f>
        <v>0.5</v>
      </c>
      <c r="AO101" s="74">
        <f>AK101+AO100</f>
        <v>210</v>
      </c>
      <c r="AP101" s="74">
        <f>AP100</f>
        <v>415</v>
      </c>
      <c r="AQ101" s="78">
        <f t="shared" si="31"/>
        <v>1.2048192771084338E-2</v>
      </c>
    </row>
    <row r="102" spans="25:43" ht="15.75" customHeight="1" x14ac:dyDescent="0.2">
      <c r="Y102" s="93"/>
      <c r="AB102" s="79">
        <v>45665</v>
      </c>
      <c r="AC102" s="81" t="s">
        <v>75</v>
      </c>
      <c r="AD102" s="81"/>
      <c r="AE102" s="81" t="s">
        <v>92</v>
      </c>
      <c r="AF102" s="81" t="s">
        <v>80</v>
      </c>
      <c r="AG102" s="82">
        <v>200</v>
      </c>
      <c r="AH102" s="82">
        <v>200</v>
      </c>
      <c r="AI102" s="83">
        <v>1</v>
      </c>
      <c r="AJ102" s="83"/>
      <c r="AK102" s="80"/>
      <c r="AL102" s="83">
        <f>AL101+AI102</f>
        <v>2</v>
      </c>
      <c r="AM102" s="83">
        <f>AI102+AM101</f>
        <v>1.5</v>
      </c>
      <c r="AN102" s="84">
        <f>AN101</f>
        <v>0.5</v>
      </c>
      <c r="AO102" s="82">
        <f>AO101-AH102</f>
        <v>10</v>
      </c>
      <c r="AP102" s="82">
        <f>AP100</f>
        <v>415</v>
      </c>
      <c r="AQ102" s="86">
        <f t="shared" si="31"/>
        <v>-1.2048192771084338E-2</v>
      </c>
    </row>
    <row r="103" spans="25:43" ht="15.75" customHeight="1" x14ac:dyDescent="0.2">
      <c r="Y103" s="94"/>
      <c r="AB103" s="72">
        <v>45666</v>
      </c>
      <c r="AC103" s="75" t="s">
        <v>73</v>
      </c>
      <c r="AD103" s="75"/>
      <c r="AE103" s="75" t="s">
        <v>92</v>
      </c>
      <c r="AF103" s="75" t="s">
        <v>80</v>
      </c>
      <c r="AG103" s="74">
        <v>230</v>
      </c>
      <c r="AH103" s="73"/>
      <c r="AI103" s="76">
        <v>0.5</v>
      </c>
      <c r="AJ103" s="76"/>
      <c r="AK103" s="74">
        <f>AG103/2</f>
        <v>115</v>
      </c>
      <c r="AL103" s="76">
        <f>AL102-AI103</f>
        <v>1.5</v>
      </c>
      <c r="AM103" s="76">
        <f>AM102-AI103</f>
        <v>1</v>
      </c>
      <c r="AN103" s="76">
        <f>AN102</f>
        <v>0.5</v>
      </c>
      <c r="AO103" s="74">
        <f>AO102+AK103</f>
        <v>125</v>
      </c>
      <c r="AP103" s="74">
        <f>AP102</f>
        <v>415</v>
      </c>
      <c r="AQ103" s="78">
        <f t="shared" si="31"/>
        <v>0.13253012048192772</v>
      </c>
    </row>
    <row r="104" spans="25:43" ht="15.75" customHeight="1" x14ac:dyDescent="0.2">
      <c r="Y104" s="94"/>
      <c r="AB104" s="79">
        <v>45667</v>
      </c>
      <c r="AC104" s="81" t="s">
        <v>75</v>
      </c>
      <c r="AD104" s="81"/>
      <c r="AE104" s="81" t="s">
        <v>93</v>
      </c>
      <c r="AF104" s="81" t="s">
        <v>80</v>
      </c>
      <c r="AG104" s="82">
        <v>230</v>
      </c>
      <c r="AH104" s="82">
        <v>230</v>
      </c>
      <c r="AI104" s="83">
        <v>1</v>
      </c>
      <c r="AJ104" s="83"/>
      <c r="AK104" s="80"/>
      <c r="AL104" s="83">
        <f>AL103+AI104</f>
        <v>2.5</v>
      </c>
      <c r="AM104" s="83">
        <f>AM103</f>
        <v>1</v>
      </c>
      <c r="AN104" s="83">
        <f>AN103+AI104</f>
        <v>1.5</v>
      </c>
      <c r="AO104" s="82">
        <v>0</v>
      </c>
      <c r="AP104" s="82">
        <f>AP103+(AH104-AO103)</f>
        <v>520</v>
      </c>
      <c r="AQ104" s="86">
        <f t="shared" si="31"/>
        <v>0.10576923076923077</v>
      </c>
    </row>
    <row r="105" spans="25:43" ht="15.75" customHeight="1" x14ac:dyDescent="0.2">
      <c r="Y105" s="94"/>
    </row>
    <row r="106" spans="25:43" ht="15.75" customHeight="1" x14ac:dyDescent="0.2">
      <c r="Y106" s="94"/>
    </row>
    <row r="107" spans="25:43" ht="12.75" x14ac:dyDescent="0.2">
      <c r="AB107" s="45" t="s">
        <v>74</v>
      </c>
      <c r="AL107" s="45" t="s">
        <v>94</v>
      </c>
    </row>
    <row r="108" spans="25:43" ht="15.75" customHeight="1" x14ac:dyDescent="0.2">
      <c r="Y108" s="54"/>
      <c r="AB108" s="70" t="s">
        <v>2</v>
      </c>
      <c r="AC108" s="71" t="s">
        <v>3</v>
      </c>
      <c r="AD108" s="71"/>
      <c r="AE108" s="71" t="s">
        <v>76</v>
      </c>
      <c r="AF108" s="71" t="s">
        <v>4</v>
      </c>
      <c r="AG108" s="71" t="s">
        <v>0</v>
      </c>
      <c r="AH108" s="71" t="s">
        <v>1</v>
      </c>
      <c r="AI108" s="71" t="s">
        <v>62</v>
      </c>
      <c r="AJ108" s="71"/>
      <c r="AK108" s="71" t="s">
        <v>77</v>
      </c>
      <c r="AL108" s="71" t="s">
        <v>84</v>
      </c>
      <c r="AM108" s="71" t="s">
        <v>83</v>
      </c>
      <c r="AN108" s="71" t="s">
        <v>7</v>
      </c>
      <c r="AO108" s="71" t="s">
        <v>81</v>
      </c>
      <c r="AP108" s="71" t="s">
        <v>79</v>
      </c>
      <c r="AQ108" s="71" t="s">
        <v>82</v>
      </c>
    </row>
    <row r="109" spans="25:43" ht="15.75" customHeight="1" x14ac:dyDescent="0.2">
      <c r="Y109" s="95"/>
      <c r="AB109" s="79"/>
      <c r="AC109" s="80" t="s">
        <v>75</v>
      </c>
      <c r="AD109" s="80"/>
      <c r="AE109" s="81" t="s">
        <v>70</v>
      </c>
      <c r="AF109" s="80" t="s">
        <v>78</v>
      </c>
      <c r="AG109" s="90">
        <v>232.37</v>
      </c>
      <c r="AH109" s="82">
        <v>1000</v>
      </c>
      <c r="AI109" s="87">
        <f t="shared" ref="AI109:AI114" si="32">AH109/AG109</f>
        <v>4.3034815165468867</v>
      </c>
      <c r="AJ109" s="87"/>
      <c r="AK109" s="90"/>
      <c r="AL109" s="87">
        <f>AI109</f>
        <v>4.3034815165468867</v>
      </c>
      <c r="AM109" s="87">
        <f>AL109/2</f>
        <v>2.1517407582734434</v>
      </c>
      <c r="AN109" s="89">
        <f>AL109/2</f>
        <v>2.1517407582734434</v>
      </c>
      <c r="AO109" s="90">
        <v>0</v>
      </c>
      <c r="AP109" s="92">
        <f>ABS(AO109-AH109)</f>
        <v>1000</v>
      </c>
      <c r="AQ109" s="86">
        <f>((AO109+(AI109*AG109)-AP109)/AP109)</f>
        <v>1.1368683772161603E-16</v>
      </c>
    </row>
    <row r="110" spans="25:43" ht="15.75" customHeight="1" x14ac:dyDescent="0.2">
      <c r="AB110" s="79"/>
      <c r="AC110" s="80" t="s">
        <v>75</v>
      </c>
      <c r="AD110" s="80"/>
      <c r="AE110" s="81" t="s">
        <v>70</v>
      </c>
      <c r="AF110" s="80" t="s">
        <v>80</v>
      </c>
      <c r="AG110" s="90">
        <v>205.6</v>
      </c>
      <c r="AH110" s="82">
        <v>500</v>
      </c>
      <c r="AI110" s="87">
        <f t="shared" si="32"/>
        <v>2.4319066147859925</v>
      </c>
      <c r="AJ110" s="87"/>
      <c r="AK110" s="90"/>
      <c r="AL110" s="87">
        <f>AI110+AL109</f>
        <v>6.7353881313328792</v>
      </c>
      <c r="AM110" s="87">
        <f>AM109+(AI110/2)</f>
        <v>3.3676940656664396</v>
      </c>
      <c r="AN110" s="87">
        <f>AN109+(AI110/2)</f>
        <v>3.3676940656664396</v>
      </c>
      <c r="AO110" s="90">
        <v>0</v>
      </c>
      <c r="AP110" s="90">
        <f>AP109+(AH110-AO109)</f>
        <v>1500</v>
      </c>
      <c r="AQ110" s="86">
        <f t="shared" ref="AQ110:AQ120" si="33">((AO110+(AL110*AG110)-AP110)/AP110)</f>
        <v>-7.6802800131973381E-2</v>
      </c>
    </row>
    <row r="111" spans="25:43" ht="15.75" customHeight="1" x14ac:dyDescent="0.2">
      <c r="AB111" s="79"/>
      <c r="AC111" s="80" t="s">
        <v>75</v>
      </c>
      <c r="AD111" s="80"/>
      <c r="AE111" s="81" t="s">
        <v>70</v>
      </c>
      <c r="AF111" s="80" t="s">
        <v>80</v>
      </c>
      <c r="AG111" s="90">
        <v>199.37</v>
      </c>
      <c r="AH111" s="82">
        <v>500</v>
      </c>
      <c r="AI111" s="87">
        <f t="shared" si="32"/>
        <v>2.5078998846366054</v>
      </c>
      <c r="AJ111" s="87"/>
      <c r="AK111" s="90"/>
      <c r="AL111" s="87">
        <f>AI111+AL110</f>
        <v>9.243288015969485</v>
      </c>
      <c r="AM111" s="87">
        <f>AM110+(AI111/2)</f>
        <v>4.6216440079847425</v>
      </c>
      <c r="AN111" s="87">
        <f>AN110+(AI111/2)</f>
        <v>4.6216440079847425</v>
      </c>
      <c r="AO111" s="90">
        <v>0</v>
      </c>
      <c r="AP111" s="90">
        <f>AP110+(AH111-AO110)</f>
        <v>2000</v>
      </c>
      <c r="AQ111" s="86">
        <f t="shared" si="33"/>
        <v>-7.858283412808191E-2</v>
      </c>
    </row>
    <row r="112" spans="25:43" ht="15.75" customHeight="1" x14ac:dyDescent="0.2">
      <c r="AB112" s="79"/>
      <c r="AC112" s="80" t="s">
        <v>75</v>
      </c>
      <c r="AD112" s="80"/>
      <c r="AE112" s="81" t="s">
        <v>70</v>
      </c>
      <c r="AF112" s="80" t="s">
        <v>80</v>
      </c>
      <c r="AG112" s="90">
        <v>196.54</v>
      </c>
      <c r="AH112" s="82">
        <v>500</v>
      </c>
      <c r="AI112" s="87">
        <f t="shared" si="32"/>
        <v>2.5440113971710594</v>
      </c>
      <c r="AJ112" s="87"/>
      <c r="AK112" s="90"/>
      <c r="AL112" s="87">
        <f>AI112+AL111</f>
        <v>11.787299413140545</v>
      </c>
      <c r="AM112" s="87">
        <f>AM111+(AI112/2)</f>
        <v>5.8936497065702724</v>
      </c>
      <c r="AN112" s="87">
        <f>AN111+(AI112/2)</f>
        <v>5.8936497065702724</v>
      </c>
      <c r="AO112" s="90">
        <v>0</v>
      </c>
      <c r="AP112" s="90">
        <f>AP111+(AH112-AO111)</f>
        <v>2500</v>
      </c>
      <c r="AQ112" s="86">
        <f t="shared" si="33"/>
        <v>-7.3329669336542974E-2</v>
      </c>
    </row>
    <row r="113" spans="28:43" ht="15.75" customHeight="1" x14ac:dyDescent="0.2">
      <c r="AB113" s="79"/>
      <c r="AC113" s="80" t="s">
        <v>75</v>
      </c>
      <c r="AD113" s="80"/>
      <c r="AE113" s="81" t="s">
        <v>70</v>
      </c>
      <c r="AF113" s="80" t="s">
        <v>80</v>
      </c>
      <c r="AG113" s="90">
        <v>184.88</v>
      </c>
      <c r="AH113" s="82">
        <v>50</v>
      </c>
      <c r="AI113" s="87">
        <f t="shared" si="32"/>
        <v>0.27044569450454348</v>
      </c>
      <c r="AJ113" s="87"/>
      <c r="AK113" s="90"/>
      <c r="AL113" s="87">
        <f>AI113+AL112</f>
        <v>12.057745107645088</v>
      </c>
      <c r="AM113" s="87">
        <f>AM112+(AI113/2)</f>
        <v>6.0288725538225441</v>
      </c>
      <c r="AN113" s="87">
        <f>AN112+(AI113/2)</f>
        <v>6.0288725538225441</v>
      </c>
      <c r="AO113" s="90">
        <v>0</v>
      </c>
      <c r="AP113" s="90">
        <f>AP112+(AH113-AO112)</f>
        <v>2550</v>
      </c>
      <c r="AQ113" s="86">
        <f t="shared" si="33"/>
        <v>-0.12578983705826521</v>
      </c>
    </row>
    <row r="114" spans="28:43" ht="15.75" customHeight="1" x14ac:dyDescent="0.2">
      <c r="AB114" s="79"/>
      <c r="AC114" s="80" t="s">
        <v>75</v>
      </c>
      <c r="AD114" s="80"/>
      <c r="AE114" s="81" t="s">
        <v>70</v>
      </c>
      <c r="AF114" s="80" t="s">
        <v>80</v>
      </c>
      <c r="AG114" s="90">
        <v>180.62</v>
      </c>
      <c r="AH114" s="82">
        <v>50</v>
      </c>
      <c r="AI114" s="87">
        <f t="shared" si="32"/>
        <v>0.27682427195216475</v>
      </c>
      <c r="AJ114" s="87"/>
      <c r="AK114" s="90"/>
      <c r="AL114" s="87">
        <f>AI114+AL113</f>
        <v>12.334569379597253</v>
      </c>
      <c r="AM114" s="87">
        <f>AM113+(AI114/2)</f>
        <v>6.1672846897986267</v>
      </c>
      <c r="AN114" s="87">
        <f>AN113+(AI114/2)</f>
        <v>6.1672846897986267</v>
      </c>
      <c r="AO114" s="90">
        <v>0</v>
      </c>
      <c r="AP114" s="90">
        <f>AP113+(AH114-AO113)</f>
        <v>2600</v>
      </c>
      <c r="AQ114" s="86">
        <f t="shared" si="33"/>
        <v>-0.14312695332967085</v>
      </c>
    </row>
    <row r="115" spans="28:43" ht="15.75" customHeight="1" x14ac:dyDescent="0.2">
      <c r="AB115" s="72"/>
      <c r="AC115" s="73" t="s">
        <v>73</v>
      </c>
      <c r="AD115" s="73"/>
      <c r="AE115" s="75" t="s">
        <v>27</v>
      </c>
      <c r="AF115" s="73" t="s">
        <v>10</v>
      </c>
      <c r="AG115" s="91">
        <v>208.59</v>
      </c>
      <c r="AH115" s="73"/>
      <c r="AI115" s="88">
        <v>0.13841000000000001</v>
      </c>
      <c r="AJ115" s="88"/>
      <c r="AK115" s="91">
        <f>AG115*AI115</f>
        <v>28.870941900000002</v>
      </c>
      <c r="AL115" s="88">
        <f>AL114-AI115</f>
        <v>12.196159379597253</v>
      </c>
      <c r="AM115" s="88">
        <f>AM114-AI115</f>
        <v>6.0288746897986263</v>
      </c>
      <c r="AN115" s="88">
        <f>AN114</f>
        <v>6.1672846897986267</v>
      </c>
      <c r="AO115" s="91">
        <f>AK115+AO109</f>
        <v>28.870941900000002</v>
      </c>
      <c r="AP115" s="91">
        <f>AP114</f>
        <v>2600</v>
      </c>
      <c r="AQ115" s="78">
        <f t="shared" si="33"/>
        <v>-1.0435451196080277E-2</v>
      </c>
    </row>
    <row r="116" spans="28:43" ht="15.75" customHeight="1" x14ac:dyDescent="0.2">
      <c r="AB116" s="79"/>
      <c r="AC116" s="73" t="s">
        <v>73</v>
      </c>
      <c r="AD116" s="73"/>
      <c r="AE116" s="75" t="s">
        <v>27</v>
      </c>
      <c r="AF116" s="73" t="s">
        <v>10</v>
      </c>
      <c r="AG116" s="91">
        <v>208.54</v>
      </c>
      <c r="AH116" s="73"/>
      <c r="AI116" s="88">
        <v>0.13522000000000001</v>
      </c>
      <c r="AJ116" s="88"/>
      <c r="AK116" s="91">
        <f>AG116*AI116</f>
        <v>28.198778799999999</v>
      </c>
      <c r="AL116" s="88">
        <f>AL115-AI116</f>
        <v>12.060939379597253</v>
      </c>
      <c r="AM116" s="88">
        <f>AM115-AI116</f>
        <v>5.8936546897986259</v>
      </c>
      <c r="AN116" s="88">
        <f>AN115</f>
        <v>6.1672846897986267</v>
      </c>
      <c r="AO116" s="91">
        <f>AK116+AO110</f>
        <v>28.198778799999999</v>
      </c>
      <c r="AP116" s="91">
        <f>AP115</f>
        <v>2600</v>
      </c>
      <c r="AQ116" s="86">
        <f t="shared" si="33"/>
        <v>-2.1774201145688038E-2</v>
      </c>
    </row>
    <row r="117" spans="28:43" ht="15.75" customHeight="1" x14ac:dyDescent="0.2">
      <c r="AB117" s="72"/>
      <c r="AC117" s="73" t="s">
        <v>73</v>
      </c>
      <c r="AD117" s="73"/>
      <c r="AE117" s="75" t="s">
        <v>95</v>
      </c>
      <c r="AF117" s="73" t="s">
        <v>80</v>
      </c>
      <c r="AG117" s="91">
        <v>28.25</v>
      </c>
      <c r="AH117" s="73"/>
      <c r="AI117" s="88">
        <f>AM116</f>
        <v>5.8936546897986259</v>
      </c>
      <c r="AJ117" s="88"/>
      <c r="AK117" s="91">
        <f>AG117*AI117</f>
        <v>166.49574498681119</v>
      </c>
      <c r="AL117" s="88">
        <f>AL116-AI117</f>
        <v>6.1672846897986267</v>
      </c>
      <c r="AM117" s="88">
        <f>AM116-AI117</f>
        <v>0</v>
      </c>
      <c r="AN117" s="88">
        <f>AN116</f>
        <v>6.1672846897986267</v>
      </c>
      <c r="AO117" s="91">
        <f>AO116+AK117</f>
        <v>194.6945237868112</v>
      </c>
      <c r="AP117" s="91">
        <f>AP116</f>
        <v>2600</v>
      </c>
      <c r="AQ117" s="78">
        <f t="shared" si="33"/>
        <v>-0.85810757066399135</v>
      </c>
    </row>
    <row r="118" spans="28:43" ht="15.75" customHeight="1" x14ac:dyDescent="0.2">
      <c r="AB118" s="79"/>
      <c r="AC118" s="80" t="s">
        <v>75</v>
      </c>
      <c r="AD118" s="80"/>
      <c r="AE118" s="81" t="s">
        <v>89</v>
      </c>
      <c r="AF118" s="80" t="s">
        <v>80</v>
      </c>
      <c r="AG118" s="90">
        <v>28.39</v>
      </c>
      <c r="AH118" s="82">
        <v>200</v>
      </c>
      <c r="AI118" s="87">
        <f>AH118/AG118</f>
        <v>7.0447340612891862</v>
      </c>
      <c r="AJ118" s="87"/>
      <c r="AK118" s="90"/>
      <c r="AL118" s="87">
        <f>AL117+AI118</f>
        <v>13.212018751087813</v>
      </c>
      <c r="AM118" s="87">
        <f>AM117+(AI118/2)</f>
        <v>3.5223670306445931</v>
      </c>
      <c r="AN118" s="87">
        <f>AN117+(AI118/2)</f>
        <v>9.6896517204432193</v>
      </c>
      <c r="AO118" s="90">
        <v>0</v>
      </c>
      <c r="AP118" s="90">
        <f>AP117+(AH118-AO117)</f>
        <v>2605.3054762131887</v>
      </c>
      <c r="AQ118" s="86">
        <f t="shared" si="33"/>
        <v>-0.85602870152156774</v>
      </c>
    </row>
    <row r="119" spans="28:43" ht="15.75" customHeight="1" x14ac:dyDescent="0.2">
      <c r="AB119" s="79"/>
      <c r="AC119" s="81" t="s">
        <v>75</v>
      </c>
      <c r="AD119" s="81"/>
      <c r="AE119" s="81" t="s">
        <v>96</v>
      </c>
      <c r="AF119" s="81" t="s">
        <v>80</v>
      </c>
      <c r="AG119" s="90">
        <v>27.28</v>
      </c>
      <c r="AH119" s="82">
        <v>200</v>
      </c>
      <c r="AI119" s="87">
        <f>AH119/AG119</f>
        <v>7.3313782991202343</v>
      </c>
      <c r="AJ119" s="87"/>
      <c r="AK119" s="90"/>
      <c r="AL119" s="87">
        <f>AL118+AI119</f>
        <v>20.543397050208046</v>
      </c>
      <c r="AM119" s="87">
        <f>AM118+(AI119/2)</f>
        <v>7.1880561802047103</v>
      </c>
      <c r="AN119" s="87">
        <f>AN118+(AI119/2)</f>
        <v>13.355340870003337</v>
      </c>
      <c r="AO119" s="90">
        <v>0</v>
      </c>
      <c r="AP119" s="90">
        <f>AP118+(AH119-AO118)</f>
        <v>2805.3054762131887</v>
      </c>
      <c r="AQ119" s="86">
        <f t="shared" si="33"/>
        <v>-0.80022714949169182</v>
      </c>
    </row>
    <row r="120" spans="28:43" ht="15.75" customHeight="1" x14ac:dyDescent="0.2">
      <c r="AB120" s="79"/>
      <c r="AC120" s="81" t="s">
        <v>75</v>
      </c>
      <c r="AD120" s="81"/>
      <c r="AE120" s="81" t="s">
        <v>97</v>
      </c>
      <c r="AF120" s="81" t="s">
        <v>80</v>
      </c>
      <c r="AG120" s="90">
        <v>27.38</v>
      </c>
      <c r="AH120" s="82">
        <v>200</v>
      </c>
      <c r="AI120" s="87">
        <f>AH120/AG120</f>
        <v>7.3046018991964941</v>
      </c>
      <c r="AJ120" s="87"/>
      <c r="AK120" s="90"/>
      <c r="AL120" s="87">
        <f>AL119+AI120</f>
        <v>27.847998949404541</v>
      </c>
      <c r="AM120" s="87">
        <f>AM119+(AI120/2)</f>
        <v>10.840357129802957</v>
      </c>
      <c r="AN120" s="87">
        <f>AN119+(AI120/2)</f>
        <v>17.007641819601584</v>
      </c>
      <c r="AO120" s="90">
        <v>0</v>
      </c>
      <c r="AP120" s="90">
        <f>AP119+(AH120-AO119)</f>
        <v>3005.3054762131887</v>
      </c>
      <c r="AQ120" s="86">
        <f t="shared" si="33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L25 AA26 AN27 AO24 BE25 BE27 BE30 AK37 AE37 BE38 AA37:AC37 AG37:AI37 AD60:AD61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1" t="s">
        <v>104</v>
      </c>
      <c r="C3" s="71" t="s">
        <v>105</v>
      </c>
      <c r="D3" s="71" t="s">
        <v>106</v>
      </c>
      <c r="E3" s="71" t="s">
        <v>107</v>
      </c>
      <c r="F3" s="71" t="s">
        <v>117</v>
      </c>
      <c r="G3" s="71" t="s">
        <v>119</v>
      </c>
      <c r="H3" s="71" t="s">
        <v>110</v>
      </c>
      <c r="I3" s="71" t="s">
        <v>109</v>
      </c>
      <c r="J3" s="71" t="s">
        <v>111</v>
      </c>
      <c r="K3" s="71" t="s">
        <v>113</v>
      </c>
      <c r="L3" s="71" t="s">
        <v>29</v>
      </c>
      <c r="M3" s="71" t="s">
        <v>63</v>
      </c>
      <c r="N3" s="71" t="s">
        <v>72</v>
      </c>
      <c r="O3" s="71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1" t="s">
        <v>104</v>
      </c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1" t="s">
        <v>104</v>
      </c>
      <c r="C11" s="71" t="s">
        <v>76</v>
      </c>
      <c r="D11" s="71" t="s">
        <v>107</v>
      </c>
      <c r="E11" s="71" t="s">
        <v>108</v>
      </c>
      <c r="F11" s="71" t="s">
        <v>119</v>
      </c>
      <c r="G11" s="71" t="s">
        <v>63</v>
      </c>
      <c r="H11" s="71" t="s">
        <v>72</v>
      </c>
      <c r="I11" s="71" t="s">
        <v>99</v>
      </c>
      <c r="J11" s="71" t="s">
        <v>112</v>
      </c>
      <c r="K11" s="71" t="s">
        <v>109</v>
      </c>
      <c r="L11" s="71" t="s">
        <v>79</v>
      </c>
      <c r="M11" s="71" t="s">
        <v>121</v>
      </c>
      <c r="N11" s="71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8" t="s">
        <v>34</v>
      </c>
      <c r="K12" s="33">
        <v>1200</v>
      </c>
      <c r="L12" s="98" t="s">
        <v>34</v>
      </c>
      <c r="M12" s="98" t="s">
        <v>34</v>
      </c>
      <c r="N12" s="98" t="s">
        <v>34</v>
      </c>
    </row>
    <row r="14" spans="2:15" x14ac:dyDescent="0.2">
      <c r="B14" s="45" t="s">
        <v>131</v>
      </c>
    </row>
    <row r="15" spans="2:15" x14ac:dyDescent="0.2">
      <c r="B15" s="71" t="s">
        <v>104</v>
      </c>
      <c r="C15" s="71" t="s">
        <v>105</v>
      </c>
      <c r="D15" s="71" t="s">
        <v>106</v>
      </c>
      <c r="E15" s="71" t="s">
        <v>107</v>
      </c>
      <c r="F15" s="71" t="s">
        <v>117</v>
      </c>
      <c r="G15" s="71" t="s">
        <v>119</v>
      </c>
      <c r="H15" s="71" t="s">
        <v>110</v>
      </c>
      <c r="I15" s="71" t="s">
        <v>109</v>
      </c>
      <c r="J15" s="71" t="s">
        <v>111</v>
      </c>
      <c r="K15" s="71" t="s">
        <v>113</v>
      </c>
      <c r="L15" s="71" t="s">
        <v>29</v>
      </c>
      <c r="M15" s="71" t="s">
        <v>63</v>
      </c>
      <c r="N15" s="71" t="s">
        <v>72</v>
      </c>
      <c r="O15" s="71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8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8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8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8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8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8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8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8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1" t="s">
        <v>107</v>
      </c>
      <c r="C33" s="71" t="s">
        <v>109</v>
      </c>
      <c r="D33" s="71" t="s">
        <v>79</v>
      </c>
      <c r="E33" s="71" t="s">
        <v>126</v>
      </c>
      <c r="F33" s="71" t="s">
        <v>127</v>
      </c>
      <c r="G33" s="71" t="s">
        <v>82</v>
      </c>
    </row>
    <row r="34" spans="2:7" x14ac:dyDescent="0.2">
      <c r="B34" s="45" t="s">
        <v>128</v>
      </c>
      <c r="C34" s="99">
        <f>I16+I21+I22+I27</f>
        <v>5800</v>
      </c>
      <c r="D34" s="98" t="s">
        <v>34</v>
      </c>
      <c r="E34" s="98" t="s">
        <v>34</v>
      </c>
      <c r="F34" s="98" t="s">
        <v>34</v>
      </c>
      <c r="G34" s="98" t="s">
        <v>34</v>
      </c>
    </row>
    <row r="35" spans="2:7" x14ac:dyDescent="0.2">
      <c r="B35" s="45" t="s">
        <v>129</v>
      </c>
      <c r="C35" s="99">
        <f>I18+I26+I28</f>
        <v>4100</v>
      </c>
      <c r="D35" s="98" t="s">
        <v>34</v>
      </c>
      <c r="E35" s="98" t="s">
        <v>34</v>
      </c>
      <c r="F35" s="98" t="s">
        <v>34</v>
      </c>
      <c r="G35" s="98" t="s">
        <v>34</v>
      </c>
    </row>
    <row r="36" spans="2:7" x14ac:dyDescent="0.2">
      <c r="B36" s="45" t="s">
        <v>130</v>
      </c>
      <c r="C36" s="99">
        <f>I17+I19+I23+I24+I29</f>
        <v>6900</v>
      </c>
      <c r="D36" s="98" t="s">
        <v>34</v>
      </c>
      <c r="E36" s="98" t="s">
        <v>34</v>
      </c>
      <c r="F36" s="98" t="s">
        <v>34</v>
      </c>
      <c r="G36" s="98" t="s">
        <v>34</v>
      </c>
    </row>
    <row r="37" spans="2:7" x14ac:dyDescent="0.2">
      <c r="B37" s="45" t="s">
        <v>115</v>
      </c>
      <c r="C37" s="99">
        <f>I4+I20+I25</f>
        <v>3600</v>
      </c>
      <c r="D37" s="98" t="s">
        <v>34</v>
      </c>
      <c r="E37" s="98" t="s">
        <v>34</v>
      </c>
      <c r="F37" s="98" t="s">
        <v>34</v>
      </c>
      <c r="G37" s="98" t="s">
        <v>34</v>
      </c>
    </row>
    <row r="39" spans="2:7" x14ac:dyDescent="0.2">
      <c r="B39" s="45" t="s">
        <v>174</v>
      </c>
    </row>
    <row r="40" spans="2:7" x14ac:dyDescent="0.2">
      <c r="B40" s="71" t="s">
        <v>107</v>
      </c>
      <c r="C40" s="71" t="s">
        <v>109</v>
      </c>
      <c r="D40" s="71" t="s">
        <v>79</v>
      </c>
      <c r="E40" s="71" t="s">
        <v>126</v>
      </c>
      <c r="F40" s="71" t="s">
        <v>127</v>
      </c>
      <c r="G40" s="71" t="s">
        <v>82</v>
      </c>
    </row>
    <row r="41" spans="2:7" x14ac:dyDescent="0.2">
      <c r="B41" s="45" t="s">
        <v>134</v>
      </c>
      <c r="C41" s="63">
        <f>I16+I27</f>
        <v>3500</v>
      </c>
      <c r="D41" s="98" t="s">
        <v>34</v>
      </c>
      <c r="E41" s="98" t="s">
        <v>34</v>
      </c>
      <c r="F41" s="98" t="s">
        <v>34</v>
      </c>
      <c r="G41" s="98" t="s">
        <v>34</v>
      </c>
    </row>
    <row r="42" spans="2:7" x14ac:dyDescent="0.2">
      <c r="B42" s="45" t="s">
        <v>154</v>
      </c>
      <c r="C42" s="63">
        <f>I22</f>
        <v>1300</v>
      </c>
      <c r="D42" s="98" t="s">
        <v>34</v>
      </c>
      <c r="E42" s="98" t="s">
        <v>34</v>
      </c>
      <c r="F42" s="98" t="s">
        <v>34</v>
      </c>
      <c r="G42" s="98" t="s">
        <v>34</v>
      </c>
    </row>
    <row r="43" spans="2:7" x14ac:dyDescent="0.2">
      <c r="B43" s="45" t="s">
        <v>137</v>
      </c>
      <c r="C43" s="63">
        <f>I19+I21</f>
        <v>1500</v>
      </c>
      <c r="D43" s="98" t="s">
        <v>34</v>
      </c>
      <c r="E43" s="98" t="s">
        <v>34</v>
      </c>
      <c r="F43" s="98" t="s">
        <v>34</v>
      </c>
      <c r="G43" s="98" t="s">
        <v>34</v>
      </c>
    </row>
    <row r="44" spans="2:7" x14ac:dyDescent="0.2">
      <c r="B44" s="45" t="s">
        <v>160</v>
      </c>
      <c r="C44" s="63">
        <f>I17+I24</f>
        <v>4600</v>
      </c>
      <c r="D44" s="98" t="s">
        <v>34</v>
      </c>
      <c r="E44" s="98" t="s">
        <v>34</v>
      </c>
      <c r="F44" s="98" t="s">
        <v>34</v>
      </c>
      <c r="G44" s="98" t="s">
        <v>34</v>
      </c>
    </row>
    <row r="45" spans="2:7" x14ac:dyDescent="0.2">
      <c r="B45" s="45" t="s">
        <v>136</v>
      </c>
      <c r="C45" s="63">
        <v>0</v>
      </c>
      <c r="D45" s="98" t="s">
        <v>34</v>
      </c>
      <c r="E45" s="98" t="s">
        <v>34</v>
      </c>
      <c r="F45" s="98" t="s">
        <v>34</v>
      </c>
      <c r="G45" s="98" t="s">
        <v>34</v>
      </c>
    </row>
    <row r="46" spans="2:7" x14ac:dyDescent="0.2">
      <c r="B46" s="45" t="s">
        <v>157</v>
      </c>
      <c r="C46" s="63">
        <f>I23+I29</f>
        <v>1800</v>
      </c>
      <c r="D46" s="98" t="s">
        <v>34</v>
      </c>
      <c r="E46" s="98" t="s">
        <v>34</v>
      </c>
      <c r="F46" s="98" t="s">
        <v>34</v>
      </c>
      <c r="G46" s="98" t="s">
        <v>34</v>
      </c>
    </row>
    <row r="47" spans="2:7" x14ac:dyDescent="0.2">
      <c r="B47" s="45" t="s">
        <v>166</v>
      </c>
      <c r="C47" s="63">
        <f>I26+I28</f>
        <v>2600</v>
      </c>
      <c r="D47" s="98" t="s">
        <v>34</v>
      </c>
      <c r="E47" s="98" t="s">
        <v>34</v>
      </c>
      <c r="F47" s="98" t="s">
        <v>34</v>
      </c>
      <c r="G47" s="98" t="s">
        <v>34</v>
      </c>
    </row>
    <row r="48" spans="2:7" x14ac:dyDescent="0.2">
      <c r="B48" s="45" t="s">
        <v>163</v>
      </c>
      <c r="C48" s="63">
        <f>I25</f>
        <v>1200</v>
      </c>
      <c r="D48" s="98" t="s">
        <v>34</v>
      </c>
      <c r="E48" s="98" t="s">
        <v>34</v>
      </c>
      <c r="F48" s="98" t="s">
        <v>34</v>
      </c>
      <c r="G48" s="98" t="s">
        <v>34</v>
      </c>
    </row>
    <row r="49" spans="2:7" x14ac:dyDescent="0.2">
      <c r="B49" s="45" t="s">
        <v>118</v>
      </c>
      <c r="C49" s="63">
        <f>I4+I18</f>
        <v>2700</v>
      </c>
      <c r="D49" s="98" t="s">
        <v>34</v>
      </c>
      <c r="E49" s="98" t="s">
        <v>34</v>
      </c>
      <c r="F49" s="98" t="s">
        <v>34</v>
      </c>
      <c r="G49" s="98" t="s">
        <v>34</v>
      </c>
    </row>
    <row r="50" spans="2:7" x14ac:dyDescent="0.2">
      <c r="B50" s="45" t="s">
        <v>116</v>
      </c>
      <c r="C50" s="63">
        <f>I20</f>
        <v>1200</v>
      </c>
      <c r="D50" s="98" t="s">
        <v>34</v>
      </c>
      <c r="E50" s="98" t="s">
        <v>34</v>
      </c>
      <c r="F50" s="98" t="s">
        <v>34</v>
      </c>
      <c r="G50" s="9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2025-12-19T02:39:16Z</dcterms:modified>
</cp:coreProperties>
</file>